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30" windowHeight="12975" activeTab="10"/>
  </bookViews>
  <sheets>
    <sheet name="黄颖" sheetId="1" r:id="rId1"/>
    <sheet name="三凤" sheetId="7" r:id="rId2"/>
    <sheet name="朱小飞" sheetId="4" r:id="rId3"/>
    <sheet name="吕沛霖" sheetId="3" r:id="rId4"/>
    <sheet name="罗珮文" sheetId="16" r:id="rId5"/>
    <sheet name="苏慧琪" sheetId="18" r:id="rId6"/>
    <sheet name="陆总" sheetId="14" r:id="rId7"/>
    <sheet name="浦生" sheetId="5" r:id="rId8"/>
    <sheet name="无人" sheetId="17" r:id="rId9"/>
    <sheet name="提成总表" sheetId="9" r:id="rId10"/>
    <sheet name="黄颖 陈三凤 朱小飞 吕沛霖 2025年10月份发放" sheetId="19" r:id="rId11"/>
  </sheets>
  <definedNames>
    <definedName name="_xlnm._FilterDatabase" localSheetId="0" hidden="1">黄颖!$A$3:$AB$47</definedName>
    <definedName name="_xlnm._FilterDatabase" localSheetId="1" hidden="1">三凤!$A$1:$AF$18</definedName>
    <definedName name="_xlnm._FilterDatabase" localSheetId="3" hidden="1">吕沛霖!$A$2:$AB$34</definedName>
    <definedName name="_xlnm.Print_Area" localSheetId="9">提成总表!$A$1:$G$18</definedName>
    <definedName name="_xlnm.Print_Area" localSheetId="10">'黄颖 陈三凤 朱小飞 吕沛霖 2025年10月份发放'!$A$1:$N$15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到付USD63.01转预付468.7.
</t>
        </r>
      </text>
    </comment>
    <comment ref="J8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J9" authorId="0">
      <text>
        <r>
          <rPr>
            <sz val="9"/>
            <rFont val="宋体"/>
            <charset val="134"/>
          </rPr>
          <t xml:space="preserve">到付USD479.87转预付3441.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到付USD2476.52转预付17401.3
</t>
        </r>
      </text>
    </comment>
    <comment ref="J11" authorId="0">
      <text>
        <r>
          <rPr>
            <sz val="9"/>
            <rFont val="宋体"/>
            <charset val="134"/>
          </rPr>
          <t xml:space="preserve">预付148.17转预付1163.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到付USD28.56转预付223.3
</t>
        </r>
      </text>
    </comment>
    <comment ref="J13" authorId="0">
      <text>
        <r>
          <rPr>
            <sz val="9"/>
            <rFont val="宋体"/>
            <charset val="134"/>
          </rPr>
          <t xml:space="preserve">预付148.17转预付1163.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J15" authorId="0">
      <text>
        <r>
          <rPr>
            <sz val="9"/>
            <rFont val="宋体"/>
            <charset val="134"/>
          </rPr>
          <t xml:space="preserve">到付USD44.57转预付344.
</t>
        </r>
      </text>
    </comment>
    <comment ref="J16" authorId="0">
      <text>
        <r>
          <rPr>
            <sz val="9"/>
            <rFont val="宋体"/>
            <charset val="134"/>
          </rPr>
          <t xml:space="preserve">到付USD468.58转预付3453.03
</t>
        </r>
      </text>
    </comment>
    <comment ref="J20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J21" authorId="0">
      <text>
        <r>
          <rPr>
            <sz val="9"/>
            <rFont val="宋体"/>
            <charset val="134"/>
          </rPr>
          <t xml:space="preserve">预付726.4转预付5051.6
</t>
        </r>
      </text>
    </comment>
    <comment ref="J23" authorId="0">
      <text>
        <r>
          <rPr>
            <sz val="9"/>
            <rFont val="宋体"/>
            <charset val="134"/>
          </rPr>
          <t xml:space="preserve">到付USD205.46转预付1502.2
</t>
        </r>
      </text>
    </comment>
    <comment ref="J25" authorId="0">
      <text>
        <r>
          <rPr>
            <sz val="9"/>
            <rFont val="宋体"/>
            <charset val="134"/>
          </rPr>
          <t xml:space="preserve">到付USD12286.2转预付89521
</t>
        </r>
      </text>
    </comment>
    <comment ref="J27" authorId="0">
      <text>
        <r>
          <rPr>
            <sz val="9"/>
            <rFont val="宋体"/>
            <charset val="134"/>
          </rPr>
          <t xml:space="preserve">到付USD232.06转预付1819.
</t>
        </r>
      </text>
    </comment>
    <comment ref="J28" authorId="0">
      <text>
        <r>
          <rPr>
            <sz val="9"/>
            <rFont val="宋体"/>
            <charset val="134"/>
          </rPr>
          <t xml:space="preserve">到付USD21.74转预付397.5
</t>
        </r>
      </text>
    </comment>
    <comment ref="J29" authorId="0">
      <text>
        <r>
          <rPr>
            <sz val="9"/>
            <rFont val="宋体"/>
            <charset val="134"/>
          </rPr>
          <t xml:space="preserve">到付USD81.13转预付595.4.
</t>
        </r>
      </text>
    </comment>
    <comment ref="J33" authorId="0">
      <text>
        <r>
          <rPr>
            <sz val="9"/>
            <rFont val="宋体"/>
            <charset val="134"/>
          </rPr>
          <t xml:space="preserve">到付USD2812.74转预付20686.
</t>
        </r>
      </text>
    </comment>
    <comment ref="J34" authorId="0">
      <text>
        <r>
          <rPr>
            <sz val="9"/>
            <rFont val="宋体"/>
            <charset val="134"/>
          </rPr>
          <t xml:space="preserve">到付USD1868.3转预付13408.72.
</t>
        </r>
      </text>
    </comment>
    <comment ref="J35" authorId="0">
      <text>
        <r>
          <rPr>
            <sz val="9"/>
            <rFont val="宋体"/>
            <charset val="134"/>
          </rPr>
          <t xml:space="preserve">到付USD182.7转预付1326.75.
</t>
        </r>
      </text>
    </comment>
    <comment ref="J36" authorId="0">
      <text>
        <r>
          <rPr>
            <sz val="9"/>
            <rFont val="宋体"/>
            <charset val="134"/>
          </rPr>
          <t xml:space="preserve">到付USD2812.74转预付20686.
</t>
        </r>
      </text>
    </comment>
    <comment ref="J37" authorId="0">
      <text>
        <r>
          <rPr>
            <sz val="9"/>
            <rFont val="宋体"/>
            <charset val="134"/>
          </rPr>
          <t>到付USD532.5转预付3860.6.</t>
        </r>
      </text>
    </comment>
    <comment ref="J39" authorId="0">
      <text>
        <r>
          <rPr>
            <sz val="9"/>
            <rFont val="宋体"/>
            <charset val="134"/>
          </rPr>
          <t xml:space="preserve">到付USD30转预付220.5.
</t>
        </r>
      </text>
    </comment>
    <comment ref="J42" authorId="0">
      <text>
        <r>
          <rPr>
            <sz val="9"/>
            <rFont val="宋体"/>
            <charset val="134"/>
          </rPr>
          <t xml:space="preserve">到付USD1212.84转预付8910.
</t>
        </r>
      </text>
    </comment>
    <comment ref="J46" authorId="0">
      <text>
        <r>
          <rPr>
            <sz val="9"/>
            <rFont val="宋体"/>
            <charset val="134"/>
          </rPr>
          <t xml:space="preserve">到付USD20.4转预付150.
</t>
        </r>
      </text>
    </comment>
  </commentList>
</comments>
</file>

<file path=xl/comments2.xml><?xml version="1.0" encoding="utf-8"?>
<comments xmlns="http://schemas.openxmlformats.org/spreadsheetml/2006/main">
  <authors>
    <author>30993</author>
  </authors>
  <commentList>
    <comment ref="J4" authorId="0">
      <text>
        <r>
          <rPr>
            <sz val="9"/>
            <rFont val="宋体"/>
            <charset val="134"/>
          </rPr>
          <t xml:space="preserve">到付USD2110.39转预付16400.
</t>
        </r>
      </text>
    </comment>
    <comment ref="J6" authorId="0">
      <text>
        <r>
          <rPr>
            <sz val="9"/>
            <rFont val="宋体"/>
            <charset val="134"/>
          </rPr>
          <t xml:space="preserve">到付USD217.75转预付1773.41.
</t>
        </r>
      </text>
    </comment>
    <comment ref="J8" authorId="0">
      <text>
        <r>
          <rPr>
            <sz val="9"/>
            <rFont val="宋体"/>
            <charset val="134"/>
          </rPr>
          <t xml:space="preserve">到付USD132.9转预付1201.
</t>
        </r>
      </text>
    </comment>
  </commentList>
</comments>
</file>

<file path=xl/comments3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到付USD328.6转预付2382.35
</t>
        </r>
      </text>
    </comment>
    <comment ref="J6" authorId="0">
      <text>
        <r>
          <rPr>
            <sz val="9"/>
            <rFont val="宋体"/>
            <charset val="134"/>
          </rPr>
          <t>到付USD164.3转预付1191.18.</t>
        </r>
      </text>
    </comment>
    <comment ref="J7" authorId="0">
      <text>
        <r>
          <rPr>
            <sz val="9"/>
            <rFont val="宋体"/>
            <charset val="134"/>
          </rPr>
          <t>到付USD42.7转预付309.58.</t>
        </r>
      </text>
    </comment>
    <comment ref="J8" authorId="0">
      <text>
        <r>
          <rPr>
            <sz val="9"/>
            <rFont val="宋体"/>
            <charset val="134"/>
          </rPr>
          <t>到付USD1566.6转预付11415.02.</t>
        </r>
      </text>
    </comment>
    <comment ref="J9" authorId="0">
      <text>
        <r>
          <rPr>
            <sz val="9"/>
            <rFont val="宋体"/>
            <charset val="134"/>
          </rPr>
          <t xml:space="preserve">到付USD385.73转预付2812.99.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到付USD378.49转预付2950.46.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到付USD77.55转预付489.22
</t>
        </r>
      </text>
    </comment>
    <comment ref="J25" authorId="0">
      <text>
        <r>
          <rPr>
            <b/>
            <sz val="9"/>
            <rFont val="宋体"/>
            <charset val="134"/>
          </rPr>
          <t>24/12微信支付代垫运费7012.80元</t>
        </r>
      </text>
    </comment>
  </commentList>
</comments>
</file>

<file path=xl/comments4.xml><?xml version="1.0" encoding="utf-8"?>
<comments xmlns="http://schemas.openxmlformats.org/spreadsheetml/2006/main">
  <authors>
    <author>30993</author>
  </authors>
  <commentList>
    <comment ref="J4" authorId="0">
      <text>
        <r>
          <rPr>
            <sz val="9"/>
            <rFont val="宋体"/>
            <charset val="134"/>
          </rPr>
          <t xml:space="preserve">到付USD210.82转预付1549.3
</t>
        </r>
      </text>
    </comment>
    <comment ref="J6" authorId="0">
      <text>
        <r>
          <rPr>
            <sz val="9"/>
            <rFont val="宋体"/>
            <charset val="134"/>
          </rPr>
          <t xml:space="preserve">到付USD476.3转预付3500.8.
</t>
        </r>
      </text>
    </comment>
    <comment ref="J12" authorId="0">
      <text>
        <r>
          <rPr>
            <sz val="9"/>
            <rFont val="宋体"/>
            <charset val="134"/>
          </rPr>
          <t xml:space="preserve">到付USD770.12转预付5660.38.
</t>
        </r>
      </text>
    </comment>
    <comment ref="N17" authorId="0">
      <text>
        <r>
          <rPr>
            <sz val="9"/>
            <rFont val="宋体"/>
            <charset val="134"/>
          </rPr>
          <t xml:space="preserve">预付4825.14转到付USD678.64.
</t>
        </r>
      </text>
    </comment>
    <comment ref="N18" authorId="0">
      <text>
        <r>
          <rPr>
            <sz val="9"/>
            <rFont val="宋体"/>
            <charset val="134"/>
          </rPr>
          <t xml:space="preserve">预付477.2转到付USD67.11
</t>
        </r>
      </text>
    </comment>
  </commentList>
</comments>
</file>

<file path=xl/comments5.xml><?xml version="1.0" encoding="utf-8"?>
<comments xmlns="http://schemas.openxmlformats.org/spreadsheetml/2006/main">
  <authors>
    <author>30993</author>
  </authors>
  <commentList>
    <comment ref="N17" authorId="0">
      <text>
        <r>
          <rPr>
            <sz val="9"/>
            <rFont val="宋体"/>
            <charset val="134"/>
          </rPr>
          <t>已支付27.47欠18.6</t>
        </r>
      </text>
    </comment>
  </commentList>
</comments>
</file>

<file path=xl/comments6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到付USD92.9转预付678.17
</t>
        </r>
      </text>
    </comment>
    <comment ref="J6" authorId="0">
      <text>
        <r>
          <rPr>
            <sz val="9"/>
            <rFont val="宋体"/>
            <charset val="134"/>
          </rPr>
          <t xml:space="preserve">到付USD4043.23转预付29515.58
</t>
        </r>
      </text>
    </comment>
    <comment ref="J7" authorId="0">
      <text>
        <r>
          <rPr>
            <sz val="9"/>
            <rFont val="宋体"/>
            <charset val="134"/>
          </rPr>
          <t xml:space="preserve">到付USD838.8转预付6123.24
</t>
        </r>
      </text>
    </comment>
    <comment ref="J8" authorId="0">
      <text>
        <r>
          <rPr>
            <sz val="9"/>
            <rFont val="宋体"/>
            <charset val="134"/>
          </rPr>
          <t xml:space="preserve">到付USD2840转=预付20732
</t>
        </r>
      </text>
    </comment>
    <comment ref="J9" authorId="0">
      <text>
        <r>
          <rPr>
            <sz val="9"/>
            <rFont val="宋体"/>
            <charset val="134"/>
          </rPr>
          <t xml:space="preserve">到付USD3917.96转预付28601.11
</t>
        </r>
      </text>
    </comment>
    <comment ref="J10" authorId="0">
      <text>
        <r>
          <rPr>
            <sz val="9"/>
            <rFont val="宋体"/>
            <charset val="134"/>
          </rPr>
          <t xml:space="preserve">到付USD1486转预付10847.8
</t>
        </r>
      </text>
    </comment>
    <comment ref="J11" authorId="0">
      <text>
        <r>
          <rPr>
            <sz val="9"/>
            <rFont val="宋体"/>
            <charset val="134"/>
          </rPr>
          <t xml:space="preserve">到付USD25.59转预付186.81
</t>
        </r>
      </text>
    </comment>
    <comment ref="J12" authorId="0">
      <text>
        <r>
          <rPr>
            <sz val="9"/>
            <rFont val="宋体"/>
            <charset val="134"/>
          </rPr>
          <t xml:space="preserve">到付USD150.02转预付1095.15
</t>
        </r>
      </text>
    </comment>
    <comment ref="J13" authorId="0">
      <text>
        <r>
          <rPr>
            <sz val="9"/>
            <rFont val="宋体"/>
            <charset val="134"/>
          </rPr>
          <t xml:space="preserve">到付USD758.85转预付5539.61
</t>
        </r>
      </text>
    </comment>
    <comment ref="J14" authorId="0">
      <text>
        <r>
          <rPr>
            <sz val="9"/>
            <rFont val="宋体"/>
            <charset val="134"/>
          </rPr>
          <t xml:space="preserve">到付USD696.72转预付5086.06
</t>
        </r>
      </text>
    </comment>
    <comment ref="J15" authorId="0">
      <text>
        <r>
          <rPr>
            <sz val="9"/>
            <rFont val="宋体"/>
            <charset val="134"/>
          </rPr>
          <t xml:space="preserve">到付USD1728转预付12614.4
</t>
        </r>
      </text>
    </comment>
    <comment ref="J16" authorId="0">
      <text>
        <r>
          <rPr>
            <sz val="9"/>
            <rFont val="宋体"/>
            <charset val="134"/>
          </rPr>
          <t xml:space="preserve">到付USD486.5转预付3551.45
</t>
        </r>
      </text>
    </comment>
    <comment ref="J17" authorId="0">
      <text>
        <r>
          <rPr>
            <sz val="9"/>
            <rFont val="宋体"/>
            <charset val="134"/>
          </rPr>
          <t xml:space="preserve">到付USD1365.6转预付9968.88
</t>
        </r>
      </text>
    </comment>
    <comment ref="J18" authorId="0">
      <text>
        <r>
          <rPr>
            <sz val="9"/>
            <rFont val="宋体"/>
            <charset val="134"/>
          </rPr>
          <t xml:space="preserve">到付USD1728转预付12614.4
</t>
        </r>
      </text>
    </comment>
    <comment ref="J19" authorId="0">
      <text>
        <r>
          <rPr>
            <sz val="9"/>
            <rFont val="宋体"/>
            <charset val="134"/>
          </rPr>
          <t xml:space="preserve">到付USD482.97转预付3525.68
</t>
        </r>
      </text>
    </comment>
    <comment ref="J20" authorId="0">
      <text>
        <r>
          <rPr>
            <sz val="9"/>
            <rFont val="宋体"/>
            <charset val="134"/>
          </rPr>
          <t xml:space="preserve">到付USD356.4转预付2601.72
</t>
        </r>
      </text>
    </comment>
    <comment ref="J21" authorId="0">
      <text>
        <r>
          <rPr>
            <sz val="9"/>
            <rFont val="宋体"/>
            <charset val="134"/>
          </rPr>
          <t xml:space="preserve">到付USD4210.86转预付30739.28
</t>
        </r>
      </text>
    </comment>
    <comment ref="J22" authorId="0">
      <text>
        <r>
          <rPr>
            <sz val="9"/>
            <rFont val="宋体"/>
            <charset val="134"/>
          </rPr>
          <t xml:space="preserve">到付USD14.73转预付107.53
</t>
        </r>
      </text>
    </comment>
    <comment ref="J23" authorId="0">
      <text>
        <r>
          <rPr>
            <sz val="9"/>
            <rFont val="宋体"/>
            <charset val="134"/>
          </rPr>
          <t xml:space="preserve">到付USD171.45转预付1251.59
</t>
        </r>
      </text>
    </comment>
    <comment ref="J24" authorId="0">
      <text>
        <r>
          <rPr>
            <sz val="9"/>
            <rFont val="宋体"/>
            <charset val="134"/>
          </rPr>
          <t xml:space="preserve">到付USD552.83转预付4035.66
</t>
        </r>
      </text>
    </comment>
    <comment ref="J25" authorId="0">
      <text>
        <r>
          <rPr>
            <sz val="9"/>
            <rFont val="宋体"/>
            <charset val="134"/>
          </rPr>
          <t xml:space="preserve">到付USD5707.56转预付41664.19
</t>
        </r>
      </text>
    </comment>
    <comment ref="J26" authorId="0">
      <text>
        <r>
          <rPr>
            <sz val="9"/>
            <rFont val="宋体"/>
            <charset val="134"/>
          </rPr>
          <t xml:space="preserve">到付USD5960.11转预付43508.8
</t>
        </r>
      </text>
    </comment>
  </commentList>
</comments>
</file>

<file path=xl/comments7.xml><?xml version="1.0" encoding="utf-8"?>
<comments xmlns="http://schemas.openxmlformats.org/spreadsheetml/2006/main">
  <authors>
    <author>30993</author>
  </authors>
  <commentList>
    <comment ref="J6" authorId="0">
      <text>
        <r>
          <rPr>
            <sz val="9"/>
            <rFont val="宋体"/>
            <charset val="134"/>
          </rPr>
          <t xml:space="preserve">到付USD482.3转预付3879.
</t>
        </r>
      </text>
    </comment>
    <comment ref="J7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10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11" authorId="0">
      <text>
        <r>
          <rPr>
            <sz val="9"/>
            <rFont val="宋体"/>
            <charset val="134"/>
          </rPr>
          <t xml:space="preserve">到付USD1286.74转预付9341.73
</t>
        </r>
      </text>
    </comment>
    <comment ref="J13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14" authorId="0">
      <text>
        <r>
          <rPr>
            <sz val="9"/>
            <rFont val="宋体"/>
            <charset val="134"/>
          </rPr>
          <t xml:space="preserve">到付USD4556.51转预付33080.26
</t>
        </r>
      </text>
    </comment>
    <comment ref="V15" authorId="0">
      <text>
        <r>
          <rPr>
            <b/>
            <sz val="9"/>
            <rFont val="宋体"/>
            <charset val="134"/>
          </rPr>
          <t>800元叉车费用</t>
        </r>
        <r>
          <rPr>
            <sz val="9"/>
            <rFont val="宋体"/>
            <charset val="134"/>
          </rPr>
          <t xml:space="preserve">
</t>
        </r>
      </text>
    </comment>
    <comment ref="J16" authorId="0">
      <text>
        <r>
          <rPr>
            <sz val="9"/>
            <rFont val="宋体"/>
            <charset val="134"/>
          </rPr>
          <t xml:space="preserve">到付USD5280.66转预付36993.
</t>
        </r>
      </text>
    </comment>
    <comment ref="J17" authorId="0">
      <text>
        <r>
          <rPr>
            <sz val="9"/>
            <rFont val="宋体"/>
            <charset val="134"/>
          </rPr>
          <t xml:space="preserve">到付USD3011.82转预付21865.81
</t>
        </r>
      </text>
    </comment>
    <comment ref="J18" authorId="0">
      <text>
        <r>
          <rPr>
            <sz val="9"/>
            <rFont val="宋体"/>
            <charset val="134"/>
          </rPr>
          <t xml:space="preserve">到付USD174.49转预付1266.8
</t>
        </r>
      </text>
    </comment>
    <comment ref="J19" authorId="0">
      <text>
        <r>
          <rPr>
            <sz val="9"/>
            <rFont val="宋体"/>
            <charset val="134"/>
          </rPr>
          <t xml:space="preserve">到付USD4841.94转预付35152.53
</t>
        </r>
      </text>
    </comment>
    <comment ref="J20" authorId="0">
      <text>
        <r>
          <rPr>
            <sz val="9"/>
            <rFont val="宋体"/>
            <charset val="134"/>
          </rPr>
          <t xml:space="preserve">到付USD969.6转预付7039.3
</t>
        </r>
      </text>
    </comment>
    <comment ref="J23" authorId="0">
      <text>
        <r>
          <rPr>
            <sz val="9"/>
            <rFont val="宋体"/>
            <charset val="134"/>
          </rPr>
          <t xml:space="preserve">到付USD191.31转预付1396.56.
</t>
        </r>
      </text>
    </comment>
    <comment ref="J25" authorId="0">
      <text>
        <r>
          <rPr>
            <sz val="9"/>
            <rFont val="宋体"/>
            <charset val="134"/>
          </rPr>
          <t xml:space="preserve">到付USD7832.22转预付57160.
</t>
        </r>
      </text>
    </comment>
    <comment ref="J26" authorId="0">
      <text>
        <r>
          <rPr>
            <sz val="9"/>
            <rFont val="宋体"/>
            <charset val="134"/>
          </rPr>
          <t xml:space="preserve">到付USD297.95转预付2175.03.
</t>
        </r>
      </text>
    </comment>
    <comment ref="J28" authorId="0">
      <text>
        <r>
          <rPr>
            <sz val="9"/>
            <rFont val="宋体"/>
            <charset val="134"/>
          </rPr>
          <t xml:space="preserve">到付USD1725.37转预付13095.
</t>
        </r>
      </text>
    </comment>
  </commentList>
</comments>
</file>

<file path=xl/comments8.xml><?xml version="1.0" encoding="utf-8"?>
<comments xmlns="http://schemas.openxmlformats.org/spreadsheetml/2006/main">
  <authors>
    <author>30993</author>
  </authors>
  <commentList>
    <comment ref="J5" authorId="0">
      <text>
        <r>
          <rPr>
            <sz val="9"/>
            <rFont val="宋体"/>
            <charset val="134"/>
          </rPr>
          <t xml:space="preserve">到付USD259.28转预付3329.79.
</t>
        </r>
      </text>
    </comment>
  </commentList>
</comments>
</file>

<file path=xl/sharedStrings.xml><?xml version="1.0" encoding="utf-8"?>
<sst xmlns="http://schemas.openxmlformats.org/spreadsheetml/2006/main" count="1104" uniqueCount="192">
  <si>
    <t>LOS毛利表</t>
  </si>
  <si>
    <t>JOB</t>
  </si>
  <si>
    <t>集装编号 </t>
  </si>
  <si>
    <t>运单编号 </t>
  </si>
  <si>
    <t>日期</t>
  </si>
  <si>
    <t>业务</t>
  </si>
  <si>
    <t>发货人 </t>
  </si>
  <si>
    <t>收货人 </t>
  </si>
  <si>
    <t>计费体积</t>
  </si>
  <si>
    <t>计费重量</t>
  </si>
  <si>
    <t>应  收</t>
  </si>
  <si>
    <t>总应收</t>
  </si>
  <si>
    <t>起      运      港      成      本</t>
  </si>
  <si>
    <t>代垫运费</t>
  </si>
  <si>
    <t>起运港成本
合计</t>
  </si>
  <si>
    <t>目的港成本</t>
  </si>
  <si>
    <t>总支出</t>
  </si>
  <si>
    <t>利润</t>
  </si>
  <si>
    <t>应收RMB</t>
  </si>
  <si>
    <t>LOS
Income(NGN)收到(奈拉)</t>
  </si>
  <si>
    <t>LOS
收到USD</t>
  </si>
  <si>
    <t>美元汇率
dollar currency rate</t>
  </si>
  <si>
    <t>应收
到付款USD</t>
  </si>
  <si>
    <t>汇率</t>
  </si>
  <si>
    <t>人民币</t>
  </si>
  <si>
    <t>代理商</t>
  </si>
  <si>
    <t>运费+出口报关费</t>
  </si>
  <si>
    <t>提货费</t>
  </si>
  <si>
    <t>装卸费</t>
  </si>
  <si>
    <t>包装费</t>
  </si>
  <si>
    <t>进口报关费</t>
  </si>
  <si>
    <t>到门配送费</t>
  </si>
  <si>
    <t>转运费</t>
  </si>
  <si>
    <t>目的港支出</t>
  </si>
  <si>
    <r>
      <rPr>
        <b/>
        <sz val="10"/>
        <color theme="1"/>
        <rFont val="Microsoft JhengHei"/>
        <charset val="134"/>
      </rPr>
      <t>汇</t>
    </r>
    <r>
      <rPr>
        <b/>
        <sz val="10"/>
        <color theme="1"/>
        <rFont val="宋体"/>
        <charset val="134"/>
      </rPr>
      <t>率</t>
    </r>
  </si>
  <si>
    <r>
      <rPr>
        <b/>
        <sz val="9"/>
        <color theme="1"/>
        <rFont val="宋体"/>
        <charset val="134"/>
      </rPr>
      <t>起运港</t>
    </r>
    <r>
      <rPr>
        <b/>
        <sz val="9"/>
        <color theme="1"/>
        <rFont val="Microsoft JhengHei"/>
        <charset val="134"/>
      </rPr>
      <t>+</t>
    </r>
    <r>
      <rPr>
        <b/>
        <sz val="9"/>
        <color theme="1"/>
        <rFont val="宋体"/>
        <charset val="134"/>
      </rPr>
      <t>目的港</t>
    </r>
  </si>
  <si>
    <t>黄颖</t>
  </si>
  <si>
    <t>ying</t>
  </si>
  <si>
    <t>MISS Huang</t>
  </si>
  <si>
    <t>baikaibo</t>
  </si>
  <si>
    <t>Bruce</t>
  </si>
  <si>
    <t>Mr wang</t>
  </si>
  <si>
    <t>Nura</t>
  </si>
  <si>
    <t>JOB100331</t>
  </si>
  <si>
    <t>COLL004195</t>
  </si>
  <si>
    <t>登凯=37296
赛捷=2800 
拖车费=1670
杂费=61
过磅费=68</t>
  </si>
  <si>
    <t>Sunday Adelena</t>
  </si>
  <si>
    <t>lihongye</t>
  </si>
  <si>
    <t>jiangnan</t>
  </si>
  <si>
    <t>Wuchengxing</t>
  </si>
  <si>
    <t>Wole Rasak</t>
  </si>
  <si>
    <t>liufang</t>
  </si>
  <si>
    <t>JOB100363</t>
  </si>
  <si>
    <t>COLL004265</t>
  </si>
  <si>
    <t>登凯=41870
陆总=3000  
拖车费=1670
杂费=61
过磅费=69</t>
  </si>
  <si>
    <t>fanglijuan</t>
  </si>
  <si>
    <t>zhounengquan</t>
  </si>
  <si>
    <t>JOB100364</t>
  </si>
  <si>
    <t>COLL004268</t>
  </si>
  <si>
    <t>登凯=43830
赛捷=1480 
拖车费=1670
杂费=539
过磅费=67</t>
  </si>
  <si>
    <t>mazhiwei</t>
  </si>
  <si>
    <t>JOB100365</t>
  </si>
  <si>
    <t>COLL004270</t>
  </si>
  <si>
    <t>登凯=43830
赛捷=2960 
拖车费=1670
杂费=623
过磅费=69</t>
  </si>
  <si>
    <t>Ariel</t>
  </si>
  <si>
    <t>合     计</t>
  </si>
  <si>
    <t>基本任务：小于6千</t>
  </si>
  <si>
    <t>不够基本任务6千，
公司将根据空运提成里抽出补足基数</t>
  </si>
  <si>
    <t>黄颖 提成</t>
  </si>
  <si>
    <t>名称</t>
  </si>
  <si>
    <t>毛利</t>
  </si>
  <si>
    <t>基本任务：6千-3.5万</t>
  </si>
  <si>
    <t>按40%提成</t>
  </si>
  <si>
    <t>LOS</t>
  </si>
  <si>
    <t>基数</t>
  </si>
  <si>
    <t>基本任务：3.5万以上</t>
  </si>
  <si>
    <t>按50%提成</t>
  </si>
  <si>
    <t>提成计数</t>
  </si>
  <si>
    <t>提成点数</t>
  </si>
  <si>
    <t>提成金额</t>
  </si>
  <si>
    <t>Bella</t>
  </si>
  <si>
    <t>Bella Chan</t>
  </si>
  <si>
    <t>zhong zi xin</t>
  </si>
  <si>
    <t>zhang long ting</t>
  </si>
  <si>
    <t>Shuaibu musa</t>
  </si>
  <si>
    <t>FENG</t>
  </si>
  <si>
    <t>三凤 提成</t>
  </si>
  <si>
    <t>备注</t>
  </si>
  <si>
    <t>总利润减zhong zi xin
利润的
一半2798.34</t>
  </si>
  <si>
    <t>朱小飞</t>
  </si>
  <si>
    <t>Isabel Zhu</t>
  </si>
  <si>
    <t>Halifa Success</t>
  </si>
  <si>
    <t>Wu Jiao Xing</t>
  </si>
  <si>
    <t>Lin Bao Zhen</t>
  </si>
  <si>
    <t>Joy</t>
  </si>
  <si>
    <t>JOB100359</t>
  </si>
  <si>
    <t>COLL004278</t>
  </si>
  <si>
    <t>登凯=39001
赛捷=1660</t>
  </si>
  <si>
    <t>JOB100360</t>
  </si>
  <si>
    <t>COLL004247</t>
  </si>
  <si>
    <t>登凯=36901
赛捷=2800  
拖车费=1670
杂费=497
过磅费=65</t>
  </si>
  <si>
    <t>240929000011（补单）</t>
  </si>
  <si>
    <t>Ife Oyelami</t>
  </si>
  <si>
    <t>Luxre Fashions</t>
  </si>
  <si>
    <t>合计</t>
  </si>
  <si>
    <t>朱小飞 提成</t>
  </si>
  <si>
    <t>总利润减Halifa
利润的
一半1604.77</t>
  </si>
  <si>
    <t>JOB100358</t>
  </si>
  <si>
    <t>COLL004182</t>
  </si>
  <si>
    <t>吕沛霖</t>
  </si>
  <si>
    <t>喵喵速运-Layne</t>
  </si>
  <si>
    <t>MA ZONG</t>
  </si>
  <si>
    <t>登凯=36617
赛捷=1660
 拖车费=1670
杂费=499
过磅费=69</t>
  </si>
  <si>
    <t>Gao Hui</t>
  </si>
  <si>
    <t>YA</t>
  </si>
  <si>
    <t>WYLB</t>
  </si>
  <si>
    <t>ABDUL</t>
  </si>
  <si>
    <t>MU SHI SHI</t>
  </si>
  <si>
    <t>Sue</t>
  </si>
  <si>
    <t>JOB100366</t>
  </si>
  <si>
    <t>COLL004269</t>
  </si>
  <si>
    <t>Ka Ka 4分部</t>
  </si>
  <si>
    <t>登凯=43830
赛捷=1160 
拖车费=1670
杂费=633
过磅费=69</t>
  </si>
  <si>
    <t>Hu Hai Liang</t>
  </si>
  <si>
    <t>吕沛霖 提成</t>
  </si>
  <si>
    <t>罗珮文</t>
  </si>
  <si>
    <t>Shirley</t>
  </si>
  <si>
    <t>Yusky</t>
  </si>
  <si>
    <t>James</t>
  </si>
  <si>
    <t>SKY JET</t>
  </si>
  <si>
    <t>罗珮文 提成</t>
  </si>
  <si>
    <t>苏慧琪</t>
  </si>
  <si>
    <t>KAY</t>
  </si>
  <si>
    <t>OKECHUKWU</t>
  </si>
  <si>
    <t>WENXIAOBING</t>
  </si>
  <si>
    <t>苏慧琪 提成</t>
  </si>
  <si>
    <t>陆总</t>
  </si>
  <si>
    <t>陆梓龙</t>
  </si>
  <si>
    <t>xiantian</t>
  </si>
  <si>
    <t>xinlong</t>
  </si>
  <si>
    <t>leoluang</t>
  </si>
  <si>
    <t>jizong</t>
  </si>
  <si>
    <t>luk</t>
  </si>
  <si>
    <t>WANG</t>
  </si>
  <si>
    <t>陆总 提成</t>
  </si>
  <si>
    <t>Sam.Pao</t>
  </si>
  <si>
    <t>ShanShan</t>
  </si>
  <si>
    <t>Arni</t>
  </si>
  <si>
    <t>ChenGaoHong</t>
  </si>
  <si>
    <t>JOB100361</t>
  </si>
  <si>
    <t>COLL004248</t>
  </si>
  <si>
    <t>登凯=37199
赛捷=1500 
拖车费=1670
杂费=495
过磅费=50</t>
  </si>
  <si>
    <t>Nick Wang</t>
  </si>
  <si>
    <t>JOB100362</t>
  </si>
  <si>
    <t>COLL004260</t>
  </si>
  <si>
    <t>登凯=38748
赛捷=1160
拖车费=1670
杂费=61
过磅费=67</t>
  </si>
  <si>
    <t>MaiKaiNian</t>
  </si>
  <si>
    <t>WangJianHua</t>
  </si>
  <si>
    <t>AiGeLi</t>
  </si>
  <si>
    <t>JunYue hotel</t>
  </si>
  <si>
    <t>JOB120359</t>
  </si>
  <si>
    <t>COLL004280</t>
  </si>
  <si>
    <t>登凯=44060
陆总=2500
拖车费=1670
杂费=101
过磅费=68</t>
  </si>
  <si>
    <t>浦生 提成</t>
  </si>
  <si>
    <t>任务</t>
  </si>
  <si>
    <t>提成计数40%</t>
  </si>
  <si>
    <t>实提成计数</t>
  </si>
  <si>
    <t>提成点数50%</t>
  </si>
  <si>
    <t>合计提成金额</t>
  </si>
  <si>
    <t>无人</t>
  </si>
  <si>
    <t>dejare James</t>
  </si>
  <si>
    <t>ALH RAKIM</t>
  </si>
  <si>
    <t>Mailmail Abv sales person 1</t>
  </si>
  <si>
    <t>Pedoski</t>
  </si>
  <si>
    <t>无人 提成</t>
  </si>
  <si>
    <r>
      <rPr>
        <b/>
        <sz val="18"/>
        <color theme="1"/>
        <rFont val="Tahoma"/>
        <charset val="134"/>
      </rPr>
      <t>24</t>
    </r>
    <r>
      <rPr>
        <b/>
        <sz val="18"/>
        <color theme="1"/>
        <rFont val="宋体"/>
        <charset val="134"/>
      </rPr>
      <t>年</t>
    </r>
    <r>
      <rPr>
        <b/>
        <sz val="18"/>
        <color theme="1"/>
        <rFont val="Tahoma"/>
        <charset val="134"/>
      </rPr>
      <t>10</t>
    </r>
    <r>
      <rPr>
        <b/>
        <sz val="18"/>
        <color theme="1"/>
        <rFont val="宋体"/>
        <charset val="134"/>
      </rPr>
      <t>月份业务员提成总表</t>
    </r>
    <r>
      <rPr>
        <b/>
        <sz val="18"/>
        <color theme="1"/>
        <rFont val="Tahoma"/>
        <charset val="134"/>
      </rPr>
      <t>-</t>
    </r>
    <r>
      <rPr>
        <b/>
        <sz val="18"/>
        <color theme="1"/>
        <rFont val="宋体"/>
        <charset val="134"/>
      </rPr>
      <t>68³</t>
    </r>
  </si>
  <si>
    <t xml:space="preserve">           名称
姓名</t>
  </si>
  <si>
    <t>LOS毛利</t>
  </si>
  <si>
    <t>计费体积
立方</t>
  </si>
  <si>
    <r>
      <rPr>
        <sz val="18"/>
        <color theme="1"/>
        <rFont val="Tahoma"/>
        <charset val="134"/>
      </rPr>
      <t>6</t>
    </r>
    <r>
      <rPr>
        <sz val="18"/>
        <color theme="1"/>
        <rFont val="宋体"/>
        <charset val="134"/>
      </rPr>
      <t>千</t>
    </r>
    <r>
      <rPr>
        <sz val="18"/>
        <color theme="1"/>
        <rFont val="Tahoma"/>
        <charset val="134"/>
      </rPr>
      <t>-3.5</t>
    </r>
    <r>
      <rPr>
        <sz val="18"/>
        <color theme="1"/>
        <rFont val="宋体"/>
        <charset val="134"/>
      </rPr>
      <t>万</t>
    </r>
  </si>
  <si>
    <r>
      <rPr>
        <sz val="18"/>
        <color theme="1"/>
        <rFont val="Tahoma"/>
        <charset val="134"/>
      </rPr>
      <t>3.5</t>
    </r>
    <r>
      <rPr>
        <sz val="18"/>
        <color theme="1"/>
        <rFont val="宋体"/>
        <charset val="134"/>
      </rPr>
      <t>万以上</t>
    </r>
  </si>
  <si>
    <t>合计
提成金额</t>
  </si>
  <si>
    <t>提成点
数40%</t>
  </si>
  <si>
    <t>提成点
数50%</t>
  </si>
  <si>
    <t>黄  颖</t>
  </si>
  <si>
    <t>陈三凤</t>
  </si>
  <si>
    <t>小飞10-11月份原方案15%
（zhong zi xin利润的一半2798.34）</t>
  </si>
  <si>
    <t>小飞10-11月份原方案15%
（Halifa利润的一半1604.77）</t>
  </si>
  <si>
    <t>浦海森</t>
  </si>
  <si>
    <t>领款人：</t>
  </si>
  <si>
    <t>日期：</t>
  </si>
  <si>
    <t>确认人：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</si>
</sst>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&quot;³&quot;"/>
    <numFmt numFmtId="178" formatCode="&quot;JOB&quot;000000"/>
    <numFmt numFmtId="179" formatCode="000000"/>
    <numFmt numFmtId="180" formatCode="m&quot;月&quot;d&quot;日&quot;;@"/>
    <numFmt numFmtId="181" formatCode="0_ "/>
    <numFmt numFmtId="182" formatCode="0.00_ "/>
    <numFmt numFmtId="183" formatCode="&quot;US$&quot;#,##0.00;\-&quot;US$&quot;#,##0.00"/>
    <numFmt numFmtId="184" formatCode="_ * #,##0.00_ ;_ * \-#,##0.00_ ;_ * &quot;-&quot;_ ;_ @_ "/>
  </numFmts>
  <fonts count="54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4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Tahoma"/>
      <charset val="134"/>
    </font>
    <font>
      <sz val="18"/>
      <color theme="1"/>
      <name val="Tahoma"/>
      <charset val="134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sz val="10"/>
      <color rgb="FFFF0000"/>
      <name val="微软雅黑"/>
      <charset val="134"/>
    </font>
    <font>
      <sz val="12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Microsoft JhengHei"/>
      <charset val="134"/>
    </font>
    <font>
      <b/>
      <sz val="10"/>
      <name val="Microsoft JhengHei"/>
      <charset val="134"/>
    </font>
    <font>
      <sz val="9"/>
      <name val="宋体"/>
      <charset val="134"/>
    </font>
    <font>
      <sz val="9"/>
      <name val="Microsoft JhengHei"/>
      <charset val="134"/>
    </font>
    <font>
      <sz val="9"/>
      <color theme="1"/>
      <name val="Microsoft JhengHei"/>
      <charset val="134"/>
    </font>
    <font>
      <b/>
      <sz val="10"/>
      <name val="宋体"/>
      <charset val="134"/>
      <scheme val="minor"/>
    </font>
    <font>
      <b/>
      <sz val="9"/>
      <color rgb="FFFF0000"/>
      <name val="Microsoft JhengHei"/>
      <charset val="134"/>
    </font>
    <font>
      <b/>
      <sz val="9"/>
      <color theme="1"/>
      <name val="宋体"/>
      <charset val="134"/>
    </font>
    <font>
      <b/>
      <sz val="10"/>
      <name val="宋体"/>
      <charset val="134"/>
    </font>
    <font>
      <sz val="9"/>
      <color rgb="FFFF0000"/>
      <name val="Microsoft JhengHei"/>
      <charset val="134"/>
    </font>
    <font>
      <b/>
      <sz val="10"/>
      <color theme="1"/>
      <name val="Microsoft JhengHei"/>
      <charset val="134"/>
    </font>
    <font>
      <b/>
      <sz val="9"/>
      <name val="宋体"/>
      <charset val="134"/>
    </font>
    <font>
      <b/>
      <sz val="10"/>
      <color theme="1"/>
      <name val="宋体"/>
      <charset val="134"/>
    </font>
    <font>
      <sz val="9"/>
      <color rgb="FF000000"/>
      <name val="Microsoft Jheng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1"/>
      <name val="宋体"/>
      <charset val="134"/>
    </font>
    <font>
      <sz val="18"/>
      <color theme="1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3" borderId="19" applyNumberFormat="0" applyAlignment="0" applyProtection="0">
      <alignment vertical="center"/>
    </xf>
    <xf numFmtId="0" fontId="40" fillId="14" borderId="20" applyNumberFormat="0" applyAlignment="0" applyProtection="0">
      <alignment vertical="center"/>
    </xf>
    <xf numFmtId="0" fontId="41" fillId="14" borderId="19" applyNumberFormat="0" applyAlignment="0" applyProtection="0">
      <alignment vertical="center"/>
    </xf>
    <xf numFmtId="0" fontId="42" fillId="15" borderId="21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9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9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</cellStyleXfs>
  <cellXfs count="23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176" fontId="5" fillId="0" borderId="0" xfId="0" applyNumberFormat="1" applyFont="1" applyFill="1">
      <alignment vertical="center"/>
    </xf>
    <xf numFmtId="0" fontId="5" fillId="0" borderId="0" xfId="0" applyNumberFormat="1" applyFont="1" applyFill="1" applyAlignment="1">
      <alignment horizontal="center" vertical="center"/>
    </xf>
    <xf numFmtId="176" fontId="0" fillId="0" borderId="0" xfId="0" applyNumberFormat="1" applyFill="1">
      <alignment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8" fillId="2" borderId="3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4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 wrapText="1"/>
    </xf>
    <xf numFmtId="176" fontId="10" fillId="3" borderId="2" xfId="0" applyNumberFormat="1" applyFont="1" applyFill="1" applyBorder="1" applyAlignment="1">
      <alignment horizontal="center" vertical="center"/>
    </xf>
    <xf numFmtId="176" fontId="2" fillId="2" borderId="2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/>
    </xf>
    <xf numFmtId="176" fontId="2" fillId="3" borderId="2" xfId="0" applyNumberFormat="1" applyFont="1" applyFill="1" applyBorder="1" applyAlignment="1">
      <alignment vertical="center"/>
    </xf>
    <xf numFmtId="176" fontId="2" fillId="3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>
      <alignment vertical="center"/>
    </xf>
    <xf numFmtId="0" fontId="10" fillId="2" borderId="2" xfId="0" applyFont="1" applyFill="1" applyBorder="1" applyAlignment="1">
      <alignment horizontal="center" vertical="center"/>
    </xf>
    <xf numFmtId="176" fontId="3" fillId="2" borderId="2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NumberFormat="1" applyFont="1" applyFill="1" applyAlignment="1">
      <alignment vertical="center"/>
    </xf>
    <xf numFmtId="176" fontId="0" fillId="0" borderId="0" xfId="0" applyNumberFormat="1" applyFont="1" applyFill="1" applyAlignment="1">
      <alignment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6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9" fillId="4" borderId="2" xfId="0" applyNumberFormat="1" applyFont="1" applyFill="1" applyBorder="1" applyAlignment="1">
      <alignment horizontal="center" vertical="center" wrapText="1"/>
    </xf>
    <xf numFmtId="176" fontId="10" fillId="4" borderId="2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6" fontId="3" fillId="4" borderId="2" xfId="0" applyNumberFormat="1" applyFont="1" applyFill="1" applyBorder="1" applyAlignment="1">
      <alignment horizontal="center" vertical="center"/>
    </xf>
    <xf numFmtId="176" fontId="11" fillId="5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0" fontId="1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" fillId="4" borderId="2" xfId="0" applyNumberFormat="1" applyFont="1" applyFill="1" applyBorder="1" applyAlignment="1">
      <alignment horizontal="center" vertical="center"/>
    </xf>
    <xf numFmtId="176" fontId="1" fillId="5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176" fontId="0" fillId="0" borderId="0" xfId="0" applyNumberFormat="1" applyFill="1" applyAlignment="1">
      <alignment vertical="center"/>
    </xf>
    <xf numFmtId="176" fontId="4" fillId="0" borderId="0" xfId="0" applyNumberFormat="1" applyFont="1" applyFill="1" applyAlignment="1">
      <alignment vertical="center"/>
    </xf>
    <xf numFmtId="0" fontId="12" fillId="0" borderId="0" xfId="0" applyFont="1" applyFill="1" applyAlignment="1">
      <alignment vertical="center"/>
    </xf>
    <xf numFmtId="176" fontId="2" fillId="3" borderId="0" xfId="0" applyNumberFormat="1" applyFont="1" applyFill="1" applyAlignment="1">
      <alignment vertical="center"/>
    </xf>
    <xf numFmtId="0" fontId="12" fillId="0" borderId="0" xfId="0" applyNumberFormat="1" applyFont="1" applyFill="1" applyAlignment="1">
      <alignment vertical="center"/>
    </xf>
    <xf numFmtId="0" fontId="0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12" fillId="0" borderId="2" xfId="0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vertical="center"/>
    </xf>
    <xf numFmtId="176" fontId="12" fillId="0" borderId="0" xfId="0" applyNumberFormat="1" applyFont="1" applyFill="1" applyAlignment="1">
      <alignment vertical="center"/>
    </xf>
    <xf numFmtId="0" fontId="0" fillId="3" borderId="2" xfId="0" applyFont="1" applyFill="1" applyBorder="1" applyAlignment="1">
      <alignment horizontal="left" vertical="center" wrapText="1"/>
    </xf>
    <xf numFmtId="0" fontId="14" fillId="3" borderId="8" xfId="0" applyFont="1" applyFill="1" applyBorder="1" applyAlignment="1">
      <alignment horizontal="left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3" borderId="13" xfId="0" applyFont="1" applyFill="1" applyBorder="1" applyAlignment="1">
      <alignment horizontal="left" vertical="center"/>
    </xf>
    <xf numFmtId="0" fontId="0" fillId="0" borderId="2" xfId="0" applyFill="1" applyBorder="1" applyAlignment="1">
      <alignment horizontal="center" vertical="center"/>
    </xf>
    <xf numFmtId="0" fontId="15" fillId="0" borderId="0" xfId="0" applyFont="1">
      <alignment vertical="center"/>
    </xf>
    <xf numFmtId="0" fontId="16" fillId="0" borderId="0" xfId="0" applyFont="1" applyFill="1" applyBorder="1" applyAlignment="1">
      <alignment vertical="center"/>
    </xf>
    <xf numFmtId="0" fontId="16" fillId="0" borderId="0" xfId="0" applyFont="1" applyFill="1" applyBorder="1">
      <alignment vertical="center"/>
    </xf>
    <xf numFmtId="0" fontId="12" fillId="0" borderId="0" xfId="0" applyFont="1">
      <alignment vertical="center"/>
    </xf>
    <xf numFmtId="178" fontId="17" fillId="0" borderId="3" xfId="0" applyNumberFormat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179" fontId="18" fillId="6" borderId="2" xfId="1" applyNumberFormat="1" applyFont="1" applyFill="1" applyBorder="1" applyAlignment="1">
      <alignment horizontal="center" vertical="center"/>
    </xf>
    <xf numFmtId="180" fontId="19" fillId="6" borderId="2" xfId="1" applyNumberFormat="1" applyFont="1" applyFill="1" applyBorder="1" applyAlignment="1">
      <alignment horizontal="center" vertical="center"/>
    </xf>
    <xf numFmtId="180" fontId="19" fillId="6" borderId="3" xfId="1" applyNumberFormat="1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8" fontId="17" fillId="0" borderId="14" xfId="0" applyNumberFormat="1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/>
    </xf>
    <xf numFmtId="180" fontId="19" fillId="6" borderId="14" xfId="1" applyNumberFormat="1" applyFont="1" applyFill="1" applyBorder="1" applyAlignment="1">
      <alignment horizontal="center" vertical="center"/>
    </xf>
    <xf numFmtId="0" fontId="17" fillId="6" borderId="14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vertical="center"/>
    </xf>
    <xf numFmtId="181" fontId="21" fillId="0" borderId="2" xfId="0" applyNumberFormat="1" applyFont="1" applyFill="1" applyBorder="1" applyAlignment="1">
      <alignment vertical="center"/>
    </xf>
    <xf numFmtId="58" fontId="21" fillId="0" borderId="2" xfId="0" applyNumberFormat="1" applyFont="1" applyFill="1" applyBorder="1" applyAlignment="1">
      <alignment vertical="center"/>
    </xf>
    <xf numFmtId="0" fontId="0" fillId="0" borderId="2" xfId="0" applyFill="1" applyBorder="1" applyAlignment="1">
      <alignment vertical="center"/>
    </xf>
    <xf numFmtId="178" fontId="16" fillId="0" borderId="0" xfId="0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80" fontId="16" fillId="0" borderId="0" xfId="0" applyNumberFormat="1" applyFont="1" applyFill="1" applyBorder="1" applyAlignment="1">
      <alignment horizontal="center" vertical="center"/>
    </xf>
    <xf numFmtId="0" fontId="0" fillId="3" borderId="8" xfId="0" applyFont="1" applyFill="1" applyBorder="1" applyAlignment="1">
      <alignment horizontal="left" vertical="center" wrapText="1"/>
    </xf>
    <xf numFmtId="0" fontId="0" fillId="3" borderId="9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0" fillId="3" borderId="12" xfId="0" applyFont="1" applyFill="1" applyBorder="1" applyAlignment="1">
      <alignment horizontal="left" vertical="center" wrapText="1"/>
    </xf>
    <xf numFmtId="176" fontId="15" fillId="5" borderId="5" xfId="0" applyNumberFormat="1" applyFont="1" applyFill="1" applyBorder="1" applyAlignment="1">
      <alignment horizontal="center" vertical="center"/>
    </xf>
    <xf numFmtId="182" fontId="15" fillId="5" borderId="6" xfId="0" applyNumberFormat="1" applyFont="1" applyFill="1" applyBorder="1" applyAlignment="1">
      <alignment horizontal="center" vertical="center"/>
    </xf>
    <xf numFmtId="183" fontId="15" fillId="5" borderId="6" xfId="0" applyNumberFormat="1" applyFont="1" applyFill="1" applyBorder="1" applyAlignment="1">
      <alignment horizontal="center" vertical="center"/>
    </xf>
    <xf numFmtId="0" fontId="15" fillId="5" borderId="6" xfId="0" applyNumberFormat="1" applyFont="1" applyFill="1" applyBorder="1" applyAlignment="1">
      <alignment horizontal="center" vertical="center"/>
    </xf>
    <xf numFmtId="176" fontId="22" fillId="0" borderId="7" xfId="0" applyNumberFormat="1" applyFont="1" applyFill="1" applyBorder="1" applyAlignment="1">
      <alignment horizontal="right" vertical="center"/>
    </xf>
    <xf numFmtId="176" fontId="17" fillId="5" borderId="2" xfId="0" applyNumberFormat="1" applyFont="1" applyFill="1" applyBorder="1" applyAlignment="1">
      <alignment horizontal="right" vertical="center"/>
    </xf>
    <xf numFmtId="182" fontId="23" fillId="5" borderId="2" xfId="0" applyNumberFormat="1" applyFont="1" applyFill="1" applyBorder="1" applyAlignment="1">
      <alignment horizontal="center" vertical="center" wrapText="1"/>
    </xf>
    <xf numFmtId="183" fontId="23" fillId="5" borderId="2" xfId="0" applyNumberFormat="1" applyFont="1" applyFill="1" applyBorder="1" applyAlignment="1">
      <alignment horizontal="center" vertical="center" wrapText="1"/>
    </xf>
    <xf numFmtId="183" fontId="17" fillId="5" borderId="2" xfId="0" applyNumberFormat="1" applyFont="1" applyFill="1" applyBorder="1" applyAlignment="1">
      <alignment horizontal="center" vertical="center" wrapText="1"/>
    </xf>
    <xf numFmtId="0" fontId="24" fillId="5" borderId="2" xfId="0" applyNumberFormat="1" applyFont="1" applyFill="1" applyBorder="1" applyAlignment="1">
      <alignment horizontal="center" vertical="center"/>
    </xf>
    <xf numFmtId="176" fontId="25" fillId="0" borderId="2" xfId="0" applyNumberFormat="1" applyFont="1" applyFill="1" applyBorder="1" applyAlignment="1">
      <alignment horizontal="right" vertical="center"/>
    </xf>
    <xf numFmtId="176" fontId="26" fillId="0" borderId="2" xfId="0" applyNumberFormat="1" applyFont="1" applyFill="1" applyBorder="1" applyAlignment="1">
      <alignment vertical="center"/>
    </xf>
    <xf numFmtId="182" fontId="21" fillId="0" borderId="2" xfId="0" applyNumberFormat="1" applyFont="1" applyFill="1" applyBorder="1" applyAlignment="1">
      <alignment vertical="center"/>
    </xf>
    <xf numFmtId="183" fontId="20" fillId="0" borderId="2" xfId="0" applyNumberFormat="1" applyFont="1" applyFill="1" applyBorder="1" applyAlignment="1">
      <alignment vertical="center"/>
    </xf>
    <xf numFmtId="182" fontId="26" fillId="0" borderId="2" xfId="0" applyNumberFormat="1" applyFont="1" applyFill="1" applyBorder="1" applyAlignment="1">
      <alignment horizontal="center" vertical="center"/>
    </xf>
    <xf numFmtId="176" fontId="20" fillId="0" borderId="2" xfId="0" applyNumberFormat="1" applyFont="1" applyFill="1" applyBorder="1" applyAlignment="1">
      <alignment vertical="center"/>
    </xf>
    <xf numFmtId="182" fontId="26" fillId="0" borderId="2" xfId="0" applyNumberFormat="1" applyFont="1" applyFill="1" applyBorder="1" applyAlignment="1">
      <alignment vertical="center"/>
    </xf>
    <xf numFmtId="183" fontId="26" fillId="0" borderId="2" xfId="0" applyNumberFormat="1" applyFont="1" applyFill="1" applyBorder="1" applyAlignment="1">
      <alignment vertical="center"/>
    </xf>
    <xf numFmtId="0" fontId="0" fillId="3" borderId="10" xfId="0" applyFont="1" applyFill="1" applyBorder="1" applyAlignment="1">
      <alignment horizontal="left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3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76" fontId="0" fillId="7" borderId="2" xfId="0" applyNumberForma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76" fontId="0" fillId="8" borderId="2" xfId="0" applyNumberFormat="1" applyFill="1" applyBorder="1" applyAlignment="1">
      <alignment horizontal="center" vertical="center"/>
    </xf>
    <xf numFmtId="176" fontId="16" fillId="0" borderId="0" xfId="0" applyNumberFormat="1" applyFont="1" applyBorder="1" applyAlignment="1">
      <alignment horizontal="center" vertical="center"/>
    </xf>
    <xf numFmtId="176" fontId="15" fillId="3" borderId="3" xfId="0" applyNumberFormat="1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176" fontId="17" fillId="9" borderId="6" xfId="0" applyNumberFormat="1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176" fontId="17" fillId="0" borderId="6" xfId="0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76" fontId="24" fillId="0" borderId="8" xfId="0" applyNumberFormat="1" applyFont="1" applyFill="1" applyBorder="1" applyAlignment="1">
      <alignment horizontal="center" vertical="center" wrapText="1"/>
    </xf>
    <xf numFmtId="7" fontId="27" fillId="5" borderId="3" xfId="0" applyNumberFormat="1" applyFont="1" applyFill="1" applyBorder="1" applyAlignment="1">
      <alignment horizontal="center" vertical="center" wrapText="1"/>
    </xf>
    <xf numFmtId="176" fontId="15" fillId="3" borderId="14" xfId="0" applyNumberFormat="1" applyFont="1" applyFill="1" applyBorder="1" applyAlignment="1">
      <alignment horizontal="center" vertical="center"/>
    </xf>
    <xf numFmtId="184" fontId="28" fillId="9" borderId="2" xfId="4" applyNumberFormat="1" applyFont="1" applyFill="1" applyBorder="1" applyAlignment="1">
      <alignment horizontal="center" vertical="center"/>
    </xf>
    <xf numFmtId="176" fontId="25" fillId="9" borderId="2" xfId="4" applyNumberFormat="1" applyFont="1" applyFill="1" applyBorder="1" applyAlignment="1">
      <alignment horizontal="center" vertical="center"/>
    </xf>
    <xf numFmtId="184" fontId="25" fillId="0" borderId="2" xfId="4" applyNumberFormat="1" applyFont="1" applyFill="1" applyBorder="1" applyAlignment="1">
      <alignment horizontal="center" vertical="center"/>
    </xf>
    <xf numFmtId="176" fontId="25" fillId="0" borderId="2" xfId="4" applyNumberFormat="1" applyFont="1" applyFill="1" applyBorder="1" applyAlignment="1">
      <alignment horizontal="center" vertical="center"/>
    </xf>
    <xf numFmtId="176" fontId="24" fillId="0" borderId="15" xfId="0" applyNumberFormat="1" applyFont="1" applyFill="1" applyBorder="1" applyAlignment="1">
      <alignment horizontal="center" vertical="center" wrapText="1"/>
    </xf>
    <xf numFmtId="7" fontId="27" fillId="5" borderId="14" xfId="0" applyNumberFormat="1" applyFont="1" applyFill="1" applyBorder="1" applyAlignment="1">
      <alignment horizontal="center" vertical="center" wrapText="1"/>
    </xf>
    <xf numFmtId="176" fontId="21" fillId="0" borderId="14" xfId="0" applyNumberFormat="1" applyFont="1" applyFill="1" applyBorder="1" applyAlignment="1">
      <alignment horizontal="center" vertical="center"/>
    </xf>
    <xf numFmtId="176" fontId="21" fillId="0" borderId="2" xfId="0" applyNumberFormat="1" applyFont="1" applyFill="1" applyBorder="1" applyAlignment="1">
      <alignment vertical="center"/>
    </xf>
    <xf numFmtId="0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0" fontId="0" fillId="0" borderId="2" xfId="0" applyBorder="1">
      <alignment vertical="center"/>
    </xf>
    <xf numFmtId="183" fontId="24" fillId="5" borderId="2" xfId="0" applyNumberFormat="1" applyFont="1" applyFill="1" applyBorder="1" applyAlignment="1">
      <alignment horizontal="center" vertical="center"/>
    </xf>
    <xf numFmtId="182" fontId="24" fillId="5" borderId="2" xfId="0" applyNumberFormat="1" applyFont="1" applyFill="1" applyBorder="1" applyAlignment="1">
      <alignment horizontal="center" vertical="center"/>
    </xf>
    <xf numFmtId="176" fontId="24" fillId="3" borderId="3" xfId="0" applyNumberFormat="1" applyFont="1" applyFill="1" applyBorder="1" applyAlignment="1">
      <alignment horizontal="center" vertical="center"/>
    </xf>
    <xf numFmtId="176" fontId="15" fillId="7" borderId="3" xfId="0" applyNumberFormat="1" applyFont="1" applyFill="1" applyBorder="1" applyAlignment="1">
      <alignment horizontal="center" vertical="center"/>
    </xf>
    <xf numFmtId="183" fontId="29" fillId="5" borderId="2" xfId="0" applyNumberFormat="1" applyFont="1" applyFill="1" applyBorder="1" applyAlignment="1">
      <alignment vertical="center" wrapText="1"/>
    </xf>
    <xf numFmtId="183" fontId="24" fillId="5" borderId="2" xfId="0" applyNumberFormat="1" applyFont="1" applyFill="1" applyBorder="1" applyAlignment="1">
      <alignment horizontal="right" vertical="center"/>
    </xf>
    <xf numFmtId="182" fontId="27" fillId="5" borderId="2" xfId="0" applyNumberFormat="1" applyFont="1" applyFill="1" applyBorder="1" applyAlignment="1">
      <alignment horizontal="center" vertical="center"/>
    </xf>
    <xf numFmtId="176" fontId="24" fillId="5" borderId="2" xfId="0" applyNumberFormat="1" applyFont="1" applyFill="1" applyBorder="1" applyAlignment="1">
      <alignment horizontal="center" vertical="center"/>
    </xf>
    <xf numFmtId="176" fontId="24" fillId="3" borderId="2" xfId="0" applyNumberFormat="1" applyFont="1" applyFill="1" applyBorder="1" applyAlignment="1">
      <alignment horizontal="center" vertical="center"/>
    </xf>
    <xf numFmtId="176" fontId="15" fillId="7" borderId="4" xfId="0" applyNumberFormat="1" applyFont="1" applyFill="1" applyBorder="1" applyAlignment="1">
      <alignment horizontal="center" vertical="center"/>
    </xf>
    <xf numFmtId="183" fontId="21" fillId="0" borderId="2" xfId="0" applyNumberFormat="1" applyFont="1" applyFill="1" applyBorder="1" applyAlignment="1">
      <alignment vertical="center"/>
    </xf>
    <xf numFmtId="176" fontId="5" fillId="0" borderId="2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176" fontId="16" fillId="0" borderId="0" xfId="0" applyNumberFormat="1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horizontal="center" vertical="center"/>
    </xf>
    <xf numFmtId="0" fontId="30" fillId="0" borderId="2" xfId="0" applyFont="1" applyFill="1" applyBorder="1" applyAlignment="1">
      <alignment vertical="center"/>
    </xf>
    <xf numFmtId="183" fontId="30" fillId="0" borderId="2" xfId="0" applyNumberFormat="1" applyFont="1" applyFill="1" applyBorder="1" applyAlignment="1">
      <alignment vertical="center"/>
    </xf>
    <xf numFmtId="182" fontId="26" fillId="0" borderId="0" xfId="0" applyNumberFormat="1" applyFont="1" applyFill="1" applyBorder="1" applyAlignment="1">
      <alignment vertical="center"/>
    </xf>
    <xf numFmtId="0" fontId="20" fillId="0" borderId="5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176" fontId="0" fillId="2" borderId="2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vertical="center"/>
    </xf>
    <xf numFmtId="176" fontId="0" fillId="10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vertical="center"/>
    </xf>
    <xf numFmtId="176" fontId="0" fillId="11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vertical="center"/>
    </xf>
    <xf numFmtId="176" fontId="21" fillId="0" borderId="3" xfId="0" applyNumberFormat="1" applyFont="1" applyFill="1" applyBorder="1" applyAlignment="1">
      <alignment horizontal="center" vertical="center"/>
    </xf>
    <xf numFmtId="176" fontId="21" fillId="0" borderId="3" xfId="0" applyNumberFormat="1" applyFont="1" applyFill="1" applyBorder="1" applyAlignment="1">
      <alignment horizontal="center" vertical="center" wrapText="1"/>
    </xf>
    <xf numFmtId="176" fontId="21" fillId="0" borderId="2" xfId="0" applyNumberFormat="1" applyFont="1" applyFill="1" applyBorder="1" applyAlignment="1">
      <alignment horizontal="center" vertical="center"/>
    </xf>
    <xf numFmtId="176" fontId="21" fillId="0" borderId="2" xfId="0" applyNumberFormat="1" applyFont="1" applyFill="1" applyBorder="1" applyAlignment="1">
      <alignment vertical="center" wrapText="1"/>
    </xf>
    <xf numFmtId="0" fontId="16" fillId="0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26" fillId="0" borderId="2" xfId="0" applyFont="1" applyFill="1" applyBorder="1" applyAlignment="1">
      <alignment vertical="center"/>
    </xf>
    <xf numFmtId="0" fontId="20" fillId="0" borderId="2" xfId="0" applyFont="1" applyFill="1" applyBorder="1">
      <alignment vertical="center"/>
    </xf>
    <xf numFmtId="181" fontId="16" fillId="0" borderId="2" xfId="0" applyNumberFormat="1" applyFont="1" applyFill="1" applyBorder="1">
      <alignment vertical="center"/>
    </xf>
    <xf numFmtId="58" fontId="16" fillId="0" borderId="2" xfId="0" applyNumberFormat="1" applyFont="1" applyFill="1" applyBorder="1" applyAlignment="1">
      <alignment horizontal="center" vertical="center"/>
    </xf>
    <xf numFmtId="58" fontId="16" fillId="0" borderId="2" xfId="0" applyNumberFormat="1" applyFont="1" applyFill="1" applyBorder="1">
      <alignment vertical="center"/>
    </xf>
    <xf numFmtId="0" fontId="16" fillId="9" borderId="0" xfId="0" applyFont="1" applyFill="1" applyAlignment="1">
      <alignment horizontal="center" vertical="center"/>
    </xf>
    <xf numFmtId="181" fontId="16" fillId="0" borderId="0" xfId="0" applyNumberFormat="1" applyFont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0" fontId="16" fillId="0" borderId="0" xfId="0" applyFont="1" applyFill="1" applyAlignment="1">
      <alignment vertical="center"/>
    </xf>
    <xf numFmtId="176" fontId="20" fillId="0" borderId="2" xfId="0" applyNumberFormat="1" applyFont="1" applyFill="1" applyBorder="1">
      <alignment vertical="center"/>
    </xf>
    <xf numFmtId="176" fontId="20" fillId="0" borderId="2" xfId="0" applyNumberFormat="1" applyFont="1" applyFill="1" applyBorder="1" applyAlignment="1">
      <alignment horizontal="center" vertical="center"/>
    </xf>
    <xf numFmtId="183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21" fillId="0" borderId="4" xfId="0" applyNumberFormat="1" applyFont="1" applyFill="1" applyBorder="1" applyAlignment="1">
      <alignment horizontal="center" vertical="center"/>
    </xf>
    <xf numFmtId="176" fontId="5" fillId="0" borderId="2" xfId="0" applyNumberFormat="1" applyFont="1" applyFill="1" applyBorder="1">
      <alignment vertical="center"/>
    </xf>
    <xf numFmtId="176" fontId="30" fillId="0" borderId="2" xfId="0" applyNumberFormat="1" applyFont="1" applyFill="1" applyBorder="1" applyAlignment="1">
      <alignment vertical="center"/>
    </xf>
    <xf numFmtId="0" fontId="16" fillId="0" borderId="2" xfId="0" applyFont="1" applyBorder="1" applyAlignment="1">
      <alignment horizontal="center" vertical="center"/>
    </xf>
    <xf numFmtId="0" fontId="16" fillId="0" borderId="2" xfId="0" applyFont="1" applyBorder="1">
      <alignment vertical="center"/>
    </xf>
    <xf numFmtId="176" fontId="16" fillId="0" borderId="2" xfId="0" applyNumberFormat="1" applyFont="1" applyBorder="1">
      <alignment vertical="center"/>
    </xf>
    <xf numFmtId="0" fontId="20" fillId="8" borderId="2" xfId="0" applyFont="1" applyFill="1" applyBorder="1" applyAlignment="1">
      <alignment vertical="center"/>
    </xf>
    <xf numFmtId="0" fontId="30" fillId="8" borderId="2" xfId="0" applyFont="1" applyFill="1" applyBorder="1" applyAlignment="1">
      <alignment vertical="center"/>
    </xf>
    <xf numFmtId="176" fontId="26" fillId="8" borderId="2" xfId="0" applyNumberFormat="1" applyFont="1" applyFill="1" applyBorder="1" applyAlignment="1">
      <alignment vertical="center"/>
    </xf>
    <xf numFmtId="182" fontId="21" fillId="8" borderId="2" xfId="0" applyNumberFormat="1" applyFont="1" applyFill="1" applyBorder="1" applyAlignment="1">
      <alignment vertical="center"/>
    </xf>
    <xf numFmtId="183" fontId="20" fillId="8" borderId="2" xfId="0" applyNumberFormat="1" applyFont="1" applyFill="1" applyBorder="1" applyAlignment="1">
      <alignment vertical="center"/>
    </xf>
    <xf numFmtId="182" fontId="26" fillId="8" borderId="2" xfId="0" applyNumberFormat="1" applyFont="1" applyFill="1" applyBorder="1" applyAlignment="1">
      <alignment horizontal="center" vertical="center"/>
    </xf>
    <xf numFmtId="176" fontId="20" fillId="8" borderId="2" xfId="0" applyNumberFormat="1" applyFont="1" applyFill="1" applyBorder="1" applyAlignment="1">
      <alignment vertical="center"/>
    </xf>
    <xf numFmtId="183" fontId="30" fillId="8" borderId="2" xfId="0" applyNumberFormat="1" applyFont="1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176" fontId="0" fillId="3" borderId="3" xfId="0" applyNumberFormat="1" applyFill="1" applyBorder="1" applyAlignment="1">
      <alignment horizontal="center" vertical="center" wrapText="1"/>
    </xf>
    <xf numFmtId="176" fontId="0" fillId="3" borderId="14" xfId="0" applyNumberFormat="1" applyFill="1" applyBorder="1" applyAlignment="1">
      <alignment horizontal="center" vertical="center" wrapText="1"/>
    </xf>
    <xf numFmtId="176" fontId="0" fillId="3" borderId="4" xfId="0" applyNumberFormat="1" applyFill="1" applyBorder="1" applyAlignment="1">
      <alignment horizontal="center" vertical="center" wrapText="1"/>
    </xf>
    <xf numFmtId="176" fontId="21" fillId="8" borderId="14" xfId="0" applyNumberFormat="1" applyFont="1" applyFill="1" applyBorder="1" applyAlignment="1">
      <alignment horizontal="center" vertical="center"/>
    </xf>
    <xf numFmtId="176" fontId="21" fillId="8" borderId="2" xfId="0" applyNumberFormat="1" applyFont="1" applyFill="1" applyBorder="1" applyAlignment="1">
      <alignment vertical="center"/>
    </xf>
    <xf numFmtId="183" fontId="21" fillId="8" borderId="2" xfId="0" applyNumberFormat="1" applyFont="1" applyFill="1" applyBorder="1" applyAlignment="1">
      <alignment vertical="center"/>
    </xf>
    <xf numFmtId="178" fontId="16" fillId="0" borderId="2" xfId="0" applyNumberFormat="1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7"/>
  <sheetViews>
    <sheetView workbookViewId="0">
      <pane xSplit="14" ySplit="4" topLeftCell="O35" activePane="bottomRight" state="frozen"/>
      <selection/>
      <selection pane="topRight"/>
      <selection pane="bottomLeft"/>
      <selection pane="bottomRight" activeCell="M55" sqref="M55"/>
    </sheetView>
  </sheetViews>
  <sheetFormatPr defaultColWidth="9" defaultRowHeight="13.5"/>
  <cols>
    <col min="2" max="2" width="10.375" customWidth="1"/>
    <col min="3" max="3" width="13.125" customWidth="1"/>
    <col min="4" max="4" width="7.375" customWidth="1"/>
    <col min="6" max="6" width="11.125"/>
    <col min="7" max="7" width="5.75" customWidth="1"/>
    <col min="8" max="8" width="10.125"/>
    <col min="9" max="9" width="11.25"/>
    <col min="10" max="10" width="10.25" customWidth="1"/>
    <col min="11" max="11" width="10.125"/>
    <col min="12" max="12" width="11.25"/>
    <col min="13" max="13" width="15.125" customWidth="1"/>
    <col min="14" max="14" width="12.5" customWidth="1"/>
    <col min="15" max="15" width="15.625" customWidth="1"/>
    <col min="16" max="17" width="14.75"/>
    <col min="18" max="18" width="12.5" customWidth="1"/>
    <col min="19" max="19" width="10.25"/>
    <col min="20" max="20" width="11.125"/>
    <col min="21" max="21" width="10.25"/>
    <col min="22" max="22" width="12.5"/>
    <col min="23" max="23" width="10.75"/>
    <col min="24" max="24" width="12.25" customWidth="1"/>
    <col min="25" max="25" width="12.5"/>
    <col min="26" max="26" width="11.125"/>
    <col min="27" max="27" width="13.625"/>
    <col min="28" max="28" width="14.75"/>
    <col min="29" max="29" width="10.125"/>
    <col min="30" max="30" width="11.125"/>
    <col min="31" max="31" width="14.75"/>
    <col min="32" max="32" width="13.625"/>
  </cols>
  <sheetData>
    <row r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40" t="s">
        <v>11</v>
      </c>
      <c r="R3" s="141" t="s">
        <v>12</v>
      </c>
      <c r="S3" s="142"/>
      <c r="T3" s="143"/>
      <c r="U3" s="144"/>
      <c r="V3" s="145"/>
      <c r="W3" s="146" t="s">
        <v>13</v>
      </c>
      <c r="X3" s="147" t="s">
        <v>14</v>
      </c>
      <c r="Y3" s="160" t="s">
        <v>15</v>
      </c>
      <c r="Z3" s="160"/>
      <c r="AA3" s="160"/>
      <c r="AB3" s="160"/>
      <c r="AC3" s="161"/>
      <c r="AD3" s="160"/>
      <c r="AE3" s="162" t="s">
        <v>16</v>
      </c>
      <c r="AF3" s="163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8"/>
      <c r="R4" s="149" t="s">
        <v>25</v>
      </c>
      <c r="S4" s="150" t="s">
        <v>26</v>
      </c>
      <c r="T4" s="151" t="s">
        <v>27</v>
      </c>
      <c r="U4" s="152" t="s">
        <v>28</v>
      </c>
      <c r="V4" s="151" t="s">
        <v>29</v>
      </c>
      <c r="W4" s="153"/>
      <c r="X4" s="154"/>
      <c r="Y4" s="164" t="s">
        <v>30</v>
      </c>
      <c r="Z4" s="164" t="s">
        <v>31</v>
      </c>
      <c r="AA4" s="164" t="s">
        <v>32</v>
      </c>
      <c r="AB4" s="165" t="s">
        <v>33</v>
      </c>
      <c r="AC4" s="166" t="s">
        <v>34</v>
      </c>
      <c r="AD4" s="167" t="s">
        <v>24</v>
      </c>
      <c r="AE4" s="168" t="s">
        <v>35</v>
      </c>
      <c r="AF4" s="169"/>
    </row>
    <row r="5" s="84" customFormat="1" ht="12.75" spans="1:32">
      <c r="A5" s="97"/>
      <c r="B5" s="98"/>
      <c r="C5" s="99">
        <v>240909000011</v>
      </c>
      <c r="D5" s="100">
        <v>45563</v>
      </c>
      <c r="E5" s="100" t="s">
        <v>36</v>
      </c>
      <c r="F5" s="98" t="s">
        <v>37</v>
      </c>
      <c r="G5" s="98" t="s">
        <v>37</v>
      </c>
      <c r="H5" s="98">
        <v>0.036</v>
      </c>
      <c r="I5" s="98">
        <v>12</v>
      </c>
      <c r="J5" s="124"/>
      <c r="K5" s="125">
        <v>87324</v>
      </c>
      <c r="L5" s="122"/>
      <c r="M5" s="123">
        <v>5916.25936094047</v>
      </c>
      <c r="N5" s="126">
        <v>14.760002</v>
      </c>
      <c r="O5" s="98">
        <v>7.24</v>
      </c>
      <c r="P5" s="124">
        <v>106.86241448</v>
      </c>
      <c r="Q5" s="155"/>
      <c r="R5" s="155"/>
      <c r="S5" s="156">
        <v>21.4491176470588</v>
      </c>
      <c r="T5" s="156"/>
      <c r="U5" s="156">
        <v>1.16470588235294</v>
      </c>
      <c r="V5" s="156"/>
      <c r="W5" s="156"/>
      <c r="X5" s="156">
        <v>22.6138235294118</v>
      </c>
      <c r="Y5" s="170">
        <v>5.49594529411765</v>
      </c>
      <c r="Z5" s="170">
        <v>0.54</v>
      </c>
      <c r="AA5" s="170"/>
      <c r="AB5" s="170">
        <v>6.03594529411765</v>
      </c>
      <c r="AC5" s="121">
        <v>7.23</v>
      </c>
      <c r="AD5" s="156">
        <v>43.6398844764706</v>
      </c>
      <c r="AE5" s="156">
        <v>66.2537080058824</v>
      </c>
      <c r="AF5" s="156">
        <v>40.6087064741176</v>
      </c>
    </row>
    <row r="6" s="84" customFormat="1" ht="12.75" spans="1:32">
      <c r="A6" s="97"/>
      <c r="B6" s="98"/>
      <c r="C6" s="99">
        <v>240919000042</v>
      </c>
      <c r="D6" s="100">
        <v>45563</v>
      </c>
      <c r="E6" s="100" t="s">
        <v>36</v>
      </c>
      <c r="F6" s="98" t="s">
        <v>37</v>
      </c>
      <c r="G6" s="98" t="s">
        <v>38</v>
      </c>
      <c r="H6" s="98">
        <v>0.2211</v>
      </c>
      <c r="I6" s="98">
        <v>118</v>
      </c>
      <c r="J6" s="120">
        <v>468.7</v>
      </c>
      <c r="K6" s="121"/>
      <c r="L6" s="122"/>
      <c r="M6" s="123"/>
      <c r="N6" s="122"/>
      <c r="O6" s="98"/>
      <c r="P6" s="124">
        <v>468.7</v>
      </c>
      <c r="Q6" s="155"/>
      <c r="R6" s="155"/>
      <c r="S6" s="156">
        <v>131.733330882353</v>
      </c>
      <c r="T6" s="156"/>
      <c r="U6" s="156">
        <v>7.15323529411765</v>
      </c>
      <c r="V6" s="156"/>
      <c r="W6" s="156"/>
      <c r="X6" s="156">
        <v>138.886566176471</v>
      </c>
      <c r="Y6" s="170">
        <v>33.7542640147059</v>
      </c>
      <c r="Z6" s="170"/>
      <c r="AA6" s="170"/>
      <c r="AB6" s="170">
        <v>33.7542640147059</v>
      </c>
      <c r="AC6" s="121">
        <v>7.23</v>
      </c>
      <c r="AD6" s="156">
        <v>244.043328826324</v>
      </c>
      <c r="AE6" s="156">
        <v>382.929895002795</v>
      </c>
      <c r="AF6" s="156">
        <v>85.770104997205</v>
      </c>
    </row>
    <row r="7" s="84" customFormat="1" ht="12.75" spans="1:32">
      <c r="A7" s="97"/>
      <c r="B7" s="98"/>
      <c r="C7" s="99">
        <v>240920000030</v>
      </c>
      <c r="D7" s="100">
        <v>45563</v>
      </c>
      <c r="E7" s="100" t="s">
        <v>36</v>
      </c>
      <c r="F7" s="98" t="s">
        <v>37</v>
      </c>
      <c r="G7" s="98" t="s">
        <v>39</v>
      </c>
      <c r="H7" s="98">
        <v>0.319</v>
      </c>
      <c r="I7" s="98">
        <v>321</v>
      </c>
      <c r="J7" s="124"/>
      <c r="K7" s="125">
        <v>385317</v>
      </c>
      <c r="L7" s="122"/>
      <c r="M7" s="123">
        <v>1767.34703238235</v>
      </c>
      <c r="N7" s="126">
        <v>218.02</v>
      </c>
      <c r="O7" s="98">
        <v>7.24</v>
      </c>
      <c r="P7" s="124">
        <v>1578.4648</v>
      </c>
      <c r="Q7" s="155"/>
      <c r="R7" s="155"/>
      <c r="S7" s="156">
        <v>190.063014705882</v>
      </c>
      <c r="T7" s="156"/>
      <c r="U7" s="156">
        <v>10.3205882352941</v>
      </c>
      <c r="V7" s="156"/>
      <c r="W7" s="156"/>
      <c r="X7" s="156">
        <v>200.383602941176</v>
      </c>
      <c r="Y7" s="170">
        <v>48.7001819117647</v>
      </c>
      <c r="Z7" s="170">
        <v>85.03</v>
      </c>
      <c r="AA7" s="170"/>
      <c r="AB7" s="170">
        <v>133.730181911765</v>
      </c>
      <c r="AC7" s="121">
        <v>7.23</v>
      </c>
      <c r="AD7" s="156">
        <v>966.869215222059</v>
      </c>
      <c r="AE7" s="156">
        <v>1167.25281816323</v>
      </c>
      <c r="AF7" s="156">
        <v>411.21198183677</v>
      </c>
    </row>
    <row r="8" s="84" customFormat="1" ht="12.75" spans="1:32">
      <c r="A8" s="97"/>
      <c r="B8" s="98"/>
      <c r="C8" s="99">
        <v>240923000035</v>
      </c>
      <c r="D8" s="100">
        <v>45547</v>
      </c>
      <c r="E8" s="100" t="s">
        <v>36</v>
      </c>
      <c r="F8" s="98" t="s">
        <v>37</v>
      </c>
      <c r="G8" s="98" t="s">
        <v>40</v>
      </c>
      <c r="H8" s="98">
        <v>1.0584</v>
      </c>
      <c r="I8" s="98">
        <v>465</v>
      </c>
      <c r="J8" s="120">
        <v>2082</v>
      </c>
      <c r="K8" s="121"/>
      <c r="L8" s="122"/>
      <c r="M8" s="123"/>
      <c r="N8" s="170"/>
      <c r="O8" s="98"/>
      <c r="P8" s="124">
        <v>2082</v>
      </c>
      <c r="Q8" s="155"/>
      <c r="R8" s="155"/>
      <c r="S8" s="156">
        <v>630.604058823529</v>
      </c>
      <c r="T8" s="156"/>
      <c r="U8" s="156">
        <v>34.2423529411765</v>
      </c>
      <c r="V8" s="156"/>
      <c r="W8" s="156"/>
      <c r="X8" s="156">
        <v>664.846411764706</v>
      </c>
      <c r="Y8" s="170">
        <v>161.580791647059</v>
      </c>
      <c r="Z8" s="170"/>
      <c r="AA8" s="170"/>
      <c r="AB8" s="170">
        <v>161.580791647059</v>
      </c>
      <c r="AC8" s="121">
        <v>7.23</v>
      </c>
      <c r="AD8" s="156">
        <v>1168.22912360824</v>
      </c>
      <c r="AE8" s="156">
        <v>1833.07553537294</v>
      </c>
      <c r="AF8" s="156">
        <v>248.92446462706</v>
      </c>
    </row>
    <row r="9" s="84" customFormat="1" ht="12.75" spans="1:32">
      <c r="A9" s="97"/>
      <c r="B9" s="98"/>
      <c r="C9" s="99">
        <v>240927000007</v>
      </c>
      <c r="D9" s="100">
        <v>45563</v>
      </c>
      <c r="E9" s="100" t="s">
        <v>36</v>
      </c>
      <c r="F9" s="98" t="s">
        <v>37</v>
      </c>
      <c r="G9" s="98" t="s">
        <v>38</v>
      </c>
      <c r="H9" s="98">
        <v>1.745</v>
      </c>
      <c r="I9" s="98">
        <v>656</v>
      </c>
      <c r="J9" s="120">
        <v>3441</v>
      </c>
      <c r="K9" s="121"/>
      <c r="L9" s="122"/>
      <c r="M9" s="123"/>
      <c r="N9" s="122"/>
      <c r="O9" s="98"/>
      <c r="P9" s="124">
        <v>3441</v>
      </c>
      <c r="Q9" s="155"/>
      <c r="R9" s="155"/>
      <c r="S9" s="156">
        <v>1039.68639705882</v>
      </c>
      <c r="T9" s="156"/>
      <c r="U9" s="156">
        <v>56.4558823529412</v>
      </c>
      <c r="V9" s="156"/>
      <c r="W9" s="156"/>
      <c r="X9" s="156">
        <v>1096.14227941176</v>
      </c>
      <c r="Y9" s="170">
        <v>266.400681617647</v>
      </c>
      <c r="Z9" s="170"/>
      <c r="AA9" s="170"/>
      <c r="AB9" s="170">
        <v>266.400681617647</v>
      </c>
      <c r="AC9" s="121">
        <v>7.23</v>
      </c>
      <c r="AD9" s="156">
        <v>1926.07692809559</v>
      </c>
      <c r="AE9" s="156">
        <v>3022.21920750735</v>
      </c>
      <c r="AF9" s="156">
        <v>418.78079249265</v>
      </c>
    </row>
    <row r="10" s="84" customFormat="1" ht="12.75" spans="1:32">
      <c r="A10" s="97"/>
      <c r="B10" s="98"/>
      <c r="C10" s="99">
        <v>240923000035</v>
      </c>
      <c r="D10" s="100">
        <v>45563</v>
      </c>
      <c r="E10" s="100" t="s">
        <v>36</v>
      </c>
      <c r="F10" s="98" t="s">
        <v>37</v>
      </c>
      <c r="G10" s="98" t="s">
        <v>40</v>
      </c>
      <c r="H10" s="98">
        <v>7.0714</v>
      </c>
      <c r="I10" s="98">
        <v>3083</v>
      </c>
      <c r="J10" s="120">
        <v>13913.3</v>
      </c>
      <c r="K10" s="121"/>
      <c r="L10" s="122"/>
      <c r="M10" s="123"/>
      <c r="N10" s="122"/>
      <c r="O10" s="98"/>
      <c r="P10" s="124">
        <v>13913.3</v>
      </c>
      <c r="Q10" s="155"/>
      <c r="R10" s="155"/>
      <c r="S10" s="156">
        <v>4228.38522647059</v>
      </c>
      <c r="T10" s="156">
        <v>9.85004423529412</v>
      </c>
      <c r="U10" s="156">
        <v>207.982352941176</v>
      </c>
      <c r="V10" s="156"/>
      <c r="W10" s="156"/>
      <c r="X10" s="156">
        <v>4446.21762364706</v>
      </c>
      <c r="Y10" s="170">
        <v>1079.55736082353</v>
      </c>
      <c r="Z10" s="170"/>
      <c r="AA10" s="170"/>
      <c r="AB10" s="170">
        <v>1079.55736082353</v>
      </c>
      <c r="AC10" s="121">
        <v>7.24</v>
      </c>
      <c r="AD10" s="156">
        <v>7815.99529236236</v>
      </c>
      <c r="AE10" s="156">
        <v>12262.2129160094</v>
      </c>
      <c r="AF10" s="156">
        <v>1651.0870839906</v>
      </c>
    </row>
    <row r="11" s="84" customFormat="1" ht="12.75" spans="1:32">
      <c r="A11" s="97"/>
      <c r="B11" s="98"/>
      <c r="C11" s="99">
        <v>240919000043</v>
      </c>
      <c r="D11" s="100">
        <v>45564</v>
      </c>
      <c r="E11" s="100" t="s">
        <v>36</v>
      </c>
      <c r="F11" s="98" t="s">
        <v>37</v>
      </c>
      <c r="G11" s="98" t="s">
        <v>41</v>
      </c>
      <c r="H11" s="98">
        <v>0.4921</v>
      </c>
      <c r="I11" s="98">
        <v>109</v>
      </c>
      <c r="J11" s="120">
        <v>1159</v>
      </c>
      <c r="K11" s="121"/>
      <c r="L11" s="122"/>
      <c r="M11" s="123"/>
      <c r="N11" s="122"/>
      <c r="O11" s="98"/>
      <c r="P11" s="124">
        <v>1159</v>
      </c>
      <c r="Q11" s="155"/>
      <c r="R11" s="155"/>
      <c r="S11" s="156">
        <v>296.084991176471</v>
      </c>
      <c r="T11" s="156"/>
      <c r="U11" s="156">
        <v>7.23676470588235</v>
      </c>
      <c r="V11" s="156"/>
      <c r="W11" s="156"/>
      <c r="X11" s="156">
        <v>303.321755882353</v>
      </c>
      <c r="Y11" s="170">
        <v>75.1265912352941</v>
      </c>
      <c r="Z11" s="170"/>
      <c r="AA11" s="170">
        <v>0.827017470588235</v>
      </c>
      <c r="AB11" s="170">
        <v>75.9536087058823</v>
      </c>
      <c r="AC11" s="121">
        <v>7.27</v>
      </c>
      <c r="AD11" s="156">
        <v>552.182735291765</v>
      </c>
      <c r="AE11" s="156">
        <v>855.504491174118</v>
      </c>
      <c r="AF11" s="156">
        <v>303.495508825882</v>
      </c>
    </row>
    <row r="12" s="84" customFormat="1" ht="12.75" spans="1:32">
      <c r="A12" s="97"/>
      <c r="B12" s="98"/>
      <c r="C12" s="99">
        <v>240926000008</v>
      </c>
      <c r="D12" s="100">
        <v>45564</v>
      </c>
      <c r="E12" s="100" t="s">
        <v>36</v>
      </c>
      <c r="F12" s="98" t="s">
        <v>37</v>
      </c>
      <c r="G12" s="98" t="s">
        <v>42</v>
      </c>
      <c r="H12" s="98">
        <v>0.102</v>
      </c>
      <c r="I12" s="98">
        <v>67</v>
      </c>
      <c r="J12" s="120">
        <v>223.3</v>
      </c>
      <c r="K12" s="121"/>
      <c r="L12" s="122"/>
      <c r="M12" s="123"/>
      <c r="N12" s="122"/>
      <c r="O12" s="98"/>
      <c r="P12" s="124">
        <v>223.3</v>
      </c>
      <c r="Q12" s="155"/>
      <c r="R12" s="155"/>
      <c r="S12" s="156">
        <v>61.371</v>
      </c>
      <c r="T12" s="156"/>
      <c r="U12" s="156">
        <v>1.5</v>
      </c>
      <c r="V12" s="156"/>
      <c r="W12" s="156"/>
      <c r="X12" s="156">
        <v>62.871</v>
      </c>
      <c r="Y12" s="170">
        <v>15.57186</v>
      </c>
      <c r="Z12" s="170"/>
      <c r="AA12" s="170">
        <v>0.17142</v>
      </c>
      <c r="AB12" s="170">
        <v>15.74328</v>
      </c>
      <c r="AC12" s="121">
        <v>7.27</v>
      </c>
      <c r="AD12" s="156">
        <v>114.4536456</v>
      </c>
      <c r="AE12" s="156">
        <v>177.3246456</v>
      </c>
      <c r="AF12" s="156">
        <v>45.9753544</v>
      </c>
    </row>
    <row r="13" s="84" customFormat="1" ht="63.75" spans="1:32">
      <c r="A13" s="174" t="s">
        <v>43</v>
      </c>
      <c r="B13" s="175" t="s">
        <v>44</v>
      </c>
      <c r="C13" s="99">
        <v>240919000043</v>
      </c>
      <c r="D13" s="100">
        <v>45580</v>
      </c>
      <c r="E13" s="100" t="s">
        <v>36</v>
      </c>
      <c r="F13" s="175" t="s">
        <v>37</v>
      </c>
      <c r="G13" s="175" t="s">
        <v>41</v>
      </c>
      <c r="H13" s="175">
        <v>0.0017</v>
      </c>
      <c r="I13" s="175">
        <v>5.5</v>
      </c>
      <c r="J13" s="120">
        <v>4</v>
      </c>
      <c r="K13" s="121"/>
      <c r="L13" s="176"/>
      <c r="M13" s="123"/>
      <c r="N13" s="176"/>
      <c r="O13" s="98"/>
      <c r="P13" s="124">
        <v>4</v>
      </c>
      <c r="Q13" s="189">
        <v>116164.640642</v>
      </c>
      <c r="R13" s="190" t="s">
        <v>45</v>
      </c>
      <c r="S13" s="156">
        <v>1.0024</v>
      </c>
      <c r="T13" s="156"/>
      <c r="U13" s="156">
        <v>0.0525</v>
      </c>
      <c r="V13" s="156"/>
      <c r="W13" s="156"/>
      <c r="X13" s="156">
        <v>1.0549</v>
      </c>
      <c r="Y13" s="170">
        <v>0.261946</v>
      </c>
      <c r="Z13" s="170"/>
      <c r="AA13" s="170">
        <v>0.00556425</v>
      </c>
      <c r="AB13" s="170">
        <v>0.26751025</v>
      </c>
      <c r="AC13" s="121">
        <v>7.27</v>
      </c>
      <c r="AD13" s="156">
        <v>1.9447995175</v>
      </c>
      <c r="AE13" s="156">
        <v>2.9996995175</v>
      </c>
      <c r="AF13" s="156">
        <v>1.0003004825</v>
      </c>
    </row>
    <row r="14" s="84" customFormat="1" ht="12.75" spans="1:32">
      <c r="A14" s="174"/>
      <c r="B14" s="175"/>
      <c r="C14" s="99">
        <v>240926000032</v>
      </c>
      <c r="D14" s="100">
        <v>45580</v>
      </c>
      <c r="E14" s="100" t="s">
        <v>36</v>
      </c>
      <c r="F14" s="175" t="s">
        <v>37</v>
      </c>
      <c r="G14" s="175" t="s">
        <v>46</v>
      </c>
      <c r="H14" s="175">
        <v>17.4746</v>
      </c>
      <c r="I14" s="175">
        <v>13114</v>
      </c>
      <c r="J14" s="120">
        <v>35735</v>
      </c>
      <c r="K14" s="121"/>
      <c r="L14" s="176"/>
      <c r="M14" s="123"/>
      <c r="N14" s="176"/>
      <c r="O14" s="98"/>
      <c r="P14" s="124">
        <v>35735</v>
      </c>
      <c r="Q14" s="155"/>
      <c r="R14" s="155"/>
      <c r="S14" s="156">
        <v>10303.8464941176</v>
      </c>
      <c r="T14" s="156"/>
      <c r="U14" s="156">
        <v>539.656764705882</v>
      </c>
      <c r="V14" s="156"/>
      <c r="W14" s="156"/>
      <c r="X14" s="156">
        <v>10843.5032588235</v>
      </c>
      <c r="Y14" s="170">
        <v>2692.58915976471</v>
      </c>
      <c r="Z14" s="170"/>
      <c r="AA14" s="170">
        <v>57.1959076764706</v>
      </c>
      <c r="AB14" s="170">
        <v>2749.78506744118</v>
      </c>
      <c r="AC14" s="121">
        <v>7.27</v>
      </c>
      <c r="AD14" s="156">
        <v>19990.9374402974</v>
      </c>
      <c r="AE14" s="156">
        <v>30834.4406991209</v>
      </c>
      <c r="AF14" s="156">
        <v>4900.5593008791</v>
      </c>
    </row>
    <row r="15" s="84" customFormat="1" ht="12.75" spans="1:32">
      <c r="A15" s="174"/>
      <c r="B15" s="175"/>
      <c r="C15" s="99">
        <v>240926000037</v>
      </c>
      <c r="D15" s="100">
        <v>45580</v>
      </c>
      <c r="E15" s="100" t="s">
        <v>36</v>
      </c>
      <c r="F15" s="175" t="s">
        <v>37</v>
      </c>
      <c r="G15" s="175" t="s">
        <v>47</v>
      </c>
      <c r="H15" s="175">
        <v>0.1237</v>
      </c>
      <c r="I15" s="175">
        <v>33</v>
      </c>
      <c r="J15" s="120">
        <v>344</v>
      </c>
      <c r="K15" s="121"/>
      <c r="L15" s="176"/>
      <c r="M15" s="123"/>
      <c r="N15" s="176"/>
      <c r="O15" s="98"/>
      <c r="P15" s="124">
        <v>344</v>
      </c>
      <c r="Q15" s="155"/>
      <c r="R15" s="155"/>
      <c r="S15" s="156">
        <v>72.9393411764706</v>
      </c>
      <c r="T15" s="156"/>
      <c r="U15" s="156">
        <v>3.82014705882353</v>
      </c>
      <c r="V15" s="156"/>
      <c r="W15" s="156"/>
      <c r="X15" s="156">
        <v>76.7594882352941</v>
      </c>
      <c r="Y15" s="170">
        <v>19.0604236470588</v>
      </c>
      <c r="Z15" s="170"/>
      <c r="AA15" s="170">
        <v>0.404881014705882</v>
      </c>
      <c r="AB15" s="170">
        <v>19.4653046617647</v>
      </c>
      <c r="AC15" s="121">
        <v>7.27</v>
      </c>
      <c r="AD15" s="156">
        <v>141.512764891029</v>
      </c>
      <c r="AE15" s="156">
        <v>218.272253126324</v>
      </c>
      <c r="AF15" s="156">
        <v>125.727746873676</v>
      </c>
    </row>
    <row r="16" s="84" customFormat="1" ht="12.75" spans="1:32">
      <c r="A16" s="174"/>
      <c r="B16" s="175"/>
      <c r="C16" s="99">
        <v>240930000017</v>
      </c>
      <c r="D16" s="100">
        <v>45580</v>
      </c>
      <c r="E16" s="100" t="s">
        <v>36</v>
      </c>
      <c r="F16" s="175" t="s">
        <v>37</v>
      </c>
      <c r="G16" s="175" t="s">
        <v>48</v>
      </c>
      <c r="H16" s="175">
        <v>1.6158</v>
      </c>
      <c r="I16" s="175">
        <v>511</v>
      </c>
      <c r="J16" s="120">
        <v>3453.03</v>
      </c>
      <c r="K16" s="121"/>
      <c r="L16" s="176"/>
      <c r="M16" s="123"/>
      <c r="N16" s="176"/>
      <c r="O16" s="98"/>
      <c r="P16" s="124">
        <v>3453.03</v>
      </c>
      <c r="Q16" s="155"/>
      <c r="R16" s="155"/>
      <c r="S16" s="156">
        <v>952.751717647059</v>
      </c>
      <c r="T16" s="156"/>
      <c r="U16" s="156">
        <v>49.8997058823529</v>
      </c>
      <c r="V16" s="156"/>
      <c r="W16" s="156"/>
      <c r="X16" s="156">
        <v>1002.65142352941</v>
      </c>
      <c r="Y16" s="170">
        <v>248.971968705882</v>
      </c>
      <c r="Z16" s="170"/>
      <c r="AA16" s="170">
        <v>5.28865597058823</v>
      </c>
      <c r="AB16" s="170">
        <v>254.260624676471</v>
      </c>
      <c r="AC16" s="121">
        <v>7.27</v>
      </c>
      <c r="AD16" s="156">
        <v>1848.47474139794</v>
      </c>
      <c r="AE16" s="156">
        <v>2851.12616492735</v>
      </c>
      <c r="AF16" s="156">
        <v>601.90383507265</v>
      </c>
    </row>
    <row r="17" s="84" customFormat="1" ht="12.75" spans="1:32">
      <c r="A17" s="174"/>
      <c r="B17" s="175"/>
      <c r="C17" s="99">
        <v>241006000007</v>
      </c>
      <c r="D17" s="100">
        <v>45580</v>
      </c>
      <c r="E17" s="100" t="s">
        <v>36</v>
      </c>
      <c r="F17" s="175" t="s">
        <v>37</v>
      </c>
      <c r="G17" s="175" t="s">
        <v>38</v>
      </c>
      <c r="H17" s="175">
        <v>0.0493</v>
      </c>
      <c r="I17" s="175">
        <v>24</v>
      </c>
      <c r="J17" s="211"/>
      <c r="K17" s="125">
        <v>42685.5</v>
      </c>
      <c r="L17" s="176"/>
      <c r="M17" s="123">
        <v>1576.85629848541</v>
      </c>
      <c r="N17" s="126">
        <v>27.07</v>
      </c>
      <c r="O17" s="98">
        <v>7.27</v>
      </c>
      <c r="P17" s="124">
        <v>196.7989</v>
      </c>
      <c r="Q17" s="155"/>
      <c r="R17" s="155"/>
      <c r="S17" s="156">
        <v>29.0696</v>
      </c>
      <c r="T17" s="156"/>
      <c r="U17" s="156">
        <v>1.5225</v>
      </c>
      <c r="V17" s="156"/>
      <c r="W17" s="156"/>
      <c r="X17" s="156">
        <v>30.5921</v>
      </c>
      <c r="Y17" s="170">
        <v>7.596434</v>
      </c>
      <c r="Z17" s="170"/>
      <c r="AA17" s="170">
        <v>0.16136325</v>
      </c>
      <c r="AB17" s="170">
        <v>7.75779725</v>
      </c>
      <c r="AC17" s="121">
        <v>7.27</v>
      </c>
      <c r="AD17" s="156">
        <v>56.3991860075</v>
      </c>
      <c r="AE17" s="156">
        <v>86.9912860075</v>
      </c>
      <c r="AF17" s="156">
        <v>109.8076139925</v>
      </c>
    </row>
    <row r="18" s="84" customFormat="1" ht="12.75" spans="1:32">
      <c r="A18" s="174"/>
      <c r="B18" s="175"/>
      <c r="C18" s="99">
        <v>241005000007</v>
      </c>
      <c r="D18" s="100">
        <v>45580</v>
      </c>
      <c r="E18" s="100" t="s">
        <v>36</v>
      </c>
      <c r="F18" s="175" t="s">
        <v>37</v>
      </c>
      <c r="G18" s="175" t="s">
        <v>38</v>
      </c>
      <c r="H18" s="175">
        <v>1.7993</v>
      </c>
      <c r="I18" s="175">
        <v>702.27</v>
      </c>
      <c r="J18" s="211"/>
      <c r="K18" s="125">
        <v>830610</v>
      </c>
      <c r="L18" s="176"/>
      <c r="M18" s="123">
        <v>1678</v>
      </c>
      <c r="N18" s="126">
        <v>495</v>
      </c>
      <c r="O18" s="98">
        <v>7.27</v>
      </c>
      <c r="P18" s="124">
        <v>3598.65</v>
      </c>
      <c r="Q18" s="155"/>
      <c r="R18" s="155"/>
      <c r="S18" s="156">
        <v>1060.95195294118</v>
      </c>
      <c r="T18" s="156"/>
      <c r="U18" s="156">
        <v>55.5666176470588</v>
      </c>
      <c r="V18" s="156"/>
      <c r="W18" s="156"/>
      <c r="X18" s="156">
        <v>1116.51857058824</v>
      </c>
      <c r="Y18" s="170">
        <v>277.246728117647</v>
      </c>
      <c r="Z18" s="170"/>
      <c r="AA18" s="170">
        <v>5.88926766176471</v>
      </c>
      <c r="AB18" s="170">
        <v>283.135995779412</v>
      </c>
      <c r="AC18" s="121">
        <v>7.27</v>
      </c>
      <c r="AD18" s="156">
        <v>2058.39868931632</v>
      </c>
      <c r="AE18" s="156">
        <v>3174.91725990456</v>
      </c>
      <c r="AF18" s="156">
        <v>423.73274009544</v>
      </c>
    </row>
    <row r="19" s="84" customFormat="1" ht="12.75" spans="1:32">
      <c r="A19" s="174"/>
      <c r="B19" s="175"/>
      <c r="C19" s="99">
        <v>241012000013</v>
      </c>
      <c r="D19" s="100">
        <v>45580</v>
      </c>
      <c r="E19" s="100" t="s">
        <v>36</v>
      </c>
      <c r="F19" s="175" t="s">
        <v>37</v>
      </c>
      <c r="G19" s="175" t="s">
        <v>40</v>
      </c>
      <c r="H19" s="175">
        <v>4.6667</v>
      </c>
      <c r="I19" s="175">
        <v>1862</v>
      </c>
      <c r="J19" s="211"/>
      <c r="K19" s="125">
        <v>2104240.8</v>
      </c>
      <c r="L19" s="176"/>
      <c r="M19" s="123">
        <v>1639.65989366183</v>
      </c>
      <c r="N19" s="126">
        <v>1283.3398</v>
      </c>
      <c r="O19" s="98">
        <v>7.29</v>
      </c>
      <c r="P19" s="124">
        <v>9355.547142</v>
      </c>
      <c r="Q19" s="155"/>
      <c r="R19" s="155"/>
      <c r="S19" s="156">
        <v>2751.70592941176</v>
      </c>
      <c r="T19" s="156"/>
      <c r="U19" s="156">
        <v>144.118676470588</v>
      </c>
      <c r="V19" s="156"/>
      <c r="W19" s="156"/>
      <c r="X19" s="156">
        <v>2895.82460588235</v>
      </c>
      <c r="Y19" s="170">
        <v>719.072587176471</v>
      </c>
      <c r="Z19" s="170"/>
      <c r="AA19" s="170">
        <v>15.2745208676471</v>
      </c>
      <c r="AB19" s="170">
        <v>734.347108044118</v>
      </c>
      <c r="AC19" s="121">
        <v>7.27</v>
      </c>
      <c r="AD19" s="156">
        <v>5338.70347548074</v>
      </c>
      <c r="AE19" s="156">
        <v>8234.52808136309</v>
      </c>
      <c r="AF19" s="156">
        <v>1121.01906063691</v>
      </c>
    </row>
    <row r="20" s="84" customFormat="1" ht="12.75" spans="1:32">
      <c r="A20" s="174"/>
      <c r="B20" s="175"/>
      <c r="C20" s="99">
        <v>240926000032</v>
      </c>
      <c r="D20" s="100">
        <v>45580</v>
      </c>
      <c r="E20" s="100" t="s">
        <v>36</v>
      </c>
      <c r="F20" s="175" t="s">
        <v>37</v>
      </c>
      <c r="G20" s="175" t="s">
        <v>46</v>
      </c>
      <c r="H20" s="175">
        <v>7.5159</v>
      </c>
      <c r="I20" s="175">
        <v>6108</v>
      </c>
      <c r="J20" s="120">
        <v>15370</v>
      </c>
      <c r="K20" s="121"/>
      <c r="L20" s="176"/>
      <c r="M20" s="123"/>
      <c r="N20" s="176"/>
      <c r="O20" s="98"/>
      <c r="P20" s="124">
        <v>15370</v>
      </c>
      <c r="Q20" s="155"/>
      <c r="R20" s="155"/>
      <c r="S20" s="156">
        <v>4609.67831470588</v>
      </c>
      <c r="T20" s="156">
        <v>11.0218462941176</v>
      </c>
      <c r="U20" s="156">
        <v>165.791911764706</v>
      </c>
      <c r="V20" s="156"/>
      <c r="W20" s="156"/>
      <c r="X20" s="156">
        <v>4786.49207276471</v>
      </c>
      <c r="Y20" s="170">
        <v>1163.18389486765</v>
      </c>
      <c r="Z20" s="170"/>
      <c r="AA20" s="170"/>
      <c r="AB20" s="170">
        <v>1163.18389486765</v>
      </c>
      <c r="AC20" s="121">
        <v>7.28</v>
      </c>
      <c r="AD20" s="156">
        <v>8467.97875463647</v>
      </c>
      <c r="AE20" s="156">
        <v>13254.4708274012</v>
      </c>
      <c r="AF20" s="156">
        <v>2115.5291725988</v>
      </c>
    </row>
    <row r="21" s="84" customFormat="1" ht="12.75" spans="1:32">
      <c r="A21" s="174"/>
      <c r="B21" s="175"/>
      <c r="C21" s="99">
        <v>241008000045</v>
      </c>
      <c r="D21" s="100">
        <v>45580</v>
      </c>
      <c r="E21" s="100" t="s">
        <v>36</v>
      </c>
      <c r="F21" s="175" t="s">
        <v>37</v>
      </c>
      <c r="G21" s="175" t="s">
        <v>49</v>
      </c>
      <c r="H21" s="175">
        <v>1.3298</v>
      </c>
      <c r="I21" s="175">
        <v>142</v>
      </c>
      <c r="J21" s="120">
        <v>2841</v>
      </c>
      <c r="K21" s="121"/>
      <c r="L21" s="176"/>
      <c r="M21" s="123"/>
      <c r="N21" s="176"/>
      <c r="O21" s="98"/>
      <c r="P21" s="124">
        <v>2841</v>
      </c>
      <c r="Q21" s="155"/>
      <c r="R21" s="155"/>
      <c r="S21" s="156">
        <v>815.597629411765</v>
      </c>
      <c r="T21" s="156">
        <v>1.95011258823529</v>
      </c>
      <c r="U21" s="156">
        <v>29.3338235294118</v>
      </c>
      <c r="V21" s="156"/>
      <c r="W21" s="156"/>
      <c r="X21" s="156">
        <v>846.881565529412</v>
      </c>
      <c r="Y21" s="170">
        <v>205.803954735294</v>
      </c>
      <c r="Z21" s="170"/>
      <c r="AA21" s="170"/>
      <c r="AB21" s="170">
        <v>205.803954735294</v>
      </c>
      <c r="AC21" s="121">
        <v>7.28</v>
      </c>
      <c r="AD21" s="156">
        <v>1498.25279047294</v>
      </c>
      <c r="AE21" s="156">
        <v>2345.13435600235</v>
      </c>
      <c r="AF21" s="156">
        <v>495.86564399765</v>
      </c>
    </row>
    <row r="22" s="84" customFormat="1" ht="12.75" spans="1:32">
      <c r="A22" s="174"/>
      <c r="B22" s="175"/>
      <c r="C22" s="99">
        <v>241005000007</v>
      </c>
      <c r="D22" s="100">
        <v>45580</v>
      </c>
      <c r="E22" s="100" t="s">
        <v>36</v>
      </c>
      <c r="F22" s="175" t="s">
        <v>37</v>
      </c>
      <c r="G22" s="175" t="s">
        <v>38</v>
      </c>
      <c r="H22" s="175">
        <v>1.7287</v>
      </c>
      <c r="I22" s="175">
        <v>674.73</v>
      </c>
      <c r="J22" s="211"/>
      <c r="K22" s="125">
        <v>797943.5</v>
      </c>
      <c r="L22" s="176"/>
      <c r="M22" s="123">
        <v>1679.17403198653</v>
      </c>
      <c r="N22" s="126">
        <v>475.2</v>
      </c>
      <c r="O22" s="98">
        <v>7.27</v>
      </c>
      <c r="P22" s="124">
        <v>3454.704</v>
      </c>
      <c r="Q22" s="155"/>
      <c r="R22" s="155"/>
      <c r="S22" s="156">
        <v>1060.25238529412</v>
      </c>
      <c r="T22" s="156">
        <v>2.53508770588235</v>
      </c>
      <c r="U22" s="156">
        <v>38.1330882352941</v>
      </c>
      <c r="V22" s="156"/>
      <c r="W22" s="156"/>
      <c r="X22" s="156">
        <v>1100.92056123529</v>
      </c>
      <c r="Y22" s="170">
        <v>267.538950632353</v>
      </c>
      <c r="Z22" s="170"/>
      <c r="AA22" s="170"/>
      <c r="AB22" s="170">
        <v>267.538950632353</v>
      </c>
      <c r="AC22" s="121">
        <v>7.28</v>
      </c>
      <c r="AD22" s="156">
        <v>1947.68356060353</v>
      </c>
      <c r="AE22" s="156">
        <v>3048.60412183882</v>
      </c>
      <c r="AF22" s="156">
        <v>406.09987816118</v>
      </c>
    </row>
    <row r="23" s="84" customFormat="1" ht="12.75" spans="1:32">
      <c r="A23" s="174"/>
      <c r="B23" s="175"/>
      <c r="C23" s="99">
        <v>241009000019</v>
      </c>
      <c r="D23" s="100">
        <v>45583</v>
      </c>
      <c r="E23" s="100" t="s">
        <v>36</v>
      </c>
      <c r="F23" s="175" t="s">
        <v>37</v>
      </c>
      <c r="G23" s="175" t="s">
        <v>50</v>
      </c>
      <c r="H23" s="175">
        <v>0.7338</v>
      </c>
      <c r="I23" s="175">
        <v>73</v>
      </c>
      <c r="J23" s="120">
        <v>1502.2</v>
      </c>
      <c r="K23" s="121"/>
      <c r="L23" s="176"/>
      <c r="M23" s="123"/>
      <c r="N23" s="176"/>
      <c r="O23" s="98"/>
      <c r="P23" s="124">
        <v>1502.2</v>
      </c>
      <c r="Q23" s="155"/>
      <c r="R23" s="155"/>
      <c r="S23" s="156">
        <v>450.056805882353</v>
      </c>
      <c r="T23" s="156">
        <v>1.07609611764706</v>
      </c>
      <c r="U23" s="156">
        <v>16.1867647058824</v>
      </c>
      <c r="V23" s="156"/>
      <c r="W23" s="156"/>
      <c r="X23" s="156">
        <v>467.319666705882</v>
      </c>
      <c r="Y23" s="170">
        <v>113.565154147059</v>
      </c>
      <c r="Z23" s="170">
        <v>3.45</v>
      </c>
      <c r="AA23" s="170"/>
      <c r="AB23" s="170">
        <v>117.015154147059</v>
      </c>
      <c r="AC23" s="121">
        <v>7.28</v>
      </c>
      <c r="AD23" s="156">
        <v>851.870322190588</v>
      </c>
      <c r="AE23" s="156">
        <v>1319.18998889647</v>
      </c>
      <c r="AF23" s="156">
        <v>183.01001110353</v>
      </c>
    </row>
    <row r="24" s="84" customFormat="1" ht="12.75" spans="1:32">
      <c r="A24" s="174"/>
      <c r="B24" s="175"/>
      <c r="C24" s="99">
        <v>241012000031</v>
      </c>
      <c r="D24" s="100">
        <v>45583</v>
      </c>
      <c r="E24" s="100" t="s">
        <v>36</v>
      </c>
      <c r="F24" s="175" t="s">
        <v>37</v>
      </c>
      <c r="G24" s="175" t="s">
        <v>51</v>
      </c>
      <c r="H24" s="175">
        <v>2.0788</v>
      </c>
      <c r="I24" s="175">
        <v>174</v>
      </c>
      <c r="J24" s="211"/>
      <c r="K24" s="125">
        <v>1322400</v>
      </c>
      <c r="L24" s="176"/>
      <c r="M24" s="123">
        <v>1675.81199072373</v>
      </c>
      <c r="N24" s="126">
        <v>789.11</v>
      </c>
      <c r="O24" s="98">
        <v>7.29</v>
      </c>
      <c r="P24" s="124">
        <v>5752.6119</v>
      </c>
      <c r="Q24" s="155"/>
      <c r="R24" s="155"/>
      <c r="S24" s="156">
        <v>1274.97695294118</v>
      </c>
      <c r="T24" s="156">
        <v>3.04849905882353</v>
      </c>
      <c r="U24" s="156">
        <v>45.8558823529412</v>
      </c>
      <c r="V24" s="156">
        <v>240</v>
      </c>
      <c r="W24" s="156"/>
      <c r="X24" s="156">
        <v>1563.88133435294</v>
      </c>
      <c r="Y24" s="170">
        <v>321.721507823529</v>
      </c>
      <c r="Z24" s="170"/>
      <c r="AA24" s="170"/>
      <c r="AB24" s="170">
        <v>321.721507823529</v>
      </c>
      <c r="AC24" s="121">
        <v>7.28</v>
      </c>
      <c r="AD24" s="156">
        <v>2342.13257695529</v>
      </c>
      <c r="AE24" s="156">
        <v>3906.01391130824</v>
      </c>
      <c r="AF24" s="156">
        <v>1846.59798869176</v>
      </c>
    </row>
    <row r="25" s="84" customFormat="1" ht="63.75" spans="1:32">
      <c r="A25" s="97" t="s">
        <v>52</v>
      </c>
      <c r="B25" s="98" t="s">
        <v>53</v>
      </c>
      <c r="C25" s="99">
        <v>240926000032</v>
      </c>
      <c r="D25" s="100">
        <v>45587</v>
      </c>
      <c r="E25" s="100" t="s">
        <v>36</v>
      </c>
      <c r="F25" s="98" t="s">
        <v>37</v>
      </c>
      <c r="G25" s="98" t="s">
        <v>46</v>
      </c>
      <c r="H25" s="98">
        <v>18.7805</v>
      </c>
      <c r="I25" s="98">
        <v>11775</v>
      </c>
      <c r="J25" s="120">
        <v>38416</v>
      </c>
      <c r="K25" s="121"/>
      <c r="L25" s="122"/>
      <c r="M25" s="123"/>
      <c r="N25" s="122"/>
      <c r="O25" s="98"/>
      <c r="P25" s="124">
        <v>38416</v>
      </c>
      <c r="Q25" s="189">
        <v>91424.7707362</v>
      </c>
      <c r="R25" s="190" t="s">
        <v>54</v>
      </c>
      <c r="S25" s="156">
        <v>12889.4990441176</v>
      </c>
      <c r="T25" s="156"/>
      <c r="U25" s="156">
        <v>359.038970588235</v>
      </c>
      <c r="V25" s="156">
        <v>800</v>
      </c>
      <c r="W25" s="156"/>
      <c r="X25" s="156">
        <v>14048.5380147059</v>
      </c>
      <c r="Y25" s="170">
        <v>2906.52817860294</v>
      </c>
      <c r="Z25" s="170"/>
      <c r="AA25" s="170"/>
      <c r="AB25" s="170">
        <v>2906.52817860294</v>
      </c>
      <c r="AC25" s="121">
        <v>7.28</v>
      </c>
      <c r="AD25" s="156">
        <v>21159.5251402294</v>
      </c>
      <c r="AE25" s="156">
        <v>35208.0631549353</v>
      </c>
      <c r="AF25" s="156">
        <v>3207.9368450647</v>
      </c>
    </row>
    <row r="26" s="84" customFormat="1" ht="12.75" spans="1:32">
      <c r="A26" s="97"/>
      <c r="B26" s="98"/>
      <c r="C26" s="99">
        <v>241008000045</v>
      </c>
      <c r="D26" s="100">
        <v>45587</v>
      </c>
      <c r="E26" s="100" t="s">
        <v>36</v>
      </c>
      <c r="F26" s="98" t="s">
        <v>37</v>
      </c>
      <c r="G26" s="98" t="s">
        <v>49</v>
      </c>
      <c r="H26" s="98">
        <v>1.0343</v>
      </c>
      <c r="I26" s="98">
        <v>87</v>
      </c>
      <c r="J26" s="120">
        <v>2210.6</v>
      </c>
      <c r="K26" s="121"/>
      <c r="L26" s="122"/>
      <c r="M26" s="123"/>
      <c r="N26" s="122"/>
      <c r="O26" s="98"/>
      <c r="P26" s="124">
        <v>2210.6</v>
      </c>
      <c r="Q26" s="155"/>
      <c r="R26" s="155"/>
      <c r="S26" s="156">
        <v>709.864426470588</v>
      </c>
      <c r="T26" s="156"/>
      <c r="U26" s="156">
        <v>19.7733823529412</v>
      </c>
      <c r="V26" s="156">
        <v>300</v>
      </c>
      <c r="W26" s="156"/>
      <c r="X26" s="156">
        <v>1029.63780882353</v>
      </c>
      <c r="Y26" s="170">
        <v>160.071462161765</v>
      </c>
      <c r="Z26" s="170"/>
      <c r="AA26" s="170"/>
      <c r="AB26" s="170">
        <v>160.071462161765</v>
      </c>
      <c r="AC26" s="121">
        <v>7.28</v>
      </c>
      <c r="AD26" s="156">
        <v>1165.32024453765</v>
      </c>
      <c r="AE26" s="156">
        <v>2194.95805336118</v>
      </c>
      <c r="AF26" s="156">
        <v>15.6419466388197</v>
      </c>
    </row>
    <row r="27" s="84" customFormat="1" ht="12.75" spans="1:32">
      <c r="A27" s="97"/>
      <c r="B27" s="98"/>
      <c r="C27" s="99">
        <v>241011000009</v>
      </c>
      <c r="D27" s="100">
        <v>45587</v>
      </c>
      <c r="E27" s="100" t="s">
        <v>36</v>
      </c>
      <c r="F27" s="98" t="s">
        <v>37</v>
      </c>
      <c r="G27" s="98" t="s">
        <v>55</v>
      </c>
      <c r="H27" s="98">
        <v>0.7032</v>
      </c>
      <c r="I27" s="98">
        <v>282</v>
      </c>
      <c r="J27" s="120">
        <v>1819</v>
      </c>
      <c r="K27" s="121"/>
      <c r="L27" s="122"/>
      <c r="M27" s="123"/>
      <c r="N27" s="122"/>
      <c r="O27" s="98"/>
      <c r="P27" s="124">
        <v>1819</v>
      </c>
      <c r="Q27" s="155"/>
      <c r="R27" s="155"/>
      <c r="S27" s="156">
        <v>482.622705882353</v>
      </c>
      <c r="T27" s="156"/>
      <c r="U27" s="156">
        <v>13.4435294117647</v>
      </c>
      <c r="V27" s="156"/>
      <c r="W27" s="156"/>
      <c r="X27" s="156">
        <v>496.066235294118</v>
      </c>
      <c r="Y27" s="170">
        <v>108.829403647059</v>
      </c>
      <c r="Z27" s="170"/>
      <c r="AA27" s="170"/>
      <c r="AB27" s="170">
        <v>108.829403647059</v>
      </c>
      <c r="AC27" s="121">
        <v>7.28</v>
      </c>
      <c r="AD27" s="156">
        <v>792.278058550588</v>
      </c>
      <c r="AE27" s="156">
        <v>1288.34429384471</v>
      </c>
      <c r="AF27" s="156">
        <v>530.65570615529</v>
      </c>
    </row>
    <row r="28" s="84" customFormat="1" ht="12.75" spans="1:32">
      <c r="A28" s="97"/>
      <c r="B28" s="98"/>
      <c r="C28" s="99">
        <v>241018000013</v>
      </c>
      <c r="D28" s="100">
        <v>45587</v>
      </c>
      <c r="E28" s="100" t="s">
        <v>36</v>
      </c>
      <c r="F28" s="98" t="s">
        <v>37</v>
      </c>
      <c r="G28" s="98" t="s">
        <v>56</v>
      </c>
      <c r="H28" s="98">
        <v>0.0116</v>
      </c>
      <c r="I28" s="98">
        <v>31</v>
      </c>
      <c r="J28" s="120">
        <v>397.5</v>
      </c>
      <c r="K28" s="121"/>
      <c r="L28" s="122"/>
      <c r="M28" s="123"/>
      <c r="N28" s="122"/>
      <c r="O28" s="98"/>
      <c r="P28" s="124">
        <v>397.5</v>
      </c>
      <c r="Q28" s="155"/>
      <c r="R28" s="155"/>
      <c r="S28" s="156">
        <v>7.96135294117647</v>
      </c>
      <c r="T28" s="156"/>
      <c r="U28" s="156">
        <v>0.221764705882353</v>
      </c>
      <c r="V28" s="156"/>
      <c r="W28" s="156">
        <v>62</v>
      </c>
      <c r="X28" s="156">
        <v>70.1831176470588</v>
      </c>
      <c r="Y28" s="170">
        <v>1.79525182352941</v>
      </c>
      <c r="Z28" s="170">
        <v>13.24</v>
      </c>
      <c r="AA28" s="170"/>
      <c r="AB28" s="170">
        <v>15.0352518235294</v>
      </c>
      <c r="AC28" s="121">
        <v>7.28</v>
      </c>
      <c r="AD28" s="156">
        <v>109.456633275294</v>
      </c>
      <c r="AE28" s="156">
        <v>179.639750922353</v>
      </c>
      <c r="AF28" s="156">
        <v>217.860249077647</v>
      </c>
    </row>
    <row r="29" s="84" customFormat="1" ht="12.75" spans="1:32">
      <c r="A29" s="97"/>
      <c r="B29" s="98"/>
      <c r="C29" s="99">
        <v>241018000032</v>
      </c>
      <c r="D29" s="100">
        <v>45587</v>
      </c>
      <c r="E29" s="100" t="s">
        <v>36</v>
      </c>
      <c r="F29" s="98" t="s">
        <v>37</v>
      </c>
      <c r="G29" s="98" t="s">
        <v>49</v>
      </c>
      <c r="H29" s="98">
        <v>0.2617</v>
      </c>
      <c r="I29" s="98">
        <v>43</v>
      </c>
      <c r="J29" s="120">
        <v>595.4</v>
      </c>
      <c r="K29" s="121"/>
      <c r="L29" s="122"/>
      <c r="M29" s="123"/>
      <c r="N29" s="122"/>
      <c r="O29" s="98"/>
      <c r="P29" s="124">
        <v>595.4</v>
      </c>
      <c r="Q29" s="155"/>
      <c r="R29" s="155"/>
      <c r="S29" s="156">
        <v>179.610867647059</v>
      </c>
      <c r="T29" s="156"/>
      <c r="U29" s="156">
        <v>5.00308823529412</v>
      </c>
      <c r="V29" s="156"/>
      <c r="W29" s="156"/>
      <c r="X29" s="156">
        <v>184.613955882353</v>
      </c>
      <c r="Y29" s="170">
        <v>40.5015001911765</v>
      </c>
      <c r="Z29" s="170"/>
      <c r="AA29" s="170"/>
      <c r="AB29" s="170">
        <v>40.5015001911765</v>
      </c>
      <c r="AC29" s="121">
        <v>7.28</v>
      </c>
      <c r="AD29" s="156">
        <v>294.850921391765</v>
      </c>
      <c r="AE29" s="156">
        <v>479.464877274118</v>
      </c>
      <c r="AF29" s="156">
        <v>115.935122725882</v>
      </c>
    </row>
    <row r="30" s="84" customFormat="1" ht="12.75" spans="1:32">
      <c r="A30" s="97"/>
      <c r="B30" s="98"/>
      <c r="C30" s="99">
        <v>241019000014</v>
      </c>
      <c r="D30" s="100">
        <v>45587</v>
      </c>
      <c r="E30" s="100" t="s">
        <v>36</v>
      </c>
      <c r="F30" s="98" t="s">
        <v>37</v>
      </c>
      <c r="G30" s="98" t="s">
        <v>38</v>
      </c>
      <c r="H30" s="98">
        <v>0.1797</v>
      </c>
      <c r="I30" s="98">
        <v>75</v>
      </c>
      <c r="J30" s="124"/>
      <c r="K30" s="125">
        <v>98978.4</v>
      </c>
      <c r="L30" s="122"/>
      <c r="M30" s="123">
        <v>1867.16433367962</v>
      </c>
      <c r="N30" s="126">
        <v>53.01001</v>
      </c>
      <c r="O30" s="98">
        <v>7.27</v>
      </c>
      <c r="P30" s="124">
        <v>385.3827727</v>
      </c>
      <c r="Q30" s="155"/>
      <c r="R30" s="155"/>
      <c r="S30" s="156">
        <v>123.332338235294</v>
      </c>
      <c r="T30" s="156"/>
      <c r="U30" s="156">
        <v>3.43544117647059</v>
      </c>
      <c r="V30" s="156"/>
      <c r="W30" s="156"/>
      <c r="X30" s="156">
        <v>126.767779411765</v>
      </c>
      <c r="Y30" s="170">
        <v>27.8109269558824</v>
      </c>
      <c r="Z30" s="170"/>
      <c r="AA30" s="170"/>
      <c r="AB30" s="170">
        <v>27.8109269558824</v>
      </c>
      <c r="AC30" s="121">
        <v>7.28</v>
      </c>
      <c r="AD30" s="156">
        <v>202.463548238824</v>
      </c>
      <c r="AE30" s="156">
        <v>329.231327650588</v>
      </c>
      <c r="AF30" s="156">
        <v>56.151445049412</v>
      </c>
    </row>
    <row r="31" s="84" customFormat="1" ht="12.75" spans="1:32">
      <c r="A31" s="97"/>
      <c r="B31" s="98"/>
      <c r="C31" s="99">
        <v>241021000046</v>
      </c>
      <c r="D31" s="100">
        <v>45587</v>
      </c>
      <c r="E31" s="100" t="s">
        <v>36</v>
      </c>
      <c r="F31" s="98" t="s">
        <v>37</v>
      </c>
      <c r="G31" s="98" t="s">
        <v>40</v>
      </c>
      <c r="H31" s="98">
        <v>2.7577</v>
      </c>
      <c r="I31" s="98">
        <v>1156</v>
      </c>
      <c r="J31" s="124"/>
      <c r="K31" s="125">
        <v>1342546</v>
      </c>
      <c r="L31" s="122"/>
      <c r="M31" s="123">
        <v>1678.60204559877</v>
      </c>
      <c r="N31" s="126">
        <v>799.80005</v>
      </c>
      <c r="O31" s="98">
        <v>7.27</v>
      </c>
      <c r="P31" s="124">
        <v>5814.5463635</v>
      </c>
      <c r="Q31" s="155"/>
      <c r="R31" s="155"/>
      <c r="S31" s="156">
        <v>1892.67439705882</v>
      </c>
      <c r="T31" s="156"/>
      <c r="U31" s="156">
        <v>52.7207352941176</v>
      </c>
      <c r="V31" s="156"/>
      <c r="W31" s="156"/>
      <c r="X31" s="156">
        <v>1945.39513235294</v>
      </c>
      <c r="Y31" s="170">
        <v>426.790168426471</v>
      </c>
      <c r="Z31" s="170"/>
      <c r="AA31" s="170"/>
      <c r="AB31" s="170">
        <v>426.790168426471</v>
      </c>
      <c r="AC31" s="121">
        <v>7.28</v>
      </c>
      <c r="AD31" s="156">
        <v>3107.03242614471</v>
      </c>
      <c r="AE31" s="156">
        <v>5052.42755849765</v>
      </c>
      <c r="AF31" s="156">
        <v>762.118805002349</v>
      </c>
    </row>
    <row r="32" s="84" customFormat="1" ht="12.75" spans="1:32">
      <c r="A32" s="97"/>
      <c r="B32" s="98"/>
      <c r="C32" s="99">
        <v>241019000010</v>
      </c>
      <c r="D32" s="100">
        <v>45593</v>
      </c>
      <c r="E32" s="100" t="s">
        <v>36</v>
      </c>
      <c r="F32" s="98" t="s">
        <v>37</v>
      </c>
      <c r="G32" s="98" t="s">
        <v>38</v>
      </c>
      <c r="H32" s="98">
        <v>0.5263</v>
      </c>
      <c r="I32" s="98">
        <v>165</v>
      </c>
      <c r="J32" s="124"/>
      <c r="K32" s="125">
        <v>257287</v>
      </c>
      <c r="L32" s="122"/>
      <c r="M32" s="123">
        <v>1652.87806758319</v>
      </c>
      <c r="N32" s="126">
        <v>155.66</v>
      </c>
      <c r="O32" s="98">
        <v>7.29</v>
      </c>
      <c r="P32" s="124">
        <v>1134.7614</v>
      </c>
      <c r="Q32" s="155"/>
      <c r="R32" s="155"/>
      <c r="S32" s="156">
        <v>361.212073529412</v>
      </c>
      <c r="T32" s="156"/>
      <c r="U32" s="156">
        <v>10.0616176470588</v>
      </c>
      <c r="V32" s="156"/>
      <c r="W32" s="156"/>
      <c r="X32" s="156">
        <v>371.273691176471</v>
      </c>
      <c r="Y32" s="170">
        <v>81.4518133382353</v>
      </c>
      <c r="Z32" s="170"/>
      <c r="AA32" s="170"/>
      <c r="AB32" s="170">
        <v>81.4518133382353</v>
      </c>
      <c r="AC32" s="121">
        <v>7.28</v>
      </c>
      <c r="AD32" s="156">
        <v>592.969201102353</v>
      </c>
      <c r="AE32" s="156">
        <v>964.242892278823</v>
      </c>
      <c r="AF32" s="156">
        <v>170.518507721177</v>
      </c>
    </row>
    <row r="33" s="84" customFormat="1" ht="12.75" spans="1:32">
      <c r="A33" s="97"/>
      <c r="B33" s="98"/>
      <c r="C33" s="99">
        <v>241014000059</v>
      </c>
      <c r="D33" s="100">
        <v>45593</v>
      </c>
      <c r="E33" s="100" t="s">
        <v>36</v>
      </c>
      <c r="F33" s="98" t="s">
        <v>37</v>
      </c>
      <c r="G33" s="98" t="s">
        <v>46</v>
      </c>
      <c r="H33" s="98">
        <v>2.7811</v>
      </c>
      <c r="I33" s="98">
        <v>410</v>
      </c>
      <c r="J33" s="120">
        <v>6035</v>
      </c>
      <c r="K33" s="121"/>
      <c r="L33" s="122"/>
      <c r="M33" s="123"/>
      <c r="N33" s="122"/>
      <c r="O33" s="98"/>
      <c r="P33" s="124">
        <v>6035</v>
      </c>
      <c r="Q33" s="155"/>
      <c r="R33" s="155"/>
      <c r="S33" s="156">
        <v>1908.73436764706</v>
      </c>
      <c r="T33" s="156"/>
      <c r="U33" s="156">
        <v>53.1680882352941</v>
      </c>
      <c r="V33" s="156"/>
      <c r="W33" s="156"/>
      <c r="X33" s="156">
        <v>1961.90245588235</v>
      </c>
      <c r="Y33" s="170">
        <v>430.411624691176</v>
      </c>
      <c r="Z33" s="170"/>
      <c r="AA33" s="170"/>
      <c r="AB33" s="170">
        <v>430.411624691176</v>
      </c>
      <c r="AC33" s="121">
        <v>7.28</v>
      </c>
      <c r="AD33" s="156">
        <v>3133.39662775176</v>
      </c>
      <c r="AE33" s="156">
        <v>5095.29908363412</v>
      </c>
      <c r="AF33" s="156">
        <v>939.70091636588</v>
      </c>
    </row>
    <row r="34" s="84" customFormat="1" ht="63.75" spans="1:32">
      <c r="A34" s="97" t="s">
        <v>57</v>
      </c>
      <c r="B34" s="98" t="s">
        <v>58</v>
      </c>
      <c r="C34" s="99">
        <v>241009000018</v>
      </c>
      <c r="D34" s="100">
        <v>45593</v>
      </c>
      <c r="E34" s="100" t="s">
        <v>36</v>
      </c>
      <c r="F34" s="98" t="s">
        <v>37</v>
      </c>
      <c r="G34" s="98" t="s">
        <v>50</v>
      </c>
      <c r="H34" s="98">
        <v>5.4554</v>
      </c>
      <c r="I34" s="98">
        <v>1522</v>
      </c>
      <c r="J34" s="120">
        <v>13408.72</v>
      </c>
      <c r="K34" s="121"/>
      <c r="L34" s="122"/>
      <c r="M34" s="123"/>
      <c r="N34" s="122"/>
      <c r="O34" s="98"/>
      <c r="P34" s="124">
        <v>13408.72</v>
      </c>
      <c r="Q34" s="189">
        <v>103571.6974</v>
      </c>
      <c r="R34" s="190" t="s">
        <v>59</v>
      </c>
      <c r="S34" s="156">
        <v>3817.65682941176</v>
      </c>
      <c r="T34" s="156"/>
      <c r="U34" s="156">
        <v>152.430294117647</v>
      </c>
      <c r="V34" s="156"/>
      <c r="W34" s="156"/>
      <c r="X34" s="156">
        <v>3970.08712352941</v>
      </c>
      <c r="Y34" s="170">
        <v>893.233500882353</v>
      </c>
      <c r="Z34" s="170">
        <v>59.22</v>
      </c>
      <c r="AA34" s="170"/>
      <c r="AB34" s="170">
        <v>952.453500882353</v>
      </c>
      <c r="AC34" s="121">
        <v>7.3</v>
      </c>
      <c r="AD34" s="156">
        <v>6952.91055644118</v>
      </c>
      <c r="AE34" s="156">
        <v>10922.9976799706</v>
      </c>
      <c r="AF34" s="156">
        <v>2485.7223200294</v>
      </c>
    </row>
    <row r="35" s="84" customFormat="1" ht="12.75" spans="1:32">
      <c r="A35" s="97"/>
      <c r="B35" s="98"/>
      <c r="C35" s="99">
        <v>241014000044</v>
      </c>
      <c r="D35" s="100">
        <v>45593</v>
      </c>
      <c r="E35" s="100" t="s">
        <v>36</v>
      </c>
      <c r="F35" s="98" t="s">
        <v>37</v>
      </c>
      <c r="G35" s="98" t="s">
        <v>42</v>
      </c>
      <c r="H35" s="98">
        <v>0.6091</v>
      </c>
      <c r="I35" s="98">
        <v>363</v>
      </c>
      <c r="J35" s="120">
        <v>1326.75</v>
      </c>
      <c r="K35" s="121"/>
      <c r="L35" s="122"/>
      <c r="M35" s="123"/>
      <c r="N35" s="122"/>
      <c r="O35" s="98"/>
      <c r="P35" s="124">
        <v>1326.75</v>
      </c>
      <c r="Q35" s="155"/>
      <c r="R35" s="155"/>
      <c r="S35" s="156">
        <v>426.244597058824</v>
      </c>
      <c r="T35" s="156"/>
      <c r="U35" s="156">
        <v>17.0189705882353</v>
      </c>
      <c r="V35" s="156"/>
      <c r="W35" s="156"/>
      <c r="X35" s="156">
        <v>443.263567647059</v>
      </c>
      <c r="Y35" s="170">
        <v>99.7302719117647</v>
      </c>
      <c r="Z35" s="170"/>
      <c r="AA35" s="170"/>
      <c r="AB35" s="170">
        <v>99.7302719117647</v>
      </c>
      <c r="AC35" s="121">
        <v>7.3</v>
      </c>
      <c r="AD35" s="156">
        <v>728.030984955882</v>
      </c>
      <c r="AE35" s="156">
        <v>1171.29455260294</v>
      </c>
      <c r="AF35" s="156">
        <v>155.45544739706</v>
      </c>
    </row>
    <row r="36" s="84" customFormat="1" ht="12.75" spans="1:32">
      <c r="A36" s="97"/>
      <c r="B36" s="98"/>
      <c r="C36" s="99">
        <v>241014000059</v>
      </c>
      <c r="D36" s="100">
        <v>45593</v>
      </c>
      <c r="E36" s="100" t="s">
        <v>36</v>
      </c>
      <c r="F36" s="98" t="s">
        <v>37</v>
      </c>
      <c r="G36" s="98" t="s">
        <v>46</v>
      </c>
      <c r="H36" s="98">
        <v>6.7537</v>
      </c>
      <c r="I36" s="98">
        <v>2221</v>
      </c>
      <c r="J36" s="120">
        <v>14651</v>
      </c>
      <c r="K36" s="121"/>
      <c r="L36" s="122"/>
      <c r="M36" s="123"/>
      <c r="N36" s="122"/>
      <c r="O36" s="98"/>
      <c r="P36" s="124">
        <v>14651</v>
      </c>
      <c r="Q36" s="155"/>
      <c r="R36" s="155"/>
      <c r="S36" s="156">
        <v>4726.19953235294</v>
      </c>
      <c r="T36" s="156"/>
      <c r="U36" s="156">
        <v>188.706323529412</v>
      </c>
      <c r="V36" s="156"/>
      <c r="W36" s="156"/>
      <c r="X36" s="156">
        <v>4914.90585588235</v>
      </c>
      <c r="Y36" s="170">
        <v>1105.80912397059</v>
      </c>
      <c r="Z36" s="170"/>
      <c r="AA36" s="170"/>
      <c r="AB36" s="170">
        <v>1105.80912397059</v>
      </c>
      <c r="AC36" s="121">
        <v>7.3</v>
      </c>
      <c r="AD36" s="156">
        <v>8072.40660498529</v>
      </c>
      <c r="AE36" s="156">
        <v>12987.3124608676</v>
      </c>
      <c r="AF36" s="156">
        <v>1663.6875391324</v>
      </c>
    </row>
    <row r="37" s="84" customFormat="1" ht="12.75" spans="1:32">
      <c r="A37" s="97"/>
      <c r="B37" s="98"/>
      <c r="C37" s="99">
        <v>241016000027</v>
      </c>
      <c r="D37" s="100">
        <v>45593</v>
      </c>
      <c r="E37" s="100" t="s">
        <v>36</v>
      </c>
      <c r="F37" s="98" t="s">
        <v>37</v>
      </c>
      <c r="G37" s="98" t="s">
        <v>50</v>
      </c>
      <c r="H37" s="98">
        <v>1.4941</v>
      </c>
      <c r="I37" s="98">
        <v>1016</v>
      </c>
      <c r="J37" s="120">
        <v>3860.6</v>
      </c>
      <c r="K37" s="121"/>
      <c r="L37" s="122"/>
      <c r="M37" s="123"/>
      <c r="N37" s="122"/>
      <c r="O37" s="98"/>
      <c r="P37" s="124">
        <v>3860.6</v>
      </c>
      <c r="Q37" s="155"/>
      <c r="R37" s="155"/>
      <c r="S37" s="156">
        <v>1045.56239117647</v>
      </c>
      <c r="T37" s="156"/>
      <c r="U37" s="156">
        <v>41.7469117647059</v>
      </c>
      <c r="V37" s="156"/>
      <c r="W37" s="156"/>
      <c r="X37" s="156">
        <v>1087.30930294118</v>
      </c>
      <c r="Y37" s="170">
        <v>244.634705735294</v>
      </c>
      <c r="Z37" s="170">
        <v>16.25</v>
      </c>
      <c r="AA37" s="170"/>
      <c r="AB37" s="170">
        <v>260.884705735294</v>
      </c>
      <c r="AC37" s="121">
        <v>7.3</v>
      </c>
      <c r="AD37" s="156">
        <v>1904.45835186765</v>
      </c>
      <c r="AE37" s="156">
        <v>2991.76765480882</v>
      </c>
      <c r="AF37" s="156">
        <v>868.83234519118</v>
      </c>
    </row>
    <row r="38" s="84" customFormat="1" ht="12.75" spans="1:32">
      <c r="A38" s="97"/>
      <c r="B38" s="98"/>
      <c r="C38" s="99">
        <v>241019000010</v>
      </c>
      <c r="D38" s="100">
        <v>45593</v>
      </c>
      <c r="E38" s="100" t="s">
        <v>36</v>
      </c>
      <c r="F38" s="98" t="s">
        <v>37</v>
      </c>
      <c r="G38" s="98" t="s">
        <v>38</v>
      </c>
      <c r="H38" s="98">
        <v>1.4386</v>
      </c>
      <c r="I38" s="98">
        <v>615</v>
      </c>
      <c r="J38" s="124"/>
      <c r="K38" s="125">
        <v>703277</v>
      </c>
      <c r="L38" s="122"/>
      <c r="M38" s="123">
        <v>1652.86375708007</v>
      </c>
      <c r="N38" s="126">
        <v>425.49</v>
      </c>
      <c r="O38" s="98">
        <v>7.29</v>
      </c>
      <c r="P38" s="124">
        <v>3101.8221</v>
      </c>
      <c r="Q38" s="155"/>
      <c r="R38" s="155"/>
      <c r="S38" s="156">
        <v>1006.72381764706</v>
      </c>
      <c r="T38" s="156"/>
      <c r="U38" s="156">
        <v>40.1961764705882</v>
      </c>
      <c r="V38" s="156"/>
      <c r="W38" s="156"/>
      <c r="X38" s="156">
        <v>1046.91999411765</v>
      </c>
      <c r="Y38" s="170">
        <v>235.547478529412</v>
      </c>
      <c r="Z38" s="170"/>
      <c r="AA38" s="170"/>
      <c r="AB38" s="170">
        <v>235.547478529412</v>
      </c>
      <c r="AC38" s="121">
        <v>7.3</v>
      </c>
      <c r="AD38" s="156">
        <v>1719.49659326471</v>
      </c>
      <c r="AE38" s="156">
        <v>2766.41658738235</v>
      </c>
      <c r="AF38" s="156">
        <v>335.40551261765</v>
      </c>
    </row>
    <row r="39" s="84" customFormat="1" ht="12.75" spans="1:32">
      <c r="A39" s="97"/>
      <c r="B39" s="98"/>
      <c r="C39" s="99">
        <v>241021000039</v>
      </c>
      <c r="D39" s="100">
        <v>45593</v>
      </c>
      <c r="E39" s="100" t="s">
        <v>36</v>
      </c>
      <c r="F39" s="98" t="s">
        <v>37</v>
      </c>
      <c r="G39" s="98" t="s">
        <v>60</v>
      </c>
      <c r="H39" s="98">
        <v>0.075</v>
      </c>
      <c r="I39" s="98">
        <v>11</v>
      </c>
      <c r="J39" s="120">
        <v>220.5</v>
      </c>
      <c r="K39" s="121"/>
      <c r="L39" s="122"/>
      <c r="M39" s="123"/>
      <c r="N39" s="122"/>
      <c r="O39" s="98"/>
      <c r="P39" s="124">
        <v>220.5</v>
      </c>
      <c r="Q39" s="155"/>
      <c r="R39" s="155"/>
      <c r="S39" s="156">
        <v>52.4845588235294</v>
      </c>
      <c r="T39" s="156"/>
      <c r="U39" s="156">
        <v>2.09558823529412</v>
      </c>
      <c r="V39" s="156"/>
      <c r="W39" s="156"/>
      <c r="X39" s="156">
        <v>54.5801470588235</v>
      </c>
      <c r="Y39" s="170">
        <v>12.2800367647059</v>
      </c>
      <c r="Z39" s="170"/>
      <c r="AA39" s="170"/>
      <c r="AB39" s="170">
        <v>12.2800367647059</v>
      </c>
      <c r="AC39" s="121">
        <v>7.3</v>
      </c>
      <c r="AD39" s="156">
        <v>89.6442683823529</v>
      </c>
      <c r="AE39" s="156">
        <v>144.224415441176</v>
      </c>
      <c r="AF39" s="156">
        <v>76.275584558824</v>
      </c>
    </row>
    <row r="40" s="84" customFormat="1" ht="12.75" spans="1:32">
      <c r="A40" s="97"/>
      <c r="B40" s="98"/>
      <c r="C40" s="99">
        <v>241023000026</v>
      </c>
      <c r="D40" s="100">
        <v>45593</v>
      </c>
      <c r="E40" s="100" t="s">
        <v>36</v>
      </c>
      <c r="F40" s="98" t="s">
        <v>37</v>
      </c>
      <c r="G40" s="98" t="s">
        <v>40</v>
      </c>
      <c r="H40" s="98">
        <v>2.1367</v>
      </c>
      <c r="I40" s="98">
        <v>934</v>
      </c>
      <c r="J40" s="124"/>
      <c r="K40" s="125">
        <v>1025772</v>
      </c>
      <c r="L40" s="122"/>
      <c r="M40" s="123">
        <v>1652.87141475991</v>
      </c>
      <c r="N40" s="126">
        <v>620.6</v>
      </c>
      <c r="O40" s="98">
        <v>7.29</v>
      </c>
      <c r="P40" s="124">
        <v>4524.174</v>
      </c>
      <c r="Q40" s="155"/>
      <c r="R40" s="155"/>
      <c r="S40" s="156">
        <v>1495.25009117647</v>
      </c>
      <c r="T40" s="156"/>
      <c r="U40" s="156">
        <v>59.7019117647059</v>
      </c>
      <c r="V40" s="156"/>
      <c r="W40" s="156"/>
      <c r="X40" s="156">
        <v>1554.95200294118</v>
      </c>
      <c r="Y40" s="170">
        <v>349.850060735294</v>
      </c>
      <c r="Z40" s="170"/>
      <c r="AA40" s="170"/>
      <c r="AB40" s="170">
        <v>349.850060735294</v>
      </c>
      <c r="AC40" s="121">
        <v>7.3</v>
      </c>
      <c r="AD40" s="156">
        <v>2553.90544336765</v>
      </c>
      <c r="AE40" s="156">
        <v>4108.85744630882</v>
      </c>
      <c r="AF40" s="156">
        <v>415.31655369118</v>
      </c>
    </row>
    <row r="41" s="84" customFormat="1" ht="12.75" spans="1:32">
      <c r="A41" s="97"/>
      <c r="B41" s="98"/>
      <c r="C41" s="99">
        <v>241026000019</v>
      </c>
      <c r="D41" s="100">
        <v>45595</v>
      </c>
      <c r="E41" s="100" t="s">
        <v>36</v>
      </c>
      <c r="F41" s="98" t="s">
        <v>37</v>
      </c>
      <c r="G41" s="98" t="s">
        <v>38</v>
      </c>
      <c r="H41" s="98">
        <v>0.3084</v>
      </c>
      <c r="I41" s="98">
        <v>117</v>
      </c>
      <c r="J41" s="124"/>
      <c r="K41" s="125">
        <v>150985</v>
      </c>
      <c r="L41" s="122"/>
      <c r="M41" s="123">
        <v>1652.8188286809</v>
      </c>
      <c r="N41" s="126">
        <v>91.35</v>
      </c>
      <c r="O41" s="98">
        <v>7.29</v>
      </c>
      <c r="P41" s="124">
        <v>665.9415</v>
      </c>
      <c r="Q41" s="155"/>
      <c r="R41" s="155"/>
      <c r="S41" s="156">
        <v>215.816505882353</v>
      </c>
      <c r="T41" s="156"/>
      <c r="U41" s="156">
        <v>8.61705882352941</v>
      </c>
      <c r="V41" s="156"/>
      <c r="W41" s="156"/>
      <c r="X41" s="156">
        <v>224.433564705882</v>
      </c>
      <c r="Y41" s="170">
        <v>50.4955111764706</v>
      </c>
      <c r="Z41" s="170"/>
      <c r="AA41" s="170"/>
      <c r="AB41" s="170">
        <v>50.4955111764706</v>
      </c>
      <c r="AC41" s="121">
        <v>7.3</v>
      </c>
      <c r="AD41" s="156">
        <v>368.617231588235</v>
      </c>
      <c r="AE41" s="156">
        <v>593.050796294118</v>
      </c>
      <c r="AF41" s="156">
        <v>72.8907037058819</v>
      </c>
    </row>
    <row r="42" s="84" customFormat="1" ht="63.75" spans="1:32">
      <c r="A42" s="97" t="s">
        <v>61</v>
      </c>
      <c r="B42" s="98" t="s">
        <v>62</v>
      </c>
      <c r="C42" s="99">
        <v>241011000005</v>
      </c>
      <c r="D42" s="100">
        <v>45595</v>
      </c>
      <c r="E42" s="100" t="s">
        <v>36</v>
      </c>
      <c r="F42" s="98" t="s">
        <v>37</v>
      </c>
      <c r="G42" s="98" t="s">
        <v>39</v>
      </c>
      <c r="H42" s="98">
        <v>3.1875</v>
      </c>
      <c r="I42" s="98">
        <v>2044</v>
      </c>
      <c r="J42" s="120">
        <v>8910</v>
      </c>
      <c r="K42" s="121"/>
      <c r="L42" s="122"/>
      <c r="M42" s="123"/>
      <c r="N42" s="122"/>
      <c r="O42" s="98"/>
      <c r="P42" s="124">
        <v>8910</v>
      </c>
      <c r="Q42" s="189">
        <v>19025.7235</v>
      </c>
      <c r="R42" s="190" t="s">
        <v>63</v>
      </c>
      <c r="S42" s="156">
        <v>2304</v>
      </c>
      <c r="T42" s="156"/>
      <c r="U42" s="156">
        <v>65.625</v>
      </c>
      <c r="V42" s="156"/>
      <c r="W42" s="156"/>
      <c r="X42" s="156">
        <v>2369.625</v>
      </c>
      <c r="Y42" s="170">
        <v>521.9015625</v>
      </c>
      <c r="Z42" s="170"/>
      <c r="AA42" s="170">
        <v>3.24234375</v>
      </c>
      <c r="AB42" s="170">
        <v>525.14390625</v>
      </c>
      <c r="AC42" s="121">
        <v>7.3</v>
      </c>
      <c r="AD42" s="156">
        <v>3833.550515625</v>
      </c>
      <c r="AE42" s="156">
        <v>6203.175515625</v>
      </c>
      <c r="AF42" s="156">
        <v>2706.824484375</v>
      </c>
    </row>
    <row r="43" s="84" customFormat="1" ht="12.75" spans="1:32">
      <c r="A43" s="97"/>
      <c r="B43" s="98"/>
      <c r="C43" s="99">
        <v>241028000024</v>
      </c>
      <c r="D43" s="100">
        <v>45595</v>
      </c>
      <c r="E43" s="100" t="s">
        <v>36</v>
      </c>
      <c r="F43" s="98" t="s">
        <v>37</v>
      </c>
      <c r="G43" s="98" t="s">
        <v>40</v>
      </c>
      <c r="H43" s="98">
        <v>1.5107</v>
      </c>
      <c r="I43" s="98">
        <v>646</v>
      </c>
      <c r="J43" s="124"/>
      <c r="K43" s="125">
        <v>706092</v>
      </c>
      <c r="L43" s="122"/>
      <c r="M43" s="123">
        <v>1654.9677721786</v>
      </c>
      <c r="N43" s="126">
        <v>426.65</v>
      </c>
      <c r="O43" s="98">
        <v>7.29</v>
      </c>
      <c r="P43" s="124">
        <v>3110.2785</v>
      </c>
      <c r="Q43" s="155"/>
      <c r="R43" s="155"/>
      <c r="S43" s="156">
        <v>1091.96950588235</v>
      </c>
      <c r="T43" s="156"/>
      <c r="U43" s="156">
        <v>31.1026470588235</v>
      </c>
      <c r="V43" s="156"/>
      <c r="W43" s="156"/>
      <c r="X43" s="156">
        <v>1123.07215294118</v>
      </c>
      <c r="Y43" s="170">
        <v>247.352687205882</v>
      </c>
      <c r="Z43" s="170"/>
      <c r="AA43" s="170">
        <v>1.53669292647059</v>
      </c>
      <c r="AB43" s="170">
        <v>248.889380132353</v>
      </c>
      <c r="AC43" s="121">
        <v>7.3</v>
      </c>
      <c r="AD43" s="156">
        <v>1816.89247496618</v>
      </c>
      <c r="AE43" s="156">
        <v>2939.96462790735</v>
      </c>
      <c r="AF43" s="156">
        <v>170.31387209265</v>
      </c>
    </row>
    <row r="44" s="84" customFormat="1" ht="12.75" spans="1:32">
      <c r="A44" s="97"/>
      <c r="B44" s="98"/>
      <c r="C44" s="99">
        <v>241026000019</v>
      </c>
      <c r="D44" s="100">
        <v>45595</v>
      </c>
      <c r="E44" s="100" t="s">
        <v>36</v>
      </c>
      <c r="F44" s="98" t="s">
        <v>37</v>
      </c>
      <c r="G44" s="98" t="s">
        <v>38</v>
      </c>
      <c r="H44" s="98">
        <v>0.8568</v>
      </c>
      <c r="I44" s="98">
        <v>325</v>
      </c>
      <c r="J44" s="124"/>
      <c r="K44" s="125">
        <v>419471</v>
      </c>
      <c r="L44" s="122"/>
      <c r="M44" s="123">
        <v>1652.76201733649</v>
      </c>
      <c r="N44" s="126">
        <v>253.8</v>
      </c>
      <c r="O44" s="98">
        <v>7.29</v>
      </c>
      <c r="P44" s="124">
        <v>1850.202</v>
      </c>
      <c r="Q44" s="155"/>
      <c r="R44" s="155"/>
      <c r="S44" s="156">
        <v>596.7612</v>
      </c>
      <c r="T44" s="156"/>
      <c r="U44" s="156">
        <v>30.24</v>
      </c>
      <c r="V44" s="156"/>
      <c r="W44" s="156"/>
      <c r="X44" s="156">
        <v>627.0012</v>
      </c>
      <c r="Y44" s="170">
        <v>134.818362</v>
      </c>
      <c r="Z44" s="170"/>
      <c r="AA44" s="170">
        <v>0.84357</v>
      </c>
      <c r="AB44" s="170">
        <v>135.661932</v>
      </c>
      <c r="AC44" s="121">
        <v>7.3</v>
      </c>
      <c r="AD44" s="156">
        <v>990.3321036</v>
      </c>
      <c r="AE44" s="156">
        <v>1617.3333036</v>
      </c>
      <c r="AF44" s="156">
        <v>232.8686964</v>
      </c>
    </row>
    <row r="45" s="84" customFormat="1" ht="12.75" spans="1:32">
      <c r="A45" s="97"/>
      <c r="B45" s="98"/>
      <c r="C45" s="99">
        <v>241028000024</v>
      </c>
      <c r="D45" s="100">
        <v>45595</v>
      </c>
      <c r="E45" s="100" t="s">
        <v>36</v>
      </c>
      <c r="F45" s="98" t="s">
        <v>37</v>
      </c>
      <c r="G45" s="98" t="s">
        <v>40</v>
      </c>
      <c r="H45" s="98">
        <v>0.7664</v>
      </c>
      <c r="I45" s="98">
        <v>289</v>
      </c>
      <c r="J45" s="124"/>
      <c r="K45" s="125">
        <v>358212</v>
      </c>
      <c r="L45" s="122"/>
      <c r="M45" s="123">
        <v>1654.9410949411</v>
      </c>
      <c r="N45" s="126">
        <v>216.45</v>
      </c>
      <c r="O45" s="98">
        <v>7.29</v>
      </c>
      <c r="P45" s="124">
        <v>1577.9205</v>
      </c>
      <c r="Q45" s="155"/>
      <c r="R45" s="155"/>
      <c r="S45" s="156">
        <v>533.7976</v>
      </c>
      <c r="T45" s="156"/>
      <c r="U45" s="156">
        <v>27.0494117647059</v>
      </c>
      <c r="V45" s="156"/>
      <c r="W45" s="156"/>
      <c r="X45" s="156">
        <v>560.847011764706</v>
      </c>
      <c r="Y45" s="170">
        <v>120.593828941176</v>
      </c>
      <c r="Z45" s="170"/>
      <c r="AA45" s="170">
        <v>0.754565882352941</v>
      </c>
      <c r="AB45" s="170">
        <v>121.348394823529</v>
      </c>
      <c r="AC45" s="121">
        <v>7.3</v>
      </c>
      <c r="AD45" s="156">
        <v>885.843282211765</v>
      </c>
      <c r="AE45" s="156">
        <v>1446.69029397647</v>
      </c>
      <c r="AF45" s="156">
        <v>131.230206023529</v>
      </c>
    </row>
    <row r="46" s="84" customFormat="1" ht="12.75" spans="1:32">
      <c r="A46" s="97"/>
      <c r="B46" s="98"/>
      <c r="C46" s="99">
        <v>241029000041</v>
      </c>
      <c r="D46" s="100">
        <v>45595</v>
      </c>
      <c r="E46" s="100" t="s">
        <v>36</v>
      </c>
      <c r="F46" s="98" t="s">
        <v>37</v>
      </c>
      <c r="G46" s="98" t="s">
        <v>64</v>
      </c>
      <c r="H46" s="98">
        <v>0.0009</v>
      </c>
      <c r="I46" s="98">
        <v>1</v>
      </c>
      <c r="J46" s="120">
        <v>150</v>
      </c>
      <c r="K46" s="121"/>
      <c r="L46" s="122"/>
      <c r="M46" s="123"/>
      <c r="N46" s="122"/>
      <c r="O46" s="98"/>
      <c r="P46" s="124">
        <v>150</v>
      </c>
      <c r="Q46" s="155"/>
      <c r="R46" s="155"/>
      <c r="S46" s="156">
        <v>0.62685</v>
      </c>
      <c r="T46" s="156"/>
      <c r="U46" s="156">
        <v>0.0317647058823529</v>
      </c>
      <c r="V46" s="156"/>
      <c r="W46" s="156"/>
      <c r="X46" s="156">
        <v>0.658614705882353</v>
      </c>
      <c r="Y46" s="170">
        <v>0.141615926470588</v>
      </c>
      <c r="Z46" s="170"/>
      <c r="AA46" s="170">
        <v>0.000886102941176471</v>
      </c>
      <c r="AB46" s="170">
        <v>0.142502029411765</v>
      </c>
      <c r="AC46" s="121">
        <v>7.3</v>
      </c>
      <c r="AD46" s="156">
        <v>1.04026481470588</v>
      </c>
      <c r="AE46" s="156">
        <v>1.69887952058824</v>
      </c>
      <c r="AF46" s="156">
        <v>148.301120479412</v>
      </c>
    </row>
    <row r="47" spans="1:32">
      <c r="A47" s="230" t="s">
        <v>65</v>
      </c>
      <c r="B47" s="231"/>
      <c r="C47" s="159"/>
      <c r="D47" s="159"/>
      <c r="E47" s="159"/>
      <c r="F47" s="159"/>
      <c r="G47" s="159"/>
      <c r="H47" s="159">
        <f>SUM(H5:H46)</f>
        <v>101.7925</v>
      </c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  <c r="AB47" s="172"/>
      <c r="AC47" s="172"/>
      <c r="AD47" s="172"/>
      <c r="AE47" s="172"/>
      <c r="AF47" s="172">
        <f>SUM(AF5:AF46)</f>
        <v>31016.3512197253</v>
      </c>
    </row>
    <row r="48" s="194" customFormat="1" ht="20" customHeight="1" spans="1:25">
      <c r="A48" s="1"/>
      <c r="B48" s="1"/>
      <c r="D48" s="201"/>
      <c r="E48" s="201"/>
      <c r="F48" s="232"/>
      <c r="G48" s="232"/>
      <c r="H48" s="232"/>
      <c r="I48" s="139"/>
      <c r="J48" s="139"/>
      <c r="K48" s="139"/>
      <c r="L48" s="139"/>
      <c r="M48" s="202"/>
      <c r="N48" s="139"/>
      <c r="O48" s="139"/>
      <c r="P48" s="139"/>
      <c r="Q48" s="139"/>
      <c r="R48" s="202"/>
      <c r="S48" s="202"/>
      <c r="T48" s="202"/>
      <c r="U48" s="202"/>
      <c r="V48" s="202"/>
      <c r="W48" s="202"/>
      <c r="X48" s="202"/>
      <c r="Y48" s="202"/>
    </row>
    <row r="49" s="1" customFormat="1" ht="23" customHeight="1" spans="3:20">
      <c r="C49" s="70" t="s">
        <v>66</v>
      </c>
      <c r="D49" s="70"/>
      <c r="E49" s="70"/>
      <c r="F49" s="105" t="s">
        <v>67</v>
      </c>
      <c r="G49" s="106"/>
      <c r="H49" s="106"/>
      <c r="I49" s="127"/>
      <c r="J49"/>
      <c r="K49" s="132" t="s">
        <v>68</v>
      </c>
      <c r="L49" s="132"/>
      <c r="M49" s="132"/>
      <c r="N49"/>
      <c r="O49"/>
      <c r="P49"/>
      <c r="Q49"/>
      <c r="R49"/>
      <c r="S49"/>
      <c r="T49"/>
    </row>
    <row r="50" s="1" customFormat="1" ht="23" customHeight="1" spans="3:20">
      <c r="C50" s="70"/>
      <c r="D50" s="70"/>
      <c r="E50" s="70"/>
      <c r="F50" s="107"/>
      <c r="G50" s="108"/>
      <c r="H50" s="108"/>
      <c r="I50" s="131"/>
      <c r="J50"/>
      <c r="K50" s="132" t="s">
        <v>69</v>
      </c>
      <c r="L50" s="132" t="s">
        <v>8</v>
      </c>
      <c r="M50" s="132" t="s">
        <v>70</v>
      </c>
      <c r="N50"/>
      <c r="O50"/>
      <c r="P50"/>
      <c r="Q50"/>
      <c r="R50"/>
      <c r="S50"/>
      <c r="T50"/>
    </row>
    <row r="51" s="1" customFormat="1" ht="23" customHeight="1" spans="3:20">
      <c r="C51" s="70" t="s">
        <v>71</v>
      </c>
      <c r="D51" s="70"/>
      <c r="E51" s="70"/>
      <c r="F51" s="76" t="s">
        <v>72</v>
      </c>
      <c r="G51" s="77"/>
      <c r="H51" s="77"/>
      <c r="I51" s="78"/>
      <c r="J51"/>
      <c r="K51" s="132" t="s">
        <v>73</v>
      </c>
      <c r="L51" s="133">
        <f>SUM(H47)</f>
        <v>101.7925</v>
      </c>
      <c r="M51" s="134">
        <f>SUM(AF47)</f>
        <v>31016.3512197253</v>
      </c>
      <c r="N51"/>
      <c r="O51"/>
      <c r="P51"/>
      <c r="Q51"/>
      <c r="R51"/>
      <c r="S51"/>
      <c r="T51"/>
    </row>
    <row r="52" s="1" customFormat="1" ht="23" customHeight="1" spans="3:20">
      <c r="C52" s="70"/>
      <c r="D52" s="70"/>
      <c r="E52" s="70"/>
      <c r="F52" s="79"/>
      <c r="G52" s="80"/>
      <c r="H52" s="80"/>
      <c r="I52" s="81"/>
      <c r="J52"/>
      <c r="K52" s="135" t="s">
        <v>74</v>
      </c>
      <c r="L52" s="135"/>
      <c r="M52" s="136">
        <v>6000</v>
      </c>
      <c r="N52"/>
      <c r="O52"/>
      <c r="P52"/>
      <c r="Q52"/>
      <c r="R52"/>
      <c r="S52"/>
      <c r="T52"/>
    </row>
    <row r="53" s="1" customFormat="1" ht="23" customHeight="1" spans="3:20">
      <c r="C53" s="70" t="s">
        <v>75</v>
      </c>
      <c r="D53" s="70"/>
      <c r="E53" s="70"/>
      <c r="F53" s="76" t="s">
        <v>76</v>
      </c>
      <c r="G53" s="77"/>
      <c r="H53" s="77"/>
      <c r="I53" s="78"/>
      <c r="J53"/>
      <c r="K53" s="137" t="s">
        <v>77</v>
      </c>
      <c r="L53" s="137"/>
      <c r="M53" s="138">
        <f>SUM(M51-M52)</f>
        <v>25016.3512197253</v>
      </c>
      <c r="N53"/>
      <c r="O53"/>
      <c r="P53"/>
      <c r="Q53"/>
      <c r="R53"/>
      <c r="S53"/>
      <c r="T53"/>
    </row>
    <row r="54" s="1" customFormat="1" ht="23" customHeight="1" spans="3:20">
      <c r="C54" s="70"/>
      <c r="D54" s="70"/>
      <c r="E54" s="70"/>
      <c r="F54" s="79"/>
      <c r="G54" s="80"/>
      <c r="H54" s="80"/>
      <c r="I54" s="81"/>
      <c r="J54"/>
      <c r="K54" s="132" t="s">
        <v>78</v>
      </c>
      <c r="L54" s="132"/>
      <c r="M54" s="132">
        <v>0.4</v>
      </c>
      <c r="N54"/>
      <c r="O54"/>
      <c r="P54"/>
      <c r="Q54"/>
      <c r="R54"/>
      <c r="S54"/>
      <c r="T54"/>
    </row>
    <row r="55" s="1" customFormat="1" ht="39" customHeight="1" spans="5:20">
      <c r="E55"/>
      <c r="F55" s="232"/>
      <c r="G55" s="232"/>
      <c r="H55" s="232"/>
      <c r="I55" s="139"/>
      <c r="J55" s="139"/>
      <c r="K55" s="135" t="s">
        <v>79</v>
      </c>
      <c r="L55" s="135"/>
      <c r="M55" s="136">
        <f>SUM(M53*M54)</f>
        <v>10006.5404878901</v>
      </c>
      <c r="N55"/>
      <c r="O55"/>
      <c r="P55"/>
      <c r="Q55"/>
      <c r="R55"/>
      <c r="S55"/>
      <c r="T55"/>
    </row>
    <row r="57" spans="11:14">
      <c r="K57" s="139"/>
      <c r="L57" s="139"/>
      <c r="M57" s="139"/>
      <c r="N57" s="139"/>
    </row>
  </sheetData>
  <autoFilter xmlns:etc="http://www.wps.cn/officeDocument/2017/etCustomData" ref="A3:AB47" etc:filterBottomFollowUsedRange="0">
    <extLst/>
  </autoFilter>
  <mergeCells count="24">
    <mergeCell ref="J3:P3"/>
    <mergeCell ref="R3:V3"/>
    <mergeCell ref="Y3:AD3"/>
    <mergeCell ref="A47:B47"/>
    <mergeCell ref="K49:M49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49:E50"/>
    <mergeCell ref="C51:E52"/>
    <mergeCell ref="F51:I52"/>
    <mergeCell ref="C53:E54"/>
    <mergeCell ref="F53:I54"/>
    <mergeCell ref="F49:I50"/>
  </mergeCell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4"/>
  <sheetViews>
    <sheetView workbookViewId="0">
      <pane xSplit="15" ySplit="3" topLeftCell="AF4" activePane="bottomRight" state="frozen"/>
      <selection/>
      <selection pane="topRight"/>
      <selection pane="bottomLeft"/>
      <selection pane="bottomRight" activeCell="M18" sqref="M18"/>
    </sheetView>
  </sheetViews>
  <sheetFormatPr defaultColWidth="9" defaultRowHeight="13.5"/>
  <cols>
    <col min="3" max="3" width="13.125" customWidth="1"/>
    <col min="4" max="4" width="12.125"/>
    <col min="6" max="6" width="11.125"/>
    <col min="8" max="8" width="10.125"/>
    <col min="9" max="9" width="11.125"/>
    <col min="10" max="10" width="11.25"/>
    <col min="11" max="11" width="10"/>
    <col min="12" max="12" width="9" customWidth="1"/>
    <col min="13" max="13" width="14.5" customWidth="1"/>
    <col min="14" max="14" width="10.25" customWidth="1"/>
    <col min="15" max="15" width="13.625"/>
    <col min="16" max="17" width="12.875"/>
    <col min="18" max="18" width="12.5" customWidth="1"/>
    <col min="19" max="19" width="10.125"/>
    <col min="20" max="20" width="12" style="4"/>
    <col min="21" max="21" width="10.25" style="4"/>
    <col min="22" max="22" width="12.5" style="4"/>
    <col min="23" max="23" width="10.125" style="4"/>
    <col min="24" max="24" width="12" style="4"/>
    <col min="25" max="25" width="12.625" style="4"/>
    <col min="26" max="26" width="10.125"/>
    <col min="27" max="28" width="13.625"/>
    <col min="30" max="30" width="10.125"/>
    <col min="31" max="32" width="13.625"/>
    <col min="33" max="33" width="9.625"/>
  </cols>
  <sheetData>
    <row r="1" customFormat="1" ht="27" customHeight="1" spans="1:25">
      <c r="A1" s="67" t="s">
        <v>0</v>
      </c>
      <c r="T1" s="4"/>
      <c r="U1" s="4"/>
      <c r="V1" s="4"/>
      <c r="W1" s="4"/>
      <c r="X1" s="4"/>
      <c r="Y1" s="4"/>
    </row>
    <row r="2" s="83" customFormat="1" ht="23" customHeight="1" spans="1:32">
      <c r="A2" s="87" t="s">
        <v>1</v>
      </c>
      <c r="B2" s="88" t="s">
        <v>2</v>
      </c>
      <c r="C2" s="89" t="s">
        <v>3</v>
      </c>
      <c r="D2" s="90" t="s">
        <v>4</v>
      </c>
      <c r="E2" s="91" t="s">
        <v>5</v>
      </c>
      <c r="F2" s="92" t="s">
        <v>6</v>
      </c>
      <c r="G2" s="92" t="s">
        <v>7</v>
      </c>
      <c r="H2" s="92" t="s">
        <v>8</v>
      </c>
      <c r="I2" s="92" t="s">
        <v>9</v>
      </c>
      <c r="J2" s="109" t="s">
        <v>10</v>
      </c>
      <c r="K2" s="110"/>
      <c r="L2" s="111"/>
      <c r="M2" s="110"/>
      <c r="N2" s="111"/>
      <c r="O2" s="112"/>
      <c r="P2" s="113"/>
      <c r="Q2" s="140" t="s">
        <v>11</v>
      </c>
      <c r="R2" s="141" t="s">
        <v>12</v>
      </c>
      <c r="S2" s="142"/>
      <c r="T2" s="143"/>
      <c r="U2" s="144"/>
      <c r="V2" s="145"/>
      <c r="W2" s="146" t="s">
        <v>13</v>
      </c>
      <c r="X2" s="147" t="s">
        <v>14</v>
      </c>
      <c r="Y2" s="160" t="s">
        <v>15</v>
      </c>
      <c r="Z2" s="160"/>
      <c r="AA2" s="160"/>
      <c r="AB2" s="160"/>
      <c r="AC2" s="161"/>
      <c r="AD2" s="160"/>
      <c r="AE2" s="162" t="s">
        <v>16</v>
      </c>
      <c r="AF2" s="163" t="s">
        <v>17</v>
      </c>
    </row>
    <row r="3" s="83" customFormat="1" ht="27" customHeight="1" spans="1:32">
      <c r="A3" s="93"/>
      <c r="B3" s="94"/>
      <c r="C3" s="89"/>
      <c r="D3" s="90"/>
      <c r="E3" s="95"/>
      <c r="F3" s="96"/>
      <c r="G3" s="96"/>
      <c r="H3" s="96"/>
      <c r="I3" s="96"/>
      <c r="J3" s="114" t="s">
        <v>18</v>
      </c>
      <c r="K3" s="115" t="s">
        <v>19</v>
      </c>
      <c r="L3" s="116" t="s">
        <v>20</v>
      </c>
      <c r="M3" s="115" t="s">
        <v>21</v>
      </c>
      <c r="N3" s="117" t="s">
        <v>22</v>
      </c>
      <c r="O3" s="118" t="s">
        <v>23</v>
      </c>
      <c r="P3" s="119" t="s">
        <v>24</v>
      </c>
      <c r="Q3" s="148"/>
      <c r="R3" s="149" t="s">
        <v>25</v>
      </c>
      <c r="S3" s="150" t="s">
        <v>26</v>
      </c>
      <c r="T3" s="151" t="s">
        <v>27</v>
      </c>
      <c r="U3" s="152" t="s">
        <v>28</v>
      </c>
      <c r="V3" s="151" t="s">
        <v>29</v>
      </c>
      <c r="W3" s="153"/>
      <c r="X3" s="154"/>
      <c r="Y3" s="164" t="s">
        <v>30</v>
      </c>
      <c r="Z3" s="164" t="s">
        <v>31</v>
      </c>
      <c r="AA3" s="164" t="s">
        <v>32</v>
      </c>
      <c r="AB3" s="165" t="s">
        <v>33</v>
      </c>
      <c r="AC3" s="166" t="s">
        <v>34</v>
      </c>
      <c r="AD3" s="167" t="s">
        <v>24</v>
      </c>
      <c r="AE3" s="168" t="s">
        <v>35</v>
      </c>
      <c r="AF3" s="169"/>
    </row>
    <row r="4" s="84" customFormat="1" ht="12.75" spans="1:33">
      <c r="A4" s="174"/>
      <c r="B4" s="175"/>
      <c r="C4" s="99">
        <v>241010000022</v>
      </c>
      <c r="D4" s="100">
        <v>45583</v>
      </c>
      <c r="E4" s="100" t="s">
        <v>80</v>
      </c>
      <c r="F4" s="175" t="s">
        <v>81</v>
      </c>
      <c r="G4" s="216" t="s">
        <v>82</v>
      </c>
      <c r="H4" s="216">
        <v>5.5556</v>
      </c>
      <c r="I4" s="216">
        <v>5276</v>
      </c>
      <c r="J4" s="217">
        <v>16400</v>
      </c>
      <c r="K4" s="218"/>
      <c r="L4" s="222"/>
      <c r="M4" s="220"/>
      <c r="N4" s="222"/>
      <c r="O4" s="215"/>
      <c r="P4" s="221">
        <v>16400</v>
      </c>
      <c r="Q4" s="227"/>
      <c r="R4" s="227"/>
      <c r="S4" s="228">
        <v>3407.3802</v>
      </c>
      <c r="T4" s="228">
        <v>8.147124</v>
      </c>
      <c r="U4" s="228">
        <v>122.55</v>
      </c>
      <c r="V4" s="228"/>
      <c r="W4" s="228"/>
      <c r="X4" s="228">
        <v>3538.077324</v>
      </c>
      <c r="Y4" s="229">
        <v>859.801813</v>
      </c>
      <c r="Z4" s="229">
        <v>138.17</v>
      </c>
      <c r="AA4" s="229"/>
      <c r="AB4" s="229">
        <v>997.971813</v>
      </c>
      <c r="AC4" s="218">
        <v>7.28</v>
      </c>
      <c r="AD4" s="228">
        <v>7265.23479864</v>
      </c>
      <c r="AE4" s="228">
        <v>10803.31212264</v>
      </c>
      <c r="AF4" s="228">
        <v>5596.68787736</v>
      </c>
      <c r="AG4" s="84">
        <f>SUM(AF4/2)</f>
        <v>2798.34393868</v>
      </c>
    </row>
    <row r="5" s="84" customFormat="1" ht="12.75" spans="1:32">
      <c r="A5" s="174"/>
      <c r="B5" s="175"/>
      <c r="C5" s="99">
        <v>241008000098</v>
      </c>
      <c r="D5" s="100">
        <v>45580</v>
      </c>
      <c r="E5" s="100" t="s">
        <v>80</v>
      </c>
      <c r="F5" s="175" t="s">
        <v>81</v>
      </c>
      <c r="G5" s="175" t="s">
        <v>83</v>
      </c>
      <c r="H5" s="175">
        <v>0.0392</v>
      </c>
      <c r="I5" s="175">
        <v>27</v>
      </c>
      <c r="J5" s="120">
        <v>88.47</v>
      </c>
      <c r="K5" s="121"/>
      <c r="L5" s="176"/>
      <c r="M5" s="123"/>
      <c r="N5" s="176"/>
      <c r="O5" s="98"/>
      <c r="P5" s="124">
        <v>88.47</v>
      </c>
      <c r="Q5" s="155"/>
      <c r="R5" s="155"/>
      <c r="S5" s="156">
        <v>23.1141647058824</v>
      </c>
      <c r="T5" s="156"/>
      <c r="U5" s="156">
        <v>1.21058823529412</v>
      </c>
      <c r="V5" s="156"/>
      <c r="W5" s="156"/>
      <c r="X5" s="156">
        <v>24.3247529411765</v>
      </c>
      <c r="Y5" s="170">
        <v>6.04016658823529</v>
      </c>
      <c r="Z5" s="170"/>
      <c r="AA5" s="170">
        <v>0.128305058823529</v>
      </c>
      <c r="AB5" s="170">
        <v>6.16847164705882</v>
      </c>
      <c r="AC5" s="121">
        <v>7.27</v>
      </c>
      <c r="AD5" s="156">
        <v>44.8447888741176</v>
      </c>
      <c r="AE5" s="156">
        <v>69.1695418152941</v>
      </c>
      <c r="AF5" s="156">
        <v>19.3004581847059</v>
      </c>
    </row>
    <row r="6" s="84" customFormat="1" ht="12.75" spans="1:32">
      <c r="A6" s="174"/>
      <c r="B6" s="175"/>
      <c r="C6" s="99">
        <v>241015000046</v>
      </c>
      <c r="D6" s="100">
        <v>45583</v>
      </c>
      <c r="E6" s="100" t="s">
        <v>80</v>
      </c>
      <c r="F6" s="175" t="s">
        <v>81</v>
      </c>
      <c r="G6" s="175" t="s">
        <v>84</v>
      </c>
      <c r="H6" s="175">
        <v>0.5175</v>
      </c>
      <c r="I6" s="175">
        <v>333</v>
      </c>
      <c r="J6" s="120">
        <v>1773.41</v>
      </c>
      <c r="K6" s="121"/>
      <c r="L6" s="176"/>
      <c r="M6" s="123"/>
      <c r="N6" s="176"/>
      <c r="O6" s="98"/>
      <c r="P6" s="124">
        <v>1773.41</v>
      </c>
      <c r="Q6" s="155"/>
      <c r="R6" s="155"/>
      <c r="S6" s="156">
        <v>317.394926470588</v>
      </c>
      <c r="T6" s="156">
        <v>0.758898529411765</v>
      </c>
      <c r="U6" s="156">
        <v>11.4154411764706</v>
      </c>
      <c r="V6" s="156"/>
      <c r="W6" s="156"/>
      <c r="X6" s="156">
        <v>329.569266176471</v>
      </c>
      <c r="Y6" s="170">
        <v>80.0898981617647</v>
      </c>
      <c r="Z6" s="170"/>
      <c r="AA6" s="170"/>
      <c r="AB6" s="170">
        <v>80.0898981617647</v>
      </c>
      <c r="AC6" s="121">
        <v>7.28</v>
      </c>
      <c r="AD6" s="156">
        <v>583.054458617647</v>
      </c>
      <c r="AE6" s="156">
        <v>912.623724794118</v>
      </c>
      <c r="AF6" s="156">
        <v>860.786275205882</v>
      </c>
    </row>
    <row r="7" s="84" customFormat="1" ht="12.75" spans="1:32">
      <c r="A7" s="97"/>
      <c r="B7" s="98"/>
      <c r="C7" s="99">
        <v>241018000040</v>
      </c>
      <c r="D7" s="100">
        <v>45587</v>
      </c>
      <c r="E7" s="100" t="s">
        <v>80</v>
      </c>
      <c r="F7" s="98" t="s">
        <v>81</v>
      </c>
      <c r="G7" s="98" t="s">
        <v>83</v>
      </c>
      <c r="H7" s="98">
        <v>0.072</v>
      </c>
      <c r="I7" s="98">
        <v>11</v>
      </c>
      <c r="J7" s="120">
        <v>153.3</v>
      </c>
      <c r="K7" s="121"/>
      <c r="L7" s="122"/>
      <c r="M7" s="123"/>
      <c r="N7" s="122"/>
      <c r="O7" s="98"/>
      <c r="P7" s="124">
        <v>153.3</v>
      </c>
      <c r="Q7" s="155"/>
      <c r="R7" s="155"/>
      <c r="S7" s="156">
        <v>49.4152941176471</v>
      </c>
      <c r="T7" s="156"/>
      <c r="U7" s="156">
        <v>1.37647058823529</v>
      </c>
      <c r="V7" s="156"/>
      <c r="W7" s="156"/>
      <c r="X7" s="156">
        <v>50.7917647058824</v>
      </c>
      <c r="Y7" s="170">
        <v>11.1429423529412</v>
      </c>
      <c r="Z7" s="170"/>
      <c r="AA7" s="170"/>
      <c r="AB7" s="170">
        <v>11.1429423529412</v>
      </c>
      <c r="AC7" s="121">
        <v>7.28</v>
      </c>
      <c r="AD7" s="156">
        <v>81.1206203294117</v>
      </c>
      <c r="AE7" s="156">
        <v>131.912385035294</v>
      </c>
      <c r="AF7" s="156">
        <v>21.387614964706</v>
      </c>
    </row>
    <row r="8" s="84" customFormat="1" ht="12.75" spans="1:32">
      <c r="A8" s="97"/>
      <c r="B8" s="98"/>
      <c r="C8" s="99">
        <v>241021000038</v>
      </c>
      <c r="D8" s="100">
        <v>45587</v>
      </c>
      <c r="E8" s="100" t="s">
        <v>80</v>
      </c>
      <c r="F8" s="98" t="s">
        <v>81</v>
      </c>
      <c r="G8" s="98" t="s">
        <v>85</v>
      </c>
      <c r="H8" s="98">
        <v>0.443</v>
      </c>
      <c r="I8" s="98">
        <v>70</v>
      </c>
      <c r="J8" s="120">
        <v>1201</v>
      </c>
      <c r="K8" s="121"/>
      <c r="L8" s="122"/>
      <c r="M8" s="123"/>
      <c r="N8" s="122"/>
      <c r="O8" s="98"/>
      <c r="P8" s="124">
        <v>1201</v>
      </c>
      <c r="Q8" s="155"/>
      <c r="R8" s="155"/>
      <c r="S8" s="156">
        <v>304.041323529412</v>
      </c>
      <c r="T8" s="156"/>
      <c r="U8" s="156">
        <v>8.46911764705882</v>
      </c>
      <c r="V8" s="156"/>
      <c r="W8" s="156"/>
      <c r="X8" s="156">
        <v>312.510441176471</v>
      </c>
      <c r="Y8" s="170">
        <v>68.5600480882353</v>
      </c>
      <c r="Z8" s="170"/>
      <c r="AA8" s="170"/>
      <c r="AB8" s="170">
        <v>68.5600480882353</v>
      </c>
      <c r="AC8" s="121">
        <v>7.28</v>
      </c>
      <c r="AD8" s="156">
        <v>499.117150082353</v>
      </c>
      <c r="AE8" s="156">
        <v>811.627591258824</v>
      </c>
      <c r="AF8" s="156">
        <v>389.372408741176</v>
      </c>
    </row>
    <row r="9" s="84" customFormat="1" ht="12.75" spans="1:32">
      <c r="A9" s="97"/>
      <c r="B9" s="98"/>
      <c r="C9" s="99">
        <v>241025000020</v>
      </c>
      <c r="D9" s="100">
        <v>45595</v>
      </c>
      <c r="E9" s="100" t="s">
        <v>80</v>
      </c>
      <c r="F9" s="98" t="s">
        <v>81</v>
      </c>
      <c r="G9" s="98" t="s">
        <v>83</v>
      </c>
      <c r="H9" s="98">
        <v>0.054</v>
      </c>
      <c r="I9" s="98">
        <v>11</v>
      </c>
      <c r="J9" s="120">
        <v>118</v>
      </c>
      <c r="K9" s="121"/>
      <c r="L9" s="122"/>
      <c r="M9" s="123"/>
      <c r="N9" s="122"/>
      <c r="O9" s="98"/>
      <c r="P9" s="124">
        <v>118</v>
      </c>
      <c r="Q9" s="155"/>
      <c r="R9" s="155"/>
      <c r="S9" s="156">
        <v>39.0324705882353</v>
      </c>
      <c r="T9" s="156"/>
      <c r="U9" s="156">
        <v>1.11176470588235</v>
      </c>
      <c r="V9" s="156"/>
      <c r="W9" s="156"/>
      <c r="X9" s="156">
        <v>40.1442352941176</v>
      </c>
      <c r="Y9" s="170">
        <v>8.84162647058823</v>
      </c>
      <c r="Z9" s="170"/>
      <c r="AA9" s="170">
        <v>0.0549291176470588</v>
      </c>
      <c r="AB9" s="170">
        <v>8.89655558823529</v>
      </c>
      <c r="AC9" s="121">
        <v>7.3</v>
      </c>
      <c r="AD9" s="156">
        <v>64.9448557941176</v>
      </c>
      <c r="AE9" s="156">
        <v>105.089091088235</v>
      </c>
      <c r="AF9" s="156">
        <v>12.910908911765</v>
      </c>
    </row>
    <row r="10" customFormat="1" spans="1:32">
      <c r="A10" s="230" t="s">
        <v>65</v>
      </c>
      <c r="B10" s="231"/>
      <c r="C10" s="159"/>
      <c r="D10" s="159"/>
      <c r="E10" s="159"/>
      <c r="F10" s="159"/>
      <c r="G10" s="159"/>
      <c r="H10" s="159">
        <f>SUM(H4:H9)</f>
        <v>6.6813</v>
      </c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  <c r="AB10" s="172"/>
      <c r="AC10" s="172"/>
      <c r="AD10" s="172"/>
      <c r="AE10" s="172"/>
      <c r="AF10" s="172">
        <f>SUM(AF4:AF9)</f>
        <v>6900.44554336823</v>
      </c>
    </row>
    <row r="11" s="194" customFormat="1" ht="22" customHeight="1" spans="1:32">
      <c r="A11" s="1"/>
      <c r="B11" s="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8"/>
      <c r="T11" s="208"/>
      <c r="U11" s="208"/>
      <c r="V11" s="208"/>
      <c r="W11" s="208"/>
      <c r="X11" s="208"/>
      <c r="Y11" s="208"/>
      <c r="AF11" s="194">
        <v>2798.34</v>
      </c>
    </row>
    <row r="12" s="1" customFormat="1" ht="23" customHeight="1" spans="3:32">
      <c r="C12" s="70" t="s">
        <v>66</v>
      </c>
      <c r="D12" s="70"/>
      <c r="E12" s="70"/>
      <c r="F12" s="105" t="s">
        <v>67</v>
      </c>
      <c r="G12" s="106"/>
      <c r="H12" s="106"/>
      <c r="I12" s="127"/>
      <c r="J12"/>
      <c r="K12" s="132" t="s">
        <v>86</v>
      </c>
      <c r="L12" s="132"/>
      <c r="M12" s="132"/>
      <c r="N12" s="132"/>
      <c r="O12"/>
      <c r="P12"/>
      <c r="AF12" s="1">
        <f>SUM(AF10-AF11)</f>
        <v>4102.10554336823</v>
      </c>
    </row>
    <row r="13" s="1" customFormat="1" ht="23" customHeight="1" spans="3:16">
      <c r="C13" s="70"/>
      <c r="D13" s="70"/>
      <c r="E13" s="70"/>
      <c r="F13" s="107"/>
      <c r="G13" s="108"/>
      <c r="H13" s="108"/>
      <c r="I13" s="131"/>
      <c r="J13"/>
      <c r="K13" s="223" t="s">
        <v>69</v>
      </c>
      <c r="L13" s="223" t="s">
        <v>8</v>
      </c>
      <c r="M13" s="223" t="s">
        <v>70</v>
      </c>
      <c r="N13" s="223" t="s">
        <v>87</v>
      </c>
      <c r="O13"/>
      <c r="P13"/>
    </row>
    <row r="14" s="1" customFormat="1" ht="23" customHeight="1" spans="3:16">
      <c r="C14" s="70" t="s">
        <v>71</v>
      </c>
      <c r="D14" s="70"/>
      <c r="E14" s="70"/>
      <c r="F14" s="76" t="s">
        <v>72</v>
      </c>
      <c r="G14" s="77"/>
      <c r="H14" s="77"/>
      <c r="I14" s="78"/>
      <c r="J14"/>
      <c r="K14" s="132" t="s">
        <v>73</v>
      </c>
      <c r="L14" s="133">
        <f>SUM(H10)</f>
        <v>6.6813</v>
      </c>
      <c r="M14" s="134">
        <v>4102.10554336823</v>
      </c>
      <c r="N14" s="224" t="s">
        <v>88</v>
      </c>
      <c r="O14"/>
      <c r="P14"/>
    </row>
    <row r="15" s="1" customFormat="1" ht="23" customHeight="1" spans="3:16">
      <c r="C15" s="70"/>
      <c r="D15" s="70"/>
      <c r="E15" s="70"/>
      <c r="F15" s="79"/>
      <c r="G15" s="80"/>
      <c r="H15" s="80"/>
      <c r="I15" s="81"/>
      <c r="J15"/>
      <c r="K15" s="135" t="s">
        <v>74</v>
      </c>
      <c r="L15" s="135"/>
      <c r="M15" s="136">
        <v>3000</v>
      </c>
      <c r="N15" s="225"/>
      <c r="O15"/>
      <c r="P15"/>
    </row>
    <row r="16" s="1" customFormat="1" ht="23" customHeight="1" spans="3:16">
      <c r="C16" s="70" t="s">
        <v>75</v>
      </c>
      <c r="D16" s="70"/>
      <c r="E16" s="70"/>
      <c r="F16" s="76" t="s">
        <v>76</v>
      </c>
      <c r="G16" s="77"/>
      <c r="H16" s="77"/>
      <c r="I16" s="78"/>
      <c r="J16"/>
      <c r="K16" s="137" t="s">
        <v>77</v>
      </c>
      <c r="L16" s="137"/>
      <c r="M16" s="138">
        <f>SUM(M14-M15)</f>
        <v>1102.10554336823</v>
      </c>
      <c r="N16" s="225"/>
      <c r="O16"/>
      <c r="P16"/>
    </row>
    <row r="17" s="1" customFormat="1" ht="23" customHeight="1" spans="3:16">
      <c r="C17" s="70"/>
      <c r="D17" s="70"/>
      <c r="E17" s="70"/>
      <c r="F17" s="79"/>
      <c r="G17" s="80"/>
      <c r="H17" s="80"/>
      <c r="I17" s="81"/>
      <c r="J17"/>
      <c r="K17" s="132" t="s">
        <v>78</v>
      </c>
      <c r="L17" s="132"/>
      <c r="M17" s="132">
        <v>0.15</v>
      </c>
      <c r="N17" s="225"/>
      <c r="O17"/>
      <c r="P17"/>
    </row>
    <row r="18" s="1" customFormat="1" ht="23" customHeight="1" spans="5:16">
      <c r="E18"/>
      <c r="F18"/>
      <c r="G18"/>
      <c r="H18"/>
      <c r="I18"/>
      <c r="J18"/>
      <c r="K18" s="135" t="s">
        <v>79</v>
      </c>
      <c r="L18" s="135"/>
      <c r="M18" s="136">
        <f>SUM(M16*M17)</f>
        <v>165.315831505235</v>
      </c>
      <c r="N18" s="226"/>
      <c r="O18"/>
      <c r="P18"/>
    </row>
    <row r="19" s="1" customFormat="1" ht="23" customHeight="1" spans="5:16">
      <c r="E19"/>
      <c r="F19"/>
      <c r="G19"/>
      <c r="H19"/>
      <c r="I19"/>
      <c r="J19"/>
      <c r="K19"/>
      <c r="L19"/>
      <c r="M19"/>
      <c r="N19"/>
      <c r="O19"/>
      <c r="P19"/>
    </row>
    <row r="20" s="1" customFormat="1" ht="23" customHeight="1" spans="5:13">
      <c r="E20"/>
      <c r="F20"/>
      <c r="G20"/>
      <c r="H20"/>
      <c r="I20"/>
      <c r="J20"/>
      <c r="K20"/>
      <c r="L20"/>
      <c r="M20"/>
    </row>
    <row r="21" s="1" customFormat="1" ht="23" customHeight="1" spans="5:13">
      <c r="E21"/>
      <c r="F21"/>
      <c r="G21"/>
      <c r="H21"/>
      <c r="I21"/>
      <c r="J21"/>
      <c r="K21"/>
      <c r="L21"/>
      <c r="M21"/>
    </row>
    <row r="22" s="1" customFormat="1" ht="23" customHeight="1" spans="5:19">
      <c r="E22"/>
      <c r="F22"/>
      <c r="G22"/>
      <c r="H22"/>
      <c r="I22"/>
      <c r="J22"/>
      <c r="K22"/>
      <c r="L22"/>
      <c r="M22"/>
      <c r="O22"/>
      <c r="P22"/>
      <c r="Q22"/>
      <c r="R22"/>
      <c r="S22" s="35"/>
    </row>
    <row r="23" ht="21" customHeight="1"/>
    <row r="24" ht="21" customHeight="1"/>
  </sheetData>
  <autoFilter xmlns:etc="http://www.wps.cn/officeDocument/2017/etCustomData" ref="A1:AF18" etc:filterBottomFollowUsedRange="0">
    <extLst/>
  </autoFilter>
  <mergeCells count="25">
    <mergeCell ref="J2:P2"/>
    <mergeCell ref="R2:V2"/>
    <mergeCell ref="Y2:AD2"/>
    <mergeCell ref="A10:B10"/>
    <mergeCell ref="K12:N1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N14:N18"/>
    <mergeCell ref="Q2:Q3"/>
    <mergeCell ref="W2:W3"/>
    <mergeCell ref="X2:X3"/>
    <mergeCell ref="AF2:AF3"/>
    <mergeCell ref="C16:E17"/>
    <mergeCell ref="F16:I17"/>
    <mergeCell ref="C14:E15"/>
    <mergeCell ref="F14:I15"/>
    <mergeCell ref="C12:E13"/>
    <mergeCell ref="F12:I13"/>
  </mergeCells>
  <pageMargins left="0.75" right="0.75" top="1" bottom="1" header="0.5" footer="0.5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8"/>
  <sheetViews>
    <sheetView workbookViewId="0">
      <pane xSplit="15" ySplit="4" topLeftCell="AD22" activePane="bottomRight" state="frozen"/>
      <selection/>
      <selection pane="topRight"/>
      <selection pane="bottomLeft"/>
      <selection pane="bottomRight" activeCell="M42" sqref="M42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1" width="12"/>
    <col min="32" max="32" width="12.625"/>
    <col min="33" max="33" width="13.125" customWidth="1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40" t="s">
        <v>11</v>
      </c>
      <c r="R3" s="141" t="s">
        <v>12</v>
      </c>
      <c r="S3" s="142"/>
      <c r="T3" s="143"/>
      <c r="U3" s="144"/>
      <c r="V3" s="145"/>
      <c r="W3" s="146" t="s">
        <v>13</v>
      </c>
      <c r="X3" s="147" t="s">
        <v>14</v>
      </c>
      <c r="Y3" s="160" t="s">
        <v>15</v>
      </c>
      <c r="Z3" s="160"/>
      <c r="AA3" s="160"/>
      <c r="AB3" s="160"/>
      <c r="AC3" s="161"/>
      <c r="AD3" s="160"/>
      <c r="AE3" s="162" t="s">
        <v>16</v>
      </c>
      <c r="AF3" s="163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8"/>
      <c r="R4" s="149" t="s">
        <v>25</v>
      </c>
      <c r="S4" s="150" t="s">
        <v>26</v>
      </c>
      <c r="T4" s="151" t="s">
        <v>27</v>
      </c>
      <c r="U4" s="152" t="s">
        <v>28</v>
      </c>
      <c r="V4" s="151" t="s">
        <v>29</v>
      </c>
      <c r="W4" s="153"/>
      <c r="X4" s="154"/>
      <c r="Y4" s="164" t="s">
        <v>30</v>
      </c>
      <c r="Z4" s="164" t="s">
        <v>31</v>
      </c>
      <c r="AA4" s="164" t="s">
        <v>32</v>
      </c>
      <c r="AB4" s="165" t="s">
        <v>33</v>
      </c>
      <c r="AC4" s="166" t="s">
        <v>34</v>
      </c>
      <c r="AD4" s="167" t="s">
        <v>24</v>
      </c>
      <c r="AE4" s="168" t="s">
        <v>35</v>
      </c>
      <c r="AF4" s="169"/>
    </row>
    <row r="5" s="84" customFormat="1" ht="12.75" spans="1:32">
      <c r="A5" s="97"/>
      <c r="B5" s="98"/>
      <c r="C5" s="99">
        <v>240925000028</v>
      </c>
      <c r="D5" s="100">
        <v>45563</v>
      </c>
      <c r="E5" s="100" t="s">
        <v>89</v>
      </c>
      <c r="F5" s="98" t="s">
        <v>90</v>
      </c>
      <c r="G5" s="215" t="s">
        <v>91</v>
      </c>
      <c r="H5" s="215">
        <v>1.2354</v>
      </c>
      <c r="I5" s="215">
        <v>125</v>
      </c>
      <c r="J5" s="217">
        <v>2382.35</v>
      </c>
      <c r="K5" s="218"/>
      <c r="L5" s="219"/>
      <c r="M5" s="220"/>
      <c r="N5" s="219"/>
      <c r="O5" s="215"/>
      <c r="P5" s="221">
        <v>2382.35</v>
      </c>
      <c r="Q5" s="227"/>
      <c r="R5" s="227"/>
      <c r="S5" s="228">
        <v>736.062220588235</v>
      </c>
      <c r="T5" s="228"/>
      <c r="U5" s="228">
        <v>39.9688235294118</v>
      </c>
      <c r="V5" s="228"/>
      <c r="W5" s="228"/>
      <c r="X5" s="228">
        <v>776.031044117647</v>
      </c>
      <c r="Y5" s="229">
        <v>188.602522676471</v>
      </c>
      <c r="Z5" s="229"/>
      <c r="AA5" s="229"/>
      <c r="AB5" s="229">
        <v>188.602522676471</v>
      </c>
      <c r="AC5" s="218">
        <v>7.23</v>
      </c>
      <c r="AD5" s="228">
        <v>1363.59623895088</v>
      </c>
      <c r="AE5" s="228">
        <v>2139.62728306853</v>
      </c>
      <c r="AF5" s="228">
        <v>242.72271693147</v>
      </c>
    </row>
    <row r="6" s="84" customFormat="1" ht="12.75" spans="1:32">
      <c r="A6" s="97"/>
      <c r="B6" s="98"/>
      <c r="C6" s="99">
        <v>240928000014</v>
      </c>
      <c r="D6" s="100">
        <v>45564</v>
      </c>
      <c r="E6" s="100" t="s">
        <v>89</v>
      </c>
      <c r="F6" s="98" t="s">
        <v>90</v>
      </c>
      <c r="G6" s="215" t="s">
        <v>91</v>
      </c>
      <c r="H6" s="215">
        <v>0.6152</v>
      </c>
      <c r="I6" s="215">
        <v>107</v>
      </c>
      <c r="J6" s="217">
        <v>1191.18</v>
      </c>
      <c r="K6" s="218"/>
      <c r="L6" s="219"/>
      <c r="M6" s="220"/>
      <c r="N6" s="219"/>
      <c r="O6" s="215"/>
      <c r="P6" s="221">
        <v>1191.18</v>
      </c>
      <c r="Q6" s="227"/>
      <c r="R6" s="227"/>
      <c r="S6" s="228">
        <v>370.151364705882</v>
      </c>
      <c r="T6" s="228"/>
      <c r="U6" s="228">
        <v>9.04705882352941</v>
      </c>
      <c r="V6" s="228"/>
      <c r="W6" s="228"/>
      <c r="X6" s="228">
        <v>379.198423529412</v>
      </c>
      <c r="Y6" s="229">
        <v>93.9196889411765</v>
      </c>
      <c r="Z6" s="229"/>
      <c r="AA6" s="229">
        <v>1.03389788235294</v>
      </c>
      <c r="AB6" s="229">
        <v>94.9535868235294</v>
      </c>
      <c r="AC6" s="218">
        <v>7.27</v>
      </c>
      <c r="AD6" s="228">
        <v>690.312576207059</v>
      </c>
      <c r="AE6" s="228">
        <v>1069.51099973647</v>
      </c>
      <c r="AF6" s="228">
        <v>121.66900026353</v>
      </c>
    </row>
    <row r="7" s="84" customFormat="1" ht="12.75" spans="1:32">
      <c r="A7" s="97"/>
      <c r="B7" s="98"/>
      <c r="C7" s="99">
        <v>240928000015</v>
      </c>
      <c r="D7" s="100">
        <v>45564</v>
      </c>
      <c r="E7" s="100" t="s">
        <v>89</v>
      </c>
      <c r="F7" s="98" t="s">
        <v>90</v>
      </c>
      <c r="G7" s="215" t="s">
        <v>91</v>
      </c>
      <c r="H7" s="215">
        <v>0.1359</v>
      </c>
      <c r="I7" s="215">
        <v>19.5</v>
      </c>
      <c r="J7" s="217">
        <v>309.58</v>
      </c>
      <c r="K7" s="218"/>
      <c r="L7" s="219"/>
      <c r="M7" s="220"/>
      <c r="N7" s="219"/>
      <c r="O7" s="215"/>
      <c r="P7" s="221">
        <v>309.58</v>
      </c>
      <c r="Q7" s="227"/>
      <c r="R7" s="227"/>
      <c r="S7" s="228">
        <v>81.7678323529412</v>
      </c>
      <c r="T7" s="228"/>
      <c r="U7" s="228">
        <v>1.99852941176471</v>
      </c>
      <c r="V7" s="228"/>
      <c r="W7" s="228"/>
      <c r="X7" s="228">
        <v>83.7663617647059</v>
      </c>
      <c r="Y7" s="229">
        <v>20.7472134705882</v>
      </c>
      <c r="Z7" s="229"/>
      <c r="AA7" s="229">
        <v>0.228391941176471</v>
      </c>
      <c r="AB7" s="229">
        <v>20.9756054117647</v>
      </c>
      <c r="AC7" s="218">
        <v>7.27</v>
      </c>
      <c r="AD7" s="228">
        <v>152.492651343529</v>
      </c>
      <c r="AE7" s="228">
        <v>236.259013108235</v>
      </c>
      <c r="AF7" s="228">
        <v>73.320986891765</v>
      </c>
    </row>
    <row r="8" s="84" customFormat="1" ht="12.75" spans="1:32">
      <c r="A8" s="174"/>
      <c r="B8" s="175"/>
      <c r="C8" s="99">
        <v>241017000030</v>
      </c>
      <c r="D8" s="100">
        <v>45583</v>
      </c>
      <c r="E8" s="100" t="s">
        <v>89</v>
      </c>
      <c r="F8" s="175" t="s">
        <v>90</v>
      </c>
      <c r="G8" s="216" t="s">
        <v>91</v>
      </c>
      <c r="H8" s="216">
        <v>5.595</v>
      </c>
      <c r="I8" s="216">
        <v>600</v>
      </c>
      <c r="J8" s="217">
        <v>11415.02</v>
      </c>
      <c r="K8" s="218"/>
      <c r="L8" s="222"/>
      <c r="M8" s="220"/>
      <c r="N8" s="222"/>
      <c r="O8" s="215"/>
      <c r="P8" s="221">
        <v>11415.02</v>
      </c>
      <c r="Q8" s="227"/>
      <c r="R8" s="227"/>
      <c r="S8" s="228">
        <v>3431.54514705882</v>
      </c>
      <c r="T8" s="228">
        <v>8.20490294117647</v>
      </c>
      <c r="U8" s="228">
        <v>123.419117647059</v>
      </c>
      <c r="V8" s="228"/>
      <c r="W8" s="228"/>
      <c r="X8" s="228">
        <v>3563.16916764706</v>
      </c>
      <c r="Y8" s="229">
        <v>865.89947867647</v>
      </c>
      <c r="Z8" s="229"/>
      <c r="AA8" s="229"/>
      <c r="AB8" s="229">
        <v>865.89947867647</v>
      </c>
      <c r="AC8" s="218">
        <v>7.28</v>
      </c>
      <c r="AD8" s="228">
        <v>6303.74820476471</v>
      </c>
      <c r="AE8" s="228">
        <v>9866.91737241176</v>
      </c>
      <c r="AF8" s="228">
        <v>1548.10262758824</v>
      </c>
    </row>
    <row r="9" s="84" customFormat="1" ht="12.75" spans="1:32">
      <c r="A9" s="174"/>
      <c r="B9" s="175"/>
      <c r="C9" s="99">
        <v>241017000044</v>
      </c>
      <c r="D9" s="100">
        <v>45583</v>
      </c>
      <c r="E9" s="100" t="s">
        <v>89</v>
      </c>
      <c r="F9" s="175" t="s">
        <v>90</v>
      </c>
      <c r="G9" s="216" t="s">
        <v>91</v>
      </c>
      <c r="H9" s="216">
        <v>1.3776</v>
      </c>
      <c r="I9" s="216">
        <v>251</v>
      </c>
      <c r="J9" s="217">
        <v>2812.99</v>
      </c>
      <c r="K9" s="218"/>
      <c r="L9" s="222"/>
      <c r="M9" s="220"/>
      <c r="N9" s="222"/>
      <c r="O9" s="215"/>
      <c r="P9" s="221">
        <v>2812.99</v>
      </c>
      <c r="Q9" s="227"/>
      <c r="R9" s="227"/>
      <c r="S9" s="228">
        <v>844.914494117647</v>
      </c>
      <c r="T9" s="228">
        <v>2.02020988235294</v>
      </c>
      <c r="U9" s="228">
        <v>30.3882352941176</v>
      </c>
      <c r="V9" s="228"/>
      <c r="W9" s="228"/>
      <c r="X9" s="228">
        <v>877.322939294118</v>
      </c>
      <c r="Y9" s="229">
        <v>213.201630352941</v>
      </c>
      <c r="Z9" s="229"/>
      <c r="AA9" s="229"/>
      <c r="AB9" s="229">
        <v>213.201630352941</v>
      </c>
      <c r="AC9" s="218">
        <v>7.28</v>
      </c>
      <c r="AD9" s="228">
        <v>1552.10786896941</v>
      </c>
      <c r="AE9" s="228">
        <v>2429.43080826353</v>
      </c>
      <c r="AF9" s="228">
        <v>383.55919173647</v>
      </c>
    </row>
    <row r="10" s="84" customFormat="1" ht="12.75" spans="1:32">
      <c r="A10" s="97"/>
      <c r="B10" s="98"/>
      <c r="C10" s="99">
        <v>241016000053</v>
      </c>
      <c r="D10" s="100">
        <v>45587</v>
      </c>
      <c r="E10" s="100" t="s">
        <v>89</v>
      </c>
      <c r="F10" s="98" t="s">
        <v>90</v>
      </c>
      <c r="G10" s="215" t="s">
        <v>91</v>
      </c>
      <c r="H10" s="215">
        <v>1.2066</v>
      </c>
      <c r="I10" s="215">
        <v>116</v>
      </c>
      <c r="J10" s="217">
        <v>2950.46</v>
      </c>
      <c r="K10" s="218"/>
      <c r="L10" s="219"/>
      <c r="M10" s="220"/>
      <c r="N10" s="219"/>
      <c r="O10" s="215"/>
      <c r="P10" s="221">
        <v>2950.46</v>
      </c>
      <c r="Q10" s="227"/>
      <c r="R10" s="227"/>
      <c r="S10" s="228">
        <v>828.117970588235</v>
      </c>
      <c r="T10" s="228"/>
      <c r="U10" s="228">
        <v>23.0673529411765</v>
      </c>
      <c r="V10" s="228">
        <v>300</v>
      </c>
      <c r="W10" s="228"/>
      <c r="X10" s="228">
        <v>1151.18532352941</v>
      </c>
      <c r="Y10" s="229">
        <v>186.737142264706</v>
      </c>
      <c r="Z10" s="229"/>
      <c r="AA10" s="229"/>
      <c r="AB10" s="229">
        <v>186.737142264706</v>
      </c>
      <c r="AC10" s="218">
        <v>7.28</v>
      </c>
      <c r="AD10" s="228">
        <v>1359.44639568706</v>
      </c>
      <c r="AE10" s="228">
        <v>2510.63171921647</v>
      </c>
      <c r="AF10" s="228">
        <v>439.82828078353</v>
      </c>
    </row>
    <row r="11" s="84" customFormat="1" ht="12.75" spans="1:32">
      <c r="A11" s="97"/>
      <c r="B11" s="98"/>
      <c r="C11" s="99">
        <v>241021000062</v>
      </c>
      <c r="D11" s="100">
        <v>45587</v>
      </c>
      <c r="E11" s="100" t="s">
        <v>89</v>
      </c>
      <c r="F11" s="98" t="s">
        <v>90</v>
      </c>
      <c r="G11" s="215" t="s">
        <v>91</v>
      </c>
      <c r="H11" s="215">
        <v>0.2357</v>
      </c>
      <c r="I11" s="215">
        <v>19</v>
      </c>
      <c r="J11" s="217">
        <v>489.22</v>
      </c>
      <c r="K11" s="218"/>
      <c r="L11" s="219"/>
      <c r="M11" s="220"/>
      <c r="N11" s="219"/>
      <c r="O11" s="215"/>
      <c r="P11" s="221">
        <v>489.22</v>
      </c>
      <c r="Q11" s="227"/>
      <c r="R11" s="227"/>
      <c r="S11" s="228">
        <v>161.766455882353</v>
      </c>
      <c r="T11" s="228"/>
      <c r="U11" s="228">
        <v>4.50602941176471</v>
      </c>
      <c r="V11" s="228"/>
      <c r="W11" s="228"/>
      <c r="X11" s="228">
        <v>166.272485294118</v>
      </c>
      <c r="Y11" s="229">
        <v>36.4776598970588</v>
      </c>
      <c r="Z11" s="229"/>
      <c r="AA11" s="229"/>
      <c r="AB11" s="229">
        <v>36.4776598970588</v>
      </c>
      <c r="AC11" s="218">
        <v>7.28</v>
      </c>
      <c r="AD11" s="228">
        <v>265.557364050588</v>
      </c>
      <c r="AE11" s="228">
        <v>431.829849344706</v>
      </c>
      <c r="AF11" s="228">
        <v>57.390150655294</v>
      </c>
    </row>
    <row r="12" s="84" customFormat="1" ht="12.75" spans="1:32">
      <c r="A12" s="97"/>
      <c r="B12" s="98"/>
      <c r="C12" s="99">
        <v>241024000016</v>
      </c>
      <c r="D12" s="100">
        <v>45593</v>
      </c>
      <c r="E12" s="100" t="s">
        <v>89</v>
      </c>
      <c r="F12" s="98" t="s">
        <v>90</v>
      </c>
      <c r="G12" s="215" t="s">
        <v>91</v>
      </c>
      <c r="H12" s="215">
        <v>0.1931</v>
      </c>
      <c r="I12" s="215">
        <v>24</v>
      </c>
      <c r="J12" s="217">
        <v>410.48</v>
      </c>
      <c r="K12" s="218"/>
      <c r="L12" s="219"/>
      <c r="M12" s="220"/>
      <c r="N12" s="219"/>
      <c r="O12" s="215"/>
      <c r="P12" s="221">
        <v>410.48</v>
      </c>
      <c r="Q12" s="227"/>
      <c r="R12" s="227"/>
      <c r="S12" s="228">
        <v>135.130244117647</v>
      </c>
      <c r="T12" s="228"/>
      <c r="U12" s="228">
        <v>5.39544117647059</v>
      </c>
      <c r="V12" s="228"/>
      <c r="W12" s="228"/>
      <c r="X12" s="228">
        <v>140.525685294118</v>
      </c>
      <c r="Y12" s="229">
        <v>31.6170013235294</v>
      </c>
      <c r="Z12" s="229"/>
      <c r="AA12" s="229"/>
      <c r="AB12" s="229">
        <v>31.6170013235294</v>
      </c>
      <c r="AC12" s="218">
        <v>7.3</v>
      </c>
      <c r="AD12" s="228">
        <v>230.804109661765</v>
      </c>
      <c r="AE12" s="228">
        <v>371.329794955882</v>
      </c>
      <c r="AF12" s="228">
        <v>39.150205044118</v>
      </c>
    </row>
    <row r="13" s="84" customFormat="1" ht="12.75" spans="1:33">
      <c r="A13" s="97"/>
      <c r="B13" s="98"/>
      <c r="C13" s="99">
        <v>241025000059</v>
      </c>
      <c r="D13" s="100">
        <v>45593</v>
      </c>
      <c r="E13" s="100" t="s">
        <v>89</v>
      </c>
      <c r="F13" s="98" t="s">
        <v>90</v>
      </c>
      <c r="G13" s="215" t="s">
        <v>91</v>
      </c>
      <c r="H13" s="215">
        <v>2.2221</v>
      </c>
      <c r="I13" s="215">
        <v>248</v>
      </c>
      <c r="J13" s="217">
        <v>4576.85</v>
      </c>
      <c r="K13" s="218"/>
      <c r="L13" s="219"/>
      <c r="M13" s="220"/>
      <c r="N13" s="219"/>
      <c r="O13" s="215"/>
      <c r="P13" s="221">
        <v>4576.85</v>
      </c>
      <c r="Q13" s="227"/>
      <c r="R13" s="227"/>
      <c r="S13" s="228">
        <v>1555.01250882353</v>
      </c>
      <c r="T13" s="228"/>
      <c r="U13" s="228">
        <v>62.0880882352941</v>
      </c>
      <c r="V13" s="228"/>
      <c r="W13" s="228"/>
      <c r="X13" s="228">
        <v>1617.10059705882</v>
      </c>
      <c r="Y13" s="229">
        <v>363.832929264706</v>
      </c>
      <c r="Z13" s="229"/>
      <c r="AA13" s="229"/>
      <c r="AB13" s="229">
        <v>363.832929264706</v>
      </c>
      <c r="AC13" s="218">
        <v>7.3</v>
      </c>
      <c r="AD13" s="228">
        <v>2655.98038363235</v>
      </c>
      <c r="AE13" s="228">
        <v>4273.08098069118</v>
      </c>
      <c r="AF13" s="228">
        <v>303.76901930882</v>
      </c>
      <c r="AG13" s="84">
        <f>SUM(AF5:AF13)</f>
        <v>3209.51217920324</v>
      </c>
    </row>
    <row r="14" s="84" customFormat="1" ht="12.75" spans="1:33">
      <c r="A14" s="97"/>
      <c r="B14" s="98"/>
      <c r="C14" s="99">
        <v>240923000009</v>
      </c>
      <c r="D14" s="100">
        <v>45563</v>
      </c>
      <c r="E14" s="100" t="s">
        <v>89</v>
      </c>
      <c r="F14" s="98" t="s">
        <v>90</v>
      </c>
      <c r="G14" s="98" t="s">
        <v>92</v>
      </c>
      <c r="H14" s="98">
        <v>0.5281</v>
      </c>
      <c r="I14" s="98">
        <v>104.5</v>
      </c>
      <c r="J14" s="124"/>
      <c r="K14" s="125">
        <v>313621.07</v>
      </c>
      <c r="L14" s="122"/>
      <c r="M14" s="123">
        <v>1855.85590010391</v>
      </c>
      <c r="N14" s="126">
        <v>168.98999</v>
      </c>
      <c r="O14" s="98">
        <v>7.26</v>
      </c>
      <c r="P14" s="124">
        <v>1226.8673274</v>
      </c>
      <c r="Q14" s="155"/>
      <c r="R14" s="155"/>
      <c r="S14" s="156">
        <v>314.646639705882</v>
      </c>
      <c r="T14" s="156"/>
      <c r="U14" s="156">
        <v>17.0855882352941</v>
      </c>
      <c r="V14" s="156"/>
      <c r="W14" s="156"/>
      <c r="X14" s="156">
        <v>331.732227941176</v>
      </c>
      <c r="Y14" s="170">
        <v>80.6224641617647</v>
      </c>
      <c r="Z14" s="170"/>
      <c r="AA14" s="170"/>
      <c r="AB14" s="170">
        <v>80.6224641617647</v>
      </c>
      <c r="AC14" s="121">
        <v>7.23</v>
      </c>
      <c r="AD14" s="156">
        <v>582.900415889559</v>
      </c>
      <c r="AE14" s="156">
        <v>914.632643830735</v>
      </c>
      <c r="AF14" s="156">
        <v>312.234683569265</v>
      </c>
      <c r="AG14" s="84">
        <f>SUM(AG13/2)</f>
        <v>1604.75608960162</v>
      </c>
    </row>
    <row r="15" s="84" customFormat="1" ht="12.75" spans="1:32">
      <c r="A15" s="97"/>
      <c r="B15" s="98"/>
      <c r="C15" s="99">
        <v>240927000017</v>
      </c>
      <c r="D15" s="100">
        <v>45563</v>
      </c>
      <c r="E15" s="100" t="s">
        <v>89</v>
      </c>
      <c r="F15" s="98" t="s">
        <v>90</v>
      </c>
      <c r="G15" s="98" t="s">
        <v>93</v>
      </c>
      <c r="H15" s="98">
        <v>1.1235</v>
      </c>
      <c r="I15" s="98">
        <v>241</v>
      </c>
      <c r="J15" s="124"/>
      <c r="K15" s="125">
        <v>594820.8</v>
      </c>
      <c r="L15" s="122"/>
      <c r="M15" s="123">
        <v>1891.02133899085</v>
      </c>
      <c r="N15" s="126">
        <v>314.55002</v>
      </c>
      <c r="O15" s="98">
        <v>7.26</v>
      </c>
      <c r="P15" s="124">
        <v>2283.6331452</v>
      </c>
      <c r="Q15" s="155"/>
      <c r="R15" s="155"/>
      <c r="S15" s="156">
        <v>669.391213235294</v>
      </c>
      <c r="T15" s="156"/>
      <c r="U15" s="156">
        <v>36.3485294117647</v>
      </c>
      <c r="V15" s="156"/>
      <c r="W15" s="156"/>
      <c r="X15" s="156">
        <v>705.739742647059</v>
      </c>
      <c r="Y15" s="170">
        <v>171.519292720588</v>
      </c>
      <c r="Z15" s="170"/>
      <c r="AA15" s="170"/>
      <c r="AB15" s="170">
        <v>171.519292720588</v>
      </c>
      <c r="AC15" s="121">
        <v>7.23</v>
      </c>
      <c r="AD15" s="156">
        <v>1240.08448636985</v>
      </c>
      <c r="AE15" s="156">
        <v>1945.82422901691</v>
      </c>
      <c r="AF15" s="156">
        <v>337.80891618309</v>
      </c>
    </row>
    <row r="16" s="84" customFormat="1" ht="12.75" spans="1:32">
      <c r="A16" s="97"/>
      <c r="B16" s="98"/>
      <c r="C16" s="99">
        <v>240927000029</v>
      </c>
      <c r="D16" s="100">
        <v>45563</v>
      </c>
      <c r="E16" s="100" t="s">
        <v>89</v>
      </c>
      <c r="F16" s="98" t="s">
        <v>90</v>
      </c>
      <c r="G16" s="98" t="s">
        <v>94</v>
      </c>
      <c r="H16" s="98">
        <v>1.7289</v>
      </c>
      <c r="I16" s="98">
        <v>1316</v>
      </c>
      <c r="J16" s="124"/>
      <c r="K16" s="125">
        <v>1061222.4</v>
      </c>
      <c r="L16" s="122"/>
      <c r="M16" s="123">
        <v>1612.7994117449</v>
      </c>
      <c r="N16" s="126">
        <v>658.00024</v>
      </c>
      <c r="O16" s="98">
        <v>7.26</v>
      </c>
      <c r="P16" s="124">
        <v>4777.0817424</v>
      </c>
      <c r="Q16" s="155"/>
      <c r="R16" s="155"/>
      <c r="S16" s="156">
        <v>1030.093875</v>
      </c>
      <c r="T16" s="156"/>
      <c r="U16" s="156">
        <v>55.935</v>
      </c>
      <c r="V16" s="156"/>
      <c r="W16" s="156"/>
      <c r="X16" s="156">
        <v>1086.028875</v>
      </c>
      <c r="Y16" s="170">
        <v>263.94277275</v>
      </c>
      <c r="Z16" s="170">
        <v>7.97</v>
      </c>
      <c r="AA16" s="170"/>
      <c r="AB16" s="170">
        <v>271.91277275</v>
      </c>
      <c r="AC16" s="121">
        <v>7.23</v>
      </c>
      <c r="AD16" s="156">
        <v>1965.9293469825</v>
      </c>
      <c r="AE16" s="156">
        <v>3051.9582219825</v>
      </c>
      <c r="AF16" s="156">
        <v>1725.1235204175</v>
      </c>
    </row>
    <row r="17" s="84" customFormat="1" ht="25.5" spans="1:32">
      <c r="A17" s="97" t="s">
        <v>95</v>
      </c>
      <c r="B17" s="98" t="s">
        <v>96</v>
      </c>
      <c r="C17" s="99">
        <v>240919000034</v>
      </c>
      <c r="D17" s="100">
        <v>45563</v>
      </c>
      <c r="E17" s="100" t="s">
        <v>89</v>
      </c>
      <c r="F17" s="98" t="s">
        <v>90</v>
      </c>
      <c r="G17" s="98" t="s">
        <v>92</v>
      </c>
      <c r="H17" s="98">
        <v>0.8132</v>
      </c>
      <c r="I17" s="98">
        <v>104</v>
      </c>
      <c r="J17" s="124"/>
      <c r="K17" s="125">
        <v>607758.93</v>
      </c>
      <c r="L17" s="122"/>
      <c r="M17" s="123">
        <v>1737</v>
      </c>
      <c r="N17" s="126">
        <v>349.89</v>
      </c>
      <c r="O17" s="98">
        <v>7.26</v>
      </c>
      <c r="P17" s="124">
        <v>2540.2014</v>
      </c>
      <c r="Q17" s="189">
        <v>2858.2014</v>
      </c>
      <c r="R17" s="190" t="s">
        <v>97</v>
      </c>
      <c r="S17" s="156">
        <v>486.257723529412</v>
      </c>
      <c r="T17" s="156">
        <v>1.13273976470588</v>
      </c>
      <c r="U17" s="156">
        <v>23.9176470588235</v>
      </c>
      <c r="V17" s="156">
        <v>420</v>
      </c>
      <c r="W17" s="156"/>
      <c r="X17" s="156">
        <v>931.308110352941</v>
      </c>
      <c r="Y17" s="170">
        <v>124.147417176471</v>
      </c>
      <c r="Z17" s="170"/>
      <c r="AA17" s="170"/>
      <c r="AB17" s="170">
        <v>124.147417176471</v>
      </c>
      <c r="AC17" s="121">
        <v>7.24</v>
      </c>
      <c r="AD17" s="156">
        <v>898.82730035765</v>
      </c>
      <c r="AE17" s="156">
        <v>1830.13541071059</v>
      </c>
      <c r="AF17" s="156">
        <v>710.06598928941</v>
      </c>
    </row>
    <row r="18" s="84" customFormat="1" ht="63.75" spans="1:32">
      <c r="A18" s="97" t="s">
        <v>98</v>
      </c>
      <c r="B18" s="98" t="s">
        <v>99</v>
      </c>
      <c r="C18" s="99">
        <v>240918000046</v>
      </c>
      <c r="D18" s="100">
        <v>45564</v>
      </c>
      <c r="E18" s="100" t="s">
        <v>89</v>
      </c>
      <c r="F18" s="98" t="s">
        <v>90</v>
      </c>
      <c r="G18" s="98" t="s">
        <v>93</v>
      </c>
      <c r="H18" s="98">
        <v>11.5853</v>
      </c>
      <c r="I18" s="98">
        <v>3144</v>
      </c>
      <c r="J18" s="124"/>
      <c r="K18" s="125">
        <v>7151961.6</v>
      </c>
      <c r="L18" s="122"/>
      <c r="M18" s="123">
        <v>1754.97071376897</v>
      </c>
      <c r="N18" s="126">
        <v>4075.2598</v>
      </c>
      <c r="O18" s="98">
        <v>7.26</v>
      </c>
      <c r="P18" s="124">
        <v>29586.386148</v>
      </c>
      <c r="Q18" s="189">
        <v>55175.3435658</v>
      </c>
      <c r="R18" s="190" t="s">
        <v>100</v>
      </c>
      <c r="S18" s="156">
        <v>7144.21154264706</v>
      </c>
      <c r="T18" s="156"/>
      <c r="U18" s="156">
        <v>238.520882352941</v>
      </c>
      <c r="V18" s="156">
        <v>150</v>
      </c>
      <c r="W18" s="156"/>
      <c r="X18" s="156">
        <v>7532.732425</v>
      </c>
      <c r="Y18" s="170">
        <v>1768.67323194118</v>
      </c>
      <c r="Z18" s="170"/>
      <c r="AA18" s="170"/>
      <c r="AB18" s="170">
        <v>1768.67323194118</v>
      </c>
      <c r="AC18" s="121">
        <v>7.24</v>
      </c>
      <c r="AD18" s="156">
        <v>12805.1941992541</v>
      </c>
      <c r="AE18" s="156">
        <v>20337.9266242541</v>
      </c>
      <c r="AF18" s="156">
        <v>9248.4595237459</v>
      </c>
    </row>
    <row r="19" s="84" customFormat="1" ht="12.75" spans="1:32">
      <c r="A19" s="97"/>
      <c r="B19" s="98"/>
      <c r="C19" s="99">
        <v>240929000009</v>
      </c>
      <c r="D19" s="100">
        <v>45564</v>
      </c>
      <c r="E19" s="100" t="s">
        <v>89</v>
      </c>
      <c r="F19" s="98" t="s">
        <v>90</v>
      </c>
      <c r="G19" s="98" t="s">
        <v>94</v>
      </c>
      <c r="H19" s="98">
        <v>6.7645</v>
      </c>
      <c r="I19" s="98">
        <v>2500</v>
      </c>
      <c r="J19" s="124"/>
      <c r="K19" s="125">
        <v>3821265</v>
      </c>
      <c r="L19" s="122"/>
      <c r="M19" s="123">
        <v>1883.32429768359</v>
      </c>
      <c r="N19" s="126">
        <v>2029</v>
      </c>
      <c r="O19" s="98">
        <v>7.26</v>
      </c>
      <c r="P19" s="124">
        <v>14730.54</v>
      </c>
      <c r="Q19" s="155"/>
      <c r="R19" s="155"/>
      <c r="S19" s="156">
        <v>4171.40850735294</v>
      </c>
      <c r="T19" s="156"/>
      <c r="U19" s="156">
        <v>139.269117647059</v>
      </c>
      <c r="V19" s="156"/>
      <c r="W19" s="156"/>
      <c r="X19" s="156">
        <v>4310.677625</v>
      </c>
      <c r="Y19" s="170">
        <v>1032.70438205882</v>
      </c>
      <c r="Z19" s="170"/>
      <c r="AA19" s="170"/>
      <c r="AB19" s="170">
        <v>1032.70438205882</v>
      </c>
      <c r="AC19" s="121">
        <v>7.24</v>
      </c>
      <c r="AD19" s="156">
        <v>7476.77972610588</v>
      </c>
      <c r="AE19" s="156">
        <v>11787.4573511059</v>
      </c>
      <c r="AF19" s="156">
        <v>2943.0826488941</v>
      </c>
    </row>
    <row r="20" s="84" customFormat="1" ht="12.75" spans="1:32">
      <c r="A20" s="97"/>
      <c r="B20" s="98"/>
      <c r="C20" s="99">
        <v>240929000010</v>
      </c>
      <c r="D20" s="100">
        <v>45564</v>
      </c>
      <c r="E20" s="100" t="s">
        <v>89</v>
      </c>
      <c r="F20" s="98" t="s">
        <v>90</v>
      </c>
      <c r="G20" s="98" t="s">
        <v>94</v>
      </c>
      <c r="H20" s="98">
        <v>1.3975</v>
      </c>
      <c r="I20" s="98">
        <v>377</v>
      </c>
      <c r="J20" s="124"/>
      <c r="K20" s="125">
        <v>790272</v>
      </c>
      <c r="L20" s="122"/>
      <c r="M20" s="123">
        <v>1885.10076677395</v>
      </c>
      <c r="N20" s="126">
        <v>419.22003</v>
      </c>
      <c r="O20" s="98">
        <v>7.26</v>
      </c>
      <c r="P20" s="124">
        <v>3043.5374178</v>
      </c>
      <c r="Q20" s="155"/>
      <c r="R20" s="155"/>
      <c r="S20" s="156">
        <v>861.78481617647</v>
      </c>
      <c r="T20" s="156"/>
      <c r="U20" s="156">
        <v>28.7720588235294</v>
      </c>
      <c r="V20" s="156"/>
      <c r="W20" s="156"/>
      <c r="X20" s="156">
        <v>890.556875</v>
      </c>
      <c r="Y20" s="170">
        <v>213.349748529412</v>
      </c>
      <c r="Z20" s="170">
        <v>9.86</v>
      </c>
      <c r="AA20" s="170"/>
      <c r="AB20" s="170">
        <v>223.209748529412</v>
      </c>
      <c r="AC20" s="121">
        <v>7.24</v>
      </c>
      <c r="AD20" s="156">
        <v>1616.03857935294</v>
      </c>
      <c r="AE20" s="156">
        <v>2506.59545435294</v>
      </c>
      <c r="AF20" s="156">
        <v>536.94196344706</v>
      </c>
    </row>
    <row r="21" s="84" customFormat="1" ht="12.75" spans="1:32">
      <c r="A21" s="97"/>
      <c r="B21" s="98"/>
      <c r="C21" s="99" t="s">
        <v>101</v>
      </c>
      <c r="D21" s="100">
        <v>45564</v>
      </c>
      <c r="E21" s="100" t="s">
        <v>89</v>
      </c>
      <c r="F21" s="98" t="s">
        <v>90</v>
      </c>
      <c r="G21" s="98" t="s">
        <v>94</v>
      </c>
      <c r="H21" s="98">
        <v>2.4334</v>
      </c>
      <c r="I21" s="98">
        <v>2340</v>
      </c>
      <c r="J21" s="124"/>
      <c r="K21" s="125">
        <v>1822400</v>
      </c>
      <c r="L21" s="122"/>
      <c r="M21" s="123">
        <v>1700</v>
      </c>
      <c r="N21" s="126">
        <v>1072</v>
      </c>
      <c r="O21" s="98">
        <v>7.29</v>
      </c>
      <c r="P21" s="124">
        <v>7814.88</v>
      </c>
      <c r="Q21" s="155"/>
      <c r="R21" s="155"/>
      <c r="S21" s="156">
        <v>1500.58473823529</v>
      </c>
      <c r="T21" s="156"/>
      <c r="U21" s="156">
        <v>50.0994117647059</v>
      </c>
      <c r="V21" s="156"/>
      <c r="W21" s="156"/>
      <c r="X21" s="156">
        <v>1550.68415</v>
      </c>
      <c r="Y21" s="170">
        <v>371.495726705882</v>
      </c>
      <c r="Z21" s="170"/>
      <c r="AA21" s="170"/>
      <c r="AB21" s="170">
        <v>371.495726705882</v>
      </c>
      <c r="AC21" s="121">
        <v>7.24</v>
      </c>
      <c r="AD21" s="156">
        <v>2689.62906135059</v>
      </c>
      <c r="AE21" s="156">
        <v>4240.31321135059</v>
      </c>
      <c r="AF21" s="156">
        <v>3574.56678864941</v>
      </c>
    </row>
    <row r="22" s="84" customFormat="1" ht="12.75" spans="1:32">
      <c r="A22" s="97"/>
      <c r="B22" s="98"/>
      <c r="C22" s="99">
        <v>240929000009</v>
      </c>
      <c r="D22" s="100">
        <v>45564</v>
      </c>
      <c r="E22" s="100" t="s">
        <v>89</v>
      </c>
      <c r="F22" s="98" t="s">
        <v>90</v>
      </c>
      <c r="G22" s="98" t="s">
        <v>94</v>
      </c>
      <c r="H22" s="98">
        <v>6.006</v>
      </c>
      <c r="I22" s="98">
        <v>2236</v>
      </c>
      <c r="J22" s="124"/>
      <c r="K22" s="125">
        <v>3392789.4</v>
      </c>
      <c r="L22" s="122"/>
      <c r="M22" s="123">
        <v>1883</v>
      </c>
      <c r="N22" s="126">
        <v>1801.8</v>
      </c>
      <c r="O22" s="98">
        <v>7.26</v>
      </c>
      <c r="P22" s="124">
        <v>13081.068</v>
      </c>
      <c r="Q22" s="155"/>
      <c r="R22" s="155"/>
      <c r="S22" s="156">
        <v>3613.66888235294</v>
      </c>
      <c r="T22" s="156"/>
      <c r="U22" s="156">
        <v>88.3235294117647</v>
      </c>
      <c r="V22" s="156"/>
      <c r="W22" s="156"/>
      <c r="X22" s="156">
        <v>3701.99241176471</v>
      </c>
      <c r="Y22" s="170">
        <v>916.907756470588</v>
      </c>
      <c r="Z22" s="170">
        <v>72.87</v>
      </c>
      <c r="AA22" s="170">
        <v>10.0936129411765</v>
      </c>
      <c r="AB22" s="170">
        <v>999.871369411765</v>
      </c>
      <c r="AC22" s="121">
        <v>7.27</v>
      </c>
      <c r="AD22" s="156">
        <v>7269.06485562353</v>
      </c>
      <c r="AE22" s="156">
        <v>10971.0572673882</v>
      </c>
      <c r="AF22" s="156">
        <v>2110.0107326118</v>
      </c>
    </row>
    <row r="23" s="84" customFormat="1" ht="12.75" spans="1:32">
      <c r="A23" s="174"/>
      <c r="B23" s="175"/>
      <c r="C23" s="99">
        <v>241005000004</v>
      </c>
      <c r="D23" s="100">
        <v>45580</v>
      </c>
      <c r="E23" s="100" t="s">
        <v>89</v>
      </c>
      <c r="F23" s="175" t="s">
        <v>90</v>
      </c>
      <c r="G23" s="175" t="s">
        <v>94</v>
      </c>
      <c r="H23" s="175">
        <v>0.5915</v>
      </c>
      <c r="I23" s="175">
        <v>456</v>
      </c>
      <c r="J23" s="211"/>
      <c r="K23" s="125">
        <v>359040</v>
      </c>
      <c r="L23" s="176"/>
      <c r="M23" s="123">
        <v>1700</v>
      </c>
      <c r="N23" s="126">
        <v>211.2</v>
      </c>
      <c r="O23" s="98">
        <v>7.29</v>
      </c>
      <c r="P23" s="124">
        <v>1539.648</v>
      </c>
      <c r="Q23" s="155"/>
      <c r="R23" s="155"/>
      <c r="S23" s="156">
        <v>348.776235294118</v>
      </c>
      <c r="T23" s="156"/>
      <c r="U23" s="156">
        <v>18.2669117647059</v>
      </c>
      <c r="V23" s="156"/>
      <c r="W23" s="156"/>
      <c r="X23" s="156">
        <v>367.043147058824</v>
      </c>
      <c r="Y23" s="170">
        <v>91.1417994117647</v>
      </c>
      <c r="Z23" s="170">
        <v>11.56</v>
      </c>
      <c r="AA23" s="170">
        <v>1.93603169117647</v>
      </c>
      <c r="AB23" s="170">
        <v>104.637831102941</v>
      </c>
      <c r="AC23" s="121">
        <v>7.27</v>
      </c>
      <c r="AD23" s="156">
        <v>760.717032118382</v>
      </c>
      <c r="AE23" s="156">
        <v>1127.76017917721</v>
      </c>
      <c r="AF23" s="156">
        <v>411.88782082279</v>
      </c>
    </row>
    <row r="24" s="84" customFormat="1" ht="12.75" spans="1:32">
      <c r="A24" s="174"/>
      <c r="B24" s="175"/>
      <c r="C24" s="99">
        <v>241007000009</v>
      </c>
      <c r="D24" s="100">
        <v>45580</v>
      </c>
      <c r="E24" s="100" t="s">
        <v>89</v>
      </c>
      <c r="F24" s="175" t="s">
        <v>90</v>
      </c>
      <c r="G24" s="175" t="s">
        <v>94</v>
      </c>
      <c r="H24" s="175">
        <v>0.0252</v>
      </c>
      <c r="I24" s="175">
        <v>13</v>
      </c>
      <c r="J24" s="211"/>
      <c r="K24" s="125">
        <v>54400</v>
      </c>
      <c r="L24" s="176"/>
      <c r="M24" s="123">
        <v>1700</v>
      </c>
      <c r="N24" s="126">
        <v>32</v>
      </c>
      <c r="O24" s="98">
        <v>7.29</v>
      </c>
      <c r="P24" s="124">
        <v>233.28</v>
      </c>
      <c r="Q24" s="155"/>
      <c r="R24" s="155"/>
      <c r="S24" s="156">
        <v>14.8591058823529</v>
      </c>
      <c r="T24" s="156"/>
      <c r="U24" s="156">
        <v>0.778235294117647</v>
      </c>
      <c r="V24" s="156"/>
      <c r="W24" s="156"/>
      <c r="X24" s="156">
        <v>15.6373411764706</v>
      </c>
      <c r="Y24" s="170">
        <v>3.88296423529412</v>
      </c>
      <c r="Z24" s="170"/>
      <c r="AA24" s="170">
        <v>0.0824818235294118</v>
      </c>
      <c r="AB24" s="170">
        <v>3.96544605882353</v>
      </c>
      <c r="AC24" s="121">
        <v>7.27</v>
      </c>
      <c r="AD24" s="156">
        <v>28.8287928476471</v>
      </c>
      <c r="AE24" s="156">
        <v>44.4661340241176</v>
      </c>
      <c r="AF24" s="156">
        <v>188.813865975882</v>
      </c>
    </row>
    <row r="25" s="84" customFormat="1" ht="12.75" spans="1:32">
      <c r="A25" s="174"/>
      <c r="B25" s="175"/>
      <c r="C25" s="99">
        <v>241010000043</v>
      </c>
      <c r="D25" s="100">
        <v>45580</v>
      </c>
      <c r="E25" s="100" t="s">
        <v>89</v>
      </c>
      <c r="F25" s="175" t="s">
        <v>90</v>
      </c>
      <c r="G25" s="175" t="s">
        <v>94</v>
      </c>
      <c r="H25" s="175">
        <v>1.9259</v>
      </c>
      <c r="I25" s="175">
        <v>967</v>
      </c>
      <c r="J25" s="211">
        <v>-7012.8</v>
      </c>
      <c r="K25" s="125">
        <v>2705720</v>
      </c>
      <c r="L25" s="176"/>
      <c r="M25" s="123">
        <v>1700</v>
      </c>
      <c r="N25" s="126">
        <v>1591.6</v>
      </c>
      <c r="O25" s="98">
        <v>7.29</v>
      </c>
      <c r="P25" s="124">
        <v>4589.964</v>
      </c>
      <c r="Q25" s="155"/>
      <c r="R25" s="155"/>
      <c r="S25" s="156">
        <v>1135.60127058824</v>
      </c>
      <c r="T25" s="156"/>
      <c r="U25" s="156">
        <v>59.4763235294118</v>
      </c>
      <c r="V25" s="156"/>
      <c r="W25" s="156"/>
      <c r="X25" s="156">
        <v>1195.07759411765</v>
      </c>
      <c r="Y25" s="170">
        <v>296.754000823529</v>
      </c>
      <c r="Z25" s="170">
        <v>37.74</v>
      </c>
      <c r="AA25" s="170">
        <v>6.30364063235294</v>
      </c>
      <c r="AB25" s="170">
        <v>340.797641455882</v>
      </c>
      <c r="AC25" s="121">
        <v>7.27</v>
      </c>
      <c r="AD25" s="156">
        <v>2477.59885338426</v>
      </c>
      <c r="AE25" s="156">
        <v>3672.67644750191</v>
      </c>
      <c r="AF25" s="156">
        <v>917.28755249809</v>
      </c>
    </row>
    <row r="26" s="84" customFormat="1" ht="12.75" spans="1:32">
      <c r="A26" s="174"/>
      <c r="B26" s="175"/>
      <c r="C26" s="99">
        <v>241016000013</v>
      </c>
      <c r="D26" s="100">
        <v>45583</v>
      </c>
      <c r="E26" s="100" t="s">
        <v>89</v>
      </c>
      <c r="F26" s="175" t="s">
        <v>90</v>
      </c>
      <c r="G26" s="175" t="s">
        <v>93</v>
      </c>
      <c r="H26" s="175">
        <v>0.4631</v>
      </c>
      <c r="I26" s="175">
        <v>128</v>
      </c>
      <c r="J26" s="211"/>
      <c r="K26" s="125">
        <v>239700</v>
      </c>
      <c r="L26" s="176"/>
      <c r="M26" s="123">
        <v>1725.32930252645</v>
      </c>
      <c r="N26" s="126">
        <v>138.93</v>
      </c>
      <c r="O26" s="98">
        <v>7.26</v>
      </c>
      <c r="P26" s="124">
        <v>1008.6318</v>
      </c>
      <c r="Q26" s="155"/>
      <c r="R26" s="155"/>
      <c r="S26" s="156">
        <v>284.030126470588</v>
      </c>
      <c r="T26" s="156">
        <v>0.679122529411765</v>
      </c>
      <c r="U26" s="156">
        <v>10.2154411764706</v>
      </c>
      <c r="V26" s="156"/>
      <c r="W26" s="156"/>
      <c r="X26" s="156">
        <v>294.924690176471</v>
      </c>
      <c r="Y26" s="170">
        <v>71.6707861617647</v>
      </c>
      <c r="Z26" s="170"/>
      <c r="AA26" s="170"/>
      <c r="AB26" s="170">
        <v>71.6707861617647</v>
      </c>
      <c r="AC26" s="121">
        <v>7.28</v>
      </c>
      <c r="AD26" s="156">
        <v>521.763323257647</v>
      </c>
      <c r="AE26" s="156">
        <v>816.688013434118</v>
      </c>
      <c r="AF26" s="156">
        <v>191.943786565882</v>
      </c>
    </row>
    <row r="27" s="84" customFormat="1" ht="12.75" spans="1:32">
      <c r="A27" s="174"/>
      <c r="B27" s="175"/>
      <c r="C27" s="99">
        <v>241017000017</v>
      </c>
      <c r="D27" s="100">
        <v>45583</v>
      </c>
      <c r="E27" s="100" t="s">
        <v>89</v>
      </c>
      <c r="F27" s="175" t="s">
        <v>90</v>
      </c>
      <c r="G27" s="175" t="s">
        <v>102</v>
      </c>
      <c r="H27" s="175">
        <v>0.2251</v>
      </c>
      <c r="I27" s="175">
        <v>53</v>
      </c>
      <c r="J27" s="211"/>
      <c r="K27" s="125">
        <v>130000</v>
      </c>
      <c r="L27" s="176"/>
      <c r="M27" s="123">
        <v>1862.99772671285</v>
      </c>
      <c r="N27" s="126">
        <v>69.78001</v>
      </c>
      <c r="O27" s="98">
        <v>7.27</v>
      </c>
      <c r="P27" s="124">
        <v>507.3006727</v>
      </c>
      <c r="Q27" s="155"/>
      <c r="R27" s="155"/>
      <c r="S27" s="156">
        <v>138.059126470588</v>
      </c>
      <c r="T27" s="156">
        <v>0.330102529411765</v>
      </c>
      <c r="U27" s="156">
        <v>4.96544117647059</v>
      </c>
      <c r="V27" s="156"/>
      <c r="W27" s="156"/>
      <c r="X27" s="156">
        <v>143.354670176471</v>
      </c>
      <c r="Y27" s="170">
        <v>34.8371711617647</v>
      </c>
      <c r="Z27" s="170"/>
      <c r="AA27" s="170"/>
      <c r="AB27" s="170">
        <v>34.8371711617647</v>
      </c>
      <c r="AC27" s="121">
        <v>7.28</v>
      </c>
      <c r="AD27" s="156">
        <v>253.614606057647</v>
      </c>
      <c r="AE27" s="156">
        <v>396.969276234118</v>
      </c>
      <c r="AF27" s="156">
        <v>110.331396465882</v>
      </c>
    </row>
    <row r="28" s="84" customFormat="1" ht="12.75" spans="1:32">
      <c r="A28" s="97"/>
      <c r="B28" s="98"/>
      <c r="C28" s="99">
        <v>241017000056</v>
      </c>
      <c r="D28" s="100">
        <v>45587</v>
      </c>
      <c r="E28" s="100" t="s">
        <v>89</v>
      </c>
      <c r="F28" s="98" t="s">
        <v>90</v>
      </c>
      <c r="G28" s="98" t="s">
        <v>93</v>
      </c>
      <c r="H28" s="98">
        <v>8.013</v>
      </c>
      <c r="I28" s="98">
        <v>788</v>
      </c>
      <c r="J28" s="124"/>
      <c r="K28" s="125">
        <v>4131000</v>
      </c>
      <c r="L28" s="122"/>
      <c r="M28" s="123">
        <v>1700</v>
      </c>
      <c r="N28" s="126">
        <v>2430</v>
      </c>
      <c r="O28" s="98">
        <v>7.26</v>
      </c>
      <c r="P28" s="124">
        <v>17641.8</v>
      </c>
      <c r="Q28" s="155"/>
      <c r="R28" s="155"/>
      <c r="S28" s="156">
        <v>5499.51044117647</v>
      </c>
      <c r="T28" s="156"/>
      <c r="U28" s="156">
        <v>153.189705882353</v>
      </c>
      <c r="V28" s="156"/>
      <c r="W28" s="156"/>
      <c r="X28" s="156">
        <v>5652.70014705882</v>
      </c>
      <c r="Y28" s="170">
        <v>1240.11662602941</v>
      </c>
      <c r="Z28" s="170"/>
      <c r="AA28" s="170"/>
      <c r="AB28" s="170">
        <v>1240.11662602941</v>
      </c>
      <c r="AC28" s="121">
        <v>7.28</v>
      </c>
      <c r="AD28" s="156">
        <v>9028.04903749412</v>
      </c>
      <c r="AE28" s="156">
        <v>14680.7491845529</v>
      </c>
      <c r="AF28" s="156">
        <v>2961.0508154471</v>
      </c>
    </row>
    <row r="29" s="84" customFormat="1" ht="12.75" spans="1:32">
      <c r="A29" s="97"/>
      <c r="B29" s="98"/>
      <c r="C29" s="99">
        <v>241018000027</v>
      </c>
      <c r="D29" s="100">
        <v>45587</v>
      </c>
      <c r="E29" s="100" t="s">
        <v>89</v>
      </c>
      <c r="F29" s="98" t="s">
        <v>90</v>
      </c>
      <c r="G29" s="98" t="s">
        <v>94</v>
      </c>
      <c r="H29" s="98">
        <v>1.3662</v>
      </c>
      <c r="I29" s="98">
        <v>373</v>
      </c>
      <c r="J29" s="124"/>
      <c r="K29" s="125">
        <v>745280</v>
      </c>
      <c r="L29" s="122"/>
      <c r="M29" s="123">
        <v>1700</v>
      </c>
      <c r="N29" s="126">
        <v>438.4</v>
      </c>
      <c r="O29" s="98">
        <v>7.29</v>
      </c>
      <c r="P29" s="124">
        <v>3195.936</v>
      </c>
      <c r="Q29" s="155"/>
      <c r="R29" s="155"/>
      <c r="S29" s="156">
        <v>937.655205882353</v>
      </c>
      <c r="T29" s="156"/>
      <c r="U29" s="156">
        <v>26.1185294117647</v>
      </c>
      <c r="V29" s="156"/>
      <c r="W29" s="156"/>
      <c r="X29" s="156">
        <v>963.773735294118</v>
      </c>
      <c r="Y29" s="170">
        <v>211.437331147059</v>
      </c>
      <c r="Z29" s="170">
        <v>12.09</v>
      </c>
      <c r="AA29" s="170"/>
      <c r="AB29" s="170">
        <v>223.527331147059</v>
      </c>
      <c r="AC29" s="121">
        <v>7.28</v>
      </c>
      <c r="AD29" s="156">
        <v>1627.27897075059</v>
      </c>
      <c r="AE29" s="156">
        <v>2591.05270604471</v>
      </c>
      <c r="AF29" s="156">
        <v>604.88329395529</v>
      </c>
    </row>
    <row r="30" s="84" customFormat="1" ht="12.75" spans="1:32">
      <c r="A30" s="97"/>
      <c r="B30" s="98"/>
      <c r="C30" s="99">
        <v>241017000051</v>
      </c>
      <c r="D30" s="100">
        <v>45593</v>
      </c>
      <c r="E30" s="100" t="s">
        <v>89</v>
      </c>
      <c r="F30" s="98" t="s">
        <v>90</v>
      </c>
      <c r="G30" s="98" t="s">
        <v>93</v>
      </c>
      <c r="H30" s="98">
        <v>3.59</v>
      </c>
      <c r="I30" s="98">
        <v>279</v>
      </c>
      <c r="J30" s="124"/>
      <c r="K30" s="125">
        <v>2138600</v>
      </c>
      <c r="L30" s="122"/>
      <c r="M30" s="123">
        <v>1700</v>
      </c>
      <c r="N30" s="126">
        <v>1258</v>
      </c>
      <c r="O30" s="98">
        <v>7.26</v>
      </c>
      <c r="P30" s="124">
        <v>9133.08</v>
      </c>
      <c r="Q30" s="155"/>
      <c r="R30" s="155"/>
      <c r="S30" s="156">
        <v>2463.90147058824</v>
      </c>
      <c r="T30" s="156"/>
      <c r="U30" s="156">
        <v>68.6323529411765</v>
      </c>
      <c r="V30" s="156"/>
      <c r="W30" s="156"/>
      <c r="X30" s="156">
        <v>2532.53382352941</v>
      </c>
      <c r="Y30" s="170">
        <v>555.599486764706</v>
      </c>
      <c r="Z30" s="170"/>
      <c r="AA30" s="170"/>
      <c r="AB30" s="170">
        <v>555.599486764706</v>
      </c>
      <c r="AC30" s="121">
        <v>7.28</v>
      </c>
      <c r="AD30" s="156">
        <v>4044.76426364706</v>
      </c>
      <c r="AE30" s="156">
        <v>6577.29808717647</v>
      </c>
      <c r="AF30" s="156">
        <v>2555.78191282353</v>
      </c>
    </row>
    <row r="31" s="84" customFormat="1" ht="12.75" spans="1:32">
      <c r="A31" s="97"/>
      <c r="B31" s="98"/>
      <c r="C31" s="99">
        <v>241017000051</v>
      </c>
      <c r="D31" s="100">
        <v>45593</v>
      </c>
      <c r="E31" s="100" t="s">
        <v>89</v>
      </c>
      <c r="F31" s="98" t="s">
        <v>90</v>
      </c>
      <c r="G31" s="98" t="s">
        <v>93</v>
      </c>
      <c r="H31" s="98">
        <v>3.273</v>
      </c>
      <c r="I31" s="98">
        <v>2588</v>
      </c>
      <c r="J31" s="124"/>
      <c r="K31" s="125">
        <v>1949050</v>
      </c>
      <c r="L31" s="122"/>
      <c r="M31" s="123">
        <v>1700</v>
      </c>
      <c r="N31" s="126">
        <v>1146.5</v>
      </c>
      <c r="O31" s="98">
        <v>7.26</v>
      </c>
      <c r="P31" s="124">
        <v>8323.59</v>
      </c>
      <c r="Q31" s="155"/>
      <c r="R31" s="155"/>
      <c r="S31" s="156">
        <v>2290.42614705882</v>
      </c>
      <c r="T31" s="156"/>
      <c r="U31" s="156">
        <v>91.4514705882353</v>
      </c>
      <c r="V31" s="156"/>
      <c r="W31" s="156"/>
      <c r="X31" s="156">
        <v>2381.87761764706</v>
      </c>
      <c r="Y31" s="170">
        <v>535.900804411765</v>
      </c>
      <c r="Z31" s="170"/>
      <c r="AA31" s="170"/>
      <c r="AB31" s="170">
        <v>535.900804411765</v>
      </c>
      <c r="AC31" s="121">
        <v>7.3</v>
      </c>
      <c r="AD31" s="156">
        <v>3912.07587220588</v>
      </c>
      <c r="AE31" s="156">
        <v>6293.95348985294</v>
      </c>
      <c r="AF31" s="156">
        <v>2029.63651014706</v>
      </c>
    </row>
    <row r="32" s="84" customFormat="1" ht="12.75" spans="1:32">
      <c r="A32" s="97"/>
      <c r="B32" s="98"/>
      <c r="C32" s="99">
        <v>241023000007</v>
      </c>
      <c r="D32" s="100">
        <v>45593</v>
      </c>
      <c r="E32" s="100" t="s">
        <v>89</v>
      </c>
      <c r="F32" s="98" t="s">
        <v>90</v>
      </c>
      <c r="G32" s="98" t="s">
        <v>102</v>
      </c>
      <c r="H32" s="98">
        <v>0.0575</v>
      </c>
      <c r="I32" s="98">
        <v>26</v>
      </c>
      <c r="J32" s="124"/>
      <c r="K32" s="125">
        <v>54219</v>
      </c>
      <c r="L32" s="122"/>
      <c r="M32" s="123">
        <v>1643</v>
      </c>
      <c r="N32" s="126">
        <v>33</v>
      </c>
      <c r="O32" s="98">
        <v>7.29</v>
      </c>
      <c r="P32" s="124">
        <v>240.57</v>
      </c>
      <c r="Q32" s="155"/>
      <c r="R32" s="155"/>
      <c r="S32" s="156">
        <v>40.2381617647059</v>
      </c>
      <c r="T32" s="156"/>
      <c r="U32" s="156">
        <v>1.60661764705882</v>
      </c>
      <c r="V32" s="156"/>
      <c r="W32" s="156"/>
      <c r="X32" s="156">
        <v>41.8447794117647</v>
      </c>
      <c r="Y32" s="170">
        <v>9.41469485294118</v>
      </c>
      <c r="Z32" s="170"/>
      <c r="AA32" s="170"/>
      <c r="AB32" s="170">
        <v>9.41469485294118</v>
      </c>
      <c r="AC32" s="121">
        <v>7.3</v>
      </c>
      <c r="AD32" s="156">
        <v>68.7272724264706</v>
      </c>
      <c r="AE32" s="156">
        <v>110.572051838235</v>
      </c>
      <c r="AF32" s="156">
        <v>129.997948161765</v>
      </c>
    </row>
    <row r="33" s="84" customFormat="1" ht="12.75" spans="1:32">
      <c r="A33" s="97"/>
      <c r="B33" s="98"/>
      <c r="C33" s="99">
        <v>241027000001</v>
      </c>
      <c r="D33" s="100">
        <v>45595</v>
      </c>
      <c r="E33" s="100" t="s">
        <v>89</v>
      </c>
      <c r="F33" s="98" t="s">
        <v>90</v>
      </c>
      <c r="G33" s="98" t="s">
        <v>103</v>
      </c>
      <c r="H33" s="98">
        <v>0.7063</v>
      </c>
      <c r="I33" s="98">
        <v>119</v>
      </c>
      <c r="J33" s="124"/>
      <c r="K33" s="125">
        <v>368007</v>
      </c>
      <c r="L33" s="122"/>
      <c r="M33" s="123">
        <v>1671.99916728756</v>
      </c>
      <c r="N33" s="126">
        <v>220.09999</v>
      </c>
      <c r="O33" s="98">
        <v>7.3</v>
      </c>
      <c r="P33" s="124">
        <v>1606.729927</v>
      </c>
      <c r="Q33" s="155"/>
      <c r="R33" s="155"/>
      <c r="S33" s="156">
        <v>491.93795</v>
      </c>
      <c r="T33" s="156"/>
      <c r="U33" s="156">
        <v>24.9282352941177</v>
      </c>
      <c r="V33" s="156"/>
      <c r="W33" s="156"/>
      <c r="X33" s="156">
        <v>516.866185294118</v>
      </c>
      <c r="Y33" s="170">
        <v>111.137032073529</v>
      </c>
      <c r="Z33" s="170"/>
      <c r="AA33" s="170">
        <v>0.695393897058824</v>
      </c>
      <c r="AB33" s="170">
        <v>111.832425970588</v>
      </c>
      <c r="AC33" s="121">
        <v>7.3</v>
      </c>
      <c r="AD33" s="156">
        <v>816.376709585294</v>
      </c>
      <c r="AE33" s="156">
        <v>1333.24289487941</v>
      </c>
      <c r="AF33" s="156">
        <v>273.487032120588</v>
      </c>
    </row>
    <row r="34" s="193" customFormat="1" ht="19" customHeight="1" spans="1:32">
      <c r="A34" s="97" t="s">
        <v>104</v>
      </c>
      <c r="B34" s="196"/>
      <c r="C34" s="197"/>
      <c r="D34" s="198"/>
      <c r="E34" s="199"/>
      <c r="F34" s="196"/>
      <c r="G34" s="196"/>
      <c r="H34" s="196">
        <f>SUM(H5:H33)</f>
        <v>65.4338</v>
      </c>
      <c r="I34" s="204"/>
      <c r="J34" s="204"/>
      <c r="K34" s="204"/>
      <c r="L34" s="204"/>
      <c r="M34" s="205"/>
      <c r="N34" s="205"/>
      <c r="O34" s="124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210"/>
      <c r="AC34" s="210"/>
      <c r="AD34" s="210"/>
      <c r="AE34" s="210"/>
      <c r="AF34" s="210">
        <f>SUM(AF5:AF33)</f>
        <v>35082.9088809946</v>
      </c>
    </row>
    <row r="35" s="194" customFormat="1" ht="20" customHeight="1" spans="1:32">
      <c r="A35" s="200"/>
      <c r="B35" s="200"/>
      <c r="D35" s="201"/>
      <c r="H35" s="202"/>
      <c r="I35" s="206"/>
      <c r="J35" s="207"/>
      <c r="K35" s="202"/>
      <c r="L35" s="202"/>
      <c r="M35" s="208"/>
      <c r="N35" s="208"/>
      <c r="O35" s="208"/>
      <c r="P35" s="208"/>
      <c r="Q35" s="208"/>
      <c r="R35" s="208"/>
      <c r="S35" s="208"/>
      <c r="T35" s="208"/>
      <c r="U35" s="208"/>
      <c r="V35" s="208"/>
      <c r="W35" s="208"/>
      <c r="X35" s="208"/>
      <c r="Y35" s="208"/>
      <c r="AF35" s="202">
        <v>1604.77</v>
      </c>
    </row>
    <row r="36" s="1" customFormat="1" ht="23" customHeight="1" spans="3:32">
      <c r="C36" s="70" t="s">
        <v>66</v>
      </c>
      <c r="D36" s="70"/>
      <c r="E36" s="70"/>
      <c r="F36" s="105" t="s">
        <v>67</v>
      </c>
      <c r="G36" s="106"/>
      <c r="H36" s="106"/>
      <c r="I36" s="127"/>
      <c r="J36"/>
      <c r="K36" s="132" t="s">
        <v>105</v>
      </c>
      <c r="L36" s="132"/>
      <c r="M36" s="132"/>
      <c r="N36" s="132"/>
      <c r="O36"/>
      <c r="P36"/>
      <c r="AF36" s="1">
        <f>SUM(AF34-AF35)</f>
        <v>33478.1388809946</v>
      </c>
    </row>
    <row r="37" s="1" customFormat="1" ht="23" customHeight="1" spans="3:16">
      <c r="C37" s="70"/>
      <c r="D37" s="70"/>
      <c r="E37" s="70"/>
      <c r="F37" s="107"/>
      <c r="G37" s="108"/>
      <c r="H37" s="108"/>
      <c r="I37" s="131"/>
      <c r="J37"/>
      <c r="K37" s="223" t="s">
        <v>69</v>
      </c>
      <c r="L37" s="223" t="s">
        <v>8</v>
      </c>
      <c r="M37" s="223" t="s">
        <v>70</v>
      </c>
      <c r="N37" s="223" t="s">
        <v>87</v>
      </c>
      <c r="O37"/>
      <c r="P37"/>
    </row>
    <row r="38" s="1" customFormat="1" ht="23" customHeight="1" spans="3:16">
      <c r="C38" s="70" t="s">
        <v>71</v>
      </c>
      <c r="D38" s="70"/>
      <c r="E38" s="70"/>
      <c r="F38" s="76" t="s">
        <v>72</v>
      </c>
      <c r="G38" s="77"/>
      <c r="H38" s="77"/>
      <c r="I38" s="78"/>
      <c r="J38"/>
      <c r="K38" s="132" t="s">
        <v>73</v>
      </c>
      <c r="L38" s="133">
        <f>SUM(H34)</f>
        <v>65.4338</v>
      </c>
      <c r="M38" s="134">
        <v>33478.1388809946</v>
      </c>
      <c r="N38" s="224" t="s">
        <v>106</v>
      </c>
      <c r="O38"/>
      <c r="P38"/>
    </row>
    <row r="39" s="1" customFormat="1" ht="23" customHeight="1" spans="3:16">
      <c r="C39" s="70"/>
      <c r="D39" s="70"/>
      <c r="E39" s="70"/>
      <c r="F39" s="79"/>
      <c r="G39" s="80"/>
      <c r="H39" s="80"/>
      <c r="I39" s="81"/>
      <c r="J39"/>
      <c r="K39" s="135" t="s">
        <v>74</v>
      </c>
      <c r="L39" s="135"/>
      <c r="M39" s="136">
        <v>3000</v>
      </c>
      <c r="N39" s="225"/>
      <c r="O39"/>
      <c r="P39"/>
    </row>
    <row r="40" s="1" customFormat="1" ht="23" customHeight="1" spans="3:16">
      <c r="C40" s="70" t="s">
        <v>75</v>
      </c>
      <c r="D40" s="70"/>
      <c r="E40" s="70"/>
      <c r="F40" s="76" t="s">
        <v>76</v>
      </c>
      <c r="G40" s="77"/>
      <c r="H40" s="77"/>
      <c r="I40" s="78"/>
      <c r="J40"/>
      <c r="K40" s="137" t="s">
        <v>77</v>
      </c>
      <c r="L40" s="137"/>
      <c r="M40" s="138">
        <f>SUM(M38-M39)</f>
        <v>30478.1388809946</v>
      </c>
      <c r="N40" s="225"/>
      <c r="O40"/>
      <c r="P40"/>
    </row>
    <row r="41" s="1" customFormat="1" ht="23" customHeight="1" spans="3:16">
      <c r="C41" s="70"/>
      <c r="D41" s="70"/>
      <c r="E41" s="70"/>
      <c r="F41" s="79"/>
      <c r="G41" s="80"/>
      <c r="H41" s="80"/>
      <c r="I41" s="81"/>
      <c r="J41"/>
      <c r="K41" s="132" t="s">
        <v>78</v>
      </c>
      <c r="L41" s="132"/>
      <c r="M41" s="132">
        <v>0.15</v>
      </c>
      <c r="N41" s="225"/>
      <c r="O41"/>
      <c r="P41"/>
    </row>
    <row r="42" s="1" customFormat="1" ht="23" customHeight="1" spans="5:16">
      <c r="E42"/>
      <c r="F42"/>
      <c r="G42"/>
      <c r="H42"/>
      <c r="I42"/>
      <c r="J42"/>
      <c r="K42" s="135" t="s">
        <v>79</v>
      </c>
      <c r="L42" s="135"/>
      <c r="M42" s="136">
        <f>SUM(M40*M41)</f>
        <v>4571.7208321492</v>
      </c>
      <c r="N42" s="226"/>
      <c r="O42"/>
      <c r="P42"/>
    </row>
    <row r="43" s="1" customFormat="1" ht="23" customHeight="1" spans="5:16">
      <c r="E43"/>
      <c r="F43"/>
      <c r="G43"/>
      <c r="H43"/>
      <c r="I43"/>
      <c r="J43"/>
      <c r="K43" s="203"/>
      <c r="L43" s="203"/>
      <c r="M43" s="203"/>
      <c r="N43" s="203"/>
      <c r="O43"/>
      <c r="P43"/>
    </row>
    <row r="44" s="1" customFormat="1" ht="23" customHeight="1" spans="5:13">
      <c r="E44"/>
      <c r="F44"/>
      <c r="G44"/>
      <c r="H44"/>
      <c r="I44"/>
      <c r="J44"/>
      <c r="K44"/>
      <c r="L44"/>
      <c r="M44"/>
    </row>
    <row r="45" s="1" customFormat="1" ht="23" customHeight="1" spans="5:13">
      <c r="E45"/>
      <c r="F45"/>
      <c r="G45"/>
      <c r="H45"/>
      <c r="I45"/>
      <c r="J45"/>
      <c r="K45"/>
      <c r="L45"/>
      <c r="M45"/>
    </row>
    <row r="46" s="1" customFormat="1" ht="23" customHeight="1" spans="5:19">
      <c r="E46"/>
      <c r="F46"/>
      <c r="G46"/>
      <c r="H46"/>
      <c r="I46"/>
      <c r="J46"/>
      <c r="K46"/>
      <c r="L46"/>
      <c r="M46"/>
      <c r="O46"/>
      <c r="P46"/>
      <c r="Q46"/>
      <c r="R46"/>
      <c r="S46" s="35"/>
    </row>
    <row r="47" s="1" customFormat="1" ht="23" customHeight="1" spans="5:19">
      <c r="E47" s="203"/>
      <c r="F47" s="203"/>
      <c r="G47" s="203"/>
      <c r="H47" s="203"/>
      <c r="I47" s="203"/>
      <c r="J47" s="203"/>
      <c r="K47" s="203"/>
      <c r="L47" s="203"/>
      <c r="N47" s="203"/>
      <c r="O47" s="203"/>
      <c r="P47" s="203"/>
      <c r="Q47" s="203"/>
      <c r="S47" s="35"/>
    </row>
    <row r="48" ht="25" customHeight="1"/>
  </sheetData>
  <mergeCells count="24">
    <mergeCell ref="J3:P3"/>
    <mergeCell ref="R3:V3"/>
    <mergeCell ref="Y3:AD3"/>
    <mergeCell ref="K36:N36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N38:N42"/>
    <mergeCell ref="Q3:Q4"/>
    <mergeCell ref="W3:W4"/>
    <mergeCell ref="X3:X4"/>
    <mergeCell ref="AF3:AF4"/>
    <mergeCell ref="C36:E37"/>
    <mergeCell ref="F36:I37"/>
    <mergeCell ref="C38:E39"/>
    <mergeCell ref="F38:I39"/>
    <mergeCell ref="C40:E41"/>
    <mergeCell ref="F40:I41"/>
  </mergeCells>
  <pageMargins left="0.75" right="0.75" top="1" bottom="1" header="0.5" footer="0.5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35"/>
  <sheetViews>
    <sheetView workbookViewId="0">
      <pane xSplit="14" ySplit="3" topLeftCell="AC12" activePane="bottomRight" state="frozen"/>
      <selection/>
      <selection pane="topRight"/>
      <selection pane="bottomLeft"/>
      <selection pane="bottomRight" activeCell="M30" sqref="M30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2"/>
    <col min="10" max="10" width="11.25"/>
    <col min="11" max="11" width="10"/>
    <col min="12" max="13" width="13.625"/>
    <col min="14" max="14" width="11.375"/>
    <col min="15" max="16" width="14.75"/>
    <col min="17" max="17" width="10.125"/>
    <col min="18" max="18" width="12.5" customWidth="1"/>
    <col min="19" max="19" width="10.125"/>
    <col min="20" max="20" width="13.625"/>
    <col min="21" max="21" width="11.25"/>
    <col min="22" max="22" width="12.5"/>
    <col min="23" max="23" width="10.125"/>
    <col min="24" max="24" width="13.625"/>
    <col min="25" max="25" width="12.5"/>
    <col min="26" max="26" width="10.125"/>
    <col min="27" max="27" width="13.625"/>
    <col min="28" max="28" width="11.25"/>
    <col min="29" max="30" width="10.125"/>
    <col min="31" max="31" width="11.25"/>
    <col min="32" max="32" width="10.375"/>
  </cols>
  <sheetData>
    <row r="1" customFormat="1" ht="24" customHeight="1" spans="1:1">
      <c r="A1" s="86" t="s">
        <v>0</v>
      </c>
    </row>
    <row r="2" s="83" customFormat="1" ht="23" customHeight="1" spans="1:32">
      <c r="A2" s="87" t="s">
        <v>1</v>
      </c>
      <c r="B2" s="88" t="s">
        <v>2</v>
      </c>
      <c r="C2" s="89" t="s">
        <v>3</v>
      </c>
      <c r="D2" s="90" t="s">
        <v>4</v>
      </c>
      <c r="E2" s="91" t="s">
        <v>5</v>
      </c>
      <c r="F2" s="92" t="s">
        <v>6</v>
      </c>
      <c r="G2" s="92" t="s">
        <v>7</v>
      </c>
      <c r="H2" s="92" t="s">
        <v>8</v>
      </c>
      <c r="I2" s="92" t="s">
        <v>9</v>
      </c>
      <c r="J2" s="109" t="s">
        <v>10</v>
      </c>
      <c r="K2" s="110"/>
      <c r="L2" s="111"/>
      <c r="M2" s="110"/>
      <c r="N2" s="111"/>
      <c r="O2" s="112"/>
      <c r="P2" s="113"/>
      <c r="Q2" s="140" t="s">
        <v>11</v>
      </c>
      <c r="R2" s="141" t="s">
        <v>12</v>
      </c>
      <c r="S2" s="142"/>
      <c r="T2" s="143"/>
      <c r="U2" s="144"/>
      <c r="V2" s="145"/>
      <c r="W2" s="146" t="s">
        <v>13</v>
      </c>
      <c r="X2" s="147" t="s">
        <v>14</v>
      </c>
      <c r="Y2" s="160" t="s">
        <v>15</v>
      </c>
      <c r="Z2" s="160"/>
      <c r="AA2" s="160"/>
      <c r="AB2" s="160"/>
      <c r="AC2" s="161"/>
      <c r="AD2" s="160"/>
      <c r="AE2" s="162" t="s">
        <v>16</v>
      </c>
      <c r="AF2" s="163" t="s">
        <v>17</v>
      </c>
    </row>
    <row r="3" s="83" customFormat="1" ht="27" customHeight="1" spans="1:32">
      <c r="A3" s="93"/>
      <c r="B3" s="94"/>
      <c r="C3" s="89"/>
      <c r="D3" s="90"/>
      <c r="E3" s="95"/>
      <c r="F3" s="96"/>
      <c r="G3" s="96"/>
      <c r="H3" s="96"/>
      <c r="I3" s="96"/>
      <c r="J3" s="114" t="s">
        <v>18</v>
      </c>
      <c r="K3" s="115" t="s">
        <v>19</v>
      </c>
      <c r="L3" s="116" t="s">
        <v>20</v>
      </c>
      <c r="M3" s="115" t="s">
        <v>21</v>
      </c>
      <c r="N3" s="117" t="s">
        <v>22</v>
      </c>
      <c r="O3" s="118" t="s">
        <v>23</v>
      </c>
      <c r="P3" s="119" t="s">
        <v>24</v>
      </c>
      <c r="Q3" s="148"/>
      <c r="R3" s="149" t="s">
        <v>25</v>
      </c>
      <c r="S3" s="150" t="s">
        <v>26</v>
      </c>
      <c r="T3" s="151" t="s">
        <v>27</v>
      </c>
      <c r="U3" s="152" t="s">
        <v>28</v>
      </c>
      <c r="V3" s="151" t="s">
        <v>29</v>
      </c>
      <c r="W3" s="153"/>
      <c r="X3" s="154"/>
      <c r="Y3" s="164" t="s">
        <v>30</v>
      </c>
      <c r="Z3" s="164" t="s">
        <v>31</v>
      </c>
      <c r="AA3" s="164" t="s">
        <v>32</v>
      </c>
      <c r="AB3" s="165" t="s">
        <v>33</v>
      </c>
      <c r="AC3" s="166" t="s">
        <v>34</v>
      </c>
      <c r="AD3" s="167" t="s">
        <v>24</v>
      </c>
      <c r="AE3" s="168" t="s">
        <v>35</v>
      </c>
      <c r="AF3" s="169"/>
    </row>
    <row r="4" s="84" customFormat="1" ht="63.75" spans="1:32">
      <c r="A4" s="97" t="s">
        <v>107</v>
      </c>
      <c r="B4" s="98" t="s">
        <v>108</v>
      </c>
      <c r="C4" s="99">
        <v>240907000011</v>
      </c>
      <c r="D4" s="100">
        <v>45563</v>
      </c>
      <c r="E4" s="100" t="s">
        <v>109</v>
      </c>
      <c r="F4" s="98" t="s">
        <v>110</v>
      </c>
      <c r="G4" s="98" t="s">
        <v>111</v>
      </c>
      <c r="H4" s="98">
        <v>0.4074</v>
      </c>
      <c r="I4" s="98">
        <v>404</v>
      </c>
      <c r="J4" s="120">
        <v>1549.3</v>
      </c>
      <c r="K4" s="121"/>
      <c r="L4" s="122"/>
      <c r="M4" s="123"/>
      <c r="N4" s="122"/>
      <c r="O4" s="98"/>
      <c r="P4" s="124">
        <v>1549.3</v>
      </c>
      <c r="Q4" s="189">
        <v>18625.01964578</v>
      </c>
      <c r="R4" s="190" t="s">
        <v>112</v>
      </c>
      <c r="S4" s="156">
        <v>242.732514705882</v>
      </c>
      <c r="T4" s="156"/>
      <c r="U4" s="156">
        <v>13.1805882352941</v>
      </c>
      <c r="V4" s="156"/>
      <c r="W4" s="156"/>
      <c r="X4" s="156">
        <v>255.913102941176</v>
      </c>
      <c r="Y4" s="170">
        <v>62.1957809117647</v>
      </c>
      <c r="Z4" s="170">
        <v>48.54</v>
      </c>
      <c r="AA4" s="170"/>
      <c r="AB4" s="170">
        <v>110.735780911765</v>
      </c>
      <c r="AC4" s="121">
        <v>7.23</v>
      </c>
      <c r="AD4" s="156">
        <v>800.619695992059</v>
      </c>
      <c r="AE4" s="156">
        <v>1056.53279893323</v>
      </c>
      <c r="AF4" s="156">
        <v>492.76720106677</v>
      </c>
    </row>
    <row r="5" s="84" customFormat="1" ht="12.75" spans="1:32">
      <c r="A5" s="97"/>
      <c r="B5" s="98"/>
      <c r="C5" s="99">
        <v>240915000027</v>
      </c>
      <c r="D5" s="100">
        <v>45563</v>
      </c>
      <c r="E5" s="100" t="s">
        <v>109</v>
      </c>
      <c r="F5" s="98" t="s">
        <v>110</v>
      </c>
      <c r="G5" s="98" t="s">
        <v>113</v>
      </c>
      <c r="H5" s="98">
        <v>0.554</v>
      </c>
      <c r="I5" s="98">
        <v>177</v>
      </c>
      <c r="J5" s="120">
        <v>1986.97</v>
      </c>
      <c r="K5" s="121"/>
      <c r="L5" s="122"/>
      <c r="M5" s="123"/>
      <c r="N5" s="122"/>
      <c r="O5" s="98"/>
      <c r="P5" s="124">
        <v>1986.97</v>
      </c>
      <c r="Q5" s="155"/>
      <c r="R5" s="155"/>
      <c r="S5" s="156">
        <v>330.078088235294</v>
      </c>
      <c r="T5" s="156"/>
      <c r="U5" s="156">
        <v>17.9235294117647</v>
      </c>
      <c r="V5" s="156">
        <v>60</v>
      </c>
      <c r="W5" s="156"/>
      <c r="X5" s="156">
        <v>408.001617647059</v>
      </c>
      <c r="Y5" s="170">
        <v>84.5764914705882</v>
      </c>
      <c r="Z5" s="170">
        <v>83.97</v>
      </c>
      <c r="AA5" s="170"/>
      <c r="AB5" s="170">
        <v>168.546491470588</v>
      </c>
      <c r="AC5" s="121">
        <v>7.23</v>
      </c>
      <c r="AD5" s="156">
        <v>1218.59113333235</v>
      </c>
      <c r="AE5" s="156">
        <v>1626.59275097941</v>
      </c>
      <c r="AF5" s="156">
        <v>360.37724902059</v>
      </c>
    </row>
    <row r="6" s="84" customFormat="1" ht="12.75" spans="1:32">
      <c r="A6" s="97"/>
      <c r="B6" s="98"/>
      <c r="C6" s="99">
        <v>240920000027</v>
      </c>
      <c r="D6" s="100">
        <v>45563</v>
      </c>
      <c r="E6" s="100" t="s">
        <v>109</v>
      </c>
      <c r="F6" s="98" t="s">
        <v>110</v>
      </c>
      <c r="G6" s="98" t="s">
        <v>114</v>
      </c>
      <c r="H6" s="98">
        <v>1.1252</v>
      </c>
      <c r="I6" s="98">
        <v>111</v>
      </c>
      <c r="J6" s="120">
        <v>3500.8</v>
      </c>
      <c r="K6" s="121"/>
      <c r="L6" s="122"/>
      <c r="M6" s="123"/>
      <c r="N6" s="122"/>
      <c r="O6" s="98"/>
      <c r="P6" s="124">
        <v>3500.8</v>
      </c>
      <c r="Q6" s="155"/>
      <c r="R6" s="155"/>
      <c r="S6" s="156">
        <v>670.404088235294</v>
      </c>
      <c r="T6" s="156"/>
      <c r="U6" s="156">
        <v>36.4035294117647</v>
      </c>
      <c r="V6" s="156"/>
      <c r="W6" s="156"/>
      <c r="X6" s="156">
        <v>706.807617647059</v>
      </c>
      <c r="Y6" s="170">
        <v>171.778823470588</v>
      </c>
      <c r="Z6" s="170">
        <v>8.31</v>
      </c>
      <c r="AA6" s="170">
        <v>117.69</v>
      </c>
      <c r="AB6" s="170">
        <v>297.778823470588</v>
      </c>
      <c r="AC6" s="121">
        <v>7.23</v>
      </c>
      <c r="AD6" s="156">
        <v>2152.94089369235</v>
      </c>
      <c r="AE6" s="156">
        <v>2859.74851133941</v>
      </c>
      <c r="AF6" s="156">
        <v>641.05148866059</v>
      </c>
    </row>
    <row r="7" s="84" customFormat="1" ht="12.75" spans="1:32">
      <c r="A7" s="97"/>
      <c r="B7" s="98"/>
      <c r="C7" s="99">
        <v>240923000047</v>
      </c>
      <c r="D7" s="100">
        <v>45563</v>
      </c>
      <c r="E7" s="100" t="s">
        <v>109</v>
      </c>
      <c r="F7" s="98" t="s">
        <v>110</v>
      </c>
      <c r="G7" s="98" t="s">
        <v>115</v>
      </c>
      <c r="H7" s="98">
        <v>0.8</v>
      </c>
      <c r="I7" s="98">
        <v>197</v>
      </c>
      <c r="J7" s="124"/>
      <c r="K7" s="125">
        <v>390880</v>
      </c>
      <c r="L7" s="122"/>
      <c r="M7" s="123">
        <v>1744.99976629467</v>
      </c>
      <c r="N7" s="126">
        <v>224.00003</v>
      </c>
      <c r="O7" s="98">
        <v>7.21</v>
      </c>
      <c r="P7" s="124">
        <v>1615.0402163</v>
      </c>
      <c r="Q7" s="155"/>
      <c r="R7" s="155"/>
      <c r="S7" s="156">
        <v>476.647058823529</v>
      </c>
      <c r="T7" s="156"/>
      <c r="U7" s="156">
        <v>25.8823529411765</v>
      </c>
      <c r="V7" s="156"/>
      <c r="W7" s="156"/>
      <c r="X7" s="156">
        <v>502.529411764706</v>
      </c>
      <c r="Y7" s="170">
        <v>122.132117647059</v>
      </c>
      <c r="Z7" s="170"/>
      <c r="AA7" s="170"/>
      <c r="AB7" s="170">
        <v>122.132117647059</v>
      </c>
      <c r="AC7" s="121">
        <v>7.23</v>
      </c>
      <c r="AD7" s="156">
        <v>883.015210588235</v>
      </c>
      <c r="AE7" s="156">
        <v>1385.54462235294</v>
      </c>
      <c r="AF7" s="156">
        <v>229.49559394706</v>
      </c>
    </row>
    <row r="8" s="84" customFormat="1" ht="12.75" spans="1:32">
      <c r="A8" s="97"/>
      <c r="B8" s="98"/>
      <c r="C8" s="99">
        <v>240919000020</v>
      </c>
      <c r="D8" s="100">
        <v>45564</v>
      </c>
      <c r="E8" s="100" t="s">
        <v>109</v>
      </c>
      <c r="F8" s="98" t="s">
        <v>110</v>
      </c>
      <c r="G8" s="98" t="s">
        <v>116</v>
      </c>
      <c r="H8" s="98">
        <v>1.06</v>
      </c>
      <c r="I8" s="98">
        <v>594</v>
      </c>
      <c r="J8" s="120">
        <v>2180</v>
      </c>
      <c r="K8" s="121"/>
      <c r="L8" s="122"/>
      <c r="M8" s="123"/>
      <c r="N8" s="122"/>
      <c r="O8" s="98"/>
      <c r="P8" s="124">
        <v>2180</v>
      </c>
      <c r="Q8" s="155"/>
      <c r="R8" s="155"/>
      <c r="S8" s="156">
        <v>633.833235294118</v>
      </c>
      <c r="T8" s="156">
        <v>1.47651764705882</v>
      </c>
      <c r="U8" s="156">
        <v>31.1764705882353</v>
      </c>
      <c r="V8" s="156"/>
      <c r="W8" s="156"/>
      <c r="X8" s="156">
        <v>666.486223529412</v>
      </c>
      <c r="Y8" s="170">
        <v>161.825211764706</v>
      </c>
      <c r="Z8" s="170"/>
      <c r="AA8" s="170"/>
      <c r="AB8" s="170">
        <v>161.825211764706</v>
      </c>
      <c r="AC8" s="121">
        <v>7.24</v>
      </c>
      <c r="AD8" s="156">
        <v>1171.61453317647</v>
      </c>
      <c r="AE8" s="156">
        <v>1838.10075670588</v>
      </c>
      <c r="AF8" s="156">
        <v>341.89924329412</v>
      </c>
    </row>
    <row r="9" s="84" customFormat="1" ht="12.75" spans="1:32">
      <c r="A9" s="97"/>
      <c r="B9" s="98"/>
      <c r="C9" s="99">
        <v>240919000020</v>
      </c>
      <c r="D9" s="100">
        <v>45564</v>
      </c>
      <c r="E9" s="100" t="s">
        <v>109</v>
      </c>
      <c r="F9" s="98" t="s">
        <v>110</v>
      </c>
      <c r="G9" s="98" t="s">
        <v>116</v>
      </c>
      <c r="H9" s="98">
        <v>3.887</v>
      </c>
      <c r="I9" s="98">
        <v>1821.5</v>
      </c>
      <c r="J9" s="120">
        <v>8001.8</v>
      </c>
      <c r="K9" s="121"/>
      <c r="L9" s="122"/>
      <c r="M9" s="123"/>
      <c r="N9" s="122"/>
      <c r="O9" s="98"/>
      <c r="P9" s="124">
        <v>8001.8</v>
      </c>
      <c r="Q9" s="155"/>
      <c r="R9" s="155"/>
      <c r="S9" s="156">
        <v>2396.96427941176</v>
      </c>
      <c r="T9" s="156"/>
      <c r="U9" s="156">
        <v>80.0264705882353</v>
      </c>
      <c r="V9" s="156"/>
      <c r="W9" s="156"/>
      <c r="X9" s="156">
        <v>2476.99075</v>
      </c>
      <c r="Y9" s="170">
        <v>593.409998235294</v>
      </c>
      <c r="Z9" s="170"/>
      <c r="AA9" s="170"/>
      <c r="AB9" s="170">
        <v>593.409998235294</v>
      </c>
      <c r="AC9" s="121">
        <v>7.24</v>
      </c>
      <c r="AD9" s="156">
        <v>4296.28838722353</v>
      </c>
      <c r="AE9" s="156">
        <v>6773.27913722353</v>
      </c>
      <c r="AF9" s="156">
        <v>1228.52086277647</v>
      </c>
    </row>
    <row r="10" s="84" customFormat="1" ht="12.75" spans="1:32">
      <c r="A10" s="97"/>
      <c r="B10" s="98"/>
      <c r="C10" s="99">
        <v>240919000020</v>
      </c>
      <c r="D10" s="100">
        <v>45564</v>
      </c>
      <c r="E10" s="100" t="s">
        <v>109</v>
      </c>
      <c r="F10" s="98" t="s">
        <v>110</v>
      </c>
      <c r="G10" s="98" t="s">
        <v>116</v>
      </c>
      <c r="H10" s="98">
        <v>1.4136</v>
      </c>
      <c r="I10" s="98">
        <v>664.5</v>
      </c>
      <c r="J10" s="120">
        <v>2907</v>
      </c>
      <c r="K10" s="121"/>
      <c r="L10" s="122"/>
      <c r="M10" s="123"/>
      <c r="N10" s="122"/>
      <c r="O10" s="98"/>
      <c r="P10" s="124">
        <v>2907</v>
      </c>
      <c r="Q10" s="155"/>
      <c r="R10" s="155"/>
      <c r="S10" s="156">
        <v>850.529858823529</v>
      </c>
      <c r="T10" s="156"/>
      <c r="U10" s="156">
        <v>20.7882352941176</v>
      </c>
      <c r="V10" s="156"/>
      <c r="W10" s="156"/>
      <c r="X10" s="156">
        <v>871.318094117647</v>
      </c>
      <c r="Y10" s="170">
        <v>215.807659764706</v>
      </c>
      <c r="Z10" s="170"/>
      <c r="AA10" s="170">
        <v>2.37567952941176</v>
      </c>
      <c r="AB10" s="170">
        <v>218.183339294118</v>
      </c>
      <c r="AC10" s="121">
        <v>7.27</v>
      </c>
      <c r="AD10" s="156">
        <v>1586.19287666824</v>
      </c>
      <c r="AE10" s="156">
        <v>2457.51097078588</v>
      </c>
      <c r="AF10" s="156">
        <v>449.48902921412</v>
      </c>
    </row>
    <row r="11" s="84" customFormat="1" ht="12.75" spans="1:32">
      <c r="A11" s="174"/>
      <c r="B11" s="175"/>
      <c r="C11" s="99">
        <v>241015000033</v>
      </c>
      <c r="D11" s="100">
        <v>45580</v>
      </c>
      <c r="E11" s="100" t="s">
        <v>109</v>
      </c>
      <c r="F11" s="175" t="s">
        <v>110</v>
      </c>
      <c r="G11" s="175" t="s">
        <v>117</v>
      </c>
      <c r="H11" s="175">
        <v>0.138</v>
      </c>
      <c r="I11" s="175">
        <v>26</v>
      </c>
      <c r="J11" s="120">
        <v>356</v>
      </c>
      <c r="K11" s="121"/>
      <c r="L11" s="176"/>
      <c r="M11" s="123"/>
      <c r="N11" s="176"/>
      <c r="O11" s="98"/>
      <c r="P11" s="124">
        <v>356</v>
      </c>
      <c r="Q11" s="155"/>
      <c r="R11" s="155"/>
      <c r="S11" s="156">
        <v>81.3712941176471</v>
      </c>
      <c r="T11" s="156"/>
      <c r="U11" s="156">
        <v>4.26176470588235</v>
      </c>
      <c r="V11" s="156"/>
      <c r="W11" s="156"/>
      <c r="X11" s="156">
        <v>85.6330588235294</v>
      </c>
      <c r="Y11" s="170">
        <v>21.2638517647059</v>
      </c>
      <c r="Z11" s="170"/>
      <c r="AA11" s="170">
        <v>0.451686176470588</v>
      </c>
      <c r="AB11" s="170">
        <v>21.7155379411765</v>
      </c>
      <c r="AC11" s="121">
        <v>7.27</v>
      </c>
      <c r="AD11" s="156">
        <v>157.871960832353</v>
      </c>
      <c r="AE11" s="156">
        <v>243.505019655882</v>
      </c>
      <c r="AF11" s="156">
        <v>112.494980344118</v>
      </c>
    </row>
    <row r="12" s="84" customFormat="1" ht="12.75" spans="1:32">
      <c r="A12" s="174"/>
      <c r="B12" s="175"/>
      <c r="C12" s="99">
        <v>240927000028</v>
      </c>
      <c r="D12" s="100">
        <v>45583</v>
      </c>
      <c r="E12" s="100" t="s">
        <v>109</v>
      </c>
      <c r="F12" s="175" t="s">
        <v>110</v>
      </c>
      <c r="G12" s="175" t="s">
        <v>111</v>
      </c>
      <c r="H12" s="175">
        <v>1.7904</v>
      </c>
      <c r="I12" s="175">
        <v>1841</v>
      </c>
      <c r="J12" s="120">
        <v>5660.38</v>
      </c>
      <c r="K12" s="121"/>
      <c r="L12" s="176"/>
      <c r="M12" s="123"/>
      <c r="N12" s="176"/>
      <c r="O12" s="98"/>
      <c r="P12" s="124">
        <v>5660.38</v>
      </c>
      <c r="Q12" s="155"/>
      <c r="R12" s="155"/>
      <c r="S12" s="156">
        <v>1098.09444705882</v>
      </c>
      <c r="T12" s="156">
        <v>2.62556894117647</v>
      </c>
      <c r="U12" s="156">
        <v>39.4941176470588</v>
      </c>
      <c r="V12" s="156">
        <v>450</v>
      </c>
      <c r="W12" s="156"/>
      <c r="X12" s="156">
        <v>1590.21413364706</v>
      </c>
      <c r="Y12" s="170">
        <v>277.087833176471</v>
      </c>
      <c r="Z12" s="170">
        <v>68</v>
      </c>
      <c r="AA12" s="170"/>
      <c r="AB12" s="170">
        <v>345.087833176471</v>
      </c>
      <c r="AC12" s="121">
        <v>7.28</v>
      </c>
      <c r="AD12" s="156">
        <v>2512.23942552471</v>
      </c>
      <c r="AE12" s="156">
        <v>4102.45355917176</v>
      </c>
      <c r="AF12" s="156">
        <v>1557.92644082824</v>
      </c>
    </row>
    <row r="13" s="84" customFormat="1" ht="12.75" spans="1:32">
      <c r="A13" s="174"/>
      <c r="B13" s="175"/>
      <c r="C13" s="99">
        <v>241012000025</v>
      </c>
      <c r="D13" s="100">
        <v>45583</v>
      </c>
      <c r="E13" s="100" t="s">
        <v>109</v>
      </c>
      <c r="F13" s="175" t="s">
        <v>110</v>
      </c>
      <c r="G13" s="175" t="s">
        <v>118</v>
      </c>
      <c r="H13" s="175">
        <v>0.9445</v>
      </c>
      <c r="I13" s="175">
        <v>434</v>
      </c>
      <c r="J13" s="211"/>
      <c r="K13" s="125">
        <v>559350</v>
      </c>
      <c r="L13" s="176"/>
      <c r="M13" s="123">
        <v>1650</v>
      </c>
      <c r="N13" s="126">
        <v>339</v>
      </c>
      <c r="O13" s="98">
        <v>7.29</v>
      </c>
      <c r="P13" s="124">
        <v>2471.31</v>
      </c>
      <c r="Q13" s="155"/>
      <c r="R13" s="155"/>
      <c r="S13" s="156">
        <v>579.284073529412</v>
      </c>
      <c r="T13" s="156">
        <v>1.38508147058824</v>
      </c>
      <c r="U13" s="156">
        <v>20.8345588235294</v>
      </c>
      <c r="V13" s="156"/>
      <c r="W13" s="156"/>
      <c r="X13" s="156">
        <v>601.503713823529</v>
      </c>
      <c r="Y13" s="170">
        <v>146.173736838235</v>
      </c>
      <c r="Z13" s="170"/>
      <c r="AA13" s="170"/>
      <c r="AB13" s="170">
        <v>146.173736838235</v>
      </c>
      <c r="AC13" s="121">
        <v>7.28</v>
      </c>
      <c r="AD13" s="156">
        <v>1064.14480418235</v>
      </c>
      <c r="AE13" s="156">
        <v>1665.64851800588</v>
      </c>
      <c r="AF13" s="156">
        <v>805.66148199412</v>
      </c>
    </row>
    <row r="14" s="84" customFormat="1" ht="12.75" spans="1:32">
      <c r="A14" s="97"/>
      <c r="B14" s="98"/>
      <c r="C14" s="99">
        <v>241015000033</v>
      </c>
      <c r="D14" s="100">
        <v>45587</v>
      </c>
      <c r="E14" s="100" t="s">
        <v>109</v>
      </c>
      <c r="F14" s="98" t="s">
        <v>110</v>
      </c>
      <c r="G14" s="98" t="s">
        <v>117</v>
      </c>
      <c r="H14" s="98">
        <v>6.7059</v>
      </c>
      <c r="I14" s="98">
        <v>796</v>
      </c>
      <c r="J14" s="120">
        <v>17295.8</v>
      </c>
      <c r="K14" s="121"/>
      <c r="L14" s="122"/>
      <c r="M14" s="123"/>
      <c r="N14" s="122"/>
      <c r="O14" s="98"/>
      <c r="P14" s="124">
        <v>17295.8</v>
      </c>
      <c r="Q14" s="155"/>
      <c r="R14" s="155"/>
      <c r="S14" s="156">
        <v>4602.41695588235</v>
      </c>
      <c r="T14" s="156"/>
      <c r="U14" s="156">
        <v>128.201029411765</v>
      </c>
      <c r="V14" s="156">
        <v>300</v>
      </c>
      <c r="W14" s="156"/>
      <c r="X14" s="156">
        <v>5030.61798529412</v>
      </c>
      <c r="Y14" s="170">
        <v>1037.82579339706</v>
      </c>
      <c r="Z14" s="170">
        <v>299.37</v>
      </c>
      <c r="AA14" s="170"/>
      <c r="AB14" s="170">
        <v>1337.19579339706</v>
      </c>
      <c r="AC14" s="121">
        <v>7.28</v>
      </c>
      <c r="AD14" s="156">
        <v>9734.78537593059</v>
      </c>
      <c r="AE14" s="156">
        <v>14765.4033612247</v>
      </c>
      <c r="AF14" s="156">
        <v>2530.3966387753</v>
      </c>
    </row>
    <row r="15" s="84" customFormat="1" ht="12.75" spans="1:32">
      <c r="A15" s="97"/>
      <c r="B15" s="98"/>
      <c r="C15" s="99">
        <v>241017000021</v>
      </c>
      <c r="D15" s="100">
        <v>45593</v>
      </c>
      <c r="E15" s="100" t="s">
        <v>109</v>
      </c>
      <c r="F15" s="98" t="s">
        <v>110</v>
      </c>
      <c r="G15" s="98" t="s">
        <v>111</v>
      </c>
      <c r="H15" s="98">
        <v>4.4844</v>
      </c>
      <c r="I15" s="98">
        <v>764</v>
      </c>
      <c r="J15" s="120">
        <v>10328.9</v>
      </c>
      <c r="K15" s="121"/>
      <c r="L15" s="122"/>
      <c r="M15" s="123"/>
      <c r="N15" s="122"/>
      <c r="O15" s="98"/>
      <c r="P15" s="124">
        <v>10328.9</v>
      </c>
      <c r="Q15" s="155"/>
      <c r="R15" s="155"/>
      <c r="S15" s="156">
        <v>3138.15674117647</v>
      </c>
      <c r="T15" s="156"/>
      <c r="U15" s="156">
        <v>125.299411764706</v>
      </c>
      <c r="V15" s="156"/>
      <c r="W15" s="156"/>
      <c r="X15" s="156">
        <v>3263.45615294118</v>
      </c>
      <c r="Y15" s="170">
        <v>734.247958235294</v>
      </c>
      <c r="Z15" s="170">
        <v>109.73</v>
      </c>
      <c r="AA15" s="170"/>
      <c r="AB15" s="170">
        <v>843.977958235294</v>
      </c>
      <c r="AC15" s="121">
        <v>7.3</v>
      </c>
      <c r="AD15" s="156">
        <v>6161.03909511765</v>
      </c>
      <c r="AE15" s="156">
        <v>9424.49524805882</v>
      </c>
      <c r="AF15" s="156">
        <v>904.40475194118</v>
      </c>
    </row>
    <row r="16" s="84" customFormat="1" ht="12.75" spans="1:32">
      <c r="A16" s="97"/>
      <c r="B16" s="98"/>
      <c r="C16" s="99">
        <v>241017000025</v>
      </c>
      <c r="D16" s="100">
        <v>45595</v>
      </c>
      <c r="E16" s="100" t="s">
        <v>109</v>
      </c>
      <c r="F16" s="98" t="s">
        <v>110</v>
      </c>
      <c r="G16" s="98" t="s">
        <v>116</v>
      </c>
      <c r="H16" s="98">
        <v>1.8596</v>
      </c>
      <c r="I16" s="98">
        <v>2312</v>
      </c>
      <c r="J16" s="124"/>
      <c r="K16" s="125">
        <v>1660291</v>
      </c>
      <c r="L16" s="122"/>
      <c r="M16" s="123">
        <v>1730.10055749492</v>
      </c>
      <c r="N16" s="126">
        <v>959.65</v>
      </c>
      <c r="O16" s="98">
        <v>7.3</v>
      </c>
      <c r="P16" s="124">
        <v>7005.445</v>
      </c>
      <c r="Q16" s="155"/>
      <c r="R16" s="155"/>
      <c r="S16" s="156">
        <v>1344.16263529412</v>
      </c>
      <c r="T16" s="156"/>
      <c r="U16" s="156">
        <v>38.2858823529412</v>
      </c>
      <c r="V16" s="156"/>
      <c r="W16" s="156"/>
      <c r="X16" s="156">
        <v>1382.44851764706</v>
      </c>
      <c r="Y16" s="170">
        <v>304.479418235294</v>
      </c>
      <c r="Z16" s="170">
        <v>31.41</v>
      </c>
      <c r="AA16" s="170">
        <v>1.89159605882353</v>
      </c>
      <c r="AB16" s="170">
        <v>337.781014294118</v>
      </c>
      <c r="AC16" s="121">
        <v>7.3</v>
      </c>
      <c r="AD16" s="156">
        <v>2465.80140434706</v>
      </c>
      <c r="AE16" s="156">
        <v>3848.24992199412</v>
      </c>
      <c r="AF16" s="156">
        <v>3157.19507800588</v>
      </c>
    </row>
    <row r="17" s="84" customFormat="1" ht="63.75" spans="1:32">
      <c r="A17" s="97" t="s">
        <v>119</v>
      </c>
      <c r="B17" s="98" t="s">
        <v>120</v>
      </c>
      <c r="C17" s="99">
        <v>241024000009</v>
      </c>
      <c r="D17" s="100">
        <v>45595</v>
      </c>
      <c r="E17" s="100" t="s">
        <v>109</v>
      </c>
      <c r="F17" s="98" t="s">
        <v>110</v>
      </c>
      <c r="G17" s="98" t="s">
        <v>121</v>
      </c>
      <c r="H17" s="98">
        <v>1.508</v>
      </c>
      <c r="I17" s="98">
        <v>508</v>
      </c>
      <c r="J17" s="124"/>
      <c r="K17" s="125">
        <v>1104957.06</v>
      </c>
      <c r="L17" s="122"/>
      <c r="M17" s="123">
        <v>1669.42204024899</v>
      </c>
      <c r="N17" s="126">
        <v>661.88</v>
      </c>
      <c r="O17" s="98">
        <v>7.29</v>
      </c>
      <c r="P17" s="124">
        <v>4825.1052</v>
      </c>
      <c r="Q17" s="189">
        <v>16769.819027</v>
      </c>
      <c r="R17" s="190" t="s">
        <v>122</v>
      </c>
      <c r="S17" s="156">
        <v>1050.322</v>
      </c>
      <c r="T17" s="156"/>
      <c r="U17" s="156">
        <v>53.2235294117647</v>
      </c>
      <c r="V17" s="156"/>
      <c r="W17" s="156"/>
      <c r="X17" s="156">
        <v>1103.54552941176</v>
      </c>
      <c r="Y17" s="170">
        <v>237.285352352941</v>
      </c>
      <c r="Z17" s="170">
        <v>210.97</v>
      </c>
      <c r="AA17" s="170">
        <v>1.48471470588235</v>
      </c>
      <c r="AB17" s="170">
        <v>449.740067058824</v>
      </c>
      <c r="AC17" s="121">
        <v>7.3</v>
      </c>
      <c r="AD17" s="156">
        <v>3283.10248952941</v>
      </c>
      <c r="AE17" s="156">
        <v>4386.64801894118</v>
      </c>
      <c r="AF17" s="156">
        <v>438.457181058823</v>
      </c>
    </row>
    <row r="18" s="84" customFormat="1" ht="12.75" spans="1:32">
      <c r="A18" s="97"/>
      <c r="B18" s="98"/>
      <c r="C18" s="99">
        <v>241024000010</v>
      </c>
      <c r="D18" s="100">
        <v>45595</v>
      </c>
      <c r="E18" s="100" t="s">
        <v>109</v>
      </c>
      <c r="F18" s="98" t="s">
        <v>110</v>
      </c>
      <c r="G18" s="98" t="s">
        <v>121</v>
      </c>
      <c r="H18" s="98">
        <v>0.1128</v>
      </c>
      <c r="I18" s="98">
        <v>88</v>
      </c>
      <c r="J18" s="124"/>
      <c r="K18" s="125">
        <v>109278</v>
      </c>
      <c r="L18" s="122"/>
      <c r="M18" s="123">
        <v>1669.38588450962</v>
      </c>
      <c r="N18" s="126">
        <v>65.46</v>
      </c>
      <c r="O18" s="98">
        <v>7.29</v>
      </c>
      <c r="P18" s="124">
        <v>477.2034</v>
      </c>
      <c r="Q18" s="155"/>
      <c r="R18" s="155"/>
      <c r="S18" s="156">
        <v>78.5652</v>
      </c>
      <c r="T18" s="156"/>
      <c r="U18" s="156">
        <v>3.98117647058824</v>
      </c>
      <c r="V18" s="156"/>
      <c r="W18" s="156"/>
      <c r="X18" s="156">
        <v>82.5463764705882</v>
      </c>
      <c r="Y18" s="170">
        <v>17.7491961176471</v>
      </c>
      <c r="Z18" s="170">
        <v>28.12</v>
      </c>
      <c r="AA18" s="170">
        <v>0.111058235294118</v>
      </c>
      <c r="AB18" s="170">
        <v>45.9802543529412</v>
      </c>
      <c r="AC18" s="121">
        <v>7.3</v>
      </c>
      <c r="AD18" s="156">
        <v>335.655856776471</v>
      </c>
      <c r="AE18" s="156">
        <v>418.202233247059</v>
      </c>
      <c r="AF18" s="156">
        <v>59.0011667529411</v>
      </c>
    </row>
    <row r="19" s="84" customFormat="1" ht="12.75" spans="1:32">
      <c r="A19" s="97"/>
      <c r="B19" s="98"/>
      <c r="C19" s="99">
        <v>241017000025</v>
      </c>
      <c r="D19" s="100">
        <v>45595</v>
      </c>
      <c r="E19" s="100" t="s">
        <v>109</v>
      </c>
      <c r="F19" s="98" t="s">
        <v>110</v>
      </c>
      <c r="G19" s="98" t="s">
        <v>116</v>
      </c>
      <c r="H19" s="98">
        <v>0.8826</v>
      </c>
      <c r="I19" s="98">
        <v>1102</v>
      </c>
      <c r="J19" s="124"/>
      <c r="K19" s="125">
        <v>788004</v>
      </c>
      <c r="L19" s="122"/>
      <c r="M19" s="123">
        <v>1730.08979735219</v>
      </c>
      <c r="N19" s="126">
        <v>455.47</v>
      </c>
      <c r="O19" s="98">
        <v>7.3</v>
      </c>
      <c r="P19" s="124">
        <v>3324.931</v>
      </c>
      <c r="Q19" s="155"/>
      <c r="R19" s="155"/>
      <c r="S19" s="156">
        <v>614.7309</v>
      </c>
      <c r="T19" s="156"/>
      <c r="U19" s="156">
        <v>31.1505882352941</v>
      </c>
      <c r="V19" s="156"/>
      <c r="W19" s="156"/>
      <c r="X19" s="156">
        <v>645.881488235294</v>
      </c>
      <c r="Y19" s="170">
        <v>138.878018558824</v>
      </c>
      <c r="Z19" s="170"/>
      <c r="AA19" s="170">
        <v>0.868971617647059</v>
      </c>
      <c r="AB19" s="170">
        <v>139.746990176471</v>
      </c>
      <c r="AC19" s="121">
        <v>7.3</v>
      </c>
      <c r="AD19" s="156">
        <v>1020.15302828824</v>
      </c>
      <c r="AE19" s="156">
        <v>1666.03451652353</v>
      </c>
      <c r="AF19" s="156">
        <v>1658.89648347647</v>
      </c>
    </row>
    <row r="20" s="84" customFormat="1" ht="12.75" spans="1:32">
      <c r="A20" s="97"/>
      <c r="B20" s="98"/>
      <c r="C20" s="99">
        <v>241026000022</v>
      </c>
      <c r="D20" s="100">
        <v>45595</v>
      </c>
      <c r="E20" s="100" t="s">
        <v>109</v>
      </c>
      <c r="F20" s="98" t="s">
        <v>110</v>
      </c>
      <c r="G20" s="98" t="s">
        <v>123</v>
      </c>
      <c r="H20" s="98">
        <v>1.1042</v>
      </c>
      <c r="I20" s="98">
        <v>1026</v>
      </c>
      <c r="J20" s="124"/>
      <c r="K20" s="125">
        <v>673554</v>
      </c>
      <c r="L20" s="122"/>
      <c r="M20" s="123">
        <v>1580</v>
      </c>
      <c r="N20" s="126">
        <v>426.3</v>
      </c>
      <c r="O20" s="98">
        <v>7.29</v>
      </c>
      <c r="P20" s="124">
        <v>3107.727</v>
      </c>
      <c r="Q20" s="155"/>
      <c r="R20" s="155"/>
      <c r="S20" s="156">
        <v>769.0753</v>
      </c>
      <c r="T20" s="156"/>
      <c r="U20" s="156">
        <v>38.9717647058824</v>
      </c>
      <c r="V20" s="156"/>
      <c r="W20" s="156"/>
      <c r="X20" s="156">
        <v>808.047064705882</v>
      </c>
      <c r="Y20" s="170">
        <v>173.747006676471</v>
      </c>
      <c r="Z20" s="170"/>
      <c r="AA20" s="170">
        <v>1.08714985294118</v>
      </c>
      <c r="AB20" s="170">
        <v>174.834156529412</v>
      </c>
      <c r="AC20" s="121">
        <v>7.3</v>
      </c>
      <c r="AD20" s="156">
        <v>1276.28934266471</v>
      </c>
      <c r="AE20" s="156">
        <v>2084.33640737059</v>
      </c>
      <c r="AF20" s="156">
        <v>1023.39059262941</v>
      </c>
    </row>
    <row r="21" ht="28" customHeight="1" spans="1:32">
      <c r="A21" s="212" t="s">
        <v>104</v>
      </c>
      <c r="B21" s="213"/>
      <c r="C21" s="213"/>
      <c r="D21" s="213"/>
      <c r="E21" s="213"/>
      <c r="F21" s="213"/>
      <c r="G21" s="213"/>
      <c r="H21" s="213">
        <f>SUM(H4:H20)</f>
        <v>28.7776</v>
      </c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4"/>
      <c r="Z21" s="214"/>
      <c r="AA21" s="214"/>
      <c r="AB21" s="214"/>
      <c r="AC21" s="214"/>
      <c r="AD21" s="214"/>
      <c r="AE21" s="214"/>
      <c r="AF21" s="214">
        <f>SUM(AF4:AF20)</f>
        <v>15991.4254637862</v>
      </c>
    </row>
    <row r="24" s="1" customFormat="1" ht="23" customHeight="1" spans="3:16">
      <c r="C24" s="70" t="s">
        <v>66</v>
      </c>
      <c r="D24" s="70"/>
      <c r="E24" s="70"/>
      <c r="F24" s="105" t="s">
        <v>67</v>
      </c>
      <c r="G24" s="106"/>
      <c r="H24" s="106"/>
      <c r="I24" s="127"/>
      <c r="J24"/>
      <c r="K24" s="128" t="s">
        <v>124</v>
      </c>
      <c r="L24" s="129"/>
      <c r="M24" s="130"/>
      <c r="N24"/>
      <c r="O24"/>
      <c r="P24"/>
    </row>
    <row r="25" s="1" customFormat="1" ht="23" customHeight="1" spans="3:16">
      <c r="C25" s="70"/>
      <c r="D25" s="70"/>
      <c r="E25" s="70"/>
      <c r="F25" s="107"/>
      <c r="G25" s="108"/>
      <c r="H25" s="108"/>
      <c r="I25" s="131"/>
      <c r="J25"/>
      <c r="K25" s="132" t="s">
        <v>69</v>
      </c>
      <c r="L25" s="132" t="s">
        <v>8</v>
      </c>
      <c r="M25" s="132" t="s">
        <v>70</v>
      </c>
      <c r="N25"/>
      <c r="O25"/>
      <c r="P25"/>
    </row>
    <row r="26" s="1" customFormat="1" ht="23" customHeight="1" spans="3:16">
      <c r="C26" s="70" t="s">
        <v>71</v>
      </c>
      <c r="D26" s="70"/>
      <c r="E26" s="70"/>
      <c r="F26" s="76" t="s">
        <v>72</v>
      </c>
      <c r="G26" s="77"/>
      <c r="H26" s="77"/>
      <c r="I26" s="78"/>
      <c r="J26"/>
      <c r="K26" s="132" t="s">
        <v>73</v>
      </c>
      <c r="L26" s="133">
        <f>SUM(H21)</f>
        <v>28.7776</v>
      </c>
      <c r="M26" s="134">
        <f>SUM(AF21)</f>
        <v>15991.4254637862</v>
      </c>
      <c r="N26"/>
      <c r="O26"/>
      <c r="P26"/>
    </row>
    <row r="27" s="1" customFormat="1" ht="23" customHeight="1" spans="3:16">
      <c r="C27" s="70"/>
      <c r="D27" s="70"/>
      <c r="E27" s="70"/>
      <c r="F27" s="79"/>
      <c r="G27" s="80"/>
      <c r="H27" s="80"/>
      <c r="I27" s="81"/>
      <c r="J27"/>
      <c r="K27" s="135" t="s">
        <v>74</v>
      </c>
      <c r="L27" s="135"/>
      <c r="M27" s="136">
        <v>6000</v>
      </c>
      <c r="N27"/>
      <c r="O27"/>
      <c r="P27"/>
    </row>
    <row r="28" s="1" customFormat="1" ht="23" customHeight="1" spans="3:16">
      <c r="C28" s="70" t="s">
        <v>75</v>
      </c>
      <c r="D28" s="70"/>
      <c r="E28" s="70"/>
      <c r="F28" s="76" t="s">
        <v>76</v>
      </c>
      <c r="G28" s="77"/>
      <c r="H28" s="77"/>
      <c r="I28" s="78"/>
      <c r="J28"/>
      <c r="K28" s="137" t="s">
        <v>77</v>
      </c>
      <c r="L28" s="137"/>
      <c r="M28" s="138">
        <f>SUM(M26-M27)</f>
        <v>9991.4254637862</v>
      </c>
      <c r="N28"/>
      <c r="O28"/>
      <c r="P28"/>
    </row>
    <row r="29" s="1" customFormat="1" ht="23" customHeight="1" spans="3:16">
      <c r="C29" s="70"/>
      <c r="D29" s="70"/>
      <c r="E29" s="70"/>
      <c r="F29" s="79"/>
      <c r="G29" s="80"/>
      <c r="H29" s="80"/>
      <c r="I29" s="81"/>
      <c r="J29"/>
      <c r="K29" s="132" t="s">
        <v>78</v>
      </c>
      <c r="L29" s="132"/>
      <c r="M29" s="132">
        <v>0.4</v>
      </c>
      <c r="N29"/>
      <c r="O29"/>
      <c r="P29"/>
    </row>
    <row r="30" s="1" customFormat="1" ht="23" customHeight="1" spans="5:16">
      <c r="E30"/>
      <c r="F30"/>
      <c r="G30"/>
      <c r="H30"/>
      <c r="I30"/>
      <c r="J30"/>
      <c r="K30" s="135" t="s">
        <v>79</v>
      </c>
      <c r="L30" s="135"/>
      <c r="M30" s="136">
        <f>SUM(M28*M29)</f>
        <v>3996.57018551448</v>
      </c>
      <c r="N30"/>
      <c r="O30"/>
      <c r="P30"/>
    </row>
    <row r="31" s="1" customFormat="1" ht="23" customHeight="1" spans="5:16">
      <c r="E31"/>
      <c r="F31"/>
      <c r="G31"/>
      <c r="H31"/>
      <c r="I31"/>
      <c r="J31"/>
      <c r="K31"/>
      <c r="L31"/>
      <c r="M31"/>
      <c r="N31"/>
      <c r="O31"/>
      <c r="P31"/>
    </row>
    <row r="32" s="1" customFormat="1" ht="23" customHeight="1" spans="5:14">
      <c r="E32"/>
      <c r="F32"/>
      <c r="G32"/>
      <c r="H32"/>
      <c r="I32"/>
      <c r="J32"/>
      <c r="K32" s="139"/>
      <c r="L32" s="139"/>
      <c r="M32" s="139"/>
      <c r="N32" s="139"/>
    </row>
    <row r="33" s="1" customFormat="1" ht="23" customHeight="1" spans="5:13">
      <c r="E33"/>
      <c r="F33"/>
      <c r="G33"/>
      <c r="H33"/>
      <c r="I33"/>
      <c r="J33"/>
      <c r="K33"/>
      <c r="L33"/>
      <c r="M33"/>
    </row>
    <row r="34" s="1" customFormat="1" ht="23" customHeight="1" spans="5:19">
      <c r="E34"/>
      <c r="F34"/>
      <c r="G34"/>
      <c r="H34"/>
      <c r="I34"/>
      <c r="J34"/>
      <c r="K34"/>
      <c r="L34"/>
      <c r="M34"/>
      <c r="O34"/>
      <c r="P34"/>
      <c r="Q34"/>
      <c r="R34"/>
      <c r="S34" s="35"/>
    </row>
    <row r="35" ht="28" customHeight="1"/>
  </sheetData>
  <autoFilter xmlns:etc="http://www.wps.cn/officeDocument/2017/etCustomData" ref="A2:AB34" etc:filterBottomFollowUsedRange="0">
    <extLst/>
  </autoFilter>
  <mergeCells count="23">
    <mergeCell ref="J2:P2"/>
    <mergeCell ref="R2:V2"/>
    <mergeCell ref="Y2:AD2"/>
    <mergeCell ref="K24:M24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Q2:Q3"/>
    <mergeCell ref="W2:W3"/>
    <mergeCell ref="X2:X3"/>
    <mergeCell ref="AF2:AF3"/>
    <mergeCell ref="C26:E27"/>
    <mergeCell ref="F26:I27"/>
    <mergeCell ref="C28:E29"/>
    <mergeCell ref="F28:I29"/>
    <mergeCell ref="C24:E25"/>
    <mergeCell ref="F24:I25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4"/>
  <sheetViews>
    <sheetView workbookViewId="0">
      <pane xSplit="14" ySplit="4" topLeftCell="AB23" activePane="bottomRight" state="frozen"/>
      <selection/>
      <selection pane="topRight"/>
      <selection pane="bottomLeft"/>
      <selection pane="bottomRight" activeCell="M34" sqref="M34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1" width="12"/>
    <col min="32" max="32" width="12.875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40" t="s">
        <v>11</v>
      </c>
      <c r="R3" s="141" t="s">
        <v>12</v>
      </c>
      <c r="S3" s="142"/>
      <c r="T3" s="143"/>
      <c r="U3" s="144"/>
      <c r="V3" s="145"/>
      <c r="W3" s="146" t="s">
        <v>13</v>
      </c>
      <c r="X3" s="147" t="s">
        <v>14</v>
      </c>
      <c r="Y3" s="160" t="s">
        <v>15</v>
      </c>
      <c r="Z3" s="160"/>
      <c r="AA3" s="160"/>
      <c r="AB3" s="160"/>
      <c r="AC3" s="161"/>
      <c r="AD3" s="160"/>
      <c r="AE3" s="162" t="s">
        <v>16</v>
      </c>
      <c r="AF3" s="163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8"/>
      <c r="R4" s="149" t="s">
        <v>25</v>
      </c>
      <c r="S4" s="150" t="s">
        <v>26</v>
      </c>
      <c r="T4" s="151" t="s">
        <v>27</v>
      </c>
      <c r="U4" s="152" t="s">
        <v>28</v>
      </c>
      <c r="V4" s="151" t="s">
        <v>29</v>
      </c>
      <c r="W4" s="153"/>
      <c r="X4" s="154"/>
      <c r="Y4" s="164" t="s">
        <v>30</v>
      </c>
      <c r="Z4" s="164" t="s">
        <v>31</v>
      </c>
      <c r="AA4" s="164" t="s">
        <v>32</v>
      </c>
      <c r="AB4" s="165" t="s">
        <v>33</v>
      </c>
      <c r="AC4" s="166" t="s">
        <v>34</v>
      </c>
      <c r="AD4" s="167" t="s">
        <v>24</v>
      </c>
      <c r="AE4" s="168" t="s">
        <v>35</v>
      </c>
      <c r="AF4" s="169"/>
    </row>
    <row r="5" s="84" customFormat="1" ht="12.75" spans="1:32">
      <c r="A5" s="97"/>
      <c r="B5" s="98"/>
      <c r="C5" s="99">
        <v>240927000032</v>
      </c>
      <c r="D5" s="100">
        <v>45563</v>
      </c>
      <c r="E5" s="100" t="s">
        <v>125</v>
      </c>
      <c r="F5" s="98" t="s">
        <v>126</v>
      </c>
      <c r="G5" s="98" t="s">
        <v>127</v>
      </c>
      <c r="H5" s="98">
        <v>0.4929</v>
      </c>
      <c r="I5" s="98">
        <v>47.1</v>
      </c>
      <c r="J5" s="120">
        <v>860.11</v>
      </c>
      <c r="K5" s="121"/>
      <c r="L5" s="122"/>
      <c r="M5" s="123"/>
      <c r="N5" s="122"/>
      <c r="O5" s="98"/>
      <c r="P5" s="124">
        <v>860.11</v>
      </c>
      <c r="Q5" s="155"/>
      <c r="R5" s="155"/>
      <c r="S5" s="156">
        <v>293.674169117647</v>
      </c>
      <c r="T5" s="156"/>
      <c r="U5" s="156">
        <v>15.9467647058824</v>
      </c>
      <c r="V5" s="156"/>
      <c r="W5" s="156"/>
      <c r="X5" s="156">
        <v>309.620933823529</v>
      </c>
      <c r="Y5" s="170">
        <v>75.2486509852941</v>
      </c>
      <c r="Z5" s="170"/>
      <c r="AA5" s="170"/>
      <c r="AB5" s="170">
        <v>75.2486509852941</v>
      </c>
      <c r="AC5" s="121">
        <v>7.23</v>
      </c>
      <c r="AD5" s="156">
        <v>544.047746623677</v>
      </c>
      <c r="AE5" s="156">
        <v>853.668680447206</v>
      </c>
      <c r="AF5" s="156">
        <v>6.44131955279397</v>
      </c>
    </row>
    <row r="6" s="84" customFormat="1" ht="12.75" spans="1:32">
      <c r="A6" s="97"/>
      <c r="B6" s="98"/>
      <c r="C6" s="99">
        <v>240927000032</v>
      </c>
      <c r="D6" s="100">
        <v>45563</v>
      </c>
      <c r="E6" s="100" t="s">
        <v>125</v>
      </c>
      <c r="F6" s="98" t="s">
        <v>126</v>
      </c>
      <c r="G6" s="98" t="s">
        <v>127</v>
      </c>
      <c r="H6" s="98">
        <v>4.4364</v>
      </c>
      <c r="I6" s="98">
        <v>423.9</v>
      </c>
      <c r="J6" s="120">
        <v>7740.66</v>
      </c>
      <c r="K6" s="121"/>
      <c r="L6" s="122"/>
      <c r="M6" s="123"/>
      <c r="N6" s="122"/>
      <c r="O6" s="98"/>
      <c r="P6" s="124">
        <v>7740.66</v>
      </c>
      <c r="Q6" s="155"/>
      <c r="R6" s="155"/>
      <c r="S6" s="156">
        <v>2652.77147647059</v>
      </c>
      <c r="T6" s="156">
        <v>6.17964423529412</v>
      </c>
      <c r="U6" s="156">
        <v>130.482352941176</v>
      </c>
      <c r="V6" s="156"/>
      <c r="W6" s="156"/>
      <c r="X6" s="156">
        <v>2789.43347364706</v>
      </c>
      <c r="Y6" s="170">
        <v>677.284310823529</v>
      </c>
      <c r="Z6" s="170"/>
      <c r="AA6" s="170"/>
      <c r="AB6" s="170">
        <v>677.284310823529</v>
      </c>
      <c r="AC6" s="121">
        <v>7.24</v>
      </c>
      <c r="AD6" s="156">
        <v>4903.53841036235</v>
      </c>
      <c r="AE6" s="156">
        <v>7692.97188400941</v>
      </c>
      <c r="AF6" s="156">
        <v>47.6881159905897</v>
      </c>
    </row>
    <row r="7" s="84" customFormat="1" ht="12.75" spans="1:32">
      <c r="A7" s="97"/>
      <c r="B7" s="98"/>
      <c r="C7" s="99">
        <v>240929000042</v>
      </c>
      <c r="D7" s="100">
        <v>45564</v>
      </c>
      <c r="E7" s="100" t="s">
        <v>125</v>
      </c>
      <c r="F7" s="98" t="s">
        <v>126</v>
      </c>
      <c r="G7" s="98" t="s">
        <v>127</v>
      </c>
      <c r="H7" s="98">
        <v>0.3433</v>
      </c>
      <c r="I7" s="98">
        <v>125</v>
      </c>
      <c r="J7" s="120">
        <v>643.9</v>
      </c>
      <c r="K7" s="121"/>
      <c r="L7" s="122"/>
      <c r="M7" s="123"/>
      <c r="N7" s="122"/>
      <c r="O7" s="98"/>
      <c r="P7" s="124">
        <v>643.9</v>
      </c>
      <c r="Q7" s="155"/>
      <c r="R7" s="155"/>
      <c r="S7" s="156">
        <v>206.555532352941</v>
      </c>
      <c r="T7" s="156"/>
      <c r="U7" s="156">
        <v>5.04852941176471</v>
      </c>
      <c r="V7" s="156"/>
      <c r="W7" s="156"/>
      <c r="X7" s="156">
        <v>211.604061764706</v>
      </c>
      <c r="Y7" s="170">
        <v>52.4099954705882</v>
      </c>
      <c r="Z7" s="170"/>
      <c r="AA7" s="170">
        <v>0.576945941176471</v>
      </c>
      <c r="AB7" s="170">
        <v>52.9869414117647</v>
      </c>
      <c r="AC7" s="121">
        <v>7.27</v>
      </c>
      <c r="AD7" s="156">
        <v>385.215064063529</v>
      </c>
      <c r="AE7" s="156">
        <v>596.819125828235</v>
      </c>
      <c r="AF7" s="156">
        <v>47.080874171765</v>
      </c>
    </row>
    <row r="8" s="84" customFormat="1" ht="12.75" spans="1:32">
      <c r="A8" s="97"/>
      <c r="B8" s="98"/>
      <c r="C8" s="99">
        <v>240929000044</v>
      </c>
      <c r="D8" s="100">
        <v>45564</v>
      </c>
      <c r="E8" s="100" t="s">
        <v>125</v>
      </c>
      <c r="F8" s="98" t="s">
        <v>126</v>
      </c>
      <c r="G8" s="98" t="s">
        <v>127</v>
      </c>
      <c r="H8" s="98">
        <v>0.701</v>
      </c>
      <c r="I8" s="98">
        <v>79</v>
      </c>
      <c r="J8" s="120">
        <v>1314.85</v>
      </c>
      <c r="K8" s="121"/>
      <c r="L8" s="122"/>
      <c r="M8" s="123"/>
      <c r="N8" s="122"/>
      <c r="O8" s="98"/>
      <c r="P8" s="124">
        <v>1314.85</v>
      </c>
      <c r="Q8" s="155"/>
      <c r="R8" s="155"/>
      <c r="S8" s="156">
        <v>421.775205882353</v>
      </c>
      <c r="T8" s="156"/>
      <c r="U8" s="156">
        <v>10.3088235294118</v>
      </c>
      <c r="V8" s="156"/>
      <c r="W8" s="156"/>
      <c r="X8" s="156">
        <v>432.084029411765</v>
      </c>
      <c r="Y8" s="170">
        <v>107.018371176471</v>
      </c>
      <c r="Z8" s="170"/>
      <c r="AA8" s="170">
        <v>1.17809235294118</v>
      </c>
      <c r="AB8" s="170">
        <v>108.196463529412</v>
      </c>
      <c r="AC8" s="121">
        <v>7.27</v>
      </c>
      <c r="AD8" s="156">
        <v>786.588289858823</v>
      </c>
      <c r="AE8" s="156">
        <v>1218.67231927059</v>
      </c>
      <c r="AF8" s="156">
        <v>96.17768072941</v>
      </c>
    </row>
    <row r="9" s="84" customFormat="1" ht="12.75" spans="1:32">
      <c r="A9" s="97"/>
      <c r="B9" s="98"/>
      <c r="C9" s="99">
        <v>240929000045</v>
      </c>
      <c r="D9" s="100">
        <v>45564</v>
      </c>
      <c r="E9" s="100" t="s">
        <v>125</v>
      </c>
      <c r="F9" s="98" t="s">
        <v>126</v>
      </c>
      <c r="G9" s="98" t="s">
        <v>127</v>
      </c>
      <c r="H9" s="98">
        <v>0.2958</v>
      </c>
      <c r="I9" s="98">
        <v>34</v>
      </c>
      <c r="J9" s="120">
        <v>554.85</v>
      </c>
      <c r="K9" s="121"/>
      <c r="L9" s="122"/>
      <c r="M9" s="123"/>
      <c r="N9" s="122"/>
      <c r="O9" s="98"/>
      <c r="P9" s="124">
        <v>554.85</v>
      </c>
      <c r="Q9" s="155"/>
      <c r="R9" s="155"/>
      <c r="S9" s="156">
        <v>177.9759</v>
      </c>
      <c r="T9" s="156"/>
      <c r="U9" s="156">
        <v>4.35</v>
      </c>
      <c r="V9" s="156"/>
      <c r="W9" s="156"/>
      <c r="X9" s="156">
        <v>182.3259</v>
      </c>
      <c r="Y9" s="170">
        <v>45.158394</v>
      </c>
      <c r="Z9" s="170"/>
      <c r="AA9" s="170">
        <v>0.497118</v>
      </c>
      <c r="AB9" s="170">
        <v>45.655512</v>
      </c>
      <c r="AC9" s="121">
        <v>7.27</v>
      </c>
      <c r="AD9" s="156">
        <v>331.91557224</v>
      </c>
      <c r="AE9" s="156">
        <v>514.24147224</v>
      </c>
      <c r="AF9" s="156">
        <v>40.60852776</v>
      </c>
    </row>
    <row r="10" s="84" customFormat="1" ht="12.75" spans="1:32">
      <c r="A10" s="174"/>
      <c r="B10" s="175"/>
      <c r="C10" s="99">
        <v>241009000020</v>
      </c>
      <c r="D10" s="100">
        <v>45580</v>
      </c>
      <c r="E10" s="100" t="s">
        <v>125</v>
      </c>
      <c r="F10" s="175" t="s">
        <v>126</v>
      </c>
      <c r="G10" s="175" t="s">
        <v>127</v>
      </c>
      <c r="H10" s="175">
        <v>19.5527</v>
      </c>
      <c r="I10" s="175">
        <v>2326</v>
      </c>
      <c r="J10" s="120">
        <v>4260.86</v>
      </c>
      <c r="K10" s="125">
        <v>6737482</v>
      </c>
      <c r="L10" s="176"/>
      <c r="M10" s="123">
        <v>1544.99991974005</v>
      </c>
      <c r="N10" s="126">
        <v>4360.83</v>
      </c>
      <c r="O10" s="98">
        <v>7.24</v>
      </c>
      <c r="P10" s="124">
        <v>35833.2692</v>
      </c>
      <c r="Q10" s="155"/>
      <c r="R10" s="155"/>
      <c r="S10" s="156">
        <v>11529.1920470588</v>
      </c>
      <c r="T10" s="156"/>
      <c r="U10" s="156">
        <v>603.833382352941</v>
      </c>
      <c r="V10" s="156"/>
      <c r="W10" s="156"/>
      <c r="X10" s="156">
        <v>12133.0254294118</v>
      </c>
      <c r="Y10" s="170">
        <v>3012.79503188235</v>
      </c>
      <c r="Z10" s="170"/>
      <c r="AA10" s="170">
        <v>63.9977123382353</v>
      </c>
      <c r="AB10" s="170">
        <v>3076.79274422059</v>
      </c>
      <c r="AC10" s="121">
        <v>7.27</v>
      </c>
      <c r="AD10" s="156">
        <v>22368.2832504837</v>
      </c>
      <c r="AE10" s="156">
        <v>34501.3086798954</v>
      </c>
      <c r="AF10" s="156">
        <v>1331.9605201046</v>
      </c>
    </row>
    <row r="11" s="84" customFormat="1" ht="12.75" spans="1:32">
      <c r="A11" s="174"/>
      <c r="B11" s="175"/>
      <c r="C11" s="99">
        <v>241011000029</v>
      </c>
      <c r="D11" s="100">
        <v>45580</v>
      </c>
      <c r="E11" s="100" t="s">
        <v>125</v>
      </c>
      <c r="F11" s="175" t="s">
        <v>126</v>
      </c>
      <c r="G11" s="175" t="s">
        <v>127</v>
      </c>
      <c r="H11" s="175">
        <v>1.2962</v>
      </c>
      <c r="I11" s="175">
        <v>139</v>
      </c>
      <c r="J11" s="211"/>
      <c r="K11" s="125">
        <v>506590</v>
      </c>
      <c r="L11" s="176"/>
      <c r="M11" s="123">
        <v>1544.99984750984</v>
      </c>
      <c r="N11" s="126">
        <v>327.89</v>
      </c>
      <c r="O11" s="98">
        <v>7.24</v>
      </c>
      <c r="P11" s="124">
        <v>2373.9236</v>
      </c>
      <c r="Q11" s="155"/>
      <c r="R11" s="155"/>
      <c r="S11" s="156">
        <v>764.300517647059</v>
      </c>
      <c r="T11" s="156"/>
      <c r="U11" s="156">
        <v>40.0297058823529</v>
      </c>
      <c r="V11" s="156"/>
      <c r="W11" s="156"/>
      <c r="X11" s="156">
        <v>804.330223529412</v>
      </c>
      <c r="Y11" s="170">
        <v>199.726120705882</v>
      </c>
      <c r="Z11" s="170"/>
      <c r="AA11" s="170">
        <v>4.24257697058824</v>
      </c>
      <c r="AB11" s="170">
        <v>203.968697676471</v>
      </c>
      <c r="AC11" s="121">
        <v>7.27</v>
      </c>
      <c r="AD11" s="156">
        <v>1482.85243210794</v>
      </c>
      <c r="AE11" s="156">
        <v>2287.18265563735</v>
      </c>
      <c r="AF11" s="156">
        <v>86.7409443626502</v>
      </c>
    </row>
    <row r="12" s="84" customFormat="1" ht="12.75" spans="1:32">
      <c r="A12" s="174"/>
      <c r="B12" s="175"/>
      <c r="C12" s="99">
        <v>241011000030</v>
      </c>
      <c r="D12" s="100">
        <v>45580</v>
      </c>
      <c r="E12" s="100" t="s">
        <v>125</v>
      </c>
      <c r="F12" s="175" t="s">
        <v>126</v>
      </c>
      <c r="G12" s="175" t="s">
        <v>127</v>
      </c>
      <c r="H12" s="175">
        <v>0.4329</v>
      </c>
      <c r="I12" s="175">
        <v>53</v>
      </c>
      <c r="J12" s="211"/>
      <c r="K12" s="125">
        <v>169208</v>
      </c>
      <c r="L12" s="176"/>
      <c r="M12" s="123">
        <v>1544.99634769905</v>
      </c>
      <c r="N12" s="126">
        <v>109.52</v>
      </c>
      <c r="O12" s="98">
        <v>7.24</v>
      </c>
      <c r="P12" s="124">
        <v>792.9248</v>
      </c>
      <c r="Q12" s="155"/>
      <c r="R12" s="155"/>
      <c r="S12" s="156">
        <v>255.258211764706</v>
      </c>
      <c r="T12" s="156"/>
      <c r="U12" s="156">
        <v>13.3689705882353</v>
      </c>
      <c r="V12" s="156"/>
      <c r="W12" s="156"/>
      <c r="X12" s="156">
        <v>268.627182352941</v>
      </c>
      <c r="Y12" s="170">
        <v>66.7037784705882</v>
      </c>
      <c r="Z12" s="170"/>
      <c r="AA12" s="170">
        <v>1.41691989705882</v>
      </c>
      <c r="AB12" s="170">
        <v>68.1206983676471</v>
      </c>
      <c r="AC12" s="121">
        <v>7.27</v>
      </c>
      <c r="AD12" s="156">
        <v>495.237477132794</v>
      </c>
      <c r="AE12" s="156">
        <v>763.864659485735</v>
      </c>
      <c r="AF12" s="156">
        <v>29.060140514265</v>
      </c>
    </row>
    <row r="13" s="84" customFormat="1" ht="12.75" spans="1:32">
      <c r="A13" s="174"/>
      <c r="B13" s="175"/>
      <c r="C13" s="99">
        <v>241011000031</v>
      </c>
      <c r="D13" s="100">
        <v>45580</v>
      </c>
      <c r="E13" s="100" t="s">
        <v>125</v>
      </c>
      <c r="F13" s="175" t="s">
        <v>126</v>
      </c>
      <c r="G13" s="175" t="s">
        <v>127</v>
      </c>
      <c r="H13" s="175">
        <v>0.539</v>
      </c>
      <c r="I13" s="175">
        <v>103</v>
      </c>
      <c r="J13" s="211"/>
      <c r="K13" s="125">
        <v>210691</v>
      </c>
      <c r="L13" s="176"/>
      <c r="M13" s="123">
        <v>1544.99523355577</v>
      </c>
      <c r="N13" s="126">
        <v>136.37</v>
      </c>
      <c r="O13" s="98">
        <v>7.24</v>
      </c>
      <c r="P13" s="124">
        <v>987.3188</v>
      </c>
      <c r="Q13" s="155"/>
      <c r="R13" s="155"/>
      <c r="S13" s="156">
        <v>317.819764705882</v>
      </c>
      <c r="T13" s="156"/>
      <c r="U13" s="156">
        <v>16.6455882352941</v>
      </c>
      <c r="V13" s="156"/>
      <c r="W13" s="156"/>
      <c r="X13" s="156">
        <v>334.465352941176</v>
      </c>
      <c r="Y13" s="170">
        <v>83.0522905882353</v>
      </c>
      <c r="Z13" s="170"/>
      <c r="AA13" s="170">
        <v>1.76419455882353</v>
      </c>
      <c r="AB13" s="170">
        <v>84.8164851470588</v>
      </c>
      <c r="AC13" s="121">
        <v>7.27</v>
      </c>
      <c r="AD13" s="156">
        <v>616.615847019118</v>
      </c>
      <c r="AE13" s="156">
        <v>951.081199960294</v>
      </c>
      <c r="AF13" s="156">
        <v>36.237600039706</v>
      </c>
    </row>
    <row r="14" s="84" customFormat="1" ht="12.75" spans="1:32">
      <c r="A14" s="174"/>
      <c r="B14" s="175"/>
      <c r="C14" s="99">
        <v>241011000032</v>
      </c>
      <c r="D14" s="100">
        <v>45580</v>
      </c>
      <c r="E14" s="100" t="s">
        <v>125</v>
      </c>
      <c r="F14" s="175" t="s">
        <v>126</v>
      </c>
      <c r="G14" s="175" t="s">
        <v>127</v>
      </c>
      <c r="H14" s="175">
        <v>6.1972</v>
      </c>
      <c r="I14" s="175">
        <v>617</v>
      </c>
      <c r="J14" s="211"/>
      <c r="K14" s="125">
        <v>2557147</v>
      </c>
      <c r="L14" s="176"/>
      <c r="M14" s="123">
        <v>1630.99997448719</v>
      </c>
      <c r="N14" s="126">
        <v>1567.84</v>
      </c>
      <c r="O14" s="98">
        <v>7.35</v>
      </c>
      <c r="P14" s="124">
        <v>11523.624</v>
      </c>
      <c r="Q14" s="155"/>
      <c r="R14" s="155"/>
      <c r="S14" s="156">
        <v>3654.16075294118</v>
      </c>
      <c r="T14" s="156"/>
      <c r="U14" s="156">
        <v>191.384117647059</v>
      </c>
      <c r="V14" s="156"/>
      <c r="W14" s="156"/>
      <c r="X14" s="156">
        <v>3845.54487058823</v>
      </c>
      <c r="Y14" s="170">
        <v>954.901030117647</v>
      </c>
      <c r="Z14" s="170"/>
      <c r="AA14" s="170">
        <v>20.2839824117647</v>
      </c>
      <c r="AB14" s="170">
        <v>975.185012529412</v>
      </c>
      <c r="AC14" s="121">
        <v>7.27</v>
      </c>
      <c r="AD14" s="156">
        <v>7089.59504108882</v>
      </c>
      <c r="AE14" s="156">
        <v>10935.1399116771</v>
      </c>
      <c r="AF14" s="156">
        <v>588.484088322897</v>
      </c>
    </row>
    <row r="15" s="84" customFormat="1" ht="12.75" spans="1:32">
      <c r="A15" s="174"/>
      <c r="B15" s="175"/>
      <c r="C15" s="99">
        <v>241011000033</v>
      </c>
      <c r="D15" s="100">
        <v>45580</v>
      </c>
      <c r="E15" s="100" t="s">
        <v>125</v>
      </c>
      <c r="F15" s="175" t="s">
        <v>126</v>
      </c>
      <c r="G15" s="175" t="s">
        <v>127</v>
      </c>
      <c r="H15" s="175">
        <v>0.2995</v>
      </c>
      <c r="I15" s="175">
        <v>33</v>
      </c>
      <c r="J15" s="211"/>
      <c r="K15" s="125">
        <v>117080</v>
      </c>
      <c r="L15" s="176"/>
      <c r="M15" s="123">
        <v>1544.9986803906</v>
      </c>
      <c r="N15" s="126">
        <v>75.78</v>
      </c>
      <c r="O15" s="98">
        <v>7.24</v>
      </c>
      <c r="P15" s="124">
        <v>548.6472</v>
      </c>
      <c r="Q15" s="155"/>
      <c r="R15" s="155"/>
      <c r="S15" s="156">
        <v>176.599294117647</v>
      </c>
      <c r="T15" s="156"/>
      <c r="U15" s="156">
        <v>9.24926470588235</v>
      </c>
      <c r="V15" s="156"/>
      <c r="W15" s="156"/>
      <c r="X15" s="156">
        <v>185.848558823529</v>
      </c>
      <c r="Y15" s="170">
        <v>46.1487217647059</v>
      </c>
      <c r="Z15" s="170"/>
      <c r="AA15" s="170">
        <v>0.980289926470588</v>
      </c>
      <c r="AB15" s="170">
        <v>47.1290116911765</v>
      </c>
      <c r="AC15" s="121">
        <v>7.27</v>
      </c>
      <c r="AD15" s="156">
        <v>342.627914994853</v>
      </c>
      <c r="AE15" s="156">
        <v>528.476473818382</v>
      </c>
      <c r="AF15" s="156">
        <v>20.170726181618</v>
      </c>
    </row>
    <row r="16" s="84" customFormat="1" ht="12.75" spans="1:32">
      <c r="A16" s="174"/>
      <c r="B16" s="175"/>
      <c r="C16" s="99">
        <v>241011000034</v>
      </c>
      <c r="D16" s="100">
        <v>45580</v>
      </c>
      <c r="E16" s="100" t="s">
        <v>125</v>
      </c>
      <c r="F16" s="175" t="s">
        <v>126</v>
      </c>
      <c r="G16" s="175" t="s">
        <v>127</v>
      </c>
      <c r="H16" s="175">
        <v>0.1865</v>
      </c>
      <c r="I16" s="175">
        <v>30</v>
      </c>
      <c r="J16" s="211"/>
      <c r="K16" s="125">
        <v>72893</v>
      </c>
      <c r="L16" s="176"/>
      <c r="M16" s="123">
        <v>1544.99788045782</v>
      </c>
      <c r="N16" s="126">
        <v>47.18</v>
      </c>
      <c r="O16" s="98">
        <v>7.24</v>
      </c>
      <c r="P16" s="124">
        <v>341.5832</v>
      </c>
      <c r="Q16" s="155"/>
      <c r="R16" s="155"/>
      <c r="S16" s="156">
        <v>109.969176470588</v>
      </c>
      <c r="T16" s="156"/>
      <c r="U16" s="156">
        <v>5.75955882352941</v>
      </c>
      <c r="V16" s="156"/>
      <c r="W16" s="156"/>
      <c r="X16" s="156">
        <v>115.728735294118</v>
      </c>
      <c r="Y16" s="170">
        <v>28.7370170588235</v>
      </c>
      <c r="Z16" s="170"/>
      <c r="AA16" s="170">
        <v>0.610430955882353</v>
      </c>
      <c r="AB16" s="170">
        <v>29.3474480147059</v>
      </c>
      <c r="AC16" s="121">
        <v>7.27</v>
      </c>
      <c r="AD16" s="156">
        <v>213.355947066912</v>
      </c>
      <c r="AE16" s="156">
        <v>329.084682361029</v>
      </c>
      <c r="AF16" s="156">
        <v>12.498517638971</v>
      </c>
    </row>
    <row r="17" s="84" customFormat="1" ht="12.75" spans="1:32">
      <c r="A17" s="174"/>
      <c r="B17" s="175"/>
      <c r="C17" s="99">
        <v>241011000035</v>
      </c>
      <c r="D17" s="100">
        <v>45580</v>
      </c>
      <c r="E17" s="100" t="s">
        <v>125</v>
      </c>
      <c r="F17" s="175" t="s">
        <v>126</v>
      </c>
      <c r="G17" s="175" t="s">
        <v>127</v>
      </c>
      <c r="H17" s="175">
        <v>0.1821</v>
      </c>
      <c r="I17" s="175">
        <v>17</v>
      </c>
      <c r="J17" s="211"/>
      <c r="K17" s="125">
        <v>72792.6</v>
      </c>
      <c r="L17" s="176"/>
      <c r="M17" s="123">
        <v>1580.04341219883</v>
      </c>
      <c r="N17" s="126">
        <v>46.07</v>
      </c>
      <c r="O17" s="98">
        <v>7.24</v>
      </c>
      <c r="P17" s="124">
        <v>333.5468</v>
      </c>
      <c r="Q17" s="155"/>
      <c r="R17" s="155"/>
      <c r="S17" s="156">
        <v>107.374729411765</v>
      </c>
      <c r="T17" s="156"/>
      <c r="U17" s="156">
        <v>5.62367647058824</v>
      </c>
      <c r="V17" s="156"/>
      <c r="W17" s="156"/>
      <c r="X17" s="156">
        <v>112.998405882353</v>
      </c>
      <c r="Y17" s="170">
        <v>28.0590391764706</v>
      </c>
      <c r="Z17" s="170"/>
      <c r="AA17" s="170">
        <v>0.596029367647059</v>
      </c>
      <c r="AB17" s="170">
        <v>28.6550685441177</v>
      </c>
      <c r="AC17" s="121">
        <v>7.27</v>
      </c>
      <c r="AD17" s="156">
        <v>208.322348315735</v>
      </c>
      <c r="AE17" s="156">
        <v>321.320754198088</v>
      </c>
      <c r="AF17" s="156">
        <v>12.226045801912</v>
      </c>
    </row>
    <row r="18" s="84" customFormat="1" ht="12.75" spans="1:32">
      <c r="A18" s="174"/>
      <c r="B18" s="175"/>
      <c r="C18" s="99">
        <v>241015000035</v>
      </c>
      <c r="D18" s="100">
        <v>45580</v>
      </c>
      <c r="E18" s="100" t="s">
        <v>125</v>
      </c>
      <c r="F18" s="175" t="s">
        <v>126</v>
      </c>
      <c r="G18" s="175" t="s">
        <v>128</v>
      </c>
      <c r="H18" s="175">
        <v>0.6634</v>
      </c>
      <c r="I18" s="175">
        <v>185</v>
      </c>
      <c r="J18" s="211"/>
      <c r="K18" s="121"/>
      <c r="L18" s="176"/>
      <c r="M18" s="123">
        <v>0</v>
      </c>
      <c r="N18" s="176">
        <v>592.5</v>
      </c>
      <c r="O18" s="98">
        <v>7.11</v>
      </c>
      <c r="P18" s="124">
        <v>4212.675</v>
      </c>
      <c r="Q18" s="209"/>
      <c r="R18" s="209"/>
      <c r="S18" s="156">
        <v>391.171858823529</v>
      </c>
      <c r="T18" s="156"/>
      <c r="U18" s="156">
        <v>20.4873529411765</v>
      </c>
      <c r="V18" s="156"/>
      <c r="W18" s="156"/>
      <c r="X18" s="156">
        <v>411.659211764706</v>
      </c>
      <c r="Y18" s="170">
        <v>102.220574352941</v>
      </c>
      <c r="Z18" s="170"/>
      <c r="AA18" s="170">
        <v>2.17136673529412</v>
      </c>
      <c r="AB18" s="170">
        <v>104.391941088235</v>
      </c>
      <c r="AC18" s="121">
        <v>7.27</v>
      </c>
      <c r="AD18" s="156">
        <v>758.929411711471</v>
      </c>
      <c r="AE18" s="156">
        <v>1170.58862347618</v>
      </c>
      <c r="AF18" s="156">
        <v>3042.08637652382</v>
      </c>
    </row>
    <row r="19" s="84" customFormat="1" ht="12.75" spans="1:32">
      <c r="A19" s="174"/>
      <c r="B19" s="175"/>
      <c r="C19" s="99">
        <v>241015000036</v>
      </c>
      <c r="D19" s="100">
        <v>45583</v>
      </c>
      <c r="E19" s="100" t="s">
        <v>125</v>
      </c>
      <c r="F19" s="175" t="s">
        <v>126</v>
      </c>
      <c r="G19" s="175" t="s">
        <v>127</v>
      </c>
      <c r="H19" s="175">
        <v>1.1644</v>
      </c>
      <c r="I19" s="175">
        <v>178</v>
      </c>
      <c r="J19" s="211"/>
      <c r="K19" s="125">
        <v>480476</v>
      </c>
      <c r="L19" s="176"/>
      <c r="M19" s="123">
        <v>1630.99901558098</v>
      </c>
      <c r="N19" s="126">
        <v>294.59</v>
      </c>
      <c r="O19" s="98">
        <v>7.35</v>
      </c>
      <c r="P19" s="124">
        <v>2165.2365</v>
      </c>
      <c r="Q19" s="155"/>
      <c r="R19" s="155"/>
      <c r="S19" s="156">
        <v>714.153917647059</v>
      </c>
      <c r="T19" s="156">
        <v>1.70755835294118</v>
      </c>
      <c r="U19" s="156">
        <v>25.6852941176471</v>
      </c>
      <c r="V19" s="156"/>
      <c r="W19" s="156"/>
      <c r="X19" s="156">
        <v>741.546770117647</v>
      </c>
      <c r="Y19" s="170">
        <v>180.206139941176</v>
      </c>
      <c r="Z19" s="170"/>
      <c r="AA19" s="170"/>
      <c r="AB19" s="170">
        <v>180.206139941176</v>
      </c>
      <c r="AC19" s="121">
        <v>7.28</v>
      </c>
      <c r="AD19" s="156">
        <v>1311.90069877176</v>
      </c>
      <c r="AE19" s="156">
        <v>2053.44746888941</v>
      </c>
      <c r="AF19" s="156">
        <v>111.789031110589</v>
      </c>
    </row>
    <row r="20" s="84" customFormat="1" ht="12.75" spans="1:32">
      <c r="A20" s="174"/>
      <c r="B20" s="175"/>
      <c r="C20" s="99">
        <v>241015000037</v>
      </c>
      <c r="D20" s="100">
        <v>45583</v>
      </c>
      <c r="E20" s="100" t="s">
        <v>125</v>
      </c>
      <c r="F20" s="175" t="s">
        <v>126</v>
      </c>
      <c r="G20" s="175" t="s">
        <v>127</v>
      </c>
      <c r="H20" s="175">
        <v>1.8977</v>
      </c>
      <c r="I20" s="175">
        <v>816</v>
      </c>
      <c r="J20" s="211"/>
      <c r="K20" s="125">
        <v>783075</v>
      </c>
      <c r="L20" s="176"/>
      <c r="M20" s="123">
        <v>1630.99850037491</v>
      </c>
      <c r="N20" s="126">
        <v>480.12</v>
      </c>
      <c r="O20" s="98">
        <v>7.35</v>
      </c>
      <c r="P20" s="124">
        <v>3528.882</v>
      </c>
      <c r="Q20" s="155"/>
      <c r="R20" s="155"/>
      <c r="S20" s="156">
        <v>1163.90406176471</v>
      </c>
      <c r="T20" s="156">
        <v>2.78292123529412</v>
      </c>
      <c r="U20" s="156">
        <v>41.8610294117647</v>
      </c>
      <c r="V20" s="156"/>
      <c r="W20" s="156"/>
      <c r="X20" s="156">
        <v>1208.54801241176</v>
      </c>
      <c r="Y20" s="170">
        <v>293.693912544118</v>
      </c>
      <c r="Z20" s="170"/>
      <c r="AA20" s="170"/>
      <c r="AB20" s="170">
        <v>293.693912544118</v>
      </c>
      <c r="AC20" s="121">
        <v>7.28</v>
      </c>
      <c r="AD20" s="156">
        <v>2138.09168332118</v>
      </c>
      <c r="AE20" s="156">
        <v>3346.63969573294</v>
      </c>
      <c r="AF20" s="156">
        <v>182.24230426706</v>
      </c>
    </row>
    <row r="21" s="84" customFormat="1" ht="12.75" spans="1:32">
      <c r="A21" s="174"/>
      <c r="B21" s="175"/>
      <c r="C21" s="99">
        <v>241015000040</v>
      </c>
      <c r="D21" s="100">
        <v>45583</v>
      </c>
      <c r="E21" s="100" t="s">
        <v>125</v>
      </c>
      <c r="F21" s="175" t="s">
        <v>126</v>
      </c>
      <c r="G21" s="175" t="s">
        <v>127</v>
      </c>
      <c r="H21" s="175">
        <v>1.7374</v>
      </c>
      <c r="I21" s="175">
        <v>1047</v>
      </c>
      <c r="J21" s="211"/>
      <c r="K21" s="125">
        <v>716971</v>
      </c>
      <c r="L21" s="176"/>
      <c r="M21" s="123">
        <v>1630.99934029437</v>
      </c>
      <c r="N21" s="126">
        <v>439.59</v>
      </c>
      <c r="O21" s="98">
        <v>7.35</v>
      </c>
      <c r="P21" s="124">
        <v>3230.9865</v>
      </c>
      <c r="Q21" s="155"/>
      <c r="R21" s="155"/>
      <c r="S21" s="156">
        <v>1065.5883</v>
      </c>
      <c r="T21" s="156">
        <v>2.547846</v>
      </c>
      <c r="U21" s="156">
        <v>38.325</v>
      </c>
      <c r="V21" s="156"/>
      <c r="W21" s="156"/>
      <c r="X21" s="156">
        <v>1106.461146</v>
      </c>
      <c r="Y21" s="170">
        <v>268.8853895</v>
      </c>
      <c r="Z21" s="170"/>
      <c r="AA21" s="170"/>
      <c r="AB21" s="170">
        <v>268.8853895</v>
      </c>
      <c r="AC21" s="121">
        <v>7.28</v>
      </c>
      <c r="AD21" s="156">
        <v>1957.48563556</v>
      </c>
      <c r="AE21" s="156">
        <v>3063.94678156</v>
      </c>
      <c r="AF21" s="156">
        <v>167.039718439999</v>
      </c>
    </row>
    <row r="22" s="84" customFormat="1" ht="12.75" spans="1:32">
      <c r="A22" s="174"/>
      <c r="B22" s="175"/>
      <c r="C22" s="99">
        <v>241017000060</v>
      </c>
      <c r="D22" s="100">
        <v>45583</v>
      </c>
      <c r="E22" s="100" t="s">
        <v>125</v>
      </c>
      <c r="F22" s="175" t="s">
        <v>126</v>
      </c>
      <c r="G22" s="175" t="s">
        <v>129</v>
      </c>
      <c r="H22" s="175">
        <v>29.42</v>
      </c>
      <c r="I22" s="175">
        <v>3712</v>
      </c>
      <c r="J22" s="120">
        <v>43145.02</v>
      </c>
      <c r="K22" s="121"/>
      <c r="L22" s="176"/>
      <c r="M22" s="123"/>
      <c r="N22" s="126"/>
      <c r="O22" s="98"/>
      <c r="P22" s="124">
        <v>43145.02</v>
      </c>
      <c r="Q22" s="209"/>
      <c r="R22" s="209"/>
      <c r="S22" s="156">
        <v>18043.9782352941</v>
      </c>
      <c r="T22" s="156">
        <v>43.1435647058824</v>
      </c>
      <c r="U22" s="156">
        <v>648.970588235294</v>
      </c>
      <c r="V22" s="156"/>
      <c r="W22" s="156"/>
      <c r="X22" s="156">
        <v>18736.0923882353</v>
      </c>
      <c r="Y22" s="170">
        <v>4553.13005588235</v>
      </c>
      <c r="Z22" s="170"/>
      <c r="AA22" s="170"/>
      <c r="AB22" s="170">
        <v>4553.13005588235</v>
      </c>
      <c r="AC22" s="121">
        <v>7.28</v>
      </c>
      <c r="AD22" s="156">
        <v>33146.7868068235</v>
      </c>
      <c r="AE22" s="156">
        <v>51882.8791950588</v>
      </c>
      <c r="AF22" s="156">
        <v>-8737.8591950588</v>
      </c>
    </row>
    <row r="23" s="84" customFormat="1" ht="12.75" spans="1:32">
      <c r="A23" s="97"/>
      <c r="B23" s="98"/>
      <c r="C23" s="99">
        <v>241022000014</v>
      </c>
      <c r="D23" s="100">
        <v>45587</v>
      </c>
      <c r="E23" s="100" t="s">
        <v>125</v>
      </c>
      <c r="F23" s="98" t="s">
        <v>126</v>
      </c>
      <c r="G23" s="98" t="s">
        <v>127</v>
      </c>
      <c r="H23" s="98">
        <v>0.168</v>
      </c>
      <c r="I23" s="98">
        <v>64</v>
      </c>
      <c r="J23" s="124"/>
      <c r="K23" s="125">
        <v>67947.46</v>
      </c>
      <c r="L23" s="122"/>
      <c r="M23" s="123">
        <v>1631</v>
      </c>
      <c r="N23" s="126">
        <v>41.66</v>
      </c>
      <c r="O23" s="98">
        <v>7.35</v>
      </c>
      <c r="P23" s="124">
        <v>306.201</v>
      </c>
      <c r="Q23" s="155"/>
      <c r="R23" s="155"/>
      <c r="S23" s="156">
        <v>115.302352941176</v>
      </c>
      <c r="T23" s="156"/>
      <c r="U23" s="156">
        <v>3.21176470588235</v>
      </c>
      <c r="V23" s="156"/>
      <c r="W23" s="156"/>
      <c r="X23" s="156">
        <v>118.514117647059</v>
      </c>
      <c r="Y23" s="170">
        <v>26.0001988235294</v>
      </c>
      <c r="Z23" s="170"/>
      <c r="AA23" s="170"/>
      <c r="AB23" s="170">
        <v>26.0001988235294</v>
      </c>
      <c r="AC23" s="121">
        <v>7.28</v>
      </c>
      <c r="AD23" s="156">
        <v>189.281447435294</v>
      </c>
      <c r="AE23" s="156">
        <v>307.795565082353</v>
      </c>
      <c r="AF23" s="156">
        <v>-1.59456508235303</v>
      </c>
    </row>
    <row r="24" s="84" customFormat="1" ht="12.75" spans="1:32">
      <c r="A24" s="97"/>
      <c r="B24" s="98"/>
      <c r="C24" s="99">
        <v>241022000015</v>
      </c>
      <c r="D24" s="100">
        <v>45587</v>
      </c>
      <c r="E24" s="100" t="s">
        <v>125</v>
      </c>
      <c r="F24" s="98" t="s">
        <v>126</v>
      </c>
      <c r="G24" s="98" t="s">
        <v>127</v>
      </c>
      <c r="H24" s="98">
        <v>0.145</v>
      </c>
      <c r="I24" s="98">
        <v>27</v>
      </c>
      <c r="J24" s="124"/>
      <c r="K24" s="125">
        <v>58650.76</v>
      </c>
      <c r="L24" s="122"/>
      <c r="M24" s="123">
        <v>1631</v>
      </c>
      <c r="N24" s="126">
        <v>35.96</v>
      </c>
      <c r="O24" s="98">
        <v>7.35</v>
      </c>
      <c r="P24" s="124">
        <v>264.306</v>
      </c>
      <c r="Q24" s="155"/>
      <c r="R24" s="155"/>
      <c r="S24" s="156">
        <v>99.5169117647059</v>
      </c>
      <c r="T24" s="156"/>
      <c r="U24" s="156">
        <v>2.77205882352941</v>
      </c>
      <c r="V24" s="156"/>
      <c r="W24" s="156"/>
      <c r="X24" s="156">
        <v>102.288970588235</v>
      </c>
      <c r="Y24" s="170">
        <v>22.4406477941176</v>
      </c>
      <c r="Z24" s="170"/>
      <c r="AA24" s="170"/>
      <c r="AB24" s="170">
        <v>22.4406477941176</v>
      </c>
      <c r="AC24" s="121">
        <v>7.28</v>
      </c>
      <c r="AD24" s="156">
        <v>163.367915941176</v>
      </c>
      <c r="AE24" s="156">
        <v>265.656886529412</v>
      </c>
      <c r="AF24" s="156">
        <v>-1.35088652941204</v>
      </c>
    </row>
    <row r="25" s="84" customFormat="1" ht="12.75" spans="1:32">
      <c r="A25" s="97"/>
      <c r="B25" s="98"/>
      <c r="C25" s="99">
        <v>241022000016</v>
      </c>
      <c r="D25" s="100">
        <v>45587</v>
      </c>
      <c r="E25" s="100" t="s">
        <v>125</v>
      </c>
      <c r="F25" s="98" t="s">
        <v>126</v>
      </c>
      <c r="G25" s="98" t="s">
        <v>127</v>
      </c>
      <c r="H25" s="98">
        <v>0.3529</v>
      </c>
      <c r="I25" s="98">
        <v>36</v>
      </c>
      <c r="J25" s="124"/>
      <c r="K25" s="125">
        <v>142761.43</v>
      </c>
      <c r="L25" s="122"/>
      <c r="M25" s="123">
        <v>1631</v>
      </c>
      <c r="N25" s="126">
        <v>87.53</v>
      </c>
      <c r="O25" s="98">
        <v>7.35</v>
      </c>
      <c r="P25" s="124">
        <v>643.3455</v>
      </c>
      <c r="Q25" s="155"/>
      <c r="R25" s="155"/>
      <c r="S25" s="156">
        <v>242.203573529412</v>
      </c>
      <c r="T25" s="156"/>
      <c r="U25" s="156">
        <v>6.74661764705882</v>
      </c>
      <c r="V25" s="156"/>
      <c r="W25" s="156"/>
      <c r="X25" s="156">
        <v>248.950191176471</v>
      </c>
      <c r="Y25" s="170">
        <v>54.6158938382353</v>
      </c>
      <c r="Z25" s="170"/>
      <c r="AA25" s="170"/>
      <c r="AB25" s="170">
        <v>54.6158938382353</v>
      </c>
      <c r="AC25" s="121">
        <v>7.28</v>
      </c>
      <c r="AD25" s="156">
        <v>397.603707142353</v>
      </c>
      <c r="AE25" s="156">
        <v>646.553898318823</v>
      </c>
      <c r="AF25" s="156">
        <v>-3.20839831882301</v>
      </c>
    </row>
    <row r="26" s="84" customFormat="1" ht="12.75" spans="1:32">
      <c r="A26" s="97"/>
      <c r="B26" s="98"/>
      <c r="C26" s="99">
        <v>241022000017</v>
      </c>
      <c r="D26" s="100">
        <v>45587</v>
      </c>
      <c r="E26" s="100" t="s">
        <v>125</v>
      </c>
      <c r="F26" s="98" t="s">
        <v>126</v>
      </c>
      <c r="G26" s="98" t="s">
        <v>127</v>
      </c>
      <c r="H26" s="98">
        <v>0.053</v>
      </c>
      <c r="I26" s="98">
        <v>9</v>
      </c>
      <c r="J26" s="124"/>
      <c r="K26" s="125">
        <v>21447.65</v>
      </c>
      <c r="L26" s="122"/>
      <c r="M26" s="123">
        <v>1631</v>
      </c>
      <c r="N26" s="126">
        <v>13.15</v>
      </c>
      <c r="O26" s="98">
        <v>7.35</v>
      </c>
      <c r="P26" s="124">
        <v>96.6525</v>
      </c>
      <c r="Q26" s="209"/>
      <c r="R26" s="209"/>
      <c r="S26" s="156">
        <v>36.3751470588235</v>
      </c>
      <c r="T26" s="156"/>
      <c r="U26" s="156">
        <v>1.01323529411765</v>
      </c>
      <c r="V26" s="156"/>
      <c r="W26" s="156"/>
      <c r="X26" s="156">
        <v>37.3883823529412</v>
      </c>
      <c r="Y26" s="170">
        <v>8.20244367647059</v>
      </c>
      <c r="Z26" s="170"/>
      <c r="AA26" s="170"/>
      <c r="AB26" s="170">
        <v>8.20244367647059</v>
      </c>
      <c r="AC26" s="121">
        <v>7.28</v>
      </c>
      <c r="AD26" s="156">
        <v>59.7137899647059</v>
      </c>
      <c r="AE26" s="156">
        <v>97.102172317647</v>
      </c>
      <c r="AF26" s="156">
        <v>-0.449672317647</v>
      </c>
    </row>
    <row r="27" s="84" customFormat="1" ht="12.75" spans="1:32">
      <c r="A27" s="97"/>
      <c r="B27" s="98"/>
      <c r="C27" s="99">
        <v>241028000021</v>
      </c>
      <c r="D27" s="100">
        <v>45593</v>
      </c>
      <c r="E27" s="100" t="s">
        <v>125</v>
      </c>
      <c r="F27" s="98" t="s">
        <v>126</v>
      </c>
      <c r="G27" s="98" t="s">
        <v>127</v>
      </c>
      <c r="H27" s="98">
        <v>19.7914</v>
      </c>
      <c r="I27" s="98">
        <v>1519</v>
      </c>
      <c r="J27" s="124"/>
      <c r="K27" s="125">
        <v>8739687.36</v>
      </c>
      <c r="L27" s="122"/>
      <c r="M27" s="123">
        <v>1635.55214210724</v>
      </c>
      <c r="N27" s="126">
        <v>5343.57</v>
      </c>
      <c r="O27" s="98">
        <v>7.3</v>
      </c>
      <c r="P27" s="124">
        <v>39008.061</v>
      </c>
      <c r="Q27" s="155"/>
      <c r="R27" s="155"/>
      <c r="S27" s="156">
        <v>13849.9053</v>
      </c>
      <c r="T27" s="156"/>
      <c r="U27" s="156">
        <v>552.995</v>
      </c>
      <c r="V27" s="156"/>
      <c r="W27" s="156"/>
      <c r="X27" s="156">
        <v>14402.9003</v>
      </c>
      <c r="Y27" s="170">
        <v>3240.521595</v>
      </c>
      <c r="Z27" s="170"/>
      <c r="AA27" s="170"/>
      <c r="AB27" s="170">
        <v>3240.521595</v>
      </c>
      <c r="AC27" s="121">
        <v>7.3</v>
      </c>
      <c r="AD27" s="156">
        <v>23655.8076435</v>
      </c>
      <c r="AE27" s="156">
        <v>38058.7079435</v>
      </c>
      <c r="AF27" s="156">
        <v>949.353056499996</v>
      </c>
    </row>
    <row r="28" s="84" customFormat="1" ht="12.75" spans="1:32">
      <c r="A28" s="97"/>
      <c r="B28" s="98"/>
      <c r="C28" s="99">
        <v>241030000038</v>
      </c>
      <c r="D28" s="100">
        <v>45595</v>
      </c>
      <c r="E28" s="100" t="s">
        <v>125</v>
      </c>
      <c r="F28" s="98" t="s">
        <v>126</v>
      </c>
      <c r="G28" s="98" t="s">
        <v>129</v>
      </c>
      <c r="H28" s="98">
        <v>43.89</v>
      </c>
      <c r="I28" s="98">
        <v>5168</v>
      </c>
      <c r="J28" s="120">
        <v>67551.98</v>
      </c>
      <c r="K28" s="121"/>
      <c r="L28" s="122"/>
      <c r="M28" s="123"/>
      <c r="N28" s="126"/>
      <c r="O28" s="98"/>
      <c r="P28" s="124">
        <v>67551.98</v>
      </c>
      <c r="Q28" s="155"/>
      <c r="R28" s="155"/>
      <c r="S28" s="156">
        <v>31724.7247058824</v>
      </c>
      <c r="T28" s="156"/>
      <c r="U28" s="156">
        <v>903.617647058824</v>
      </c>
      <c r="V28" s="156"/>
      <c r="W28" s="156"/>
      <c r="X28" s="156">
        <v>32628.3423529412</v>
      </c>
      <c r="Y28" s="170">
        <v>7186.27751470588</v>
      </c>
      <c r="Z28" s="170"/>
      <c r="AA28" s="170">
        <v>44.6451661764706</v>
      </c>
      <c r="AB28" s="170">
        <v>7230.92268088235</v>
      </c>
      <c r="AC28" s="121">
        <v>7.3</v>
      </c>
      <c r="AD28" s="156">
        <v>52785.7355704412</v>
      </c>
      <c r="AE28" s="156">
        <v>85414.0779233823</v>
      </c>
      <c r="AF28" s="156">
        <v>-17862.0979233823</v>
      </c>
    </row>
    <row r="29" s="84" customFormat="1" ht="12.75" spans="1:32">
      <c r="A29" s="97"/>
      <c r="B29" s="98"/>
      <c r="C29" s="99">
        <v>241030000013</v>
      </c>
      <c r="D29" s="100">
        <v>45595</v>
      </c>
      <c r="E29" s="100" t="s">
        <v>125</v>
      </c>
      <c r="F29" s="98" t="s">
        <v>126</v>
      </c>
      <c r="G29" s="98" t="s">
        <v>129</v>
      </c>
      <c r="H29" s="98">
        <v>42.49</v>
      </c>
      <c r="I29" s="98">
        <v>4990</v>
      </c>
      <c r="J29" s="120">
        <v>65397.12</v>
      </c>
      <c r="K29" s="121"/>
      <c r="L29" s="122"/>
      <c r="M29" s="123"/>
      <c r="N29" s="126"/>
      <c r="O29" s="98"/>
      <c r="P29" s="124">
        <v>65397.12</v>
      </c>
      <c r="Q29" s="155"/>
      <c r="R29" s="155"/>
      <c r="S29" s="156">
        <v>29594.285</v>
      </c>
      <c r="T29" s="156"/>
      <c r="U29" s="156">
        <v>1499.64705882353</v>
      </c>
      <c r="V29" s="156"/>
      <c r="W29" s="156"/>
      <c r="X29" s="156">
        <v>31093.9320588235</v>
      </c>
      <c r="Y29" s="170">
        <v>6685.84523970588</v>
      </c>
      <c r="Z29" s="170"/>
      <c r="AA29" s="170">
        <v>41.8339044117647</v>
      </c>
      <c r="AB29" s="170">
        <v>6727.67914411765</v>
      </c>
      <c r="AC29" s="121">
        <v>7.3</v>
      </c>
      <c r="AD29" s="156">
        <v>49112.0577520588</v>
      </c>
      <c r="AE29" s="156">
        <v>80205.9898108824</v>
      </c>
      <c r="AF29" s="156">
        <v>-14808.8698108824</v>
      </c>
    </row>
    <row r="30" s="193" customFormat="1" ht="19" customHeight="1" spans="1:32">
      <c r="A30" s="97" t="s">
        <v>104</v>
      </c>
      <c r="B30" s="196"/>
      <c r="C30" s="197"/>
      <c r="D30" s="198"/>
      <c r="E30" s="199"/>
      <c r="F30" s="196"/>
      <c r="G30" s="196"/>
      <c r="H30" s="196">
        <f>SUM(H5:H29)</f>
        <v>176.7287</v>
      </c>
      <c r="I30" s="204"/>
      <c r="J30" s="204"/>
      <c r="K30" s="204"/>
      <c r="L30" s="204"/>
      <c r="M30" s="205"/>
      <c r="N30" s="205"/>
      <c r="O30" s="124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210"/>
      <c r="AC30" s="210"/>
      <c r="AD30" s="210"/>
      <c r="AE30" s="210"/>
      <c r="AF30" s="210">
        <f>SUM(AF5:AF29)</f>
        <v>-34607.5448635591</v>
      </c>
    </row>
    <row r="31" s="194" customFormat="1" ht="20" customHeight="1" spans="1:25">
      <c r="A31" s="200"/>
      <c r="B31" s="200"/>
      <c r="D31" s="201"/>
      <c r="H31" s="202"/>
      <c r="I31" s="206"/>
      <c r="J31" s="207"/>
      <c r="K31" s="202"/>
      <c r="L31" s="202"/>
      <c r="M31" s="208"/>
      <c r="N31" s="208"/>
      <c r="O31" s="208"/>
      <c r="P31" s="208"/>
      <c r="Q31" s="208"/>
      <c r="R31" s="208"/>
      <c r="S31" s="208"/>
      <c r="T31" s="208"/>
      <c r="U31" s="208"/>
      <c r="V31" s="208"/>
      <c r="W31" s="208"/>
      <c r="X31" s="208"/>
      <c r="Y31" s="208"/>
    </row>
    <row r="32" s="1" customFormat="1" ht="23" customHeight="1" spans="3:16">
      <c r="C32" s="70" t="s">
        <v>66</v>
      </c>
      <c r="D32" s="70"/>
      <c r="E32" s="70"/>
      <c r="F32" s="105" t="s">
        <v>67</v>
      </c>
      <c r="G32" s="106"/>
      <c r="H32" s="106"/>
      <c r="I32" s="127"/>
      <c r="J32"/>
      <c r="K32" s="128" t="s">
        <v>130</v>
      </c>
      <c r="L32" s="129"/>
      <c r="M32" s="130"/>
      <c r="N32" s="208"/>
      <c r="O32"/>
      <c r="P32"/>
    </row>
    <row r="33" s="1" customFormat="1" ht="23" customHeight="1" spans="3:16">
      <c r="C33" s="70"/>
      <c r="D33" s="70"/>
      <c r="E33" s="70"/>
      <c r="F33" s="107"/>
      <c r="G33" s="108"/>
      <c r="H33" s="108"/>
      <c r="I33" s="131"/>
      <c r="J33"/>
      <c r="K33" s="132" t="s">
        <v>69</v>
      </c>
      <c r="L33" s="132" t="s">
        <v>8</v>
      </c>
      <c r="M33" s="132" t="s">
        <v>70</v>
      </c>
      <c r="N33" s="208"/>
      <c r="O33"/>
      <c r="P33"/>
    </row>
    <row r="34" s="1" customFormat="1" ht="23" customHeight="1" spans="3:16">
      <c r="C34" s="70" t="s">
        <v>71</v>
      </c>
      <c r="D34" s="70"/>
      <c r="E34" s="70"/>
      <c r="F34" s="76" t="s">
        <v>72</v>
      </c>
      <c r="G34" s="77"/>
      <c r="H34" s="77"/>
      <c r="I34" s="78"/>
      <c r="J34"/>
      <c r="K34" s="132" t="s">
        <v>73</v>
      </c>
      <c r="L34" s="133">
        <f>SUM(H30)</f>
        <v>176.7287</v>
      </c>
      <c r="M34" s="134">
        <f>SUM(AF30)</f>
        <v>-34607.5448635591</v>
      </c>
      <c r="N34" s="208"/>
      <c r="O34"/>
      <c r="P34"/>
    </row>
    <row r="35" s="1" customFormat="1" ht="23" customHeight="1" spans="3:16">
      <c r="C35" s="70"/>
      <c r="D35" s="70"/>
      <c r="E35" s="70"/>
      <c r="F35" s="79"/>
      <c r="G35" s="80"/>
      <c r="H35" s="80"/>
      <c r="I35" s="81"/>
      <c r="J35"/>
      <c r="K35" s="135" t="s">
        <v>74</v>
      </c>
      <c r="L35" s="135"/>
      <c r="M35" s="136"/>
      <c r="N35"/>
      <c r="O35"/>
      <c r="P35"/>
    </row>
    <row r="36" s="1" customFormat="1" ht="23" customHeight="1" spans="3:16">
      <c r="C36" s="70" t="s">
        <v>75</v>
      </c>
      <c r="D36" s="70"/>
      <c r="E36" s="70"/>
      <c r="F36" s="76" t="s">
        <v>76</v>
      </c>
      <c r="G36" s="77"/>
      <c r="H36" s="77"/>
      <c r="I36" s="78"/>
      <c r="J36"/>
      <c r="K36" s="137" t="s">
        <v>77</v>
      </c>
      <c r="L36" s="137"/>
      <c r="M36" s="138"/>
      <c r="N36"/>
      <c r="O36"/>
      <c r="P36"/>
    </row>
    <row r="37" s="1" customFormat="1" ht="23" customHeight="1" spans="3:16">
      <c r="C37" s="70"/>
      <c r="D37" s="70"/>
      <c r="E37" s="70"/>
      <c r="F37" s="79"/>
      <c r="G37" s="80"/>
      <c r="H37" s="80"/>
      <c r="I37" s="81"/>
      <c r="J37"/>
      <c r="K37" s="132" t="s">
        <v>78</v>
      </c>
      <c r="L37" s="132"/>
      <c r="M37" s="132"/>
      <c r="N37"/>
      <c r="O37"/>
      <c r="P37"/>
    </row>
    <row r="38" s="1" customFormat="1" ht="23" customHeight="1" spans="5:16">
      <c r="E38"/>
      <c r="F38"/>
      <c r="G38"/>
      <c r="H38"/>
      <c r="I38"/>
      <c r="J38"/>
      <c r="K38" s="135" t="s">
        <v>79</v>
      </c>
      <c r="L38" s="135"/>
      <c r="M38" s="136"/>
      <c r="N38"/>
      <c r="O38"/>
      <c r="P38"/>
    </row>
    <row r="39" s="1" customFormat="1" ht="23" customHeight="1" spans="5:16">
      <c r="E39"/>
      <c r="F39"/>
      <c r="G39"/>
      <c r="H39"/>
      <c r="I39"/>
      <c r="J39"/>
      <c r="K39"/>
      <c r="L39"/>
      <c r="M39"/>
      <c r="N39"/>
      <c r="O39"/>
      <c r="P39"/>
    </row>
    <row r="40" s="1" customFormat="1" ht="23" customHeight="1" spans="5:14">
      <c r="E40"/>
      <c r="F40"/>
      <c r="G40"/>
      <c r="H40"/>
      <c r="I40"/>
      <c r="J40"/>
      <c r="K40" s="139"/>
      <c r="L40" s="139"/>
      <c r="M40" s="139"/>
      <c r="N40" s="139"/>
    </row>
    <row r="41" s="1" customFormat="1" ht="23" customHeight="1" spans="5:14">
      <c r="E41"/>
      <c r="F41"/>
      <c r="G41"/>
      <c r="H41"/>
      <c r="I41"/>
      <c r="J41"/>
      <c r="K41" s="139"/>
      <c r="L41" s="139"/>
      <c r="M41" s="139"/>
      <c r="N41" s="139"/>
    </row>
    <row r="42" s="1" customFormat="1" ht="23" customHeight="1" spans="5:19">
      <c r="E42"/>
      <c r="F42"/>
      <c r="G42"/>
      <c r="H42"/>
      <c r="I42"/>
      <c r="J42"/>
      <c r="K42"/>
      <c r="L42"/>
      <c r="M42"/>
      <c r="O42"/>
      <c r="P42"/>
      <c r="Q42"/>
      <c r="R42"/>
      <c r="S42" s="35"/>
    </row>
    <row r="43" s="1" customFormat="1" ht="23" customHeight="1" spans="5:19">
      <c r="E43" s="203"/>
      <c r="F43" s="203"/>
      <c r="G43" s="203"/>
      <c r="H43" s="203"/>
      <c r="I43" s="203"/>
      <c r="J43" s="203"/>
      <c r="K43" s="203"/>
      <c r="L43" s="203"/>
      <c r="N43" s="203"/>
      <c r="O43" s="203"/>
      <c r="P43" s="203"/>
      <c r="Q43" s="203"/>
      <c r="S43" s="35"/>
    </row>
    <row r="44" ht="25" customHeight="1"/>
  </sheetData>
  <mergeCells count="23">
    <mergeCell ref="J3:P3"/>
    <mergeCell ref="R3:V3"/>
    <mergeCell ref="Y3:AD3"/>
    <mergeCell ref="K32:M3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32:E33"/>
    <mergeCell ref="F32:I33"/>
    <mergeCell ref="C34:E35"/>
    <mergeCell ref="F34:I35"/>
    <mergeCell ref="C36:E37"/>
    <mergeCell ref="F36:I37"/>
  </mergeCell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2"/>
  <sheetViews>
    <sheetView workbookViewId="0">
      <pane xSplit="14" ySplit="9" topLeftCell="AA10" activePane="bottomRight" state="frozen"/>
      <selection/>
      <selection pane="topRight"/>
      <selection pane="bottomLeft"/>
      <selection pane="bottomRight" activeCell="M12" sqref="M12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1.25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40" t="s">
        <v>11</v>
      </c>
      <c r="R3" s="141" t="s">
        <v>12</v>
      </c>
      <c r="S3" s="142"/>
      <c r="T3" s="143"/>
      <c r="U3" s="144"/>
      <c r="V3" s="145"/>
      <c r="W3" s="146" t="s">
        <v>13</v>
      </c>
      <c r="X3" s="147" t="s">
        <v>14</v>
      </c>
      <c r="Y3" s="160" t="s">
        <v>15</v>
      </c>
      <c r="Z3" s="160"/>
      <c r="AA3" s="160"/>
      <c r="AB3" s="160"/>
      <c r="AC3" s="161"/>
      <c r="AD3" s="160"/>
      <c r="AE3" s="162" t="s">
        <v>16</v>
      </c>
      <c r="AF3" s="163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8"/>
      <c r="R4" s="149" t="s">
        <v>25</v>
      </c>
      <c r="S4" s="150" t="s">
        <v>26</v>
      </c>
      <c r="T4" s="151" t="s">
        <v>27</v>
      </c>
      <c r="U4" s="152" t="s">
        <v>28</v>
      </c>
      <c r="V4" s="151" t="s">
        <v>29</v>
      </c>
      <c r="W4" s="153"/>
      <c r="X4" s="154"/>
      <c r="Y4" s="164" t="s">
        <v>30</v>
      </c>
      <c r="Z4" s="164" t="s">
        <v>31</v>
      </c>
      <c r="AA4" s="164" t="s">
        <v>32</v>
      </c>
      <c r="AB4" s="165" t="s">
        <v>33</v>
      </c>
      <c r="AC4" s="166" t="s">
        <v>34</v>
      </c>
      <c r="AD4" s="167" t="s">
        <v>24</v>
      </c>
      <c r="AE4" s="168" t="s">
        <v>35</v>
      </c>
      <c r="AF4" s="169"/>
    </row>
    <row r="5" s="84" customFormat="1" ht="12.75" spans="1:32">
      <c r="A5" s="97"/>
      <c r="B5" s="98"/>
      <c r="C5" s="99">
        <v>240921000009</v>
      </c>
      <c r="D5" s="100">
        <v>45563</v>
      </c>
      <c r="E5" s="100" t="s">
        <v>131</v>
      </c>
      <c r="F5" s="98" t="s">
        <v>132</v>
      </c>
      <c r="G5" s="98" t="s">
        <v>133</v>
      </c>
      <c r="H5" s="98">
        <v>0.075</v>
      </c>
      <c r="I5" s="98">
        <v>19</v>
      </c>
      <c r="J5" s="120">
        <v>318</v>
      </c>
      <c r="K5" s="121"/>
      <c r="L5" s="122"/>
      <c r="M5" s="123"/>
      <c r="N5" s="122"/>
      <c r="O5" s="98"/>
      <c r="P5" s="124">
        <v>318</v>
      </c>
      <c r="Q5" s="155"/>
      <c r="R5" s="155"/>
      <c r="S5" s="156">
        <v>44.8466911764706</v>
      </c>
      <c r="T5" s="156">
        <v>0.104470588235294</v>
      </c>
      <c r="U5" s="156">
        <v>2.20588235294118</v>
      </c>
      <c r="V5" s="156"/>
      <c r="W5" s="156"/>
      <c r="X5" s="156">
        <v>47.1570441176471</v>
      </c>
      <c r="Y5" s="170">
        <v>11.4498970588235</v>
      </c>
      <c r="Z5" s="170"/>
      <c r="AA5" s="170"/>
      <c r="AB5" s="170">
        <v>11.4498970588235</v>
      </c>
      <c r="AC5" s="121">
        <v>7.24</v>
      </c>
      <c r="AD5" s="156">
        <v>82.8972547058821</v>
      </c>
      <c r="AE5" s="156">
        <v>130.054298823529</v>
      </c>
      <c r="AF5" s="156">
        <v>187.945701176471</v>
      </c>
    </row>
    <row r="6" s="84" customFormat="1" ht="12.75" spans="1:32">
      <c r="A6" s="174"/>
      <c r="B6" s="175"/>
      <c r="C6" s="99">
        <v>241009000046</v>
      </c>
      <c r="D6" s="100">
        <v>45580</v>
      </c>
      <c r="E6" s="100" t="s">
        <v>131</v>
      </c>
      <c r="F6" s="175" t="s">
        <v>132</v>
      </c>
      <c r="G6" s="175" t="s">
        <v>134</v>
      </c>
      <c r="H6" s="175">
        <v>0.0717</v>
      </c>
      <c r="I6" s="175">
        <v>25</v>
      </c>
      <c r="J6" s="211"/>
      <c r="K6" s="125">
        <v>37653</v>
      </c>
      <c r="L6" s="176"/>
      <c r="M6" s="123">
        <v>1637.08695652174</v>
      </c>
      <c r="N6" s="126">
        <v>23</v>
      </c>
      <c r="O6" s="98">
        <v>7.27</v>
      </c>
      <c r="P6" s="124">
        <v>167.21</v>
      </c>
      <c r="Q6" s="155"/>
      <c r="R6" s="155"/>
      <c r="S6" s="156">
        <v>42.2776941176471</v>
      </c>
      <c r="T6" s="156"/>
      <c r="U6" s="156">
        <v>2.21426470588235</v>
      </c>
      <c r="V6" s="156"/>
      <c r="W6" s="156"/>
      <c r="X6" s="156">
        <v>44.4919588235294</v>
      </c>
      <c r="Y6" s="170">
        <v>11.0479577647059</v>
      </c>
      <c r="Z6" s="170"/>
      <c r="AA6" s="170">
        <v>0.234680426470588</v>
      </c>
      <c r="AB6" s="170">
        <v>11.2826381911765</v>
      </c>
      <c r="AC6" s="121">
        <v>7.27</v>
      </c>
      <c r="AD6" s="156">
        <v>82.0247796498529</v>
      </c>
      <c r="AE6" s="156">
        <v>126.516738473382</v>
      </c>
      <c r="AF6" s="156">
        <v>40.693261526618</v>
      </c>
    </row>
    <row r="7" s="84" customFormat="1" ht="12.75" spans="1:32">
      <c r="A7" s="174"/>
      <c r="B7" s="175"/>
      <c r="C7" s="99">
        <v>241014000064</v>
      </c>
      <c r="D7" s="100">
        <v>45583</v>
      </c>
      <c r="E7" s="100" t="s">
        <v>131</v>
      </c>
      <c r="F7" s="175" t="s">
        <v>132</v>
      </c>
      <c r="G7" s="175" t="s">
        <v>134</v>
      </c>
      <c r="H7" s="175">
        <v>0.1024</v>
      </c>
      <c r="I7" s="175">
        <v>35</v>
      </c>
      <c r="J7" s="211"/>
      <c r="K7" s="125">
        <v>71551</v>
      </c>
      <c r="L7" s="176"/>
      <c r="M7" s="123">
        <v>1690.31419796834</v>
      </c>
      <c r="N7" s="126">
        <v>42.33</v>
      </c>
      <c r="O7" s="98">
        <v>7.27</v>
      </c>
      <c r="P7" s="124">
        <v>307.7391</v>
      </c>
      <c r="Q7" s="155"/>
      <c r="R7" s="155"/>
      <c r="S7" s="156">
        <v>62.8043294117647</v>
      </c>
      <c r="T7" s="156">
        <v>0.150166588235294</v>
      </c>
      <c r="U7" s="156">
        <v>2.25882352941176</v>
      </c>
      <c r="V7" s="156"/>
      <c r="W7" s="156"/>
      <c r="X7" s="156">
        <v>65.2133195294118</v>
      </c>
      <c r="Y7" s="170">
        <v>15.8477402352941</v>
      </c>
      <c r="Z7" s="170"/>
      <c r="AA7" s="170"/>
      <c r="AB7" s="170">
        <v>15.8477402352941</v>
      </c>
      <c r="AC7" s="121">
        <v>7.28</v>
      </c>
      <c r="AD7" s="156">
        <v>115.371548912941</v>
      </c>
      <c r="AE7" s="156">
        <v>180.584868442353</v>
      </c>
      <c r="AF7" s="156">
        <v>127.154231557647</v>
      </c>
    </row>
    <row r="8" s="193" customFormat="1" ht="19" customHeight="1" spans="1:32">
      <c r="A8" s="97" t="s">
        <v>104</v>
      </c>
      <c r="B8" s="196"/>
      <c r="C8" s="197"/>
      <c r="D8" s="198"/>
      <c r="E8" s="199"/>
      <c r="F8" s="196"/>
      <c r="G8" s="196"/>
      <c r="H8" s="196">
        <f>SUM(H5:H7)</f>
        <v>0.2491</v>
      </c>
      <c r="I8" s="204"/>
      <c r="J8" s="204"/>
      <c r="K8" s="204"/>
      <c r="L8" s="204"/>
      <c r="M8" s="205"/>
      <c r="N8" s="205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210"/>
      <c r="AC8" s="210"/>
      <c r="AD8" s="210"/>
      <c r="AE8" s="210"/>
      <c r="AF8" s="210">
        <f>SUM(AF5:AF7)</f>
        <v>355.793194260736</v>
      </c>
    </row>
    <row r="9" s="194" customFormat="1" ht="20" customHeight="1" spans="1:25">
      <c r="A9" s="200"/>
      <c r="B9" s="200"/>
      <c r="D9" s="201"/>
      <c r="H9" s="202"/>
      <c r="I9" s="206"/>
      <c r="J9" s="207"/>
      <c r="K9" s="202"/>
      <c r="L9" s="202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</row>
    <row r="10" s="1" customFormat="1" ht="23" customHeight="1" spans="3:16">
      <c r="C10" s="70" t="s">
        <v>66</v>
      </c>
      <c r="D10" s="70"/>
      <c r="E10" s="70"/>
      <c r="F10" s="105" t="s">
        <v>67</v>
      </c>
      <c r="G10" s="106"/>
      <c r="H10" s="106"/>
      <c r="I10" s="127"/>
      <c r="J10"/>
      <c r="K10" s="128" t="s">
        <v>135</v>
      </c>
      <c r="L10" s="129"/>
      <c r="M10" s="130"/>
      <c r="N10" s="208"/>
      <c r="O10"/>
      <c r="P10"/>
    </row>
    <row r="11" s="1" customFormat="1" ht="23" customHeight="1" spans="3:16">
      <c r="C11" s="70"/>
      <c r="D11" s="70"/>
      <c r="E11" s="70"/>
      <c r="F11" s="107"/>
      <c r="G11" s="108"/>
      <c r="H11" s="108"/>
      <c r="I11" s="131"/>
      <c r="J11"/>
      <c r="K11" s="132" t="s">
        <v>69</v>
      </c>
      <c r="L11" s="132" t="s">
        <v>8</v>
      </c>
      <c r="M11" s="132" t="s">
        <v>70</v>
      </c>
      <c r="N11" s="208"/>
      <c r="O11"/>
      <c r="P11"/>
    </row>
    <row r="12" s="1" customFormat="1" ht="23" customHeight="1" spans="3:26">
      <c r="C12" s="70" t="s">
        <v>71</v>
      </c>
      <c r="D12" s="70"/>
      <c r="E12" s="70"/>
      <c r="F12" s="76" t="s">
        <v>72</v>
      </c>
      <c r="G12" s="77"/>
      <c r="H12" s="77"/>
      <c r="I12" s="78"/>
      <c r="J12"/>
      <c r="K12" s="132" t="s">
        <v>73</v>
      </c>
      <c r="L12" s="133">
        <f>SUM(H8)</f>
        <v>0.2491</v>
      </c>
      <c r="M12" s="134">
        <f>SUM(AF8)</f>
        <v>355.793194260736</v>
      </c>
      <c r="N12" s="208"/>
      <c r="O12" s="208"/>
      <c r="P12" s="208"/>
      <c r="Q12" s="208"/>
      <c r="R12" s="208"/>
      <c r="S12" s="208"/>
      <c r="T12" s="208"/>
      <c r="U12" s="208"/>
      <c r="V12" s="208"/>
      <c r="W12" s="208"/>
      <c r="X12" s="208"/>
      <c r="Y12" s="208"/>
      <c r="Z12" s="208"/>
    </row>
    <row r="13" s="1" customFormat="1" ht="23" customHeight="1" spans="3:16">
      <c r="C13" s="70"/>
      <c r="D13" s="70"/>
      <c r="E13" s="70"/>
      <c r="F13" s="79"/>
      <c r="G13" s="80"/>
      <c r="H13" s="80"/>
      <c r="I13" s="81"/>
      <c r="J13"/>
      <c r="K13" s="135" t="s">
        <v>74</v>
      </c>
      <c r="L13" s="135"/>
      <c r="M13" s="136"/>
      <c r="N13"/>
      <c r="O13"/>
      <c r="P13"/>
    </row>
    <row r="14" s="1" customFormat="1" ht="23" customHeight="1" spans="3:16">
      <c r="C14" s="70" t="s">
        <v>75</v>
      </c>
      <c r="D14" s="70"/>
      <c r="E14" s="70"/>
      <c r="F14" s="76" t="s">
        <v>76</v>
      </c>
      <c r="G14" s="77"/>
      <c r="H14" s="77"/>
      <c r="I14" s="78"/>
      <c r="J14"/>
      <c r="K14" s="137" t="s">
        <v>77</v>
      </c>
      <c r="L14" s="137"/>
      <c r="M14" s="138"/>
      <c r="N14"/>
      <c r="O14"/>
      <c r="P14"/>
    </row>
    <row r="15" s="1" customFormat="1" ht="23" customHeight="1" spans="3:16">
      <c r="C15" s="70"/>
      <c r="D15" s="70"/>
      <c r="E15" s="70"/>
      <c r="F15" s="79"/>
      <c r="G15" s="80"/>
      <c r="H15" s="80"/>
      <c r="I15" s="81"/>
      <c r="J15"/>
      <c r="K15" s="132" t="s">
        <v>78</v>
      </c>
      <c r="L15" s="132"/>
      <c r="M15" s="132"/>
      <c r="N15"/>
      <c r="O15"/>
      <c r="P15"/>
    </row>
    <row r="16" s="1" customFormat="1" ht="23" customHeight="1" spans="5:16">
      <c r="E16"/>
      <c r="F16"/>
      <c r="G16"/>
      <c r="H16"/>
      <c r="I16"/>
      <c r="J16"/>
      <c r="K16" s="135" t="s">
        <v>79</v>
      </c>
      <c r="L16" s="135"/>
      <c r="M16" s="136"/>
      <c r="N16"/>
      <c r="O16"/>
      <c r="P16"/>
    </row>
    <row r="17" s="1" customFormat="1" ht="23" customHeight="1" spans="5:16">
      <c r="E17"/>
      <c r="F17"/>
      <c r="G17"/>
      <c r="H17"/>
      <c r="I17"/>
      <c r="J17"/>
      <c r="K17"/>
      <c r="L17"/>
      <c r="M17"/>
      <c r="N17"/>
      <c r="O17"/>
      <c r="P17"/>
    </row>
    <row r="18" s="1" customFormat="1" ht="23" customHeight="1" spans="5:14">
      <c r="E18"/>
      <c r="F18"/>
      <c r="G18"/>
      <c r="H18"/>
      <c r="I18"/>
      <c r="J18"/>
      <c r="K18" s="139"/>
      <c r="L18" s="139"/>
      <c r="M18" s="139"/>
      <c r="N18" s="139"/>
    </row>
    <row r="19" s="1" customFormat="1" ht="23" customHeight="1" spans="5:14">
      <c r="E19"/>
      <c r="F19"/>
      <c r="G19"/>
      <c r="H19"/>
      <c r="I19"/>
      <c r="J19"/>
      <c r="K19" s="139"/>
      <c r="L19" s="139"/>
      <c r="M19" s="139"/>
      <c r="N19" s="139"/>
    </row>
    <row r="20" s="1" customFormat="1" ht="23" customHeight="1" spans="5:19">
      <c r="E20"/>
      <c r="F20"/>
      <c r="G20"/>
      <c r="H20"/>
      <c r="I20"/>
      <c r="J20"/>
      <c r="K20"/>
      <c r="L20"/>
      <c r="M20"/>
      <c r="O20"/>
      <c r="P20"/>
      <c r="Q20"/>
      <c r="R20"/>
      <c r="S20" s="35"/>
    </row>
    <row r="21" s="1" customFormat="1" ht="23" customHeight="1" spans="5:19">
      <c r="E21" s="203"/>
      <c r="F21" s="203"/>
      <c r="G21" s="203"/>
      <c r="H21" s="203"/>
      <c r="I21" s="203"/>
      <c r="J21" s="203"/>
      <c r="K21" s="203"/>
      <c r="L21" s="203"/>
      <c r="N21" s="203"/>
      <c r="O21" s="203"/>
      <c r="P21" s="203"/>
      <c r="Q21" s="203"/>
      <c r="S21" s="35"/>
    </row>
    <row r="22" ht="25" customHeight="1"/>
  </sheetData>
  <mergeCells count="23">
    <mergeCell ref="J3:P3"/>
    <mergeCell ref="R3:V3"/>
    <mergeCell ref="Y3:AD3"/>
    <mergeCell ref="K10:M10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0:E11"/>
    <mergeCell ref="F10:I11"/>
    <mergeCell ref="C12:E13"/>
    <mergeCell ref="F12:I13"/>
    <mergeCell ref="C14:E15"/>
    <mergeCell ref="F14:I15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1"/>
  <sheetViews>
    <sheetView workbookViewId="0">
      <pane xSplit="14" ySplit="4" topLeftCell="AC5" activePane="bottomRight" state="frozen"/>
      <selection/>
      <selection pane="topRight"/>
      <selection pane="bottomLeft"/>
      <selection pane="bottomRight" activeCell="M34" sqref="M34"/>
    </sheetView>
  </sheetViews>
  <sheetFormatPr defaultColWidth="9" defaultRowHeight="13.5"/>
  <cols>
    <col min="3" max="3" width="11.25" customWidth="1"/>
    <col min="4" max="4" width="11.25"/>
    <col min="8" max="8" width="10.125"/>
    <col min="9" max="9" width="11.125"/>
    <col min="10" max="10" width="10.375"/>
    <col min="11" max="11" width="10.125"/>
    <col min="12" max="12" width="11.125"/>
    <col min="13" max="13" width="15.125" customWidth="1"/>
    <col min="14" max="14" width="11.375" customWidth="1"/>
    <col min="15" max="16" width="14.75"/>
    <col min="17" max="17" width="11"/>
    <col min="18" max="18" width="12.5" customWidth="1"/>
    <col min="19" max="19" width="11"/>
    <col min="20" max="20" width="11.125"/>
    <col min="21" max="21" width="12.625"/>
    <col min="22" max="22" width="12.5"/>
    <col min="23" max="23" width="11"/>
    <col min="24" max="24" width="10.375"/>
    <col min="25" max="25" width="12"/>
    <col min="26" max="26" width="9.25"/>
    <col min="27" max="27" width="12.5"/>
    <col min="28" max="28" width="13.625"/>
    <col min="29" max="29" width="9.25"/>
    <col min="30" max="30" width="10.125"/>
    <col min="31" max="32" width="12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40" t="s">
        <v>11</v>
      </c>
      <c r="R3" s="141" t="s">
        <v>12</v>
      </c>
      <c r="S3" s="142"/>
      <c r="T3" s="143"/>
      <c r="U3" s="144"/>
      <c r="V3" s="145"/>
      <c r="W3" s="146" t="s">
        <v>13</v>
      </c>
      <c r="X3" s="147" t="s">
        <v>14</v>
      </c>
      <c r="Y3" s="160" t="s">
        <v>15</v>
      </c>
      <c r="Z3" s="160"/>
      <c r="AA3" s="160"/>
      <c r="AB3" s="160"/>
      <c r="AC3" s="161"/>
      <c r="AD3" s="160"/>
      <c r="AE3" s="162" t="s">
        <v>16</v>
      </c>
      <c r="AF3" s="163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8"/>
      <c r="R4" s="149" t="s">
        <v>25</v>
      </c>
      <c r="S4" s="150" t="s">
        <v>26</v>
      </c>
      <c r="T4" s="151" t="s">
        <v>27</v>
      </c>
      <c r="U4" s="152" t="s">
        <v>28</v>
      </c>
      <c r="V4" s="151" t="s">
        <v>29</v>
      </c>
      <c r="W4" s="153"/>
      <c r="X4" s="154"/>
      <c r="Y4" s="164" t="s">
        <v>30</v>
      </c>
      <c r="Z4" s="164" t="s">
        <v>31</v>
      </c>
      <c r="AA4" s="164" t="s">
        <v>32</v>
      </c>
      <c r="AB4" s="165" t="s">
        <v>33</v>
      </c>
      <c r="AC4" s="166" t="s">
        <v>34</v>
      </c>
      <c r="AD4" s="167" t="s">
        <v>24</v>
      </c>
      <c r="AE4" s="168" t="s">
        <v>35</v>
      </c>
      <c r="AF4" s="169"/>
    </row>
    <row r="5" s="84" customFormat="1" ht="12.75" spans="1:32">
      <c r="A5" s="97"/>
      <c r="B5" s="98"/>
      <c r="C5" s="99">
        <v>240921000019</v>
      </c>
      <c r="D5" s="100">
        <v>45563</v>
      </c>
      <c r="E5" s="100" t="s">
        <v>136</v>
      </c>
      <c r="F5" s="98" t="s">
        <v>137</v>
      </c>
      <c r="G5" s="98" t="s">
        <v>138</v>
      </c>
      <c r="H5" s="98">
        <v>0.3318</v>
      </c>
      <c r="I5" s="98">
        <v>185</v>
      </c>
      <c r="J5" s="120">
        <v>678.17</v>
      </c>
      <c r="K5" s="121"/>
      <c r="L5" s="122"/>
      <c r="M5" s="123"/>
      <c r="N5" s="170"/>
      <c r="O5" s="98"/>
      <c r="P5" s="124">
        <v>678.17</v>
      </c>
      <c r="Q5" s="155"/>
      <c r="R5" s="155"/>
      <c r="S5" s="156">
        <v>197.689367647059</v>
      </c>
      <c r="T5" s="156"/>
      <c r="U5" s="156">
        <v>10.7347058823529</v>
      </c>
      <c r="V5" s="156"/>
      <c r="W5" s="156"/>
      <c r="X5" s="156">
        <v>208.424073529412</v>
      </c>
      <c r="Y5" s="170">
        <v>50.6542957941176</v>
      </c>
      <c r="Z5" s="170"/>
      <c r="AA5" s="170"/>
      <c r="AB5" s="170">
        <v>50.6542957941176</v>
      </c>
      <c r="AC5" s="121">
        <v>7.23</v>
      </c>
      <c r="AD5" s="156">
        <v>366.230558591471</v>
      </c>
      <c r="AE5" s="156">
        <v>574.654632120883</v>
      </c>
      <c r="AF5" s="156">
        <v>103.515367879117</v>
      </c>
    </row>
    <row r="6" s="84" customFormat="1" ht="12.75" spans="1:32">
      <c r="A6" s="97"/>
      <c r="B6" s="98"/>
      <c r="C6" s="99">
        <v>240927000070</v>
      </c>
      <c r="D6" s="100">
        <v>45563</v>
      </c>
      <c r="E6" s="100" t="s">
        <v>136</v>
      </c>
      <c r="F6" s="98" t="s">
        <v>137</v>
      </c>
      <c r="G6" s="98" t="s">
        <v>139</v>
      </c>
      <c r="H6" s="98">
        <v>17.4127</v>
      </c>
      <c r="I6" s="98">
        <v>10650</v>
      </c>
      <c r="J6" s="120">
        <v>29515.58</v>
      </c>
      <c r="K6" s="121"/>
      <c r="L6" s="122"/>
      <c r="M6" s="123"/>
      <c r="N6" s="122"/>
      <c r="O6" s="98"/>
      <c r="P6" s="124">
        <v>29515.58</v>
      </c>
      <c r="Q6" s="155"/>
      <c r="R6" s="155"/>
      <c r="S6" s="156">
        <v>10374.6403014706</v>
      </c>
      <c r="T6" s="156"/>
      <c r="U6" s="156">
        <v>563.352058823529</v>
      </c>
      <c r="V6" s="156"/>
      <c r="W6" s="156"/>
      <c r="X6" s="156">
        <v>10937.9923602941</v>
      </c>
      <c r="Y6" s="170">
        <v>2658.31240619118</v>
      </c>
      <c r="Z6" s="170">
        <v>85.88</v>
      </c>
      <c r="AA6" s="170"/>
      <c r="AB6" s="170">
        <v>2744.19240619118</v>
      </c>
      <c r="AC6" s="121">
        <v>7.23</v>
      </c>
      <c r="AD6" s="156">
        <v>19840.5110967622</v>
      </c>
      <c r="AE6" s="156">
        <v>30778.5034570563</v>
      </c>
      <c r="AF6" s="156">
        <v>-1262.9234570563</v>
      </c>
    </row>
    <row r="7" s="84" customFormat="1" ht="12.75" spans="1:32">
      <c r="A7" s="97"/>
      <c r="B7" s="98"/>
      <c r="C7" s="99">
        <v>240928000018</v>
      </c>
      <c r="D7" s="100">
        <v>45563</v>
      </c>
      <c r="E7" s="100" t="s">
        <v>136</v>
      </c>
      <c r="F7" s="98" t="s">
        <v>137</v>
      </c>
      <c r="G7" s="98" t="s">
        <v>140</v>
      </c>
      <c r="H7" s="98">
        <v>3.3552</v>
      </c>
      <c r="I7" s="98">
        <v>1105</v>
      </c>
      <c r="J7" s="120">
        <v>6123.24</v>
      </c>
      <c r="K7" s="121"/>
      <c r="L7" s="122"/>
      <c r="M7" s="123"/>
      <c r="N7" s="122"/>
      <c r="O7" s="98"/>
      <c r="P7" s="124">
        <v>6123.24</v>
      </c>
      <c r="Q7" s="209"/>
      <c r="R7" s="209"/>
      <c r="S7" s="156">
        <v>1999.05776470588</v>
      </c>
      <c r="T7" s="156"/>
      <c r="U7" s="156">
        <v>108.550588235294</v>
      </c>
      <c r="V7" s="156"/>
      <c r="W7" s="156"/>
      <c r="X7" s="156">
        <v>2107.60835294118</v>
      </c>
      <c r="Y7" s="170">
        <v>512.222101411765</v>
      </c>
      <c r="Z7" s="170"/>
      <c r="AA7" s="170"/>
      <c r="AB7" s="170">
        <v>512.222101411765</v>
      </c>
      <c r="AC7" s="121">
        <v>7.23</v>
      </c>
      <c r="AD7" s="156">
        <v>3703.36579320706</v>
      </c>
      <c r="AE7" s="156">
        <v>5810.97414614824</v>
      </c>
      <c r="AF7" s="156">
        <v>312.26585385176</v>
      </c>
    </row>
    <row r="8" s="84" customFormat="1" ht="12.75" spans="1:32">
      <c r="A8" s="97"/>
      <c r="B8" s="98"/>
      <c r="C8" s="99">
        <v>240921000019</v>
      </c>
      <c r="D8" s="100">
        <v>45563</v>
      </c>
      <c r="E8" s="100" t="s">
        <v>136</v>
      </c>
      <c r="F8" s="98" t="s">
        <v>137</v>
      </c>
      <c r="G8" s="98" t="s">
        <v>138</v>
      </c>
      <c r="H8" s="98">
        <v>10.1452</v>
      </c>
      <c r="I8" s="98">
        <v>2149.35</v>
      </c>
      <c r="J8" s="120">
        <v>20732</v>
      </c>
      <c r="K8" s="121"/>
      <c r="L8" s="122"/>
      <c r="M8" s="123"/>
      <c r="N8" s="170"/>
      <c r="O8" s="98"/>
      <c r="P8" s="124">
        <v>20732</v>
      </c>
      <c r="Q8" s="155"/>
      <c r="R8" s="155"/>
      <c r="S8" s="156">
        <v>6066.38201764706</v>
      </c>
      <c r="T8" s="156">
        <v>14.1316668235294</v>
      </c>
      <c r="U8" s="156">
        <v>298.388235294118</v>
      </c>
      <c r="V8" s="156">
        <v>800</v>
      </c>
      <c r="W8" s="156"/>
      <c r="X8" s="156">
        <v>7178.90191976471</v>
      </c>
      <c r="Y8" s="170">
        <v>1548.81994188235</v>
      </c>
      <c r="Z8" s="170"/>
      <c r="AA8" s="170"/>
      <c r="AB8" s="170">
        <v>1548.81994188235</v>
      </c>
      <c r="AC8" s="121">
        <v>7.24</v>
      </c>
      <c r="AD8" s="156">
        <v>11213.4563792282</v>
      </c>
      <c r="AE8" s="156">
        <v>18392.3582989929</v>
      </c>
      <c r="AF8" s="156">
        <v>2339.6417010071</v>
      </c>
    </row>
    <row r="9" s="84" customFormat="1" ht="12.75" spans="1:32">
      <c r="A9" s="97"/>
      <c r="B9" s="98"/>
      <c r="C9" s="99">
        <v>240927000071</v>
      </c>
      <c r="D9" s="100">
        <v>45563</v>
      </c>
      <c r="E9" s="100" t="s">
        <v>136</v>
      </c>
      <c r="F9" s="98" t="s">
        <v>137</v>
      </c>
      <c r="G9" s="98" t="s">
        <v>139</v>
      </c>
      <c r="H9" s="98">
        <v>16.8732</v>
      </c>
      <c r="I9" s="98">
        <v>10470</v>
      </c>
      <c r="J9" s="120">
        <v>28601.11</v>
      </c>
      <c r="K9" s="121"/>
      <c r="L9" s="122"/>
      <c r="M9" s="123"/>
      <c r="N9" s="122"/>
      <c r="O9" s="98"/>
      <c r="P9" s="124">
        <v>28601.11</v>
      </c>
      <c r="Q9" s="209"/>
      <c r="R9" s="209"/>
      <c r="S9" s="156">
        <v>10089.4291941176</v>
      </c>
      <c r="T9" s="156">
        <v>23.5033750588235</v>
      </c>
      <c r="U9" s="156">
        <v>496.270588235294</v>
      </c>
      <c r="V9" s="156"/>
      <c r="W9" s="156"/>
      <c r="X9" s="156">
        <v>10609.2031574118</v>
      </c>
      <c r="Y9" s="170">
        <v>2575.95204070588</v>
      </c>
      <c r="Z9" s="170">
        <v>84.18</v>
      </c>
      <c r="AA9" s="170"/>
      <c r="AB9" s="170">
        <v>2660.13204070588</v>
      </c>
      <c r="AC9" s="121">
        <v>7.24</v>
      </c>
      <c r="AD9" s="156">
        <v>19259.3559747106</v>
      </c>
      <c r="AE9" s="156">
        <v>29868.5591321224</v>
      </c>
      <c r="AF9" s="156">
        <v>-1267.4491321224</v>
      </c>
    </row>
    <row r="10" s="84" customFormat="1" ht="12.75" spans="1:32">
      <c r="A10" s="97"/>
      <c r="B10" s="98"/>
      <c r="C10" s="99">
        <v>240919000028</v>
      </c>
      <c r="D10" s="100">
        <v>45564</v>
      </c>
      <c r="E10" s="100" t="s">
        <v>136</v>
      </c>
      <c r="F10" s="98" t="s">
        <v>137</v>
      </c>
      <c r="G10" s="98" t="s">
        <v>141</v>
      </c>
      <c r="H10" s="98">
        <v>4.5828</v>
      </c>
      <c r="I10" s="98">
        <v>3750</v>
      </c>
      <c r="J10" s="120">
        <v>10847.8</v>
      </c>
      <c r="K10" s="121"/>
      <c r="L10" s="122"/>
      <c r="M10" s="123"/>
      <c r="N10" s="122"/>
      <c r="O10" s="98"/>
      <c r="P10" s="124">
        <v>10847.8</v>
      </c>
      <c r="Q10" s="155"/>
      <c r="R10" s="155"/>
      <c r="S10" s="156">
        <v>2826.03753529412</v>
      </c>
      <c r="T10" s="156"/>
      <c r="U10" s="156">
        <v>94.3517647058824</v>
      </c>
      <c r="V10" s="156"/>
      <c r="W10" s="156"/>
      <c r="X10" s="156">
        <v>2920.3893</v>
      </c>
      <c r="Y10" s="170">
        <v>699.634509882353</v>
      </c>
      <c r="Z10" s="170"/>
      <c r="AA10" s="170"/>
      <c r="AB10" s="170">
        <v>699.634509882353</v>
      </c>
      <c r="AC10" s="121">
        <v>7.24</v>
      </c>
      <c r="AD10" s="156">
        <v>5065.35385154824</v>
      </c>
      <c r="AE10" s="156">
        <v>7985.74315154824</v>
      </c>
      <c r="AF10" s="156">
        <v>2862.05684845176</v>
      </c>
    </row>
    <row r="11" s="84" customFormat="1" ht="12.75" spans="1:32">
      <c r="A11" s="97"/>
      <c r="B11" s="98"/>
      <c r="C11" s="99">
        <v>240929000057</v>
      </c>
      <c r="D11" s="100">
        <v>45564</v>
      </c>
      <c r="E11" s="100" t="s">
        <v>136</v>
      </c>
      <c r="F11" s="98" t="s">
        <v>137</v>
      </c>
      <c r="G11" s="98" t="s">
        <v>142</v>
      </c>
      <c r="H11" s="195">
        <v>0.0914</v>
      </c>
      <c r="I11" s="98">
        <v>64</v>
      </c>
      <c r="J11" s="120">
        <v>186.81</v>
      </c>
      <c r="K11" s="121"/>
      <c r="L11" s="122"/>
      <c r="M11" s="123"/>
      <c r="N11" s="122"/>
      <c r="O11" s="98"/>
      <c r="P11" s="124">
        <v>186.81</v>
      </c>
      <c r="Q11" s="209"/>
      <c r="R11" s="209"/>
      <c r="S11" s="156">
        <v>56.3628852941176</v>
      </c>
      <c r="T11" s="156"/>
      <c r="U11" s="156">
        <v>1.88176470588235</v>
      </c>
      <c r="V11" s="156"/>
      <c r="W11" s="156"/>
      <c r="X11" s="156">
        <v>58.24465</v>
      </c>
      <c r="Y11" s="170">
        <v>13.9536078823529</v>
      </c>
      <c r="Z11" s="170"/>
      <c r="AA11" s="170"/>
      <c r="AB11" s="170">
        <v>13.9536078823529</v>
      </c>
      <c r="AC11" s="121">
        <v>7.24</v>
      </c>
      <c r="AD11" s="156">
        <v>101.024121068235</v>
      </c>
      <c r="AE11" s="156">
        <v>159.268771068235</v>
      </c>
      <c r="AF11" s="156">
        <v>27.541228931765</v>
      </c>
    </row>
    <row r="12" s="84" customFormat="1" ht="12.75" spans="1:32">
      <c r="A12" s="97"/>
      <c r="B12" s="98"/>
      <c r="C12" s="99">
        <v>240926000001</v>
      </c>
      <c r="D12" s="100">
        <v>45564</v>
      </c>
      <c r="E12" s="100" t="s">
        <v>136</v>
      </c>
      <c r="F12" s="98" t="s">
        <v>137</v>
      </c>
      <c r="G12" s="98" t="s">
        <v>141</v>
      </c>
      <c r="H12" s="98">
        <v>0.5358</v>
      </c>
      <c r="I12" s="98">
        <v>276</v>
      </c>
      <c r="J12" s="120">
        <v>1095.15</v>
      </c>
      <c r="K12" s="121"/>
      <c r="L12" s="122"/>
      <c r="M12" s="123"/>
      <c r="N12" s="122"/>
      <c r="O12" s="98"/>
      <c r="P12" s="124">
        <v>1095.15</v>
      </c>
      <c r="Q12" s="155"/>
      <c r="R12" s="155"/>
      <c r="S12" s="156">
        <v>322.378252941176</v>
      </c>
      <c r="T12" s="156"/>
      <c r="U12" s="156">
        <v>7.87941176470588</v>
      </c>
      <c r="V12" s="156"/>
      <c r="W12" s="156"/>
      <c r="X12" s="156">
        <v>330.257664705882</v>
      </c>
      <c r="Y12" s="170">
        <v>81.7980645882353</v>
      </c>
      <c r="Z12" s="170"/>
      <c r="AA12" s="170">
        <v>0.900459176470588</v>
      </c>
      <c r="AB12" s="170">
        <v>82.6985237647059</v>
      </c>
      <c r="AC12" s="121">
        <v>7.27</v>
      </c>
      <c r="AD12" s="156">
        <v>601.218267769412</v>
      </c>
      <c r="AE12" s="156">
        <v>931.475932475294</v>
      </c>
      <c r="AF12" s="156">
        <v>163.674067524706</v>
      </c>
    </row>
    <row r="13" s="84" customFormat="1" ht="12.75" spans="1:32">
      <c r="A13" s="97"/>
      <c r="B13" s="98"/>
      <c r="C13" s="99">
        <v>240921000019</v>
      </c>
      <c r="D13" s="100">
        <v>45547</v>
      </c>
      <c r="E13" s="100" t="s">
        <v>136</v>
      </c>
      <c r="F13" s="98" t="s">
        <v>137</v>
      </c>
      <c r="G13" s="98" t="s">
        <v>138</v>
      </c>
      <c r="H13" s="98">
        <v>2.7091</v>
      </c>
      <c r="I13" s="98">
        <v>1182</v>
      </c>
      <c r="J13" s="120">
        <v>5539.61</v>
      </c>
      <c r="K13" s="121"/>
      <c r="L13" s="122"/>
      <c r="M13" s="123"/>
      <c r="N13" s="170"/>
      <c r="O13" s="98"/>
      <c r="P13" s="124">
        <v>5539.61</v>
      </c>
      <c r="Q13" s="155"/>
      <c r="R13" s="155"/>
      <c r="S13" s="156">
        <v>1630.00172647059</v>
      </c>
      <c r="T13" s="156"/>
      <c r="U13" s="156">
        <v>39.8397058823529</v>
      </c>
      <c r="V13" s="156"/>
      <c r="W13" s="156"/>
      <c r="X13" s="156">
        <v>1669.84143235294</v>
      </c>
      <c r="Y13" s="170">
        <v>413.585548294118</v>
      </c>
      <c r="Z13" s="170"/>
      <c r="AA13" s="170">
        <v>4.55288158823529</v>
      </c>
      <c r="AB13" s="170">
        <v>418.138429882353</v>
      </c>
      <c r="AC13" s="121">
        <v>7.27</v>
      </c>
      <c r="AD13" s="156">
        <v>3039.86638524471</v>
      </c>
      <c r="AE13" s="156">
        <v>4709.70781759765</v>
      </c>
      <c r="AF13" s="156">
        <v>829.902182402349</v>
      </c>
    </row>
    <row r="14" s="84" customFormat="1" ht="12.75" spans="1:32">
      <c r="A14" s="97"/>
      <c r="B14" s="98"/>
      <c r="C14" s="99">
        <v>240929000053</v>
      </c>
      <c r="D14" s="100">
        <v>45564</v>
      </c>
      <c r="E14" s="100" t="s">
        <v>136</v>
      </c>
      <c r="F14" s="98" t="s">
        <v>137</v>
      </c>
      <c r="G14" s="98" t="s">
        <v>141</v>
      </c>
      <c r="H14" s="98">
        <v>2.4883</v>
      </c>
      <c r="I14" s="98">
        <v>449.5</v>
      </c>
      <c r="J14" s="120">
        <v>5086.06</v>
      </c>
      <c r="K14" s="121"/>
      <c r="L14" s="122"/>
      <c r="M14" s="123"/>
      <c r="N14" s="122"/>
      <c r="O14" s="98"/>
      <c r="P14" s="124">
        <v>5086.06</v>
      </c>
      <c r="Q14" s="209"/>
      <c r="R14" s="209"/>
      <c r="S14" s="156">
        <v>1497.15156176471</v>
      </c>
      <c r="T14" s="156"/>
      <c r="U14" s="156">
        <v>36.5926470588235</v>
      </c>
      <c r="V14" s="156"/>
      <c r="W14" s="156"/>
      <c r="X14" s="156">
        <v>1533.74420882353</v>
      </c>
      <c r="Y14" s="170">
        <v>379.877051352941</v>
      </c>
      <c r="Z14" s="170"/>
      <c r="AA14" s="170">
        <v>4.18180770588235</v>
      </c>
      <c r="AB14" s="170">
        <v>384.058859058824</v>
      </c>
      <c r="AC14" s="121">
        <v>7.27</v>
      </c>
      <c r="AD14" s="156">
        <v>2792.10790535765</v>
      </c>
      <c r="AE14" s="156">
        <v>4325.85211418118</v>
      </c>
      <c r="AF14" s="156">
        <v>760.207885818821</v>
      </c>
    </row>
    <row r="15" s="84" customFormat="1" ht="12.75" spans="1:32">
      <c r="A15" s="174"/>
      <c r="B15" s="175"/>
      <c r="C15" s="99">
        <v>241007000001</v>
      </c>
      <c r="D15" s="100">
        <v>45580</v>
      </c>
      <c r="E15" s="100" t="s">
        <v>136</v>
      </c>
      <c r="F15" s="175" t="s">
        <v>137</v>
      </c>
      <c r="G15" s="175" t="s">
        <v>141</v>
      </c>
      <c r="H15" s="175">
        <v>5.4</v>
      </c>
      <c r="I15" s="175">
        <v>3863.5</v>
      </c>
      <c r="J15" s="120">
        <v>12614.4</v>
      </c>
      <c r="K15" s="121"/>
      <c r="L15" s="176"/>
      <c r="M15" s="123"/>
      <c r="N15" s="176"/>
      <c r="O15" s="98"/>
      <c r="P15" s="124">
        <v>12614.4</v>
      </c>
      <c r="Q15" s="155"/>
      <c r="R15" s="155"/>
      <c r="S15" s="156">
        <v>3184.09411764706</v>
      </c>
      <c r="T15" s="156"/>
      <c r="U15" s="156">
        <v>166.764705882353</v>
      </c>
      <c r="V15" s="156"/>
      <c r="W15" s="156"/>
      <c r="X15" s="156">
        <v>3350.85882352941</v>
      </c>
      <c r="Y15" s="170">
        <v>832.063764705882</v>
      </c>
      <c r="Z15" s="170"/>
      <c r="AA15" s="170">
        <v>17.6746764705882</v>
      </c>
      <c r="AB15" s="170">
        <v>849.738441176471</v>
      </c>
      <c r="AC15" s="121">
        <v>7.27</v>
      </c>
      <c r="AD15" s="156">
        <v>6177.59846735294</v>
      </c>
      <c r="AE15" s="156">
        <v>9528.45729088235</v>
      </c>
      <c r="AF15" s="156">
        <v>3085.94270911765</v>
      </c>
    </row>
    <row r="16" s="84" customFormat="1" ht="12.75" spans="1:32">
      <c r="A16" s="174"/>
      <c r="B16" s="175"/>
      <c r="C16" s="99">
        <v>241014000047</v>
      </c>
      <c r="D16" s="100">
        <v>45580</v>
      </c>
      <c r="E16" s="100" t="s">
        <v>136</v>
      </c>
      <c r="F16" s="175" t="s">
        <v>137</v>
      </c>
      <c r="G16" s="175" t="s">
        <v>142</v>
      </c>
      <c r="H16" s="175">
        <v>1.7401</v>
      </c>
      <c r="I16" s="175">
        <v>1028</v>
      </c>
      <c r="J16" s="120">
        <v>3551.45</v>
      </c>
      <c r="K16" s="121"/>
      <c r="L16" s="176"/>
      <c r="M16" s="123"/>
      <c r="N16" s="176"/>
      <c r="O16" s="98"/>
      <c r="P16" s="124">
        <v>3551.45</v>
      </c>
      <c r="Q16" s="155"/>
      <c r="R16" s="155"/>
      <c r="S16" s="156">
        <v>1026.04484705882</v>
      </c>
      <c r="T16" s="156"/>
      <c r="U16" s="156">
        <v>53.7383823529412</v>
      </c>
      <c r="V16" s="156">
        <v>150</v>
      </c>
      <c r="W16" s="156"/>
      <c r="X16" s="156">
        <v>1229.78322941176</v>
      </c>
      <c r="Y16" s="170">
        <v>268.124843882353</v>
      </c>
      <c r="Z16" s="170"/>
      <c r="AA16" s="170">
        <v>5.69550083823529</v>
      </c>
      <c r="AB16" s="170">
        <v>273.820344720588</v>
      </c>
      <c r="AC16" s="121">
        <v>7.27</v>
      </c>
      <c r="AD16" s="156">
        <v>1990.67390611868</v>
      </c>
      <c r="AE16" s="156">
        <v>3220.45713553044</v>
      </c>
      <c r="AF16" s="156">
        <v>330.99286446956</v>
      </c>
    </row>
    <row r="17" s="84" customFormat="1" ht="12.75" spans="1:32">
      <c r="A17" s="174"/>
      <c r="B17" s="175"/>
      <c r="C17" s="99">
        <v>241009000033</v>
      </c>
      <c r="D17" s="100">
        <v>45583</v>
      </c>
      <c r="E17" s="100" t="s">
        <v>136</v>
      </c>
      <c r="F17" s="175" t="s">
        <v>137</v>
      </c>
      <c r="G17" s="175" t="s">
        <v>140</v>
      </c>
      <c r="H17" s="195">
        <v>5.69</v>
      </c>
      <c r="I17" s="175">
        <v>3984</v>
      </c>
      <c r="J17" s="120">
        <v>9968.88</v>
      </c>
      <c r="K17" s="121"/>
      <c r="L17" s="176"/>
      <c r="M17" s="123"/>
      <c r="N17" s="176"/>
      <c r="O17" s="98"/>
      <c r="P17" s="124">
        <v>9968.88</v>
      </c>
      <c r="Q17" s="155"/>
      <c r="R17" s="155"/>
      <c r="S17" s="156">
        <v>3489.81088235294</v>
      </c>
      <c r="T17" s="156">
        <v>8.34421764705882</v>
      </c>
      <c r="U17" s="156">
        <v>125.514705882353</v>
      </c>
      <c r="V17" s="156"/>
      <c r="W17" s="156"/>
      <c r="X17" s="156">
        <v>3623.66980588235</v>
      </c>
      <c r="Y17" s="170">
        <v>880.601972058824</v>
      </c>
      <c r="Z17" s="170"/>
      <c r="AA17" s="170"/>
      <c r="AB17" s="170">
        <v>880.601972058824</v>
      </c>
      <c r="AC17" s="121">
        <v>7.28</v>
      </c>
      <c r="AD17" s="156">
        <v>6410.78235658824</v>
      </c>
      <c r="AE17" s="156">
        <v>10034.4521624706</v>
      </c>
      <c r="AF17" s="156">
        <v>-65.5721624706002</v>
      </c>
    </row>
    <row r="18" s="84" customFormat="1" ht="12.75" spans="1:32">
      <c r="A18" s="97"/>
      <c r="B18" s="98"/>
      <c r="C18" s="99">
        <v>241007000001</v>
      </c>
      <c r="D18" s="100">
        <v>45587</v>
      </c>
      <c r="E18" s="100" t="s">
        <v>136</v>
      </c>
      <c r="F18" s="98" t="s">
        <v>137</v>
      </c>
      <c r="G18" s="98" t="s">
        <v>141</v>
      </c>
      <c r="H18" s="98">
        <v>5.4</v>
      </c>
      <c r="I18" s="98">
        <v>3863.5</v>
      </c>
      <c r="J18" s="120">
        <v>12614.4</v>
      </c>
      <c r="K18" s="121"/>
      <c r="L18" s="122"/>
      <c r="M18" s="123"/>
      <c r="N18" s="122"/>
      <c r="O18" s="98"/>
      <c r="P18" s="124">
        <v>12614.4</v>
      </c>
      <c r="Q18" s="155"/>
      <c r="R18" s="155"/>
      <c r="S18" s="156">
        <v>3706.14705882353</v>
      </c>
      <c r="T18" s="156"/>
      <c r="U18" s="156">
        <v>103.235294117647</v>
      </c>
      <c r="V18" s="156"/>
      <c r="W18" s="156"/>
      <c r="X18" s="156">
        <v>3809.38235294118</v>
      </c>
      <c r="Y18" s="170">
        <v>835.720676470588</v>
      </c>
      <c r="Z18" s="170"/>
      <c r="AA18" s="170"/>
      <c r="AB18" s="170">
        <v>835.720676470588</v>
      </c>
      <c r="AC18" s="121">
        <v>7.28</v>
      </c>
      <c r="AD18" s="156">
        <v>6084.04652470588</v>
      </c>
      <c r="AE18" s="156">
        <v>9893.42887764706</v>
      </c>
      <c r="AF18" s="156">
        <v>2720.97112235294</v>
      </c>
    </row>
    <row r="19" s="84" customFormat="1" ht="12.75" spans="1:32">
      <c r="A19" s="97"/>
      <c r="B19" s="98"/>
      <c r="C19" s="99">
        <v>241023000028</v>
      </c>
      <c r="D19" s="100">
        <v>45593</v>
      </c>
      <c r="E19" s="100" t="s">
        <v>136</v>
      </c>
      <c r="F19" s="98" t="s">
        <v>137</v>
      </c>
      <c r="G19" s="98" t="s">
        <v>142</v>
      </c>
      <c r="H19" s="98">
        <v>1.7499</v>
      </c>
      <c r="I19" s="98">
        <v>398</v>
      </c>
      <c r="J19" s="120">
        <v>3525.68</v>
      </c>
      <c r="K19" s="121"/>
      <c r="L19" s="122"/>
      <c r="M19" s="123"/>
      <c r="N19" s="122"/>
      <c r="O19" s="98"/>
      <c r="P19" s="124">
        <v>3525.68</v>
      </c>
      <c r="Q19" s="155"/>
      <c r="R19" s="155"/>
      <c r="S19" s="156">
        <v>1224.56972647059</v>
      </c>
      <c r="T19" s="156"/>
      <c r="U19" s="156">
        <v>48.8942647058824</v>
      </c>
      <c r="V19" s="156"/>
      <c r="W19" s="156"/>
      <c r="X19" s="156">
        <v>1273.46399117647</v>
      </c>
      <c r="Y19" s="170">
        <v>286.517817794118</v>
      </c>
      <c r="Z19" s="170"/>
      <c r="AA19" s="170"/>
      <c r="AB19" s="170">
        <v>286.517817794118</v>
      </c>
      <c r="AC19" s="121">
        <v>7.3</v>
      </c>
      <c r="AD19" s="156">
        <v>2091.58006989706</v>
      </c>
      <c r="AE19" s="156">
        <v>3365.04406107353</v>
      </c>
      <c r="AF19" s="156">
        <v>160.63593892647</v>
      </c>
    </row>
    <row r="20" s="84" customFormat="1" ht="12.75" spans="1:32">
      <c r="A20" s="97"/>
      <c r="B20" s="98"/>
      <c r="C20" s="99">
        <v>241023000030</v>
      </c>
      <c r="D20" s="100">
        <v>45593</v>
      </c>
      <c r="E20" s="100" t="s">
        <v>136</v>
      </c>
      <c r="F20" s="98" t="s">
        <v>137</v>
      </c>
      <c r="G20" s="98" t="s">
        <v>143</v>
      </c>
      <c r="H20" s="98">
        <v>1.32</v>
      </c>
      <c r="I20" s="98">
        <v>1000</v>
      </c>
      <c r="J20" s="120">
        <v>2601.72</v>
      </c>
      <c r="K20" s="121"/>
      <c r="L20" s="122"/>
      <c r="M20" s="123"/>
      <c r="N20" s="122"/>
      <c r="O20" s="98"/>
      <c r="P20" s="124">
        <v>2601.72</v>
      </c>
      <c r="Q20" s="155"/>
      <c r="R20" s="155"/>
      <c r="S20" s="156">
        <v>923.728235294118</v>
      </c>
      <c r="T20" s="156"/>
      <c r="U20" s="156">
        <v>36.8823529411765</v>
      </c>
      <c r="V20" s="156"/>
      <c r="W20" s="156"/>
      <c r="X20" s="156">
        <v>960.610588235294</v>
      </c>
      <c r="Y20" s="170">
        <v>216.128647058824</v>
      </c>
      <c r="Z20" s="170"/>
      <c r="AA20" s="170"/>
      <c r="AB20" s="170">
        <v>216.128647058824</v>
      </c>
      <c r="AC20" s="121">
        <v>7.3</v>
      </c>
      <c r="AD20" s="156">
        <v>1577.73912352941</v>
      </c>
      <c r="AE20" s="156">
        <v>2538.34971176471</v>
      </c>
      <c r="AF20" s="156">
        <v>63.37028823529</v>
      </c>
    </row>
    <row r="21" s="84" customFormat="1" ht="12.75" spans="1:32">
      <c r="A21" s="97"/>
      <c r="B21" s="98"/>
      <c r="C21" s="99">
        <v>241031000026</v>
      </c>
      <c r="D21" s="100">
        <v>45593</v>
      </c>
      <c r="E21" s="100" t="s">
        <v>136</v>
      </c>
      <c r="F21" s="98" t="s">
        <v>137</v>
      </c>
      <c r="G21" s="98" t="s">
        <v>139</v>
      </c>
      <c r="H21" s="98">
        <v>13.3255</v>
      </c>
      <c r="I21" s="98">
        <v>13006</v>
      </c>
      <c r="J21" s="120">
        <v>30739.28</v>
      </c>
      <c r="K21" s="121"/>
      <c r="L21" s="122"/>
      <c r="M21" s="123"/>
      <c r="N21" s="122"/>
      <c r="O21" s="98"/>
      <c r="P21" s="124">
        <v>30739.28</v>
      </c>
      <c r="Q21" s="209"/>
      <c r="R21" s="209"/>
      <c r="S21" s="156">
        <v>9325.10651470588</v>
      </c>
      <c r="T21" s="156"/>
      <c r="U21" s="156">
        <v>372.330147058824</v>
      </c>
      <c r="V21" s="156"/>
      <c r="W21" s="156"/>
      <c r="X21" s="156">
        <v>9697.4366617647</v>
      </c>
      <c r="Y21" s="170">
        <v>2181.83506544118</v>
      </c>
      <c r="Z21" s="170">
        <v>131.35</v>
      </c>
      <c r="AA21" s="170"/>
      <c r="AB21" s="170">
        <v>2313.18506544118</v>
      </c>
      <c r="AC21" s="121">
        <v>7.3</v>
      </c>
      <c r="AD21" s="156">
        <v>16886.2509777206</v>
      </c>
      <c r="AE21" s="156">
        <v>26583.6876394853</v>
      </c>
      <c r="AF21" s="156">
        <v>4155.5923605147</v>
      </c>
    </row>
    <row r="22" s="84" customFormat="1" ht="12.75" spans="1:32">
      <c r="A22" s="97"/>
      <c r="B22" s="98"/>
      <c r="C22" s="99">
        <v>241029000029</v>
      </c>
      <c r="D22" s="100">
        <v>45595</v>
      </c>
      <c r="E22" s="100" t="s">
        <v>136</v>
      </c>
      <c r="F22" s="98" t="s">
        <v>137</v>
      </c>
      <c r="G22" s="98" t="s">
        <v>141</v>
      </c>
      <c r="H22" s="98">
        <v>0.0491</v>
      </c>
      <c r="I22" s="98">
        <v>12</v>
      </c>
      <c r="J22" s="120">
        <v>107.53</v>
      </c>
      <c r="K22" s="121"/>
      <c r="L22" s="122"/>
      <c r="M22" s="123"/>
      <c r="N22" s="122"/>
      <c r="O22" s="98"/>
      <c r="P22" s="124">
        <v>107.53</v>
      </c>
      <c r="Q22" s="155"/>
      <c r="R22" s="155"/>
      <c r="S22" s="156">
        <v>35.4906352941176</v>
      </c>
      <c r="T22" s="156"/>
      <c r="U22" s="156">
        <v>1.01088235294118</v>
      </c>
      <c r="V22" s="156"/>
      <c r="W22" s="156"/>
      <c r="X22" s="156">
        <v>36.5015176470588</v>
      </c>
      <c r="Y22" s="170">
        <v>8.03933073529412</v>
      </c>
      <c r="Z22" s="170"/>
      <c r="AA22" s="170">
        <v>0.0499448088235294</v>
      </c>
      <c r="AB22" s="170">
        <v>8.08927554411765</v>
      </c>
      <c r="AC22" s="121">
        <v>7.3</v>
      </c>
      <c r="AD22" s="156">
        <v>59.0517114720588</v>
      </c>
      <c r="AE22" s="156">
        <v>95.5532291191176</v>
      </c>
      <c r="AF22" s="156">
        <v>11.9767708808824</v>
      </c>
    </row>
    <row r="23" s="84" customFormat="1" ht="12.75" spans="1:32">
      <c r="A23" s="97"/>
      <c r="B23" s="98"/>
      <c r="C23" s="99">
        <v>241030000040</v>
      </c>
      <c r="D23" s="100">
        <v>45595</v>
      </c>
      <c r="E23" s="100" t="s">
        <v>136</v>
      </c>
      <c r="F23" s="98" t="s">
        <v>137</v>
      </c>
      <c r="G23" s="98" t="s">
        <v>141</v>
      </c>
      <c r="H23" s="98">
        <v>0.635</v>
      </c>
      <c r="I23" s="98">
        <v>240</v>
      </c>
      <c r="J23" s="120">
        <v>1251.59</v>
      </c>
      <c r="K23" s="121"/>
      <c r="L23" s="122"/>
      <c r="M23" s="123"/>
      <c r="N23" s="122"/>
      <c r="O23" s="98"/>
      <c r="P23" s="124">
        <v>1251.59</v>
      </c>
      <c r="Q23" s="155"/>
      <c r="R23" s="155"/>
      <c r="S23" s="156">
        <v>458.992941176471</v>
      </c>
      <c r="T23" s="156"/>
      <c r="U23" s="156">
        <v>13.0735294117647</v>
      </c>
      <c r="V23" s="156"/>
      <c r="W23" s="156"/>
      <c r="X23" s="156">
        <v>472.066470588235</v>
      </c>
      <c r="Y23" s="170">
        <v>103.970977941176</v>
      </c>
      <c r="Z23" s="170"/>
      <c r="AA23" s="170">
        <v>0.645925735294118</v>
      </c>
      <c r="AB23" s="170">
        <v>104.616903676471</v>
      </c>
      <c r="AC23" s="121">
        <v>7.3</v>
      </c>
      <c r="AD23" s="156">
        <v>763.703396838235</v>
      </c>
      <c r="AE23" s="156">
        <v>1235.76986742647</v>
      </c>
      <c r="AF23" s="156">
        <v>15.8201325735299</v>
      </c>
    </row>
    <row r="24" s="84" customFormat="1" ht="12.75" spans="1:32">
      <c r="A24" s="97"/>
      <c r="B24" s="98"/>
      <c r="C24" s="99">
        <v>241030000042</v>
      </c>
      <c r="D24" s="100">
        <v>45595</v>
      </c>
      <c r="E24" s="100" t="s">
        <v>136</v>
      </c>
      <c r="F24" s="98" t="s">
        <v>137</v>
      </c>
      <c r="G24" s="98" t="s">
        <v>141</v>
      </c>
      <c r="H24" s="98">
        <v>2.0475</v>
      </c>
      <c r="I24" s="98">
        <v>720</v>
      </c>
      <c r="J24" s="120">
        <v>4035.66</v>
      </c>
      <c r="K24" s="121"/>
      <c r="L24" s="122"/>
      <c r="M24" s="123"/>
      <c r="N24" s="176"/>
      <c r="O24" s="98"/>
      <c r="P24" s="124">
        <v>4035.66</v>
      </c>
      <c r="Q24" s="155"/>
      <c r="R24" s="155"/>
      <c r="S24" s="156">
        <v>1479.98117647059</v>
      </c>
      <c r="T24" s="156"/>
      <c r="U24" s="156">
        <v>42.1544117647059</v>
      </c>
      <c r="V24" s="156"/>
      <c r="W24" s="156"/>
      <c r="X24" s="156">
        <v>1522.13558823529</v>
      </c>
      <c r="Y24" s="170">
        <v>335.245003676471</v>
      </c>
      <c r="Z24" s="170"/>
      <c r="AA24" s="170">
        <v>2.08272904411765</v>
      </c>
      <c r="AB24" s="170">
        <v>337.327732720588</v>
      </c>
      <c r="AC24" s="121">
        <v>7.3</v>
      </c>
      <c r="AD24" s="156">
        <v>2462.49244886029</v>
      </c>
      <c r="AE24" s="156">
        <v>3984.62803709559</v>
      </c>
      <c r="AF24" s="156">
        <v>51.0319629044097</v>
      </c>
    </row>
    <row r="25" s="84" customFormat="1" ht="12.75" spans="1:32">
      <c r="A25" s="97"/>
      <c r="B25" s="98"/>
      <c r="C25" s="99">
        <v>241031000028</v>
      </c>
      <c r="D25" s="100">
        <v>45595</v>
      </c>
      <c r="E25" s="100" t="s">
        <v>136</v>
      </c>
      <c r="F25" s="98" t="s">
        <v>137</v>
      </c>
      <c r="G25" s="98" t="s">
        <v>139</v>
      </c>
      <c r="H25" s="98">
        <v>18.0619</v>
      </c>
      <c r="I25" s="98">
        <v>16900</v>
      </c>
      <c r="J25" s="120">
        <v>41665.19</v>
      </c>
      <c r="K25" s="121"/>
      <c r="L25" s="122"/>
      <c r="M25" s="123"/>
      <c r="N25" s="122"/>
      <c r="O25" s="98"/>
      <c r="P25" s="124">
        <v>41665.19</v>
      </c>
      <c r="Q25" s="209"/>
      <c r="R25" s="209"/>
      <c r="S25" s="156">
        <v>13055.5663058824</v>
      </c>
      <c r="T25" s="156"/>
      <c r="U25" s="156">
        <v>371.862647058824</v>
      </c>
      <c r="V25" s="156"/>
      <c r="W25" s="156"/>
      <c r="X25" s="156">
        <v>13427.4289529412</v>
      </c>
      <c r="Y25" s="170">
        <v>2957.34394720588</v>
      </c>
      <c r="Z25" s="170">
        <v>178.04</v>
      </c>
      <c r="AA25" s="170">
        <v>18.3726709264706</v>
      </c>
      <c r="AB25" s="170">
        <v>3153.75661813235</v>
      </c>
      <c r="AC25" s="121">
        <v>7.3</v>
      </c>
      <c r="AD25" s="156">
        <v>23022.4233123662</v>
      </c>
      <c r="AE25" s="156">
        <v>36449.8522653074</v>
      </c>
      <c r="AF25" s="156">
        <v>5215.3377346926</v>
      </c>
    </row>
    <row r="26" s="84" customFormat="1" ht="12.75" spans="1:32">
      <c r="A26" s="97"/>
      <c r="B26" s="98"/>
      <c r="C26" s="99">
        <v>241031000027</v>
      </c>
      <c r="D26" s="100">
        <v>45595</v>
      </c>
      <c r="E26" s="100" t="s">
        <v>136</v>
      </c>
      <c r="F26" s="98" t="s">
        <v>137</v>
      </c>
      <c r="G26" s="98" t="s">
        <v>139</v>
      </c>
      <c r="H26" s="98">
        <v>18.8611</v>
      </c>
      <c r="I26" s="98">
        <v>18408</v>
      </c>
      <c r="J26" s="120">
        <v>43508.8</v>
      </c>
      <c r="K26" s="121"/>
      <c r="L26" s="122"/>
      <c r="M26" s="123"/>
      <c r="N26" s="122"/>
      <c r="O26" s="98"/>
      <c r="P26" s="124">
        <v>43508.8</v>
      </c>
      <c r="Q26" s="209"/>
      <c r="R26" s="209"/>
      <c r="S26" s="156">
        <v>13136.75615</v>
      </c>
      <c r="T26" s="156"/>
      <c r="U26" s="156">
        <v>665.685882352941</v>
      </c>
      <c r="V26" s="156"/>
      <c r="W26" s="156"/>
      <c r="X26" s="156">
        <v>13802.4420323529</v>
      </c>
      <c r="Y26" s="170">
        <v>2967.81350083824</v>
      </c>
      <c r="Z26" s="170">
        <v>185.92</v>
      </c>
      <c r="AA26" s="170">
        <v>18.5698624264706</v>
      </c>
      <c r="AB26" s="170">
        <v>3172.30336326471</v>
      </c>
      <c r="AC26" s="121">
        <v>7.3</v>
      </c>
      <c r="AD26" s="156">
        <v>23157.8145518324</v>
      </c>
      <c r="AE26" s="156">
        <v>36960.2565841853</v>
      </c>
      <c r="AF26" s="156">
        <v>6548.5434158147</v>
      </c>
    </row>
    <row r="27" s="193" customFormat="1" ht="19" customHeight="1" spans="1:32">
      <c r="A27" s="97" t="s">
        <v>104</v>
      </c>
      <c r="B27" s="196"/>
      <c r="C27" s="197"/>
      <c r="D27" s="198"/>
      <c r="E27" s="199"/>
      <c r="F27" s="196"/>
      <c r="G27" s="196"/>
      <c r="H27" s="196">
        <f>SUM(H5:H26)</f>
        <v>132.8056</v>
      </c>
      <c r="I27" s="204"/>
      <c r="J27" s="204"/>
      <c r="K27" s="204"/>
      <c r="L27" s="204"/>
      <c r="M27" s="205"/>
      <c r="N27" s="205"/>
      <c r="O27" s="124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210"/>
      <c r="AC27" s="210"/>
      <c r="AD27" s="210"/>
      <c r="AE27" s="210"/>
      <c r="AF27" s="210">
        <f>SUM(AF5:AF26)</f>
        <v>27163.0756847008</v>
      </c>
    </row>
    <row r="28" s="194" customFormat="1" ht="20" customHeight="1" spans="1:25">
      <c r="A28" s="200"/>
      <c r="B28" s="200"/>
      <c r="D28" s="201"/>
      <c r="H28" s="202"/>
      <c r="I28" s="206"/>
      <c r="J28" s="207"/>
      <c r="K28" s="202"/>
      <c r="L28" s="202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</row>
    <row r="29" s="1" customFormat="1" ht="23" customHeight="1" spans="3:16">
      <c r="C29" s="70" t="s">
        <v>66</v>
      </c>
      <c r="D29" s="70"/>
      <c r="E29" s="70"/>
      <c r="F29" s="105" t="s">
        <v>67</v>
      </c>
      <c r="G29" s="106"/>
      <c r="H29" s="106"/>
      <c r="I29" s="127"/>
      <c r="J29"/>
      <c r="K29" s="128" t="s">
        <v>144</v>
      </c>
      <c r="L29" s="129"/>
      <c r="M29" s="130"/>
      <c r="N29"/>
      <c r="O29"/>
      <c r="P29"/>
    </row>
    <row r="30" s="1" customFormat="1" ht="23" customHeight="1" spans="3:16">
      <c r="C30" s="70"/>
      <c r="D30" s="70"/>
      <c r="E30" s="70"/>
      <c r="F30" s="107"/>
      <c r="G30" s="108"/>
      <c r="H30" s="108"/>
      <c r="I30" s="131"/>
      <c r="J30"/>
      <c r="K30" s="132" t="s">
        <v>69</v>
      </c>
      <c r="L30" s="132" t="s">
        <v>8</v>
      </c>
      <c r="M30" s="132" t="s">
        <v>70</v>
      </c>
      <c r="N30"/>
      <c r="O30"/>
      <c r="P30"/>
    </row>
    <row r="31" s="1" customFormat="1" ht="23" customHeight="1" spans="3:16">
      <c r="C31" s="70" t="s">
        <v>71</v>
      </c>
      <c r="D31" s="70"/>
      <c r="E31" s="70"/>
      <c r="F31" s="76" t="s">
        <v>72</v>
      </c>
      <c r="G31" s="77"/>
      <c r="H31" s="77"/>
      <c r="I31" s="78"/>
      <c r="J31"/>
      <c r="K31" s="132" t="s">
        <v>73</v>
      </c>
      <c r="L31" s="133">
        <f>SUM(H27)</f>
        <v>132.8056</v>
      </c>
      <c r="M31" s="134">
        <f>SUM(AF27)</f>
        <v>27163.0756847008</v>
      </c>
      <c r="N31"/>
      <c r="O31"/>
      <c r="P31"/>
    </row>
    <row r="32" s="1" customFormat="1" ht="23" customHeight="1" spans="3:16">
      <c r="C32" s="70"/>
      <c r="D32" s="70"/>
      <c r="E32" s="70"/>
      <c r="F32" s="79"/>
      <c r="G32" s="80"/>
      <c r="H32" s="80"/>
      <c r="I32" s="81"/>
      <c r="J32"/>
      <c r="K32" s="137" t="s">
        <v>77</v>
      </c>
      <c r="L32" s="137"/>
      <c r="M32" s="138">
        <f>SUM(M31:M31)</f>
        <v>27163.0756847008</v>
      </c>
      <c r="N32"/>
      <c r="O32"/>
      <c r="P32"/>
    </row>
    <row r="33" s="1" customFormat="1" ht="23" customHeight="1" spans="3:16">
      <c r="C33" s="70" t="s">
        <v>75</v>
      </c>
      <c r="D33" s="70"/>
      <c r="E33" s="70"/>
      <c r="F33" s="76" t="s">
        <v>76</v>
      </c>
      <c r="G33" s="77"/>
      <c r="H33" s="77"/>
      <c r="I33" s="78"/>
      <c r="J33"/>
      <c r="K33" s="132" t="s">
        <v>78</v>
      </c>
      <c r="L33" s="132"/>
      <c r="M33" s="132">
        <v>0.4</v>
      </c>
      <c r="N33"/>
      <c r="O33"/>
      <c r="P33"/>
    </row>
    <row r="34" s="1" customFormat="1" ht="23" customHeight="1" spans="3:16">
      <c r="C34" s="70"/>
      <c r="D34" s="70"/>
      <c r="E34" s="70"/>
      <c r="F34" s="79"/>
      <c r="G34" s="80"/>
      <c r="H34" s="80"/>
      <c r="I34" s="81"/>
      <c r="J34"/>
      <c r="K34" s="135" t="s">
        <v>79</v>
      </c>
      <c r="L34" s="135"/>
      <c r="M34" s="136">
        <f>SUM(M32*M33)</f>
        <v>10865.2302738803</v>
      </c>
      <c r="N34"/>
      <c r="O34"/>
      <c r="P34"/>
    </row>
    <row r="35" s="1" customFormat="1" ht="23" customHeight="1" spans="5:16">
      <c r="E35"/>
      <c r="F35"/>
      <c r="G35"/>
      <c r="H35"/>
      <c r="I35"/>
      <c r="J35"/>
      <c r="K35" s="203"/>
      <c r="L35" s="203"/>
      <c r="M35" s="203"/>
      <c r="N35"/>
      <c r="O35"/>
      <c r="P35"/>
    </row>
    <row r="36" s="1" customFormat="1" ht="23" customHeight="1" spans="5:16">
      <c r="E36"/>
      <c r="F36"/>
      <c r="G36"/>
      <c r="H36"/>
      <c r="I36"/>
      <c r="J36"/>
      <c r="K36"/>
      <c r="L36"/>
      <c r="M36"/>
      <c r="N36"/>
      <c r="O36"/>
      <c r="P36"/>
    </row>
    <row r="37" s="1" customFormat="1" ht="23" customHeight="1" spans="5:13">
      <c r="E37"/>
      <c r="F37"/>
      <c r="G37"/>
      <c r="H37"/>
      <c r="I37"/>
      <c r="J37"/>
      <c r="K37"/>
      <c r="L37"/>
      <c r="M37"/>
    </row>
    <row r="38" s="1" customFormat="1" ht="23" customHeight="1" spans="5:13">
      <c r="E38"/>
      <c r="F38"/>
      <c r="G38"/>
      <c r="H38"/>
      <c r="I38"/>
      <c r="J38"/>
      <c r="K38"/>
      <c r="L38"/>
      <c r="M38"/>
    </row>
    <row r="39" s="1" customFormat="1" ht="23" customHeight="1" spans="5:19">
      <c r="E39"/>
      <c r="F39"/>
      <c r="G39"/>
      <c r="H39"/>
      <c r="I39"/>
      <c r="J39"/>
      <c r="K39"/>
      <c r="L39"/>
      <c r="M39"/>
      <c r="O39"/>
      <c r="P39"/>
      <c r="Q39"/>
      <c r="R39"/>
      <c r="S39" s="35"/>
    </row>
    <row r="40" s="1" customFormat="1" ht="23" customHeight="1" spans="5:19">
      <c r="E40" s="203"/>
      <c r="F40" s="203"/>
      <c r="G40" s="203"/>
      <c r="H40" s="203"/>
      <c r="I40" s="203"/>
      <c r="J40" s="203"/>
      <c r="K40" s="203"/>
      <c r="L40" s="203"/>
      <c r="N40" s="203"/>
      <c r="O40" s="203"/>
      <c r="P40" s="203"/>
      <c r="Q40" s="203"/>
      <c r="S40" s="35"/>
    </row>
    <row r="41" ht="25" customHeight="1"/>
  </sheetData>
  <mergeCells count="23">
    <mergeCell ref="J3:P3"/>
    <mergeCell ref="R3:V3"/>
    <mergeCell ref="Y3:AD3"/>
    <mergeCell ref="K29:M29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31:E32"/>
    <mergeCell ref="F31:I32"/>
    <mergeCell ref="C29:E30"/>
    <mergeCell ref="F29:I30"/>
    <mergeCell ref="C33:E34"/>
    <mergeCell ref="F33:I34"/>
  </mergeCells>
  <pageMargins left="0.75" right="0.75" top="1" bottom="1" header="0.5" footer="0.5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45"/>
  <sheetViews>
    <sheetView workbookViewId="0">
      <pane xSplit="14" ySplit="4" topLeftCell="AE22" activePane="bottomRight" state="frozen"/>
      <selection/>
      <selection pane="topRight"/>
      <selection pane="bottomLeft"/>
      <selection pane="bottomRight" activeCell="M43" sqref="M43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1"/>
    <col min="12" max="12" width="15.875"/>
    <col min="13" max="13" width="17.25"/>
    <col min="14" max="14" width="11.2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2" width="14.75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40" t="s">
        <v>11</v>
      </c>
      <c r="R3" s="141" t="s">
        <v>12</v>
      </c>
      <c r="S3" s="142"/>
      <c r="T3" s="143"/>
      <c r="U3" s="144"/>
      <c r="V3" s="145"/>
      <c r="W3" s="146" t="s">
        <v>13</v>
      </c>
      <c r="X3" s="147" t="s">
        <v>14</v>
      </c>
      <c r="Y3" s="160" t="s">
        <v>15</v>
      </c>
      <c r="Z3" s="160"/>
      <c r="AA3" s="160"/>
      <c r="AB3" s="160"/>
      <c r="AC3" s="161"/>
      <c r="AD3" s="160"/>
      <c r="AE3" s="162" t="s">
        <v>16</v>
      </c>
      <c r="AF3" s="163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8"/>
      <c r="R4" s="149" t="s">
        <v>25</v>
      </c>
      <c r="S4" s="150" t="s">
        <v>26</v>
      </c>
      <c r="T4" s="151" t="s">
        <v>27</v>
      </c>
      <c r="U4" s="152" t="s">
        <v>28</v>
      </c>
      <c r="V4" s="151" t="s">
        <v>29</v>
      </c>
      <c r="W4" s="153"/>
      <c r="X4" s="154"/>
      <c r="Y4" s="164" t="s">
        <v>30</v>
      </c>
      <c r="Z4" s="164" t="s">
        <v>31</v>
      </c>
      <c r="AA4" s="164" t="s">
        <v>32</v>
      </c>
      <c r="AB4" s="165" t="s">
        <v>33</v>
      </c>
      <c r="AC4" s="166" t="s">
        <v>34</v>
      </c>
      <c r="AD4" s="167" t="s">
        <v>24</v>
      </c>
      <c r="AE4" s="168" t="s">
        <v>35</v>
      </c>
      <c r="AF4" s="169"/>
    </row>
    <row r="5" s="84" customFormat="1" ht="12.75" spans="1:32">
      <c r="A5" s="97"/>
      <c r="B5" s="98"/>
      <c r="C5" s="99">
        <v>240924000001</v>
      </c>
      <c r="D5" s="100">
        <v>45563</v>
      </c>
      <c r="E5" s="100" t="s">
        <v>145</v>
      </c>
      <c r="F5" s="98" t="s">
        <v>145</v>
      </c>
      <c r="G5" s="98" t="s">
        <v>127</v>
      </c>
      <c r="H5" s="98">
        <v>8.51</v>
      </c>
      <c r="I5" s="98">
        <v>209</v>
      </c>
      <c r="J5" s="120">
        <v>14859.77</v>
      </c>
      <c r="K5" s="121"/>
      <c r="L5" s="122"/>
      <c r="M5" s="123"/>
      <c r="N5" s="122"/>
      <c r="O5" s="98"/>
      <c r="P5" s="124">
        <v>14859.77</v>
      </c>
      <c r="Q5" s="155"/>
      <c r="R5" s="155"/>
      <c r="S5" s="156">
        <v>5070.33308823529</v>
      </c>
      <c r="T5" s="156"/>
      <c r="U5" s="156">
        <v>275.323529411765</v>
      </c>
      <c r="V5" s="156"/>
      <c r="W5" s="156"/>
      <c r="X5" s="156">
        <v>5345.65661764706</v>
      </c>
      <c r="Y5" s="170">
        <v>1299.18040147059</v>
      </c>
      <c r="Z5" s="170"/>
      <c r="AA5" s="170"/>
      <c r="AB5" s="170">
        <v>1299.18040147059</v>
      </c>
      <c r="AC5" s="121">
        <v>7.23</v>
      </c>
      <c r="AD5" s="156">
        <v>9393.07430263235</v>
      </c>
      <c r="AE5" s="156">
        <v>14738.7309202794</v>
      </c>
      <c r="AF5" s="156">
        <v>121.0390797206</v>
      </c>
    </row>
    <row r="6" s="84" customFormat="1" ht="12.75" spans="1:32">
      <c r="A6" s="97"/>
      <c r="B6" s="98"/>
      <c r="C6" s="99">
        <v>240926000027</v>
      </c>
      <c r="D6" s="100">
        <v>45563</v>
      </c>
      <c r="E6" s="100" t="s">
        <v>145</v>
      </c>
      <c r="F6" s="98" t="s">
        <v>145</v>
      </c>
      <c r="G6" s="98" t="s">
        <v>146</v>
      </c>
      <c r="H6" s="98">
        <v>1.555</v>
      </c>
      <c r="I6" s="98">
        <v>237</v>
      </c>
      <c r="J6" s="120">
        <v>3879</v>
      </c>
      <c r="K6" s="121"/>
      <c r="L6" s="122"/>
      <c r="M6" s="123"/>
      <c r="N6" s="122"/>
      <c r="O6" s="98"/>
      <c r="P6" s="124">
        <v>3879</v>
      </c>
      <c r="Q6" s="155"/>
      <c r="R6" s="155"/>
      <c r="S6" s="156">
        <v>926.482720588235</v>
      </c>
      <c r="T6" s="156"/>
      <c r="U6" s="156">
        <v>50.3088235294118</v>
      </c>
      <c r="V6" s="156"/>
      <c r="W6" s="156"/>
      <c r="X6" s="156">
        <v>976.791544117647</v>
      </c>
      <c r="Y6" s="170">
        <v>237.394303676471</v>
      </c>
      <c r="Z6" s="170">
        <v>36.85</v>
      </c>
      <c r="AA6" s="170"/>
      <c r="AB6" s="170">
        <v>274.244303676471</v>
      </c>
      <c r="AC6" s="121">
        <v>7.23</v>
      </c>
      <c r="AD6" s="156">
        <v>1982.78631558088</v>
      </c>
      <c r="AE6" s="156">
        <v>2959.57785969853</v>
      </c>
      <c r="AF6" s="156">
        <v>919.42214030147</v>
      </c>
    </row>
    <row r="7" s="84" customFormat="1" ht="12.75" spans="1:32">
      <c r="A7" s="97"/>
      <c r="B7" s="98"/>
      <c r="C7" s="99">
        <v>240924000057</v>
      </c>
      <c r="D7" s="100">
        <v>45564</v>
      </c>
      <c r="E7" s="100" t="s">
        <v>145</v>
      </c>
      <c r="F7" s="98" t="s">
        <v>145</v>
      </c>
      <c r="G7" s="98" t="s">
        <v>147</v>
      </c>
      <c r="H7" s="98">
        <v>5.543</v>
      </c>
      <c r="I7" s="98">
        <v>3101</v>
      </c>
      <c r="J7" s="120">
        <v>12233</v>
      </c>
      <c r="K7" s="121"/>
      <c r="L7" s="122"/>
      <c r="M7" s="123"/>
      <c r="N7" s="122"/>
      <c r="O7" s="98"/>
      <c r="P7" s="124">
        <v>12233</v>
      </c>
      <c r="Q7" s="155"/>
      <c r="R7" s="155"/>
      <c r="S7" s="156">
        <v>3302.56830882353</v>
      </c>
      <c r="T7" s="156"/>
      <c r="U7" s="156">
        <v>179.332352941176</v>
      </c>
      <c r="V7" s="156"/>
      <c r="W7" s="156"/>
      <c r="X7" s="156">
        <v>3481.90066176471</v>
      </c>
      <c r="Y7" s="170">
        <v>846.222910147059</v>
      </c>
      <c r="Z7" s="170"/>
      <c r="AA7" s="170"/>
      <c r="AB7" s="170">
        <v>846.222910147059</v>
      </c>
      <c r="AC7" s="121">
        <v>7.23</v>
      </c>
      <c r="AD7" s="156">
        <v>6118.19164036323</v>
      </c>
      <c r="AE7" s="156">
        <v>9600.09230212794</v>
      </c>
      <c r="AF7" s="156">
        <v>2632.90769787206</v>
      </c>
    </row>
    <row r="8" s="84" customFormat="1" ht="12.75" spans="1:32">
      <c r="A8" s="97"/>
      <c r="B8" s="98"/>
      <c r="C8" s="99">
        <v>240906000023</v>
      </c>
      <c r="D8" s="100">
        <v>45559</v>
      </c>
      <c r="E8" s="100" t="s">
        <v>145</v>
      </c>
      <c r="F8" s="98" t="s">
        <v>145</v>
      </c>
      <c r="G8" s="98" t="s">
        <v>148</v>
      </c>
      <c r="H8" s="98">
        <v>33.5175</v>
      </c>
      <c r="I8" s="98">
        <v>8313</v>
      </c>
      <c r="J8" s="124">
        <v>68845</v>
      </c>
      <c r="K8" s="121"/>
      <c r="L8" s="122"/>
      <c r="M8" s="123"/>
      <c r="N8" s="122"/>
      <c r="O8" s="98"/>
      <c r="P8" s="124">
        <v>68845</v>
      </c>
      <c r="Q8" s="155"/>
      <c r="R8" s="155"/>
      <c r="S8" s="156">
        <v>19970.0222426471</v>
      </c>
      <c r="T8" s="156"/>
      <c r="U8" s="156">
        <v>1084.38970588235</v>
      </c>
      <c r="V8" s="156"/>
      <c r="W8" s="156"/>
      <c r="X8" s="156">
        <v>21054.4119485294</v>
      </c>
      <c r="Y8" s="170">
        <v>5116.95406654412</v>
      </c>
      <c r="Z8" s="170"/>
      <c r="AA8" s="170"/>
      <c r="AB8" s="170">
        <v>5116.95406654412</v>
      </c>
      <c r="AC8" s="121">
        <v>7.23</v>
      </c>
      <c r="AD8" s="156">
        <v>36995.577901114</v>
      </c>
      <c r="AE8" s="156">
        <v>58049.9898496434</v>
      </c>
      <c r="AF8" s="156">
        <v>10795.0101503566</v>
      </c>
    </row>
    <row r="9" s="84" customFormat="1" ht="12.75" spans="1:32">
      <c r="A9" s="97"/>
      <c r="B9" s="98"/>
      <c r="C9" s="99">
        <v>240906000023</v>
      </c>
      <c r="D9" s="100">
        <v>45559</v>
      </c>
      <c r="E9" s="100" t="s">
        <v>145</v>
      </c>
      <c r="F9" s="98" t="s">
        <v>145</v>
      </c>
      <c r="G9" s="98" t="s">
        <v>148</v>
      </c>
      <c r="H9" s="98">
        <v>24.9775</v>
      </c>
      <c r="I9" s="98">
        <v>6522</v>
      </c>
      <c r="J9" s="124">
        <v>51303</v>
      </c>
      <c r="K9" s="121"/>
      <c r="L9" s="122"/>
      <c r="M9" s="123"/>
      <c r="N9" s="122"/>
      <c r="O9" s="98"/>
      <c r="P9" s="124">
        <v>51303</v>
      </c>
      <c r="Q9" s="155"/>
      <c r="R9" s="155"/>
      <c r="S9" s="156">
        <v>14935.4430514706</v>
      </c>
      <c r="T9" s="156">
        <v>34.7921882352941</v>
      </c>
      <c r="U9" s="156">
        <v>734.632352941176</v>
      </c>
      <c r="V9" s="156"/>
      <c r="W9" s="156"/>
      <c r="X9" s="156">
        <v>15704.8675926471</v>
      </c>
      <c r="Y9" s="170">
        <v>3813.19738382353</v>
      </c>
      <c r="Z9" s="170"/>
      <c r="AA9" s="170"/>
      <c r="AB9" s="170">
        <v>3813.19738382353</v>
      </c>
      <c r="AC9" s="121">
        <v>7.24</v>
      </c>
      <c r="AD9" s="156">
        <v>27607.5490588824</v>
      </c>
      <c r="AE9" s="156">
        <v>43312.4166515295</v>
      </c>
      <c r="AF9" s="156">
        <v>7990.5833484705</v>
      </c>
    </row>
    <row r="10" s="84" customFormat="1" ht="12.75" spans="1:32">
      <c r="A10" s="97"/>
      <c r="B10" s="98"/>
      <c r="C10" s="99">
        <v>240924000057</v>
      </c>
      <c r="D10" s="100">
        <v>45564</v>
      </c>
      <c r="E10" s="100" t="s">
        <v>145</v>
      </c>
      <c r="F10" s="98" t="s">
        <v>145</v>
      </c>
      <c r="G10" s="98" t="s">
        <v>147</v>
      </c>
      <c r="H10" s="98">
        <v>5.543</v>
      </c>
      <c r="I10" s="98">
        <v>3097</v>
      </c>
      <c r="J10" s="120">
        <v>12233</v>
      </c>
      <c r="K10" s="121"/>
      <c r="L10" s="122"/>
      <c r="M10" s="123"/>
      <c r="N10" s="122"/>
      <c r="O10" s="98"/>
      <c r="P10" s="124">
        <v>12233</v>
      </c>
      <c r="Q10" s="155"/>
      <c r="R10" s="155"/>
      <c r="S10" s="156">
        <v>3314.46945588235</v>
      </c>
      <c r="T10" s="156">
        <v>7.72107294117647</v>
      </c>
      <c r="U10" s="156">
        <v>163.029411764706</v>
      </c>
      <c r="V10" s="156"/>
      <c r="W10" s="156"/>
      <c r="X10" s="156">
        <v>3485.21994058824</v>
      </c>
      <c r="Y10" s="170">
        <v>846.223725294118</v>
      </c>
      <c r="Z10" s="170"/>
      <c r="AA10" s="170"/>
      <c r="AB10" s="170">
        <v>846.223725294118</v>
      </c>
      <c r="AC10" s="121">
        <v>7.24</v>
      </c>
      <c r="AD10" s="156">
        <v>6126.65977112941</v>
      </c>
      <c r="AE10" s="156">
        <v>9611.87971171765</v>
      </c>
      <c r="AF10" s="156">
        <v>2621.12028828235</v>
      </c>
    </row>
    <row r="11" s="84" customFormat="1" ht="12.75" spans="1:32">
      <c r="A11" s="97"/>
      <c r="B11" s="98"/>
      <c r="C11" s="99">
        <v>240928000023</v>
      </c>
      <c r="D11" s="100">
        <v>45564</v>
      </c>
      <c r="E11" s="100" t="s">
        <v>145</v>
      </c>
      <c r="F11" s="98" t="s">
        <v>145</v>
      </c>
      <c r="G11" s="98" t="s">
        <v>129</v>
      </c>
      <c r="H11" s="98">
        <v>6.37</v>
      </c>
      <c r="I11" s="98">
        <v>908.5</v>
      </c>
      <c r="J11" s="120">
        <v>9341.73</v>
      </c>
      <c r="K11" s="121"/>
      <c r="L11" s="122"/>
      <c r="M11" s="123"/>
      <c r="N11" s="126"/>
      <c r="O11" s="98"/>
      <c r="P11" s="124">
        <v>9341.73</v>
      </c>
      <c r="Q11" s="155"/>
      <c r="R11" s="155"/>
      <c r="S11" s="156">
        <v>3808.97897058824</v>
      </c>
      <c r="T11" s="156">
        <v>8.87303529411765</v>
      </c>
      <c r="U11" s="156">
        <v>187.352941176471</v>
      </c>
      <c r="V11" s="156"/>
      <c r="W11" s="156"/>
      <c r="X11" s="156">
        <v>4005.20494705882</v>
      </c>
      <c r="Y11" s="170">
        <v>972.477923529412</v>
      </c>
      <c r="Z11" s="170"/>
      <c r="AA11" s="170"/>
      <c r="AB11" s="170">
        <v>972.477923529412</v>
      </c>
      <c r="AC11" s="121">
        <v>7.24</v>
      </c>
      <c r="AD11" s="156">
        <v>7040.74016635294</v>
      </c>
      <c r="AE11" s="156">
        <v>11045.9451134118</v>
      </c>
      <c r="AF11" s="156">
        <v>-1704.2151134118</v>
      </c>
    </row>
    <row r="12" s="84" customFormat="1" ht="12.75" spans="1:32">
      <c r="A12" s="97"/>
      <c r="B12" s="98"/>
      <c r="C12" s="99">
        <v>240906000023</v>
      </c>
      <c r="D12" s="100">
        <v>45559</v>
      </c>
      <c r="E12" s="100" t="s">
        <v>145</v>
      </c>
      <c r="F12" s="98" t="s">
        <v>145</v>
      </c>
      <c r="G12" s="98" t="s">
        <v>148</v>
      </c>
      <c r="H12" s="98">
        <v>17.6195</v>
      </c>
      <c r="I12" s="98">
        <v>5514</v>
      </c>
      <c r="J12" s="124">
        <v>36190</v>
      </c>
      <c r="K12" s="121"/>
      <c r="L12" s="122"/>
      <c r="M12" s="123"/>
      <c r="N12" s="122"/>
      <c r="O12" s="98"/>
      <c r="P12" s="124">
        <v>36190</v>
      </c>
      <c r="Q12" s="155"/>
      <c r="R12" s="155"/>
      <c r="S12" s="156">
        <v>10865.2719632353</v>
      </c>
      <c r="T12" s="156"/>
      <c r="U12" s="156">
        <v>362.754411764706</v>
      </c>
      <c r="V12" s="156"/>
      <c r="W12" s="156"/>
      <c r="X12" s="156">
        <v>11228.026375</v>
      </c>
      <c r="Y12" s="170">
        <v>2689.88614970588</v>
      </c>
      <c r="Z12" s="170"/>
      <c r="AA12" s="170"/>
      <c r="AB12" s="170">
        <v>2689.88614970588</v>
      </c>
      <c r="AC12" s="121">
        <v>7.24</v>
      </c>
      <c r="AD12" s="156">
        <v>19474.7757238706</v>
      </c>
      <c r="AE12" s="156">
        <v>30702.8020988706</v>
      </c>
      <c r="AF12" s="156">
        <v>5487.1979011294</v>
      </c>
    </row>
    <row r="13" s="84" customFormat="1" ht="12.75" spans="1:32">
      <c r="A13" s="97"/>
      <c r="B13" s="98"/>
      <c r="C13" s="99">
        <v>240924000057</v>
      </c>
      <c r="D13" s="100">
        <v>45564</v>
      </c>
      <c r="E13" s="100" t="s">
        <v>145</v>
      </c>
      <c r="F13" s="98" t="s">
        <v>145</v>
      </c>
      <c r="G13" s="98" t="s">
        <v>147</v>
      </c>
      <c r="H13" s="98">
        <v>4.4869</v>
      </c>
      <c r="I13" s="98">
        <v>2510.11</v>
      </c>
      <c r="J13" s="120">
        <v>9902</v>
      </c>
      <c r="K13" s="121"/>
      <c r="L13" s="122"/>
      <c r="M13" s="123"/>
      <c r="N13" s="122"/>
      <c r="O13" s="98"/>
      <c r="P13" s="124">
        <v>9902</v>
      </c>
      <c r="Q13" s="155"/>
      <c r="R13" s="155"/>
      <c r="S13" s="156">
        <v>2766.89967205882</v>
      </c>
      <c r="T13" s="156"/>
      <c r="U13" s="156">
        <v>92.3773529411765</v>
      </c>
      <c r="V13" s="156"/>
      <c r="W13" s="156"/>
      <c r="X13" s="156">
        <v>2859.277025</v>
      </c>
      <c r="Y13" s="170">
        <v>684.993908176471</v>
      </c>
      <c r="Z13" s="170"/>
      <c r="AA13" s="170"/>
      <c r="AB13" s="170">
        <v>684.993908176471</v>
      </c>
      <c r="AC13" s="121">
        <v>7.24</v>
      </c>
      <c r="AD13" s="156">
        <v>4959.35589519765</v>
      </c>
      <c r="AE13" s="156">
        <v>7818.63292019765</v>
      </c>
      <c r="AF13" s="156">
        <v>2083.36707980235</v>
      </c>
    </row>
    <row r="14" s="84" customFormat="1" ht="12.75" spans="1:32">
      <c r="A14" s="97"/>
      <c r="B14" s="98"/>
      <c r="C14" s="99">
        <v>240928000023</v>
      </c>
      <c r="D14" s="100">
        <v>45564</v>
      </c>
      <c r="E14" s="100" t="s">
        <v>145</v>
      </c>
      <c r="F14" s="98" t="s">
        <v>145</v>
      </c>
      <c r="G14" s="98" t="s">
        <v>129</v>
      </c>
      <c r="H14" s="98">
        <v>22.557</v>
      </c>
      <c r="I14" s="98">
        <v>3296</v>
      </c>
      <c r="J14" s="120">
        <v>33080.26</v>
      </c>
      <c r="K14" s="121"/>
      <c r="L14" s="122"/>
      <c r="M14" s="123"/>
      <c r="N14" s="126"/>
      <c r="O14" s="98"/>
      <c r="P14" s="124">
        <v>33080.26</v>
      </c>
      <c r="Q14" s="155"/>
      <c r="R14" s="155"/>
      <c r="S14" s="156">
        <v>13910.0394264706</v>
      </c>
      <c r="T14" s="156"/>
      <c r="U14" s="156">
        <v>464.408823529412</v>
      </c>
      <c r="V14" s="156"/>
      <c r="W14" s="156"/>
      <c r="X14" s="156">
        <v>14374.44825</v>
      </c>
      <c r="Y14" s="170">
        <v>3443.67103941176</v>
      </c>
      <c r="Z14" s="170"/>
      <c r="AA14" s="170"/>
      <c r="AB14" s="170">
        <v>3443.67103941176</v>
      </c>
      <c r="AC14" s="121">
        <v>7.24</v>
      </c>
      <c r="AD14" s="156">
        <v>24932.1783253412</v>
      </c>
      <c r="AE14" s="156">
        <v>39306.6265753412</v>
      </c>
      <c r="AF14" s="156">
        <v>-6226.3665753412</v>
      </c>
    </row>
    <row r="15" s="84" customFormat="1" ht="63.75" spans="1:32">
      <c r="A15" s="97" t="s">
        <v>149</v>
      </c>
      <c r="B15" s="98" t="s">
        <v>150</v>
      </c>
      <c r="C15" s="99">
        <v>240906000023</v>
      </c>
      <c r="D15" s="100">
        <v>45564</v>
      </c>
      <c r="E15" s="100" t="s">
        <v>145</v>
      </c>
      <c r="F15" s="98" t="s">
        <v>145</v>
      </c>
      <c r="G15" s="98" t="s">
        <v>148</v>
      </c>
      <c r="H15" s="98">
        <v>11.9955</v>
      </c>
      <c r="I15" s="98">
        <v>4372</v>
      </c>
      <c r="J15" s="124">
        <v>24695</v>
      </c>
      <c r="K15" s="121"/>
      <c r="L15" s="122"/>
      <c r="M15" s="123"/>
      <c r="N15" s="122"/>
      <c r="O15" s="98"/>
      <c r="P15" s="124">
        <v>24695</v>
      </c>
      <c r="Q15" s="189">
        <v>98686.208</v>
      </c>
      <c r="R15" s="190" t="s">
        <v>151</v>
      </c>
      <c r="S15" s="156">
        <v>7217.41010294118</v>
      </c>
      <c r="T15" s="156"/>
      <c r="U15" s="156">
        <v>176.404411764706</v>
      </c>
      <c r="V15" s="156">
        <v>1600</v>
      </c>
      <c r="W15" s="156"/>
      <c r="X15" s="156">
        <v>8993.81451470588</v>
      </c>
      <c r="Y15" s="170">
        <v>1831.29653558824</v>
      </c>
      <c r="Z15" s="170"/>
      <c r="AA15" s="170">
        <v>20.1594961764706</v>
      </c>
      <c r="AB15" s="170">
        <v>1851.45603176471</v>
      </c>
      <c r="AC15" s="121">
        <v>7.27</v>
      </c>
      <c r="AD15" s="156">
        <v>13460.0853509294</v>
      </c>
      <c r="AE15" s="156">
        <v>22453.8998656353</v>
      </c>
      <c r="AF15" s="156">
        <v>2241.1001343647</v>
      </c>
    </row>
    <row r="16" s="84" customFormat="1" ht="12.75" spans="1:32">
      <c r="A16" s="97"/>
      <c r="B16" s="98"/>
      <c r="C16" s="99">
        <v>240924000057</v>
      </c>
      <c r="D16" s="100">
        <v>45564</v>
      </c>
      <c r="E16" s="100" t="s">
        <v>145</v>
      </c>
      <c r="F16" s="98" t="s">
        <v>145</v>
      </c>
      <c r="G16" s="98" t="s">
        <v>147</v>
      </c>
      <c r="H16" s="98">
        <v>1.1877</v>
      </c>
      <c r="I16" s="98">
        <v>664.44</v>
      </c>
      <c r="J16" s="120">
        <v>2625</v>
      </c>
      <c r="K16" s="121"/>
      <c r="L16" s="122"/>
      <c r="M16" s="123"/>
      <c r="N16" s="122"/>
      <c r="O16" s="98"/>
      <c r="P16" s="124">
        <v>2625</v>
      </c>
      <c r="Q16" s="155"/>
      <c r="R16" s="155"/>
      <c r="S16" s="156">
        <v>714.611144117647</v>
      </c>
      <c r="T16" s="156"/>
      <c r="U16" s="156">
        <v>17.4661764705882</v>
      </c>
      <c r="V16" s="156"/>
      <c r="W16" s="156"/>
      <c r="X16" s="156">
        <v>732.077320588235</v>
      </c>
      <c r="Y16" s="170">
        <v>181.320569823529</v>
      </c>
      <c r="Z16" s="170"/>
      <c r="AA16" s="170">
        <v>1.99603464705882</v>
      </c>
      <c r="AB16" s="170">
        <v>183.316604470588</v>
      </c>
      <c r="AC16" s="121">
        <v>7.27</v>
      </c>
      <c r="AD16" s="156">
        <v>1332.71171450118</v>
      </c>
      <c r="AE16" s="156">
        <v>2064.78903508941</v>
      </c>
      <c r="AF16" s="156">
        <v>560.21096491059</v>
      </c>
    </row>
    <row r="17" s="84" customFormat="1" ht="12.75" spans="1:32">
      <c r="A17" s="97"/>
      <c r="B17" s="98"/>
      <c r="C17" s="99">
        <v>240929000070</v>
      </c>
      <c r="D17" s="100">
        <v>45564</v>
      </c>
      <c r="E17" s="100" t="s">
        <v>145</v>
      </c>
      <c r="F17" s="98" t="s">
        <v>145</v>
      </c>
      <c r="G17" s="98" t="s">
        <v>129</v>
      </c>
      <c r="H17" s="98">
        <v>14.91</v>
      </c>
      <c r="I17" s="98">
        <v>1595</v>
      </c>
      <c r="J17" s="120">
        <v>21865.81</v>
      </c>
      <c r="K17" s="121"/>
      <c r="L17" s="122"/>
      <c r="M17" s="123"/>
      <c r="N17" s="126"/>
      <c r="O17" s="98"/>
      <c r="P17" s="124">
        <v>21865.81</v>
      </c>
      <c r="Q17" s="155"/>
      <c r="R17" s="155"/>
      <c r="S17" s="156">
        <v>8970.99617647059</v>
      </c>
      <c r="T17" s="156"/>
      <c r="U17" s="156">
        <v>219.264705882353</v>
      </c>
      <c r="V17" s="156"/>
      <c r="W17" s="156"/>
      <c r="X17" s="156">
        <v>9190.26088235294</v>
      </c>
      <c r="Y17" s="170">
        <v>2276.23953529412</v>
      </c>
      <c r="Z17" s="170"/>
      <c r="AA17" s="170">
        <v>25.0575705882353</v>
      </c>
      <c r="AB17" s="170">
        <v>2301.29710588235</v>
      </c>
      <c r="AC17" s="121">
        <v>7.27</v>
      </c>
      <c r="AD17" s="156">
        <v>16730.4299597647</v>
      </c>
      <c r="AE17" s="156">
        <v>25920.6908421176</v>
      </c>
      <c r="AF17" s="156">
        <v>-4054.8808421176</v>
      </c>
    </row>
    <row r="18" s="84" customFormat="1" ht="12.75" spans="1:32">
      <c r="A18" s="97"/>
      <c r="B18" s="98"/>
      <c r="C18" s="99">
        <v>240928000023</v>
      </c>
      <c r="D18" s="100">
        <v>45564</v>
      </c>
      <c r="E18" s="100" t="s">
        <v>145</v>
      </c>
      <c r="F18" s="98" t="s">
        <v>145</v>
      </c>
      <c r="G18" s="98" t="s">
        <v>129</v>
      </c>
      <c r="H18" s="98">
        <v>0.8638</v>
      </c>
      <c r="I18" s="98">
        <v>110</v>
      </c>
      <c r="J18" s="120">
        <v>1266.8</v>
      </c>
      <c r="K18" s="121"/>
      <c r="L18" s="122"/>
      <c r="M18" s="123"/>
      <c r="N18" s="126"/>
      <c r="O18" s="98"/>
      <c r="P18" s="124">
        <v>1266.8</v>
      </c>
      <c r="Q18" s="155"/>
      <c r="R18" s="155"/>
      <c r="S18" s="156">
        <v>519.728135294118</v>
      </c>
      <c r="T18" s="156"/>
      <c r="U18" s="156">
        <v>12.7029411764706</v>
      </c>
      <c r="V18" s="156"/>
      <c r="W18" s="156"/>
      <c r="X18" s="156">
        <v>532.431076470588</v>
      </c>
      <c r="Y18" s="170">
        <v>131.872281058824</v>
      </c>
      <c r="Z18" s="170"/>
      <c r="AA18" s="170">
        <v>1.45169211764706</v>
      </c>
      <c r="AB18" s="170">
        <v>133.323973176471</v>
      </c>
      <c r="AC18" s="121">
        <v>7.27</v>
      </c>
      <c r="AD18" s="156">
        <v>969.265284992941</v>
      </c>
      <c r="AE18" s="156">
        <v>1501.69636146353</v>
      </c>
      <c r="AF18" s="156">
        <v>-234.89636146353</v>
      </c>
    </row>
    <row r="19" s="84" customFormat="1" ht="12.75" spans="1:32">
      <c r="A19" s="97"/>
      <c r="B19" s="98"/>
      <c r="C19" s="99">
        <v>240929000001</v>
      </c>
      <c r="D19" s="100">
        <v>45564</v>
      </c>
      <c r="E19" s="100" t="s">
        <v>145</v>
      </c>
      <c r="F19" s="98" t="s">
        <v>145</v>
      </c>
      <c r="G19" s="98" t="s">
        <v>129</v>
      </c>
      <c r="H19" s="98">
        <v>23.97</v>
      </c>
      <c r="I19" s="98">
        <v>2873</v>
      </c>
      <c r="J19" s="120">
        <v>35152.53</v>
      </c>
      <c r="K19" s="121"/>
      <c r="L19" s="122"/>
      <c r="M19" s="123"/>
      <c r="N19" s="126"/>
      <c r="O19" s="98"/>
      <c r="P19" s="124">
        <v>35152.53</v>
      </c>
      <c r="Q19" s="155"/>
      <c r="R19" s="155"/>
      <c r="S19" s="156">
        <v>14422.185</v>
      </c>
      <c r="T19" s="156"/>
      <c r="U19" s="156">
        <v>352.5</v>
      </c>
      <c r="V19" s="156"/>
      <c r="W19" s="156"/>
      <c r="X19" s="156">
        <v>14774.685</v>
      </c>
      <c r="Y19" s="170">
        <v>3659.3871</v>
      </c>
      <c r="Z19" s="170"/>
      <c r="AA19" s="170">
        <v>40.2837</v>
      </c>
      <c r="AB19" s="170">
        <v>3699.6708</v>
      </c>
      <c r="AC19" s="121">
        <v>7.27</v>
      </c>
      <c r="AD19" s="156">
        <v>26896.606716</v>
      </c>
      <c r="AE19" s="156">
        <v>41671.291716</v>
      </c>
      <c r="AF19" s="156">
        <v>-6518.761716</v>
      </c>
    </row>
    <row r="20" s="84" customFormat="1" ht="12.75" spans="1:32">
      <c r="A20" s="174"/>
      <c r="B20" s="175"/>
      <c r="C20" s="99">
        <v>240929000070</v>
      </c>
      <c r="D20" s="100">
        <v>45580</v>
      </c>
      <c r="E20" s="100" t="s">
        <v>145</v>
      </c>
      <c r="F20" s="175" t="s">
        <v>145</v>
      </c>
      <c r="G20" s="175" t="s">
        <v>129</v>
      </c>
      <c r="H20" s="175">
        <v>4.8</v>
      </c>
      <c r="I20" s="175">
        <v>799</v>
      </c>
      <c r="J20" s="120">
        <v>7039.3</v>
      </c>
      <c r="K20" s="121"/>
      <c r="L20" s="176"/>
      <c r="M20" s="123"/>
      <c r="N20" s="126"/>
      <c r="O20" s="98"/>
      <c r="P20" s="124">
        <v>7039.3</v>
      </c>
      <c r="Q20" s="155"/>
      <c r="R20" s="155"/>
      <c r="S20" s="156">
        <v>2830.30588235294</v>
      </c>
      <c r="T20" s="156"/>
      <c r="U20" s="156">
        <v>148.235294117647</v>
      </c>
      <c r="V20" s="156"/>
      <c r="W20" s="156"/>
      <c r="X20" s="156">
        <v>2978.54117647059</v>
      </c>
      <c r="Y20" s="170">
        <v>739.612235294118</v>
      </c>
      <c r="Z20" s="170"/>
      <c r="AA20" s="170">
        <v>15.7108235294118</v>
      </c>
      <c r="AB20" s="170">
        <v>755.323058823529</v>
      </c>
      <c r="AC20" s="121">
        <v>7.27</v>
      </c>
      <c r="AD20" s="156">
        <v>5491.19863764706</v>
      </c>
      <c r="AE20" s="156">
        <v>8469.73981411765</v>
      </c>
      <c r="AF20" s="156">
        <v>-1430.43981411765</v>
      </c>
    </row>
    <row r="21" s="84" customFormat="1" ht="12.75" spans="1:32">
      <c r="A21" s="174"/>
      <c r="B21" s="175"/>
      <c r="C21" s="99">
        <v>241010000044</v>
      </c>
      <c r="D21" s="100">
        <v>45580</v>
      </c>
      <c r="E21" s="100" t="s">
        <v>145</v>
      </c>
      <c r="F21" s="175" t="s">
        <v>145</v>
      </c>
      <c r="G21" s="175" t="s">
        <v>152</v>
      </c>
      <c r="H21" s="175">
        <v>0.294</v>
      </c>
      <c r="I21" s="175">
        <v>17</v>
      </c>
      <c r="J21" s="120">
        <v>919.8</v>
      </c>
      <c r="K21" s="121"/>
      <c r="L21" s="176"/>
      <c r="M21" s="123"/>
      <c r="N21" s="176"/>
      <c r="O21" s="98"/>
      <c r="P21" s="124">
        <v>919.8</v>
      </c>
      <c r="Q21" s="155"/>
      <c r="R21" s="155"/>
      <c r="S21" s="156">
        <v>173.356235294118</v>
      </c>
      <c r="T21" s="156"/>
      <c r="U21" s="156">
        <v>9.07941176470588</v>
      </c>
      <c r="V21" s="156"/>
      <c r="W21" s="156"/>
      <c r="X21" s="156">
        <v>182.435647058824</v>
      </c>
      <c r="Y21" s="170">
        <v>45.3012494117647</v>
      </c>
      <c r="Z21" s="170">
        <v>73.03</v>
      </c>
      <c r="AA21" s="170">
        <v>0.962287941176471</v>
      </c>
      <c r="AB21" s="170">
        <v>119.293537352941</v>
      </c>
      <c r="AC21" s="121">
        <v>7.27</v>
      </c>
      <c r="AD21" s="156">
        <v>867.264016555882</v>
      </c>
      <c r="AE21" s="156">
        <v>1049.69966361471</v>
      </c>
      <c r="AF21" s="156">
        <v>-129.89966361471</v>
      </c>
    </row>
    <row r="22" s="84" customFormat="1" ht="63.75" spans="1:32">
      <c r="A22" s="174" t="s">
        <v>153</v>
      </c>
      <c r="B22" s="175" t="s">
        <v>154</v>
      </c>
      <c r="C22" s="99">
        <v>240926000039</v>
      </c>
      <c r="D22" s="100">
        <v>45583</v>
      </c>
      <c r="E22" s="100" t="s">
        <v>145</v>
      </c>
      <c r="F22" s="175" t="s">
        <v>145</v>
      </c>
      <c r="G22" s="175" t="s">
        <v>146</v>
      </c>
      <c r="H22" s="175">
        <v>0.3</v>
      </c>
      <c r="I22" s="175">
        <v>65</v>
      </c>
      <c r="J22" s="120">
        <v>772</v>
      </c>
      <c r="K22" s="121"/>
      <c r="L22" s="176"/>
      <c r="M22" s="123"/>
      <c r="N22" s="176"/>
      <c r="O22" s="98"/>
      <c r="P22" s="124">
        <v>772</v>
      </c>
      <c r="Q22" s="189">
        <v>24595.9624727</v>
      </c>
      <c r="R22" s="190" t="s">
        <v>155</v>
      </c>
      <c r="S22" s="156">
        <v>183.997058823529</v>
      </c>
      <c r="T22" s="156">
        <v>0.439941176470588</v>
      </c>
      <c r="U22" s="156">
        <v>6.61764705882353</v>
      </c>
      <c r="V22" s="156"/>
      <c r="W22" s="156"/>
      <c r="X22" s="156">
        <v>191.054647058824</v>
      </c>
      <c r="Y22" s="170">
        <v>46.4289264705882</v>
      </c>
      <c r="Z22" s="170">
        <v>14.39</v>
      </c>
      <c r="AA22" s="170"/>
      <c r="AB22" s="170">
        <v>60.8189264705882</v>
      </c>
      <c r="AC22" s="121">
        <v>7.28</v>
      </c>
      <c r="AD22" s="156">
        <v>442.761784705882</v>
      </c>
      <c r="AE22" s="156">
        <v>633.816431764706</v>
      </c>
      <c r="AF22" s="156">
        <v>138.183568235294</v>
      </c>
    </row>
    <row r="23" s="84" customFormat="1" ht="12.75" spans="1:32">
      <c r="A23" s="174"/>
      <c r="B23" s="175"/>
      <c r="C23" s="99">
        <v>241008000110</v>
      </c>
      <c r="D23" s="100">
        <v>45583</v>
      </c>
      <c r="E23" s="100" t="s">
        <v>145</v>
      </c>
      <c r="F23" s="175" t="s">
        <v>145</v>
      </c>
      <c r="G23" s="175" t="s">
        <v>156</v>
      </c>
      <c r="H23" s="175">
        <v>0.1724</v>
      </c>
      <c r="I23" s="175">
        <v>432</v>
      </c>
      <c r="J23" s="120">
        <v>1396.56</v>
      </c>
      <c r="K23" s="121"/>
      <c r="L23" s="176"/>
      <c r="M23" s="123"/>
      <c r="N23" s="176"/>
      <c r="O23" s="98"/>
      <c r="P23" s="124">
        <v>1396.56</v>
      </c>
      <c r="Q23" s="155"/>
      <c r="R23" s="155"/>
      <c r="S23" s="156">
        <v>105.736976470588</v>
      </c>
      <c r="T23" s="156">
        <v>0.252819529411765</v>
      </c>
      <c r="U23" s="156">
        <v>3.80294117647059</v>
      </c>
      <c r="V23" s="156"/>
      <c r="W23" s="156"/>
      <c r="X23" s="156">
        <v>109.792737176471</v>
      </c>
      <c r="Y23" s="170">
        <v>26.6811564117647</v>
      </c>
      <c r="Z23" s="170"/>
      <c r="AA23" s="170"/>
      <c r="AB23" s="170">
        <v>26.6811564117647</v>
      </c>
      <c r="AC23" s="121">
        <v>7.28</v>
      </c>
      <c r="AD23" s="156">
        <v>194.238818677647</v>
      </c>
      <c r="AE23" s="156">
        <v>304.031555854118</v>
      </c>
      <c r="AF23" s="156">
        <v>1092.52844414588</v>
      </c>
    </row>
    <row r="24" s="84" customFormat="1" ht="12.75" spans="1:32">
      <c r="A24" s="97"/>
      <c r="B24" s="98"/>
      <c r="C24" s="99">
        <v>241015000012</v>
      </c>
      <c r="D24" s="100">
        <v>45587</v>
      </c>
      <c r="E24" s="100" t="s">
        <v>145</v>
      </c>
      <c r="F24" s="98" t="s">
        <v>145</v>
      </c>
      <c r="G24" s="98" t="s">
        <v>157</v>
      </c>
      <c r="H24" s="98">
        <v>0.4173</v>
      </c>
      <c r="I24" s="98">
        <v>209</v>
      </c>
      <c r="J24" s="120">
        <v>914</v>
      </c>
      <c r="K24" s="121"/>
      <c r="L24" s="122"/>
      <c r="M24" s="123"/>
      <c r="N24" s="122"/>
      <c r="O24" s="98"/>
      <c r="P24" s="124">
        <v>914</v>
      </c>
      <c r="Q24" s="155"/>
      <c r="R24" s="155"/>
      <c r="S24" s="156">
        <v>286.402808823529</v>
      </c>
      <c r="T24" s="156"/>
      <c r="U24" s="156">
        <v>7.97779411764706</v>
      </c>
      <c r="V24" s="156"/>
      <c r="W24" s="156"/>
      <c r="X24" s="156">
        <v>294.380602941177</v>
      </c>
      <c r="Y24" s="170">
        <v>64.5826367205882</v>
      </c>
      <c r="Z24" s="170"/>
      <c r="AA24" s="170"/>
      <c r="AB24" s="170">
        <v>64.5826367205882</v>
      </c>
      <c r="AC24" s="121">
        <v>7.28</v>
      </c>
      <c r="AD24" s="156">
        <v>470.161595325882</v>
      </c>
      <c r="AE24" s="156">
        <v>764.542198267059</v>
      </c>
      <c r="AF24" s="156">
        <v>149.457801732941</v>
      </c>
    </row>
    <row r="25" s="84" customFormat="1" ht="12.75" spans="1:32">
      <c r="A25" s="97"/>
      <c r="B25" s="98"/>
      <c r="C25" s="99">
        <v>241015000013</v>
      </c>
      <c r="D25" s="100">
        <v>45587</v>
      </c>
      <c r="E25" s="100" t="s">
        <v>145</v>
      </c>
      <c r="F25" s="98" t="s">
        <v>145</v>
      </c>
      <c r="G25" s="98" t="s">
        <v>158</v>
      </c>
      <c r="H25" s="98">
        <v>18.4906</v>
      </c>
      <c r="I25" s="98">
        <v>7082</v>
      </c>
      <c r="J25" s="120">
        <v>57160</v>
      </c>
      <c r="K25" s="121"/>
      <c r="L25" s="122"/>
      <c r="M25" s="123"/>
      <c r="N25" s="122"/>
      <c r="O25" s="98"/>
      <c r="P25" s="124">
        <v>57160</v>
      </c>
      <c r="Q25" s="155"/>
      <c r="R25" s="155"/>
      <c r="S25" s="156">
        <v>12690.5338529412</v>
      </c>
      <c r="T25" s="156"/>
      <c r="U25" s="156">
        <v>353.496764705882</v>
      </c>
      <c r="V25" s="156"/>
      <c r="W25" s="156"/>
      <c r="X25" s="156">
        <v>13044.0306176471</v>
      </c>
      <c r="Y25" s="170">
        <v>2861.66235932353</v>
      </c>
      <c r="Z25" s="170">
        <v>777.2</v>
      </c>
      <c r="AA25" s="170"/>
      <c r="AB25" s="170">
        <v>3638.86235932353</v>
      </c>
      <c r="AC25" s="121">
        <v>7.28</v>
      </c>
      <c r="AD25" s="156">
        <v>26490.9179758753</v>
      </c>
      <c r="AE25" s="156">
        <v>39534.9485935224</v>
      </c>
      <c r="AF25" s="156">
        <v>17625.0514064776</v>
      </c>
    </row>
    <row r="26" s="84" customFormat="1" ht="12.75" spans="1:32">
      <c r="A26" s="97"/>
      <c r="B26" s="98"/>
      <c r="C26" s="99">
        <v>241021000069</v>
      </c>
      <c r="D26" s="100">
        <v>45593</v>
      </c>
      <c r="E26" s="100" t="s">
        <v>145</v>
      </c>
      <c r="F26" s="98" t="s">
        <v>145</v>
      </c>
      <c r="G26" s="98" t="s">
        <v>156</v>
      </c>
      <c r="H26" s="98">
        <v>0.9189</v>
      </c>
      <c r="I26" s="98">
        <v>373</v>
      </c>
      <c r="J26" s="120">
        <v>2175.03</v>
      </c>
      <c r="K26" s="121"/>
      <c r="L26" s="122"/>
      <c r="M26" s="123"/>
      <c r="N26" s="122"/>
      <c r="O26" s="98"/>
      <c r="P26" s="124">
        <v>2175.03</v>
      </c>
      <c r="Q26" s="155"/>
      <c r="R26" s="155"/>
      <c r="S26" s="156">
        <v>643.040814705882</v>
      </c>
      <c r="T26" s="156"/>
      <c r="U26" s="156">
        <v>25.6751470588235</v>
      </c>
      <c r="V26" s="156">
        <v>96</v>
      </c>
      <c r="W26" s="156"/>
      <c r="X26" s="156">
        <v>764.715961764706</v>
      </c>
      <c r="Y26" s="170">
        <v>150.455010441176</v>
      </c>
      <c r="Z26" s="170"/>
      <c r="AA26" s="170"/>
      <c r="AB26" s="170">
        <v>150.455010441176</v>
      </c>
      <c r="AC26" s="121">
        <v>7.3</v>
      </c>
      <c r="AD26" s="156">
        <v>1098.32157622059</v>
      </c>
      <c r="AE26" s="156">
        <v>1863.03753798529</v>
      </c>
      <c r="AF26" s="156">
        <v>311.99246201471</v>
      </c>
    </row>
    <row r="27" s="84" customFormat="1" ht="12.75" spans="1:32">
      <c r="A27" s="97"/>
      <c r="B27" s="98"/>
      <c r="C27" s="99">
        <v>241023000035</v>
      </c>
      <c r="D27" s="100">
        <v>45593</v>
      </c>
      <c r="E27" s="100" t="s">
        <v>145</v>
      </c>
      <c r="F27" s="98" t="s">
        <v>145</v>
      </c>
      <c r="G27" s="98" t="s">
        <v>159</v>
      </c>
      <c r="H27" s="98">
        <v>1.2483</v>
      </c>
      <c r="I27" s="98">
        <v>347</v>
      </c>
      <c r="J27" s="120">
        <v>2824</v>
      </c>
      <c r="K27" s="121"/>
      <c r="L27" s="122"/>
      <c r="M27" s="123"/>
      <c r="N27" s="122"/>
      <c r="O27" s="98"/>
      <c r="P27" s="124">
        <v>2824</v>
      </c>
      <c r="Q27" s="155"/>
      <c r="R27" s="155"/>
      <c r="S27" s="156">
        <v>873.552997058824</v>
      </c>
      <c r="T27" s="156"/>
      <c r="U27" s="156">
        <v>34.8789705882353</v>
      </c>
      <c r="V27" s="156"/>
      <c r="W27" s="156"/>
      <c r="X27" s="156">
        <v>908.431967647059</v>
      </c>
      <c r="Y27" s="170">
        <v>204.388931911765</v>
      </c>
      <c r="Z27" s="170"/>
      <c r="AA27" s="170"/>
      <c r="AB27" s="170">
        <v>204.388931911765</v>
      </c>
      <c r="AC27" s="121">
        <v>7.3</v>
      </c>
      <c r="AD27" s="156">
        <v>1492.03920295588</v>
      </c>
      <c r="AE27" s="156">
        <v>2400.47117060294</v>
      </c>
      <c r="AF27" s="156">
        <v>423.52882939706</v>
      </c>
    </row>
    <row r="28" s="84" customFormat="1" ht="12.75" spans="1:32">
      <c r="A28" s="97"/>
      <c r="B28" s="98"/>
      <c r="C28" s="99">
        <v>241027000012</v>
      </c>
      <c r="D28" s="100">
        <v>45595</v>
      </c>
      <c r="E28" s="100" t="s">
        <v>145</v>
      </c>
      <c r="F28" s="98" t="s">
        <v>145</v>
      </c>
      <c r="G28" s="98" t="s">
        <v>146</v>
      </c>
      <c r="H28" s="98">
        <v>5.2289</v>
      </c>
      <c r="I28" s="98">
        <v>1231</v>
      </c>
      <c r="J28" s="120">
        <v>13095</v>
      </c>
      <c r="K28" s="121"/>
      <c r="L28" s="122"/>
      <c r="M28" s="123"/>
      <c r="N28" s="122"/>
      <c r="O28" s="98"/>
      <c r="P28" s="124">
        <v>13095</v>
      </c>
      <c r="Q28" s="155"/>
      <c r="R28" s="155"/>
      <c r="S28" s="156">
        <v>3641.92885</v>
      </c>
      <c r="T28" s="156"/>
      <c r="U28" s="156">
        <v>184.549411764706</v>
      </c>
      <c r="V28" s="156"/>
      <c r="W28" s="156"/>
      <c r="X28" s="156">
        <v>3826.47826176471</v>
      </c>
      <c r="Y28" s="170">
        <v>822.772797691177</v>
      </c>
      <c r="Z28" s="170">
        <v>48.69</v>
      </c>
      <c r="AA28" s="170">
        <v>5.14815963235294</v>
      </c>
      <c r="AB28" s="170">
        <v>876.61095732353</v>
      </c>
      <c r="AC28" s="121">
        <v>7.3</v>
      </c>
      <c r="AD28" s="156">
        <v>6399.25998846177</v>
      </c>
      <c r="AE28" s="156">
        <v>10225.7382502265</v>
      </c>
      <c r="AF28" s="156">
        <v>2869.2617497735</v>
      </c>
    </row>
    <row r="29" s="84" customFormat="1" ht="63.75" spans="1:32">
      <c r="A29" s="97" t="s">
        <v>160</v>
      </c>
      <c r="B29" s="98" t="s">
        <v>161</v>
      </c>
      <c r="C29" s="99">
        <v>241120000026</v>
      </c>
      <c r="D29" s="100">
        <v>45592</v>
      </c>
      <c r="E29" s="100" t="s">
        <v>145</v>
      </c>
      <c r="F29" s="98" t="s">
        <v>145</v>
      </c>
      <c r="G29" s="98" t="s">
        <v>146</v>
      </c>
      <c r="H29" s="98">
        <v>68</v>
      </c>
      <c r="I29" s="98"/>
      <c r="J29" s="120">
        <v>50836</v>
      </c>
      <c r="K29" s="177">
        <v>21300000</v>
      </c>
      <c r="L29" s="122"/>
      <c r="M29" s="123">
        <v>1669.00039413484</v>
      </c>
      <c r="N29" s="126">
        <v>12762.13</v>
      </c>
      <c r="O29" s="178">
        <v>7.3</v>
      </c>
      <c r="P29" s="124">
        <v>143999.549</v>
      </c>
      <c r="Q29" s="191">
        <v>143999.549</v>
      </c>
      <c r="R29" s="192" t="s">
        <v>162</v>
      </c>
      <c r="S29" s="156">
        <v>48399</v>
      </c>
      <c r="T29" s="156"/>
      <c r="U29" s="156"/>
      <c r="V29" s="156"/>
      <c r="W29" s="156"/>
      <c r="X29" s="156">
        <v>48399</v>
      </c>
      <c r="Y29" s="170">
        <v>11545.4</v>
      </c>
      <c r="Z29" s="170"/>
      <c r="AA29" s="170"/>
      <c r="AB29" s="170">
        <v>11545.4</v>
      </c>
      <c r="AC29" s="121">
        <v>7.27</v>
      </c>
      <c r="AD29" s="156">
        <v>83935.058</v>
      </c>
      <c r="AE29" s="156">
        <v>132334.058</v>
      </c>
      <c r="AF29" s="156">
        <v>11665.491</v>
      </c>
    </row>
    <row r="30" customFormat="1" spans="1:32">
      <c r="A30" s="82" t="s">
        <v>104</v>
      </c>
      <c r="B30" s="101"/>
      <c r="C30" s="101"/>
      <c r="D30" s="101"/>
      <c r="E30" s="101"/>
      <c r="F30" s="101"/>
      <c r="G30" s="101"/>
      <c r="H30" s="101">
        <f>SUM(H5:H29)</f>
        <v>283.4768</v>
      </c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57"/>
      <c r="T30" s="101"/>
      <c r="U30" s="101"/>
      <c r="V30" s="158"/>
      <c r="W30" s="159"/>
      <c r="X30" s="159"/>
      <c r="Y30" s="159"/>
      <c r="Z30" s="159"/>
      <c r="AA30" s="171"/>
      <c r="AB30" s="172"/>
      <c r="AC30" s="172"/>
      <c r="AD30" s="172"/>
      <c r="AE30" s="172"/>
      <c r="AF30" s="172">
        <f>SUM(AF5:AF29)</f>
        <v>49427.9939609211</v>
      </c>
    </row>
    <row r="31" s="85" customFormat="1" ht="26" customHeight="1" spans="1:25">
      <c r="A31" s="102"/>
      <c r="B31" s="103"/>
      <c r="D31" s="104"/>
      <c r="E31" s="104"/>
      <c r="Y31" s="173"/>
    </row>
    <row r="32" s="1" customFormat="1" ht="23" customHeight="1" spans="3:16">
      <c r="C32" s="70" t="s">
        <v>66</v>
      </c>
      <c r="D32" s="70"/>
      <c r="E32" s="70"/>
      <c r="F32" s="105" t="s">
        <v>67</v>
      </c>
      <c r="G32" s="106"/>
      <c r="H32" s="106"/>
      <c r="I32" s="127"/>
      <c r="J32"/>
      <c r="K32" s="128" t="s">
        <v>163</v>
      </c>
      <c r="L32" s="129"/>
      <c r="M32" s="130"/>
      <c r="N32" s="85"/>
      <c r="O32"/>
      <c r="P32"/>
    </row>
    <row r="33" s="1" customFormat="1" ht="23" customHeight="1" spans="3:16">
      <c r="C33" s="70"/>
      <c r="D33" s="70"/>
      <c r="E33" s="70"/>
      <c r="F33" s="107"/>
      <c r="G33" s="108"/>
      <c r="H33" s="108"/>
      <c r="I33" s="131"/>
      <c r="J33"/>
      <c r="K33" s="132" t="s">
        <v>69</v>
      </c>
      <c r="L33" s="132" t="s">
        <v>8</v>
      </c>
      <c r="M33" s="132" t="s">
        <v>70</v>
      </c>
      <c r="N33"/>
      <c r="O33"/>
      <c r="P33"/>
    </row>
    <row r="34" s="1" customFormat="1" ht="23" customHeight="1" spans="3:16">
      <c r="C34" s="70" t="s">
        <v>71</v>
      </c>
      <c r="D34" s="70"/>
      <c r="E34" s="70"/>
      <c r="F34" s="76" t="s">
        <v>72</v>
      </c>
      <c r="G34" s="77"/>
      <c r="H34" s="77"/>
      <c r="I34" s="78"/>
      <c r="J34"/>
      <c r="K34" s="132" t="s">
        <v>73</v>
      </c>
      <c r="L34" s="133">
        <f>SUM(H30)</f>
        <v>283.4768</v>
      </c>
      <c r="M34" s="134">
        <f>SUM(AF30)</f>
        <v>49427.9939609211</v>
      </c>
      <c r="N34"/>
      <c r="O34"/>
      <c r="P34"/>
    </row>
    <row r="35" s="1" customFormat="1" ht="23" customHeight="1" spans="3:16">
      <c r="C35" s="70"/>
      <c r="D35" s="70"/>
      <c r="E35" s="70"/>
      <c r="F35" s="79"/>
      <c r="G35" s="80"/>
      <c r="H35" s="80"/>
      <c r="I35" s="81"/>
      <c r="J35"/>
      <c r="K35" s="179" t="s">
        <v>164</v>
      </c>
      <c r="L35" s="180"/>
      <c r="M35" s="181">
        <v>6000</v>
      </c>
      <c r="N35"/>
      <c r="O35"/>
      <c r="P35"/>
    </row>
    <row r="36" s="1" customFormat="1" ht="23" customHeight="1" spans="3:16">
      <c r="C36" s="70" t="s">
        <v>75</v>
      </c>
      <c r="D36" s="70"/>
      <c r="E36" s="70"/>
      <c r="F36" s="76" t="s">
        <v>76</v>
      </c>
      <c r="G36" s="77"/>
      <c r="H36" s="77"/>
      <c r="I36" s="78"/>
      <c r="J36"/>
      <c r="K36" s="179" t="s">
        <v>77</v>
      </c>
      <c r="L36" s="180"/>
      <c r="M36" s="181">
        <f>SUM(M34-M35)</f>
        <v>43427.9939609211</v>
      </c>
      <c r="N36"/>
      <c r="O36"/>
      <c r="P36"/>
    </row>
    <row r="37" s="1" customFormat="1" ht="23" customHeight="1" spans="3:16">
      <c r="C37" s="70"/>
      <c r="D37" s="70"/>
      <c r="E37" s="70"/>
      <c r="F37" s="79"/>
      <c r="G37" s="80"/>
      <c r="H37" s="80"/>
      <c r="I37" s="81"/>
      <c r="J37"/>
      <c r="K37" s="182" t="s">
        <v>74</v>
      </c>
      <c r="L37" s="183"/>
      <c r="M37" s="184">
        <v>35000</v>
      </c>
      <c r="N37"/>
      <c r="O37"/>
      <c r="P37"/>
    </row>
    <row r="38" s="1" customFormat="1" ht="23" customHeight="1" spans="5:16">
      <c r="E38"/>
      <c r="F38"/>
      <c r="G38"/>
      <c r="H38"/>
      <c r="I38"/>
      <c r="J38"/>
      <c r="K38" s="182" t="s">
        <v>165</v>
      </c>
      <c r="L38" s="183"/>
      <c r="M38" s="182">
        <v>0.4</v>
      </c>
      <c r="N38"/>
      <c r="O38"/>
      <c r="P38"/>
    </row>
    <row r="39" s="1" customFormat="1" ht="23" customHeight="1" spans="5:16">
      <c r="E39"/>
      <c r="F39"/>
      <c r="G39"/>
      <c r="H39"/>
      <c r="I39"/>
      <c r="J39"/>
      <c r="K39" s="182" t="s">
        <v>79</v>
      </c>
      <c r="L39" s="183"/>
      <c r="M39" s="184">
        <f>SUM(M37*M38)</f>
        <v>14000</v>
      </c>
      <c r="N39"/>
      <c r="O39"/>
      <c r="P39"/>
    </row>
    <row r="40" s="1" customFormat="1" ht="23" customHeight="1" spans="5:14">
      <c r="E40"/>
      <c r="F40"/>
      <c r="G40"/>
      <c r="H40"/>
      <c r="I40"/>
      <c r="J40"/>
      <c r="K40" s="185" t="s">
        <v>166</v>
      </c>
      <c r="L40" s="186"/>
      <c r="M40" s="187">
        <f>SUM(M36-M37)</f>
        <v>8427.9939609211</v>
      </c>
      <c r="N40"/>
    </row>
    <row r="41" s="1" customFormat="1" ht="23" customHeight="1" spans="5:14">
      <c r="E41"/>
      <c r="F41"/>
      <c r="G41"/>
      <c r="H41"/>
      <c r="I41"/>
      <c r="J41"/>
      <c r="K41" s="185" t="s">
        <v>167</v>
      </c>
      <c r="L41" s="186"/>
      <c r="M41" s="185">
        <v>0.5</v>
      </c>
      <c r="N41"/>
    </row>
    <row r="42" s="1" customFormat="1" ht="23" customHeight="1" spans="5:19">
      <c r="E42"/>
      <c r="F42"/>
      <c r="G42"/>
      <c r="H42"/>
      <c r="I42"/>
      <c r="J42"/>
      <c r="K42" s="185" t="s">
        <v>79</v>
      </c>
      <c r="L42" s="186"/>
      <c r="M42" s="187">
        <f>SUM(M40*M41)</f>
        <v>4213.99698046055</v>
      </c>
      <c r="N42" s="139"/>
      <c r="O42"/>
      <c r="P42"/>
      <c r="Q42"/>
      <c r="R42"/>
      <c r="S42" s="35"/>
    </row>
    <row r="43" s="1" customFormat="1" ht="23" customHeight="1" spans="5:19">
      <c r="E43"/>
      <c r="F43"/>
      <c r="G43"/>
      <c r="H43"/>
      <c r="I43"/>
      <c r="J43"/>
      <c r="K43" s="135" t="s">
        <v>168</v>
      </c>
      <c r="L43" s="188"/>
      <c r="M43" s="136">
        <f>SUM(M39+M42)</f>
        <v>18213.9969804605</v>
      </c>
      <c r="N43"/>
      <c r="O43"/>
      <c r="P43"/>
      <c r="Q43"/>
      <c r="S43" s="35"/>
    </row>
    <row r="44" ht="22" customHeight="1" spans="11:13">
      <c r="K44" s="139"/>
      <c r="L44" s="139"/>
      <c r="M44" s="1"/>
    </row>
    <row r="45" ht="22" customHeight="1" spans="11:13">
      <c r="K45" s="139"/>
      <c r="L45" s="139"/>
      <c r="M45" s="1"/>
    </row>
  </sheetData>
  <mergeCells count="23">
    <mergeCell ref="J3:P3"/>
    <mergeCell ref="R3:V3"/>
    <mergeCell ref="Y3:AD3"/>
    <mergeCell ref="K32:M3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32:E33"/>
    <mergeCell ref="C34:E35"/>
    <mergeCell ref="F34:I35"/>
    <mergeCell ref="C36:E37"/>
    <mergeCell ref="F36:I37"/>
    <mergeCell ref="F32:I33"/>
  </mergeCells>
  <pageMargins left="0.75" right="0.75" top="1" bottom="1" header="0.5" footer="0.5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3"/>
  <sheetViews>
    <sheetView workbookViewId="0">
      <pane xSplit="14" ySplit="4" topLeftCell="AE5" activePane="bottomRight" state="frozen"/>
      <selection/>
      <selection pane="topRight"/>
      <selection pane="bottomLeft"/>
      <selection pane="bottomRight" activeCell="M12" sqref="M12"/>
    </sheetView>
  </sheetViews>
  <sheetFormatPr defaultColWidth="9" defaultRowHeight="13.5"/>
  <cols>
    <col min="3" max="3" width="11.25" customWidth="1"/>
    <col min="4" max="4" width="10.125"/>
    <col min="8" max="8" width="10.125"/>
    <col min="9" max="9" width="15.875"/>
    <col min="10" max="10" width="12"/>
    <col min="11" max="11" width="11"/>
    <col min="12" max="12" width="15.875"/>
    <col min="13" max="13" width="17.25"/>
    <col min="14" max="14" width="11.25"/>
    <col min="15" max="15" width="17.25"/>
    <col min="16" max="16" width="14.75"/>
    <col min="17" max="17" width="11.125"/>
    <col min="18" max="18" width="12.5" customWidth="1"/>
    <col min="19" max="19" width="10.375"/>
    <col min="20" max="20" width="17.25"/>
    <col min="21" max="21" width="10.375"/>
    <col min="22" max="22" width="12.5"/>
    <col min="23" max="23" width="10.375"/>
    <col min="24" max="24" width="17.25"/>
    <col min="25" max="25" width="15.875"/>
    <col min="26" max="26" width="11.125"/>
    <col min="27" max="27" width="13.625"/>
    <col min="28" max="28" width="14.75"/>
    <col min="29" max="29" width="9.25"/>
    <col min="30" max="30" width="10.125"/>
    <col min="31" max="32" width="14.75"/>
  </cols>
  <sheetData>
    <row r="1" customFormat="1" ht="24" customHeight="1" spans="1:1">
      <c r="A1" s="86" t="s">
        <v>0</v>
      </c>
    </row>
    <row r="2" customFormat="1" ht="6" customHeight="1" spans="1:1">
      <c r="A2" s="86"/>
    </row>
    <row r="3" s="83" customFormat="1" ht="23" customHeight="1" spans="1:32">
      <c r="A3" s="87" t="s">
        <v>1</v>
      </c>
      <c r="B3" s="88" t="s">
        <v>2</v>
      </c>
      <c r="C3" s="89" t="s">
        <v>3</v>
      </c>
      <c r="D3" s="90" t="s">
        <v>4</v>
      </c>
      <c r="E3" s="91" t="s">
        <v>5</v>
      </c>
      <c r="F3" s="92" t="s">
        <v>6</v>
      </c>
      <c r="G3" s="92" t="s">
        <v>7</v>
      </c>
      <c r="H3" s="92" t="s">
        <v>8</v>
      </c>
      <c r="I3" s="92" t="s">
        <v>9</v>
      </c>
      <c r="J3" s="109" t="s">
        <v>10</v>
      </c>
      <c r="K3" s="110"/>
      <c r="L3" s="111"/>
      <c r="M3" s="110"/>
      <c r="N3" s="111"/>
      <c r="O3" s="112"/>
      <c r="P3" s="113"/>
      <c r="Q3" s="140" t="s">
        <v>11</v>
      </c>
      <c r="R3" s="141" t="s">
        <v>12</v>
      </c>
      <c r="S3" s="142"/>
      <c r="T3" s="143"/>
      <c r="U3" s="144"/>
      <c r="V3" s="145"/>
      <c r="W3" s="146" t="s">
        <v>13</v>
      </c>
      <c r="X3" s="147" t="s">
        <v>14</v>
      </c>
      <c r="Y3" s="160" t="s">
        <v>15</v>
      </c>
      <c r="Z3" s="160"/>
      <c r="AA3" s="160"/>
      <c r="AB3" s="160"/>
      <c r="AC3" s="161"/>
      <c r="AD3" s="160"/>
      <c r="AE3" s="162" t="s">
        <v>16</v>
      </c>
      <c r="AF3" s="163" t="s">
        <v>17</v>
      </c>
    </row>
    <row r="4" s="83" customFormat="1" ht="27" customHeight="1" spans="1:32">
      <c r="A4" s="93"/>
      <c r="B4" s="94"/>
      <c r="C4" s="89"/>
      <c r="D4" s="90"/>
      <c r="E4" s="95"/>
      <c r="F4" s="96"/>
      <c r="G4" s="96"/>
      <c r="H4" s="96"/>
      <c r="I4" s="96"/>
      <c r="J4" s="114" t="s">
        <v>18</v>
      </c>
      <c r="K4" s="115" t="s">
        <v>19</v>
      </c>
      <c r="L4" s="116" t="s">
        <v>20</v>
      </c>
      <c r="M4" s="115" t="s">
        <v>21</v>
      </c>
      <c r="N4" s="117" t="s">
        <v>22</v>
      </c>
      <c r="O4" s="118" t="s">
        <v>23</v>
      </c>
      <c r="P4" s="119" t="s">
        <v>24</v>
      </c>
      <c r="Q4" s="148"/>
      <c r="R4" s="149" t="s">
        <v>25</v>
      </c>
      <c r="S4" s="150" t="s">
        <v>26</v>
      </c>
      <c r="T4" s="151" t="s">
        <v>27</v>
      </c>
      <c r="U4" s="152" t="s">
        <v>28</v>
      </c>
      <c r="V4" s="151" t="s">
        <v>29</v>
      </c>
      <c r="W4" s="153"/>
      <c r="X4" s="154"/>
      <c r="Y4" s="164" t="s">
        <v>30</v>
      </c>
      <c r="Z4" s="164" t="s">
        <v>31</v>
      </c>
      <c r="AA4" s="164" t="s">
        <v>32</v>
      </c>
      <c r="AB4" s="165" t="s">
        <v>33</v>
      </c>
      <c r="AC4" s="166" t="s">
        <v>34</v>
      </c>
      <c r="AD4" s="167" t="s">
        <v>24</v>
      </c>
      <c r="AE4" s="168" t="s">
        <v>35</v>
      </c>
      <c r="AF4" s="169"/>
    </row>
    <row r="5" s="84" customFormat="1" ht="12.75" spans="1:32">
      <c r="A5" s="97"/>
      <c r="B5" s="98"/>
      <c r="C5" s="99">
        <v>240925000034</v>
      </c>
      <c r="D5" s="100">
        <v>45564</v>
      </c>
      <c r="E5" s="100" t="s">
        <v>169</v>
      </c>
      <c r="F5" s="98" t="s">
        <v>170</v>
      </c>
      <c r="G5" s="98" t="s">
        <v>171</v>
      </c>
      <c r="H5" s="98">
        <v>0.8264</v>
      </c>
      <c r="I5" s="98">
        <v>605</v>
      </c>
      <c r="J5" s="120">
        <v>3329.79</v>
      </c>
      <c r="K5" s="121"/>
      <c r="L5" s="122"/>
      <c r="M5" s="123"/>
      <c r="N5" s="122"/>
      <c r="O5" s="98"/>
      <c r="P5" s="124">
        <v>3329.79</v>
      </c>
      <c r="Q5" s="155"/>
      <c r="R5" s="155"/>
      <c r="S5" s="156">
        <v>497.225435294118</v>
      </c>
      <c r="T5" s="156"/>
      <c r="U5" s="156">
        <v>12.1529411764706</v>
      </c>
      <c r="V5" s="156"/>
      <c r="W5" s="156"/>
      <c r="X5" s="156">
        <v>509.378376470588</v>
      </c>
      <c r="Y5" s="170">
        <v>126.162599058824</v>
      </c>
      <c r="Z5" s="170">
        <v>194.84</v>
      </c>
      <c r="AA5" s="170">
        <v>1.38883811764706</v>
      </c>
      <c r="AB5" s="170">
        <v>322.391437176471</v>
      </c>
      <c r="AC5" s="121">
        <v>7.27</v>
      </c>
      <c r="AD5" s="156">
        <v>2343.78574827294</v>
      </c>
      <c r="AE5" s="156">
        <v>2853.16412474353</v>
      </c>
      <c r="AF5" s="156">
        <v>476.62587525647</v>
      </c>
    </row>
    <row r="6" s="84" customFormat="1" ht="12.75" spans="1:32">
      <c r="A6" s="97"/>
      <c r="B6" s="98"/>
      <c r="C6" s="99">
        <v>241011000052</v>
      </c>
      <c r="D6" s="100">
        <v>45587</v>
      </c>
      <c r="E6" s="100" t="s">
        <v>169</v>
      </c>
      <c r="F6" s="98" t="s">
        <v>172</v>
      </c>
      <c r="G6" s="98" t="s">
        <v>173</v>
      </c>
      <c r="H6" s="98">
        <v>1.5798</v>
      </c>
      <c r="I6" s="98">
        <v>199</v>
      </c>
      <c r="J6" s="124"/>
      <c r="K6" s="125">
        <v>795789</v>
      </c>
      <c r="L6" s="122"/>
      <c r="M6" s="123">
        <v>1736.999607107</v>
      </c>
      <c r="N6" s="126">
        <v>458.14</v>
      </c>
      <c r="O6" s="98">
        <v>7.28</v>
      </c>
      <c r="P6" s="124">
        <v>3335.2592</v>
      </c>
      <c r="Q6" s="155"/>
      <c r="R6" s="155"/>
      <c r="S6" s="156">
        <v>1084.25391176471</v>
      </c>
      <c r="T6" s="156"/>
      <c r="U6" s="156">
        <v>30.2020588235294</v>
      </c>
      <c r="V6" s="156"/>
      <c r="W6" s="156"/>
      <c r="X6" s="156">
        <v>1114.45597058824</v>
      </c>
      <c r="Y6" s="170">
        <v>244.494726794118</v>
      </c>
      <c r="Z6" s="170"/>
      <c r="AA6" s="170"/>
      <c r="AB6" s="170">
        <v>244.494726794118</v>
      </c>
      <c r="AC6" s="121">
        <v>7.28</v>
      </c>
      <c r="AD6" s="156">
        <v>1779.92161106118</v>
      </c>
      <c r="AE6" s="156">
        <v>2894.37758164941</v>
      </c>
      <c r="AF6" s="156">
        <v>440.88161835059</v>
      </c>
    </row>
    <row r="7" s="84" customFormat="1" ht="12.75" spans="1:32">
      <c r="A7" s="97"/>
      <c r="B7" s="98"/>
      <c r="C7" s="99">
        <v>241016000054</v>
      </c>
      <c r="D7" s="100">
        <v>45593</v>
      </c>
      <c r="E7" s="100" t="s">
        <v>169</v>
      </c>
      <c r="F7" s="98" t="s">
        <v>170</v>
      </c>
      <c r="G7" s="98" t="s">
        <v>171</v>
      </c>
      <c r="H7" s="98">
        <v>1.8336</v>
      </c>
      <c r="I7" s="98">
        <v>260</v>
      </c>
      <c r="J7" s="124"/>
      <c r="K7" s="121"/>
      <c r="L7" s="122"/>
      <c r="M7" s="123">
        <v>0</v>
      </c>
      <c r="N7" s="122">
        <v>550.08</v>
      </c>
      <c r="O7" s="98">
        <v>7.11</v>
      </c>
      <c r="P7" s="124">
        <v>3911.0688</v>
      </c>
      <c r="Q7" s="155"/>
      <c r="R7" s="155"/>
      <c r="S7" s="156">
        <v>1283.14249411765</v>
      </c>
      <c r="T7" s="156"/>
      <c r="U7" s="156">
        <v>51.2329411764706</v>
      </c>
      <c r="V7" s="156"/>
      <c r="W7" s="156"/>
      <c r="X7" s="156">
        <v>1334.37543529412</v>
      </c>
      <c r="Y7" s="170">
        <v>300.222338823529</v>
      </c>
      <c r="Z7" s="170"/>
      <c r="AA7" s="170"/>
      <c r="AB7" s="170">
        <v>300.222338823529</v>
      </c>
      <c r="AC7" s="121">
        <v>7.3</v>
      </c>
      <c r="AD7" s="156">
        <v>2191.62307341176</v>
      </c>
      <c r="AE7" s="156">
        <v>3525.99850870588</v>
      </c>
      <c r="AF7" s="156">
        <v>385.07029129412</v>
      </c>
    </row>
    <row r="8" customFormat="1" spans="1:32">
      <c r="A8" s="82" t="s">
        <v>104</v>
      </c>
      <c r="B8" s="101"/>
      <c r="C8" s="101"/>
      <c r="D8" s="101"/>
      <c r="E8" s="101"/>
      <c r="F8" s="101"/>
      <c r="G8" s="101"/>
      <c r="H8" s="101">
        <f>SUM(H5:H7)</f>
        <v>4.2398</v>
      </c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57"/>
      <c r="T8" s="101"/>
      <c r="U8" s="101"/>
      <c r="V8" s="158"/>
      <c r="W8" s="159"/>
      <c r="X8" s="159"/>
      <c r="Y8" s="159"/>
      <c r="Z8" s="159"/>
      <c r="AA8" s="171"/>
      <c r="AB8" s="172"/>
      <c r="AC8" s="172"/>
      <c r="AD8" s="172"/>
      <c r="AE8" s="172"/>
      <c r="AF8" s="172">
        <f>SUM(AF5:AF7)</f>
        <v>1302.57778490118</v>
      </c>
    </row>
    <row r="9" s="85" customFormat="1" ht="26" customHeight="1" spans="1:25">
      <c r="A9" s="102"/>
      <c r="B9" s="103"/>
      <c r="D9" s="104"/>
      <c r="E9" s="104"/>
      <c r="Y9" s="173"/>
    </row>
    <row r="10" s="1" customFormat="1" ht="23" customHeight="1" spans="3:16">
      <c r="C10" s="70" t="s">
        <v>66</v>
      </c>
      <c r="D10" s="70"/>
      <c r="E10" s="70"/>
      <c r="F10" s="105" t="s">
        <v>67</v>
      </c>
      <c r="G10" s="106"/>
      <c r="H10" s="106"/>
      <c r="I10" s="127"/>
      <c r="J10"/>
      <c r="K10" s="128" t="s">
        <v>174</v>
      </c>
      <c r="L10" s="129"/>
      <c r="M10" s="130"/>
      <c r="N10" s="85"/>
      <c r="O10"/>
      <c r="P10"/>
    </row>
    <row r="11" s="1" customFormat="1" ht="23" customHeight="1" spans="3:16">
      <c r="C11" s="70"/>
      <c r="D11" s="70"/>
      <c r="E11" s="70"/>
      <c r="F11" s="107"/>
      <c r="G11" s="108"/>
      <c r="H11" s="108"/>
      <c r="I11" s="131"/>
      <c r="J11"/>
      <c r="K11" s="132" t="s">
        <v>69</v>
      </c>
      <c r="L11" s="132" t="s">
        <v>8</v>
      </c>
      <c r="M11" s="132" t="s">
        <v>70</v>
      </c>
      <c r="N11" s="85"/>
      <c r="O11"/>
      <c r="P11"/>
    </row>
    <row r="12" s="1" customFormat="1" ht="23" customHeight="1" spans="3:16">
      <c r="C12" s="70" t="s">
        <v>71</v>
      </c>
      <c r="D12" s="70"/>
      <c r="E12" s="70"/>
      <c r="F12" s="76" t="s">
        <v>72</v>
      </c>
      <c r="G12" s="77"/>
      <c r="H12" s="77"/>
      <c r="I12" s="78"/>
      <c r="J12"/>
      <c r="K12" s="132" t="s">
        <v>73</v>
      </c>
      <c r="L12" s="133">
        <f>SUM(H8)</f>
        <v>4.2398</v>
      </c>
      <c r="M12" s="134">
        <f>SUM(AF8)</f>
        <v>1302.57778490118</v>
      </c>
      <c r="N12" s="85"/>
      <c r="O12"/>
      <c r="P12"/>
    </row>
    <row r="13" s="1" customFormat="1" ht="23" customHeight="1" spans="3:16">
      <c r="C13" s="70"/>
      <c r="D13" s="70"/>
      <c r="E13" s="70"/>
      <c r="F13" s="79"/>
      <c r="G13" s="80"/>
      <c r="H13" s="80"/>
      <c r="I13" s="81"/>
      <c r="J13"/>
      <c r="K13" s="135" t="s">
        <v>74</v>
      </c>
      <c r="L13" s="135"/>
      <c r="M13" s="136"/>
      <c r="N13"/>
      <c r="O13"/>
      <c r="P13"/>
    </row>
    <row r="14" s="1" customFormat="1" ht="23" customHeight="1" spans="3:16">
      <c r="C14" s="70" t="s">
        <v>75</v>
      </c>
      <c r="D14" s="70"/>
      <c r="E14" s="70"/>
      <c r="F14" s="76" t="s">
        <v>76</v>
      </c>
      <c r="G14" s="77"/>
      <c r="H14" s="77"/>
      <c r="I14" s="78"/>
      <c r="J14"/>
      <c r="K14" s="137" t="s">
        <v>77</v>
      </c>
      <c r="L14" s="137"/>
      <c r="M14" s="138"/>
      <c r="N14"/>
      <c r="O14"/>
      <c r="P14"/>
    </row>
    <row r="15" s="1" customFormat="1" ht="23" customHeight="1" spans="3:16">
      <c r="C15" s="70"/>
      <c r="D15" s="70"/>
      <c r="E15" s="70"/>
      <c r="F15" s="79"/>
      <c r="G15" s="80"/>
      <c r="H15" s="80"/>
      <c r="I15" s="81"/>
      <c r="J15"/>
      <c r="K15" s="132" t="s">
        <v>78</v>
      </c>
      <c r="L15" s="132"/>
      <c r="M15" s="132"/>
      <c r="N15"/>
      <c r="O15"/>
      <c r="P15"/>
    </row>
    <row r="16" s="1" customFormat="1" ht="23" customHeight="1" spans="5:16">
      <c r="E16"/>
      <c r="F16"/>
      <c r="G16"/>
      <c r="H16"/>
      <c r="I16"/>
      <c r="J16"/>
      <c r="K16" s="135" t="s">
        <v>79</v>
      </c>
      <c r="L16" s="135"/>
      <c r="M16" s="136"/>
      <c r="N16"/>
      <c r="O16"/>
      <c r="P16"/>
    </row>
    <row r="17" s="1" customFormat="1" ht="23" customHeight="1" spans="5:16">
      <c r="E17"/>
      <c r="F17"/>
      <c r="G17"/>
      <c r="H17"/>
      <c r="I17"/>
      <c r="J17"/>
      <c r="K17"/>
      <c r="L17"/>
      <c r="M17"/>
      <c r="N17"/>
      <c r="O17"/>
      <c r="P17"/>
    </row>
    <row r="18" s="1" customFormat="1" ht="23" customHeight="1" spans="5:14">
      <c r="E18"/>
      <c r="F18"/>
      <c r="G18"/>
      <c r="H18"/>
      <c r="I18"/>
      <c r="J18"/>
      <c r="K18" s="139"/>
      <c r="L18" s="139"/>
      <c r="M18" s="139"/>
      <c r="N18" s="139"/>
    </row>
    <row r="19" s="1" customFormat="1" ht="23" customHeight="1" spans="5:13">
      <c r="E19"/>
      <c r="F19"/>
      <c r="G19"/>
      <c r="H19"/>
      <c r="I19"/>
      <c r="J19"/>
      <c r="K19"/>
      <c r="L19"/>
      <c r="M19"/>
    </row>
    <row r="20" s="1" customFormat="1" ht="23" customHeight="1" spans="5:19">
      <c r="E20"/>
      <c r="F20"/>
      <c r="G20"/>
      <c r="H20"/>
      <c r="I20"/>
      <c r="J20"/>
      <c r="K20"/>
      <c r="L20"/>
      <c r="M20"/>
      <c r="O20"/>
      <c r="P20"/>
      <c r="Q20"/>
      <c r="R20"/>
      <c r="S20" s="35"/>
    </row>
    <row r="21" s="1" customFormat="1" ht="23" customHeight="1" spans="5:19">
      <c r="E21"/>
      <c r="F21"/>
      <c r="G21"/>
      <c r="H21"/>
      <c r="I21"/>
      <c r="J21"/>
      <c r="K21"/>
      <c r="L21"/>
      <c r="N21"/>
      <c r="O21"/>
      <c r="P21"/>
      <c r="Q21"/>
      <c r="S21" s="35"/>
    </row>
    <row r="22" ht="22" customHeight="1"/>
    <row r="23" ht="22" customHeight="1"/>
  </sheetData>
  <mergeCells count="23">
    <mergeCell ref="J3:P3"/>
    <mergeCell ref="R3:V3"/>
    <mergeCell ref="Y3:AD3"/>
    <mergeCell ref="K10:M10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Q3:Q4"/>
    <mergeCell ref="W3:W4"/>
    <mergeCell ref="X3:X4"/>
    <mergeCell ref="AF3:AF4"/>
    <mergeCell ref="C10:E11"/>
    <mergeCell ref="F10:I11"/>
    <mergeCell ref="C12:E13"/>
    <mergeCell ref="F12:I13"/>
    <mergeCell ref="C14:E15"/>
    <mergeCell ref="F14:I15"/>
  </mergeCells>
  <pageMargins left="0.75" right="0.75" top="1" bottom="1" header="0.5" footer="0.5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workbookViewId="0">
      <selection activeCell="N12" sqref="N12"/>
    </sheetView>
  </sheetViews>
  <sheetFormatPr defaultColWidth="11" defaultRowHeight="33" customHeight="1"/>
  <cols>
    <col min="1" max="1" width="16.25" style="9" customWidth="1"/>
    <col min="2" max="2" width="12.5" style="4" customWidth="1"/>
    <col min="3" max="3" width="8.875" style="4" customWidth="1"/>
    <col min="4" max="4" width="10.25" style="10" customWidth="1"/>
    <col min="5" max="5" width="11.375" style="10" customWidth="1"/>
    <col min="6" max="6" width="11.875" style="11" customWidth="1"/>
    <col min="7" max="7" width="6.375" style="12" customWidth="1"/>
    <col min="8" max="8" width="14.625" style="4" customWidth="1"/>
    <col min="9" max="10" width="11" style="4" customWidth="1"/>
    <col min="11" max="11" width="6.375" style="4" customWidth="1"/>
    <col min="12" max="12" width="11" style="4" customWidth="1"/>
    <col min="13" max="13" width="13.25" style="4" customWidth="1"/>
    <col min="14" max="14" width="30.5" style="4" customWidth="1"/>
    <col min="15" max="15" width="8" style="4" customWidth="1"/>
    <col min="16" max="16361" width="11" style="4" customWidth="1"/>
    <col min="16362" max="16384" width="11" style="4"/>
  </cols>
  <sheetData>
    <row r="1" s="1" customFormat="1" customHeight="1" spans="1:14">
      <c r="A1" s="13" t="s">
        <v>175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6" customHeight="1" spans="1:7">
      <c r="A2" s="14"/>
      <c r="B2" s="14"/>
      <c r="C2" s="14"/>
      <c r="D2" s="14"/>
      <c r="E2" s="14"/>
      <c r="F2" s="14"/>
      <c r="G2" s="14"/>
    </row>
    <row r="3" s="1" customFormat="1" ht="40" customHeight="1" spans="1:20">
      <c r="A3" s="15" t="s">
        <v>176</v>
      </c>
      <c r="B3" s="16" t="s">
        <v>177</v>
      </c>
      <c r="C3" s="17" t="s">
        <v>178</v>
      </c>
      <c r="D3" s="18" t="s">
        <v>179</v>
      </c>
      <c r="E3" s="18"/>
      <c r="F3" s="18"/>
      <c r="G3" s="18"/>
      <c r="H3" s="18"/>
      <c r="I3" s="40" t="s">
        <v>180</v>
      </c>
      <c r="J3" s="41"/>
      <c r="K3" s="42"/>
      <c r="L3" s="43"/>
      <c r="M3" s="44" t="s">
        <v>181</v>
      </c>
      <c r="N3" s="16" t="s">
        <v>87</v>
      </c>
      <c r="P3" s="70" t="s">
        <v>66</v>
      </c>
      <c r="Q3" s="70"/>
      <c r="R3" s="75" t="s">
        <v>67</v>
      </c>
      <c r="S3" s="75"/>
      <c r="T3" s="75"/>
    </row>
    <row r="4" s="2" customFormat="1" ht="55" customHeight="1" spans="1:20">
      <c r="A4" s="19"/>
      <c r="B4" s="16"/>
      <c r="C4" s="20"/>
      <c r="D4" s="21" t="s">
        <v>74</v>
      </c>
      <c r="E4" s="22" t="s">
        <v>77</v>
      </c>
      <c r="F4" s="22" t="s">
        <v>77</v>
      </c>
      <c r="G4" s="23" t="s">
        <v>182</v>
      </c>
      <c r="H4" s="24" t="s">
        <v>79</v>
      </c>
      <c r="I4" s="45" t="s">
        <v>74</v>
      </c>
      <c r="J4" s="46" t="s">
        <v>77</v>
      </c>
      <c r="K4" s="47" t="s">
        <v>183</v>
      </c>
      <c r="L4" s="48" t="s">
        <v>79</v>
      </c>
      <c r="M4" s="49"/>
      <c r="N4" s="16"/>
      <c r="P4" s="70"/>
      <c r="Q4" s="70"/>
      <c r="R4" s="75"/>
      <c r="S4" s="75"/>
      <c r="T4" s="75"/>
    </row>
    <row r="5" s="3" customFormat="1" ht="26" customHeight="1" spans="1:20">
      <c r="A5" s="16" t="s">
        <v>184</v>
      </c>
      <c r="B5" s="25">
        <f>SUM(黄颖!M51)</f>
        <v>31016.3512197253</v>
      </c>
      <c r="C5" s="26">
        <f>SUM(黄颖!L51)</f>
        <v>101.7925</v>
      </c>
      <c r="D5" s="68">
        <v>6000</v>
      </c>
      <c r="E5" s="28">
        <f>SUM(B5-D5)</f>
        <v>25016.3512197253</v>
      </c>
      <c r="F5" s="28"/>
      <c r="G5" s="29">
        <v>0.4</v>
      </c>
      <c r="H5" s="28">
        <f>SUM(E5*G5)</f>
        <v>10006.5404878901</v>
      </c>
      <c r="I5" s="50"/>
      <c r="J5" s="50"/>
      <c r="K5" s="51"/>
      <c r="L5" s="52"/>
      <c r="M5" s="53">
        <f>SUM(H5+L5)</f>
        <v>10006.5404878901</v>
      </c>
      <c r="N5" s="54"/>
      <c r="P5" s="70" t="s">
        <v>71</v>
      </c>
      <c r="Q5" s="70"/>
      <c r="R5" s="76" t="s">
        <v>72</v>
      </c>
      <c r="S5" s="77"/>
      <c r="T5" s="78"/>
    </row>
    <row r="6" s="5" customFormat="1" spans="1:20">
      <c r="A6" s="31" t="s">
        <v>185</v>
      </c>
      <c r="B6" s="32">
        <f>SUM(三凤!M14)</f>
        <v>4102.10554336823</v>
      </c>
      <c r="C6" s="33">
        <f>SUM(三凤!L14)</f>
        <v>6.6813</v>
      </c>
      <c r="D6" s="34">
        <v>3000</v>
      </c>
      <c r="E6" s="28">
        <f>SUM(B6-D6)</f>
        <v>1102.10554336823</v>
      </c>
      <c r="F6" s="28"/>
      <c r="G6" s="29">
        <v>0.15</v>
      </c>
      <c r="H6" s="28">
        <f>SUM(E6*G6)</f>
        <v>165.315831505235</v>
      </c>
      <c r="I6" s="58"/>
      <c r="J6" s="58"/>
      <c r="K6" s="51"/>
      <c r="L6" s="51"/>
      <c r="M6" s="53">
        <f>SUM(H6+L6)</f>
        <v>165.315831505235</v>
      </c>
      <c r="N6" s="59" t="s">
        <v>186</v>
      </c>
      <c r="P6" s="70"/>
      <c r="Q6" s="70"/>
      <c r="R6" s="79"/>
      <c r="S6" s="80"/>
      <c r="T6" s="81"/>
    </row>
    <row r="7" s="3" customFormat="1" spans="1:20">
      <c r="A7" s="16" t="s">
        <v>89</v>
      </c>
      <c r="B7" s="25">
        <f>SUM(朱小飞!M38)</f>
        <v>33478.1388809946</v>
      </c>
      <c r="C7" s="26">
        <f>SUM(朱小飞!L38)</f>
        <v>65.4338</v>
      </c>
      <c r="D7" s="28">
        <v>3000</v>
      </c>
      <c r="E7" s="28">
        <f>SUM(B7-D7)</f>
        <v>30478.1388809946</v>
      </c>
      <c r="F7" s="28"/>
      <c r="G7" s="29">
        <v>0.15</v>
      </c>
      <c r="H7" s="28">
        <f>SUM(E7*G7)</f>
        <v>4571.72083214919</v>
      </c>
      <c r="I7" s="50"/>
      <c r="J7" s="58"/>
      <c r="K7" s="58"/>
      <c r="L7" s="50"/>
      <c r="M7" s="53">
        <f>SUM(H7+L7)</f>
        <v>4571.72083214919</v>
      </c>
      <c r="N7" s="59" t="s">
        <v>187</v>
      </c>
      <c r="P7" s="70" t="s">
        <v>75</v>
      </c>
      <c r="Q7" s="70"/>
      <c r="R7" s="76" t="s">
        <v>76</v>
      </c>
      <c r="S7" s="77"/>
      <c r="T7" s="78"/>
    </row>
    <row r="8" s="6" customFormat="1" ht="26" customHeight="1" spans="1:20">
      <c r="A8" s="16" t="s">
        <v>109</v>
      </c>
      <c r="B8" s="25">
        <f>SUM(吕沛霖!M26)</f>
        <v>15991.4254637862</v>
      </c>
      <c r="C8" s="26">
        <f>SUM(吕沛霖!L26)</f>
        <v>28.7776</v>
      </c>
      <c r="D8" s="28">
        <v>6000</v>
      </c>
      <c r="E8" s="28">
        <f>SUM(B8-D8)</f>
        <v>9991.4254637862</v>
      </c>
      <c r="F8" s="28"/>
      <c r="G8" s="29">
        <v>0.4</v>
      </c>
      <c r="H8" s="28">
        <f>SUM(E8*G8)</f>
        <v>3996.57018551448</v>
      </c>
      <c r="I8" s="58"/>
      <c r="J8" s="58"/>
      <c r="K8" s="58"/>
      <c r="L8" s="58"/>
      <c r="M8" s="53">
        <f>SUM(H8+L8)</f>
        <v>3996.57018551448</v>
      </c>
      <c r="N8" s="60"/>
      <c r="P8" s="70"/>
      <c r="Q8" s="70"/>
      <c r="R8" s="79"/>
      <c r="S8" s="80"/>
      <c r="T8" s="81"/>
    </row>
    <row r="9" s="6" customFormat="1" ht="26" customHeight="1" spans="1:14">
      <c r="A9" s="16" t="s">
        <v>136</v>
      </c>
      <c r="B9" s="25">
        <f>SUM(陆总!M31)</f>
        <v>27163.0756847008</v>
      </c>
      <c r="C9" s="26">
        <f>SUM(陆总!L31)</f>
        <v>132.8056</v>
      </c>
      <c r="D9" s="28"/>
      <c r="E9" s="28"/>
      <c r="F9" s="28"/>
      <c r="G9" s="29">
        <v>0.4</v>
      </c>
      <c r="H9" s="28">
        <f>SUM(B9*G9)</f>
        <v>10865.2302738803</v>
      </c>
      <c r="I9" s="50"/>
      <c r="J9" s="58"/>
      <c r="K9" s="58"/>
      <c r="L9" s="58"/>
      <c r="M9" s="53">
        <f>SUM(H9+L9)</f>
        <v>10865.2302738803</v>
      </c>
      <c r="N9" s="60"/>
    </row>
    <row r="10" s="6" customFormat="1" ht="26" customHeight="1" spans="1:21">
      <c r="A10" s="16" t="s">
        <v>131</v>
      </c>
      <c r="B10" s="25">
        <f>SUM(苏慧琪!M12)</f>
        <v>355.793194260736</v>
      </c>
      <c r="C10" s="26">
        <f>SUM(苏慧琪!L12)</f>
        <v>0.2491</v>
      </c>
      <c r="D10" s="28"/>
      <c r="E10" s="28"/>
      <c r="F10" s="28"/>
      <c r="G10" s="29"/>
      <c r="H10" s="28"/>
      <c r="I10" s="58"/>
      <c r="J10" s="58"/>
      <c r="K10" s="58"/>
      <c r="L10" s="58"/>
      <c r="M10" s="53"/>
      <c r="N10" s="60"/>
      <c r="P10" s="3"/>
      <c r="Q10" s="3"/>
      <c r="R10" s="3"/>
      <c r="S10" s="3"/>
      <c r="T10" s="3"/>
      <c r="U10" s="3"/>
    </row>
    <row r="11" s="6" customFormat="1" ht="26" customHeight="1" spans="1:21">
      <c r="A11" s="16" t="s">
        <v>125</v>
      </c>
      <c r="B11" s="25">
        <f>SUM(罗珮文!M34)</f>
        <v>-34607.5448635591</v>
      </c>
      <c r="C11" s="26">
        <f>SUM(罗珮文!L34)</f>
        <v>176.7287</v>
      </c>
      <c r="D11" s="28"/>
      <c r="E11" s="28"/>
      <c r="F11" s="28"/>
      <c r="G11" s="29"/>
      <c r="H11" s="28"/>
      <c r="I11" s="58"/>
      <c r="J11" s="58"/>
      <c r="K11" s="58"/>
      <c r="L11" s="58"/>
      <c r="M11" s="53"/>
      <c r="N11" s="60"/>
      <c r="P11" s="3"/>
      <c r="Q11" s="3"/>
      <c r="R11" s="3"/>
      <c r="S11" s="3"/>
      <c r="T11" s="3"/>
      <c r="U11" s="3"/>
    </row>
    <row r="12" s="3" customFormat="1" ht="26" customHeight="1" spans="1:18">
      <c r="A12" s="16" t="s">
        <v>188</v>
      </c>
      <c r="B12" s="25">
        <f>SUM(浦生!M34)</f>
        <v>49427.9939609211</v>
      </c>
      <c r="C12" s="26">
        <f>SUM(浦生!L34)</f>
        <v>283.4768</v>
      </c>
      <c r="D12" s="28">
        <v>6000</v>
      </c>
      <c r="E12" s="28">
        <f>SUM(B12-D12)</f>
        <v>43427.9939609211</v>
      </c>
      <c r="F12" s="28">
        <v>35000</v>
      </c>
      <c r="G12" s="29">
        <v>0.4</v>
      </c>
      <c r="H12" s="28">
        <f>SUM(F12*G12)</f>
        <v>14000</v>
      </c>
      <c r="I12" s="50">
        <v>35000</v>
      </c>
      <c r="J12" s="50">
        <f>SUM(E12-I12)</f>
        <v>8427.9939609211</v>
      </c>
      <c r="K12" s="51">
        <v>0.5</v>
      </c>
      <c r="L12" s="52">
        <f>SUM(J12*K12)</f>
        <v>4213.99698046055</v>
      </c>
      <c r="M12" s="53">
        <f>SUM(H12+L12)</f>
        <v>18213.9969804605</v>
      </c>
      <c r="N12" s="71"/>
      <c r="P12" s="72" t="s">
        <v>189</v>
      </c>
      <c r="Q12" s="82"/>
      <c r="R12" s="82"/>
    </row>
    <row r="13" s="3" customFormat="1" ht="26" customHeight="1" spans="1:18">
      <c r="A13" s="16" t="s">
        <v>169</v>
      </c>
      <c r="B13" s="25">
        <f>SUM(无人!M12)</f>
        <v>1302.57778490118</v>
      </c>
      <c r="C13" s="26">
        <f>SUM(无人!L12)</f>
        <v>4.2398</v>
      </c>
      <c r="D13" s="28"/>
      <c r="E13" s="28"/>
      <c r="F13" s="28"/>
      <c r="G13" s="29"/>
      <c r="H13" s="29"/>
      <c r="I13" s="58"/>
      <c r="J13" s="58"/>
      <c r="K13" s="73"/>
      <c r="L13" s="58"/>
      <c r="M13" s="53"/>
      <c r="N13" s="71"/>
      <c r="P13" s="72" t="s">
        <v>190</v>
      </c>
      <c r="Q13" s="82"/>
      <c r="R13" s="82"/>
    </row>
    <row r="14" s="2" customFormat="1" ht="36" customHeight="1" spans="1:14">
      <c r="A14" s="16" t="s">
        <v>104</v>
      </c>
      <c r="B14" s="25">
        <f>SUM(B5:B13)</f>
        <v>128229.916869099</v>
      </c>
      <c r="C14" s="26">
        <f>SUM(C5:C13)</f>
        <v>800.1852</v>
      </c>
      <c r="D14" s="28"/>
      <c r="E14" s="28"/>
      <c r="F14" s="28"/>
      <c r="G14" s="29"/>
      <c r="H14" s="29"/>
      <c r="I14" s="58"/>
      <c r="J14" s="58"/>
      <c r="K14" s="61"/>
      <c r="L14" s="46"/>
      <c r="M14" s="62">
        <f>SUM(M5:M13)</f>
        <v>47819.3745913999</v>
      </c>
      <c r="N14" s="63"/>
    </row>
    <row r="15" s="1" customFormat="1" ht="9" customHeight="1" spans="1:13">
      <c r="A15" s="9"/>
      <c r="G15" s="35"/>
      <c r="H15" s="35"/>
      <c r="I15" s="35"/>
      <c r="J15" s="35"/>
      <c r="K15" s="64"/>
      <c r="L15" s="11"/>
      <c r="M15" s="65"/>
    </row>
    <row r="16" s="67" customFormat="1" ht="41" customHeight="1" spans="1:13">
      <c r="A16" s="67" t="s">
        <v>191</v>
      </c>
      <c r="G16" s="69"/>
      <c r="H16" s="69"/>
      <c r="I16" s="69"/>
      <c r="J16" s="69" t="s">
        <v>190</v>
      </c>
      <c r="K16" s="69"/>
      <c r="M16" s="74"/>
    </row>
    <row r="17" s="8" customFormat="1" ht="41" customHeight="1" spans="1:13">
      <c r="A17" s="37"/>
      <c r="G17" s="38"/>
      <c r="H17" s="38"/>
      <c r="I17" s="38"/>
      <c r="J17" s="38"/>
      <c r="K17" s="38"/>
      <c r="M17" s="39"/>
    </row>
    <row r="18" s="4" customFormat="1" ht="57" customHeight="1" spans="1:13">
      <c r="A18" s="9"/>
      <c r="G18" s="30"/>
      <c r="H18" s="30"/>
      <c r="I18" s="30"/>
      <c r="J18" s="30"/>
      <c r="K18" s="55"/>
      <c r="L18" s="11"/>
      <c r="M18" s="12"/>
    </row>
    <row r="19" customHeight="1" spans="4:5">
      <c r="D19" s="8"/>
      <c r="E19" s="39"/>
    </row>
    <row r="20" customHeight="1" spans="4:5">
      <c r="D20" s="8"/>
      <c r="E20" s="39"/>
    </row>
    <row r="21" customHeight="1" spans="4:5">
      <c r="D21" s="8"/>
      <c r="E21" s="39"/>
    </row>
    <row r="22" customHeight="1" spans="4:5">
      <c r="D22" s="8"/>
      <c r="E22" s="39"/>
    </row>
    <row r="23" customHeight="1" spans="4:5">
      <c r="D23" s="8"/>
      <c r="E23" s="39"/>
    </row>
    <row r="24" customHeight="1" spans="4:5">
      <c r="D24" s="8"/>
      <c r="E24" s="39"/>
    </row>
    <row r="25" customHeight="1" spans="4:5">
      <c r="D25" s="8"/>
      <c r="E25" s="39"/>
    </row>
    <row r="26" customHeight="1" spans="4:5">
      <c r="D26" s="8"/>
      <c r="E26" s="39"/>
    </row>
  </sheetData>
  <mergeCells count="16">
    <mergeCell ref="A1:N1"/>
    <mergeCell ref="D3:H3"/>
    <mergeCell ref="I3:L3"/>
    <mergeCell ref="Q12:R12"/>
    <mergeCell ref="Q13:R13"/>
    <mergeCell ref="A3:A4"/>
    <mergeCell ref="B3:B4"/>
    <mergeCell ref="C3:C4"/>
    <mergeCell ref="M3:M4"/>
    <mergeCell ref="N3:N4"/>
    <mergeCell ref="P3:Q4"/>
    <mergeCell ref="R3:T4"/>
    <mergeCell ref="P5:Q6"/>
    <mergeCell ref="R5:T6"/>
    <mergeCell ref="P7:Q8"/>
    <mergeCell ref="R7:T8"/>
  </mergeCells>
  <pageMargins left="0.275" right="0.156944444444444" top="1.29861111111111" bottom="1" header="0.5" footer="0.5"/>
  <pageSetup paperSize="9" scale="95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tabSelected="1" workbookViewId="0">
      <selection activeCell="F7" sqref="F7"/>
    </sheetView>
  </sheetViews>
  <sheetFormatPr defaultColWidth="11" defaultRowHeight="33" customHeight="1"/>
  <cols>
    <col min="1" max="1" width="16.25" style="9" customWidth="1"/>
    <col min="2" max="2" width="12.5" style="4" customWidth="1"/>
    <col min="3" max="3" width="9.35" style="4" customWidth="1"/>
    <col min="4" max="4" width="10.25" style="10" customWidth="1"/>
    <col min="5" max="5" width="11.375" style="10" customWidth="1"/>
    <col min="6" max="6" width="11.875" style="11" customWidth="1"/>
    <col min="7" max="7" width="9.23333333333333" style="12" customWidth="1"/>
    <col min="8" max="8" width="14.625" style="4" customWidth="1"/>
    <col min="9" max="10" width="11" style="4" customWidth="1"/>
    <col min="11" max="11" width="9.70833333333333" style="4" customWidth="1"/>
    <col min="12" max="12" width="11" style="4" customWidth="1"/>
    <col min="13" max="13" width="15.475" style="4" customWidth="1"/>
    <col min="14" max="14" width="33.0416666666667" style="4" customWidth="1"/>
    <col min="15" max="15" width="8" style="4" customWidth="1"/>
    <col min="16" max="16361" width="11" style="4" customWidth="1"/>
    <col min="16362" max="16384" width="11" style="4"/>
  </cols>
  <sheetData>
    <row r="1" s="1" customFormat="1" customHeight="1" spans="1:14">
      <c r="A1" s="13" t="s">
        <v>175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="1" customFormat="1" ht="6" customHeight="1" spans="1:7">
      <c r="A2" s="14"/>
      <c r="B2" s="14"/>
      <c r="C2" s="14"/>
      <c r="D2" s="14"/>
      <c r="E2" s="14"/>
      <c r="F2" s="14"/>
      <c r="G2" s="14"/>
    </row>
    <row r="3" s="1" customFormat="1" ht="40" customHeight="1" spans="1:14">
      <c r="A3" s="15" t="s">
        <v>176</v>
      </c>
      <c r="B3" s="16" t="s">
        <v>177</v>
      </c>
      <c r="C3" s="17" t="s">
        <v>178</v>
      </c>
      <c r="D3" s="18" t="s">
        <v>179</v>
      </c>
      <c r="E3" s="18"/>
      <c r="F3" s="18"/>
      <c r="G3" s="18"/>
      <c r="H3" s="18"/>
      <c r="I3" s="40" t="s">
        <v>180</v>
      </c>
      <c r="J3" s="41"/>
      <c r="K3" s="42"/>
      <c r="L3" s="43"/>
      <c r="M3" s="44" t="s">
        <v>181</v>
      </c>
      <c r="N3" s="16" t="s">
        <v>87</v>
      </c>
    </row>
    <row r="4" s="2" customFormat="1" ht="55" customHeight="1" spans="1:14">
      <c r="A4" s="19"/>
      <c r="B4" s="16"/>
      <c r="C4" s="20"/>
      <c r="D4" s="21" t="s">
        <v>74</v>
      </c>
      <c r="E4" s="22" t="s">
        <v>77</v>
      </c>
      <c r="F4" s="22" t="s">
        <v>77</v>
      </c>
      <c r="G4" s="23" t="s">
        <v>182</v>
      </c>
      <c r="H4" s="24" t="s">
        <v>79</v>
      </c>
      <c r="I4" s="45" t="s">
        <v>74</v>
      </c>
      <c r="J4" s="46" t="s">
        <v>77</v>
      </c>
      <c r="K4" s="47" t="s">
        <v>183</v>
      </c>
      <c r="L4" s="48" t="s">
        <v>79</v>
      </c>
      <c r="M4" s="49"/>
      <c r="N4" s="16"/>
    </row>
    <row r="5" s="3" customFormat="1" ht="39" customHeight="1" spans="1:14">
      <c r="A5" s="16" t="s">
        <v>184</v>
      </c>
      <c r="B5" s="25">
        <f>SUM(黄颖!M51)</f>
        <v>31016.3512197253</v>
      </c>
      <c r="C5" s="26">
        <f>SUM(黄颖!L51)</f>
        <v>101.7925</v>
      </c>
      <c r="D5" s="27">
        <v>6000</v>
      </c>
      <c r="E5" s="28">
        <f>SUM(B5-D5)</f>
        <v>25016.3512197253</v>
      </c>
      <c r="F5" s="28"/>
      <c r="G5" s="29">
        <v>0.4</v>
      </c>
      <c r="H5" s="28">
        <f>SUM(E5*G5)</f>
        <v>10006.5404878901</v>
      </c>
      <c r="I5" s="50"/>
      <c r="J5" s="50"/>
      <c r="K5" s="51"/>
      <c r="L5" s="52"/>
      <c r="M5" s="53">
        <f>SUM(H5+L5)</f>
        <v>10006.5404878901</v>
      </c>
      <c r="N5" s="54"/>
    </row>
    <row r="6" s="4" customFormat="1" ht="57" customHeight="1" spans="1:14">
      <c r="A6" s="9"/>
      <c r="B6" s="4"/>
      <c r="C6" s="30"/>
      <c r="D6" s="4"/>
      <c r="E6" s="4"/>
      <c r="F6" s="4"/>
      <c r="G6" s="30"/>
      <c r="H6" s="4"/>
      <c r="I6" s="4"/>
      <c r="J6" s="4"/>
      <c r="K6" s="55"/>
      <c r="L6" s="56" t="s">
        <v>189</v>
      </c>
      <c r="M6" s="57"/>
      <c r="N6" s="57"/>
    </row>
    <row r="7" s="5" customFormat="1" ht="48" customHeight="1" spans="1:14">
      <c r="A7" s="31" t="s">
        <v>185</v>
      </c>
      <c r="B7" s="32">
        <f>SUM(三凤!M14)</f>
        <v>4102.10554336823</v>
      </c>
      <c r="C7" s="33">
        <f>SUM(三凤!L14)</f>
        <v>6.6813</v>
      </c>
      <c r="D7" s="34">
        <v>3000</v>
      </c>
      <c r="E7" s="28">
        <f>SUM(B7-D7)</f>
        <v>1102.10554336823</v>
      </c>
      <c r="F7" s="28"/>
      <c r="G7" s="29">
        <v>0.15</v>
      </c>
      <c r="H7" s="28">
        <f>SUM(E7*G7)</f>
        <v>165.315831505235</v>
      </c>
      <c r="I7" s="58"/>
      <c r="J7" s="58"/>
      <c r="K7" s="51"/>
      <c r="L7" s="51"/>
      <c r="M7" s="53">
        <f>SUM(H7+L7)</f>
        <v>165.315831505235</v>
      </c>
      <c r="N7" s="59" t="s">
        <v>186</v>
      </c>
    </row>
    <row r="8" s="4" customFormat="1" ht="57" customHeight="1" spans="1:14">
      <c r="A8" s="9"/>
      <c r="B8" s="4"/>
      <c r="C8" s="30"/>
      <c r="D8" s="4"/>
      <c r="E8" s="4"/>
      <c r="F8" s="4"/>
      <c r="G8" s="30"/>
      <c r="H8" s="4"/>
      <c r="I8" s="4"/>
      <c r="J8" s="4"/>
      <c r="K8" s="55"/>
      <c r="L8" s="56" t="s">
        <v>189</v>
      </c>
      <c r="M8" s="57"/>
      <c r="N8" s="57"/>
    </row>
    <row r="9" s="3" customFormat="1" ht="48" customHeight="1" spans="1:14">
      <c r="A9" s="16" t="s">
        <v>89</v>
      </c>
      <c r="B9" s="25">
        <f>SUM(朱小飞!M38)</f>
        <v>33478.1388809946</v>
      </c>
      <c r="C9" s="26">
        <f>SUM(朱小飞!L38)</f>
        <v>65.4338</v>
      </c>
      <c r="D9" s="28">
        <v>3000</v>
      </c>
      <c r="E9" s="28">
        <f>SUM(B9-D9)</f>
        <v>30478.1388809946</v>
      </c>
      <c r="F9" s="28"/>
      <c r="G9" s="29">
        <v>0.15</v>
      </c>
      <c r="H9" s="28">
        <f>SUM(E9*G9)</f>
        <v>4571.72083214919</v>
      </c>
      <c r="I9" s="50"/>
      <c r="J9" s="58"/>
      <c r="K9" s="58"/>
      <c r="L9" s="50"/>
      <c r="M9" s="53">
        <f>SUM(H9+L9)</f>
        <v>4571.72083214919</v>
      </c>
      <c r="N9" s="59" t="s">
        <v>187</v>
      </c>
    </row>
    <row r="10" s="4" customFormat="1" ht="57" customHeight="1" spans="1:14">
      <c r="A10" s="9"/>
      <c r="B10" s="4"/>
      <c r="C10" s="30"/>
      <c r="D10" s="4"/>
      <c r="E10" s="4"/>
      <c r="F10" s="4"/>
      <c r="G10" s="30"/>
      <c r="H10" s="4"/>
      <c r="I10" s="4"/>
      <c r="J10" s="4"/>
      <c r="K10" s="55"/>
      <c r="L10" s="56" t="s">
        <v>189</v>
      </c>
      <c r="M10" s="57"/>
      <c r="N10" s="57"/>
    </row>
    <row r="11" s="6" customFormat="1" ht="26" customHeight="1" spans="1:14">
      <c r="A11" s="16" t="s">
        <v>109</v>
      </c>
      <c r="B11" s="25">
        <f>SUM(吕沛霖!M26)</f>
        <v>15991.4254637862</v>
      </c>
      <c r="C11" s="26">
        <f>SUM(吕沛霖!L26)</f>
        <v>28.7776</v>
      </c>
      <c r="D11" s="28">
        <v>6000</v>
      </c>
      <c r="E11" s="28">
        <f>SUM(B11-D11)</f>
        <v>9991.4254637862</v>
      </c>
      <c r="F11" s="28"/>
      <c r="G11" s="29">
        <v>0.4</v>
      </c>
      <c r="H11" s="28">
        <f>SUM(E11*G11)</f>
        <v>3996.57018551448</v>
      </c>
      <c r="I11" s="58"/>
      <c r="J11" s="58"/>
      <c r="K11" s="58"/>
      <c r="L11" s="58"/>
      <c r="M11" s="53">
        <f>SUM(H11+L11)</f>
        <v>3996.57018551448</v>
      </c>
      <c r="N11" s="60"/>
    </row>
    <row r="12" s="4" customFormat="1" ht="57" customHeight="1" spans="1:14">
      <c r="A12" s="9"/>
      <c r="B12" s="4"/>
      <c r="C12" s="30"/>
      <c r="D12" s="4"/>
      <c r="E12" s="4"/>
      <c r="F12" s="4"/>
      <c r="G12" s="30"/>
      <c r="H12" s="4"/>
      <c r="I12" s="4"/>
      <c r="J12" s="4"/>
      <c r="K12" s="55"/>
      <c r="L12" s="56" t="s">
        <v>189</v>
      </c>
      <c r="M12" s="57"/>
      <c r="N12" s="57"/>
    </row>
    <row r="13" s="2" customFormat="1" ht="36" customHeight="1" spans="1:18">
      <c r="A13" s="16" t="s">
        <v>104</v>
      </c>
      <c r="B13" s="25">
        <f>SUM(B5:B11)</f>
        <v>84588.0211078743</v>
      </c>
      <c r="C13" s="26">
        <f>SUM(C5:C11)</f>
        <v>202.6852</v>
      </c>
      <c r="D13" s="28"/>
      <c r="E13" s="28"/>
      <c r="F13" s="28"/>
      <c r="G13" s="29"/>
      <c r="H13" s="29"/>
      <c r="I13" s="58"/>
      <c r="J13" s="58"/>
      <c r="K13" s="61"/>
      <c r="L13" s="46"/>
      <c r="M13" s="62">
        <f>SUM(M5:M12)</f>
        <v>18740.147337059</v>
      </c>
      <c r="N13" s="63"/>
      <c r="P13" s="3"/>
      <c r="Q13" s="3"/>
      <c r="R13" s="3"/>
    </row>
    <row r="14" s="1" customFormat="1" ht="9" customHeight="1" spans="1:18">
      <c r="A14" s="9"/>
      <c r="G14" s="35"/>
      <c r="H14" s="35"/>
      <c r="I14" s="35"/>
      <c r="J14" s="35"/>
      <c r="K14" s="64"/>
      <c r="L14" s="11"/>
      <c r="M14" s="65"/>
      <c r="P14" s="3"/>
      <c r="Q14" s="3"/>
      <c r="R14" s="3"/>
    </row>
    <row r="15" s="7" customFormat="1" ht="41" customHeight="1" spans="1:13">
      <c r="A15" s="7" t="s">
        <v>191</v>
      </c>
      <c r="G15" s="36"/>
      <c r="H15" s="36"/>
      <c r="I15" s="36"/>
      <c r="J15" s="36" t="s">
        <v>190</v>
      </c>
      <c r="K15" s="36"/>
      <c r="M15" s="66"/>
    </row>
    <row r="16" s="8" customFormat="1" ht="41" customHeight="1" spans="1:13">
      <c r="A16" s="37"/>
      <c r="G16" s="38"/>
      <c r="H16" s="38"/>
      <c r="I16" s="38"/>
      <c r="J16" s="38"/>
      <c r="K16" s="38"/>
      <c r="M16" s="39"/>
    </row>
    <row r="17" s="4" customFormat="1" ht="57" customHeight="1" spans="1:13">
      <c r="A17" s="9"/>
      <c r="G17" s="30"/>
      <c r="H17" s="30"/>
      <c r="I17" s="30"/>
      <c r="J17" s="30"/>
      <c r="K17" s="55"/>
      <c r="L17" s="11"/>
      <c r="M17" s="12"/>
    </row>
    <row r="18" customHeight="1" spans="4:5">
      <c r="D18" s="8"/>
      <c r="E18" s="39"/>
    </row>
    <row r="19" customHeight="1" spans="4:5">
      <c r="D19" s="8"/>
      <c r="E19" s="39"/>
    </row>
    <row r="20" customHeight="1" spans="4:5">
      <c r="D20" s="8"/>
      <c r="E20" s="39"/>
    </row>
    <row r="21" customHeight="1" spans="4:5">
      <c r="D21" s="8"/>
      <c r="E21" s="39"/>
    </row>
    <row r="22" customHeight="1" spans="4:5">
      <c r="D22" s="8"/>
      <c r="E22" s="39"/>
    </row>
    <row r="23" customHeight="1" spans="4:5">
      <c r="D23" s="8"/>
      <c r="E23" s="39"/>
    </row>
    <row r="24" customHeight="1" spans="4:5">
      <c r="D24" s="8"/>
      <c r="E24" s="39"/>
    </row>
    <row r="25" customHeight="1" spans="4:5">
      <c r="D25" s="8"/>
      <c r="E25" s="39"/>
    </row>
  </sheetData>
  <mergeCells count="8">
    <mergeCell ref="A1:N1"/>
    <mergeCell ref="D3:H3"/>
    <mergeCell ref="I3:L3"/>
    <mergeCell ref="A3:A4"/>
    <mergeCell ref="B3:B4"/>
    <mergeCell ref="C3:C4"/>
    <mergeCell ref="M3:M4"/>
    <mergeCell ref="N3:N4"/>
  </mergeCells>
  <pageMargins left="0.590277777777778" right="0.156944444444444" top="0.984027777777778" bottom="0.393055555555556" header="0.5" footer="0.275"/>
  <pageSetup paperSize="9" scale="7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黄颖</vt:lpstr>
      <vt:lpstr>三凤</vt:lpstr>
      <vt:lpstr>朱小飞</vt:lpstr>
      <vt:lpstr>吕沛霖</vt:lpstr>
      <vt:lpstr>罗珮文</vt:lpstr>
      <vt:lpstr>苏慧琪</vt:lpstr>
      <vt:lpstr>陆总</vt:lpstr>
      <vt:lpstr>浦生</vt:lpstr>
      <vt:lpstr>无人</vt:lpstr>
      <vt:lpstr>提成总表</vt:lpstr>
      <vt:lpstr>黄颖 陈三凤 朱小飞 吕沛霖 2025年10月份发放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/mg</cp:lastModifiedBy>
  <dcterms:created xsi:type="dcterms:W3CDTF">2021-01-15T02:45:00Z</dcterms:created>
  <dcterms:modified xsi:type="dcterms:W3CDTF">2025-10-20T09:08:07Z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6BE3DA52AC7244678364BCD4CB535940</vt:lpwstr>
  </property>
</Properties>
</file>