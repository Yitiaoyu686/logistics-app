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525" activeTab="7"/>
  </bookViews>
  <sheets>
    <sheet name="黄颖" sheetId="1" r:id="rId1"/>
    <sheet name="三凤" sheetId="7" r:id="rId2"/>
    <sheet name="朱小飞" sheetId="4" r:id="rId3"/>
    <sheet name="吕沛霖" sheetId="3" r:id="rId4"/>
    <sheet name="陆总" sheetId="14" r:id="rId5"/>
    <sheet name="浦生" sheetId="5" r:id="rId6"/>
    <sheet name="提成总表" sheetId="9" r:id="rId7"/>
    <sheet name="提成总表 黄颖 三凤 朱小飞 吕沛霖 2025年10份发放" sheetId="15" r:id="rId8"/>
  </sheets>
  <externalReferences>
    <externalReference r:id="rId9"/>
  </externalReferences>
  <definedNames>
    <definedName name="_xlnm._FilterDatabase" localSheetId="0" hidden="1">黄颖!$A$4:$AF$8</definedName>
    <definedName name="_xlnm._FilterDatabase" localSheetId="3" hidden="1">吕沛霖!$A$2:$AB$19</definedName>
    <definedName name="_xlnm._FilterDatabase" localSheetId="1" hidden="1">三凤!#REF!</definedName>
    <definedName name="_xlnm.Print_Area" localSheetId="6">提成总表!$A$1:$G$12</definedName>
    <definedName name="_xlnm.Print_Area" localSheetId="7">'提成总表 黄颖 三凤 朱小飞 吕沛霖 2025年10份发放'!$A$1:$N$15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到付USD3387.24转预付30088.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  <comment ref="J7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到付USD233.64转预付1701.18
</t>
        </r>
      </text>
    </comment>
    <comment ref="J6" authorId="0">
      <text>
        <r>
          <rPr>
            <sz val="9"/>
            <rFont val="宋体"/>
            <charset val="134"/>
          </rPr>
          <t xml:space="preserve">到付6225.88转预付44822.88.
</t>
        </r>
      </text>
    </comment>
    <comment ref="J8" authorId="0">
      <text>
        <r>
          <rPr>
            <sz val="9"/>
            <rFont val="宋体"/>
            <charset val="134"/>
          </rPr>
          <t xml:space="preserve">到付USD404.81转预付2914.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到付USD105.73转预付778.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N4" authorId="0">
      <text>
        <r>
          <rPr>
            <sz val="9"/>
            <rFont val="宋体"/>
            <charset val="134"/>
          </rPr>
          <t xml:space="preserve">预付1154转到付USD159.39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到付USD1423.84转预付10251.65
</t>
        </r>
      </text>
    </comment>
    <comment ref="J6" authorId="0">
      <text>
        <r>
          <rPr>
            <sz val="9"/>
            <rFont val="宋体"/>
            <charset val="134"/>
          </rPr>
          <t xml:space="preserve">到付USD424.35转预付3034.1
</t>
        </r>
      </text>
    </comment>
    <comment ref="J7" authorId="0">
      <text>
        <r>
          <rPr>
            <sz val="9"/>
            <rFont val="宋体"/>
            <charset val="134"/>
          </rPr>
          <t xml:space="preserve">到付USD740.52转预付5331.74
</t>
        </r>
      </text>
    </comment>
    <comment ref="J8" authorId="0">
      <text>
        <r>
          <rPr>
            <sz val="9"/>
            <rFont val="宋体"/>
            <charset val="134"/>
          </rPr>
          <t xml:space="preserve">到付USD389.9转预付2807.28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到付USD1357.26转预付9711.62.
</t>
        </r>
      </text>
    </comment>
    <comment ref="J6" authorId="0">
      <text>
        <r>
          <rPr>
            <sz val="9"/>
            <rFont val="宋体"/>
            <charset val="134"/>
          </rPr>
          <t xml:space="preserve">到付USD1491.91转预付10081.3
</t>
        </r>
      </text>
    </comment>
    <comment ref="J7" authorId="0">
      <text>
        <r>
          <rPr>
            <sz val="9"/>
            <rFont val="宋体"/>
            <charset val="134"/>
          </rPr>
          <t xml:space="preserve">到付USD59.14LFNY 预付426.
</t>
        </r>
      </text>
    </comment>
    <comment ref="J8" authorId="0">
      <text>
        <r>
          <rPr>
            <b/>
            <sz val="9"/>
            <rFont val="宋体"/>
            <charset val="134"/>
          </rPr>
          <t>3到付USD4987.8转预付35563.01</t>
        </r>
        <r>
          <rPr>
            <sz val="9"/>
            <rFont val="宋体"/>
            <charset val="134"/>
          </rPr>
          <t xml:space="preserve">
</t>
        </r>
      </text>
    </comment>
    <comment ref="J9" authorId="0">
      <text>
        <r>
          <rPr>
            <sz val="9"/>
            <rFont val="宋体"/>
            <charset val="134"/>
          </rPr>
          <t xml:space="preserve">到付USD300.97转预付2136.9.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到付USD305.2转预付2197.44.
</t>
        </r>
      </text>
    </comment>
  </commentList>
</comments>
</file>

<file path=xl/sharedStrings.xml><?xml version="1.0" encoding="utf-8"?>
<sst xmlns="http://schemas.openxmlformats.org/spreadsheetml/2006/main" count="474" uniqueCount="118">
  <si>
    <t>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</si>
  <si>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</si>
  <si>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</si>
  <si>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</si>
  <si>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</si>
  <si>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</si>
  <si>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</si>
  <si>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</si>
  <si>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</si>
  <si>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</si>
  <si>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</si>
  <si>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</si>
  <si>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</si>
  <si>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</si>
  <si>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</si>
  <si>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</si>
  <si>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</si>
  <si>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</si>
  <si>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</si>
  <si>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</si>
  <si>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</si>
  <si>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</si>
  <si>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</si>
  <si>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</si>
  <si>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</si>
  <si>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</si>
  <si>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</si>
  <si>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</si>
  <si>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</si>
  <si>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</si>
  <si>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</si>
  <si>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</si>
  <si>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</si>
  <si>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</si>
  <si>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</si>
  <si>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</si>
  <si>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JOB060384</t>
  </si>
  <si>
    <t>COLL004033</t>
  </si>
  <si>
    <t>黄颖</t>
  </si>
  <si>
    <t>ying</t>
  </si>
  <si>
    <t>Zhangqing</t>
  </si>
  <si>
    <t>华茂青松</t>
  </si>
  <si>
    <t>chuks</t>
  </si>
  <si>
    <t>Adindu</t>
  </si>
  <si>
    <t>合     计</t>
  </si>
  <si>
    <t>基本任务：小于6千</t>
  </si>
  <si>
    <t>不够基本任务6千，
公司将根据空运提成里抽出补足基数</t>
  </si>
  <si>
    <t>黄颖 提成</t>
  </si>
  <si>
    <t>名称</t>
  </si>
  <si>
    <t>毛利</t>
  </si>
  <si>
    <t>基本任务：6千-3.5万</t>
  </si>
  <si>
    <t>按40%提成</t>
  </si>
  <si>
    <t>LOS</t>
  </si>
  <si>
    <t>基数</t>
  </si>
  <si>
    <t>基本任务：3.5万以上</t>
  </si>
  <si>
    <t>按50%提成</t>
  </si>
  <si>
    <t>提成计数</t>
  </si>
  <si>
    <t>提成点数</t>
  </si>
  <si>
    <t>提成金额</t>
  </si>
  <si>
    <t>JOB060359</t>
  </si>
  <si>
    <t>COLL004009</t>
  </si>
  <si>
    <t xml:space="preserve">Bella </t>
  </si>
  <si>
    <t>Bella Chan</t>
  </si>
  <si>
    <t>james</t>
  </si>
  <si>
    <t>智托（陆总代付）</t>
  </si>
  <si>
    <t>Shuaibu musa</t>
  </si>
  <si>
    <t>zhang jian fei</t>
  </si>
  <si>
    <t>三凤 提成</t>
  </si>
  <si>
    <t>备注</t>
  </si>
  <si>
    <t>总利润减james
利润的
一半602.89</t>
  </si>
  <si>
    <t>朱小飞</t>
  </si>
  <si>
    <t>Isabel Zhu</t>
  </si>
  <si>
    <t>Halifa Success</t>
  </si>
  <si>
    <t>Lilon</t>
  </si>
  <si>
    <t>Victor Nnamdi</t>
  </si>
  <si>
    <t>JOB060385</t>
  </si>
  <si>
    <t>COLL004034</t>
  </si>
  <si>
    <t>Jiang Li</t>
  </si>
  <si>
    <t>赛捷</t>
  </si>
  <si>
    <t>Ife Oyelami</t>
  </si>
  <si>
    <t>合计</t>
  </si>
  <si>
    <t>朱小飞 提成</t>
  </si>
  <si>
    <t>总利润减Halifa
利润的
一半102.55</t>
  </si>
  <si>
    <t>吕沛霖</t>
  </si>
  <si>
    <t>喵喵速运-Layne</t>
  </si>
  <si>
    <t>Abdulsheldu</t>
  </si>
  <si>
    <t>Ka Ka 4分部</t>
  </si>
  <si>
    <t>吕沛霖 提成</t>
  </si>
  <si>
    <t>下个月基数为</t>
  </si>
  <si>
    <t>陆总</t>
  </si>
  <si>
    <t>Shirley</t>
  </si>
  <si>
    <t>LUZILONG</t>
  </si>
  <si>
    <t>Sam.Pao</t>
  </si>
  <si>
    <t>LuZhiLong</t>
  </si>
  <si>
    <t>陆总 提成</t>
  </si>
  <si>
    <t>MaiKaiNian</t>
  </si>
  <si>
    <t>JUNDA YU</t>
  </si>
  <si>
    <t>SKY JET</t>
  </si>
  <si>
    <t>JunYue hotel</t>
  </si>
  <si>
    <t>浦生 提成</t>
  </si>
  <si>
    <r>
      <rPr>
        <b/>
        <sz val="18"/>
        <color theme="1"/>
        <rFont val="Tahoma"/>
        <charset val="134"/>
      </rPr>
      <t>24</t>
    </r>
    <r>
      <rPr>
        <b/>
        <sz val="18"/>
        <color theme="1"/>
        <rFont val="宋体"/>
        <charset val="134"/>
      </rPr>
      <t>年</t>
    </r>
    <r>
      <rPr>
        <b/>
        <sz val="18"/>
        <color theme="1"/>
        <rFont val="Tahoma"/>
        <charset val="134"/>
      </rPr>
      <t>6</t>
    </r>
    <r>
      <rPr>
        <b/>
        <sz val="18"/>
        <color theme="1"/>
        <rFont val="宋体"/>
        <charset val="134"/>
      </rPr>
      <t>月份业务员提成总表</t>
    </r>
    <r>
      <rPr>
        <b/>
        <sz val="18"/>
        <color theme="1"/>
        <rFont val="Tahoma"/>
        <charset val="134"/>
      </rPr>
      <t>-68³</t>
    </r>
  </si>
  <si>
    <t xml:space="preserve">           名称
姓名</t>
  </si>
  <si>
    <t>LOS毛利</t>
  </si>
  <si>
    <t>计费体积
立方</t>
  </si>
  <si>
    <r>
      <rPr>
        <sz val="18"/>
        <color theme="1"/>
        <rFont val="Tahoma"/>
        <charset val="134"/>
      </rPr>
      <t>6</t>
    </r>
    <r>
      <rPr>
        <sz val="18"/>
        <color theme="1"/>
        <rFont val="宋体"/>
        <charset val="134"/>
      </rPr>
      <t>千</t>
    </r>
    <r>
      <rPr>
        <sz val="18"/>
        <color theme="1"/>
        <rFont val="Tahoma"/>
        <charset val="134"/>
      </rPr>
      <t>-3.5</t>
    </r>
    <r>
      <rPr>
        <sz val="18"/>
        <color theme="1"/>
        <rFont val="宋体"/>
        <charset val="134"/>
      </rPr>
      <t>万</t>
    </r>
  </si>
  <si>
    <r>
      <rPr>
        <sz val="18"/>
        <color theme="1"/>
        <rFont val="Tahoma"/>
        <charset val="134"/>
      </rPr>
      <t>3.5</t>
    </r>
    <r>
      <rPr>
        <sz val="18"/>
        <color theme="1"/>
        <rFont val="宋体"/>
        <charset val="134"/>
      </rPr>
      <t>万以上</t>
    </r>
  </si>
  <si>
    <t>合计
提成金额</t>
  </si>
  <si>
    <t>提成点
数40%</t>
  </si>
  <si>
    <t>提成点
数50%</t>
  </si>
  <si>
    <t>黄  颖</t>
  </si>
  <si>
    <t>陈三凤</t>
  </si>
  <si>
    <t>小飞6-7月份原方案10%
（减james利润的一半602.89）</t>
  </si>
  <si>
    <t>小飞6-7月份原方案10%
（Halifa利润的一半102.55）</t>
  </si>
  <si>
    <t>不够基数，下个月基本数为6663.14</t>
  </si>
  <si>
    <t>浦海森</t>
  </si>
  <si>
    <t>确认人：</t>
  </si>
  <si>
    <t>日期：</t>
  </si>
  <si>
    <t>领款人：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</si>
</sst>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&quot;³&quot;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_ "/>
    <numFmt numFmtId="183" formatCode="&quot;US$&quot;#,##0.00;\-&quot;US$&quot;#,##0.00"/>
    <numFmt numFmtId="184" formatCode="_ * #,##0.00_ ;_ * \-#,##0.00_ ;_ * &quot;-&quot;_ ;_ @_ "/>
  </numFmts>
  <fonts count="5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1"/>
      <color theme="5" tint="-0.25"/>
      <name val="宋体"/>
      <charset val="134"/>
      <scheme val="minor"/>
    </font>
    <font>
      <sz val="10"/>
      <name val="Microsoft JhengHei"/>
      <charset val="134"/>
    </font>
    <font>
      <sz val="10"/>
      <color theme="1"/>
      <name val="Microsoft JhengHei"/>
      <charset val="134"/>
    </font>
    <font>
      <sz val="10"/>
      <color rgb="FFFF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宋体"/>
      <charset val="134"/>
    </font>
    <font>
      <b/>
      <sz val="1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1" borderId="16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19" applyNumberFormat="0" applyAlignment="0" applyProtection="0">
      <alignment vertical="center"/>
    </xf>
    <xf numFmtId="0" fontId="43" fillId="13" borderId="20" applyNumberFormat="0" applyAlignment="0" applyProtection="0">
      <alignment vertical="center"/>
    </xf>
    <xf numFmtId="0" fontId="44" fillId="13" borderId="19" applyNumberFormat="0" applyAlignment="0" applyProtection="0">
      <alignment vertical="center"/>
    </xf>
    <xf numFmtId="0" fontId="45" fillId="14" borderId="21" applyNumberFormat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</cellStyleXfs>
  <cellXfs count="2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>
      <alignment vertical="center"/>
    </xf>
    <xf numFmtId="176" fontId="5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6" fontId="10" fillId="3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176" fontId="12" fillId="0" borderId="0" xfId="0" applyNumberFormat="1" applyFont="1" applyFill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15" fillId="0" borderId="0" xfId="0" applyFo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2" fillId="0" borderId="0" xfId="0" applyFont="1">
      <alignment vertical="center"/>
    </xf>
    <xf numFmtId="178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9" fontId="18" fillId="6" borderId="2" xfId="1" applyNumberFormat="1" applyFont="1" applyFill="1" applyBorder="1" applyAlignment="1">
      <alignment horizontal="center" vertical="center"/>
    </xf>
    <xf numFmtId="180" fontId="19" fillId="6" borderId="2" xfId="1" applyNumberFormat="1" applyFont="1" applyFill="1" applyBorder="1" applyAlignment="1">
      <alignment horizontal="center" vertical="center"/>
    </xf>
    <xf numFmtId="180" fontId="19" fillId="6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17" fillId="0" borderId="14" xfId="0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180" fontId="19" fillId="6" borderId="14" xfId="1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181" fontId="21" fillId="0" borderId="2" xfId="0" applyNumberFormat="1" applyFont="1" applyFill="1" applyBorder="1" applyAlignment="1">
      <alignment vertical="center"/>
    </xf>
    <xf numFmtId="58" fontId="21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176" fontId="15" fillId="5" borderId="5" xfId="0" applyNumberFormat="1" applyFont="1" applyFill="1" applyBorder="1" applyAlignment="1">
      <alignment horizontal="center" vertical="center"/>
    </xf>
    <xf numFmtId="182" fontId="15" fillId="5" borderId="6" xfId="0" applyNumberFormat="1" applyFont="1" applyFill="1" applyBorder="1" applyAlignment="1">
      <alignment horizontal="center" vertical="center"/>
    </xf>
    <xf numFmtId="183" fontId="15" fillId="5" borderId="6" xfId="0" applyNumberFormat="1" applyFont="1" applyFill="1" applyBorder="1" applyAlignment="1">
      <alignment horizontal="center" vertical="center"/>
    </xf>
    <xf numFmtId="0" fontId="15" fillId="5" borderId="6" xfId="0" applyNumberFormat="1" applyFont="1" applyFill="1" applyBorder="1" applyAlignment="1">
      <alignment horizontal="center" vertical="center"/>
    </xf>
    <xf numFmtId="176" fontId="22" fillId="0" borderId="7" xfId="0" applyNumberFormat="1" applyFont="1" applyFill="1" applyBorder="1" applyAlignment="1">
      <alignment horizontal="right" vertical="center"/>
    </xf>
    <xf numFmtId="176" fontId="17" fillId="5" borderId="2" xfId="0" applyNumberFormat="1" applyFont="1" applyFill="1" applyBorder="1" applyAlignment="1">
      <alignment horizontal="right" vertical="center"/>
    </xf>
    <xf numFmtId="182" fontId="23" fillId="5" borderId="2" xfId="0" applyNumberFormat="1" applyFont="1" applyFill="1" applyBorder="1" applyAlignment="1">
      <alignment horizontal="center" vertical="center" wrapText="1"/>
    </xf>
    <xf numFmtId="183" fontId="23" fillId="5" borderId="2" xfId="0" applyNumberFormat="1" applyFont="1" applyFill="1" applyBorder="1" applyAlignment="1">
      <alignment horizontal="center" vertical="center" wrapText="1"/>
    </xf>
    <xf numFmtId="183" fontId="17" fillId="5" borderId="2" xfId="0" applyNumberFormat="1" applyFont="1" applyFill="1" applyBorder="1" applyAlignment="1">
      <alignment horizontal="center" vertical="center" wrapText="1"/>
    </xf>
    <xf numFmtId="0" fontId="24" fillId="5" borderId="2" xfId="0" applyNumberFormat="1" applyFont="1" applyFill="1" applyBorder="1" applyAlignment="1">
      <alignment horizontal="center" vertical="center"/>
    </xf>
    <xf numFmtId="176" fontId="25" fillId="0" borderId="2" xfId="0" applyNumberFormat="1" applyFont="1" applyFill="1" applyBorder="1" applyAlignment="1">
      <alignment horizontal="right" vertical="center"/>
    </xf>
    <xf numFmtId="176" fontId="26" fillId="0" borderId="2" xfId="0" applyNumberFormat="1" applyFont="1" applyFill="1" applyBorder="1" applyAlignment="1">
      <alignment vertical="center"/>
    </xf>
    <xf numFmtId="182" fontId="21" fillId="0" borderId="2" xfId="0" applyNumberFormat="1" applyFont="1" applyFill="1" applyBorder="1" applyAlignment="1">
      <alignment vertical="center"/>
    </xf>
    <xf numFmtId="183" fontId="20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horizontal="center" vertical="center"/>
    </xf>
    <xf numFmtId="176" fontId="20" fillId="0" borderId="2" xfId="0" applyNumberFormat="1" applyFont="1" applyFill="1" applyBorder="1" applyAlignment="1">
      <alignment vertical="center"/>
    </xf>
    <xf numFmtId="7" fontId="20" fillId="0" borderId="2" xfId="0" applyNumberFormat="1" applyFont="1" applyFill="1" applyBorder="1" applyAlignment="1">
      <alignment vertical="center"/>
    </xf>
    <xf numFmtId="183" fontId="26" fillId="0" borderId="2" xfId="0" applyNumberFormat="1" applyFont="1" applyFill="1" applyBorder="1" applyAlignment="1">
      <alignment vertical="center"/>
    </xf>
    <xf numFmtId="0" fontId="0" fillId="3" borderId="10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176" fontId="15" fillId="3" borderId="3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176" fontId="17" fillId="9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76" fontId="17" fillId="0" borderId="6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76" fontId="24" fillId="0" borderId="8" xfId="0" applyNumberFormat="1" applyFont="1" applyFill="1" applyBorder="1" applyAlignment="1">
      <alignment horizontal="center" vertical="center" wrapText="1"/>
    </xf>
    <xf numFmtId="7" fontId="27" fillId="5" borderId="3" xfId="0" applyNumberFormat="1" applyFont="1" applyFill="1" applyBorder="1" applyAlignment="1">
      <alignment horizontal="center" vertical="center" wrapText="1"/>
    </xf>
    <xf numFmtId="176" fontId="15" fillId="3" borderId="14" xfId="0" applyNumberFormat="1" applyFont="1" applyFill="1" applyBorder="1" applyAlignment="1">
      <alignment horizontal="center" vertical="center"/>
    </xf>
    <xf numFmtId="184" fontId="28" fillId="9" borderId="2" xfId="4" applyNumberFormat="1" applyFont="1" applyFill="1" applyBorder="1" applyAlignment="1">
      <alignment horizontal="center" vertical="center"/>
    </xf>
    <xf numFmtId="176" fontId="25" fillId="9" borderId="2" xfId="4" applyNumberFormat="1" applyFont="1" applyFill="1" applyBorder="1" applyAlignment="1">
      <alignment horizontal="center" vertical="center"/>
    </xf>
    <xf numFmtId="184" fontId="25" fillId="0" borderId="2" xfId="4" applyNumberFormat="1" applyFont="1" applyFill="1" applyBorder="1" applyAlignment="1">
      <alignment horizontal="center" vertical="center"/>
    </xf>
    <xf numFmtId="176" fontId="25" fillId="0" borderId="2" xfId="4" applyNumberFormat="1" applyFont="1" applyFill="1" applyBorder="1" applyAlignment="1">
      <alignment horizontal="center" vertical="center"/>
    </xf>
    <xf numFmtId="176" fontId="24" fillId="0" borderId="15" xfId="0" applyNumberFormat="1" applyFont="1" applyFill="1" applyBorder="1" applyAlignment="1">
      <alignment horizontal="center" vertical="center" wrapText="1"/>
    </xf>
    <xf numFmtId="7" fontId="27" fillId="5" borderId="14" xfId="0" applyNumberFormat="1" applyFont="1" applyFill="1" applyBorder="1" applyAlignment="1">
      <alignment horizontal="center" vertical="center" wrapText="1"/>
    </xf>
    <xf numFmtId="176" fontId="21" fillId="0" borderId="14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vertical="center"/>
    </xf>
    <xf numFmtId="7" fontId="21" fillId="0" borderId="2" xfId="0" applyNumberFormat="1" applyFont="1" applyFill="1" applyBorder="1" applyAlignment="1">
      <alignment vertical="center"/>
    </xf>
    <xf numFmtId="176" fontId="21" fillId="0" borderId="4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2" xfId="0" applyBorder="1">
      <alignment vertical="center"/>
    </xf>
    <xf numFmtId="183" fontId="24" fillId="5" borderId="2" xfId="0" applyNumberFormat="1" applyFont="1" applyFill="1" applyBorder="1" applyAlignment="1">
      <alignment horizontal="center" vertical="center"/>
    </xf>
    <xf numFmtId="182" fontId="24" fillId="5" borderId="2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176" fontId="15" fillId="7" borderId="3" xfId="0" applyNumberFormat="1" applyFont="1" applyFill="1" applyBorder="1" applyAlignment="1">
      <alignment horizontal="center" vertical="center"/>
    </xf>
    <xf numFmtId="183" fontId="29" fillId="5" borderId="2" xfId="0" applyNumberFormat="1" applyFont="1" applyFill="1" applyBorder="1" applyAlignment="1">
      <alignment vertical="center" wrapText="1"/>
    </xf>
    <xf numFmtId="183" fontId="24" fillId="5" borderId="2" xfId="0" applyNumberFormat="1" applyFont="1" applyFill="1" applyBorder="1" applyAlignment="1">
      <alignment horizontal="right" vertical="center"/>
    </xf>
    <xf numFmtId="182" fontId="27" fillId="5" borderId="2" xfId="0" applyNumberFormat="1" applyFont="1" applyFill="1" applyBorder="1" applyAlignment="1">
      <alignment horizontal="center" vertical="center"/>
    </xf>
    <xf numFmtId="176" fontId="24" fillId="5" borderId="2" xfId="0" applyNumberFormat="1" applyFont="1" applyFill="1" applyBorder="1" applyAlignment="1">
      <alignment horizontal="center" vertical="center"/>
    </xf>
    <xf numFmtId="176" fontId="24" fillId="3" borderId="2" xfId="0" applyNumberFormat="1" applyFont="1" applyFill="1" applyBorder="1" applyAlignment="1">
      <alignment horizontal="center" vertical="center"/>
    </xf>
    <xf numFmtId="176" fontId="15" fillId="7" borderId="4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vertical="center"/>
    </xf>
    <xf numFmtId="176" fontId="5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20" fillId="0" borderId="2" xfId="0" applyFont="1" applyFill="1" applyBorder="1">
      <alignment vertical="center"/>
    </xf>
    <xf numFmtId="181" fontId="16" fillId="0" borderId="2" xfId="0" applyNumberFormat="1" applyFont="1" applyFill="1" applyBorder="1">
      <alignment vertical="center"/>
    </xf>
    <xf numFmtId="58" fontId="16" fillId="0" borderId="2" xfId="0" applyNumberFormat="1" applyFont="1" applyFill="1" applyBorder="1" applyAlignment="1">
      <alignment horizontal="center" vertical="center"/>
    </xf>
    <xf numFmtId="58" fontId="16" fillId="0" borderId="2" xfId="0" applyNumberFormat="1" applyFont="1" applyFill="1" applyBorder="1">
      <alignment vertical="center"/>
    </xf>
    <xf numFmtId="0" fontId="16" fillId="9" borderId="0" xfId="0" applyFont="1" applyFill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82" fontId="26" fillId="0" borderId="2" xfId="0" applyNumberFormat="1" applyFont="1" applyFill="1" applyBorder="1" applyAlignment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2" xfId="0" applyNumberFormat="1" applyFont="1" applyFill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vertical="center"/>
    </xf>
    <xf numFmtId="176" fontId="5" fillId="0" borderId="2" xfId="0" applyNumberFormat="1" applyFont="1" applyFill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30" fillId="7" borderId="2" xfId="0" applyFont="1" applyFill="1" applyBorder="1" applyAlignment="1">
      <alignment horizontal="center" vertical="center"/>
    </xf>
    <xf numFmtId="176" fontId="30" fillId="7" borderId="2" xfId="0" applyNumberFormat="1" applyFont="1" applyFill="1" applyBorder="1" applyAlignment="1">
      <alignment horizontal="center" vertical="center"/>
    </xf>
    <xf numFmtId="176" fontId="16" fillId="0" borderId="2" xfId="0" applyNumberFormat="1" applyFont="1" applyBorder="1">
      <alignment vertical="center"/>
    </xf>
    <xf numFmtId="0" fontId="0" fillId="3" borderId="4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1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176" fontId="21" fillId="10" borderId="2" xfId="0" applyNumberFormat="1" applyFont="1" applyFill="1" applyBorder="1" applyAlignment="1">
      <alignment vertical="center"/>
    </xf>
    <xf numFmtId="0" fontId="31" fillId="0" borderId="2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vertical="center"/>
    </xf>
    <xf numFmtId="181" fontId="32" fillId="0" borderId="2" xfId="0" applyNumberFormat="1" applyFont="1" applyFill="1" applyBorder="1" applyAlignment="1">
      <alignment vertical="center"/>
    </xf>
    <xf numFmtId="58" fontId="32" fillId="0" borderId="2" xfId="0" applyNumberFormat="1" applyFont="1" applyFill="1" applyBorder="1" applyAlignment="1">
      <alignment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6" fontId="31" fillId="0" borderId="2" xfId="0" applyNumberFormat="1" applyFont="1" applyFill="1" applyBorder="1" applyAlignment="1">
      <alignment vertical="center"/>
    </xf>
    <xf numFmtId="182" fontId="32" fillId="0" borderId="2" xfId="0" applyNumberFormat="1" applyFont="1" applyFill="1" applyBorder="1" applyAlignment="1">
      <alignment vertical="center"/>
    </xf>
    <xf numFmtId="183" fontId="33" fillId="0" borderId="2" xfId="0" applyNumberFormat="1" applyFont="1" applyFill="1" applyBorder="1" applyAlignment="1">
      <alignment vertical="center"/>
    </xf>
    <xf numFmtId="182" fontId="33" fillId="0" borderId="2" xfId="0" applyNumberFormat="1" applyFont="1" applyFill="1" applyBorder="1" applyAlignment="1">
      <alignment horizontal="center" vertical="center"/>
    </xf>
    <xf numFmtId="182" fontId="33" fillId="0" borderId="2" xfId="0" applyNumberFormat="1" applyFont="1" applyFill="1" applyBorder="1" applyAlignment="1">
      <alignment vertical="center"/>
    </xf>
    <xf numFmtId="183" fontId="31" fillId="0" borderId="2" xfId="0" applyNumberFormat="1" applyFont="1" applyFill="1" applyBorder="1" applyAlignment="1">
      <alignment vertical="center"/>
    </xf>
    <xf numFmtId="176" fontId="33" fillId="0" borderId="2" xfId="0" applyNumberFormat="1" applyFont="1" applyFill="1" applyBorder="1" applyAlignment="1">
      <alignment vertical="center"/>
    </xf>
    <xf numFmtId="7" fontId="31" fillId="0" borderId="2" xfId="0" applyNumberFormat="1" applyFont="1" applyFill="1" applyBorder="1" applyAlignment="1">
      <alignment vertical="center"/>
    </xf>
    <xf numFmtId="176" fontId="32" fillId="0" borderId="3" xfId="0" applyNumberFormat="1" applyFont="1" applyFill="1" applyBorder="1" applyAlignment="1">
      <alignment horizontal="center" vertical="center"/>
    </xf>
    <xf numFmtId="176" fontId="32" fillId="0" borderId="2" xfId="0" applyNumberFormat="1" applyFont="1" applyFill="1" applyBorder="1" applyAlignment="1">
      <alignment vertical="center"/>
    </xf>
    <xf numFmtId="7" fontId="32" fillId="0" borderId="2" xfId="0" applyNumberFormat="1" applyFont="1" applyFill="1" applyBorder="1" applyAlignment="1">
      <alignment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0" borderId="14" xfId="0" applyNumberFormat="1" applyFont="1" applyFill="1" applyBorder="1" applyAlignment="1">
      <alignment horizontal="center" vertical="center"/>
    </xf>
    <xf numFmtId="176" fontId="32" fillId="0" borderId="2" xfId="0" applyNumberFormat="1" applyFont="1" applyFill="1" applyBorder="1" applyAlignment="1">
      <alignment horizontal="center" vertical="center"/>
    </xf>
    <xf numFmtId="183" fontId="32" fillId="0" borderId="2" xfId="0" applyNumberFormat="1" applyFont="1" applyFill="1" applyBorder="1" applyAlignment="1">
      <alignment vertical="center"/>
    </xf>
    <xf numFmtId="176" fontId="32" fillId="10" borderId="2" xfId="0" applyNumberFormat="1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Nutstore\1\&#25105;&#30340;&#22362;&#26524;&#20113;\1\&#27611;&#21033;&#34920;&#65288;&#28023;&#36816;&#65289;\24&#24180;&#28023;&#36816;&#25552;&#25104;&#26126;&#32454;&#34920;\24&#24180;6&#26376;&#20221;&#28023;&#36816;&#25552;&#25104;&#26126;&#32454;&#34920;-&#31435;&#2604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黄颖"/>
      <sheetName val="三凤"/>
      <sheetName val="吕沛霖"/>
      <sheetName val="朱小飞"/>
      <sheetName val="陆总"/>
      <sheetName val="浦生"/>
      <sheetName val="提成总表"/>
    </sheetNames>
    <sheetDataSet>
      <sheetData sheetId="0"/>
      <sheetData sheetId="1"/>
      <sheetData sheetId="2"/>
      <sheetData sheetId="3"/>
      <sheetData sheetId="4"/>
      <sheetData sheetId="5">
        <row r="15">
          <cell r="L15">
            <v>29.1751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"/>
  <sheetViews>
    <sheetView workbookViewId="0">
      <pane xSplit="14" ySplit="4" topLeftCell="O5" activePane="bottomRight" state="frozen"/>
      <selection/>
      <selection pane="topRight"/>
      <selection pane="bottomLeft"/>
      <selection pane="bottomRight" activeCell="M16" sqref="M16"/>
    </sheetView>
  </sheetViews>
  <sheetFormatPr defaultColWidth="9" defaultRowHeight="13.5"/>
  <cols>
    <col min="2" max="2" width="10.375" customWidth="1"/>
    <col min="3" max="3" width="13.125" customWidth="1"/>
    <col min="4" max="4" width="7.375" customWidth="1"/>
    <col min="6" max="6" width="11.125"/>
    <col min="7" max="7" width="5.75" customWidth="1"/>
    <col min="8" max="8" width="10.125"/>
    <col min="9" max="9" width="11.25"/>
    <col min="10" max="10" width="10.25" customWidth="1"/>
    <col min="11" max="11" width="10.125"/>
    <col min="12" max="12" width="11.25"/>
    <col min="13" max="13" width="15.125" customWidth="1"/>
    <col min="14" max="14" width="12.5" customWidth="1"/>
    <col min="15" max="15" width="15.625" customWidth="1"/>
    <col min="16" max="17" width="14.75"/>
    <col min="18" max="18" width="12.5" customWidth="1"/>
    <col min="19" max="19" width="10.25"/>
    <col min="20" max="20" width="11.125"/>
    <col min="21" max="21" width="10.25"/>
    <col min="22" max="22" width="12.5"/>
    <col min="23" max="23" width="10.75"/>
    <col min="24" max="24" width="12.25" customWidth="1"/>
    <col min="25" max="25" width="12.5"/>
    <col min="26" max="26" width="11.125"/>
    <col min="27" max="27" width="13.625"/>
    <col min="28" max="28" width="14.75"/>
    <col min="29" max="29" width="10.125"/>
    <col min="30" max="30" width="11.125"/>
    <col min="31" max="31" width="14.75"/>
    <col min="32" max="32" width="13.625"/>
  </cols>
  <sheetData>
    <row r="1" ht="24" customHeight="1" spans="1:1">
      <c r="A1" s="88" t="s">
        <v>0</v>
      </c>
    </row>
    <row r="2" customFormat="1" ht="6" customHeight="1" spans="1:1">
      <c r="A2" s="88"/>
    </row>
    <row r="3" s="85" customFormat="1" ht="23" customHeight="1" spans="1:32">
      <c r="A3" s="89" t="s">
        <v>1</v>
      </c>
      <c r="B3" s="90" t="s">
        <v>2</v>
      </c>
      <c r="C3" s="91" t="s">
        <v>3</v>
      </c>
      <c r="D3" s="92" t="s">
        <v>4</v>
      </c>
      <c r="E3" s="93" t="s">
        <v>5</v>
      </c>
      <c r="F3" s="94" t="s">
        <v>6</v>
      </c>
      <c r="G3" s="94" t="s">
        <v>7</v>
      </c>
      <c r="H3" s="94" t="s">
        <v>8</v>
      </c>
      <c r="I3" s="94" t="s">
        <v>9</v>
      </c>
      <c r="J3" s="111" t="s">
        <v>10</v>
      </c>
      <c r="K3" s="112"/>
      <c r="L3" s="113"/>
      <c r="M3" s="112"/>
      <c r="N3" s="113"/>
      <c r="O3" s="114"/>
      <c r="P3" s="115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5" customFormat="1" ht="27" customHeight="1" spans="1:32">
      <c r="A4" s="95"/>
      <c r="B4" s="96"/>
      <c r="C4" s="91"/>
      <c r="D4" s="92"/>
      <c r="E4" s="97"/>
      <c r="F4" s="98"/>
      <c r="G4" s="98"/>
      <c r="H4" s="98"/>
      <c r="I4" s="98"/>
      <c r="J4" s="116" t="s">
        <v>18</v>
      </c>
      <c r="K4" s="117" t="s">
        <v>19</v>
      </c>
      <c r="L4" s="118" t="s">
        <v>20</v>
      </c>
      <c r="M4" s="117" t="s">
        <v>21</v>
      </c>
      <c r="N4" s="119" t="s">
        <v>22</v>
      </c>
      <c r="O4" s="120" t="s">
        <v>23</v>
      </c>
      <c r="P4" s="121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59" customFormat="1" ht="21" customHeight="1" spans="1:32">
      <c r="A5" s="206" t="s">
        <v>36</v>
      </c>
      <c r="B5" s="207" t="s">
        <v>37</v>
      </c>
      <c r="C5" s="208">
        <v>240611000035</v>
      </c>
      <c r="D5" s="209">
        <v>45470</v>
      </c>
      <c r="E5" s="209" t="s">
        <v>38</v>
      </c>
      <c r="F5" s="207" t="s">
        <v>39</v>
      </c>
      <c r="G5" s="207" t="s">
        <v>40</v>
      </c>
      <c r="H5" s="207">
        <v>9.409</v>
      </c>
      <c r="I5" s="207">
        <v>4580</v>
      </c>
      <c r="J5" s="218">
        <v>30088</v>
      </c>
      <c r="K5" s="213"/>
      <c r="L5" s="217"/>
      <c r="M5" s="215"/>
      <c r="N5" s="217"/>
      <c r="O5" s="207"/>
      <c r="P5" s="219">
        <v>30088</v>
      </c>
      <c r="Q5" s="220">
        <v>67487.5888</v>
      </c>
      <c r="R5" s="220" t="s">
        <v>41</v>
      </c>
      <c r="S5" s="221">
        <v>9052.84167647059</v>
      </c>
      <c r="T5" s="221">
        <v>73.7499558823529</v>
      </c>
      <c r="U5" s="221">
        <v>117.6125</v>
      </c>
      <c r="V5" s="221"/>
      <c r="W5" s="221"/>
      <c r="X5" s="222">
        <v>9244.20413235294</v>
      </c>
      <c r="Y5" s="226">
        <v>1472.80875779412</v>
      </c>
      <c r="Z5" s="226"/>
      <c r="AA5" s="226">
        <v>6.02729470588235</v>
      </c>
      <c r="AB5" s="226">
        <v>1478.8360525</v>
      </c>
      <c r="AC5" s="213">
        <v>7.12</v>
      </c>
      <c r="AD5" s="221">
        <v>10529.3126938</v>
      </c>
      <c r="AE5" s="221">
        <v>19773.516826153</v>
      </c>
      <c r="AF5" s="221">
        <v>10314.483173847</v>
      </c>
    </row>
    <row r="6" s="59" customFormat="1" ht="21" customHeight="1" spans="1:32">
      <c r="A6" s="206"/>
      <c r="B6" s="207"/>
      <c r="C6" s="208">
        <v>240624000032</v>
      </c>
      <c r="D6" s="209">
        <v>45470</v>
      </c>
      <c r="E6" s="209" t="s">
        <v>38</v>
      </c>
      <c r="F6" s="207" t="s">
        <v>39</v>
      </c>
      <c r="G6" s="207" t="s">
        <v>42</v>
      </c>
      <c r="H6" s="207">
        <v>14.1194</v>
      </c>
      <c r="I6" s="207">
        <v>5232</v>
      </c>
      <c r="J6" s="218">
        <v>30090</v>
      </c>
      <c r="K6" s="213"/>
      <c r="L6" s="217"/>
      <c r="M6" s="215"/>
      <c r="N6" s="217"/>
      <c r="O6" s="207"/>
      <c r="P6" s="219">
        <v>30090</v>
      </c>
      <c r="Q6" s="224"/>
      <c r="R6" s="224"/>
      <c r="S6" s="221">
        <v>13584.9391823529</v>
      </c>
      <c r="T6" s="221">
        <v>110.671179411765</v>
      </c>
      <c r="U6" s="221">
        <v>176.4925</v>
      </c>
      <c r="V6" s="221"/>
      <c r="W6" s="221"/>
      <c r="X6" s="222">
        <v>13872.1028617647</v>
      </c>
      <c r="Y6" s="226">
        <v>2210.13667497059</v>
      </c>
      <c r="Z6" s="226"/>
      <c r="AA6" s="226">
        <v>9.04472152941177</v>
      </c>
      <c r="AB6" s="226">
        <v>2219.1813965</v>
      </c>
      <c r="AC6" s="213">
        <v>7.12</v>
      </c>
      <c r="AD6" s="221">
        <v>15800.57154308</v>
      </c>
      <c r="AE6" s="221">
        <v>29672.6744048447</v>
      </c>
      <c r="AF6" s="221">
        <v>417.325595155289</v>
      </c>
    </row>
    <row r="7" s="59" customFormat="1" ht="21" customHeight="1" spans="1:32">
      <c r="A7" s="206"/>
      <c r="B7" s="207"/>
      <c r="C7" s="208">
        <v>240624000052</v>
      </c>
      <c r="D7" s="209">
        <v>45470</v>
      </c>
      <c r="E7" s="209" t="s">
        <v>38</v>
      </c>
      <c r="F7" s="207" t="s">
        <v>39</v>
      </c>
      <c r="G7" s="207" t="s">
        <v>43</v>
      </c>
      <c r="H7" s="207">
        <v>0.098</v>
      </c>
      <c r="I7" s="207">
        <v>5.56</v>
      </c>
      <c r="J7" s="212"/>
      <c r="K7" s="216">
        <v>69566</v>
      </c>
      <c r="L7" s="217"/>
      <c r="M7" s="215">
        <v>1639.93399339934</v>
      </c>
      <c r="N7" s="214">
        <v>42.42</v>
      </c>
      <c r="O7" s="207">
        <v>7.12</v>
      </c>
      <c r="P7" s="219">
        <v>302.0304</v>
      </c>
      <c r="Q7" s="224"/>
      <c r="R7" s="224"/>
      <c r="S7" s="221">
        <v>94.2904117647059</v>
      </c>
      <c r="T7" s="221">
        <v>0.768147058823529</v>
      </c>
      <c r="U7" s="221">
        <v>1.225</v>
      </c>
      <c r="V7" s="221"/>
      <c r="W7" s="221"/>
      <c r="X7" s="222">
        <v>96.2835588235294</v>
      </c>
      <c r="Y7" s="226">
        <v>15.3401273529412</v>
      </c>
      <c r="Z7" s="226">
        <v>5.48</v>
      </c>
      <c r="AA7" s="226">
        <v>0.0627776470588235</v>
      </c>
      <c r="AB7" s="226">
        <v>20.882905</v>
      </c>
      <c r="AC7" s="213">
        <v>7.12</v>
      </c>
      <c r="AD7" s="221">
        <v>148.6862836</v>
      </c>
      <c r="AE7" s="221">
        <v>244.96984242353</v>
      </c>
      <c r="AF7" s="221">
        <v>57.0605575764704</v>
      </c>
    </row>
    <row r="8" ht="21" customHeight="1" spans="1:32">
      <c r="A8" s="210" t="s">
        <v>44</v>
      </c>
      <c r="B8" s="211"/>
      <c r="C8" s="164"/>
      <c r="D8" s="164"/>
      <c r="E8" s="164"/>
      <c r="F8" s="164"/>
      <c r="G8" s="164"/>
      <c r="H8" s="164">
        <f>SUM(H5:H7)</f>
        <v>23.6264</v>
      </c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77"/>
      <c r="AC8" s="177"/>
      <c r="AD8" s="177"/>
      <c r="AE8" s="177"/>
      <c r="AF8" s="177">
        <f>SUM(AF5:AF7)</f>
        <v>10788.8693265788</v>
      </c>
    </row>
    <row r="9" s="180" customFormat="1" ht="20" customHeight="1" spans="1:25">
      <c r="A9" s="1"/>
      <c r="B9" s="1"/>
      <c r="D9" s="186"/>
      <c r="E9" s="186"/>
      <c r="F9" s="228"/>
      <c r="G9" s="228"/>
      <c r="H9" s="228"/>
      <c r="I9" s="141"/>
      <c r="J9" s="141"/>
      <c r="K9" s="141"/>
      <c r="L9" s="141"/>
      <c r="M9" s="187"/>
      <c r="N9" s="141"/>
      <c r="O9" s="141"/>
      <c r="P9" s="141"/>
      <c r="Q9" s="141"/>
      <c r="R9" s="187"/>
      <c r="S9" s="187"/>
      <c r="T9" s="187"/>
      <c r="U9" s="187"/>
      <c r="V9" s="187"/>
      <c r="W9" s="187"/>
      <c r="X9" s="187"/>
      <c r="Y9" s="187"/>
    </row>
    <row r="10" s="1" customFormat="1" ht="23" customHeight="1" spans="3:16">
      <c r="C10" s="71" t="s">
        <v>45</v>
      </c>
      <c r="D10" s="71"/>
      <c r="E10" s="71"/>
      <c r="F10" s="107" t="s">
        <v>46</v>
      </c>
      <c r="G10" s="108"/>
      <c r="H10" s="108"/>
      <c r="I10" s="129"/>
      <c r="J10"/>
      <c r="K10" s="130" t="s">
        <v>47</v>
      </c>
      <c r="L10" s="131"/>
      <c r="M10" s="132"/>
      <c r="N10"/>
      <c r="O10"/>
      <c r="P10"/>
    </row>
    <row r="11" s="1" customFormat="1" ht="23" customHeight="1" spans="3:16">
      <c r="C11" s="71"/>
      <c r="D11" s="71"/>
      <c r="E11" s="71"/>
      <c r="F11" s="109"/>
      <c r="G11" s="110"/>
      <c r="H11" s="110"/>
      <c r="I11" s="133"/>
      <c r="J11"/>
      <c r="K11" s="134" t="s">
        <v>48</v>
      </c>
      <c r="L11" s="134" t="s">
        <v>8</v>
      </c>
      <c r="M11" s="134" t="s">
        <v>49</v>
      </c>
      <c r="N11"/>
      <c r="O11"/>
      <c r="P11"/>
    </row>
    <row r="12" s="1" customFormat="1" ht="23" customHeight="1" spans="3:16">
      <c r="C12" s="71" t="s">
        <v>50</v>
      </c>
      <c r="D12" s="71"/>
      <c r="E12" s="71"/>
      <c r="F12" s="79" t="s">
        <v>51</v>
      </c>
      <c r="G12" s="80"/>
      <c r="H12" s="80"/>
      <c r="I12" s="81"/>
      <c r="J12"/>
      <c r="K12" s="134" t="s">
        <v>52</v>
      </c>
      <c r="L12" s="135">
        <f>SUM(H5:H7)</f>
        <v>23.6264</v>
      </c>
      <c r="M12" s="136">
        <f>SUM(AF8)</f>
        <v>10788.8693265788</v>
      </c>
      <c r="N12"/>
      <c r="O12"/>
      <c r="P12"/>
    </row>
    <row r="13" s="1" customFormat="1" ht="23" customHeight="1" spans="3:16">
      <c r="C13" s="71"/>
      <c r="D13" s="71"/>
      <c r="E13" s="71"/>
      <c r="F13" s="82"/>
      <c r="G13" s="83"/>
      <c r="H13" s="83"/>
      <c r="I13" s="84"/>
      <c r="J13"/>
      <c r="K13" s="137" t="s">
        <v>53</v>
      </c>
      <c r="L13" s="137"/>
      <c r="M13" s="138">
        <v>6000</v>
      </c>
      <c r="N13"/>
      <c r="O13"/>
      <c r="P13"/>
    </row>
    <row r="14" s="1" customFormat="1" ht="23" customHeight="1" spans="3:16">
      <c r="C14" s="71" t="s">
        <v>54</v>
      </c>
      <c r="D14" s="71"/>
      <c r="E14" s="71"/>
      <c r="F14" s="79" t="s">
        <v>55</v>
      </c>
      <c r="G14" s="80"/>
      <c r="H14" s="80"/>
      <c r="I14" s="81"/>
      <c r="J14"/>
      <c r="K14" s="139" t="s">
        <v>56</v>
      </c>
      <c r="L14" s="139"/>
      <c r="M14" s="140">
        <f>SUM(M12-M13)</f>
        <v>4788.8693265788</v>
      </c>
      <c r="N14"/>
      <c r="O14"/>
      <c r="P14"/>
    </row>
    <row r="15" s="1" customFormat="1" ht="23" customHeight="1" spans="3:16">
      <c r="C15" s="71"/>
      <c r="D15" s="71"/>
      <c r="E15" s="71"/>
      <c r="F15" s="82"/>
      <c r="G15" s="83"/>
      <c r="H15" s="83"/>
      <c r="I15" s="84"/>
      <c r="J15"/>
      <c r="K15" s="134" t="s">
        <v>57</v>
      </c>
      <c r="L15" s="134"/>
      <c r="M15" s="134">
        <v>0.4</v>
      </c>
      <c r="N15"/>
      <c r="O15"/>
      <c r="P15"/>
    </row>
    <row r="16" s="1" customFormat="1" ht="23" customHeight="1" spans="5:16">
      <c r="E16"/>
      <c r="F16"/>
      <c r="G16"/>
      <c r="H16"/>
      <c r="I16"/>
      <c r="J16"/>
      <c r="K16" s="137" t="s">
        <v>58</v>
      </c>
      <c r="L16" s="137"/>
      <c r="M16" s="138">
        <f>SUM(M14*M15)</f>
        <v>1915.54773063152</v>
      </c>
      <c r="N16"/>
      <c r="O16"/>
      <c r="P16"/>
    </row>
    <row r="17" s="1" customFormat="1" ht="23" customHeight="1" spans="5:16">
      <c r="E17"/>
      <c r="F17"/>
      <c r="G17"/>
      <c r="H17"/>
      <c r="I17"/>
      <c r="J17"/>
      <c r="K17"/>
      <c r="L17"/>
      <c r="M17"/>
      <c r="N17"/>
      <c r="O17"/>
      <c r="P17"/>
    </row>
    <row r="18" s="1" customFormat="1" ht="23" customHeight="1" spans="5:17">
      <c r="E18"/>
      <c r="F18" s="228"/>
      <c r="G18" s="228"/>
      <c r="H18" s="228"/>
      <c r="I18" s="141"/>
      <c r="J18" s="141"/>
      <c r="K18" s="141"/>
      <c r="L18" s="141"/>
      <c r="M18" s="141"/>
      <c r="N18" s="141"/>
      <c r="O18" s="141"/>
      <c r="P18" s="141"/>
      <c r="Q18" s="141"/>
    </row>
    <row r="19" s="1" customFormat="1" ht="23" customHeight="1" spans="5:17">
      <c r="E19"/>
      <c r="F19" s="228"/>
      <c r="G19" s="228"/>
      <c r="H19" s="228"/>
      <c r="I19" s="141"/>
      <c r="J19" s="141"/>
      <c r="K19" s="141"/>
      <c r="L19" s="141"/>
      <c r="N19"/>
      <c r="O19"/>
      <c r="P19"/>
      <c r="Q19"/>
    </row>
    <row r="20" s="1" customFormat="1" ht="23" customHeight="1" spans="5:19">
      <c r="E20"/>
      <c r="F20" s="228"/>
      <c r="G20" s="228"/>
      <c r="H20" s="228"/>
      <c r="I20" s="141"/>
      <c r="J20" s="141"/>
      <c r="K20" s="141"/>
      <c r="L20" s="141"/>
      <c r="N20"/>
      <c r="O20"/>
      <c r="P20"/>
      <c r="Q20"/>
      <c r="S20" s="37"/>
    </row>
    <row r="21" ht="25" customHeight="1" spans="6:13">
      <c r="F21" s="228"/>
      <c r="G21" s="228"/>
      <c r="H21" s="228"/>
      <c r="I21" s="141"/>
      <c r="J21" s="141"/>
      <c r="K21" s="141"/>
      <c r="L21" s="141"/>
      <c r="M21" s="1"/>
    </row>
    <row r="22" spans="6:16">
      <c r="F22" s="228"/>
      <c r="G22" s="228"/>
      <c r="H22" s="228"/>
      <c r="I22" s="141"/>
      <c r="J22" s="141"/>
      <c r="K22" s="141"/>
      <c r="L22" s="141"/>
      <c r="M22" s="1"/>
      <c r="N22" s="1"/>
      <c r="O22" s="1"/>
      <c r="P22" s="1"/>
    </row>
    <row r="23" spans="6:12">
      <c r="F23" s="228"/>
      <c r="G23" s="228"/>
      <c r="H23" s="228"/>
      <c r="I23" s="141"/>
      <c r="J23" s="141"/>
      <c r="K23" s="141"/>
      <c r="L23" s="141"/>
    </row>
  </sheetData>
  <autoFilter xmlns:etc="http://www.wps.cn/officeDocument/2017/etCustomData" ref="A4:AF8" etc:filterBottomFollowUsedRange="0">
    <extLst/>
  </autoFilter>
  <mergeCells count="24">
    <mergeCell ref="J3:P3"/>
    <mergeCell ref="R3:V3"/>
    <mergeCell ref="Y3:AD3"/>
    <mergeCell ref="A8:B8"/>
    <mergeCell ref="K10:M10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0:E11"/>
    <mergeCell ref="C12:E13"/>
    <mergeCell ref="F12:I13"/>
    <mergeCell ref="C14:E15"/>
    <mergeCell ref="F14:I15"/>
    <mergeCell ref="F10:I11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2"/>
  <sheetViews>
    <sheetView workbookViewId="0">
      <pane xSplit="15" ySplit="3" topLeftCell="AC4" activePane="bottomRight" state="frozen"/>
      <selection/>
      <selection pane="topRight"/>
      <selection pane="bottomLeft"/>
      <selection pane="bottomRight" activeCell="M16" sqref="M16"/>
    </sheetView>
  </sheetViews>
  <sheetFormatPr defaultColWidth="9" defaultRowHeight="13.5"/>
  <cols>
    <col min="3" max="3" width="13.125" customWidth="1"/>
    <col min="4" max="4" width="12.125"/>
    <col min="6" max="6" width="11.125"/>
    <col min="7" max="7" width="12.25" customWidth="1"/>
    <col min="8" max="8" width="10.125"/>
    <col min="9" max="9" width="11.125"/>
    <col min="10" max="10" width="11.25"/>
    <col min="11" max="11" width="10"/>
    <col min="12" max="12" width="9" customWidth="1"/>
    <col min="13" max="13" width="14.5" customWidth="1"/>
    <col min="14" max="14" width="12" customWidth="1"/>
    <col min="15" max="15" width="13.625"/>
    <col min="16" max="17" width="12.875"/>
    <col min="18" max="18" width="12.5" customWidth="1"/>
    <col min="19" max="19" width="9.625"/>
    <col min="20" max="20" width="12" style="4"/>
    <col min="21" max="21" width="10.25" style="4"/>
    <col min="22" max="22" width="12.5" style="4"/>
    <col min="23" max="23" width="10.125" style="4"/>
    <col min="24" max="24" width="12" style="4"/>
    <col min="25" max="25" width="12.625" style="4"/>
    <col min="26" max="26" width="10.125"/>
    <col min="27" max="28" width="13.625"/>
    <col min="30" max="30" width="9.25"/>
    <col min="31" max="31" width="13.625"/>
    <col min="32" max="32" width="12.5"/>
  </cols>
  <sheetData>
    <row r="1" customFormat="1" ht="27" customHeight="1" spans="1:25">
      <c r="A1" s="69" t="s">
        <v>0</v>
      </c>
      <c r="T1" s="4"/>
      <c r="U1" s="4"/>
      <c r="V1" s="4"/>
      <c r="W1" s="4"/>
      <c r="X1" s="4"/>
      <c r="Y1" s="4"/>
    </row>
    <row r="2" s="85" customFormat="1" ht="23" customHeight="1" spans="1:32">
      <c r="A2" s="89" t="s">
        <v>1</v>
      </c>
      <c r="B2" s="90" t="s">
        <v>2</v>
      </c>
      <c r="C2" s="91" t="s">
        <v>3</v>
      </c>
      <c r="D2" s="92" t="s">
        <v>4</v>
      </c>
      <c r="E2" s="93" t="s">
        <v>5</v>
      </c>
      <c r="F2" s="94" t="s">
        <v>6</v>
      </c>
      <c r="G2" s="94" t="s">
        <v>7</v>
      </c>
      <c r="H2" s="94" t="s">
        <v>8</v>
      </c>
      <c r="I2" s="94" t="s">
        <v>9</v>
      </c>
      <c r="J2" s="111" t="s">
        <v>10</v>
      </c>
      <c r="K2" s="112"/>
      <c r="L2" s="113"/>
      <c r="M2" s="112"/>
      <c r="N2" s="113"/>
      <c r="O2" s="114"/>
      <c r="P2" s="115"/>
      <c r="Q2" s="142" t="s">
        <v>11</v>
      </c>
      <c r="R2" s="143" t="s">
        <v>12</v>
      </c>
      <c r="S2" s="144"/>
      <c r="T2" s="145"/>
      <c r="U2" s="146"/>
      <c r="V2" s="147"/>
      <c r="W2" s="148" t="s">
        <v>13</v>
      </c>
      <c r="X2" s="149" t="s">
        <v>14</v>
      </c>
      <c r="Y2" s="165" t="s">
        <v>15</v>
      </c>
      <c r="Z2" s="165"/>
      <c r="AA2" s="165"/>
      <c r="AB2" s="165"/>
      <c r="AC2" s="166"/>
      <c r="AD2" s="165"/>
      <c r="AE2" s="167" t="s">
        <v>16</v>
      </c>
      <c r="AF2" s="168" t="s">
        <v>17</v>
      </c>
    </row>
    <row r="3" s="85" customFormat="1" ht="27" customHeight="1" spans="1:32">
      <c r="A3" s="95"/>
      <c r="B3" s="96"/>
      <c r="C3" s="91"/>
      <c r="D3" s="92"/>
      <c r="E3" s="97"/>
      <c r="F3" s="98"/>
      <c r="G3" s="98"/>
      <c r="H3" s="98"/>
      <c r="I3" s="98"/>
      <c r="J3" s="116" t="s">
        <v>18</v>
      </c>
      <c r="K3" s="117" t="s">
        <v>19</v>
      </c>
      <c r="L3" s="118" t="s">
        <v>20</v>
      </c>
      <c r="M3" s="117" t="s">
        <v>21</v>
      </c>
      <c r="N3" s="119" t="s">
        <v>22</v>
      </c>
      <c r="O3" s="120" t="s">
        <v>23</v>
      </c>
      <c r="P3" s="121" t="s">
        <v>24</v>
      </c>
      <c r="Q3" s="150"/>
      <c r="R3" s="151" t="s">
        <v>25</v>
      </c>
      <c r="S3" s="152" t="s">
        <v>26</v>
      </c>
      <c r="T3" s="153" t="s">
        <v>27</v>
      </c>
      <c r="U3" s="154" t="s">
        <v>28</v>
      </c>
      <c r="V3" s="153" t="s">
        <v>29</v>
      </c>
      <c r="W3" s="155"/>
      <c r="X3" s="156"/>
      <c r="Y3" s="169" t="s">
        <v>30</v>
      </c>
      <c r="Z3" s="169" t="s">
        <v>31</v>
      </c>
      <c r="AA3" s="169" t="s">
        <v>32</v>
      </c>
      <c r="AB3" s="170" t="s">
        <v>33</v>
      </c>
      <c r="AC3" s="171" t="s">
        <v>34</v>
      </c>
      <c r="AD3" s="172" t="s">
        <v>24</v>
      </c>
      <c r="AE3" s="173" t="s">
        <v>35</v>
      </c>
      <c r="AF3" s="174"/>
    </row>
    <row r="4" s="59" customFormat="1" ht="18" customHeight="1" spans="1:32">
      <c r="A4" s="206" t="s">
        <v>59</v>
      </c>
      <c r="B4" s="207" t="s">
        <v>60</v>
      </c>
      <c r="C4" s="208">
        <v>240605000016</v>
      </c>
      <c r="D4" s="209">
        <v>45456</v>
      </c>
      <c r="E4" s="209" t="s">
        <v>61</v>
      </c>
      <c r="F4" s="207" t="s">
        <v>62</v>
      </c>
      <c r="G4" s="207" t="s">
        <v>63</v>
      </c>
      <c r="H4" s="207">
        <v>1.9688</v>
      </c>
      <c r="I4" s="207">
        <v>441</v>
      </c>
      <c r="J4" s="212"/>
      <c r="K4" s="213"/>
      <c r="L4" s="214">
        <v>807.21</v>
      </c>
      <c r="M4" s="215">
        <v>0</v>
      </c>
      <c r="N4" s="214">
        <v>807.21</v>
      </c>
      <c r="O4" s="207">
        <v>7.12</v>
      </c>
      <c r="P4" s="212">
        <v>5747.3352</v>
      </c>
      <c r="Q4" s="220">
        <v>15233.452176</v>
      </c>
      <c r="R4" s="220" t="s">
        <v>64</v>
      </c>
      <c r="S4" s="221">
        <v>4505.52086052978</v>
      </c>
      <c r="T4" s="221">
        <v>36.0322108345534</v>
      </c>
      <c r="U4" s="221"/>
      <c r="V4" s="221"/>
      <c r="W4" s="221"/>
      <c r="X4" s="222">
        <v>4541.55307136433</v>
      </c>
      <c r="Y4" s="226"/>
      <c r="Z4" s="226"/>
      <c r="AA4" s="226"/>
      <c r="AB4" s="226">
        <v>0</v>
      </c>
      <c r="AC4" s="213"/>
      <c r="AD4" s="221">
        <v>0</v>
      </c>
      <c r="AE4" s="221">
        <v>4541.55307136433</v>
      </c>
      <c r="AF4" s="227">
        <v>1205.78212863567</v>
      </c>
    </row>
    <row r="5" s="59" customFormat="1" ht="18" customHeight="1" spans="1:32">
      <c r="A5" s="206"/>
      <c r="B5" s="207"/>
      <c r="C5" s="208">
        <v>240611000023</v>
      </c>
      <c r="D5" s="209">
        <v>45456</v>
      </c>
      <c r="E5" s="209" t="s">
        <v>61</v>
      </c>
      <c r="F5" s="207" t="s">
        <v>62</v>
      </c>
      <c r="G5" s="207" t="s">
        <v>65</v>
      </c>
      <c r="H5" s="207">
        <v>3.0276</v>
      </c>
      <c r="I5" s="207">
        <v>667</v>
      </c>
      <c r="J5" s="212"/>
      <c r="K5" s="216">
        <v>2173116</v>
      </c>
      <c r="L5" s="217"/>
      <c r="M5" s="215">
        <v>1631.07686307747</v>
      </c>
      <c r="N5" s="214">
        <v>1332.3198</v>
      </c>
      <c r="O5" s="207">
        <v>7.12</v>
      </c>
      <c r="P5" s="212">
        <v>9486.116976</v>
      </c>
      <c r="Q5" s="223"/>
      <c r="R5" s="223"/>
      <c r="S5" s="221">
        <v>6928.54274549978</v>
      </c>
      <c r="T5" s="221">
        <v>55.4099560761347</v>
      </c>
      <c r="U5" s="221"/>
      <c r="V5" s="221"/>
      <c r="W5" s="221"/>
      <c r="X5" s="222">
        <v>6983.95270157591</v>
      </c>
      <c r="Y5" s="226"/>
      <c r="Z5" s="226"/>
      <c r="AA5" s="226"/>
      <c r="AB5" s="226">
        <v>0</v>
      </c>
      <c r="AC5" s="213"/>
      <c r="AD5" s="221">
        <v>0</v>
      </c>
      <c r="AE5" s="221">
        <v>6983.95270157591</v>
      </c>
      <c r="AF5" s="221">
        <v>2502.16427442408</v>
      </c>
    </row>
    <row r="6" s="59" customFormat="1" ht="18" customHeight="1" spans="1:32">
      <c r="A6" s="206"/>
      <c r="B6" s="207"/>
      <c r="C6" s="208">
        <v>240617000031</v>
      </c>
      <c r="D6" s="209">
        <v>45470</v>
      </c>
      <c r="E6" s="209" t="s">
        <v>61</v>
      </c>
      <c r="F6" s="207" t="s">
        <v>62</v>
      </c>
      <c r="G6" s="207" t="s">
        <v>66</v>
      </c>
      <c r="H6" s="207">
        <v>1.883</v>
      </c>
      <c r="I6" s="207">
        <v>1442</v>
      </c>
      <c r="J6" s="218">
        <v>5247</v>
      </c>
      <c r="K6" s="213"/>
      <c r="L6" s="217"/>
      <c r="M6" s="215"/>
      <c r="N6" s="217"/>
      <c r="O6" s="207"/>
      <c r="P6" s="219">
        <v>5247</v>
      </c>
      <c r="Q6" s="224"/>
      <c r="R6" s="224"/>
      <c r="S6" s="221">
        <v>1811.72291176471</v>
      </c>
      <c r="T6" s="221">
        <v>14.7593970588235</v>
      </c>
      <c r="U6" s="221">
        <v>23.5375</v>
      </c>
      <c r="V6" s="221"/>
      <c r="W6" s="221"/>
      <c r="X6" s="222">
        <v>1850.01980882353</v>
      </c>
      <c r="Y6" s="226">
        <v>294.749589852941</v>
      </c>
      <c r="Z6" s="226">
        <v>5.56</v>
      </c>
      <c r="AA6" s="226">
        <v>1.20622764705882</v>
      </c>
      <c r="AB6" s="226">
        <v>301.5158175</v>
      </c>
      <c r="AC6" s="213">
        <v>7.12</v>
      </c>
      <c r="AD6" s="221">
        <v>2146.7926206</v>
      </c>
      <c r="AE6" s="221">
        <v>3996.81242942353</v>
      </c>
      <c r="AF6" s="221">
        <v>1250.18757057647</v>
      </c>
    </row>
    <row r="7" s="59" customFormat="1" ht="18" customHeight="1" spans="1:32">
      <c r="A7" s="206"/>
      <c r="B7" s="207"/>
      <c r="C7" s="208">
        <v>240617000031</v>
      </c>
      <c r="D7" s="209">
        <v>45470</v>
      </c>
      <c r="E7" s="209" t="s">
        <v>61</v>
      </c>
      <c r="F7" s="207" t="s">
        <v>62</v>
      </c>
      <c r="G7" s="207" t="s">
        <v>66</v>
      </c>
      <c r="H7" s="207">
        <v>0.1218</v>
      </c>
      <c r="I7" s="207">
        <v>88</v>
      </c>
      <c r="J7" s="218">
        <v>339</v>
      </c>
      <c r="K7" s="213"/>
      <c r="L7" s="217"/>
      <c r="M7" s="215"/>
      <c r="N7" s="217"/>
      <c r="O7" s="207"/>
      <c r="P7" s="219">
        <v>339</v>
      </c>
      <c r="Q7" s="225"/>
      <c r="R7" s="225"/>
      <c r="S7" s="212">
        <v>250.251219733931</v>
      </c>
      <c r="T7" s="221">
        <v>2.64646201400042</v>
      </c>
      <c r="U7" s="221"/>
      <c r="V7" s="221"/>
      <c r="W7" s="221"/>
      <c r="X7" s="222">
        <v>252.897681747931</v>
      </c>
      <c r="Y7" s="226">
        <v>2.72643413436771</v>
      </c>
      <c r="Z7" s="226"/>
      <c r="AA7" s="226"/>
      <c r="AB7" s="226">
        <v>2.72643413436771</v>
      </c>
      <c r="AC7" s="213">
        <v>7.1</v>
      </c>
      <c r="AD7" s="221">
        <v>19.3576823540107</v>
      </c>
      <c r="AE7" s="221">
        <v>272.255364101942</v>
      </c>
      <c r="AF7" s="221">
        <v>66.744635898058</v>
      </c>
    </row>
    <row r="8" customFormat="1" ht="18" customHeight="1" spans="1:32">
      <c r="A8" s="210" t="s">
        <v>44</v>
      </c>
      <c r="B8" s="211"/>
      <c r="C8" s="164"/>
      <c r="D8" s="164"/>
      <c r="E8" s="164"/>
      <c r="F8" s="164"/>
      <c r="G8" s="164"/>
      <c r="H8" s="164">
        <f>SUM(H4:H7)</f>
        <v>7.0012</v>
      </c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77"/>
      <c r="AC8" s="177"/>
      <c r="AD8" s="177"/>
      <c r="AE8" s="177"/>
      <c r="AF8" s="177">
        <f>SUM(AF4:AF7)</f>
        <v>5024.87860953428</v>
      </c>
    </row>
    <row r="9" s="180" customFormat="1" ht="22" customHeight="1" spans="1:25">
      <c r="A9" s="1"/>
      <c r="B9" s="1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93"/>
      <c r="T9" s="193"/>
      <c r="U9" s="193"/>
      <c r="V9" s="193"/>
      <c r="W9" s="193"/>
      <c r="X9" s="193"/>
      <c r="Y9" s="193"/>
    </row>
    <row r="10" s="1" customFormat="1" ht="23" customHeight="1" spans="3:16">
      <c r="C10" s="71" t="s">
        <v>45</v>
      </c>
      <c r="D10" s="71"/>
      <c r="E10" s="71"/>
      <c r="F10" s="107" t="s">
        <v>46</v>
      </c>
      <c r="G10" s="108"/>
      <c r="H10" s="108"/>
      <c r="I10" s="129"/>
      <c r="J10"/>
      <c r="K10" s="134" t="s">
        <v>67</v>
      </c>
      <c r="L10" s="134"/>
      <c r="M10" s="134"/>
      <c r="N10" s="134"/>
      <c r="O10"/>
      <c r="P10"/>
    </row>
    <row r="11" s="1" customFormat="1" ht="23" customHeight="1" spans="3:16">
      <c r="C11" s="71"/>
      <c r="D11" s="71"/>
      <c r="E11" s="71"/>
      <c r="F11" s="109"/>
      <c r="G11" s="110"/>
      <c r="H11" s="110"/>
      <c r="I11" s="133"/>
      <c r="J11"/>
      <c r="K11" s="201" t="s">
        <v>48</v>
      </c>
      <c r="L11" s="201" t="s">
        <v>8</v>
      </c>
      <c r="M11" s="201" t="s">
        <v>49</v>
      </c>
      <c r="N11" s="201" t="s">
        <v>68</v>
      </c>
      <c r="O11"/>
      <c r="P11"/>
    </row>
    <row r="12" s="1" customFormat="1" ht="23" customHeight="1" spans="3:16">
      <c r="C12" s="71" t="s">
        <v>50</v>
      </c>
      <c r="D12" s="71"/>
      <c r="E12" s="71"/>
      <c r="F12" s="79" t="s">
        <v>51</v>
      </c>
      <c r="G12" s="80"/>
      <c r="H12" s="80"/>
      <c r="I12" s="81"/>
      <c r="J12"/>
      <c r="K12" s="134" t="s">
        <v>52</v>
      </c>
      <c r="L12" s="135">
        <f>SUM(H4:H7)</f>
        <v>7.0012</v>
      </c>
      <c r="M12" s="136">
        <v>4421.99</v>
      </c>
      <c r="N12" s="202" t="s">
        <v>69</v>
      </c>
      <c r="O12"/>
      <c r="P12"/>
    </row>
    <row r="13" s="1" customFormat="1" ht="23" customHeight="1" spans="3:16">
      <c r="C13" s="71"/>
      <c r="D13" s="71"/>
      <c r="E13" s="71"/>
      <c r="F13" s="82"/>
      <c r="G13" s="83"/>
      <c r="H13" s="83"/>
      <c r="I13" s="84"/>
      <c r="J13"/>
      <c r="K13" s="137" t="s">
        <v>53</v>
      </c>
      <c r="L13" s="137"/>
      <c r="M13" s="138"/>
      <c r="N13" s="203"/>
      <c r="O13"/>
      <c r="P13"/>
    </row>
    <row r="14" s="1" customFormat="1" ht="23" customHeight="1" spans="3:16">
      <c r="C14" s="71" t="s">
        <v>54</v>
      </c>
      <c r="D14" s="71"/>
      <c r="E14" s="71"/>
      <c r="F14" s="79" t="s">
        <v>55</v>
      </c>
      <c r="G14" s="80"/>
      <c r="H14" s="80"/>
      <c r="I14" s="81"/>
      <c r="J14"/>
      <c r="K14" s="139" t="s">
        <v>56</v>
      </c>
      <c r="L14" s="139"/>
      <c r="M14" s="140"/>
      <c r="N14" s="203"/>
      <c r="O14"/>
      <c r="P14"/>
    </row>
    <row r="15" s="1" customFormat="1" ht="23" customHeight="1" spans="3:16">
      <c r="C15" s="71"/>
      <c r="D15" s="71"/>
      <c r="E15" s="71"/>
      <c r="F15" s="82"/>
      <c r="G15" s="83"/>
      <c r="H15" s="83"/>
      <c r="I15" s="84"/>
      <c r="J15"/>
      <c r="K15" s="134" t="s">
        <v>57</v>
      </c>
      <c r="L15" s="134"/>
      <c r="M15" s="134">
        <v>0.1</v>
      </c>
      <c r="N15" s="203"/>
      <c r="O15"/>
      <c r="P15"/>
    </row>
    <row r="16" s="1" customFormat="1" ht="23" customHeight="1" spans="5:16">
      <c r="E16"/>
      <c r="F16"/>
      <c r="G16"/>
      <c r="H16"/>
      <c r="I16"/>
      <c r="J16"/>
      <c r="K16" s="137" t="s">
        <v>58</v>
      </c>
      <c r="L16" s="137"/>
      <c r="M16" s="138">
        <f>SUM(M12*M15)</f>
        <v>442.199</v>
      </c>
      <c r="N16" s="204"/>
      <c r="O16"/>
      <c r="P16"/>
    </row>
    <row r="17" s="1" customFormat="1" ht="23" customHeight="1" spans="5:16">
      <c r="E17"/>
      <c r="F17"/>
      <c r="G17"/>
      <c r="H17"/>
      <c r="I17"/>
      <c r="J17"/>
      <c r="K17"/>
      <c r="L17"/>
      <c r="M17"/>
      <c r="N17"/>
      <c r="O17"/>
      <c r="P17"/>
    </row>
    <row r="18" s="1" customFormat="1" ht="23" customHeight="1" spans="5:15">
      <c r="E18"/>
      <c r="F18"/>
      <c r="G18"/>
      <c r="H18"/>
      <c r="I18"/>
      <c r="J18"/>
      <c r="K18" s="141"/>
      <c r="L18" s="141"/>
      <c r="M18" s="141"/>
      <c r="N18" s="141"/>
      <c r="O18" s="141"/>
    </row>
    <row r="19" s="1" customFormat="1" ht="23" customHeight="1" spans="5:15">
      <c r="E19"/>
      <c r="F19"/>
      <c r="G19"/>
      <c r="H19"/>
      <c r="I19"/>
      <c r="J19"/>
      <c r="K19" s="141"/>
      <c r="L19" s="141"/>
      <c r="N19"/>
      <c r="O19"/>
    </row>
    <row r="20" s="1" customFormat="1" ht="23" customHeight="1" spans="5:19">
      <c r="E20"/>
      <c r="F20"/>
      <c r="G20"/>
      <c r="H20"/>
      <c r="I20"/>
      <c r="J20"/>
      <c r="K20" s="141"/>
      <c r="L20" s="141"/>
      <c r="N20"/>
      <c r="O20"/>
      <c r="P20"/>
      <c r="Q20"/>
      <c r="R20"/>
      <c r="S20" s="37"/>
    </row>
    <row r="21" ht="21" customHeight="1" spans="11:13">
      <c r="K21" s="141"/>
      <c r="L21" s="141"/>
      <c r="M21" s="1"/>
    </row>
    <row r="22" ht="21" customHeight="1" spans="11:15">
      <c r="K22" s="141"/>
      <c r="L22" s="141"/>
      <c r="M22" s="1"/>
      <c r="N22" s="1"/>
      <c r="O22" s="1"/>
    </row>
  </sheetData>
  <mergeCells count="25">
    <mergeCell ref="J2:P2"/>
    <mergeCell ref="R2:V2"/>
    <mergeCell ref="Y2:AD2"/>
    <mergeCell ref="A8:B8"/>
    <mergeCell ref="K10:N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12:N16"/>
    <mergeCell ref="Q2:Q3"/>
    <mergeCell ref="W2:W3"/>
    <mergeCell ref="X2:X3"/>
    <mergeCell ref="AF2:AF3"/>
    <mergeCell ref="C10:E11"/>
    <mergeCell ref="C12:E13"/>
    <mergeCell ref="C14:E15"/>
    <mergeCell ref="F12:I13"/>
    <mergeCell ref="F14:I15"/>
    <mergeCell ref="F10:I11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"/>
  <sheetViews>
    <sheetView workbookViewId="0">
      <pane xSplit="14" ySplit="4" topLeftCell="AA5" activePane="bottomRight" state="frozen"/>
      <selection/>
      <selection pane="topRight"/>
      <selection pane="bottomLeft"/>
      <selection pane="bottomRight" activeCell="AF5" sqref="AF5"/>
    </sheetView>
  </sheetViews>
  <sheetFormatPr defaultColWidth="9" defaultRowHeight="13.5"/>
  <cols>
    <col min="3" max="3" width="11.25" customWidth="1"/>
    <col min="4" max="4" width="11.25"/>
    <col min="7" max="7" width="11" customWidth="1"/>
    <col min="8" max="8" width="10.125"/>
    <col min="9" max="9" width="11.125"/>
    <col min="10" max="10" width="10.375"/>
    <col min="11" max="11" width="10.125"/>
    <col min="12" max="12" width="11.125"/>
    <col min="13" max="13" width="13.6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3.625"/>
  </cols>
  <sheetData>
    <row r="1" customFormat="1" ht="24" customHeight="1" spans="1:1">
      <c r="A1" s="88" t="s">
        <v>0</v>
      </c>
    </row>
    <row r="2" customFormat="1" ht="6" customHeight="1" spans="1:1">
      <c r="A2" s="88"/>
    </row>
    <row r="3" s="85" customFormat="1" ht="23" customHeight="1" spans="1:32">
      <c r="A3" s="89" t="s">
        <v>1</v>
      </c>
      <c r="B3" s="90" t="s">
        <v>2</v>
      </c>
      <c r="C3" s="91" t="s">
        <v>3</v>
      </c>
      <c r="D3" s="92" t="s">
        <v>4</v>
      </c>
      <c r="E3" s="93" t="s">
        <v>5</v>
      </c>
      <c r="F3" s="94" t="s">
        <v>6</v>
      </c>
      <c r="G3" s="94" t="s">
        <v>7</v>
      </c>
      <c r="H3" s="94" t="s">
        <v>8</v>
      </c>
      <c r="I3" s="94" t="s">
        <v>9</v>
      </c>
      <c r="J3" s="111" t="s">
        <v>10</v>
      </c>
      <c r="K3" s="112"/>
      <c r="L3" s="113"/>
      <c r="M3" s="112"/>
      <c r="N3" s="113"/>
      <c r="O3" s="114"/>
      <c r="P3" s="115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5" customFormat="1" ht="27" customHeight="1" spans="1:32">
      <c r="A4" s="95"/>
      <c r="B4" s="96"/>
      <c r="C4" s="91"/>
      <c r="D4" s="92"/>
      <c r="E4" s="97"/>
      <c r="F4" s="98"/>
      <c r="G4" s="98"/>
      <c r="H4" s="98"/>
      <c r="I4" s="98"/>
      <c r="J4" s="116" t="s">
        <v>18</v>
      </c>
      <c r="K4" s="117" t="s">
        <v>19</v>
      </c>
      <c r="L4" s="118" t="s">
        <v>20</v>
      </c>
      <c r="M4" s="117" t="s">
        <v>21</v>
      </c>
      <c r="N4" s="119" t="s">
        <v>22</v>
      </c>
      <c r="O4" s="120" t="s">
        <v>23</v>
      </c>
      <c r="P4" s="121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6" customFormat="1" ht="18" customHeight="1" spans="1:32">
      <c r="A5" s="99"/>
      <c r="B5" s="100"/>
      <c r="C5" s="101">
        <v>240608000016</v>
      </c>
      <c r="D5" s="102">
        <v>45456</v>
      </c>
      <c r="E5" s="102" t="s">
        <v>70</v>
      </c>
      <c r="F5" s="100" t="s">
        <v>71</v>
      </c>
      <c r="G5" s="100" t="s">
        <v>72</v>
      </c>
      <c r="H5" s="100">
        <v>0.6486</v>
      </c>
      <c r="I5" s="100">
        <v>105</v>
      </c>
      <c r="J5" s="122">
        <v>1701.18</v>
      </c>
      <c r="K5" s="123"/>
      <c r="L5" s="124"/>
      <c r="M5" s="125"/>
      <c r="N5" s="124"/>
      <c r="O5" s="100"/>
      <c r="P5" s="126">
        <v>1701.18</v>
      </c>
      <c r="Q5" s="157"/>
      <c r="R5" s="157"/>
      <c r="S5" s="158">
        <v>1484.2954236792</v>
      </c>
      <c r="T5" s="158">
        <v>11.8704245973646</v>
      </c>
      <c r="U5" s="158"/>
      <c r="V5" s="158"/>
      <c r="W5" s="158"/>
      <c r="X5" s="159">
        <v>1496.16584827656</v>
      </c>
      <c r="Y5" s="175"/>
      <c r="Z5" s="175"/>
      <c r="AA5" s="175"/>
      <c r="AB5" s="175">
        <v>0</v>
      </c>
      <c r="AC5" s="123"/>
      <c r="AD5" s="158">
        <v>0</v>
      </c>
      <c r="AE5" s="158">
        <v>1496.16584827656</v>
      </c>
      <c r="AF5" s="205">
        <v>205.01415172344</v>
      </c>
    </row>
    <row r="6" s="86" customFormat="1" ht="18" customHeight="1" spans="1:32">
      <c r="A6" s="99"/>
      <c r="B6" s="100"/>
      <c r="C6" s="101">
        <v>240618000013</v>
      </c>
      <c r="D6" s="102">
        <v>45470</v>
      </c>
      <c r="E6" s="102" t="s">
        <v>70</v>
      </c>
      <c r="F6" s="100" t="s">
        <v>71</v>
      </c>
      <c r="G6" s="100" t="s">
        <v>73</v>
      </c>
      <c r="H6" s="100">
        <v>17.0878</v>
      </c>
      <c r="I6" s="100">
        <v>12818</v>
      </c>
      <c r="J6" s="122">
        <v>44822.88</v>
      </c>
      <c r="K6" s="123"/>
      <c r="L6" s="124"/>
      <c r="M6" s="125"/>
      <c r="N6" s="124"/>
      <c r="O6" s="100"/>
      <c r="P6" s="127">
        <v>44822.88</v>
      </c>
      <c r="Q6" s="157"/>
      <c r="R6" s="157"/>
      <c r="S6" s="158">
        <v>16440.9765117647</v>
      </c>
      <c r="T6" s="158">
        <v>133.938197058824</v>
      </c>
      <c r="U6" s="158">
        <v>213.5975</v>
      </c>
      <c r="V6" s="158"/>
      <c r="W6" s="158"/>
      <c r="X6" s="159">
        <v>16788.5122088235</v>
      </c>
      <c r="Y6" s="175">
        <v>2674.78600185294</v>
      </c>
      <c r="Z6" s="175"/>
      <c r="AA6" s="175">
        <v>10.9462436470588</v>
      </c>
      <c r="AB6" s="175">
        <v>2685.7322455</v>
      </c>
      <c r="AC6" s="123">
        <v>7.12</v>
      </c>
      <c r="AD6" s="158">
        <v>19122.41358796</v>
      </c>
      <c r="AE6" s="158">
        <v>35910.9257967835</v>
      </c>
      <c r="AF6" s="158">
        <v>8911.9542032165</v>
      </c>
    </row>
    <row r="7" s="86" customFormat="1" ht="18" customHeight="1" spans="1:32">
      <c r="A7" s="99"/>
      <c r="B7" s="100"/>
      <c r="C7" s="101">
        <v>240627000004</v>
      </c>
      <c r="D7" s="102">
        <v>45470</v>
      </c>
      <c r="E7" s="102" t="s">
        <v>70</v>
      </c>
      <c r="F7" s="100" t="s">
        <v>71</v>
      </c>
      <c r="G7" s="100" t="s">
        <v>74</v>
      </c>
      <c r="H7" s="100">
        <v>1.0982</v>
      </c>
      <c r="I7" s="100">
        <v>111.44</v>
      </c>
      <c r="J7" s="126"/>
      <c r="K7" s="188">
        <v>649440</v>
      </c>
      <c r="L7" s="124"/>
      <c r="M7" s="125">
        <v>1640</v>
      </c>
      <c r="N7" s="128">
        <v>396</v>
      </c>
      <c r="O7" s="100">
        <v>7.12</v>
      </c>
      <c r="P7" s="127">
        <v>2819.52</v>
      </c>
      <c r="Q7" s="157"/>
      <c r="R7" s="157"/>
      <c r="S7" s="158">
        <v>1056.6299</v>
      </c>
      <c r="T7" s="158">
        <v>8.60795</v>
      </c>
      <c r="U7" s="158">
        <v>13.7275</v>
      </c>
      <c r="V7" s="158"/>
      <c r="W7" s="158"/>
      <c r="X7" s="159">
        <v>1078.96535</v>
      </c>
      <c r="Y7" s="175">
        <v>171.9033455</v>
      </c>
      <c r="Z7" s="175"/>
      <c r="AA7" s="175">
        <v>0.703494</v>
      </c>
      <c r="AB7" s="175">
        <v>172.6068395</v>
      </c>
      <c r="AC7" s="123">
        <v>7.12</v>
      </c>
      <c r="AD7" s="158">
        <v>1228.96069724</v>
      </c>
      <c r="AE7" s="158">
        <v>2307.92604724</v>
      </c>
      <c r="AF7" s="158">
        <v>511.59395276</v>
      </c>
    </row>
    <row r="8" s="86" customFormat="1" ht="18" customHeight="1" spans="1:32">
      <c r="A8" s="99" t="s">
        <v>75</v>
      </c>
      <c r="B8" s="100" t="s">
        <v>76</v>
      </c>
      <c r="C8" s="101">
        <v>240619000007</v>
      </c>
      <c r="D8" s="102">
        <v>45471</v>
      </c>
      <c r="E8" s="102" t="s">
        <v>70</v>
      </c>
      <c r="F8" s="100" t="s">
        <v>71</v>
      </c>
      <c r="G8" s="100" t="s">
        <v>77</v>
      </c>
      <c r="H8" s="100">
        <v>0.917</v>
      </c>
      <c r="I8" s="100">
        <v>510</v>
      </c>
      <c r="J8" s="122">
        <v>2914</v>
      </c>
      <c r="K8" s="123"/>
      <c r="L8" s="124"/>
      <c r="M8" s="125"/>
      <c r="N8" s="124"/>
      <c r="O8" s="100"/>
      <c r="P8" s="126">
        <v>2914</v>
      </c>
      <c r="Q8" s="161">
        <v>26109.822</v>
      </c>
      <c r="R8" s="161" t="s">
        <v>78</v>
      </c>
      <c r="S8" s="126">
        <v>1884.07527500833</v>
      </c>
      <c r="T8" s="158">
        <v>19.9245128640262</v>
      </c>
      <c r="U8" s="158"/>
      <c r="V8" s="158"/>
      <c r="W8" s="158"/>
      <c r="X8" s="159">
        <v>1903.99978787236</v>
      </c>
      <c r="Y8" s="175">
        <v>20.5266018162167</v>
      </c>
      <c r="Z8" s="175">
        <v>73.61</v>
      </c>
      <c r="AA8" s="175"/>
      <c r="AB8" s="175">
        <v>94.1366018162167</v>
      </c>
      <c r="AC8" s="123">
        <v>7.1</v>
      </c>
      <c r="AD8" s="158">
        <v>668.369872895139</v>
      </c>
      <c r="AE8" s="158">
        <v>2572.3696607675</v>
      </c>
      <c r="AF8" s="158">
        <v>341.6303392325</v>
      </c>
    </row>
    <row r="9" s="86" customFormat="1" ht="18" customHeight="1" spans="1:32">
      <c r="A9" s="99"/>
      <c r="B9" s="100"/>
      <c r="C9" s="101">
        <v>240626000021</v>
      </c>
      <c r="D9" s="102">
        <v>45470</v>
      </c>
      <c r="E9" s="102" t="s">
        <v>70</v>
      </c>
      <c r="F9" s="100" t="s">
        <v>71</v>
      </c>
      <c r="G9" s="100" t="s">
        <v>79</v>
      </c>
      <c r="H9" s="100">
        <v>0.5044</v>
      </c>
      <c r="I9" s="100">
        <v>54.9</v>
      </c>
      <c r="J9" s="126"/>
      <c r="K9" s="188">
        <v>311202</v>
      </c>
      <c r="L9" s="124"/>
      <c r="M9" s="125">
        <v>1695</v>
      </c>
      <c r="N9" s="128">
        <v>183.6</v>
      </c>
      <c r="O9" s="100">
        <v>7.12</v>
      </c>
      <c r="P9" s="127">
        <v>1307.232</v>
      </c>
      <c r="Q9" s="161"/>
      <c r="R9" s="161"/>
      <c r="S9" s="126">
        <v>1036.34413164035</v>
      </c>
      <c r="T9" s="158">
        <v>10.9595684717719</v>
      </c>
      <c r="U9" s="158"/>
      <c r="V9" s="158"/>
      <c r="W9" s="158"/>
      <c r="X9" s="159">
        <v>1047.30370011212</v>
      </c>
      <c r="Y9" s="175">
        <v>11.2907502247543</v>
      </c>
      <c r="Z9" s="175"/>
      <c r="AA9" s="175"/>
      <c r="AB9" s="175">
        <v>11.2907502247543</v>
      </c>
      <c r="AC9" s="123">
        <v>7.1</v>
      </c>
      <c r="AD9" s="158">
        <v>80.1643265957555</v>
      </c>
      <c r="AE9" s="158">
        <v>1127.46802670788</v>
      </c>
      <c r="AF9" s="158">
        <v>179.763973292125</v>
      </c>
    </row>
    <row r="10" s="86" customFormat="1" ht="18" customHeight="1" spans="1:32">
      <c r="A10" s="99"/>
      <c r="B10" s="100"/>
      <c r="C10" s="101">
        <v>240627000005</v>
      </c>
      <c r="D10" s="102">
        <v>45471</v>
      </c>
      <c r="E10" s="102" t="s">
        <v>70</v>
      </c>
      <c r="F10" s="100" t="s">
        <v>71</v>
      </c>
      <c r="G10" s="100" t="s">
        <v>77</v>
      </c>
      <c r="H10" s="100">
        <v>0.2937</v>
      </c>
      <c r="I10" s="100">
        <v>24</v>
      </c>
      <c r="J10" s="122">
        <v>778</v>
      </c>
      <c r="K10" s="123"/>
      <c r="L10" s="124"/>
      <c r="M10" s="125"/>
      <c r="N10" s="124"/>
      <c r="O10" s="100"/>
      <c r="P10" s="126">
        <v>778</v>
      </c>
      <c r="Q10" s="161"/>
      <c r="R10" s="161"/>
      <c r="S10" s="126">
        <v>603.438286008667</v>
      </c>
      <c r="T10" s="158">
        <v>6.38149337858723</v>
      </c>
      <c r="U10" s="158"/>
      <c r="V10" s="158"/>
      <c r="W10" s="158"/>
      <c r="X10" s="159">
        <v>609.819779387254</v>
      </c>
      <c r="Y10" s="175">
        <v>6.57433255553199</v>
      </c>
      <c r="Z10" s="175"/>
      <c r="AA10" s="175"/>
      <c r="AB10" s="175">
        <v>6.57433255553199</v>
      </c>
      <c r="AC10" s="123">
        <v>7.1</v>
      </c>
      <c r="AD10" s="158">
        <v>46.6777611442771</v>
      </c>
      <c r="AE10" s="158">
        <v>656.497540531531</v>
      </c>
      <c r="AF10" s="158">
        <v>121.502459468469</v>
      </c>
    </row>
    <row r="11" s="179" customFormat="1" ht="18" customHeight="1" spans="1:32">
      <c r="A11" s="99" t="s">
        <v>80</v>
      </c>
      <c r="B11" s="181"/>
      <c r="C11" s="182"/>
      <c r="D11" s="183"/>
      <c r="E11" s="184"/>
      <c r="F11" s="181"/>
      <c r="G11" s="181"/>
      <c r="H11" s="181">
        <f>SUM(H5:H10)</f>
        <v>20.5497</v>
      </c>
      <c r="I11" s="189"/>
      <c r="J11" s="189"/>
      <c r="K11" s="189"/>
      <c r="L11" s="189"/>
      <c r="M11" s="190"/>
      <c r="N11" s="190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95"/>
      <c r="AC11" s="195"/>
      <c r="AD11" s="195"/>
      <c r="AE11" s="195"/>
      <c r="AF11" s="195">
        <f>SUM(AF5:AF10)</f>
        <v>10271.459079693</v>
      </c>
    </row>
    <row r="12" s="180" customFormat="1" ht="20" customHeight="1" spans="1:32">
      <c r="A12" s="185"/>
      <c r="B12" s="185"/>
      <c r="D12" s="186"/>
      <c r="H12" s="187"/>
      <c r="I12" s="191"/>
      <c r="J12" s="192"/>
      <c r="K12" s="187"/>
      <c r="L12" s="187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AF12" s="180">
        <v>102.55</v>
      </c>
    </row>
    <row r="13" s="1" customFormat="1" ht="23" customHeight="1" spans="3:32">
      <c r="C13" s="71" t="s">
        <v>45</v>
      </c>
      <c r="D13" s="71"/>
      <c r="E13" s="71"/>
      <c r="F13" s="107" t="s">
        <v>46</v>
      </c>
      <c r="G13" s="108"/>
      <c r="H13" s="108"/>
      <c r="I13" s="129"/>
      <c r="J13"/>
      <c r="K13" s="134" t="s">
        <v>81</v>
      </c>
      <c r="L13" s="134"/>
      <c r="M13" s="134"/>
      <c r="N13" s="134"/>
      <c r="O13"/>
      <c r="P13"/>
      <c r="AF13" s="67">
        <f>SUM(AF11-AF12)</f>
        <v>10168.909079693</v>
      </c>
    </row>
    <row r="14" s="1" customFormat="1" ht="23" customHeight="1" spans="3:16">
      <c r="C14" s="71"/>
      <c r="D14" s="71"/>
      <c r="E14" s="71"/>
      <c r="F14" s="109"/>
      <c r="G14" s="110"/>
      <c r="H14" s="110"/>
      <c r="I14" s="133"/>
      <c r="J14"/>
      <c r="K14" s="201" t="s">
        <v>48</v>
      </c>
      <c r="L14" s="201" t="s">
        <v>8</v>
      </c>
      <c r="M14" s="201" t="s">
        <v>49</v>
      </c>
      <c r="N14" s="201" t="s">
        <v>68</v>
      </c>
      <c r="O14"/>
      <c r="P14"/>
    </row>
    <row r="15" s="1" customFormat="1" ht="23" customHeight="1" spans="3:16">
      <c r="C15" s="71" t="s">
        <v>50</v>
      </c>
      <c r="D15" s="71"/>
      <c r="E15" s="71"/>
      <c r="F15" s="79" t="s">
        <v>51</v>
      </c>
      <c r="G15" s="80"/>
      <c r="H15" s="80"/>
      <c r="I15" s="81"/>
      <c r="J15"/>
      <c r="K15" s="134" t="s">
        <v>52</v>
      </c>
      <c r="L15" s="135">
        <f>SUM(H5:H10)</f>
        <v>20.5497</v>
      </c>
      <c r="M15" s="136">
        <v>10168.909079693</v>
      </c>
      <c r="N15" s="202" t="s">
        <v>82</v>
      </c>
      <c r="O15"/>
      <c r="P15"/>
    </row>
    <row r="16" s="1" customFormat="1" ht="23" customHeight="1" spans="3:16">
      <c r="C16" s="71"/>
      <c r="D16" s="71"/>
      <c r="E16" s="71"/>
      <c r="F16" s="82"/>
      <c r="G16" s="83"/>
      <c r="H16" s="83"/>
      <c r="I16" s="84"/>
      <c r="J16"/>
      <c r="K16" s="137" t="s">
        <v>53</v>
      </c>
      <c r="L16" s="137"/>
      <c r="M16" s="138"/>
      <c r="N16" s="203"/>
      <c r="O16"/>
      <c r="P16"/>
    </row>
    <row r="17" s="1" customFormat="1" ht="23" customHeight="1" spans="3:16">
      <c r="C17" s="71" t="s">
        <v>54</v>
      </c>
      <c r="D17" s="71"/>
      <c r="E17" s="71"/>
      <c r="F17" s="79" t="s">
        <v>55</v>
      </c>
      <c r="G17" s="80"/>
      <c r="H17" s="80"/>
      <c r="I17" s="81"/>
      <c r="J17"/>
      <c r="K17" s="139" t="s">
        <v>56</v>
      </c>
      <c r="L17" s="139"/>
      <c r="M17" s="140"/>
      <c r="N17" s="203"/>
      <c r="O17"/>
      <c r="P17"/>
    </row>
    <row r="18" s="1" customFormat="1" ht="23" customHeight="1" spans="3:16">
      <c r="C18" s="71"/>
      <c r="D18" s="71"/>
      <c r="E18" s="71"/>
      <c r="F18" s="82"/>
      <c r="G18" s="83"/>
      <c r="H18" s="83"/>
      <c r="I18" s="84"/>
      <c r="J18"/>
      <c r="K18" s="134" t="s">
        <v>57</v>
      </c>
      <c r="L18" s="134"/>
      <c r="M18" s="134">
        <v>0.1</v>
      </c>
      <c r="N18" s="203"/>
      <c r="O18"/>
      <c r="P18"/>
    </row>
    <row r="19" s="1" customFormat="1" ht="23" customHeight="1" spans="5:16">
      <c r="E19"/>
      <c r="F19"/>
      <c r="G19"/>
      <c r="H19"/>
      <c r="I19"/>
      <c r="J19"/>
      <c r="K19" s="137" t="s">
        <v>58</v>
      </c>
      <c r="L19" s="137"/>
      <c r="M19" s="138">
        <f>SUM(M15*M18)</f>
        <v>1016.8909079693</v>
      </c>
      <c r="N19" s="204"/>
      <c r="O19"/>
      <c r="P19"/>
    </row>
    <row r="20" s="1" customFormat="1" ht="23" customHeight="1" spans="5:16">
      <c r="E20"/>
      <c r="F20"/>
      <c r="G20"/>
      <c r="H20"/>
      <c r="I20"/>
      <c r="J20"/>
      <c r="K20"/>
      <c r="L20"/>
      <c r="M20"/>
      <c r="N20"/>
      <c r="O20"/>
      <c r="P20"/>
    </row>
    <row r="21" s="1" customFormat="1" ht="23" customHeight="1" spans="5:15">
      <c r="E21"/>
      <c r="F21"/>
      <c r="G21"/>
      <c r="H21"/>
      <c r="I21"/>
      <c r="J21"/>
      <c r="K21" s="141"/>
      <c r="L21" s="141"/>
      <c r="M21" s="141"/>
      <c r="N21" s="141"/>
      <c r="O21" s="141"/>
    </row>
    <row r="22" s="1" customFormat="1" ht="23" customHeight="1" spans="5:15">
      <c r="E22"/>
      <c r="F22"/>
      <c r="G22"/>
      <c r="H22"/>
      <c r="I22"/>
      <c r="J22"/>
      <c r="K22" s="141"/>
      <c r="L22" s="141"/>
      <c r="N22"/>
      <c r="O22"/>
    </row>
    <row r="23" s="1" customFormat="1" ht="23" customHeight="1" spans="5:19">
      <c r="E23"/>
      <c r="F23"/>
      <c r="G23"/>
      <c r="H23"/>
      <c r="I23"/>
      <c r="J23"/>
      <c r="K23" s="141"/>
      <c r="L23" s="141"/>
      <c r="N23"/>
      <c r="O23"/>
      <c r="P23"/>
      <c r="Q23"/>
      <c r="R23"/>
      <c r="S23" s="37"/>
    </row>
    <row r="24" s="1" customFormat="1" ht="23" customHeight="1" spans="5:19">
      <c r="E24" s="194"/>
      <c r="F24" s="194"/>
      <c r="G24" s="194"/>
      <c r="H24" s="194"/>
      <c r="I24" s="194"/>
      <c r="J24" s="194"/>
      <c r="K24" s="141"/>
      <c r="L24" s="141"/>
      <c r="N24"/>
      <c r="O24"/>
      <c r="P24" s="194"/>
      <c r="Q24" s="194"/>
      <c r="S24" s="37"/>
    </row>
    <row r="25" ht="25" customHeight="1" spans="11:15">
      <c r="K25" s="141"/>
      <c r="L25" s="141"/>
      <c r="M25" s="1"/>
      <c r="N25" s="1"/>
      <c r="O25" s="1"/>
    </row>
  </sheetData>
  <mergeCells count="24">
    <mergeCell ref="J3:P3"/>
    <mergeCell ref="R3:V3"/>
    <mergeCell ref="Y3:AD3"/>
    <mergeCell ref="K13:N1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15:N19"/>
    <mergeCell ref="Q3:Q4"/>
    <mergeCell ref="W3:W4"/>
    <mergeCell ref="X3:X4"/>
    <mergeCell ref="AF3:AF4"/>
    <mergeCell ref="C13:E14"/>
    <mergeCell ref="F13:I14"/>
    <mergeCell ref="C15:E16"/>
    <mergeCell ref="F15:I16"/>
    <mergeCell ref="C17:E18"/>
    <mergeCell ref="F17:I18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workbookViewId="0">
      <pane xSplit="14" ySplit="3" topLeftCell="O4" activePane="bottomRight" state="frozen"/>
      <selection/>
      <selection pane="topRight"/>
      <selection pane="bottomLeft"/>
      <selection pane="bottomRight" activeCell="M15" sqref="M15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2"/>
    <col min="10" max="10" width="11.25"/>
    <col min="11" max="11" width="9.125"/>
    <col min="12" max="13" width="13.625"/>
    <col min="14" max="14" width="11.375"/>
    <col min="15" max="16" width="14.75"/>
    <col min="17" max="17" width="10.125"/>
    <col min="18" max="18" width="12.5" customWidth="1"/>
    <col min="19" max="19" width="10.125"/>
    <col min="20" max="20" width="13.625"/>
    <col min="21" max="21" width="11.25"/>
    <col min="22" max="22" width="12.5"/>
    <col min="23" max="23" width="10.125"/>
    <col min="24" max="24" width="13.625"/>
    <col min="25" max="25" width="12.5"/>
    <col min="26" max="26" width="10.125"/>
    <col min="27" max="27" width="13.625"/>
    <col min="28" max="28" width="11.25"/>
    <col min="29" max="30" width="10.125"/>
    <col min="31" max="31" width="11.25"/>
    <col min="32" max="32" width="10.125"/>
  </cols>
  <sheetData>
    <row r="1" customFormat="1" ht="24" customHeight="1" spans="1:1">
      <c r="A1" s="88" t="s">
        <v>0</v>
      </c>
    </row>
    <row r="2" s="85" customFormat="1" ht="23" customHeight="1" spans="1:32">
      <c r="A2" s="89" t="s">
        <v>1</v>
      </c>
      <c r="B2" s="90" t="s">
        <v>2</v>
      </c>
      <c r="C2" s="91" t="s">
        <v>3</v>
      </c>
      <c r="D2" s="92" t="s">
        <v>4</v>
      </c>
      <c r="E2" s="93" t="s">
        <v>5</v>
      </c>
      <c r="F2" s="94" t="s">
        <v>6</v>
      </c>
      <c r="G2" s="94" t="s">
        <v>7</v>
      </c>
      <c r="H2" s="94" t="s">
        <v>8</v>
      </c>
      <c r="I2" s="94" t="s">
        <v>9</v>
      </c>
      <c r="J2" s="111" t="s">
        <v>10</v>
      </c>
      <c r="K2" s="112"/>
      <c r="L2" s="113"/>
      <c r="M2" s="112"/>
      <c r="N2" s="113"/>
      <c r="O2" s="114"/>
      <c r="P2" s="115"/>
      <c r="Q2" s="142" t="s">
        <v>11</v>
      </c>
      <c r="R2" s="143" t="s">
        <v>12</v>
      </c>
      <c r="S2" s="144"/>
      <c r="T2" s="145"/>
      <c r="U2" s="146"/>
      <c r="V2" s="147"/>
      <c r="W2" s="148" t="s">
        <v>13</v>
      </c>
      <c r="X2" s="149" t="s">
        <v>14</v>
      </c>
      <c r="Y2" s="165" t="s">
        <v>15</v>
      </c>
      <c r="Z2" s="165"/>
      <c r="AA2" s="165"/>
      <c r="AB2" s="165"/>
      <c r="AC2" s="166"/>
      <c r="AD2" s="165"/>
      <c r="AE2" s="167" t="s">
        <v>16</v>
      </c>
      <c r="AF2" s="168" t="s">
        <v>17</v>
      </c>
    </row>
    <row r="3" s="85" customFormat="1" ht="27" customHeight="1" spans="1:32">
      <c r="A3" s="95"/>
      <c r="B3" s="96"/>
      <c r="C3" s="91"/>
      <c r="D3" s="92"/>
      <c r="E3" s="97"/>
      <c r="F3" s="98"/>
      <c r="G3" s="98"/>
      <c r="H3" s="98"/>
      <c r="I3" s="98"/>
      <c r="J3" s="116" t="s">
        <v>18</v>
      </c>
      <c r="K3" s="117" t="s">
        <v>19</v>
      </c>
      <c r="L3" s="118" t="s">
        <v>20</v>
      </c>
      <c r="M3" s="117" t="s">
        <v>21</v>
      </c>
      <c r="N3" s="119" t="s">
        <v>22</v>
      </c>
      <c r="O3" s="120" t="s">
        <v>23</v>
      </c>
      <c r="P3" s="121" t="s">
        <v>24</v>
      </c>
      <c r="Q3" s="150"/>
      <c r="R3" s="151" t="s">
        <v>25</v>
      </c>
      <c r="S3" s="152" t="s">
        <v>26</v>
      </c>
      <c r="T3" s="153" t="s">
        <v>27</v>
      </c>
      <c r="U3" s="154" t="s">
        <v>28</v>
      </c>
      <c r="V3" s="153" t="s">
        <v>29</v>
      </c>
      <c r="W3" s="155"/>
      <c r="X3" s="156"/>
      <c r="Y3" s="169" t="s">
        <v>30</v>
      </c>
      <c r="Z3" s="169" t="s">
        <v>31</v>
      </c>
      <c r="AA3" s="169" t="s">
        <v>32</v>
      </c>
      <c r="AB3" s="170" t="s">
        <v>33</v>
      </c>
      <c r="AC3" s="171" t="s">
        <v>34</v>
      </c>
      <c r="AD3" s="172" t="s">
        <v>24</v>
      </c>
      <c r="AE3" s="173" t="s">
        <v>35</v>
      </c>
      <c r="AF3" s="174"/>
    </row>
    <row r="4" s="86" customFormat="1" ht="22" customHeight="1" spans="1:32">
      <c r="A4" s="99"/>
      <c r="B4" s="100"/>
      <c r="C4" s="101">
        <v>240617000014</v>
      </c>
      <c r="D4" s="102">
        <v>45470</v>
      </c>
      <c r="E4" s="102" t="s">
        <v>83</v>
      </c>
      <c r="F4" s="100" t="s">
        <v>84</v>
      </c>
      <c r="G4" s="100" t="s">
        <v>85</v>
      </c>
      <c r="H4" s="100">
        <v>0.3223</v>
      </c>
      <c r="I4" s="100">
        <v>145</v>
      </c>
      <c r="J4" s="126"/>
      <c r="K4" s="188">
        <v>282730</v>
      </c>
      <c r="L4" s="124"/>
      <c r="M4" s="125">
        <v>1744.49312025668</v>
      </c>
      <c r="N4" s="128">
        <v>162.07</v>
      </c>
      <c r="O4" s="100">
        <v>7.12</v>
      </c>
      <c r="P4" s="126">
        <v>1153.9384</v>
      </c>
      <c r="Q4" s="157"/>
      <c r="R4" s="157"/>
      <c r="S4" s="158">
        <v>310.099997058823</v>
      </c>
      <c r="T4" s="158">
        <v>2.52626323529412</v>
      </c>
      <c r="U4" s="158">
        <v>4.02875</v>
      </c>
      <c r="V4" s="158"/>
      <c r="W4" s="158"/>
      <c r="X4" s="159">
        <v>316.655010294118</v>
      </c>
      <c r="Y4" s="175">
        <v>50.4502351617647</v>
      </c>
      <c r="Z4" s="175">
        <v>17.26</v>
      </c>
      <c r="AA4" s="175">
        <v>0.206461588235294</v>
      </c>
      <c r="AB4" s="175">
        <v>67.91669675</v>
      </c>
      <c r="AC4" s="123">
        <v>7.12</v>
      </c>
      <c r="AD4" s="158">
        <v>483.56688086</v>
      </c>
      <c r="AE4" s="158">
        <v>800.221891154118</v>
      </c>
      <c r="AF4" s="158">
        <v>353.716508845882</v>
      </c>
    </row>
    <row r="5" s="86" customFormat="1" ht="22" customHeight="1" spans="1:32">
      <c r="A5" s="99"/>
      <c r="B5" s="100"/>
      <c r="C5" s="101">
        <v>240621000002</v>
      </c>
      <c r="D5" s="102">
        <v>45470</v>
      </c>
      <c r="E5" s="102" t="s">
        <v>83</v>
      </c>
      <c r="F5" s="100" t="s">
        <v>84</v>
      </c>
      <c r="G5" s="100" t="s">
        <v>86</v>
      </c>
      <c r="H5" s="100">
        <v>7.215</v>
      </c>
      <c r="I5" s="100">
        <v>975</v>
      </c>
      <c r="J5" s="122">
        <v>21110.59</v>
      </c>
      <c r="K5" s="123"/>
      <c r="L5" s="124"/>
      <c r="M5" s="125"/>
      <c r="N5" s="124"/>
      <c r="O5" s="100"/>
      <c r="P5" s="127">
        <v>21110.59</v>
      </c>
      <c r="Q5" s="161"/>
      <c r="R5" s="161"/>
      <c r="S5" s="126">
        <v>14823.994666505</v>
      </c>
      <c r="T5" s="158">
        <v>156.767023243129</v>
      </c>
      <c r="U5" s="158"/>
      <c r="V5" s="158"/>
      <c r="W5" s="158"/>
      <c r="X5" s="159">
        <v>14980.7616897481</v>
      </c>
      <c r="Y5" s="175">
        <v>161.504288008728</v>
      </c>
      <c r="Z5" s="175"/>
      <c r="AA5" s="175"/>
      <c r="AB5" s="175">
        <v>161.504288008728</v>
      </c>
      <c r="AC5" s="123">
        <v>7.1</v>
      </c>
      <c r="AD5" s="158">
        <v>1146.68044486197</v>
      </c>
      <c r="AE5" s="158">
        <v>16127.4421346101</v>
      </c>
      <c r="AF5" s="158">
        <v>4983.14786538993</v>
      </c>
    </row>
    <row r="6" ht="22" customHeight="1" spans="1:32">
      <c r="A6" s="196" t="s">
        <v>80</v>
      </c>
      <c r="B6" s="197"/>
      <c r="C6" s="197"/>
      <c r="D6" s="197"/>
      <c r="E6" s="197"/>
      <c r="F6" s="197"/>
      <c r="G6" s="197"/>
      <c r="H6" s="197">
        <f>SUM(H4:H5)</f>
        <v>7.5373</v>
      </c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200"/>
      <c r="Z6" s="200"/>
      <c r="AA6" s="200"/>
      <c r="AB6" s="200"/>
      <c r="AC6" s="200"/>
      <c r="AD6" s="200"/>
      <c r="AE6" s="200"/>
      <c r="AF6" s="200">
        <f>SUM(AF4:AF5)</f>
        <v>5336.86437423581</v>
      </c>
    </row>
    <row r="9" s="1" customFormat="1" ht="23" customHeight="1" spans="3:16">
      <c r="C9" s="71" t="s">
        <v>45</v>
      </c>
      <c r="D9" s="71"/>
      <c r="E9" s="71"/>
      <c r="F9" s="107" t="s">
        <v>46</v>
      </c>
      <c r="G9" s="108"/>
      <c r="H9" s="108"/>
      <c r="I9" s="129"/>
      <c r="J9"/>
      <c r="K9" s="130" t="s">
        <v>87</v>
      </c>
      <c r="L9" s="131"/>
      <c r="M9" s="132"/>
      <c r="N9"/>
      <c r="O9"/>
      <c r="P9"/>
    </row>
    <row r="10" s="1" customFormat="1" ht="23" customHeight="1" spans="3:16">
      <c r="C10" s="71"/>
      <c r="D10" s="71"/>
      <c r="E10" s="71"/>
      <c r="F10" s="109"/>
      <c r="G10" s="110"/>
      <c r="H10" s="110"/>
      <c r="I10" s="133"/>
      <c r="J10"/>
      <c r="K10" s="134" t="s">
        <v>48</v>
      </c>
      <c r="L10" s="134" t="s">
        <v>8</v>
      </c>
      <c r="M10" s="134" t="s">
        <v>49</v>
      </c>
      <c r="N10"/>
      <c r="O10"/>
      <c r="P10"/>
    </row>
    <row r="11" s="1" customFormat="1" ht="23" customHeight="1" spans="3:16">
      <c r="C11" s="71" t="s">
        <v>50</v>
      </c>
      <c r="D11" s="71"/>
      <c r="E11" s="71"/>
      <c r="F11" s="79" t="s">
        <v>51</v>
      </c>
      <c r="G11" s="80"/>
      <c r="H11" s="80"/>
      <c r="I11" s="81"/>
      <c r="J11"/>
      <c r="K11" s="134" t="s">
        <v>52</v>
      </c>
      <c r="L11" s="135">
        <f>SUM(H6)</f>
        <v>7.5373</v>
      </c>
      <c r="M11" s="136">
        <f>SUM(AF6)</f>
        <v>5336.86437423581</v>
      </c>
      <c r="N11"/>
      <c r="O11"/>
      <c r="P11"/>
    </row>
    <row r="12" s="1" customFormat="1" ht="23" customHeight="1" spans="3:16">
      <c r="C12" s="71"/>
      <c r="D12" s="71"/>
      <c r="E12" s="71"/>
      <c r="F12" s="82"/>
      <c r="G12" s="83"/>
      <c r="H12" s="83"/>
      <c r="I12" s="84"/>
      <c r="J12"/>
      <c r="K12" s="137" t="s">
        <v>53</v>
      </c>
      <c r="L12" s="137"/>
      <c r="M12" s="138">
        <v>6000</v>
      </c>
      <c r="N12"/>
      <c r="O12"/>
      <c r="P12"/>
    </row>
    <row r="13" s="1" customFormat="1" ht="23" customHeight="1" spans="3:16">
      <c r="C13" s="71" t="s">
        <v>54</v>
      </c>
      <c r="D13" s="71"/>
      <c r="E13" s="71"/>
      <c r="F13" s="79" t="s">
        <v>55</v>
      </c>
      <c r="G13" s="80"/>
      <c r="H13" s="80"/>
      <c r="I13" s="81"/>
      <c r="J13"/>
      <c r="K13" s="139" t="s">
        <v>56</v>
      </c>
      <c r="L13" s="139"/>
      <c r="M13" s="140">
        <f>SUM(M11-M12)</f>
        <v>-663.13562576419</v>
      </c>
      <c r="N13"/>
      <c r="O13"/>
      <c r="P13"/>
    </row>
    <row r="14" s="1" customFormat="1" ht="23" customHeight="1" spans="3:16">
      <c r="C14" s="71"/>
      <c r="D14" s="71"/>
      <c r="E14" s="71"/>
      <c r="F14" s="82"/>
      <c r="G14" s="83"/>
      <c r="H14" s="83"/>
      <c r="I14" s="84"/>
      <c r="J14"/>
      <c r="K14" s="134" t="s">
        <v>57</v>
      </c>
      <c r="L14" s="134"/>
      <c r="M14" s="134"/>
      <c r="N14"/>
      <c r="O14"/>
      <c r="P14"/>
    </row>
    <row r="15" s="1" customFormat="1" ht="23" customHeight="1" spans="5:16">
      <c r="E15"/>
      <c r="F15"/>
      <c r="G15"/>
      <c r="H15"/>
      <c r="I15"/>
      <c r="J15"/>
      <c r="K15" s="137" t="s">
        <v>58</v>
      </c>
      <c r="L15" s="198" t="s">
        <v>88</v>
      </c>
      <c r="M15" s="199">
        <f>SUM(M12-M13)</f>
        <v>6663.13562576419</v>
      </c>
      <c r="N15"/>
      <c r="O15"/>
      <c r="P15"/>
    </row>
    <row r="16" s="1" customFormat="1" ht="23" customHeight="1" spans="5:16">
      <c r="E16"/>
      <c r="F16"/>
      <c r="G16"/>
      <c r="H16"/>
      <c r="I16"/>
      <c r="J16"/>
      <c r="K16"/>
      <c r="L16"/>
      <c r="M16"/>
      <c r="N16"/>
      <c r="O16"/>
      <c r="P16"/>
    </row>
    <row r="17" s="1" customFormat="1" ht="23" customHeight="1" spans="5:15">
      <c r="E17"/>
      <c r="F17"/>
      <c r="G17"/>
      <c r="H17"/>
      <c r="I17"/>
      <c r="J17"/>
      <c r="K17" s="141"/>
      <c r="L17" s="141"/>
      <c r="M17" s="141"/>
      <c r="N17" s="141"/>
      <c r="O17" s="141"/>
    </row>
    <row r="18" s="1" customFormat="1" ht="23" customHeight="1" spans="5:15">
      <c r="E18"/>
      <c r="F18"/>
      <c r="G18"/>
      <c r="H18"/>
      <c r="I18"/>
      <c r="J18"/>
      <c r="K18" s="141"/>
      <c r="L18" s="141"/>
      <c r="N18"/>
      <c r="O18"/>
    </row>
    <row r="19" s="1" customFormat="1" ht="23" customHeight="1" spans="5:19">
      <c r="E19"/>
      <c r="F19"/>
      <c r="G19"/>
      <c r="H19"/>
      <c r="I19"/>
      <c r="J19"/>
      <c r="K19" s="141"/>
      <c r="L19" s="141"/>
      <c r="N19"/>
      <c r="O19"/>
      <c r="P19"/>
      <c r="Q19"/>
      <c r="R19"/>
      <c r="S19" s="37"/>
    </row>
    <row r="20" ht="28" customHeight="1" spans="11:13">
      <c r="K20" s="141"/>
      <c r="L20" s="141"/>
      <c r="M20" s="1"/>
    </row>
    <row r="21" spans="11:15">
      <c r="K21" s="141"/>
      <c r="L21" s="141"/>
      <c r="M21" s="1"/>
      <c r="N21" s="1"/>
      <c r="O21" s="1"/>
    </row>
  </sheetData>
  <autoFilter xmlns:etc="http://www.wps.cn/officeDocument/2017/etCustomData" ref="A2:AB19" etc:filterBottomFollowUsedRange="0">
    <extLst/>
  </autoFilter>
  <mergeCells count="23">
    <mergeCell ref="J2:P2"/>
    <mergeCell ref="R2:V2"/>
    <mergeCell ref="Y2:AD2"/>
    <mergeCell ref="K9:M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  <mergeCell ref="C9:E10"/>
    <mergeCell ref="F9:I10"/>
    <mergeCell ref="C11:E12"/>
    <mergeCell ref="F11:I12"/>
    <mergeCell ref="C13:E14"/>
    <mergeCell ref="F13:I14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"/>
  <sheetViews>
    <sheetView workbookViewId="0">
      <pane xSplit="14" ySplit="4" topLeftCell="Z5" activePane="bottomRight" state="frozen"/>
      <selection/>
      <selection pane="topRight"/>
      <selection pane="bottomLeft"/>
      <selection pane="bottomRight" activeCell="I21" sqref="I21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3.6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8" t="s">
        <v>0</v>
      </c>
    </row>
    <row r="2" customFormat="1" ht="6" customHeight="1" spans="1:1">
      <c r="A2" s="88"/>
    </row>
    <row r="3" s="85" customFormat="1" ht="23" customHeight="1" spans="1:32">
      <c r="A3" s="89" t="s">
        <v>1</v>
      </c>
      <c r="B3" s="90" t="s">
        <v>2</v>
      </c>
      <c r="C3" s="91" t="s">
        <v>3</v>
      </c>
      <c r="D3" s="92" t="s">
        <v>4</v>
      </c>
      <c r="E3" s="93" t="s">
        <v>5</v>
      </c>
      <c r="F3" s="94" t="s">
        <v>6</v>
      </c>
      <c r="G3" s="94" t="s">
        <v>7</v>
      </c>
      <c r="H3" s="94" t="s">
        <v>8</v>
      </c>
      <c r="I3" s="94" t="s">
        <v>9</v>
      </c>
      <c r="J3" s="111" t="s">
        <v>10</v>
      </c>
      <c r="K3" s="112"/>
      <c r="L3" s="113"/>
      <c r="M3" s="112"/>
      <c r="N3" s="113"/>
      <c r="O3" s="114"/>
      <c r="P3" s="115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5" customFormat="1" ht="27" customHeight="1" spans="1:32">
      <c r="A4" s="95"/>
      <c r="B4" s="96"/>
      <c r="C4" s="91"/>
      <c r="D4" s="92"/>
      <c r="E4" s="97"/>
      <c r="F4" s="98"/>
      <c r="G4" s="98"/>
      <c r="H4" s="98"/>
      <c r="I4" s="98"/>
      <c r="J4" s="116" t="s">
        <v>18</v>
      </c>
      <c r="K4" s="117" t="s">
        <v>19</v>
      </c>
      <c r="L4" s="118" t="s">
        <v>20</v>
      </c>
      <c r="M4" s="117" t="s">
        <v>21</v>
      </c>
      <c r="N4" s="119" t="s">
        <v>22</v>
      </c>
      <c r="O4" s="120" t="s">
        <v>23</v>
      </c>
      <c r="P4" s="121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6" customFormat="1" ht="21" customHeight="1" spans="1:32">
      <c r="A5" s="99"/>
      <c r="B5" s="100"/>
      <c r="C5" s="101">
        <v>241031000031</v>
      </c>
      <c r="D5" s="102">
        <v>45456</v>
      </c>
      <c r="E5" s="102" t="s">
        <v>89</v>
      </c>
      <c r="F5" s="100" t="s">
        <v>90</v>
      </c>
      <c r="G5" s="100" t="s">
        <v>91</v>
      </c>
      <c r="H5" s="100">
        <v>4.4495</v>
      </c>
      <c r="I5" s="100">
        <v>795</v>
      </c>
      <c r="J5" s="122">
        <v>10251.65</v>
      </c>
      <c r="K5" s="188"/>
      <c r="L5" s="124"/>
      <c r="M5" s="125"/>
      <c r="N5" s="124"/>
      <c r="O5" s="100"/>
      <c r="P5" s="126">
        <v>10251.65</v>
      </c>
      <c r="Q5" s="160"/>
      <c r="R5" s="160"/>
      <c r="S5" s="158">
        <v>10182.5046063223</v>
      </c>
      <c r="T5" s="158">
        <v>81.4330161054173</v>
      </c>
      <c r="U5" s="158"/>
      <c r="V5" s="158"/>
      <c r="W5" s="158"/>
      <c r="X5" s="159">
        <v>10263.9376224277</v>
      </c>
      <c r="Y5" s="175"/>
      <c r="Z5" s="175"/>
      <c r="AA5" s="175"/>
      <c r="AB5" s="175">
        <v>0</v>
      </c>
      <c r="AC5" s="123"/>
      <c r="AD5" s="158">
        <v>0</v>
      </c>
      <c r="AE5" s="158">
        <v>10263.9376224277</v>
      </c>
      <c r="AF5" s="158">
        <v>-12.2876224277006</v>
      </c>
    </row>
    <row r="6" s="86" customFormat="1" ht="21" customHeight="1" spans="1:32">
      <c r="A6" s="99"/>
      <c r="B6" s="100"/>
      <c r="C6" s="101">
        <v>240626000037</v>
      </c>
      <c r="D6" s="102">
        <v>45470</v>
      </c>
      <c r="E6" s="102" t="s">
        <v>89</v>
      </c>
      <c r="F6" s="100" t="s">
        <v>92</v>
      </c>
      <c r="G6" s="100" t="s">
        <v>93</v>
      </c>
      <c r="H6" s="100">
        <v>0.9428</v>
      </c>
      <c r="I6" s="100">
        <v>188</v>
      </c>
      <c r="J6" s="122">
        <v>3034.1</v>
      </c>
      <c r="K6" s="123"/>
      <c r="L6" s="124"/>
      <c r="M6" s="125"/>
      <c r="N6" s="124"/>
      <c r="O6" s="100"/>
      <c r="P6" s="127">
        <v>3034.1</v>
      </c>
      <c r="Q6" s="157"/>
      <c r="R6" s="157"/>
      <c r="S6" s="158">
        <v>907.112247058824</v>
      </c>
      <c r="T6" s="158">
        <v>7.38988823529412</v>
      </c>
      <c r="U6" s="158">
        <v>11.785</v>
      </c>
      <c r="V6" s="158"/>
      <c r="W6" s="158"/>
      <c r="X6" s="159">
        <v>926.287135294118</v>
      </c>
      <c r="Y6" s="175">
        <v>147.578286411765</v>
      </c>
      <c r="Z6" s="175"/>
      <c r="AA6" s="175">
        <v>0.603946588235294</v>
      </c>
      <c r="AB6" s="175">
        <v>148.182233</v>
      </c>
      <c r="AC6" s="123">
        <v>7.12</v>
      </c>
      <c r="AD6" s="158">
        <v>1055.05749896</v>
      </c>
      <c r="AE6" s="158">
        <v>1981.34463425412</v>
      </c>
      <c r="AF6" s="158">
        <v>1052.75536574588</v>
      </c>
    </row>
    <row r="7" s="86" customFormat="1" ht="21" customHeight="1" spans="1:32">
      <c r="A7" s="99"/>
      <c r="B7" s="100"/>
      <c r="C7" s="101">
        <v>240626000038</v>
      </c>
      <c r="D7" s="102">
        <v>45470</v>
      </c>
      <c r="E7" s="102" t="s">
        <v>89</v>
      </c>
      <c r="F7" s="100" t="s">
        <v>92</v>
      </c>
      <c r="G7" s="100" t="s">
        <v>93</v>
      </c>
      <c r="H7" s="100">
        <v>2.178</v>
      </c>
      <c r="I7" s="100">
        <v>178</v>
      </c>
      <c r="J7" s="122">
        <v>5331.74</v>
      </c>
      <c r="K7" s="123"/>
      <c r="L7" s="124"/>
      <c r="M7" s="125"/>
      <c r="N7" s="124"/>
      <c r="O7" s="100"/>
      <c r="P7" s="127">
        <v>5331.74</v>
      </c>
      <c r="Q7" s="157"/>
      <c r="R7" s="157"/>
      <c r="S7" s="158">
        <v>2095.55629411765</v>
      </c>
      <c r="T7" s="158">
        <v>17.0716764705882</v>
      </c>
      <c r="U7" s="158">
        <v>27.225</v>
      </c>
      <c r="V7" s="158"/>
      <c r="W7" s="158"/>
      <c r="X7" s="159">
        <v>2139.85297058823</v>
      </c>
      <c r="Y7" s="175">
        <v>340.926503823529</v>
      </c>
      <c r="Z7" s="175"/>
      <c r="AA7" s="175">
        <v>1.39520117647059</v>
      </c>
      <c r="AB7" s="175">
        <v>342.321705</v>
      </c>
      <c r="AC7" s="123">
        <v>7.12</v>
      </c>
      <c r="AD7" s="158">
        <v>2437.3305396</v>
      </c>
      <c r="AE7" s="158">
        <v>4577.18351018823</v>
      </c>
      <c r="AF7" s="158">
        <v>754.55648981177</v>
      </c>
    </row>
    <row r="8" s="86" customFormat="1" ht="21" customHeight="1" spans="1:32">
      <c r="A8" s="99"/>
      <c r="B8" s="100"/>
      <c r="C8" s="101">
        <v>240626000039</v>
      </c>
      <c r="D8" s="102">
        <v>45470</v>
      </c>
      <c r="E8" s="102" t="s">
        <v>89</v>
      </c>
      <c r="F8" s="100" t="s">
        <v>92</v>
      </c>
      <c r="G8" s="100" t="s">
        <v>93</v>
      </c>
      <c r="H8" s="100">
        <v>1.1137</v>
      </c>
      <c r="I8" s="100">
        <v>719</v>
      </c>
      <c r="J8" s="122">
        <v>2807.28</v>
      </c>
      <c r="K8" s="123"/>
      <c r="L8" s="124"/>
      <c r="M8" s="125"/>
      <c r="N8" s="124"/>
      <c r="O8" s="100"/>
      <c r="P8" s="127">
        <v>2807.28</v>
      </c>
      <c r="Q8" s="157"/>
      <c r="R8" s="157"/>
      <c r="S8" s="158">
        <v>1071.54317941176</v>
      </c>
      <c r="T8" s="158">
        <v>8.72944264705882</v>
      </c>
      <c r="U8" s="158">
        <v>13.92125</v>
      </c>
      <c r="V8" s="158"/>
      <c r="W8" s="158"/>
      <c r="X8" s="159">
        <v>1094.19387205882</v>
      </c>
      <c r="Y8" s="175">
        <v>174.329590132353</v>
      </c>
      <c r="Z8" s="175"/>
      <c r="AA8" s="175">
        <v>0.713423117647059</v>
      </c>
      <c r="AB8" s="175">
        <v>175.04301325</v>
      </c>
      <c r="AC8" s="123">
        <v>7.12</v>
      </c>
      <c r="AD8" s="158">
        <v>1246.30625434</v>
      </c>
      <c r="AE8" s="158">
        <v>2340.50012639882</v>
      </c>
      <c r="AF8" s="158">
        <v>466.77987360118</v>
      </c>
    </row>
    <row r="9" s="179" customFormat="1" ht="21" customHeight="1" spans="1:32">
      <c r="A9" s="99" t="s">
        <v>80</v>
      </c>
      <c r="B9" s="181"/>
      <c r="C9" s="182"/>
      <c r="D9" s="183"/>
      <c r="E9" s="184"/>
      <c r="F9" s="181"/>
      <c r="G9" s="181"/>
      <c r="H9" s="181">
        <f>SUM(H5:H8)</f>
        <v>8.684</v>
      </c>
      <c r="I9" s="189"/>
      <c r="J9" s="189"/>
      <c r="K9" s="189"/>
      <c r="L9" s="189"/>
      <c r="M9" s="190"/>
      <c r="N9" s="190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95"/>
      <c r="AC9" s="195"/>
      <c r="AD9" s="195"/>
      <c r="AE9" s="195"/>
      <c r="AF9" s="195">
        <f>SUM(AF5:AF8)</f>
        <v>2261.80410673113</v>
      </c>
    </row>
    <row r="10" s="180" customFormat="1" ht="20" customHeight="1" spans="1:25">
      <c r="A10" s="185"/>
      <c r="B10" s="185"/>
      <c r="D10" s="186"/>
      <c r="H10" s="187"/>
      <c r="I10" s="191"/>
      <c r="J10" s="192"/>
      <c r="K10" s="187"/>
      <c r="L10" s="187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</row>
    <row r="11" s="1" customFormat="1" ht="23" customHeight="1" spans="3:16">
      <c r="C11" s="71" t="s">
        <v>45</v>
      </c>
      <c r="D11" s="71"/>
      <c r="E11" s="71"/>
      <c r="F11" s="107" t="s">
        <v>46</v>
      </c>
      <c r="G11" s="108"/>
      <c r="H11" s="108"/>
      <c r="I11" s="129"/>
      <c r="J11"/>
      <c r="K11" s="130" t="s">
        <v>94</v>
      </c>
      <c r="L11" s="131"/>
      <c r="M11" s="132"/>
      <c r="N11"/>
      <c r="O11"/>
      <c r="P11"/>
    </row>
    <row r="12" s="1" customFormat="1" ht="23" customHeight="1" spans="3:16">
      <c r="C12" s="71"/>
      <c r="D12" s="71"/>
      <c r="E12" s="71"/>
      <c r="F12" s="109"/>
      <c r="G12" s="110"/>
      <c r="H12" s="110"/>
      <c r="I12" s="133"/>
      <c r="J12"/>
      <c r="K12" s="134" t="s">
        <v>48</v>
      </c>
      <c r="L12" s="134" t="s">
        <v>8</v>
      </c>
      <c r="M12" s="134" t="s">
        <v>49</v>
      </c>
      <c r="N12"/>
      <c r="O12"/>
      <c r="P12"/>
    </row>
    <row r="13" s="1" customFormat="1" ht="23" customHeight="1" spans="3:16">
      <c r="C13" s="71" t="s">
        <v>50</v>
      </c>
      <c r="D13" s="71"/>
      <c r="E13" s="71"/>
      <c r="F13" s="79" t="s">
        <v>51</v>
      </c>
      <c r="G13" s="80"/>
      <c r="H13" s="80"/>
      <c r="I13" s="81"/>
      <c r="J13"/>
      <c r="K13" s="134" t="s">
        <v>52</v>
      </c>
      <c r="L13" s="135">
        <f>SUM(H5:H8)</f>
        <v>8.684</v>
      </c>
      <c r="M13" s="136">
        <f>SUM(AF9)</f>
        <v>2261.80410673113</v>
      </c>
      <c r="N13"/>
      <c r="O13"/>
      <c r="P13"/>
    </row>
    <row r="14" s="1" customFormat="1" ht="23" customHeight="1" spans="3:16">
      <c r="C14" s="71"/>
      <c r="D14" s="71"/>
      <c r="E14" s="71"/>
      <c r="F14" s="82"/>
      <c r="G14" s="83"/>
      <c r="H14" s="83"/>
      <c r="I14" s="84"/>
      <c r="J14"/>
      <c r="K14" s="139" t="s">
        <v>56</v>
      </c>
      <c r="L14" s="139"/>
      <c r="M14" s="140">
        <f>SUM(M13:M13)</f>
        <v>2261.80410673113</v>
      </c>
      <c r="N14"/>
      <c r="O14"/>
      <c r="P14"/>
    </row>
    <row r="15" s="1" customFormat="1" ht="23" customHeight="1" spans="3:16">
      <c r="C15" s="71" t="s">
        <v>54</v>
      </c>
      <c r="D15" s="71"/>
      <c r="E15" s="71"/>
      <c r="F15" s="79" t="s">
        <v>55</v>
      </c>
      <c r="G15" s="80"/>
      <c r="H15" s="80"/>
      <c r="I15" s="81"/>
      <c r="J15"/>
      <c r="K15" s="134" t="s">
        <v>57</v>
      </c>
      <c r="L15" s="134"/>
      <c r="M15" s="134">
        <v>0.4</v>
      </c>
      <c r="N15"/>
      <c r="O15"/>
      <c r="P15"/>
    </row>
    <row r="16" s="1" customFormat="1" ht="23" customHeight="1" spans="3:16">
      <c r="C16" s="71"/>
      <c r="D16" s="71"/>
      <c r="E16" s="71"/>
      <c r="F16" s="82"/>
      <c r="G16" s="83"/>
      <c r="H16" s="83"/>
      <c r="I16" s="84"/>
      <c r="J16"/>
      <c r="K16" s="137" t="s">
        <v>58</v>
      </c>
      <c r="L16" s="137"/>
      <c r="M16" s="138">
        <f>SUM(M14*M15)</f>
        <v>904.721642692452</v>
      </c>
      <c r="N16"/>
      <c r="O16"/>
      <c r="P16"/>
    </row>
    <row r="17" s="1" customFormat="1" ht="23" customHeight="1" spans="5:16">
      <c r="E17"/>
      <c r="F17"/>
      <c r="G17"/>
      <c r="H17"/>
      <c r="I17"/>
      <c r="J17"/>
      <c r="K17" s="194"/>
      <c r="L17" s="194"/>
      <c r="M17" s="194"/>
      <c r="N17"/>
      <c r="O17"/>
      <c r="P17"/>
    </row>
    <row r="18" s="1" customFormat="1" ht="23" customHeight="1" spans="11:16">
      <c r="K18"/>
      <c r="L18"/>
      <c r="M18"/>
      <c r="N18"/>
      <c r="O18"/>
      <c r="P18"/>
    </row>
    <row r="19" s="1" customFormat="1" ht="23" customHeight="1" spans="11:15">
      <c r="K19" s="141"/>
      <c r="L19" s="141"/>
      <c r="M19" s="141"/>
      <c r="N19" s="141"/>
      <c r="O19" s="141"/>
    </row>
    <row r="20" s="1" customFormat="1" ht="23" customHeight="1" spans="11:15">
      <c r="K20" s="141"/>
      <c r="L20" s="141"/>
      <c r="N20"/>
      <c r="O20"/>
    </row>
    <row r="21" s="1" customFormat="1" ht="23" customHeight="1" spans="11:19">
      <c r="K21" s="141"/>
      <c r="L21" s="141"/>
      <c r="N21"/>
      <c r="O21"/>
      <c r="P21"/>
      <c r="Q21"/>
      <c r="R21"/>
      <c r="S21" s="37"/>
    </row>
    <row r="22" s="1" customFormat="1" ht="23" customHeight="1" spans="11:19">
      <c r="K22" s="141"/>
      <c r="L22" s="141"/>
      <c r="N22"/>
      <c r="O22"/>
      <c r="P22" s="194"/>
      <c r="Q22" s="194"/>
      <c r="S22" s="37"/>
    </row>
    <row r="23" ht="25" customHeight="1" spans="11:15">
      <c r="K23" s="141"/>
      <c r="L23" s="141"/>
      <c r="M23" s="1"/>
      <c r="N23" s="1"/>
      <c r="O23" s="1"/>
    </row>
  </sheetData>
  <mergeCells count="23">
    <mergeCell ref="J3:P3"/>
    <mergeCell ref="R3:V3"/>
    <mergeCell ref="Y3:AD3"/>
    <mergeCell ref="K11:M1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1:E12"/>
    <mergeCell ref="F11:I12"/>
    <mergeCell ref="C13:E14"/>
    <mergeCell ref="F13:I14"/>
    <mergeCell ref="C15:E16"/>
    <mergeCell ref="F15:I16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6"/>
  <sheetViews>
    <sheetView workbookViewId="0">
      <pane xSplit="13" ySplit="4" topLeftCell="Z5" activePane="bottomRight" state="frozen"/>
      <selection/>
      <selection pane="topRight"/>
      <selection pane="bottomLeft"/>
      <selection pane="bottomRight" activeCell="F7" sqref="F7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7.5" customWidth="1"/>
    <col min="10" max="10" width="12"/>
    <col min="11" max="11" width="10.125"/>
    <col min="12" max="12" width="15.875"/>
    <col min="13" max="13" width="17.25"/>
    <col min="14" max="14" width="10.375"/>
    <col min="15" max="15" width="17.25"/>
    <col min="16" max="16" width="14.75"/>
    <col min="17" max="17" width="10.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1" width="14.75"/>
    <col min="32" max="32" width="13.625"/>
  </cols>
  <sheetData>
    <row r="1" customFormat="1" ht="24" customHeight="1" spans="1:1">
      <c r="A1" s="88" t="s">
        <v>0</v>
      </c>
    </row>
    <row r="2" customFormat="1" ht="6" customHeight="1" spans="1:1">
      <c r="A2" s="88"/>
    </row>
    <row r="3" s="85" customFormat="1" ht="23" customHeight="1" spans="1:32">
      <c r="A3" s="89" t="s">
        <v>1</v>
      </c>
      <c r="B3" s="90" t="s">
        <v>2</v>
      </c>
      <c r="C3" s="91" t="s">
        <v>3</v>
      </c>
      <c r="D3" s="92" t="s">
        <v>4</v>
      </c>
      <c r="E3" s="93" t="s">
        <v>5</v>
      </c>
      <c r="F3" s="94" t="s">
        <v>6</v>
      </c>
      <c r="G3" s="94" t="s">
        <v>7</v>
      </c>
      <c r="H3" s="94" t="s">
        <v>8</v>
      </c>
      <c r="I3" s="94" t="s">
        <v>9</v>
      </c>
      <c r="J3" s="111" t="s">
        <v>10</v>
      </c>
      <c r="K3" s="112"/>
      <c r="L3" s="113"/>
      <c r="M3" s="112"/>
      <c r="N3" s="113"/>
      <c r="O3" s="114"/>
      <c r="P3" s="115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5" customFormat="1" ht="27" customHeight="1" spans="1:32">
      <c r="A4" s="95"/>
      <c r="B4" s="96"/>
      <c r="C4" s="91"/>
      <c r="D4" s="92"/>
      <c r="E4" s="97"/>
      <c r="F4" s="98"/>
      <c r="G4" s="98"/>
      <c r="H4" s="98"/>
      <c r="I4" s="98"/>
      <c r="J4" s="116" t="s">
        <v>18</v>
      </c>
      <c r="K4" s="117" t="s">
        <v>19</v>
      </c>
      <c r="L4" s="118" t="s">
        <v>20</v>
      </c>
      <c r="M4" s="117" t="s">
        <v>21</v>
      </c>
      <c r="N4" s="119" t="s">
        <v>22</v>
      </c>
      <c r="O4" s="120" t="s">
        <v>23</v>
      </c>
      <c r="P4" s="121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6" customFormat="1" ht="21" customHeight="1" spans="1:32">
      <c r="A5" s="99"/>
      <c r="B5" s="100"/>
      <c r="C5" s="101">
        <v>240607000057</v>
      </c>
      <c r="D5" s="102">
        <v>45456</v>
      </c>
      <c r="E5" s="102" t="s">
        <v>92</v>
      </c>
      <c r="F5" s="100" t="s">
        <v>92</v>
      </c>
      <c r="G5" s="100" t="s">
        <v>95</v>
      </c>
      <c r="H5" s="100">
        <v>3.5715</v>
      </c>
      <c r="I5" s="100">
        <v>587</v>
      </c>
      <c r="J5" s="122">
        <v>9711.62</v>
      </c>
      <c r="K5" s="123"/>
      <c r="L5" s="124"/>
      <c r="M5" s="125"/>
      <c r="N5" s="124"/>
      <c r="O5" s="100"/>
      <c r="P5" s="126">
        <v>9711.62</v>
      </c>
      <c r="Q5" s="157"/>
      <c r="R5" s="157"/>
      <c r="S5" s="158">
        <v>8173.23636396897</v>
      </c>
      <c r="T5" s="158">
        <v>65.3642020497804</v>
      </c>
      <c r="U5" s="158"/>
      <c r="V5" s="158"/>
      <c r="W5" s="158"/>
      <c r="X5" s="159">
        <v>8238.60056601875</v>
      </c>
      <c r="Y5" s="175"/>
      <c r="Z5" s="175"/>
      <c r="AA5" s="175"/>
      <c r="AB5" s="175">
        <v>0</v>
      </c>
      <c r="AC5" s="123"/>
      <c r="AD5" s="158">
        <v>0</v>
      </c>
      <c r="AE5" s="158">
        <v>8238.60056601875</v>
      </c>
      <c r="AF5" s="158">
        <v>1473.01943398125</v>
      </c>
    </row>
    <row r="6" s="86" customFormat="1" ht="21" customHeight="1" spans="1:32">
      <c r="A6" s="99"/>
      <c r="B6" s="100"/>
      <c r="C6" s="101">
        <v>240619000002</v>
      </c>
      <c r="D6" s="102">
        <v>45470</v>
      </c>
      <c r="E6" s="102" t="s">
        <v>92</v>
      </c>
      <c r="F6" s="100" t="s">
        <v>92</v>
      </c>
      <c r="G6" s="100" t="s">
        <v>96</v>
      </c>
      <c r="H6" s="100">
        <v>4.1762</v>
      </c>
      <c r="I6" s="100">
        <v>308</v>
      </c>
      <c r="J6" s="122">
        <v>10081.3</v>
      </c>
      <c r="K6" s="123"/>
      <c r="L6" s="124"/>
      <c r="M6" s="125"/>
      <c r="N6" s="124"/>
      <c r="O6" s="100"/>
      <c r="P6" s="127">
        <v>10081.3</v>
      </c>
      <c r="Q6" s="157"/>
      <c r="R6" s="157"/>
      <c r="S6" s="158">
        <v>4018.11854705882</v>
      </c>
      <c r="T6" s="158">
        <v>32.7340382352941</v>
      </c>
      <c r="U6" s="158">
        <v>52.2025</v>
      </c>
      <c r="V6" s="158"/>
      <c r="W6" s="158"/>
      <c r="X6" s="159">
        <v>4103.05508529412</v>
      </c>
      <c r="Y6" s="175">
        <v>653.708569911765</v>
      </c>
      <c r="Z6" s="175"/>
      <c r="AA6" s="175">
        <v>2.67522458823529</v>
      </c>
      <c r="AB6" s="175">
        <v>656.3837945</v>
      </c>
      <c r="AC6" s="123">
        <v>7.12</v>
      </c>
      <c r="AD6" s="158">
        <v>4673.45261684</v>
      </c>
      <c r="AE6" s="158">
        <v>8776.50770213412</v>
      </c>
      <c r="AF6" s="158">
        <v>1304.79229786588</v>
      </c>
    </row>
    <row r="7" s="86" customFormat="1" ht="21" customHeight="1" spans="1:32">
      <c r="A7" s="99"/>
      <c r="B7" s="100"/>
      <c r="C7" s="101">
        <v>240622000007</v>
      </c>
      <c r="D7" s="102">
        <v>45470</v>
      </c>
      <c r="E7" s="102" t="s">
        <v>92</v>
      </c>
      <c r="F7" s="100" t="s">
        <v>92</v>
      </c>
      <c r="G7" s="100" t="s">
        <v>95</v>
      </c>
      <c r="H7" s="100">
        <v>0.1344</v>
      </c>
      <c r="I7" s="100">
        <v>44</v>
      </c>
      <c r="J7" s="122">
        <v>426</v>
      </c>
      <c r="K7" s="123"/>
      <c r="L7" s="124"/>
      <c r="M7" s="125"/>
      <c r="N7" s="124"/>
      <c r="O7" s="100"/>
      <c r="P7" s="127">
        <v>426</v>
      </c>
      <c r="Q7" s="157"/>
      <c r="R7" s="157"/>
      <c r="S7" s="158">
        <v>129.312564705882</v>
      </c>
      <c r="T7" s="158">
        <v>1.05345882352941</v>
      </c>
      <c r="U7" s="158">
        <v>1.68</v>
      </c>
      <c r="V7" s="158"/>
      <c r="W7" s="158"/>
      <c r="X7" s="159">
        <v>132.046023529412</v>
      </c>
      <c r="Y7" s="175">
        <v>21.0378889411765</v>
      </c>
      <c r="Z7" s="175"/>
      <c r="AA7" s="175">
        <v>0.0860950588235294</v>
      </c>
      <c r="AB7" s="175">
        <v>21.123984</v>
      </c>
      <c r="AC7" s="123">
        <v>7.12</v>
      </c>
      <c r="AD7" s="158">
        <v>150.40276608</v>
      </c>
      <c r="AE7" s="158">
        <v>282.448789609412</v>
      </c>
      <c r="AF7" s="158">
        <v>143.551210390588</v>
      </c>
    </row>
    <row r="8" s="86" customFormat="1" ht="21" customHeight="1" spans="1:32">
      <c r="A8" s="99"/>
      <c r="B8" s="100"/>
      <c r="C8" s="101">
        <v>240625000041</v>
      </c>
      <c r="D8" s="102">
        <v>45470</v>
      </c>
      <c r="E8" s="102" t="s">
        <v>92</v>
      </c>
      <c r="F8" s="100" t="s">
        <v>92</v>
      </c>
      <c r="G8" s="100" t="s">
        <v>97</v>
      </c>
      <c r="H8" s="100">
        <v>19.56</v>
      </c>
      <c r="I8" s="100">
        <v>2429.25</v>
      </c>
      <c r="J8" s="122">
        <v>35563.01</v>
      </c>
      <c r="K8" s="123"/>
      <c r="L8" s="124"/>
      <c r="M8" s="125"/>
      <c r="N8" s="128"/>
      <c r="O8" s="100"/>
      <c r="P8" s="127">
        <v>35563.01</v>
      </c>
      <c r="Q8" s="157"/>
      <c r="R8" s="157"/>
      <c r="S8" s="158">
        <v>18819.5964705882</v>
      </c>
      <c r="T8" s="158">
        <v>153.315882352941</v>
      </c>
      <c r="U8" s="158">
        <v>244.5</v>
      </c>
      <c r="V8" s="158"/>
      <c r="W8" s="158"/>
      <c r="X8" s="159">
        <v>19217.4123529412</v>
      </c>
      <c r="Y8" s="175">
        <v>3061.76419411765</v>
      </c>
      <c r="Z8" s="175"/>
      <c r="AA8" s="175">
        <v>12.5299058823529</v>
      </c>
      <c r="AB8" s="175">
        <v>3074.2941</v>
      </c>
      <c r="AC8" s="123">
        <v>7.12</v>
      </c>
      <c r="AD8" s="158">
        <v>21888.973992</v>
      </c>
      <c r="AE8" s="158">
        <v>41106.3863449412</v>
      </c>
      <c r="AF8" s="158">
        <v>-5543.3763449412</v>
      </c>
    </row>
    <row r="9" s="86" customFormat="1" ht="21" customHeight="1" spans="1:32">
      <c r="A9" s="99"/>
      <c r="B9" s="100"/>
      <c r="C9" s="101">
        <v>240627000022</v>
      </c>
      <c r="D9" s="102">
        <v>45470</v>
      </c>
      <c r="E9" s="102" t="s">
        <v>92</v>
      </c>
      <c r="F9" s="100" t="s">
        <v>92</v>
      </c>
      <c r="G9" s="100" t="s">
        <v>98</v>
      </c>
      <c r="H9" s="100">
        <v>0.8852</v>
      </c>
      <c r="I9" s="100">
        <v>140.4</v>
      </c>
      <c r="J9" s="122">
        <v>2136.9</v>
      </c>
      <c r="K9" s="123"/>
      <c r="L9" s="124"/>
      <c r="M9" s="125"/>
      <c r="N9" s="124"/>
      <c r="O9" s="100"/>
      <c r="P9" s="127">
        <v>2136.9</v>
      </c>
      <c r="Q9" s="160"/>
      <c r="R9" s="160"/>
      <c r="S9" s="158">
        <v>851.692576470588</v>
      </c>
      <c r="T9" s="158">
        <v>6.93840588235294</v>
      </c>
      <c r="U9" s="158">
        <v>11.065</v>
      </c>
      <c r="V9" s="158"/>
      <c r="W9" s="158"/>
      <c r="X9" s="159">
        <v>869.695982352941</v>
      </c>
      <c r="Y9" s="175">
        <v>138.562048294118</v>
      </c>
      <c r="Z9" s="175"/>
      <c r="AA9" s="175">
        <v>0.567048705882353</v>
      </c>
      <c r="AB9" s="175">
        <v>139.129097</v>
      </c>
      <c r="AC9" s="123">
        <v>7.12</v>
      </c>
      <c r="AD9" s="158">
        <v>990.599170640002</v>
      </c>
      <c r="AE9" s="158">
        <v>1860.29515299294</v>
      </c>
      <c r="AF9" s="158">
        <v>276.60484700706</v>
      </c>
    </row>
    <row r="10" s="86" customFormat="1" ht="21" customHeight="1" spans="1:32">
      <c r="A10" s="99"/>
      <c r="B10" s="100"/>
      <c r="C10" s="101">
        <v>240625000038</v>
      </c>
      <c r="D10" s="102">
        <v>45471</v>
      </c>
      <c r="E10" s="102" t="s">
        <v>92</v>
      </c>
      <c r="F10" s="100" t="s">
        <v>92</v>
      </c>
      <c r="G10" s="100" t="s">
        <v>95</v>
      </c>
      <c r="H10" s="100">
        <v>0.8478</v>
      </c>
      <c r="I10" s="100">
        <v>220</v>
      </c>
      <c r="J10" s="122">
        <v>2197.44</v>
      </c>
      <c r="K10" s="123"/>
      <c r="L10" s="124"/>
      <c r="M10" s="125"/>
      <c r="N10" s="124"/>
      <c r="O10" s="100"/>
      <c r="P10" s="126">
        <v>2197.44</v>
      </c>
      <c r="Q10" s="161"/>
      <c r="R10" s="161"/>
      <c r="S10" s="126">
        <v>1741.89642110367</v>
      </c>
      <c r="T10" s="158">
        <v>18.4209400284857</v>
      </c>
      <c r="U10" s="158"/>
      <c r="V10" s="158"/>
      <c r="W10" s="158"/>
      <c r="X10" s="159">
        <v>1760.31736113216</v>
      </c>
      <c r="Y10" s="175">
        <v>18.9775932604018</v>
      </c>
      <c r="Z10" s="175"/>
      <c r="AA10" s="175"/>
      <c r="AB10" s="175">
        <v>18.9775932604018</v>
      </c>
      <c r="AC10" s="123">
        <v>7.1</v>
      </c>
      <c r="AD10" s="158">
        <v>134.740912148853</v>
      </c>
      <c r="AE10" s="158">
        <v>1895.05827328101</v>
      </c>
      <c r="AF10" s="158">
        <v>302.38172671899</v>
      </c>
    </row>
    <row r="11" customFormat="1" ht="21" customHeight="1" spans="1:32">
      <c r="A11" s="77" t="s">
        <v>80</v>
      </c>
      <c r="B11" s="103"/>
      <c r="C11" s="103"/>
      <c r="D11" s="103"/>
      <c r="E11" s="103"/>
      <c r="F11" s="103"/>
      <c r="G11" s="103"/>
      <c r="H11" s="103">
        <f>SUM(H5:H10)</f>
        <v>29.1751</v>
      </c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62"/>
      <c r="T11" s="103"/>
      <c r="U11" s="103"/>
      <c r="V11" s="163"/>
      <c r="W11" s="164"/>
      <c r="X11" s="164"/>
      <c r="Y11" s="164"/>
      <c r="Z11" s="164"/>
      <c r="AA11" s="176"/>
      <c r="AB11" s="177"/>
      <c r="AC11" s="177"/>
      <c r="AD11" s="177"/>
      <c r="AE11" s="177"/>
      <c r="AF11" s="177">
        <f>SUM(AF5:AF10)</f>
        <v>-2043.02682897743</v>
      </c>
    </row>
    <row r="12" s="87" customFormat="1" ht="26" customHeight="1" spans="1:25">
      <c r="A12" s="104"/>
      <c r="B12" s="105"/>
      <c r="D12" s="106"/>
      <c r="E12" s="106"/>
      <c r="Y12" s="178"/>
    </row>
    <row r="13" s="1" customFormat="1" ht="23" customHeight="1" spans="3:16">
      <c r="C13" s="71" t="s">
        <v>45</v>
      </c>
      <c r="D13" s="71"/>
      <c r="E13" s="71"/>
      <c r="F13" s="107" t="s">
        <v>46</v>
      </c>
      <c r="G13" s="108"/>
      <c r="H13" s="108"/>
      <c r="I13" s="129"/>
      <c r="J13"/>
      <c r="K13" s="130" t="s">
        <v>99</v>
      </c>
      <c r="L13" s="131"/>
      <c r="M13" s="132"/>
      <c r="N13" s="87"/>
      <c r="O13"/>
      <c r="P13"/>
    </row>
    <row r="14" s="1" customFormat="1" ht="23" customHeight="1" spans="3:16">
      <c r="C14" s="71"/>
      <c r="D14" s="71"/>
      <c r="E14" s="71"/>
      <c r="F14" s="109"/>
      <c r="G14" s="110"/>
      <c r="H14" s="110"/>
      <c r="I14" s="133"/>
      <c r="J14"/>
      <c r="K14" s="134" t="s">
        <v>48</v>
      </c>
      <c r="L14" s="134" t="s">
        <v>8</v>
      </c>
      <c r="M14" s="134" t="s">
        <v>49</v>
      </c>
      <c r="N14" s="87"/>
      <c r="O14"/>
      <c r="P14"/>
    </row>
    <row r="15" s="1" customFormat="1" ht="23" customHeight="1" spans="3:16">
      <c r="C15" s="71" t="s">
        <v>50</v>
      </c>
      <c r="D15" s="71"/>
      <c r="E15" s="71"/>
      <c r="F15" s="79" t="s">
        <v>51</v>
      </c>
      <c r="G15" s="80"/>
      <c r="H15" s="80"/>
      <c r="I15" s="81"/>
      <c r="J15"/>
      <c r="K15" s="134" t="s">
        <v>52</v>
      </c>
      <c r="L15" s="135">
        <f>SUM(浦生!H5:H10)</f>
        <v>29.1751</v>
      </c>
      <c r="M15" s="136">
        <f>SUM(AF11)</f>
        <v>-2043.02682897743</v>
      </c>
      <c r="N15" s="87"/>
      <c r="O15"/>
      <c r="P15"/>
    </row>
    <row r="16" s="1" customFormat="1" ht="23" customHeight="1" spans="3:16">
      <c r="C16" s="71"/>
      <c r="D16" s="71"/>
      <c r="E16" s="71"/>
      <c r="F16" s="82"/>
      <c r="G16" s="83"/>
      <c r="H16" s="83"/>
      <c r="I16" s="84"/>
      <c r="J16"/>
      <c r="K16" s="137" t="s">
        <v>53</v>
      </c>
      <c r="L16" s="137"/>
      <c r="M16" s="138">
        <v>6000</v>
      </c>
      <c r="N16"/>
      <c r="O16"/>
      <c r="P16"/>
    </row>
    <row r="17" s="1" customFormat="1" ht="23" customHeight="1" spans="3:16">
      <c r="C17" s="71" t="s">
        <v>54</v>
      </c>
      <c r="D17" s="71"/>
      <c r="E17" s="71"/>
      <c r="F17" s="79" t="s">
        <v>55</v>
      </c>
      <c r="G17" s="80"/>
      <c r="H17" s="80"/>
      <c r="I17" s="81"/>
      <c r="J17"/>
      <c r="K17" s="139" t="s">
        <v>56</v>
      </c>
      <c r="L17" s="139"/>
      <c r="M17" s="140">
        <f>SUM(M15-M16)</f>
        <v>-8043.02682897743</v>
      </c>
      <c r="N17"/>
      <c r="O17"/>
      <c r="P17"/>
    </row>
    <row r="18" s="1" customFormat="1" ht="23" customHeight="1" spans="3:16">
      <c r="C18" s="71"/>
      <c r="D18" s="71"/>
      <c r="E18" s="71"/>
      <c r="F18" s="82"/>
      <c r="G18" s="83"/>
      <c r="H18" s="83"/>
      <c r="I18" s="84"/>
      <c r="J18"/>
      <c r="K18" s="134" t="s">
        <v>57</v>
      </c>
      <c r="L18" s="134"/>
      <c r="M18" s="134"/>
      <c r="N18"/>
      <c r="O18"/>
      <c r="P18"/>
    </row>
    <row r="19" s="1" customFormat="1" ht="23" customHeight="1" spans="5:16">
      <c r="E19"/>
      <c r="F19"/>
      <c r="G19"/>
      <c r="H19"/>
      <c r="I19"/>
      <c r="J19"/>
      <c r="K19" s="137" t="s">
        <v>58</v>
      </c>
      <c r="L19" s="137"/>
      <c r="M19" s="138"/>
      <c r="N19"/>
      <c r="O19"/>
      <c r="P19"/>
    </row>
    <row r="20" s="1" customFormat="1" ht="23" customHeight="1" spans="5:16">
      <c r="E20"/>
      <c r="F20"/>
      <c r="G20"/>
      <c r="H20"/>
      <c r="I20"/>
      <c r="J20"/>
      <c r="K20"/>
      <c r="L20"/>
      <c r="M20"/>
      <c r="N20"/>
      <c r="O20"/>
      <c r="P20"/>
    </row>
    <row r="21" s="1" customFormat="1" ht="23" customHeight="1" spans="5:16">
      <c r="E21"/>
      <c r="F21"/>
      <c r="G21"/>
      <c r="H21"/>
      <c r="I21"/>
      <c r="J21"/>
      <c r="K21" s="141"/>
      <c r="L21" s="141"/>
      <c r="M21" s="141"/>
      <c r="N21" s="141"/>
      <c r="O21" s="141"/>
      <c r="P21" s="141"/>
    </row>
    <row r="22" s="1" customFormat="1" ht="23" customHeight="1" spans="5:16">
      <c r="E22"/>
      <c r="F22"/>
      <c r="G22"/>
      <c r="H22"/>
      <c r="I22"/>
      <c r="J22"/>
      <c r="K22" s="141"/>
      <c r="L22" s="141"/>
      <c r="N22"/>
      <c r="O22"/>
      <c r="P22"/>
    </row>
    <row r="23" s="1" customFormat="1" ht="23" customHeight="1" spans="5:19">
      <c r="E23"/>
      <c r="F23"/>
      <c r="G23"/>
      <c r="H23"/>
      <c r="I23"/>
      <c r="J23"/>
      <c r="K23" s="141"/>
      <c r="L23" s="141"/>
      <c r="N23"/>
      <c r="O23"/>
      <c r="P23"/>
      <c r="Q23"/>
      <c r="R23"/>
      <c r="S23" s="37"/>
    </row>
    <row r="24" s="1" customFormat="1" ht="23" customHeight="1" spans="5:19">
      <c r="E24"/>
      <c r="F24"/>
      <c r="G24"/>
      <c r="H24"/>
      <c r="I24"/>
      <c r="J24"/>
      <c r="K24" s="141"/>
      <c r="L24" s="141"/>
      <c r="N24"/>
      <c r="O24"/>
      <c r="P24"/>
      <c r="Q24"/>
      <c r="S24" s="37"/>
    </row>
    <row r="25" ht="22" customHeight="1" spans="11:16">
      <c r="K25" s="141"/>
      <c r="L25" s="141"/>
      <c r="M25" s="1"/>
      <c r="N25" s="1"/>
      <c r="O25" s="1"/>
      <c r="P25" s="1"/>
    </row>
    <row r="26" ht="22" customHeight="1" spans="11:12">
      <c r="K26" s="141"/>
      <c r="L26" s="141"/>
    </row>
  </sheetData>
  <mergeCells count="23">
    <mergeCell ref="J3:P3"/>
    <mergeCell ref="R3:V3"/>
    <mergeCell ref="Y3:AD3"/>
    <mergeCell ref="K13:M1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3:E14"/>
    <mergeCell ref="C15:E16"/>
    <mergeCell ref="F15:I16"/>
    <mergeCell ref="C17:E18"/>
    <mergeCell ref="F17:I18"/>
    <mergeCell ref="F13:I14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H7" sqref="H7"/>
    </sheetView>
  </sheetViews>
  <sheetFormatPr defaultColWidth="11" defaultRowHeight="33" customHeight="1"/>
  <cols>
    <col min="1" max="1" width="16.25" style="9" customWidth="1"/>
    <col min="2" max="2" width="11.375" style="4" customWidth="1"/>
    <col min="3" max="3" width="8.625" style="10" customWidth="1"/>
    <col min="4" max="4" width="10.25" style="11" customWidth="1"/>
    <col min="5" max="5" width="11.375" style="11" customWidth="1"/>
    <col min="6" max="6" width="14" style="12" customWidth="1"/>
    <col min="7" max="7" width="6.375" style="13" customWidth="1"/>
    <col min="8" max="8" width="11.625" style="4" customWidth="1"/>
    <col min="9" max="9" width="4.625" style="4" customWidth="1"/>
    <col min="10" max="10" width="11" style="4" customWidth="1"/>
    <col min="11" max="11" width="6.375" style="4" customWidth="1"/>
    <col min="12" max="12" width="11" style="4" customWidth="1"/>
    <col min="13" max="13" width="15.25" style="4" customWidth="1"/>
    <col min="14" max="14" width="28.375" style="4" customWidth="1"/>
    <col min="15" max="15" width="10" style="4" customWidth="1"/>
    <col min="16" max="16" width="7.75" style="4" customWidth="1"/>
    <col min="17" max="17" width="13.125" style="4" customWidth="1"/>
    <col min="18" max="16360" width="11" style="4" customWidth="1"/>
    <col min="16361" max="16384" width="11" style="4"/>
  </cols>
  <sheetData>
    <row r="1" s="1" customFormat="1" customHeight="1" spans="1:14">
      <c r="A1" s="14" t="s">
        <v>100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="1" customFormat="1" ht="6" customHeight="1" spans="1:7">
      <c r="A2" s="16"/>
      <c r="B2" s="16"/>
      <c r="C2" s="17"/>
      <c r="D2" s="16"/>
      <c r="E2" s="16"/>
      <c r="F2" s="16"/>
      <c r="G2" s="16"/>
    </row>
    <row r="3" s="1" customFormat="1" ht="40" customHeight="1" spans="1:20">
      <c r="A3" s="18" t="s">
        <v>101</v>
      </c>
      <c r="B3" s="19" t="s">
        <v>102</v>
      </c>
      <c r="C3" s="20" t="s">
        <v>103</v>
      </c>
      <c r="D3" s="21" t="s">
        <v>104</v>
      </c>
      <c r="E3" s="21"/>
      <c r="F3" s="21"/>
      <c r="G3" s="21"/>
      <c r="H3" s="21"/>
      <c r="I3" s="42" t="s">
        <v>105</v>
      </c>
      <c r="J3" s="43"/>
      <c r="K3" s="44"/>
      <c r="L3" s="45"/>
      <c r="M3" s="46" t="s">
        <v>106</v>
      </c>
      <c r="N3" s="19" t="s">
        <v>68</v>
      </c>
      <c r="P3" s="71" t="s">
        <v>45</v>
      </c>
      <c r="Q3" s="71"/>
      <c r="R3" s="78" t="s">
        <v>46</v>
      </c>
      <c r="S3" s="78"/>
      <c r="T3" s="78"/>
    </row>
    <row r="4" s="2" customFormat="1" ht="55" customHeight="1" spans="1:20">
      <c r="A4" s="22"/>
      <c r="B4" s="19"/>
      <c r="C4" s="23"/>
      <c r="D4" s="24" t="s">
        <v>53</v>
      </c>
      <c r="E4" s="25" t="s">
        <v>56</v>
      </c>
      <c r="F4" s="25" t="s">
        <v>56</v>
      </c>
      <c r="G4" s="26" t="s">
        <v>107</v>
      </c>
      <c r="H4" s="27" t="s">
        <v>58</v>
      </c>
      <c r="I4" s="47" t="s">
        <v>53</v>
      </c>
      <c r="J4" s="48" t="s">
        <v>56</v>
      </c>
      <c r="K4" s="49" t="s">
        <v>108</v>
      </c>
      <c r="L4" s="50" t="s">
        <v>58</v>
      </c>
      <c r="M4" s="51"/>
      <c r="N4" s="19"/>
      <c r="P4" s="71"/>
      <c r="Q4" s="71"/>
      <c r="R4" s="78"/>
      <c r="S4" s="78"/>
      <c r="T4" s="78"/>
    </row>
    <row r="5" s="3" customFormat="1" ht="26" customHeight="1" spans="1:20">
      <c r="A5" s="19" t="s">
        <v>109</v>
      </c>
      <c r="B5" s="28">
        <f>SUM(黄颖!M12)</f>
        <v>10788.8693265788</v>
      </c>
      <c r="C5" s="29">
        <f>SUM(黄颖!L12)</f>
        <v>23.6264</v>
      </c>
      <c r="D5" s="30">
        <v>6000</v>
      </c>
      <c r="E5" s="31">
        <f>SUM(B5-D5)</f>
        <v>4788.8693265788</v>
      </c>
      <c r="F5" s="31"/>
      <c r="G5" s="32">
        <v>0.4</v>
      </c>
      <c r="H5" s="31">
        <f>SUM(E5*G5)</f>
        <v>1915.54773063152</v>
      </c>
      <c r="I5" s="52"/>
      <c r="J5" s="52"/>
      <c r="K5" s="53"/>
      <c r="L5" s="54"/>
      <c r="M5" s="55">
        <f>SUM(H5+L5)</f>
        <v>1915.54773063152</v>
      </c>
      <c r="N5" s="56"/>
      <c r="P5" s="71" t="s">
        <v>50</v>
      </c>
      <c r="Q5" s="71"/>
      <c r="R5" s="79" t="s">
        <v>51</v>
      </c>
      <c r="S5" s="80"/>
      <c r="T5" s="81"/>
    </row>
    <row r="6" s="5" customFormat="1" spans="1:20">
      <c r="A6" s="33" t="s">
        <v>110</v>
      </c>
      <c r="B6" s="34">
        <f>SUM(三凤!M12)</f>
        <v>4421.99</v>
      </c>
      <c r="C6" s="35">
        <f>SUM(三凤!L12)</f>
        <v>7.0012</v>
      </c>
      <c r="D6" s="36"/>
      <c r="E6" s="31">
        <f>SUM(B6-D6)</f>
        <v>4421.99</v>
      </c>
      <c r="F6" s="31"/>
      <c r="G6" s="32">
        <v>0.1</v>
      </c>
      <c r="H6" s="31">
        <f>SUM(E6*G6)</f>
        <v>442.199</v>
      </c>
      <c r="I6" s="52"/>
      <c r="J6" s="52"/>
      <c r="K6" s="53"/>
      <c r="L6" s="54"/>
      <c r="M6" s="55">
        <f>SUM(H6+L6)</f>
        <v>442.199</v>
      </c>
      <c r="N6" s="72" t="s">
        <v>111</v>
      </c>
      <c r="P6" s="71"/>
      <c r="Q6" s="71"/>
      <c r="R6" s="82"/>
      <c r="S6" s="83"/>
      <c r="T6" s="84"/>
    </row>
    <row r="7" s="3" customFormat="1" spans="1:20">
      <c r="A7" s="19" t="s">
        <v>70</v>
      </c>
      <c r="B7" s="28">
        <f>SUM(朱小飞!M15)</f>
        <v>10168.909079693</v>
      </c>
      <c r="C7" s="29">
        <f>SUM(朱小飞!L15)</f>
        <v>20.5497</v>
      </c>
      <c r="D7" s="31"/>
      <c r="E7" s="31">
        <f>SUM(B7-D7)</f>
        <v>10168.909079693</v>
      </c>
      <c r="F7" s="31"/>
      <c r="G7" s="32">
        <v>0.1</v>
      </c>
      <c r="H7" s="31">
        <f>SUM(E7*G7)</f>
        <v>1016.8909079693</v>
      </c>
      <c r="I7" s="52"/>
      <c r="J7" s="61"/>
      <c r="K7" s="61"/>
      <c r="L7" s="52"/>
      <c r="M7" s="55">
        <f>SUM(H7+L7)</f>
        <v>1016.8909079693</v>
      </c>
      <c r="N7" s="72" t="s">
        <v>112</v>
      </c>
      <c r="P7" s="71" t="s">
        <v>54</v>
      </c>
      <c r="Q7" s="71"/>
      <c r="R7" s="79" t="s">
        <v>55</v>
      </c>
      <c r="S7" s="80"/>
      <c r="T7" s="81"/>
    </row>
    <row r="8" s="6" customFormat="1" ht="26" customHeight="1" spans="1:20">
      <c r="A8" s="19" t="s">
        <v>89</v>
      </c>
      <c r="B8" s="28">
        <f>SUM(陆总!M13)</f>
        <v>2261.80410673113</v>
      </c>
      <c r="C8" s="29">
        <f>SUM(陆总!L13)</f>
        <v>8.684</v>
      </c>
      <c r="D8" s="31"/>
      <c r="E8" s="31"/>
      <c r="F8" s="31"/>
      <c r="G8" s="32">
        <v>0.4</v>
      </c>
      <c r="H8" s="31">
        <f>SUM(B8*G8)</f>
        <v>904.721642692452</v>
      </c>
      <c r="I8" s="52"/>
      <c r="J8" s="61"/>
      <c r="K8" s="61"/>
      <c r="L8" s="61"/>
      <c r="M8" s="55">
        <f>SUM(H8+L8)</f>
        <v>904.721642692452</v>
      </c>
      <c r="N8" s="73"/>
      <c r="P8" s="71"/>
      <c r="Q8" s="71"/>
      <c r="R8" s="82"/>
      <c r="S8" s="83"/>
      <c r="T8" s="84"/>
    </row>
    <row r="9" s="6" customFormat="1" ht="26" customHeight="1" spans="1:14">
      <c r="A9" s="19" t="s">
        <v>83</v>
      </c>
      <c r="B9" s="28">
        <f>SUM(吕沛霖!M11)</f>
        <v>5336.86437423581</v>
      </c>
      <c r="C9" s="29">
        <f>SUM(吕沛霖!L11)</f>
        <v>7.5373</v>
      </c>
      <c r="D9" s="31">
        <v>6000</v>
      </c>
      <c r="E9" s="31">
        <f>SUM(B9-D9)</f>
        <v>-663.13562576419</v>
      </c>
      <c r="F9" s="31"/>
      <c r="G9" s="32"/>
      <c r="H9" s="31"/>
      <c r="I9" s="61"/>
      <c r="J9" s="61"/>
      <c r="K9" s="61"/>
      <c r="L9" s="61"/>
      <c r="M9" s="55"/>
      <c r="N9" s="62" t="s">
        <v>113</v>
      </c>
    </row>
    <row r="10" s="3" customFormat="1" ht="26" customHeight="1" spans="1:14">
      <c r="A10" s="19" t="s">
        <v>114</v>
      </c>
      <c r="B10" s="28">
        <f>SUM(浦生!M15)</f>
        <v>-2043.02682897743</v>
      </c>
      <c r="C10" s="29">
        <f>SUM([1]浦生!L15)</f>
        <v>29.1751</v>
      </c>
      <c r="D10" s="31">
        <v>6000</v>
      </c>
      <c r="E10" s="31">
        <f>SUM(B10-D10)</f>
        <v>-8043.02682897743</v>
      </c>
      <c r="F10" s="31"/>
      <c r="G10" s="32"/>
      <c r="H10" s="31"/>
      <c r="I10" s="52"/>
      <c r="J10" s="52"/>
      <c r="K10" s="53"/>
      <c r="L10" s="54"/>
      <c r="M10" s="55"/>
      <c r="N10" s="74"/>
    </row>
    <row r="11" s="2" customFormat="1" ht="36" customHeight="1" spans="1:14">
      <c r="A11" s="19" t="s">
        <v>80</v>
      </c>
      <c r="B11" s="28">
        <f>SUM(B5:B10)</f>
        <v>30935.4100582613</v>
      </c>
      <c r="C11" s="29">
        <f>SUM(C5:C10)</f>
        <v>96.5737</v>
      </c>
      <c r="D11" s="31"/>
      <c r="E11" s="31"/>
      <c r="F11" s="31"/>
      <c r="G11" s="32"/>
      <c r="H11" s="32"/>
      <c r="I11" s="61"/>
      <c r="J11" s="61"/>
      <c r="K11" s="63"/>
      <c r="L11" s="48"/>
      <c r="M11" s="64">
        <f>SUM(M5:M10)</f>
        <v>4279.35928129327</v>
      </c>
      <c r="N11" s="65"/>
    </row>
    <row r="12" s="1" customFormat="1" ht="9" customHeight="1" spans="1:13">
      <c r="A12" s="9"/>
      <c r="C12" s="37"/>
      <c r="G12" s="37"/>
      <c r="H12" s="37"/>
      <c r="I12" s="37"/>
      <c r="J12" s="37"/>
      <c r="K12" s="66"/>
      <c r="L12" s="12"/>
      <c r="M12" s="67"/>
    </row>
    <row r="13" s="69" customFormat="1" ht="41" customHeight="1" spans="1:13">
      <c r="A13" s="69" t="s">
        <v>115</v>
      </c>
      <c r="C13" s="70"/>
      <c r="G13" s="70"/>
      <c r="H13" s="70"/>
      <c r="I13" s="70"/>
      <c r="J13" s="70" t="s">
        <v>116</v>
      </c>
      <c r="K13" s="70"/>
      <c r="M13" s="75"/>
    </row>
    <row r="14" s="8" customFormat="1" ht="41" customHeight="1" spans="1:11">
      <c r="A14" s="39"/>
      <c r="C14" s="40"/>
      <c r="G14" s="40"/>
      <c r="H14" s="40"/>
      <c r="I14" s="40"/>
      <c r="J14" s="40"/>
      <c r="K14" s="40"/>
    </row>
    <row r="15" s="4" customFormat="1" ht="57" customHeight="1" spans="1:14">
      <c r="A15" s="9"/>
      <c r="C15" s="10"/>
      <c r="G15" s="10"/>
      <c r="K15" s="57"/>
      <c r="L15" s="76" t="s">
        <v>117</v>
      </c>
      <c r="M15" s="77"/>
      <c r="N15" s="77"/>
    </row>
    <row r="16" customHeight="1" spans="4:14">
      <c r="D16" s="8"/>
      <c r="E16" s="41"/>
      <c r="L16" s="76" t="s">
        <v>116</v>
      </c>
      <c r="M16" s="77"/>
      <c r="N16" s="77"/>
    </row>
    <row r="17" customHeight="1" spans="4:5">
      <c r="D17" s="8"/>
      <c r="E17" s="41"/>
    </row>
    <row r="18" customHeight="1" spans="4:5">
      <c r="D18" s="8"/>
      <c r="E18" s="41"/>
    </row>
    <row r="19" customHeight="1" spans="4:5">
      <c r="D19" s="8"/>
      <c r="E19" s="41"/>
    </row>
    <row r="20" customHeight="1" spans="4:5">
      <c r="D20" s="8"/>
      <c r="E20" s="41"/>
    </row>
  </sheetData>
  <mergeCells count="16">
    <mergeCell ref="A1:N1"/>
    <mergeCell ref="D3:H3"/>
    <mergeCell ref="I3:L3"/>
    <mergeCell ref="M15:N15"/>
    <mergeCell ref="M16:N16"/>
    <mergeCell ref="A3:A4"/>
    <mergeCell ref="B3:B4"/>
    <mergeCell ref="C3:C4"/>
    <mergeCell ref="M3:M4"/>
    <mergeCell ref="N3:N4"/>
    <mergeCell ref="P3:Q4"/>
    <mergeCell ref="R3:T4"/>
    <mergeCell ref="P5:Q6"/>
    <mergeCell ref="R5:T6"/>
    <mergeCell ref="P7:Q8"/>
    <mergeCell ref="R7:T8"/>
  </mergeCells>
  <pageMargins left="0.275" right="0.156944444444444" top="1.29861111111111" bottom="1" header="0.5" footer="0.5"/>
  <pageSetup paperSize="9" scale="9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N9" sqref="N9"/>
    </sheetView>
  </sheetViews>
  <sheetFormatPr defaultColWidth="11" defaultRowHeight="33" customHeight="1"/>
  <cols>
    <col min="1" max="1" width="16.25" style="9" customWidth="1"/>
    <col min="2" max="2" width="11.375" style="4" customWidth="1"/>
    <col min="3" max="3" width="8.625" style="10" customWidth="1"/>
    <col min="4" max="4" width="10.25" style="11" customWidth="1"/>
    <col min="5" max="5" width="11.375" style="11" customWidth="1"/>
    <col min="6" max="6" width="9.375" style="12" customWidth="1"/>
    <col min="7" max="7" width="9.78333333333333" style="13" customWidth="1"/>
    <col min="8" max="8" width="11.625" style="4" customWidth="1"/>
    <col min="9" max="9" width="4.625" style="4" customWidth="1"/>
    <col min="10" max="10" width="11" style="4" customWidth="1"/>
    <col min="11" max="11" width="9.78333333333333" style="4" customWidth="1"/>
    <col min="12" max="12" width="11" style="4" customWidth="1"/>
    <col min="13" max="13" width="15.25" style="4" customWidth="1"/>
    <col min="14" max="14" width="36.325" style="4" customWidth="1"/>
    <col min="15" max="15" width="10" style="4" customWidth="1"/>
    <col min="16" max="16" width="7.75" style="4" customWidth="1"/>
    <col min="17" max="17" width="13.125" style="4" customWidth="1"/>
    <col min="18" max="16360" width="11" style="4" customWidth="1"/>
    <col min="16361" max="16384" width="11" style="4"/>
  </cols>
  <sheetData>
    <row r="1" s="1" customFormat="1" customHeight="1" spans="1:14">
      <c r="A1" s="14" t="s">
        <v>100</v>
      </c>
      <c r="B1" s="14"/>
      <c r="C1" s="1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="1" customFormat="1" ht="6" customHeight="1" spans="1:7">
      <c r="A2" s="16"/>
      <c r="B2" s="16"/>
      <c r="C2" s="17"/>
      <c r="D2" s="16"/>
      <c r="E2" s="16"/>
      <c r="F2" s="16"/>
      <c r="G2" s="16"/>
    </row>
    <row r="3" s="1" customFormat="1" ht="40" customHeight="1" spans="1:14">
      <c r="A3" s="18" t="s">
        <v>101</v>
      </c>
      <c r="B3" s="19" t="s">
        <v>102</v>
      </c>
      <c r="C3" s="20" t="s">
        <v>103</v>
      </c>
      <c r="D3" s="21" t="s">
        <v>104</v>
      </c>
      <c r="E3" s="21"/>
      <c r="F3" s="21"/>
      <c r="G3" s="21"/>
      <c r="H3" s="21"/>
      <c r="I3" s="42" t="s">
        <v>105</v>
      </c>
      <c r="J3" s="43"/>
      <c r="K3" s="44"/>
      <c r="L3" s="45"/>
      <c r="M3" s="46" t="s">
        <v>106</v>
      </c>
      <c r="N3" s="19" t="s">
        <v>68</v>
      </c>
    </row>
    <row r="4" s="2" customFormat="1" ht="55" customHeight="1" spans="1:14">
      <c r="A4" s="22"/>
      <c r="B4" s="19"/>
      <c r="C4" s="23"/>
      <c r="D4" s="24" t="s">
        <v>53</v>
      </c>
      <c r="E4" s="25" t="s">
        <v>56</v>
      </c>
      <c r="F4" s="25" t="s">
        <v>56</v>
      </c>
      <c r="G4" s="26" t="s">
        <v>107</v>
      </c>
      <c r="H4" s="27" t="s">
        <v>58</v>
      </c>
      <c r="I4" s="47" t="s">
        <v>53</v>
      </c>
      <c r="J4" s="48" t="s">
        <v>56</v>
      </c>
      <c r="K4" s="49" t="s">
        <v>108</v>
      </c>
      <c r="L4" s="50" t="s">
        <v>58</v>
      </c>
      <c r="M4" s="51"/>
      <c r="N4" s="19"/>
    </row>
    <row r="5" s="3" customFormat="1" ht="34" customHeight="1" spans="1:14">
      <c r="A5" s="19" t="s">
        <v>109</v>
      </c>
      <c r="B5" s="28">
        <f>SUM(黄颖!M12)</f>
        <v>10788.8693265788</v>
      </c>
      <c r="C5" s="29">
        <f>SUM(黄颖!L12)</f>
        <v>23.6264</v>
      </c>
      <c r="D5" s="30">
        <v>6000</v>
      </c>
      <c r="E5" s="31">
        <f>SUM(B5-D5)</f>
        <v>4788.8693265788</v>
      </c>
      <c r="F5" s="31"/>
      <c r="G5" s="32">
        <v>0.4</v>
      </c>
      <c r="H5" s="31">
        <f>SUM(E5*G5)</f>
        <v>1915.54773063152</v>
      </c>
      <c r="I5" s="52"/>
      <c r="J5" s="52"/>
      <c r="K5" s="53"/>
      <c r="L5" s="54"/>
      <c r="M5" s="55">
        <f>SUM(H5+L5)</f>
        <v>1915.54773063152</v>
      </c>
      <c r="N5" s="56"/>
    </row>
    <row r="6" s="4" customFormat="1" ht="57" customHeight="1" spans="1:14">
      <c r="A6" s="9"/>
      <c r="B6" s="4"/>
      <c r="C6" s="10"/>
      <c r="D6" s="4"/>
      <c r="E6" s="4"/>
      <c r="F6" s="4"/>
      <c r="G6" s="10"/>
      <c r="H6" s="4"/>
      <c r="I6" s="4"/>
      <c r="J6" s="4"/>
      <c r="K6" s="57"/>
      <c r="L6" s="58" t="s">
        <v>117</v>
      </c>
      <c r="M6" s="59"/>
      <c r="N6" s="59"/>
    </row>
    <row r="7" s="5" customFormat="1" spans="1:14">
      <c r="A7" s="33" t="s">
        <v>110</v>
      </c>
      <c r="B7" s="34">
        <f>SUM(三凤!M12)</f>
        <v>4421.99</v>
      </c>
      <c r="C7" s="35">
        <f>SUM(三凤!L12)</f>
        <v>7.0012</v>
      </c>
      <c r="D7" s="36"/>
      <c r="E7" s="31">
        <f>SUM(B7-D7)</f>
        <v>4421.99</v>
      </c>
      <c r="F7" s="31"/>
      <c r="G7" s="32">
        <v>0.1</v>
      </c>
      <c r="H7" s="31">
        <f>SUM(E7*G7)</f>
        <v>442.199</v>
      </c>
      <c r="I7" s="52"/>
      <c r="J7" s="52"/>
      <c r="K7" s="53"/>
      <c r="L7" s="54"/>
      <c r="M7" s="55">
        <f>SUM(H7+L7)</f>
        <v>442.199</v>
      </c>
      <c r="N7" s="60" t="s">
        <v>111</v>
      </c>
    </row>
    <row r="8" s="4" customFormat="1" ht="57" customHeight="1" spans="1:12">
      <c r="A8" s="9"/>
      <c r="B8" s="4"/>
      <c r="C8" s="10"/>
      <c r="D8" s="4"/>
      <c r="E8" s="4"/>
      <c r="F8" s="4"/>
      <c r="G8" s="10"/>
      <c r="H8" s="4"/>
      <c r="I8" s="4"/>
      <c r="J8" s="4"/>
      <c r="K8" s="57"/>
      <c r="L8" s="58" t="s">
        <v>117</v>
      </c>
    </row>
    <row r="9" s="3" customFormat="1" spans="1:14">
      <c r="A9" s="19" t="s">
        <v>70</v>
      </c>
      <c r="B9" s="28">
        <f>SUM(朱小飞!M15)</f>
        <v>10168.909079693</v>
      </c>
      <c r="C9" s="29">
        <f>SUM(朱小飞!L15)</f>
        <v>20.5497</v>
      </c>
      <c r="D9" s="31"/>
      <c r="E9" s="31">
        <f>SUM(B9-D9)</f>
        <v>10168.909079693</v>
      </c>
      <c r="F9" s="31"/>
      <c r="G9" s="32">
        <v>0.1</v>
      </c>
      <c r="H9" s="31">
        <f>SUM(E9*G9)</f>
        <v>1016.8909079693</v>
      </c>
      <c r="I9" s="52"/>
      <c r="J9" s="61"/>
      <c r="K9" s="61"/>
      <c r="L9" s="52"/>
      <c r="M9" s="55">
        <f>SUM(H9+L9)</f>
        <v>1016.8909079693</v>
      </c>
      <c r="N9" s="60" t="s">
        <v>112</v>
      </c>
    </row>
    <row r="10" s="4" customFormat="1" ht="57" customHeight="1" spans="1:12">
      <c r="A10" s="9"/>
      <c r="B10" s="4"/>
      <c r="C10" s="10"/>
      <c r="D10" s="4"/>
      <c r="E10" s="4"/>
      <c r="F10" s="4"/>
      <c r="G10" s="10"/>
      <c r="H10" s="4"/>
      <c r="I10" s="4"/>
      <c r="J10" s="4"/>
      <c r="K10" s="57"/>
      <c r="L10" s="58" t="s">
        <v>117</v>
      </c>
    </row>
    <row r="11" s="6" customFormat="1" ht="26" customHeight="1" spans="1:14">
      <c r="A11" s="19" t="s">
        <v>83</v>
      </c>
      <c r="B11" s="28">
        <f>SUM(吕沛霖!M11)</f>
        <v>5336.86437423581</v>
      </c>
      <c r="C11" s="29">
        <f>SUM(吕沛霖!L11)</f>
        <v>7.5373</v>
      </c>
      <c r="D11" s="31">
        <v>6000</v>
      </c>
      <c r="E11" s="31">
        <f>SUM(B11-D11)</f>
        <v>-663.13562576419</v>
      </c>
      <c r="F11" s="31"/>
      <c r="G11" s="32"/>
      <c r="H11" s="31"/>
      <c r="I11" s="61"/>
      <c r="J11" s="61"/>
      <c r="K11" s="61"/>
      <c r="L11" s="61"/>
      <c r="M11" s="55"/>
      <c r="N11" s="62" t="s">
        <v>113</v>
      </c>
    </row>
    <row r="12" s="4" customFormat="1" ht="57" customHeight="1" spans="1:12">
      <c r="A12" s="9"/>
      <c r="B12" s="4"/>
      <c r="C12" s="10"/>
      <c r="D12" s="4"/>
      <c r="E12" s="4"/>
      <c r="F12" s="4"/>
      <c r="G12" s="10"/>
      <c r="H12" s="4"/>
      <c r="I12" s="4"/>
      <c r="J12" s="4"/>
      <c r="K12" s="57"/>
      <c r="L12" s="58" t="s">
        <v>115</v>
      </c>
    </row>
    <row r="13" s="2" customFormat="1" ht="36" customHeight="1" spans="1:14">
      <c r="A13" s="19" t="s">
        <v>80</v>
      </c>
      <c r="B13" s="28">
        <f>SUM(B5:B11)</f>
        <v>30716.6327805076</v>
      </c>
      <c r="C13" s="29">
        <f>SUM(C5:C11)</f>
        <v>58.7146</v>
      </c>
      <c r="D13" s="31"/>
      <c r="E13" s="31"/>
      <c r="F13" s="31"/>
      <c r="G13" s="32"/>
      <c r="H13" s="32"/>
      <c r="I13" s="61"/>
      <c r="J13" s="61"/>
      <c r="K13" s="63"/>
      <c r="L13" s="48"/>
      <c r="M13" s="64">
        <f>SUM(M5:M11)</f>
        <v>3374.63763860082</v>
      </c>
      <c r="N13" s="65"/>
    </row>
    <row r="14" s="1" customFormat="1" ht="9" customHeight="1" spans="1:13">
      <c r="A14" s="9"/>
      <c r="C14" s="37"/>
      <c r="G14" s="37"/>
      <c r="H14" s="37"/>
      <c r="I14" s="37"/>
      <c r="J14" s="37"/>
      <c r="K14" s="66"/>
      <c r="L14" s="12"/>
      <c r="M14" s="67"/>
    </row>
    <row r="15" s="7" customFormat="1" ht="69" customHeight="1" spans="1:13">
      <c r="A15" s="7" t="s">
        <v>115</v>
      </c>
      <c r="C15" s="38"/>
      <c r="G15" s="38"/>
      <c r="H15" s="38"/>
      <c r="I15" s="38"/>
      <c r="J15" s="38" t="s">
        <v>116</v>
      </c>
      <c r="K15" s="38"/>
      <c r="M15" s="68"/>
    </row>
    <row r="16" s="8" customFormat="1" ht="41" customHeight="1" spans="1:11">
      <c r="A16" s="39"/>
      <c r="C16" s="40"/>
      <c r="G16" s="40"/>
      <c r="H16" s="40"/>
      <c r="I16" s="40"/>
      <c r="J16" s="40"/>
      <c r="K16" s="40"/>
    </row>
    <row r="17" customHeight="1" spans="4:5">
      <c r="D17" s="8"/>
      <c r="E17" s="41"/>
    </row>
    <row r="18" customHeight="1" spans="4:5">
      <c r="D18" s="8"/>
      <c r="E18" s="41"/>
    </row>
    <row r="19" customHeight="1" spans="4:5">
      <c r="D19" s="8"/>
      <c r="E19" s="41"/>
    </row>
    <row r="20" customHeight="1" spans="4:5">
      <c r="D20" s="8"/>
      <c r="E20" s="41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550694444444444" right="0.156944444444444" top="1.29861111111111" bottom="0.393055555555556" header="0.5" footer="0.196527777777778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黄颖</vt:lpstr>
      <vt:lpstr>三凤</vt:lpstr>
      <vt:lpstr>朱小飞</vt:lpstr>
      <vt:lpstr>吕沛霖</vt:lpstr>
      <vt:lpstr>陆总</vt:lpstr>
      <vt:lpstr>浦生</vt:lpstr>
      <vt:lpstr>提成总表</vt:lpstr>
      <vt:lpstr>提成总表 黄颖 三凤 朱小飞 吕沛霖 2025年10份发放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2021-01-15T02:45:00Z</dcterms:created>
  <dcterms:modified xsi:type="dcterms:W3CDTF">2025-10-20T08:40:47Z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6BE3DA52AC7244678364BCD4CB535940</vt:lpwstr>
  </property>
</Properties>
</file>