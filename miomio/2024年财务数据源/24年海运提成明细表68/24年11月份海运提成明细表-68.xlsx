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525" activeTab="10"/>
  </bookViews>
  <sheets>
    <sheet name="黄颖" sheetId="1" r:id="rId1"/>
    <sheet name="三凤" sheetId="7" r:id="rId2"/>
    <sheet name="朱小飞" sheetId="4" r:id="rId3"/>
    <sheet name="吕沛霖" sheetId="3" r:id="rId4"/>
    <sheet name="罗珮文" sheetId="16" r:id="rId5"/>
    <sheet name="苏慧琪" sheetId="17" r:id="rId6"/>
    <sheet name="陆总" sheetId="14" r:id="rId7"/>
    <sheet name="浦生" sheetId="5" r:id="rId8"/>
    <sheet name="无人" sheetId="18" r:id="rId9"/>
    <sheet name="提成总表" sheetId="9" r:id="rId10"/>
    <sheet name="黄颖 陈三凤 朱小飞 吕沛霖 2025年10份发放" sheetId="19" r:id="rId11"/>
  </sheets>
  <definedNames>
    <definedName name="_xlnm._FilterDatabase" localSheetId="0" hidden="1">黄颖!$A$3:$AB$40</definedName>
    <definedName name="_xlnm._FilterDatabase" localSheetId="3" hidden="1">吕沛霖!$A$2:$AB$31</definedName>
    <definedName name="_xlnm._FilterDatabase" localSheetId="1" hidden="1">三凤!#REF!</definedName>
    <definedName name="_xlnm.Print_Area" localSheetId="9">提成总表!$A$1:$G$17</definedName>
    <definedName name="_xlnm.Print_Area" localSheetId="10">'黄颖 陈三凤 朱小飞 吕沛霖 2025年10份发放'!$A$1:$N$15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到付USD31l转预付224.75.
</t>
        </r>
      </text>
    </comment>
    <comment ref="J7" authorId="0">
      <text>
        <r>
          <rPr>
            <sz val="9"/>
            <rFont val="宋体"/>
            <charset val="134"/>
          </rPr>
          <t xml:space="preserve">到付USD363.33转预付2690.
</t>
        </r>
      </text>
    </comment>
    <comment ref="J8" authorId="0">
      <text>
        <r>
          <rPr>
            <sz val="9"/>
            <rFont val="宋体"/>
            <charset val="134"/>
          </rPr>
          <t xml:space="preserve">到付USD91.39转预付683.5.
</t>
        </r>
      </text>
    </comment>
    <comment ref="J9" authorId="0">
      <text>
        <r>
          <rPr>
            <sz val="9"/>
            <rFont val="宋体"/>
            <charset val="134"/>
          </rPr>
          <t xml:space="preserve">到付USD331.39转预付2506.
</t>
        </r>
      </text>
    </comment>
    <comment ref="J10" authorId="0">
      <text>
        <r>
          <rPr>
            <b/>
            <sz val="9"/>
            <rFont val="宋体"/>
            <charset val="134"/>
          </rPr>
          <t>31/12收美金</t>
        </r>
        <r>
          <rPr>
            <sz val="9"/>
            <rFont val="宋体"/>
            <charset val="134"/>
          </rPr>
          <t xml:space="preserve">
</t>
        </r>
      </text>
    </comment>
    <comment ref="J11" authorId="0">
      <text>
        <r>
          <rPr>
            <sz val="9"/>
            <rFont val="宋体"/>
            <charset val="134"/>
          </rPr>
          <t>到付USD129.74转预付941.05.</t>
        </r>
      </text>
    </comment>
    <comment ref="J13" authorId="0">
      <text>
        <r>
          <rPr>
            <sz val="9"/>
            <rFont val="宋体"/>
            <charset val="134"/>
          </rPr>
          <t xml:space="preserve">31/12国内收美金
</t>
        </r>
      </text>
    </comment>
    <comment ref="N14" authorId="0">
      <text>
        <r>
          <rPr>
            <sz val="9"/>
            <rFont val="宋体"/>
            <charset val="134"/>
          </rPr>
          <t xml:space="preserve">预付580转到付USD79.77.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到付USD114转预付853
</t>
        </r>
      </text>
    </comment>
    <comment ref="J17" authorId="0">
      <text>
        <r>
          <rPr>
            <sz val="9"/>
            <rFont val="宋体"/>
            <charset val="134"/>
          </rPr>
          <t xml:space="preserve">到付USD168.47转预付1213.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到付USD6.94转预付228.
</t>
        </r>
      </text>
    </comment>
    <comment ref="J21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22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25" authorId="0">
      <text>
        <r>
          <rPr>
            <sz val="9"/>
            <rFont val="宋体"/>
            <charset val="134"/>
          </rPr>
          <t xml:space="preserve">到付USD636.9转预付 4628.
</t>
        </r>
      </text>
    </comment>
    <comment ref="J26" authorId="0">
      <text>
        <r>
          <rPr>
            <sz val="9"/>
            <rFont val="宋体"/>
            <charset val="134"/>
          </rPr>
          <t>31/12国内收美金</t>
        </r>
      </text>
    </comment>
    <comment ref="J27" authorId="0">
      <text>
        <r>
          <rPr>
            <sz val="9"/>
            <rFont val="宋体"/>
            <charset val="134"/>
          </rPr>
          <t xml:space="preserve">到付转预付3280
</t>
        </r>
      </text>
    </comment>
    <comment ref="J28" authorId="0">
      <text>
        <r>
          <rPr>
            <sz val="9"/>
            <rFont val="宋体"/>
            <charset val="134"/>
          </rPr>
          <t xml:space="preserve">到付USD100.86转预付748.5.
</t>
        </r>
      </text>
    </comment>
    <comment ref="J29" authorId="0">
      <text>
        <r>
          <rPr>
            <sz val="9"/>
            <rFont val="宋体"/>
            <charset val="134"/>
          </rPr>
          <t xml:space="preserve">到付USD932.28转预付6811.
</t>
        </r>
      </text>
    </comment>
    <comment ref="J31" authorId="0">
      <text>
        <r>
          <rPr>
            <sz val="9"/>
            <rFont val="宋体"/>
            <charset val="134"/>
          </rPr>
          <t xml:space="preserve">31/12国内收美金
</t>
        </r>
      </text>
    </comment>
    <comment ref="J32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J33" authorId="0">
      <text>
        <r>
          <rPr>
            <b/>
            <sz val="9"/>
            <rFont val="宋体"/>
            <charset val="134"/>
          </rPr>
          <t>30/12国内收美金</t>
        </r>
        <r>
          <rPr>
            <sz val="9"/>
            <rFont val="宋体"/>
            <charset val="134"/>
          </rPr>
          <t xml:space="preserve">
</t>
        </r>
      </text>
    </comment>
    <comment ref="J35" authorId="0">
      <text>
        <r>
          <rPr>
            <sz val="9"/>
            <rFont val="宋体"/>
            <charset val="134"/>
          </rPr>
          <t xml:space="preserve">到付USD86.94转预付639.5
</t>
        </r>
      </text>
    </comment>
    <comment ref="J36" authorId="0">
      <text>
        <r>
          <rPr>
            <sz val="9"/>
            <rFont val="宋体"/>
            <charset val="134"/>
          </rPr>
          <t>31/12国内收美金</t>
        </r>
      </text>
    </comment>
    <comment ref="J37" authorId="0">
      <text>
        <r>
          <rPr>
            <sz val="9"/>
            <rFont val="宋体"/>
            <charset val="134"/>
          </rPr>
          <t>到付USD1490.73l专预付136936.</t>
        </r>
      </text>
    </comment>
    <comment ref="J39" authorId="0">
      <text>
        <r>
          <rPr>
            <sz val="9"/>
            <rFont val="宋体"/>
            <charset val="134"/>
          </rPr>
          <t>到付USD4.44转预付220.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4" authorId="0">
      <text>
        <r>
          <rPr>
            <sz val="9"/>
            <rFont val="宋体"/>
            <charset val="134"/>
          </rPr>
          <t xml:space="preserve">到付USD16774.66转预付123500.
</t>
        </r>
      </text>
    </comment>
    <comment ref="J5" authorId="0">
      <text>
        <r>
          <rPr>
            <sz val="9"/>
            <rFont val="宋体"/>
            <charset val="134"/>
          </rPr>
          <t xml:space="preserve">到付USD16774.66转预付123500.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W12" authorId="0">
      <text>
        <r>
          <rPr>
            <sz val="9"/>
            <rFont val="宋体"/>
            <charset val="134"/>
          </rPr>
          <t xml:space="preserve">转仓费
</t>
        </r>
      </text>
    </comment>
    <comment ref="J26" authorId="0">
      <text>
        <r>
          <rPr>
            <sz val="9"/>
            <rFont val="宋体"/>
            <charset val="134"/>
          </rPr>
          <t xml:space="preserve">到付USD377.23转预付3448.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10" authorId="0">
      <text>
        <r>
          <rPr>
            <sz val="9"/>
            <rFont val="宋体"/>
            <charset val="134"/>
          </rPr>
          <t xml:space="preserve">到付USD221.02转预付1624.5.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N5" authorId="0">
      <text>
        <r>
          <rPr>
            <sz val="9"/>
            <rFont val="宋体"/>
            <charset val="134"/>
          </rPr>
          <t xml:space="preserve">预付30863.5转到付USD4286.59.
</t>
        </r>
      </text>
    </comment>
    <comment ref="N6" authorId="0">
      <text>
        <r>
          <rPr>
            <sz val="9"/>
            <rFont val="宋体"/>
            <charset val="134"/>
          </rPr>
          <t xml:space="preserve">预付899.62转到付USD123.74.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到付USD5657.03转预付41296.32
</t>
        </r>
      </text>
    </comment>
    <comment ref="J6" authorId="0">
      <text>
        <r>
          <rPr>
            <sz val="9"/>
            <rFont val="宋体"/>
            <charset val="134"/>
          </rPr>
          <t xml:space="preserve">到付USD331.89转预付2422.8
</t>
        </r>
      </text>
    </comment>
    <comment ref="J7" authorId="0">
      <text>
        <r>
          <rPr>
            <sz val="9"/>
            <rFont val="宋体"/>
            <charset val="134"/>
          </rPr>
          <t xml:space="preserve">到付USD600.78转预付4385.69
</t>
        </r>
      </text>
    </comment>
    <comment ref="J8" authorId="0">
      <text>
        <r>
          <rPr>
            <sz val="9"/>
            <rFont val="宋体"/>
            <charset val="134"/>
          </rPr>
          <t xml:space="preserve">到付USD85.11转预付621.3
</t>
        </r>
      </text>
    </comment>
    <comment ref="J9" authorId="0">
      <text>
        <r>
          <rPr>
            <sz val="9"/>
            <rFont val="宋体"/>
            <charset val="134"/>
          </rPr>
          <t xml:space="preserve">到付USD5194.06转预付37916.64
</t>
        </r>
      </text>
    </comment>
    <comment ref="J10" authorId="0">
      <text>
        <r>
          <rPr>
            <sz val="9"/>
            <rFont val="宋体"/>
            <charset val="134"/>
          </rPr>
          <t>到付USD425.05转预付3096.47
.到付USD2514.54转预付18104.69合计21201.16</t>
        </r>
      </text>
    </comment>
    <comment ref="J11" authorId="0">
      <text>
        <r>
          <rPr>
            <sz val="9"/>
            <rFont val="宋体"/>
            <charset val="134"/>
          </rPr>
          <t xml:space="preserve">到付USD1574.22转预付11334.38
</t>
        </r>
      </text>
    </comment>
    <comment ref="J12" authorId="0">
      <text>
        <r>
          <rPr>
            <sz val="9"/>
            <rFont val="宋体"/>
            <charset val="134"/>
          </rPr>
          <t>到付USD1484.35转预付10687.32</t>
        </r>
      </text>
    </comment>
    <comment ref="J13" authorId="0">
      <text>
        <r>
          <rPr>
            <sz val="9"/>
            <rFont val="宋体"/>
            <charset val="134"/>
          </rPr>
          <t xml:space="preserve">到付USD849.23转预付6114.46
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到付USD5205.48转预付38000.
</t>
        </r>
      </text>
    </comment>
    <comment ref="J7" authorId="0">
      <text>
        <r>
          <rPr>
            <sz val="9"/>
            <rFont val="宋体"/>
            <charset val="134"/>
          </rPr>
          <t xml:space="preserve">到付USD145.34转预付1060.98.
</t>
        </r>
      </text>
    </comment>
    <comment ref="J8" authorId="0">
      <text>
        <r>
          <rPr>
            <sz val="9"/>
            <rFont val="宋体"/>
            <charset val="134"/>
          </rPr>
          <t xml:space="preserve">到付USD103.74转预付757.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到付USD6565.65转预付48779.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到付USD692.08转预付5053.
</t>
        </r>
      </text>
    </comment>
    <comment ref="J12" authorId="0">
      <text>
        <r>
          <rPr>
            <sz val="9"/>
            <rFont val="宋体"/>
            <charset val="134"/>
          </rPr>
          <t>到付USD1471.17转预付10739.54.</t>
        </r>
      </text>
    </comment>
    <comment ref="W13" authorId="0">
      <text>
        <r>
          <rPr>
            <b/>
            <sz val="9"/>
            <rFont val="宋体"/>
            <charset val="134"/>
          </rPr>
          <t>转仓费:</t>
        </r>
        <r>
          <rPr>
            <sz val="9"/>
            <rFont val="宋体"/>
            <charset val="134"/>
          </rPr>
          <t xml:space="preserve">
</t>
        </r>
      </text>
    </comment>
    <comment ref="J20" authorId="0">
      <text>
        <r>
          <rPr>
            <sz val="9"/>
            <rFont val="宋体"/>
            <charset val="134"/>
          </rPr>
          <t>到付USD8590.4转预付62286.</t>
        </r>
      </text>
    </comment>
  </commentList>
</comments>
</file>

<file path=xl/sharedStrings.xml><?xml version="1.0" encoding="utf-8"?>
<sst xmlns="http://schemas.openxmlformats.org/spreadsheetml/2006/main" count="998" uniqueCount="184">
  <si>
    <t>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</si>
  <si>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</si>
  <si>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</si>
  <si>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</si>
  <si>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</si>
  <si>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</si>
  <si>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</si>
  <si>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</si>
  <si>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</si>
  <si>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</si>
  <si>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</si>
  <si>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</si>
  <si>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</si>
  <si>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</si>
  <si>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</si>
  <si>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</si>
  <si>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</si>
  <si>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</si>
  <si>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</si>
  <si>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</si>
  <si>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</si>
  <si>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</si>
  <si>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</si>
  <si>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</si>
  <si>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</si>
  <si>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</si>
  <si>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</si>
  <si>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</si>
  <si>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</si>
  <si>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</si>
  <si>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</si>
  <si>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</si>
  <si>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</si>
  <si>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</si>
  <si>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</si>
  <si>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</si>
  <si>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黄颖</t>
  </si>
  <si>
    <t>ying</t>
  </si>
  <si>
    <t>Wole Rasak</t>
  </si>
  <si>
    <t>Bruce</t>
  </si>
  <si>
    <t>Barrister Hammed</t>
  </si>
  <si>
    <t>jiangnan</t>
  </si>
  <si>
    <t>Sunday Adelena</t>
  </si>
  <si>
    <t>Nura</t>
  </si>
  <si>
    <t>JOB120363</t>
  </si>
  <si>
    <t>COLL004291</t>
  </si>
  <si>
    <t>Tom chen</t>
  </si>
  <si>
    <t>登凯=43330
陆总=8000  
拖车费=1670
杂费=93
过磅费=125</t>
  </si>
  <si>
    <t>Oba Adeoriyomi Oyebo</t>
  </si>
  <si>
    <t>yuhuichao</t>
  </si>
  <si>
    <t>Mr.zhang</t>
  </si>
  <si>
    <t>wuchengxing</t>
  </si>
  <si>
    <t>JOB120364</t>
  </si>
  <si>
    <t>COLL004298</t>
  </si>
  <si>
    <t>登凯=43330
赛捷=1660
拖车费=1670
杂费=73
过磅费=70</t>
  </si>
  <si>
    <t>MISS Huang</t>
  </si>
  <si>
    <t>JOB120365</t>
  </si>
  <si>
    <t>COLL004301</t>
  </si>
  <si>
    <t>登凯=43386.5
陆总=1800 
拖车费=1670
杂费=661
过磅费=71</t>
  </si>
  <si>
    <t>wangmuma</t>
  </si>
  <si>
    <t>Hao wangjun</t>
  </si>
  <si>
    <t>JOB120366</t>
  </si>
  <si>
    <t>COLL004305</t>
  </si>
  <si>
    <t>登凯=43386.5
赛捷=500  
拖车费=1670
杂费=61
过磅费=68</t>
  </si>
  <si>
    <t>JOB120367</t>
  </si>
  <si>
    <t>COLL004308</t>
  </si>
  <si>
    <t>登凯=43386.5
赛捷=600  
拖车费=1670
杂费=75
过磅费=57</t>
  </si>
  <si>
    <t>shola</t>
  </si>
  <si>
    <t>JOB120368</t>
  </si>
  <si>
    <t>COLL004310</t>
  </si>
  <si>
    <t>登凯=43941.65
创泽=1300 
拖车费=1670
杂费=63
过磅费=59</t>
  </si>
  <si>
    <t>合     计</t>
  </si>
  <si>
    <t>基本任务：小于6千</t>
  </si>
  <si>
    <t>不够基本任务6千，
公司将根据空运提成里抽出补足基数</t>
  </si>
  <si>
    <t>黄颖 提成</t>
  </si>
  <si>
    <t>名称</t>
  </si>
  <si>
    <t>毛利</t>
  </si>
  <si>
    <t>基本任务：6千-3.5万</t>
  </si>
  <si>
    <t>按40%提成</t>
  </si>
  <si>
    <t>LOS</t>
  </si>
  <si>
    <t>基数</t>
  </si>
  <si>
    <t>基本任务：3.5万以上</t>
  </si>
  <si>
    <t>按50%提成</t>
  </si>
  <si>
    <t>提成计数</t>
  </si>
  <si>
    <t>提成点数</t>
  </si>
  <si>
    <t>提成金额</t>
  </si>
  <si>
    <t>Bella</t>
  </si>
  <si>
    <t>Bella Chan</t>
  </si>
  <si>
    <t>zhong zi xin</t>
  </si>
  <si>
    <t>zhang long ting</t>
  </si>
  <si>
    <t>FENG</t>
  </si>
  <si>
    <t>weng zixian</t>
  </si>
  <si>
    <t>new hope 边鹏飞</t>
  </si>
  <si>
    <t>三凤 提成</t>
  </si>
  <si>
    <t>备注</t>
  </si>
  <si>
    <t>总利润减zhong zi xin
利润的
一半3742.51</t>
  </si>
  <si>
    <t>朱小飞</t>
  </si>
  <si>
    <t>Isabel Zhu</t>
  </si>
  <si>
    <t>Halifa Success</t>
  </si>
  <si>
    <t>Maryam Tukur</t>
  </si>
  <si>
    <t>Joy</t>
  </si>
  <si>
    <t>Komebility gift</t>
  </si>
  <si>
    <t>Ope Olofinjana</t>
  </si>
  <si>
    <t>Mr Zhou</t>
  </si>
  <si>
    <t>Mr Olusola Abidemi</t>
  </si>
  <si>
    <t>合计</t>
  </si>
  <si>
    <t>朱小飞 提成</t>
  </si>
  <si>
    <t>总利润减Halifa
利润的
一半1045.81</t>
  </si>
  <si>
    <t>JOB120361</t>
  </si>
  <si>
    <t>COLL004287</t>
  </si>
  <si>
    <t>吕沛霖</t>
  </si>
  <si>
    <t>喵喵速运-Layne</t>
  </si>
  <si>
    <t>Hu Hai Liang</t>
  </si>
  <si>
    <t>登凯=46189.5
陆总=1200  
拖车费=1670
杂费=89
过磅费=66</t>
  </si>
  <si>
    <t>LEO WEI</t>
  </si>
  <si>
    <t>Candice Ding</t>
  </si>
  <si>
    <t>Mu Shi Shi</t>
  </si>
  <si>
    <t>WEI PING</t>
  </si>
  <si>
    <t>YA</t>
  </si>
  <si>
    <t>MA ZONG</t>
  </si>
  <si>
    <t>Mr.Shen</t>
  </si>
  <si>
    <t>Isa</t>
  </si>
  <si>
    <t>Abdulsheldu</t>
  </si>
  <si>
    <t>吕沛霖 提成</t>
  </si>
  <si>
    <t>罗珮文</t>
  </si>
  <si>
    <t>Shirley</t>
  </si>
  <si>
    <t>SKY JET</t>
  </si>
  <si>
    <t>Yusky</t>
  </si>
  <si>
    <t>罗珮文 提成</t>
  </si>
  <si>
    <t>苏慧琪</t>
  </si>
  <si>
    <t>KAY</t>
  </si>
  <si>
    <t>BOYOU 吕</t>
  </si>
  <si>
    <t>R李金</t>
  </si>
  <si>
    <t>xiaobai小白</t>
  </si>
  <si>
    <t>苏慧琪 提成</t>
  </si>
  <si>
    <t>陆总</t>
  </si>
  <si>
    <t>陆梓龙</t>
  </si>
  <si>
    <t>xinlong</t>
  </si>
  <si>
    <t>jizong</t>
  </si>
  <si>
    <t>luk</t>
  </si>
  <si>
    <t>xiantian</t>
  </si>
  <si>
    <t>陆总 提成</t>
  </si>
  <si>
    <t>Sam.Pao</t>
  </si>
  <si>
    <t>Chizoba</t>
  </si>
  <si>
    <t>JOB120362</t>
  </si>
  <si>
    <t>COLL004290</t>
  </si>
  <si>
    <t>Nick Wang</t>
  </si>
  <si>
    <t>登凯=46189.5
陆总=800 
拖车费=1670
杂费=61
过磅费=68</t>
  </si>
  <si>
    <t>MaiKaiNian</t>
  </si>
  <si>
    <t>Angel</t>
  </si>
  <si>
    <t>JunYue hotel</t>
  </si>
  <si>
    <t>ShanShan</t>
  </si>
  <si>
    <t>Mr. Jiang</t>
  </si>
  <si>
    <t>FanXiangGuo</t>
  </si>
  <si>
    <t>Mr LiuQiSheng</t>
  </si>
  <si>
    <t>ChenGaoHong</t>
  </si>
  <si>
    <t>AiGeLi</t>
  </si>
  <si>
    <t>浦生 提成</t>
  </si>
  <si>
    <t>任务</t>
  </si>
  <si>
    <t>提成计数40%</t>
  </si>
  <si>
    <t>实提成计数</t>
  </si>
  <si>
    <t>提成点数50%</t>
  </si>
  <si>
    <t>合计提成金额</t>
  </si>
  <si>
    <t>无人</t>
  </si>
  <si>
    <t>dejare James</t>
  </si>
  <si>
    <t>James</t>
  </si>
  <si>
    <t>无人 提成</t>
  </si>
  <si>
    <r>
      <rPr>
        <b/>
        <sz val="18"/>
        <color theme="1"/>
        <rFont val="Tahoma"/>
        <charset val="134"/>
      </rPr>
      <t>24</t>
    </r>
    <r>
      <rPr>
        <b/>
        <sz val="18"/>
        <color theme="1"/>
        <rFont val="宋体"/>
        <charset val="134"/>
      </rPr>
      <t>年</t>
    </r>
    <r>
      <rPr>
        <b/>
        <sz val="18"/>
        <color theme="1"/>
        <rFont val="Tahoma"/>
        <charset val="134"/>
      </rPr>
      <t>11</t>
    </r>
    <r>
      <rPr>
        <b/>
        <sz val="18"/>
        <color theme="1"/>
        <rFont val="宋体"/>
        <charset val="134"/>
      </rPr>
      <t>月份业务员提成总表</t>
    </r>
    <r>
      <rPr>
        <b/>
        <sz val="18"/>
        <color theme="1"/>
        <rFont val="Tahoma"/>
        <charset val="134"/>
      </rPr>
      <t>-</t>
    </r>
    <r>
      <rPr>
        <b/>
        <sz val="18"/>
        <color theme="1"/>
        <rFont val="宋体"/>
        <charset val="134"/>
      </rPr>
      <t>68³</t>
    </r>
  </si>
  <si>
    <t xml:space="preserve">           名称
姓名</t>
  </si>
  <si>
    <t>LOS毛利</t>
  </si>
  <si>
    <t>计费体积
立方</t>
  </si>
  <si>
    <r>
      <rPr>
        <sz val="18"/>
        <color theme="1"/>
        <rFont val="Tahoma"/>
        <charset val="134"/>
      </rPr>
      <t>6</t>
    </r>
    <r>
      <rPr>
        <sz val="18"/>
        <color theme="1"/>
        <rFont val="宋体"/>
        <charset val="134"/>
      </rPr>
      <t>千</t>
    </r>
    <r>
      <rPr>
        <sz val="18"/>
        <color theme="1"/>
        <rFont val="Tahoma"/>
        <charset val="134"/>
      </rPr>
      <t>-3.5</t>
    </r>
    <r>
      <rPr>
        <sz val="18"/>
        <color theme="1"/>
        <rFont val="宋体"/>
        <charset val="134"/>
      </rPr>
      <t>万</t>
    </r>
  </si>
  <si>
    <r>
      <rPr>
        <sz val="18"/>
        <color theme="1"/>
        <rFont val="Tahoma"/>
        <charset val="134"/>
      </rPr>
      <t>3.5</t>
    </r>
    <r>
      <rPr>
        <sz val="18"/>
        <color theme="1"/>
        <rFont val="宋体"/>
        <charset val="134"/>
      </rPr>
      <t>万以上</t>
    </r>
  </si>
  <si>
    <t>合计
提成金额</t>
  </si>
  <si>
    <t>提成点
数40%</t>
  </si>
  <si>
    <t>提成点
数50%</t>
  </si>
  <si>
    <t>黄  颖</t>
  </si>
  <si>
    <t>陈三凤</t>
  </si>
  <si>
    <t>小飞10-11月份原方案15%
（zhong zi xin利润的一半3742.51）</t>
  </si>
  <si>
    <t>小飞10-11月份原方案15%
（Halifa利润的一半1045.81）</t>
  </si>
  <si>
    <t>领款人：</t>
  </si>
  <si>
    <t>日期：</t>
  </si>
  <si>
    <t>浦海森</t>
  </si>
  <si>
    <t>确认人：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</si>
</sst>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&quot;³&quot;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_ "/>
    <numFmt numFmtId="183" formatCode="&quot;US$&quot;#,##0.00;\-&quot;US$&quot;#,##0.00"/>
    <numFmt numFmtId="184" formatCode="_ * #,##0.00_ ;_ * \-#,##0.00_ ;_ * &quot;-&quot;_ ;_ @_ "/>
    <numFmt numFmtId="185" formatCode="0.0000_ "/>
  </numFmts>
  <fonts count="5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Tahoma"/>
      <charset val="134"/>
    </font>
    <font>
      <sz val="18"/>
      <color theme="1"/>
      <name val="Tahoma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宋体"/>
      <charset val="134"/>
    </font>
    <font>
      <b/>
      <sz val="18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3" borderId="19" applyNumberFormat="0" applyAlignment="0" applyProtection="0">
      <alignment vertical="center"/>
    </xf>
    <xf numFmtId="0" fontId="40" fillId="14" borderId="20" applyNumberFormat="0" applyAlignment="0" applyProtection="0">
      <alignment vertical="center"/>
    </xf>
    <xf numFmtId="0" fontId="41" fillId="14" borderId="19" applyNumberFormat="0" applyAlignment="0" applyProtection="0">
      <alignment vertical="center"/>
    </xf>
    <xf numFmtId="0" fontId="42" fillId="15" borderId="21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</cellStyleXfs>
  <cellXfs count="23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5" fillId="0" borderId="0" xfId="0" applyNumberFormat="1" applyFont="1" applyFill="1">
      <alignment vertical="center"/>
    </xf>
    <xf numFmtId="0" fontId="5" fillId="0" borderId="0" xfId="0" applyNumberFormat="1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176" fontId="10" fillId="3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10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vertical="center"/>
    </xf>
    <xf numFmtId="0" fontId="12" fillId="0" borderId="0" xfId="0" applyNumberFormat="1" applyFont="1" applyFill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2" fillId="0" borderId="0" xfId="0" applyFont="1" applyFill="1" applyAlignment="1">
      <alignment horizontal="center" vertical="center"/>
    </xf>
    <xf numFmtId="176" fontId="12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>
      <alignment vertical="center"/>
    </xf>
    <xf numFmtId="0" fontId="12" fillId="0" borderId="0" xfId="0" applyFont="1">
      <alignment vertical="center"/>
    </xf>
    <xf numFmtId="178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79" fontId="18" fillId="6" borderId="2" xfId="1" applyNumberFormat="1" applyFont="1" applyFill="1" applyBorder="1" applyAlignment="1">
      <alignment horizontal="center" vertical="center"/>
    </xf>
    <xf numFmtId="180" fontId="19" fillId="6" borderId="2" xfId="1" applyNumberFormat="1" applyFont="1" applyFill="1" applyBorder="1" applyAlignment="1">
      <alignment horizontal="center" vertical="center"/>
    </xf>
    <xf numFmtId="180" fontId="19" fillId="6" borderId="3" xfId="1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17" fillId="0" borderId="14" xfId="0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180" fontId="19" fillId="6" borderId="14" xfId="1" applyNumberFormat="1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181" fontId="21" fillId="0" borderId="2" xfId="0" applyNumberFormat="1" applyFont="1" applyFill="1" applyBorder="1" applyAlignment="1">
      <alignment vertical="center"/>
    </xf>
    <xf numFmtId="58" fontId="21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 wrapText="1"/>
    </xf>
    <xf numFmtId="176" fontId="15" fillId="5" borderId="5" xfId="0" applyNumberFormat="1" applyFont="1" applyFill="1" applyBorder="1" applyAlignment="1">
      <alignment horizontal="center" vertical="center"/>
    </xf>
    <xf numFmtId="182" fontId="15" fillId="5" borderId="6" xfId="0" applyNumberFormat="1" applyFont="1" applyFill="1" applyBorder="1" applyAlignment="1">
      <alignment horizontal="center" vertical="center"/>
    </xf>
    <xf numFmtId="183" fontId="15" fillId="5" borderId="6" xfId="0" applyNumberFormat="1" applyFont="1" applyFill="1" applyBorder="1" applyAlignment="1">
      <alignment horizontal="center" vertical="center"/>
    </xf>
    <xf numFmtId="0" fontId="15" fillId="5" borderId="6" xfId="0" applyNumberFormat="1" applyFont="1" applyFill="1" applyBorder="1" applyAlignment="1">
      <alignment horizontal="center" vertical="center"/>
    </xf>
    <xf numFmtId="176" fontId="22" fillId="0" borderId="7" xfId="0" applyNumberFormat="1" applyFont="1" applyFill="1" applyBorder="1" applyAlignment="1">
      <alignment horizontal="right" vertical="center"/>
    </xf>
    <xf numFmtId="176" fontId="17" fillId="5" borderId="2" xfId="0" applyNumberFormat="1" applyFont="1" applyFill="1" applyBorder="1" applyAlignment="1">
      <alignment horizontal="right" vertical="center"/>
    </xf>
    <xf numFmtId="182" fontId="23" fillId="5" borderId="2" xfId="0" applyNumberFormat="1" applyFont="1" applyFill="1" applyBorder="1" applyAlignment="1">
      <alignment horizontal="center" vertical="center" wrapText="1"/>
    </xf>
    <xf numFmtId="183" fontId="23" fillId="5" borderId="2" xfId="0" applyNumberFormat="1" applyFont="1" applyFill="1" applyBorder="1" applyAlignment="1">
      <alignment horizontal="center" vertical="center" wrapText="1"/>
    </xf>
    <xf numFmtId="183" fontId="17" fillId="5" borderId="2" xfId="0" applyNumberFormat="1" applyFont="1" applyFill="1" applyBorder="1" applyAlignment="1">
      <alignment horizontal="center" vertical="center" wrapText="1"/>
    </xf>
    <xf numFmtId="0" fontId="24" fillId="5" borderId="2" xfId="0" applyNumberFormat="1" applyFont="1" applyFill="1" applyBorder="1" applyAlignment="1">
      <alignment horizontal="center" vertical="center"/>
    </xf>
    <xf numFmtId="176" fontId="25" fillId="0" borderId="2" xfId="0" applyNumberFormat="1" applyFont="1" applyFill="1" applyBorder="1" applyAlignment="1">
      <alignment horizontal="right" vertical="center"/>
    </xf>
    <xf numFmtId="176" fontId="20" fillId="0" borderId="2" xfId="0" applyNumberFormat="1" applyFont="1" applyFill="1" applyBorder="1" applyAlignment="1">
      <alignment vertical="center"/>
    </xf>
    <xf numFmtId="182" fontId="21" fillId="0" borderId="2" xfId="0" applyNumberFormat="1" applyFont="1" applyFill="1" applyBorder="1" applyAlignment="1">
      <alignment vertical="center"/>
    </xf>
    <xf numFmtId="183" fontId="26" fillId="0" borderId="2" xfId="0" applyNumberFormat="1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vertical="center"/>
    </xf>
    <xf numFmtId="183" fontId="20" fillId="0" borderId="2" xfId="0" applyNumberFormat="1" applyFont="1" applyFill="1" applyBorder="1" applyAlignment="1">
      <alignment vertical="center"/>
    </xf>
    <xf numFmtId="0" fontId="0" fillId="3" borderId="10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76" fontId="0" fillId="8" borderId="2" xfId="0" applyNumberForma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176" fontId="15" fillId="3" borderId="3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176" fontId="17" fillId="9" borderId="6" xfId="0" applyNumberFormat="1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176" fontId="17" fillId="0" borderId="6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76" fontId="24" fillId="0" borderId="8" xfId="0" applyNumberFormat="1" applyFont="1" applyFill="1" applyBorder="1" applyAlignment="1">
      <alignment horizontal="center" vertical="center" wrapText="1"/>
    </xf>
    <xf numFmtId="7" fontId="27" fillId="5" borderId="3" xfId="0" applyNumberFormat="1" applyFont="1" applyFill="1" applyBorder="1" applyAlignment="1">
      <alignment horizontal="center" vertical="center" wrapText="1"/>
    </xf>
    <xf numFmtId="176" fontId="15" fillId="3" borderId="14" xfId="0" applyNumberFormat="1" applyFont="1" applyFill="1" applyBorder="1" applyAlignment="1">
      <alignment horizontal="center" vertical="center"/>
    </xf>
    <xf numFmtId="184" fontId="28" fillId="9" borderId="2" xfId="4" applyNumberFormat="1" applyFont="1" applyFill="1" applyBorder="1" applyAlignment="1">
      <alignment horizontal="center" vertical="center"/>
    </xf>
    <xf numFmtId="176" fontId="25" fillId="9" borderId="2" xfId="4" applyNumberFormat="1" applyFont="1" applyFill="1" applyBorder="1" applyAlignment="1">
      <alignment horizontal="center" vertical="center"/>
    </xf>
    <xf numFmtId="184" fontId="25" fillId="0" borderId="2" xfId="4" applyNumberFormat="1" applyFont="1" applyFill="1" applyBorder="1" applyAlignment="1">
      <alignment horizontal="center" vertical="center"/>
    </xf>
    <xf numFmtId="176" fontId="25" fillId="0" borderId="2" xfId="4" applyNumberFormat="1" applyFont="1" applyFill="1" applyBorder="1" applyAlignment="1">
      <alignment horizontal="center" vertical="center"/>
    </xf>
    <xf numFmtId="176" fontId="24" fillId="0" borderId="15" xfId="0" applyNumberFormat="1" applyFont="1" applyFill="1" applyBorder="1" applyAlignment="1">
      <alignment horizontal="center" vertical="center" wrapText="1"/>
    </xf>
    <xf numFmtId="7" fontId="27" fillId="5" borderId="14" xfId="0" applyNumberFormat="1" applyFont="1" applyFill="1" applyBorder="1" applyAlignment="1">
      <alignment horizontal="center" vertical="center" wrapText="1"/>
    </xf>
    <xf numFmtId="176" fontId="21" fillId="0" borderId="14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vertical="center"/>
    </xf>
    <xf numFmtId="0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0" fontId="0" fillId="0" borderId="2" xfId="0" applyBorder="1">
      <alignment vertical="center"/>
    </xf>
    <xf numFmtId="183" fontId="24" fillId="5" borderId="2" xfId="0" applyNumberFormat="1" applyFont="1" applyFill="1" applyBorder="1" applyAlignment="1">
      <alignment horizontal="center" vertical="center"/>
    </xf>
    <xf numFmtId="182" fontId="24" fillId="5" borderId="2" xfId="0" applyNumberFormat="1" applyFont="1" applyFill="1" applyBorder="1" applyAlignment="1">
      <alignment horizontal="center" vertical="center"/>
    </xf>
    <xf numFmtId="176" fontId="24" fillId="3" borderId="3" xfId="0" applyNumberFormat="1" applyFont="1" applyFill="1" applyBorder="1" applyAlignment="1">
      <alignment horizontal="center" vertical="center"/>
    </xf>
    <xf numFmtId="176" fontId="15" fillId="7" borderId="3" xfId="0" applyNumberFormat="1" applyFont="1" applyFill="1" applyBorder="1" applyAlignment="1">
      <alignment horizontal="center" vertical="center"/>
    </xf>
    <xf numFmtId="183" fontId="29" fillId="5" borderId="2" xfId="0" applyNumberFormat="1" applyFont="1" applyFill="1" applyBorder="1" applyAlignment="1">
      <alignment vertical="center" wrapText="1"/>
    </xf>
    <xf numFmtId="183" fontId="24" fillId="5" borderId="2" xfId="0" applyNumberFormat="1" applyFont="1" applyFill="1" applyBorder="1" applyAlignment="1">
      <alignment horizontal="right" vertical="center"/>
    </xf>
    <xf numFmtId="182" fontId="27" fillId="5" borderId="2" xfId="0" applyNumberFormat="1" applyFont="1" applyFill="1" applyBorder="1" applyAlignment="1">
      <alignment horizontal="center" vertical="center"/>
    </xf>
    <xf numFmtId="176" fontId="24" fillId="5" borderId="2" xfId="0" applyNumberFormat="1" applyFont="1" applyFill="1" applyBorder="1" applyAlignment="1">
      <alignment horizontal="center" vertical="center"/>
    </xf>
    <xf numFmtId="176" fontId="24" fillId="3" borderId="2" xfId="0" applyNumberFormat="1" applyFont="1" applyFill="1" applyBorder="1" applyAlignment="1">
      <alignment horizontal="center" vertical="center"/>
    </xf>
    <xf numFmtId="176" fontId="15" fillId="7" borderId="4" xfId="0" applyNumberFormat="1" applyFont="1" applyFill="1" applyBorder="1" applyAlignment="1">
      <alignment horizontal="center" vertical="center"/>
    </xf>
    <xf numFmtId="183" fontId="21" fillId="0" borderId="2" xfId="0" applyNumberFormat="1" applyFont="1" applyFill="1" applyBorder="1" applyAlignment="1">
      <alignment vertical="center"/>
    </xf>
    <xf numFmtId="176" fontId="5" fillId="0" borderId="2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176" fontId="26" fillId="0" borderId="2" xfId="0" applyNumberFormat="1" applyFont="1" applyFill="1" applyBorder="1" applyAlignment="1">
      <alignment vertical="center"/>
    </xf>
    <xf numFmtId="182" fontId="16" fillId="0" borderId="2" xfId="0" applyNumberFormat="1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76" fontId="0" fillId="2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176" fontId="0" fillId="10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176" fontId="0" fillId="11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176" fontId="21" fillId="0" borderId="3" xfId="0" applyNumberFormat="1" applyFont="1" applyFill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vertical="center"/>
    </xf>
    <xf numFmtId="0" fontId="16" fillId="0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20" fillId="0" borderId="2" xfId="0" applyFont="1" applyFill="1" applyBorder="1">
      <alignment vertical="center"/>
    </xf>
    <xf numFmtId="181" fontId="16" fillId="0" borderId="2" xfId="0" applyNumberFormat="1" applyFont="1" applyFill="1" applyBorder="1">
      <alignment vertical="center"/>
    </xf>
    <xf numFmtId="58" fontId="16" fillId="0" borderId="2" xfId="0" applyNumberFormat="1" applyFont="1" applyFill="1" applyBorder="1" applyAlignment="1">
      <alignment horizontal="center" vertical="center"/>
    </xf>
    <xf numFmtId="58" fontId="16" fillId="0" borderId="2" xfId="0" applyNumberFormat="1" applyFont="1" applyFill="1" applyBorder="1">
      <alignment vertical="center"/>
    </xf>
    <xf numFmtId="0" fontId="16" fillId="9" borderId="0" xfId="0" applyFont="1" applyFill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vertical="center"/>
    </xf>
    <xf numFmtId="176" fontId="20" fillId="0" borderId="2" xfId="0" applyNumberFormat="1" applyFont="1" applyFill="1" applyBorder="1">
      <alignment vertical="center"/>
    </xf>
    <xf numFmtId="176" fontId="20" fillId="0" borderId="2" xfId="0" applyNumberFormat="1" applyFont="1" applyFill="1" applyBorder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21" fillId="0" borderId="4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176" fontId="16" fillId="0" borderId="2" xfId="0" applyNumberFormat="1" applyFont="1" applyBorder="1">
      <alignment vertical="center"/>
    </xf>
    <xf numFmtId="0" fontId="20" fillId="8" borderId="2" xfId="0" applyFont="1" applyFill="1" applyBorder="1" applyAlignment="1">
      <alignment vertical="center"/>
    </xf>
    <xf numFmtId="185" fontId="20" fillId="8" borderId="2" xfId="0" applyNumberFormat="1" applyFont="1" applyFill="1" applyBorder="1" applyAlignment="1">
      <alignment vertical="center"/>
    </xf>
    <xf numFmtId="176" fontId="26" fillId="8" borderId="2" xfId="0" applyNumberFormat="1" applyFont="1" applyFill="1" applyBorder="1" applyAlignment="1">
      <alignment vertical="center"/>
    </xf>
    <xf numFmtId="182" fontId="21" fillId="8" borderId="2" xfId="0" applyNumberFormat="1" applyFont="1" applyFill="1" applyBorder="1" applyAlignment="1">
      <alignment vertical="center"/>
    </xf>
    <xf numFmtId="183" fontId="20" fillId="8" borderId="2" xfId="0" applyNumberFormat="1" applyFont="1" applyFill="1" applyBorder="1" applyAlignment="1">
      <alignment vertical="center"/>
    </xf>
    <xf numFmtId="182" fontId="26" fillId="8" borderId="2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vertical="center"/>
    </xf>
    <xf numFmtId="176" fontId="20" fillId="8" borderId="2" xfId="0" applyNumberFormat="1" applyFont="1" applyFill="1" applyBorder="1" applyAlignment="1">
      <alignment vertical="center"/>
    </xf>
    <xf numFmtId="181" fontId="20" fillId="8" borderId="2" xfId="0" applyNumberFormat="1" applyFont="1" applyFill="1" applyBorder="1" applyAlignment="1">
      <alignment vertical="center"/>
    </xf>
    <xf numFmtId="182" fontId="30" fillId="0" borderId="2" xfId="0" applyNumberFormat="1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176" fontId="0" fillId="3" borderId="14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176" fontId="21" fillId="8" borderId="14" xfId="0" applyNumberFormat="1" applyFont="1" applyFill="1" applyBorder="1" applyAlignment="1">
      <alignment horizontal="center" vertical="center"/>
    </xf>
    <xf numFmtId="176" fontId="21" fillId="8" borderId="2" xfId="0" applyNumberFormat="1" applyFont="1" applyFill="1" applyBorder="1" applyAlignment="1">
      <alignment vertical="center"/>
    </xf>
    <xf numFmtId="0" fontId="16" fillId="8" borderId="2" xfId="0" applyFont="1" applyFill="1" applyBorder="1" applyAlignment="1">
      <alignment vertical="center"/>
    </xf>
    <xf numFmtId="183" fontId="21" fillId="8" borderId="2" xfId="0" applyNumberFormat="1" applyFont="1" applyFill="1" applyBorder="1" applyAlignment="1">
      <alignment vertical="center"/>
    </xf>
    <xf numFmtId="176" fontId="5" fillId="0" borderId="0" xfId="0" applyNumberFormat="1" applyFont="1" applyFill="1" applyAlignment="1">
      <alignment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82" fontId="16" fillId="8" borderId="2" xfId="0" applyNumberFormat="1" applyFont="1" applyFill="1" applyBorder="1" applyAlignment="1">
      <alignment vertical="center"/>
    </xf>
    <xf numFmtId="176" fontId="21" fillId="0" borderId="0" xfId="0" applyNumberFormat="1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182" fontId="20" fillId="0" borderId="2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0"/>
  <sheetViews>
    <sheetView workbookViewId="0">
      <pane xSplit="14" ySplit="4" topLeftCell="AE34" activePane="bottomRight" state="frozen"/>
      <selection/>
      <selection pane="topRight"/>
      <selection pane="bottomLeft"/>
      <selection pane="bottomRight" activeCell="M48" sqref="M48"/>
    </sheetView>
  </sheetViews>
  <sheetFormatPr defaultColWidth="9" defaultRowHeight="13.5"/>
  <cols>
    <col min="2" max="2" width="10.375" customWidth="1"/>
    <col min="3" max="3" width="13.125" customWidth="1"/>
    <col min="4" max="4" width="7.375" customWidth="1"/>
    <col min="6" max="6" width="11.125"/>
    <col min="7" max="7" width="5.75" customWidth="1"/>
    <col min="8" max="8" width="10.125"/>
    <col min="9" max="9" width="11.25"/>
    <col min="10" max="10" width="10.25" customWidth="1"/>
    <col min="11" max="11" width="10.125"/>
    <col min="12" max="12" width="11.25"/>
    <col min="13" max="13" width="15.125" customWidth="1"/>
    <col min="14" max="14" width="12.5" customWidth="1"/>
    <col min="15" max="15" width="15.625" customWidth="1"/>
    <col min="16" max="17" width="14.75"/>
    <col min="18" max="18" width="12.5" customWidth="1"/>
    <col min="19" max="19" width="10.25"/>
    <col min="20" max="20" width="11.125"/>
    <col min="21" max="21" width="10.25"/>
    <col min="22" max="22" width="12.5"/>
    <col min="23" max="23" width="10.75"/>
    <col min="24" max="24" width="12.25" customWidth="1"/>
    <col min="25" max="25" width="12.5"/>
    <col min="26" max="26" width="11.125"/>
    <col min="27" max="27" width="13.625"/>
    <col min="28" max="28" width="14.75"/>
    <col min="29" max="29" width="10.125"/>
    <col min="30" max="30" width="11.125"/>
    <col min="31" max="31" width="14.75"/>
    <col min="32" max="32" width="13.625"/>
  </cols>
  <sheetData>
    <row r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4" t="s">
        <v>11</v>
      </c>
      <c r="R3" s="145" t="s">
        <v>12</v>
      </c>
      <c r="S3" s="146"/>
      <c r="T3" s="147"/>
      <c r="U3" s="148"/>
      <c r="V3" s="149"/>
      <c r="W3" s="150" t="s">
        <v>13</v>
      </c>
      <c r="X3" s="151" t="s">
        <v>14</v>
      </c>
      <c r="Y3" s="164" t="s">
        <v>15</v>
      </c>
      <c r="Z3" s="164"/>
      <c r="AA3" s="164"/>
      <c r="AB3" s="164"/>
      <c r="AC3" s="165"/>
      <c r="AD3" s="164"/>
      <c r="AE3" s="166" t="s">
        <v>16</v>
      </c>
      <c r="AF3" s="167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2"/>
      <c r="R4" s="153" t="s">
        <v>25</v>
      </c>
      <c r="S4" s="154" t="s">
        <v>26</v>
      </c>
      <c r="T4" s="155" t="s">
        <v>27</v>
      </c>
      <c r="U4" s="156" t="s">
        <v>28</v>
      </c>
      <c r="V4" s="155" t="s">
        <v>29</v>
      </c>
      <c r="W4" s="157"/>
      <c r="X4" s="158"/>
      <c r="Y4" s="168" t="s">
        <v>30</v>
      </c>
      <c r="Z4" s="168" t="s">
        <v>31</v>
      </c>
      <c r="AA4" s="168" t="s">
        <v>32</v>
      </c>
      <c r="AB4" s="169" t="s">
        <v>33</v>
      </c>
      <c r="AC4" s="170" t="s">
        <v>34</v>
      </c>
      <c r="AD4" s="171" t="s">
        <v>24</v>
      </c>
      <c r="AE4" s="172" t="s">
        <v>35</v>
      </c>
      <c r="AF4" s="173"/>
    </row>
    <row r="5" s="88" customFormat="1" ht="12.75" spans="1:32">
      <c r="A5" s="101"/>
      <c r="B5" s="102"/>
      <c r="C5" s="103">
        <v>241023000029</v>
      </c>
      <c r="D5" s="104">
        <v>45601</v>
      </c>
      <c r="E5" s="104" t="s">
        <v>36</v>
      </c>
      <c r="F5" s="102" t="s">
        <v>37</v>
      </c>
      <c r="G5" s="102" t="s">
        <v>38</v>
      </c>
      <c r="H5" s="102">
        <v>0.0288</v>
      </c>
      <c r="I5" s="102">
        <v>5</v>
      </c>
      <c r="J5" s="179">
        <v>224.75</v>
      </c>
      <c r="K5" s="125"/>
      <c r="L5" s="130"/>
      <c r="M5" s="127"/>
      <c r="N5" s="130"/>
      <c r="O5" s="128"/>
      <c r="P5" s="124">
        <v>224.75</v>
      </c>
      <c r="Q5" s="159"/>
      <c r="R5" s="159"/>
      <c r="S5" s="160">
        <v>20.8437882352941</v>
      </c>
      <c r="T5" s="160">
        <v>0.0481298823529412</v>
      </c>
      <c r="U5" s="160">
        <v>1.01647058823529</v>
      </c>
      <c r="V5" s="160"/>
      <c r="W5" s="160"/>
      <c r="X5" s="160">
        <v>21.9083887058824</v>
      </c>
      <c r="Y5" s="174">
        <v>4.63752847058823</v>
      </c>
      <c r="Z5" s="174"/>
      <c r="AA5" s="174"/>
      <c r="AB5" s="174">
        <v>4.63752847058823</v>
      </c>
      <c r="AC5" s="125">
        <v>7.33</v>
      </c>
      <c r="AD5" s="160">
        <v>33.9930836894118</v>
      </c>
      <c r="AE5" s="160">
        <v>55.9014723952941</v>
      </c>
      <c r="AF5" s="160">
        <v>168.848527604706</v>
      </c>
    </row>
    <row r="6" s="88" customFormat="1" ht="12.75" spans="1:32">
      <c r="A6" s="101"/>
      <c r="B6" s="102"/>
      <c r="C6" s="103">
        <v>241031000033</v>
      </c>
      <c r="D6" s="104">
        <v>45601</v>
      </c>
      <c r="E6" s="104" t="s">
        <v>36</v>
      </c>
      <c r="F6" s="102" t="s">
        <v>37</v>
      </c>
      <c r="G6" s="102" t="s">
        <v>39</v>
      </c>
      <c r="H6" s="102">
        <v>1.9968</v>
      </c>
      <c r="I6" s="102">
        <v>845</v>
      </c>
      <c r="J6" s="124"/>
      <c r="K6" s="129">
        <v>960734</v>
      </c>
      <c r="L6" s="130"/>
      <c r="M6" s="127">
        <v>1653.01789401239</v>
      </c>
      <c r="N6" s="126">
        <v>581.2</v>
      </c>
      <c r="O6" s="128">
        <v>7.29</v>
      </c>
      <c r="P6" s="124">
        <v>4236.948</v>
      </c>
      <c r="Q6" s="159"/>
      <c r="R6" s="159"/>
      <c r="S6" s="160">
        <v>1445.16931764706</v>
      </c>
      <c r="T6" s="160">
        <v>3.33700517647059</v>
      </c>
      <c r="U6" s="160">
        <v>70.4752941176471</v>
      </c>
      <c r="V6" s="160"/>
      <c r="W6" s="160"/>
      <c r="X6" s="160">
        <v>1518.98161694118</v>
      </c>
      <c r="Y6" s="174">
        <v>321.535307294118</v>
      </c>
      <c r="Z6" s="174"/>
      <c r="AA6" s="174"/>
      <c r="AB6" s="174">
        <v>321.535307294118</v>
      </c>
      <c r="AC6" s="125">
        <v>7.33</v>
      </c>
      <c r="AD6" s="160">
        <v>2356.85380246588</v>
      </c>
      <c r="AE6" s="160">
        <v>3875.83541940706</v>
      </c>
      <c r="AF6" s="160">
        <v>361.112580592942</v>
      </c>
    </row>
    <row r="7" s="88" customFormat="1" ht="12.75" spans="1:32">
      <c r="A7" s="101"/>
      <c r="B7" s="102"/>
      <c r="C7" s="103">
        <v>241028000022</v>
      </c>
      <c r="D7" s="104">
        <v>45601</v>
      </c>
      <c r="E7" s="104" t="s">
        <v>36</v>
      </c>
      <c r="F7" s="102" t="s">
        <v>37</v>
      </c>
      <c r="G7" s="102" t="s">
        <v>40</v>
      </c>
      <c r="H7" s="102">
        <v>1.211</v>
      </c>
      <c r="I7" s="102">
        <v>331</v>
      </c>
      <c r="J7" s="179">
        <v>2690</v>
      </c>
      <c r="K7" s="125"/>
      <c r="L7" s="130"/>
      <c r="M7" s="127"/>
      <c r="N7" s="130"/>
      <c r="O7" s="128"/>
      <c r="P7" s="124">
        <v>2690</v>
      </c>
      <c r="Q7" s="159"/>
      <c r="R7" s="159"/>
      <c r="S7" s="160">
        <v>876.452345588235</v>
      </c>
      <c r="T7" s="160">
        <v>2.02379470588235</v>
      </c>
      <c r="U7" s="160">
        <v>42.7411764705882</v>
      </c>
      <c r="V7" s="160"/>
      <c r="W7" s="160"/>
      <c r="X7" s="160">
        <v>921.217316764706</v>
      </c>
      <c r="Y7" s="174">
        <v>195.001631176471</v>
      </c>
      <c r="Z7" s="174"/>
      <c r="AA7" s="174"/>
      <c r="AB7" s="174">
        <v>195.001631176471</v>
      </c>
      <c r="AC7" s="125">
        <v>7.33</v>
      </c>
      <c r="AD7" s="160">
        <v>1429.36195652353</v>
      </c>
      <c r="AE7" s="160">
        <v>2350.57927328824</v>
      </c>
      <c r="AF7" s="160">
        <v>339.42072671176</v>
      </c>
    </row>
    <row r="8" s="88" customFormat="1" ht="12.75" spans="1:32">
      <c r="A8" s="101"/>
      <c r="B8" s="102"/>
      <c r="C8" s="103">
        <v>241029000017</v>
      </c>
      <c r="D8" s="104">
        <v>45601</v>
      </c>
      <c r="E8" s="104" t="s">
        <v>36</v>
      </c>
      <c r="F8" s="102" t="s">
        <v>37</v>
      </c>
      <c r="G8" s="102" t="s">
        <v>41</v>
      </c>
      <c r="H8" s="102">
        <v>0.2948</v>
      </c>
      <c r="I8" s="102">
        <v>65</v>
      </c>
      <c r="J8" s="179">
        <v>683.5</v>
      </c>
      <c r="K8" s="125"/>
      <c r="L8" s="130"/>
      <c r="M8" s="127"/>
      <c r="N8" s="130"/>
      <c r="O8" s="128"/>
      <c r="P8" s="124">
        <v>683.5</v>
      </c>
      <c r="Q8" s="159"/>
      <c r="R8" s="159"/>
      <c r="S8" s="160">
        <v>213.359332352941</v>
      </c>
      <c r="T8" s="160">
        <v>0.492662823529412</v>
      </c>
      <c r="U8" s="160">
        <v>10.4047058823529</v>
      </c>
      <c r="V8" s="160"/>
      <c r="W8" s="160"/>
      <c r="X8" s="160">
        <v>224.256701058824</v>
      </c>
      <c r="Y8" s="174">
        <v>47.4702567058823</v>
      </c>
      <c r="Z8" s="174"/>
      <c r="AA8" s="174"/>
      <c r="AB8" s="174">
        <v>47.4702567058823</v>
      </c>
      <c r="AC8" s="125">
        <v>7.33</v>
      </c>
      <c r="AD8" s="160">
        <v>347.956981654118</v>
      </c>
      <c r="AE8" s="160">
        <v>572.213682712941</v>
      </c>
      <c r="AF8" s="160">
        <v>111.286317287059</v>
      </c>
    </row>
    <row r="9" s="88" customFormat="1" ht="12.75" spans="1:32">
      <c r="A9" s="101"/>
      <c r="B9" s="102"/>
      <c r="C9" s="103">
        <v>241030000039</v>
      </c>
      <c r="D9" s="104">
        <v>45601</v>
      </c>
      <c r="E9" s="104" t="s">
        <v>36</v>
      </c>
      <c r="F9" s="102" t="s">
        <v>37</v>
      </c>
      <c r="G9" s="102" t="s">
        <v>41</v>
      </c>
      <c r="H9" s="102">
        <v>1.069</v>
      </c>
      <c r="I9" s="102">
        <v>138</v>
      </c>
      <c r="J9" s="179">
        <v>2506</v>
      </c>
      <c r="K9" s="125"/>
      <c r="L9" s="130"/>
      <c r="M9" s="127"/>
      <c r="N9" s="130"/>
      <c r="O9" s="128"/>
      <c r="P9" s="124">
        <v>2506</v>
      </c>
      <c r="Q9" s="159"/>
      <c r="R9" s="159"/>
      <c r="S9" s="160">
        <v>773.680889705882</v>
      </c>
      <c r="T9" s="160">
        <v>1.78648764705882</v>
      </c>
      <c r="U9" s="160">
        <v>37.7294117647059</v>
      </c>
      <c r="V9" s="160"/>
      <c r="W9" s="160"/>
      <c r="X9" s="160">
        <v>813.196789117647</v>
      </c>
      <c r="Y9" s="174">
        <v>172.136039411765</v>
      </c>
      <c r="Z9" s="174"/>
      <c r="AA9" s="174"/>
      <c r="AB9" s="174">
        <v>172.136039411765</v>
      </c>
      <c r="AC9" s="125">
        <v>7.33</v>
      </c>
      <c r="AD9" s="160">
        <v>1261.75716888824</v>
      </c>
      <c r="AE9" s="160">
        <v>2074.95395800588</v>
      </c>
      <c r="AF9" s="160">
        <v>431.04604199412</v>
      </c>
    </row>
    <row r="10" s="88" customFormat="1" ht="12.75" spans="1:32">
      <c r="A10" s="101"/>
      <c r="B10" s="102"/>
      <c r="C10" s="103">
        <v>241029000048</v>
      </c>
      <c r="D10" s="104">
        <v>45602</v>
      </c>
      <c r="E10" s="104" t="s">
        <v>36</v>
      </c>
      <c r="F10" s="102" t="s">
        <v>37</v>
      </c>
      <c r="G10" s="102" t="s">
        <v>42</v>
      </c>
      <c r="H10" s="102">
        <v>0.4438</v>
      </c>
      <c r="I10" s="102">
        <v>310</v>
      </c>
      <c r="J10" s="179">
        <v>964.05</v>
      </c>
      <c r="K10" s="125"/>
      <c r="L10" s="126"/>
      <c r="M10" s="127"/>
      <c r="N10" s="126"/>
      <c r="O10" s="128"/>
      <c r="P10" s="124">
        <v>964.05</v>
      </c>
      <c r="Q10" s="159"/>
      <c r="R10" s="159"/>
      <c r="S10" s="160">
        <v>318.416710294118</v>
      </c>
      <c r="T10" s="160"/>
      <c r="U10" s="160">
        <v>11.7476470588235</v>
      </c>
      <c r="V10" s="160"/>
      <c r="W10" s="160"/>
      <c r="X10" s="160">
        <v>330.164357352941</v>
      </c>
      <c r="Y10" s="174">
        <v>69.940661</v>
      </c>
      <c r="Z10" s="174"/>
      <c r="AA10" s="174">
        <v>0.330500470588235</v>
      </c>
      <c r="AB10" s="174">
        <v>70.2711614705882</v>
      </c>
      <c r="AC10" s="125">
        <v>7.33</v>
      </c>
      <c r="AD10" s="160">
        <v>515.087613579412</v>
      </c>
      <c r="AE10" s="160">
        <v>845.251970932353</v>
      </c>
      <c r="AF10" s="160">
        <v>118.798029067647</v>
      </c>
    </row>
    <row r="11" s="88" customFormat="1" ht="12.75" spans="1:32">
      <c r="A11" s="101"/>
      <c r="B11" s="102"/>
      <c r="C11" s="103">
        <v>241030000025</v>
      </c>
      <c r="D11" s="104">
        <v>45602</v>
      </c>
      <c r="E11" s="104" t="s">
        <v>36</v>
      </c>
      <c r="F11" s="102" t="s">
        <v>37</v>
      </c>
      <c r="G11" s="102" t="s">
        <v>43</v>
      </c>
      <c r="H11" s="102">
        <v>0.4092</v>
      </c>
      <c r="I11" s="102">
        <v>180</v>
      </c>
      <c r="J11" s="179">
        <v>876.05</v>
      </c>
      <c r="K11" s="180"/>
      <c r="L11" s="130"/>
      <c r="M11" s="127"/>
      <c r="N11" s="130"/>
      <c r="O11" s="128"/>
      <c r="P11" s="124">
        <v>876.05</v>
      </c>
      <c r="Q11" s="159"/>
      <c r="R11" s="159"/>
      <c r="S11" s="160">
        <v>293.591973529412</v>
      </c>
      <c r="T11" s="160"/>
      <c r="U11" s="160">
        <v>10.8317647058824</v>
      </c>
      <c r="V11" s="160"/>
      <c r="W11" s="160"/>
      <c r="X11" s="160">
        <v>304.423738235294</v>
      </c>
      <c r="Y11" s="174">
        <v>64.487874</v>
      </c>
      <c r="Z11" s="174"/>
      <c r="AA11" s="174">
        <v>0.304733647058824</v>
      </c>
      <c r="AB11" s="174">
        <v>64.7926076470588</v>
      </c>
      <c r="AC11" s="125">
        <v>7.33</v>
      </c>
      <c r="AD11" s="160">
        <v>474.929814052941</v>
      </c>
      <c r="AE11" s="160">
        <v>779.353552288235</v>
      </c>
      <c r="AF11" s="160">
        <v>96.6964477117649</v>
      </c>
    </row>
    <row r="12" s="88" customFormat="1" ht="12.75" spans="1:32">
      <c r="A12" s="101"/>
      <c r="B12" s="102"/>
      <c r="C12" s="103">
        <v>241031000033</v>
      </c>
      <c r="D12" s="104">
        <v>45602</v>
      </c>
      <c r="E12" s="104" t="s">
        <v>36</v>
      </c>
      <c r="F12" s="102" t="s">
        <v>37</v>
      </c>
      <c r="G12" s="102" t="s">
        <v>39</v>
      </c>
      <c r="H12" s="102">
        <v>0.5837</v>
      </c>
      <c r="I12" s="102">
        <v>247</v>
      </c>
      <c r="J12" s="124"/>
      <c r="K12" s="129">
        <v>280840</v>
      </c>
      <c r="L12" s="130"/>
      <c r="M12" s="127">
        <v>1652.97233666863</v>
      </c>
      <c r="N12" s="126">
        <v>169.9</v>
      </c>
      <c r="O12" s="128">
        <v>7.29</v>
      </c>
      <c r="P12" s="124">
        <v>1238.571</v>
      </c>
      <c r="Q12" s="159"/>
      <c r="R12" s="159"/>
      <c r="S12" s="160">
        <v>418.791874264706</v>
      </c>
      <c r="T12" s="160"/>
      <c r="U12" s="160">
        <v>15.4508823529412</v>
      </c>
      <c r="V12" s="160"/>
      <c r="W12" s="160"/>
      <c r="X12" s="160">
        <v>434.242756617647</v>
      </c>
      <c r="Y12" s="174">
        <v>91.9882015</v>
      </c>
      <c r="Z12" s="174"/>
      <c r="AA12" s="174">
        <v>0.434684823529412</v>
      </c>
      <c r="AB12" s="174">
        <v>92.4228863235294</v>
      </c>
      <c r="AC12" s="125">
        <v>7.33</v>
      </c>
      <c r="AD12" s="160">
        <v>677.459756751471</v>
      </c>
      <c r="AE12" s="160">
        <v>1111.70251336912</v>
      </c>
      <c r="AF12" s="160">
        <v>126.868486630882</v>
      </c>
    </row>
    <row r="13" s="88" customFormat="1" ht="12.75" spans="1:32">
      <c r="A13" s="101"/>
      <c r="B13" s="102"/>
      <c r="C13" s="103">
        <v>241104000038</v>
      </c>
      <c r="D13" s="104">
        <v>45602</v>
      </c>
      <c r="E13" s="104" t="s">
        <v>36</v>
      </c>
      <c r="F13" s="102" t="s">
        <v>37</v>
      </c>
      <c r="G13" s="102" t="s">
        <v>42</v>
      </c>
      <c r="H13" s="102">
        <v>0.0737</v>
      </c>
      <c r="I13" s="102">
        <v>26</v>
      </c>
      <c r="J13" s="179">
        <v>214.23</v>
      </c>
      <c r="K13" s="180"/>
      <c r="L13" s="126"/>
      <c r="M13" s="127"/>
      <c r="N13" s="126"/>
      <c r="O13" s="128"/>
      <c r="P13" s="124">
        <v>214.23</v>
      </c>
      <c r="Q13" s="159"/>
      <c r="R13" s="159"/>
      <c r="S13" s="160">
        <v>52.8781242647059</v>
      </c>
      <c r="T13" s="160"/>
      <c r="U13" s="160">
        <v>1.95088235294118</v>
      </c>
      <c r="V13" s="160"/>
      <c r="W13" s="160"/>
      <c r="X13" s="160">
        <v>54.8290066176471</v>
      </c>
      <c r="Y13" s="174">
        <v>11.6147515</v>
      </c>
      <c r="Z13" s="174"/>
      <c r="AA13" s="174">
        <v>0.0548848235294118</v>
      </c>
      <c r="AB13" s="174">
        <v>11.6696363235294</v>
      </c>
      <c r="AC13" s="125">
        <v>7.33</v>
      </c>
      <c r="AD13" s="160">
        <v>85.5384342514706</v>
      </c>
      <c r="AE13" s="160">
        <v>140.367440869118</v>
      </c>
      <c r="AF13" s="160">
        <v>73.862559130882</v>
      </c>
    </row>
    <row r="14" s="178" customFormat="1" ht="63.75" spans="1:32">
      <c r="A14" s="101" t="s">
        <v>44</v>
      </c>
      <c r="B14" s="102" t="s">
        <v>45</v>
      </c>
      <c r="C14" s="103">
        <v>240930000009</v>
      </c>
      <c r="D14" s="104">
        <v>45608</v>
      </c>
      <c r="E14" s="104" t="s">
        <v>36</v>
      </c>
      <c r="F14" s="102" t="s">
        <v>37</v>
      </c>
      <c r="G14" s="102" t="s">
        <v>46</v>
      </c>
      <c r="H14" s="102">
        <v>0.0977</v>
      </c>
      <c r="I14" s="102">
        <v>28.5</v>
      </c>
      <c r="J14" s="124"/>
      <c r="K14" s="129">
        <v>132820</v>
      </c>
      <c r="L14" s="130"/>
      <c r="M14" s="127">
        <v>1648.91371818746</v>
      </c>
      <c r="N14" s="126">
        <v>80.55</v>
      </c>
      <c r="O14" s="128">
        <v>7.3</v>
      </c>
      <c r="P14" s="124">
        <v>588.015</v>
      </c>
      <c r="Q14" s="191">
        <v>44400.026854</v>
      </c>
      <c r="R14" s="192" t="s">
        <v>47</v>
      </c>
      <c r="S14" s="160">
        <v>76.4617441176471</v>
      </c>
      <c r="T14" s="160"/>
      <c r="U14" s="160">
        <v>2.808875</v>
      </c>
      <c r="V14" s="160"/>
      <c r="W14" s="160"/>
      <c r="X14" s="160">
        <v>79.2706191176471</v>
      </c>
      <c r="Y14" s="174">
        <v>16.3228539411765</v>
      </c>
      <c r="Z14" s="174">
        <v>11.38</v>
      </c>
      <c r="AA14" s="174">
        <v>0.0769243823529412</v>
      </c>
      <c r="AB14" s="174">
        <v>27.7797783235294</v>
      </c>
      <c r="AC14" s="125">
        <v>7.3</v>
      </c>
      <c r="AD14" s="160">
        <v>202.792381761765</v>
      </c>
      <c r="AE14" s="160">
        <v>282.063000879412</v>
      </c>
      <c r="AF14" s="160">
        <v>305.951999120588</v>
      </c>
    </row>
    <row r="15" s="178" customFormat="1" ht="12.75" spans="1:32">
      <c r="A15" s="101"/>
      <c r="B15" s="102"/>
      <c r="C15" s="103">
        <v>241105000025</v>
      </c>
      <c r="D15" s="104">
        <v>45608</v>
      </c>
      <c r="E15" s="104" t="s">
        <v>36</v>
      </c>
      <c r="F15" s="102" t="s">
        <v>37</v>
      </c>
      <c r="G15" s="102" t="s">
        <v>48</v>
      </c>
      <c r="H15" s="102">
        <v>3.7323</v>
      </c>
      <c r="I15" s="102">
        <v>536</v>
      </c>
      <c r="J15" s="124"/>
      <c r="K15" s="129">
        <v>1998941</v>
      </c>
      <c r="L15" s="130"/>
      <c r="M15" s="127">
        <v>1712.44838516234</v>
      </c>
      <c r="N15" s="126">
        <v>1167.3</v>
      </c>
      <c r="O15" s="128">
        <v>7.3</v>
      </c>
      <c r="P15" s="124">
        <v>8521.29</v>
      </c>
      <c r="Q15" s="159"/>
      <c r="R15" s="159"/>
      <c r="S15" s="160">
        <v>2920.96384411765</v>
      </c>
      <c r="T15" s="160"/>
      <c r="U15" s="160">
        <v>107.303625</v>
      </c>
      <c r="V15" s="160"/>
      <c r="W15" s="160">
        <v>350</v>
      </c>
      <c r="X15" s="160">
        <v>3378.26746911765</v>
      </c>
      <c r="Y15" s="174">
        <v>623.559751941176</v>
      </c>
      <c r="Z15" s="174"/>
      <c r="AA15" s="174">
        <v>2.93863738235294</v>
      </c>
      <c r="AB15" s="174">
        <v>626.498389323529</v>
      </c>
      <c r="AC15" s="125">
        <v>7.3</v>
      </c>
      <c r="AD15" s="160">
        <v>4573.43824206176</v>
      </c>
      <c r="AE15" s="160">
        <v>7951.70571117941</v>
      </c>
      <c r="AF15" s="160">
        <v>569.58428882059</v>
      </c>
    </row>
    <row r="16" s="178" customFormat="1" ht="12.75" spans="1:32">
      <c r="A16" s="101"/>
      <c r="B16" s="102"/>
      <c r="C16" s="103">
        <v>241106000020</v>
      </c>
      <c r="D16" s="104">
        <v>45608</v>
      </c>
      <c r="E16" s="104" t="s">
        <v>36</v>
      </c>
      <c r="F16" s="102" t="s">
        <v>37</v>
      </c>
      <c r="G16" s="102" t="s">
        <v>49</v>
      </c>
      <c r="H16" s="102">
        <v>0.3</v>
      </c>
      <c r="I16" s="102">
        <v>65</v>
      </c>
      <c r="J16" s="179">
        <v>908</v>
      </c>
      <c r="K16" s="125"/>
      <c r="L16" s="130"/>
      <c r="M16" s="127"/>
      <c r="N16" s="130"/>
      <c r="O16" s="128"/>
      <c r="P16" s="124">
        <v>908</v>
      </c>
      <c r="Q16" s="159"/>
      <c r="R16" s="159"/>
      <c r="S16" s="160">
        <v>234.785294117647</v>
      </c>
      <c r="T16" s="160"/>
      <c r="U16" s="160">
        <v>8.625</v>
      </c>
      <c r="V16" s="160"/>
      <c r="W16" s="160"/>
      <c r="X16" s="160">
        <v>243.410294117647</v>
      </c>
      <c r="Y16" s="174">
        <v>50.1213529411765</v>
      </c>
      <c r="Z16" s="174">
        <v>34.85</v>
      </c>
      <c r="AA16" s="174">
        <v>0.236205882352941</v>
      </c>
      <c r="AB16" s="174">
        <v>85.2075588235294</v>
      </c>
      <c r="AC16" s="125">
        <v>7.3</v>
      </c>
      <c r="AD16" s="160">
        <v>622.015179411765</v>
      </c>
      <c r="AE16" s="160">
        <v>865.425473529412</v>
      </c>
      <c r="AF16" s="160">
        <v>42.574526470588</v>
      </c>
    </row>
    <row r="17" s="178" customFormat="1" ht="12.75" spans="1:32">
      <c r="A17" s="101"/>
      <c r="B17" s="102"/>
      <c r="C17" s="103">
        <v>241106000034</v>
      </c>
      <c r="D17" s="104">
        <v>45608</v>
      </c>
      <c r="E17" s="104" t="s">
        <v>36</v>
      </c>
      <c r="F17" s="102" t="s">
        <v>37</v>
      </c>
      <c r="G17" s="102" t="s">
        <v>50</v>
      </c>
      <c r="H17" s="102">
        <v>0.3814</v>
      </c>
      <c r="I17" s="102">
        <v>55</v>
      </c>
      <c r="J17" s="179">
        <v>1213</v>
      </c>
      <c r="K17" s="125"/>
      <c r="L17" s="130"/>
      <c r="M17" s="127"/>
      <c r="N17" s="130"/>
      <c r="O17" s="128"/>
      <c r="P17" s="124">
        <v>1213</v>
      </c>
      <c r="Q17" s="159"/>
      <c r="R17" s="159"/>
      <c r="S17" s="160">
        <v>298.490370588235</v>
      </c>
      <c r="T17" s="160"/>
      <c r="U17" s="160">
        <v>10.96525</v>
      </c>
      <c r="V17" s="160"/>
      <c r="W17" s="160"/>
      <c r="X17" s="160">
        <v>309.455620588235</v>
      </c>
      <c r="Y17" s="174">
        <v>63.7209467058824</v>
      </c>
      <c r="Z17" s="174">
        <v>44.32</v>
      </c>
      <c r="AA17" s="174">
        <v>0.300296411764706</v>
      </c>
      <c r="AB17" s="174">
        <v>108.341243117647</v>
      </c>
      <c r="AC17" s="125">
        <v>7.3</v>
      </c>
      <c r="AD17" s="160">
        <v>790.891074758824</v>
      </c>
      <c r="AE17" s="160">
        <v>1100.34669534706</v>
      </c>
      <c r="AF17" s="160">
        <v>112.65330465294</v>
      </c>
    </row>
    <row r="18" s="178" customFormat="1" ht="12.75" spans="1:32">
      <c r="A18" s="101"/>
      <c r="B18" s="102"/>
      <c r="C18" s="103">
        <v>241106000049</v>
      </c>
      <c r="D18" s="104">
        <v>45608</v>
      </c>
      <c r="E18" s="104" t="s">
        <v>36</v>
      </c>
      <c r="F18" s="102" t="s">
        <v>37</v>
      </c>
      <c r="G18" s="102" t="s">
        <v>51</v>
      </c>
      <c r="H18" s="102">
        <v>0.0224</v>
      </c>
      <c r="I18" s="102">
        <v>5.5</v>
      </c>
      <c r="J18" s="179">
        <v>228</v>
      </c>
      <c r="K18" s="125"/>
      <c r="L18" s="130"/>
      <c r="M18" s="127"/>
      <c r="N18" s="130"/>
      <c r="O18" s="128"/>
      <c r="P18" s="124">
        <v>228</v>
      </c>
      <c r="Q18" s="159"/>
      <c r="R18" s="159"/>
      <c r="S18" s="160">
        <v>17.5306352941176</v>
      </c>
      <c r="T18" s="160"/>
      <c r="U18" s="160">
        <v>0.644</v>
      </c>
      <c r="V18" s="160"/>
      <c r="W18" s="160"/>
      <c r="X18" s="160">
        <v>18.1746352941176</v>
      </c>
      <c r="Y18" s="174">
        <v>3.74239435294118</v>
      </c>
      <c r="Z18" s="174"/>
      <c r="AA18" s="174">
        <v>0.0176367058823529</v>
      </c>
      <c r="AB18" s="174">
        <v>3.76003105882353</v>
      </c>
      <c r="AC18" s="125">
        <v>7.3</v>
      </c>
      <c r="AD18" s="160">
        <v>27.4482267294118</v>
      </c>
      <c r="AE18" s="160">
        <v>45.6228620235294</v>
      </c>
      <c r="AF18" s="160">
        <v>182.377137976471</v>
      </c>
    </row>
    <row r="19" s="88" customFormat="1" ht="63.75" spans="1:32">
      <c r="A19" s="101" t="s">
        <v>52</v>
      </c>
      <c r="B19" s="102" t="s">
        <v>53</v>
      </c>
      <c r="C19" s="103">
        <v>241030000025</v>
      </c>
      <c r="D19" s="104">
        <v>45609</v>
      </c>
      <c r="E19" s="104" t="s">
        <v>36</v>
      </c>
      <c r="F19" s="102" t="s">
        <v>37</v>
      </c>
      <c r="G19" s="102" t="s">
        <v>43</v>
      </c>
      <c r="H19" s="102">
        <v>0.0306</v>
      </c>
      <c r="I19" s="102">
        <v>10</v>
      </c>
      <c r="J19" s="179">
        <v>65</v>
      </c>
      <c r="K19" s="180"/>
      <c r="L19" s="130"/>
      <c r="M19" s="127"/>
      <c r="N19" s="130"/>
      <c r="O19" s="128"/>
      <c r="P19" s="124">
        <v>65</v>
      </c>
      <c r="Q19" s="191">
        <v>36440.482536</v>
      </c>
      <c r="R19" s="192" t="s">
        <v>54</v>
      </c>
      <c r="S19" s="160">
        <v>21.06135</v>
      </c>
      <c r="T19" s="160"/>
      <c r="U19" s="160">
        <v>0.81</v>
      </c>
      <c r="V19" s="160"/>
      <c r="W19" s="160"/>
      <c r="X19" s="160">
        <v>21.87135</v>
      </c>
      <c r="Y19" s="174">
        <v>4.8572415</v>
      </c>
      <c r="Z19" s="174"/>
      <c r="AA19" s="174">
        <v>0.042741</v>
      </c>
      <c r="AB19" s="174">
        <v>4.8999825</v>
      </c>
      <c r="AC19" s="125">
        <v>7.33</v>
      </c>
      <c r="AD19" s="160">
        <v>35.916871725</v>
      </c>
      <c r="AE19" s="160">
        <v>57.788221725</v>
      </c>
      <c r="AF19" s="160">
        <v>7.211778275</v>
      </c>
    </row>
    <row r="20" s="88" customFormat="1" ht="12.75" spans="1:32">
      <c r="A20" s="101"/>
      <c r="B20" s="102"/>
      <c r="C20" s="103">
        <v>241102000008</v>
      </c>
      <c r="D20" s="104">
        <v>45609</v>
      </c>
      <c r="E20" s="104" t="s">
        <v>36</v>
      </c>
      <c r="F20" s="102" t="s">
        <v>37</v>
      </c>
      <c r="G20" s="102" t="s">
        <v>39</v>
      </c>
      <c r="H20" s="102">
        <v>2.0582</v>
      </c>
      <c r="I20" s="102">
        <v>755</v>
      </c>
      <c r="J20" s="124"/>
      <c r="K20" s="223">
        <v>957151</v>
      </c>
      <c r="L20" s="130"/>
      <c r="M20" s="127">
        <v>1603.59033641603</v>
      </c>
      <c r="N20" s="126">
        <v>596.88</v>
      </c>
      <c r="O20" s="128">
        <v>7.3</v>
      </c>
      <c r="P20" s="124">
        <v>4357.224</v>
      </c>
      <c r="Q20" s="159"/>
      <c r="R20" s="159"/>
      <c r="S20" s="160">
        <v>1416.61668529412</v>
      </c>
      <c r="T20" s="160"/>
      <c r="U20" s="160">
        <v>54.4817647058823</v>
      </c>
      <c r="V20" s="160"/>
      <c r="W20" s="160"/>
      <c r="X20" s="160">
        <v>1471.09845</v>
      </c>
      <c r="Y20" s="174">
        <v>326.705047558824</v>
      </c>
      <c r="Z20" s="174"/>
      <c r="AA20" s="174">
        <v>2.87482111764706</v>
      </c>
      <c r="AB20" s="174">
        <v>329.579868676471</v>
      </c>
      <c r="AC20" s="125">
        <v>7.33</v>
      </c>
      <c r="AD20" s="160">
        <v>2415.82043739853</v>
      </c>
      <c r="AE20" s="160">
        <v>3886.91888739853</v>
      </c>
      <c r="AF20" s="160">
        <v>470.305112601471</v>
      </c>
    </row>
    <row r="21" s="88" customFormat="1" ht="12.75" spans="1:32">
      <c r="A21" s="101"/>
      <c r="B21" s="102"/>
      <c r="C21" s="103">
        <v>241107000009</v>
      </c>
      <c r="D21" s="104">
        <v>45609</v>
      </c>
      <c r="E21" s="104" t="s">
        <v>36</v>
      </c>
      <c r="F21" s="102" t="s">
        <v>37</v>
      </c>
      <c r="G21" s="102" t="s">
        <v>55</v>
      </c>
      <c r="H21" s="102">
        <v>1.6128</v>
      </c>
      <c r="I21" s="102">
        <v>1251</v>
      </c>
      <c r="J21" s="179">
        <v>3794.79</v>
      </c>
      <c r="K21" s="125"/>
      <c r="L21" s="126"/>
      <c r="M21" s="127"/>
      <c r="N21" s="126"/>
      <c r="O21" s="128"/>
      <c r="P21" s="124">
        <v>3794.79</v>
      </c>
      <c r="Q21" s="159"/>
      <c r="R21" s="159"/>
      <c r="S21" s="160">
        <v>1110.05703529412</v>
      </c>
      <c r="T21" s="160"/>
      <c r="U21" s="160">
        <v>42.6917647058823</v>
      </c>
      <c r="V21" s="160"/>
      <c r="W21" s="160"/>
      <c r="X21" s="160">
        <v>1152.7488</v>
      </c>
      <c r="Y21" s="174">
        <v>256.005199058824</v>
      </c>
      <c r="Z21" s="174"/>
      <c r="AA21" s="174">
        <v>2.25270211764706</v>
      </c>
      <c r="AB21" s="174">
        <v>258.257901176471</v>
      </c>
      <c r="AC21" s="125">
        <v>7.33</v>
      </c>
      <c r="AD21" s="160">
        <v>1893.03041562353</v>
      </c>
      <c r="AE21" s="160">
        <v>3045.77921562353</v>
      </c>
      <c r="AF21" s="160">
        <v>749.01078437647</v>
      </c>
    </row>
    <row r="22" s="88" customFormat="1" ht="63.75" spans="1:32">
      <c r="A22" s="101" t="s">
        <v>56</v>
      </c>
      <c r="B22" s="102" t="s">
        <v>57</v>
      </c>
      <c r="C22" s="103">
        <v>241030000050</v>
      </c>
      <c r="D22" s="104">
        <v>45615</v>
      </c>
      <c r="E22" s="104" t="s">
        <v>36</v>
      </c>
      <c r="F22" s="102" t="s">
        <v>37</v>
      </c>
      <c r="G22" s="102" t="s">
        <v>42</v>
      </c>
      <c r="H22" s="102">
        <v>20.9121</v>
      </c>
      <c r="I22" s="102">
        <v>2224</v>
      </c>
      <c r="J22" s="179">
        <v>44817.94</v>
      </c>
      <c r="K22" s="125"/>
      <c r="L22" s="126"/>
      <c r="M22" s="127"/>
      <c r="N22" s="126"/>
      <c r="O22" s="128"/>
      <c r="P22" s="124">
        <v>44817.94</v>
      </c>
      <c r="Q22" s="191">
        <v>116746.03749454</v>
      </c>
      <c r="R22" s="192" t="s">
        <v>58</v>
      </c>
      <c r="S22" s="160">
        <v>14634.9333948529</v>
      </c>
      <c r="T22" s="160"/>
      <c r="U22" s="160">
        <v>707.321029411765</v>
      </c>
      <c r="V22" s="160"/>
      <c r="W22" s="160"/>
      <c r="X22" s="160">
        <v>15342.2544242647</v>
      </c>
      <c r="Y22" s="174">
        <v>3408.97983088235</v>
      </c>
      <c r="Z22" s="174"/>
      <c r="AA22" s="174">
        <v>23.1017198823529</v>
      </c>
      <c r="AB22" s="174">
        <v>3432.08155076471</v>
      </c>
      <c r="AC22" s="125">
        <v>7.3</v>
      </c>
      <c r="AD22" s="160">
        <v>25054.1953205823</v>
      </c>
      <c r="AE22" s="160">
        <v>40396.4497448471</v>
      </c>
      <c r="AF22" s="160">
        <v>4421.4902551529</v>
      </c>
    </row>
    <row r="23" s="88" customFormat="1" ht="12.75" spans="1:32">
      <c r="A23" s="101"/>
      <c r="B23" s="102"/>
      <c r="C23" s="103">
        <v>241102000012</v>
      </c>
      <c r="D23" s="104">
        <v>45615</v>
      </c>
      <c r="E23" s="104" t="s">
        <v>36</v>
      </c>
      <c r="F23" s="102" t="s">
        <v>37</v>
      </c>
      <c r="G23" s="102" t="s">
        <v>39</v>
      </c>
      <c r="H23" s="102">
        <v>2.1458</v>
      </c>
      <c r="I23" s="102">
        <v>808</v>
      </c>
      <c r="J23" s="124"/>
      <c r="K23" s="223">
        <v>1041860</v>
      </c>
      <c r="L23" s="130"/>
      <c r="M23" s="127">
        <v>1674.26198634168</v>
      </c>
      <c r="N23" s="126">
        <v>622.28015</v>
      </c>
      <c r="O23" s="128">
        <v>7.27</v>
      </c>
      <c r="P23" s="124">
        <v>4523.9766905</v>
      </c>
      <c r="Q23" s="159"/>
      <c r="R23" s="159"/>
      <c r="S23" s="160">
        <v>1501.69710735294</v>
      </c>
      <c r="T23" s="160"/>
      <c r="U23" s="160">
        <v>72.5785294117647</v>
      </c>
      <c r="V23" s="160"/>
      <c r="W23" s="160"/>
      <c r="X23" s="160">
        <v>1574.27563676471</v>
      </c>
      <c r="Y23" s="174">
        <v>349.796955882353</v>
      </c>
      <c r="Z23" s="174"/>
      <c r="AA23" s="174">
        <v>2.37047788235294</v>
      </c>
      <c r="AB23" s="174">
        <v>352.167433764706</v>
      </c>
      <c r="AC23" s="125">
        <v>7.3</v>
      </c>
      <c r="AD23" s="160">
        <v>2570.82226648235</v>
      </c>
      <c r="AE23" s="160">
        <v>4145.09790324706</v>
      </c>
      <c r="AF23" s="160">
        <v>378.878787252941</v>
      </c>
    </row>
    <row r="24" s="88" customFormat="1" ht="12.75" spans="1:32">
      <c r="A24" s="101"/>
      <c r="B24" s="102"/>
      <c r="C24" s="103">
        <v>241102000009</v>
      </c>
      <c r="D24" s="104">
        <v>45615</v>
      </c>
      <c r="E24" s="104" t="s">
        <v>36</v>
      </c>
      <c r="F24" s="102" t="s">
        <v>37</v>
      </c>
      <c r="G24" s="102" t="s">
        <v>39</v>
      </c>
      <c r="H24" s="102">
        <v>1.3109</v>
      </c>
      <c r="I24" s="102">
        <v>450</v>
      </c>
      <c r="J24" s="124"/>
      <c r="K24" s="129">
        <v>638809</v>
      </c>
      <c r="L24" s="130"/>
      <c r="M24" s="127">
        <v>1680.41299487045</v>
      </c>
      <c r="N24" s="126">
        <v>380.15</v>
      </c>
      <c r="O24" s="128">
        <v>7.27</v>
      </c>
      <c r="P24" s="124">
        <v>2763.6905</v>
      </c>
      <c r="Q24" s="159"/>
      <c r="R24" s="159"/>
      <c r="S24" s="160">
        <v>917.408303676471</v>
      </c>
      <c r="T24" s="160"/>
      <c r="U24" s="160">
        <v>44.3392647058823</v>
      </c>
      <c r="V24" s="160"/>
      <c r="W24" s="160"/>
      <c r="X24" s="160">
        <v>961.747568382353</v>
      </c>
      <c r="Y24" s="174">
        <v>213.695977941176</v>
      </c>
      <c r="Z24" s="174"/>
      <c r="AA24" s="174">
        <v>1.44815894117647</v>
      </c>
      <c r="AB24" s="174">
        <v>215.144136882353</v>
      </c>
      <c r="AC24" s="125">
        <v>7.3</v>
      </c>
      <c r="AD24" s="160">
        <v>1570.55219924118</v>
      </c>
      <c r="AE24" s="160">
        <v>2532.29976762353</v>
      </c>
      <c r="AF24" s="160">
        <v>231.390732376471</v>
      </c>
    </row>
    <row r="25" s="88" customFormat="1" ht="12.75" spans="1:32">
      <c r="A25" s="101"/>
      <c r="B25" s="102"/>
      <c r="C25" s="103">
        <v>241107000048</v>
      </c>
      <c r="D25" s="104">
        <v>45615</v>
      </c>
      <c r="E25" s="104" t="s">
        <v>36</v>
      </c>
      <c r="F25" s="102" t="s">
        <v>37</v>
      </c>
      <c r="G25" s="102" t="s">
        <v>43</v>
      </c>
      <c r="H25" s="102">
        <v>1.9284</v>
      </c>
      <c r="I25" s="102">
        <v>1039</v>
      </c>
      <c r="J25" s="179">
        <v>4628</v>
      </c>
      <c r="K25" s="180"/>
      <c r="L25" s="130"/>
      <c r="M25" s="127"/>
      <c r="N25" s="130"/>
      <c r="O25" s="128"/>
      <c r="P25" s="124">
        <v>4628</v>
      </c>
      <c r="Q25" s="159"/>
      <c r="R25" s="159"/>
      <c r="S25" s="160">
        <v>1349.55387352941</v>
      </c>
      <c r="T25" s="160"/>
      <c r="U25" s="160">
        <v>65.2252941176471</v>
      </c>
      <c r="V25" s="160"/>
      <c r="W25" s="160"/>
      <c r="X25" s="160">
        <v>1414.77916764706</v>
      </c>
      <c r="Y25" s="174">
        <v>314.357558823529</v>
      </c>
      <c r="Z25" s="174"/>
      <c r="AA25" s="174">
        <v>2.13031482352941</v>
      </c>
      <c r="AB25" s="174">
        <v>316.487873647059</v>
      </c>
      <c r="AC25" s="125">
        <v>7.3</v>
      </c>
      <c r="AD25" s="160">
        <v>2310.36147762353</v>
      </c>
      <c r="AE25" s="160">
        <v>3725.14064527059</v>
      </c>
      <c r="AF25" s="160">
        <v>902.85935472941</v>
      </c>
    </row>
    <row r="26" s="88" customFormat="1" ht="12.75" spans="1:32">
      <c r="A26" s="101"/>
      <c r="B26" s="102"/>
      <c r="C26" s="103">
        <v>241107000009</v>
      </c>
      <c r="D26" s="104">
        <v>45615</v>
      </c>
      <c r="E26" s="104" t="s">
        <v>36</v>
      </c>
      <c r="F26" s="102" t="s">
        <v>37</v>
      </c>
      <c r="G26" s="102" t="s">
        <v>55</v>
      </c>
      <c r="H26" s="102">
        <v>18.3103</v>
      </c>
      <c r="I26" s="102">
        <v>10792</v>
      </c>
      <c r="J26" s="179">
        <v>43083.21</v>
      </c>
      <c r="K26" s="180"/>
      <c r="L26" s="126"/>
      <c r="M26" s="127"/>
      <c r="N26" s="126"/>
      <c r="O26" s="128"/>
      <c r="P26" s="124">
        <v>43083.21</v>
      </c>
      <c r="Q26" s="159"/>
      <c r="R26" s="159"/>
      <c r="S26" s="160">
        <v>12814.1134051471</v>
      </c>
      <c r="T26" s="160"/>
      <c r="U26" s="160">
        <v>619.318970588235</v>
      </c>
      <c r="V26" s="160"/>
      <c r="W26" s="160"/>
      <c r="X26" s="160">
        <v>13433.4323757353</v>
      </c>
      <c r="Y26" s="174">
        <v>2984.84816911765</v>
      </c>
      <c r="Z26" s="174"/>
      <c r="AA26" s="174">
        <v>20.2274961176471</v>
      </c>
      <c r="AB26" s="174">
        <v>3005.07566523529</v>
      </c>
      <c r="AC26" s="125">
        <v>7.3</v>
      </c>
      <c r="AD26" s="160">
        <v>21937.0523562176</v>
      </c>
      <c r="AE26" s="160">
        <v>35370.4847319529</v>
      </c>
      <c r="AF26" s="160">
        <v>7712.7252680471</v>
      </c>
    </row>
    <row r="27" s="88" customFormat="1" ht="12.75" spans="1:32">
      <c r="A27" s="101"/>
      <c r="B27" s="102"/>
      <c r="C27" s="103">
        <v>241116000004</v>
      </c>
      <c r="D27" s="104">
        <v>45615</v>
      </c>
      <c r="E27" s="104" t="s">
        <v>36</v>
      </c>
      <c r="F27" s="102" t="s">
        <v>37</v>
      </c>
      <c r="G27" s="102" t="s">
        <v>59</v>
      </c>
      <c r="H27" s="102">
        <v>0.9249</v>
      </c>
      <c r="I27" s="102">
        <v>172</v>
      </c>
      <c r="J27" s="179">
        <v>3030</v>
      </c>
      <c r="K27" s="125"/>
      <c r="L27" s="130"/>
      <c r="M27" s="127"/>
      <c r="N27" s="130"/>
      <c r="O27" s="128"/>
      <c r="P27" s="124">
        <v>3030</v>
      </c>
      <c r="Q27" s="159"/>
      <c r="R27" s="159"/>
      <c r="S27" s="160">
        <v>647.273583088235</v>
      </c>
      <c r="T27" s="160"/>
      <c r="U27" s="160">
        <v>31.2833823529412</v>
      </c>
      <c r="V27" s="160"/>
      <c r="W27" s="160"/>
      <c r="X27" s="160">
        <v>678.556965441177</v>
      </c>
      <c r="Y27" s="174">
        <v>150.772301470588</v>
      </c>
      <c r="Z27" s="174"/>
      <c r="AA27" s="174">
        <v>1.02174247058824</v>
      </c>
      <c r="AB27" s="174">
        <v>151.794043941176</v>
      </c>
      <c r="AC27" s="125">
        <v>7.3</v>
      </c>
      <c r="AD27" s="160">
        <v>1108.09652077059</v>
      </c>
      <c r="AE27" s="160">
        <v>1786.65348621176</v>
      </c>
      <c r="AF27" s="160">
        <v>1243.34651378824</v>
      </c>
    </row>
    <row r="28" s="88" customFormat="1" ht="12.75" spans="1:32">
      <c r="A28" s="101"/>
      <c r="B28" s="102"/>
      <c r="C28" s="103">
        <v>241113000042</v>
      </c>
      <c r="D28" s="104">
        <v>45615</v>
      </c>
      <c r="E28" s="104" t="s">
        <v>36</v>
      </c>
      <c r="F28" s="102" t="s">
        <v>37</v>
      </c>
      <c r="G28" s="102" t="s">
        <v>43</v>
      </c>
      <c r="H28" s="102">
        <v>0.3419</v>
      </c>
      <c r="I28" s="102">
        <v>190</v>
      </c>
      <c r="J28" s="179">
        <v>748.5</v>
      </c>
      <c r="K28" s="125"/>
      <c r="L28" s="130"/>
      <c r="M28" s="127"/>
      <c r="N28" s="130"/>
      <c r="O28" s="128"/>
      <c r="P28" s="124">
        <v>748.5</v>
      </c>
      <c r="Q28" s="159"/>
      <c r="R28" s="159"/>
      <c r="S28" s="160">
        <v>239.272178676471</v>
      </c>
      <c r="T28" s="160"/>
      <c r="U28" s="160">
        <v>11.5642647058824</v>
      </c>
      <c r="V28" s="160"/>
      <c r="W28" s="160"/>
      <c r="X28" s="160">
        <v>250.836443382353</v>
      </c>
      <c r="Y28" s="174">
        <v>55.7347279411765</v>
      </c>
      <c r="Z28" s="174"/>
      <c r="AA28" s="174">
        <v>0.377698941176471</v>
      </c>
      <c r="AB28" s="174">
        <v>56.1124268823529</v>
      </c>
      <c r="AC28" s="125">
        <v>7.3</v>
      </c>
      <c r="AD28" s="160">
        <v>409.620716241176</v>
      </c>
      <c r="AE28" s="160">
        <v>660.457159623529</v>
      </c>
      <c r="AF28" s="160">
        <v>88.042840376471</v>
      </c>
    </row>
    <row r="29" s="88" customFormat="1" ht="12.75" spans="1:32">
      <c r="A29" s="101"/>
      <c r="B29" s="102"/>
      <c r="C29" s="103">
        <v>241114000023</v>
      </c>
      <c r="D29" s="104">
        <v>45615</v>
      </c>
      <c r="E29" s="104" t="s">
        <v>36</v>
      </c>
      <c r="F29" s="102" t="s">
        <v>37</v>
      </c>
      <c r="G29" s="102" t="s">
        <v>60</v>
      </c>
      <c r="H29" s="102">
        <v>3.1076</v>
      </c>
      <c r="I29" s="102">
        <v>643</v>
      </c>
      <c r="J29" s="179">
        <v>6811</v>
      </c>
      <c r="K29" s="125"/>
      <c r="L29" s="130"/>
      <c r="M29" s="127"/>
      <c r="N29" s="130"/>
      <c r="O29" s="128"/>
      <c r="P29" s="124">
        <v>6811</v>
      </c>
      <c r="Q29" s="159"/>
      <c r="R29" s="159"/>
      <c r="S29" s="160">
        <v>2174.79445</v>
      </c>
      <c r="T29" s="160"/>
      <c r="U29" s="160">
        <v>105.11</v>
      </c>
      <c r="V29" s="160"/>
      <c r="W29" s="160"/>
      <c r="X29" s="160">
        <v>2279.90445</v>
      </c>
      <c r="Y29" s="174">
        <v>506.5845</v>
      </c>
      <c r="Z29" s="174"/>
      <c r="AA29" s="174">
        <v>3.432984</v>
      </c>
      <c r="AB29" s="174">
        <v>510.017484</v>
      </c>
      <c r="AC29" s="125">
        <v>7.3</v>
      </c>
      <c r="AD29" s="160">
        <v>3723.1276332</v>
      </c>
      <c r="AE29" s="160">
        <v>6003.0320832</v>
      </c>
      <c r="AF29" s="160">
        <v>807.9679168</v>
      </c>
    </row>
    <row r="30" s="88" customFormat="1" ht="63.75" spans="1:32">
      <c r="A30" s="101" t="s">
        <v>61</v>
      </c>
      <c r="B30" s="102" t="s">
        <v>62</v>
      </c>
      <c r="C30" s="103">
        <v>241102000009</v>
      </c>
      <c r="D30" s="104">
        <v>45616</v>
      </c>
      <c r="E30" s="104" t="s">
        <v>36</v>
      </c>
      <c r="F30" s="102" t="s">
        <v>37</v>
      </c>
      <c r="G30" s="102" t="s">
        <v>39</v>
      </c>
      <c r="H30" s="102">
        <v>0.3399</v>
      </c>
      <c r="I30" s="102">
        <v>118</v>
      </c>
      <c r="J30" s="124"/>
      <c r="K30" s="129">
        <v>165636</v>
      </c>
      <c r="L30" s="130"/>
      <c r="M30" s="127">
        <v>1680.21911138162</v>
      </c>
      <c r="N30" s="126">
        <v>98.58</v>
      </c>
      <c r="O30" s="128">
        <v>7.27</v>
      </c>
      <c r="P30" s="124">
        <v>716.6766</v>
      </c>
      <c r="Q30" s="191">
        <v>67588.2669638</v>
      </c>
      <c r="R30" s="192" t="s">
        <v>63</v>
      </c>
      <c r="S30" s="160">
        <v>228.360315441176</v>
      </c>
      <c r="T30" s="160"/>
      <c r="U30" s="160">
        <v>9.99705882352941</v>
      </c>
      <c r="V30" s="160"/>
      <c r="W30" s="160"/>
      <c r="X30" s="160">
        <v>238.357374264706</v>
      </c>
      <c r="Y30" s="174">
        <v>55.4086985294118</v>
      </c>
      <c r="Z30" s="174"/>
      <c r="AA30" s="174">
        <v>0.386786205882353</v>
      </c>
      <c r="AB30" s="174">
        <v>55.7954847352941</v>
      </c>
      <c r="AC30" s="125">
        <v>7.3</v>
      </c>
      <c r="AD30" s="160">
        <v>407.307038567647</v>
      </c>
      <c r="AE30" s="160">
        <v>645.664412832353</v>
      </c>
      <c r="AF30" s="160">
        <v>71.0121871676472</v>
      </c>
    </row>
    <row r="31" s="88" customFormat="1" ht="12.75" spans="1:32">
      <c r="A31" s="101"/>
      <c r="B31" s="102"/>
      <c r="C31" s="103">
        <v>241107000009</v>
      </c>
      <c r="D31" s="104">
        <v>45616</v>
      </c>
      <c r="E31" s="104" t="s">
        <v>36</v>
      </c>
      <c r="F31" s="102" t="s">
        <v>37</v>
      </c>
      <c r="G31" s="102" t="s">
        <v>55</v>
      </c>
      <c r="H31" s="102">
        <v>6.8102</v>
      </c>
      <c r="I31" s="102">
        <v>4442</v>
      </c>
      <c r="J31" s="179">
        <v>16020.41</v>
      </c>
      <c r="K31" s="180"/>
      <c r="L31" s="126"/>
      <c r="M31" s="127"/>
      <c r="N31" s="126"/>
      <c r="O31" s="128"/>
      <c r="P31" s="124">
        <v>16020.41</v>
      </c>
      <c r="Q31" s="159"/>
      <c r="R31" s="159"/>
      <c r="S31" s="160">
        <v>4575.402825</v>
      </c>
      <c r="T31" s="160"/>
      <c r="U31" s="160">
        <v>200.3</v>
      </c>
      <c r="V31" s="160"/>
      <c r="W31" s="160"/>
      <c r="X31" s="160">
        <v>4775.702825</v>
      </c>
      <c r="Y31" s="174">
        <v>1110.16275</v>
      </c>
      <c r="Z31" s="174"/>
      <c r="AA31" s="174">
        <v>7.749607</v>
      </c>
      <c r="AB31" s="174">
        <v>1117.912357</v>
      </c>
      <c r="AC31" s="125">
        <v>7.3</v>
      </c>
      <c r="AD31" s="160">
        <v>8160.7602061</v>
      </c>
      <c r="AE31" s="160">
        <v>12936.4630311</v>
      </c>
      <c r="AF31" s="160">
        <v>3083.9469689</v>
      </c>
    </row>
    <row r="32" s="88" customFormat="1" ht="12.75" spans="1:32">
      <c r="A32" s="101"/>
      <c r="B32" s="102"/>
      <c r="C32" s="103">
        <v>241106000050</v>
      </c>
      <c r="D32" s="104">
        <v>45616</v>
      </c>
      <c r="E32" s="104" t="s">
        <v>36</v>
      </c>
      <c r="F32" s="102" t="s">
        <v>37</v>
      </c>
      <c r="G32" s="102" t="s">
        <v>42</v>
      </c>
      <c r="H32" s="102">
        <v>0.6913</v>
      </c>
      <c r="I32" s="102">
        <v>774</v>
      </c>
      <c r="J32" s="179">
        <v>3860.58</v>
      </c>
      <c r="K32" s="125"/>
      <c r="L32" s="126"/>
      <c r="M32" s="127"/>
      <c r="N32" s="126"/>
      <c r="O32" s="128"/>
      <c r="P32" s="124">
        <v>3860.58</v>
      </c>
      <c r="Q32" s="159"/>
      <c r="R32" s="159"/>
      <c r="S32" s="160">
        <v>464.446855147059</v>
      </c>
      <c r="T32" s="160"/>
      <c r="U32" s="160">
        <v>20.3323529411765</v>
      </c>
      <c r="V32" s="160">
        <v>150</v>
      </c>
      <c r="W32" s="160"/>
      <c r="X32" s="160">
        <v>634.779208088235</v>
      </c>
      <c r="Y32" s="174">
        <v>112.692066176471</v>
      </c>
      <c r="Z32" s="174"/>
      <c r="AA32" s="174">
        <v>0.786658735294118</v>
      </c>
      <c r="AB32" s="174">
        <v>113.478724911765</v>
      </c>
      <c r="AC32" s="125">
        <v>7.3</v>
      </c>
      <c r="AD32" s="160">
        <v>828.394691855882</v>
      </c>
      <c r="AE32" s="160">
        <v>1463.17389994412</v>
      </c>
      <c r="AF32" s="160">
        <v>2397.40610005588</v>
      </c>
    </row>
    <row r="33" s="88" customFormat="1" ht="12.75" spans="1:32">
      <c r="A33" s="101"/>
      <c r="B33" s="102"/>
      <c r="C33" s="103">
        <v>241106000051</v>
      </c>
      <c r="D33" s="104">
        <v>45616</v>
      </c>
      <c r="E33" s="104" t="s">
        <v>36</v>
      </c>
      <c r="F33" s="102" t="s">
        <v>37</v>
      </c>
      <c r="G33" s="102" t="s">
        <v>42</v>
      </c>
      <c r="H33" s="102">
        <v>0.4698</v>
      </c>
      <c r="I33" s="102">
        <v>547</v>
      </c>
      <c r="J33" s="179">
        <v>1670.3</v>
      </c>
      <c r="K33" s="125"/>
      <c r="L33" s="126"/>
      <c r="M33" s="127"/>
      <c r="N33" s="126"/>
      <c r="O33" s="128"/>
      <c r="P33" s="124">
        <v>1670.3</v>
      </c>
      <c r="Q33" s="159"/>
      <c r="R33" s="159"/>
      <c r="S33" s="160">
        <v>315.633057352941</v>
      </c>
      <c r="T33" s="160"/>
      <c r="U33" s="160">
        <v>13.8176470588235</v>
      </c>
      <c r="V33" s="160"/>
      <c r="W33" s="160"/>
      <c r="X33" s="160">
        <v>329.450704411765</v>
      </c>
      <c r="Y33" s="174">
        <v>76.5843088235294</v>
      </c>
      <c r="Z33" s="174"/>
      <c r="AA33" s="174">
        <v>0.534604764705882</v>
      </c>
      <c r="AB33" s="174">
        <v>77.1189135882353</v>
      </c>
      <c r="AC33" s="125">
        <v>7.3</v>
      </c>
      <c r="AD33" s="160">
        <v>562.968069194118</v>
      </c>
      <c r="AE33" s="160">
        <v>892.418773605882</v>
      </c>
      <c r="AF33" s="160">
        <v>777.881226394118</v>
      </c>
    </row>
    <row r="34" s="88" customFormat="1" ht="12.75" spans="1:32">
      <c r="A34" s="101"/>
      <c r="B34" s="102"/>
      <c r="C34" s="103">
        <v>241115000042</v>
      </c>
      <c r="D34" s="104">
        <v>45616</v>
      </c>
      <c r="E34" s="104" t="s">
        <v>36</v>
      </c>
      <c r="F34" s="102" t="s">
        <v>37</v>
      </c>
      <c r="G34" s="102" t="s">
        <v>55</v>
      </c>
      <c r="H34" s="102">
        <v>2.5805</v>
      </c>
      <c r="I34" s="102">
        <v>1066</v>
      </c>
      <c r="J34" s="124"/>
      <c r="K34" s="129">
        <v>1255187.75</v>
      </c>
      <c r="L34" s="130"/>
      <c r="M34" s="127">
        <v>1706.71686664175</v>
      </c>
      <c r="N34" s="126">
        <v>735.43994</v>
      </c>
      <c r="O34" s="128">
        <v>7.27</v>
      </c>
      <c r="P34" s="124">
        <v>5346.6483638</v>
      </c>
      <c r="Q34" s="159"/>
      <c r="R34" s="159"/>
      <c r="S34" s="160">
        <v>1733.69754044118</v>
      </c>
      <c r="T34" s="160"/>
      <c r="U34" s="160">
        <v>75.8970588235294</v>
      </c>
      <c r="V34" s="160"/>
      <c r="W34" s="160"/>
      <c r="X34" s="160">
        <v>1809.59459926471</v>
      </c>
      <c r="Y34" s="174">
        <v>420.659448529412</v>
      </c>
      <c r="Z34" s="174"/>
      <c r="AA34" s="174">
        <v>2.93645720588235</v>
      </c>
      <c r="AB34" s="174">
        <v>423.595905735294</v>
      </c>
      <c r="AC34" s="125">
        <v>7.3</v>
      </c>
      <c r="AD34" s="160">
        <v>3092.25011186765</v>
      </c>
      <c r="AE34" s="160">
        <v>4901.84471113235</v>
      </c>
      <c r="AF34" s="160">
        <v>444.803652667648</v>
      </c>
    </row>
    <row r="35" s="88" customFormat="1" ht="12.75" spans="1:32">
      <c r="A35" s="101"/>
      <c r="B35" s="102"/>
      <c r="C35" s="103">
        <v>241118000051</v>
      </c>
      <c r="D35" s="104">
        <v>45616</v>
      </c>
      <c r="E35" s="104" t="s">
        <v>36</v>
      </c>
      <c r="F35" s="102" t="s">
        <v>37</v>
      </c>
      <c r="G35" s="102" t="s">
        <v>51</v>
      </c>
      <c r="H35" s="102">
        <v>0.2898</v>
      </c>
      <c r="I35" s="102">
        <v>30</v>
      </c>
      <c r="J35" s="179">
        <v>639.5</v>
      </c>
      <c r="K35" s="125"/>
      <c r="L35" s="130"/>
      <c r="M35" s="127"/>
      <c r="N35" s="130"/>
      <c r="O35" s="128"/>
      <c r="P35" s="124">
        <v>639.5</v>
      </c>
      <c r="Q35" s="159"/>
      <c r="R35" s="159"/>
      <c r="S35" s="160">
        <v>194.700851470588</v>
      </c>
      <c r="T35" s="160"/>
      <c r="U35" s="160">
        <v>8.52352941176471</v>
      </c>
      <c r="V35" s="160"/>
      <c r="W35" s="160"/>
      <c r="X35" s="160">
        <v>203.224380882353</v>
      </c>
      <c r="Y35" s="174">
        <v>47.2416617647059</v>
      </c>
      <c r="Z35" s="174"/>
      <c r="AA35" s="174">
        <v>0.329775352941176</v>
      </c>
      <c r="AB35" s="174">
        <v>47.5714371176471</v>
      </c>
      <c r="AC35" s="125">
        <v>7.3</v>
      </c>
      <c r="AD35" s="160">
        <v>347.271490958824</v>
      </c>
      <c r="AE35" s="160">
        <v>550.495871841176</v>
      </c>
      <c r="AF35" s="160">
        <v>89.004128158824</v>
      </c>
    </row>
    <row r="36" s="88" customFormat="1" ht="63.75" spans="1:32">
      <c r="A36" s="101" t="s">
        <v>64</v>
      </c>
      <c r="B36" s="102" t="s">
        <v>65</v>
      </c>
      <c r="C36" s="103">
        <v>241107000009</v>
      </c>
      <c r="D36" s="104">
        <v>45617</v>
      </c>
      <c r="E36" s="104" t="s">
        <v>36</v>
      </c>
      <c r="F36" s="102" t="s">
        <v>37</v>
      </c>
      <c r="G36" s="102" t="s">
        <v>55</v>
      </c>
      <c r="H36" s="102">
        <v>3.597</v>
      </c>
      <c r="I36" s="102">
        <v>2893</v>
      </c>
      <c r="J36" s="179">
        <v>8527.49</v>
      </c>
      <c r="K36" s="238"/>
      <c r="L36" s="126"/>
      <c r="M36" s="127"/>
      <c r="N36" s="126"/>
      <c r="O36" s="128"/>
      <c r="P36" s="124">
        <v>8527.49</v>
      </c>
      <c r="Q36" s="191">
        <v>43425.829</v>
      </c>
      <c r="R36" s="192" t="s">
        <v>66</v>
      </c>
      <c r="S36" s="160">
        <v>2422.07697794118</v>
      </c>
      <c r="T36" s="160"/>
      <c r="U36" s="160">
        <v>68.7661764705882</v>
      </c>
      <c r="V36" s="160"/>
      <c r="W36" s="160"/>
      <c r="X36" s="160">
        <v>2490.84315441176</v>
      </c>
      <c r="Y36" s="174">
        <v>594.192661764706</v>
      </c>
      <c r="Z36" s="174"/>
      <c r="AA36" s="174">
        <v>11.1057375</v>
      </c>
      <c r="AB36" s="174">
        <v>605.298399264706</v>
      </c>
      <c r="AC36" s="125">
        <v>7.3</v>
      </c>
      <c r="AD36" s="160">
        <v>4418.67831463235</v>
      </c>
      <c r="AE36" s="160">
        <v>6909.52146904412</v>
      </c>
      <c r="AF36" s="160">
        <v>1617.96853095588</v>
      </c>
    </row>
    <row r="37" s="88" customFormat="1" ht="12.75" spans="1:32">
      <c r="A37" s="101"/>
      <c r="B37" s="102"/>
      <c r="C37" s="103">
        <v>241108000020</v>
      </c>
      <c r="D37" s="104">
        <v>45617</v>
      </c>
      <c r="E37" s="104" t="s">
        <v>36</v>
      </c>
      <c r="F37" s="102" t="s">
        <v>37</v>
      </c>
      <c r="G37" s="102" t="s">
        <v>67</v>
      </c>
      <c r="H37" s="102">
        <v>4.4226</v>
      </c>
      <c r="I37" s="102">
        <v>1416</v>
      </c>
      <c r="J37" s="179">
        <v>13696</v>
      </c>
      <c r="K37" s="125"/>
      <c r="L37" s="130"/>
      <c r="M37" s="127"/>
      <c r="N37" s="130"/>
      <c r="O37" s="128"/>
      <c r="P37" s="124">
        <v>13696</v>
      </c>
      <c r="Q37" s="159"/>
      <c r="R37" s="159"/>
      <c r="S37" s="160">
        <v>2978.00323676471</v>
      </c>
      <c r="T37" s="160"/>
      <c r="U37" s="160">
        <v>84.5497058823529</v>
      </c>
      <c r="V37" s="160">
        <v>800</v>
      </c>
      <c r="W37" s="160">
        <v>80</v>
      </c>
      <c r="X37" s="160">
        <v>3942.55294264706</v>
      </c>
      <c r="Y37" s="174">
        <v>730.574497058824</v>
      </c>
      <c r="Z37" s="174">
        <v>256.98</v>
      </c>
      <c r="AA37" s="174">
        <v>13.6547775</v>
      </c>
      <c r="AB37" s="174">
        <v>1001.20927455882</v>
      </c>
      <c r="AC37" s="125">
        <v>7.3</v>
      </c>
      <c r="AD37" s="160">
        <v>7308.82770427941</v>
      </c>
      <c r="AE37" s="160">
        <v>11251.3806469265</v>
      </c>
      <c r="AF37" s="160">
        <v>2444.6193530735</v>
      </c>
    </row>
    <row r="38" s="88" customFormat="1" ht="63.75" spans="1:32">
      <c r="A38" s="101" t="s">
        <v>68</v>
      </c>
      <c r="B38" s="102" t="s">
        <v>69</v>
      </c>
      <c r="C38" s="103">
        <v>241116000004</v>
      </c>
      <c r="D38" s="104">
        <v>45623</v>
      </c>
      <c r="E38" s="104" t="s">
        <v>36</v>
      </c>
      <c r="F38" s="102" t="s">
        <v>37</v>
      </c>
      <c r="G38" s="102" t="s">
        <v>59</v>
      </c>
      <c r="H38" s="102">
        <v>0.076</v>
      </c>
      <c r="I38" s="102">
        <v>13</v>
      </c>
      <c r="J38" s="179">
        <v>250</v>
      </c>
      <c r="K38" s="125"/>
      <c r="L38" s="130"/>
      <c r="M38" s="127"/>
      <c r="N38" s="130"/>
      <c r="O38" s="128"/>
      <c r="P38" s="124">
        <v>250</v>
      </c>
      <c r="Q38" s="191">
        <v>21398.9548756</v>
      </c>
      <c r="R38" s="192" t="s">
        <v>70</v>
      </c>
      <c r="S38" s="160">
        <v>52.5670205882353</v>
      </c>
      <c r="T38" s="160"/>
      <c r="U38" s="160">
        <v>2.12352941176471</v>
      </c>
      <c r="V38" s="160"/>
      <c r="W38" s="160"/>
      <c r="X38" s="160">
        <v>54.69055</v>
      </c>
      <c r="Y38" s="174">
        <v>12.3846470588235</v>
      </c>
      <c r="Z38" s="174">
        <v>59.52</v>
      </c>
      <c r="AA38" s="174">
        <v>0.0598723529411765</v>
      </c>
      <c r="AB38" s="174">
        <v>71.9645194117647</v>
      </c>
      <c r="AC38" s="125">
        <v>7.3</v>
      </c>
      <c r="AD38" s="160">
        <v>525.340991705882</v>
      </c>
      <c r="AE38" s="160">
        <v>580.031541705882</v>
      </c>
      <c r="AF38" s="160">
        <v>-330.031541705882</v>
      </c>
    </row>
    <row r="39" s="88" customFormat="1" ht="12.75" spans="1:32">
      <c r="A39" s="101"/>
      <c r="B39" s="102"/>
      <c r="C39" s="103">
        <v>241119000027</v>
      </c>
      <c r="D39" s="104">
        <v>45623</v>
      </c>
      <c r="E39" s="104" t="s">
        <v>36</v>
      </c>
      <c r="F39" s="102" t="s">
        <v>37</v>
      </c>
      <c r="G39" s="102" t="s">
        <v>51</v>
      </c>
      <c r="H39" s="102">
        <v>0.0148</v>
      </c>
      <c r="I39" s="102">
        <v>6</v>
      </c>
      <c r="J39" s="179">
        <v>220</v>
      </c>
      <c r="K39" s="125"/>
      <c r="L39" s="130"/>
      <c r="M39" s="127"/>
      <c r="N39" s="130"/>
      <c r="O39" s="128"/>
      <c r="P39" s="124">
        <v>220</v>
      </c>
      <c r="Q39" s="159"/>
      <c r="R39" s="159"/>
      <c r="S39" s="160">
        <v>10.2367355882353</v>
      </c>
      <c r="T39" s="160"/>
      <c r="U39" s="160">
        <v>0.413529411764706</v>
      </c>
      <c r="V39" s="160"/>
      <c r="W39" s="160"/>
      <c r="X39" s="160">
        <v>10.650265</v>
      </c>
      <c r="Y39" s="174">
        <v>2.41174705882353</v>
      </c>
      <c r="Z39" s="174"/>
      <c r="AA39" s="174">
        <v>0.0116593529411765</v>
      </c>
      <c r="AB39" s="174">
        <v>2.42340641176471</v>
      </c>
      <c r="AC39" s="125">
        <v>7.3</v>
      </c>
      <c r="AD39" s="160">
        <v>17.6908668058824</v>
      </c>
      <c r="AE39" s="160">
        <v>28.3411318058824</v>
      </c>
      <c r="AF39" s="160">
        <v>191.658868194118</v>
      </c>
    </row>
    <row r="40" spans="1:32">
      <c r="A40" s="233" t="s">
        <v>71</v>
      </c>
      <c r="B40" s="234"/>
      <c r="C40" s="163"/>
      <c r="D40" s="163"/>
      <c r="E40" s="163"/>
      <c r="F40" s="163"/>
      <c r="G40" s="163"/>
      <c r="H40" s="163">
        <f>SUM(H5:H39)</f>
        <v>82.62</v>
      </c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76"/>
      <c r="AC40" s="176"/>
      <c r="AD40" s="176"/>
      <c r="AE40" s="176"/>
      <c r="AF40" s="176">
        <f>SUM(AF5:AF39)</f>
        <v>30842.5797914111</v>
      </c>
    </row>
    <row r="41" s="195" customFormat="1" ht="20" customHeight="1" spans="1:25">
      <c r="A41" s="1"/>
      <c r="B41" s="1"/>
      <c r="D41" s="201"/>
      <c r="E41" s="201"/>
      <c r="F41" s="237"/>
      <c r="G41" s="237"/>
      <c r="H41" s="237"/>
      <c r="I41" s="143"/>
      <c r="J41" s="143"/>
      <c r="K41" s="143"/>
      <c r="L41" s="143"/>
      <c r="M41" s="202"/>
      <c r="N41" s="143"/>
      <c r="O41" s="143"/>
      <c r="P41" s="143"/>
      <c r="Q41" s="143"/>
      <c r="R41" s="202"/>
      <c r="S41" s="202"/>
      <c r="T41" s="202"/>
      <c r="U41" s="202"/>
      <c r="V41" s="202"/>
      <c r="W41" s="202"/>
      <c r="X41" s="202"/>
      <c r="Y41" s="202"/>
    </row>
    <row r="42" s="1" customFormat="1" ht="23" customHeight="1" spans="3:20">
      <c r="C42" s="74" t="s">
        <v>72</v>
      </c>
      <c r="D42" s="74"/>
      <c r="E42" s="74"/>
      <c r="F42" s="109" t="s">
        <v>73</v>
      </c>
      <c r="G42" s="110"/>
      <c r="H42" s="110"/>
      <c r="I42" s="131"/>
      <c r="J42"/>
      <c r="K42" s="136" t="s">
        <v>74</v>
      </c>
      <c r="L42" s="136"/>
      <c r="M42" s="136"/>
      <c r="N42"/>
      <c r="O42"/>
      <c r="P42"/>
      <c r="Q42"/>
      <c r="R42"/>
      <c r="S42"/>
      <c r="T42"/>
    </row>
    <row r="43" s="1" customFormat="1" ht="23" customHeight="1" spans="3:20">
      <c r="C43" s="74"/>
      <c r="D43" s="74"/>
      <c r="E43" s="74"/>
      <c r="F43" s="111"/>
      <c r="G43" s="112"/>
      <c r="H43" s="112"/>
      <c r="I43" s="135"/>
      <c r="J43"/>
      <c r="K43" s="136" t="s">
        <v>75</v>
      </c>
      <c r="L43" s="136" t="s">
        <v>8</v>
      </c>
      <c r="M43" s="136" t="s">
        <v>76</v>
      </c>
      <c r="N43"/>
      <c r="O43"/>
      <c r="P43"/>
      <c r="Q43"/>
      <c r="R43"/>
      <c r="S43"/>
      <c r="T43"/>
    </row>
    <row r="44" s="1" customFormat="1" ht="23" customHeight="1" spans="3:20">
      <c r="C44" s="74" t="s">
        <v>77</v>
      </c>
      <c r="D44" s="74"/>
      <c r="E44" s="74"/>
      <c r="F44" s="80" t="s">
        <v>78</v>
      </c>
      <c r="G44" s="81"/>
      <c r="H44" s="81"/>
      <c r="I44" s="82"/>
      <c r="J44"/>
      <c r="K44" s="136" t="s">
        <v>79</v>
      </c>
      <c r="L44" s="137">
        <f>SUM(H40)</f>
        <v>82.62</v>
      </c>
      <c r="M44" s="138">
        <f>SUM(AF40)</f>
        <v>30842.5797914111</v>
      </c>
      <c r="N44"/>
      <c r="O44"/>
      <c r="P44"/>
      <c r="Q44"/>
      <c r="R44"/>
      <c r="S44"/>
      <c r="T44"/>
    </row>
    <row r="45" s="1" customFormat="1" ht="23" customHeight="1" spans="3:20">
      <c r="C45" s="74"/>
      <c r="D45" s="74"/>
      <c r="E45" s="74"/>
      <c r="F45" s="83"/>
      <c r="G45" s="84"/>
      <c r="H45" s="84"/>
      <c r="I45" s="85"/>
      <c r="J45"/>
      <c r="K45" s="139" t="s">
        <v>80</v>
      </c>
      <c r="L45" s="139"/>
      <c r="M45" s="140">
        <v>6000</v>
      </c>
      <c r="N45"/>
      <c r="O45"/>
      <c r="P45"/>
      <c r="Q45"/>
      <c r="R45"/>
      <c r="S45"/>
      <c r="T45"/>
    </row>
    <row r="46" s="1" customFormat="1" ht="23" customHeight="1" spans="3:20">
      <c r="C46" s="74" t="s">
        <v>81</v>
      </c>
      <c r="D46" s="74"/>
      <c r="E46" s="74"/>
      <c r="F46" s="80" t="s">
        <v>82</v>
      </c>
      <c r="G46" s="81"/>
      <c r="H46" s="81"/>
      <c r="I46" s="82"/>
      <c r="J46"/>
      <c r="K46" s="141" t="s">
        <v>83</v>
      </c>
      <c r="L46" s="141"/>
      <c r="M46" s="142">
        <f>SUM(M44-M45)</f>
        <v>24842.5797914111</v>
      </c>
      <c r="N46"/>
      <c r="O46"/>
      <c r="P46"/>
      <c r="Q46"/>
      <c r="R46"/>
      <c r="S46"/>
      <c r="T46"/>
    </row>
    <row r="47" s="1" customFormat="1" ht="23" customHeight="1" spans="3:20">
      <c r="C47" s="74"/>
      <c r="D47" s="74"/>
      <c r="E47" s="74"/>
      <c r="F47" s="83"/>
      <c r="G47" s="84"/>
      <c r="H47" s="84"/>
      <c r="I47" s="85"/>
      <c r="J47"/>
      <c r="K47" s="136" t="s">
        <v>84</v>
      </c>
      <c r="L47" s="136"/>
      <c r="M47" s="136">
        <v>0.4</v>
      </c>
      <c r="N47"/>
      <c r="O47"/>
      <c r="P47"/>
      <c r="Q47"/>
      <c r="R47"/>
      <c r="S47"/>
      <c r="T47"/>
    </row>
    <row r="48" s="1" customFormat="1" ht="39" customHeight="1" spans="5:20">
      <c r="E48"/>
      <c r="F48" s="237"/>
      <c r="G48" s="237"/>
      <c r="H48" s="237"/>
      <c r="I48" s="143"/>
      <c r="J48" s="143"/>
      <c r="K48" s="139" t="s">
        <v>85</v>
      </c>
      <c r="L48" s="139"/>
      <c r="M48" s="140">
        <f>SUM(M46*M47)</f>
        <v>9937.03191656444</v>
      </c>
      <c r="N48"/>
      <c r="O48"/>
      <c r="P48"/>
      <c r="Q48"/>
      <c r="R48"/>
      <c r="S48"/>
      <c r="T48"/>
    </row>
    <row r="50" spans="11:14">
      <c r="K50" s="143"/>
      <c r="L50" s="143"/>
      <c r="M50" s="143"/>
      <c r="N50" s="143"/>
    </row>
  </sheetData>
  <autoFilter xmlns:etc="http://www.wps.cn/officeDocument/2017/etCustomData" ref="A3:AB40" etc:filterBottomFollowUsedRange="0">
    <extLst/>
  </autoFilter>
  <mergeCells count="24">
    <mergeCell ref="J3:P3"/>
    <mergeCell ref="R3:V3"/>
    <mergeCell ref="Y3:AD3"/>
    <mergeCell ref="A40:B40"/>
    <mergeCell ref="K42:M4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42:E43"/>
    <mergeCell ref="C44:E45"/>
    <mergeCell ref="F44:I45"/>
    <mergeCell ref="C46:E47"/>
    <mergeCell ref="F46:I47"/>
    <mergeCell ref="F42:I43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6"/>
  <sheetViews>
    <sheetView workbookViewId="0">
      <pane xSplit="15" ySplit="3" topLeftCell="AC4" activePane="bottomRight" state="frozen"/>
      <selection/>
      <selection pane="topRight"/>
      <selection pane="bottomLeft"/>
      <selection pane="bottomRight" activeCell="M20" sqref="M20"/>
    </sheetView>
  </sheetViews>
  <sheetFormatPr defaultColWidth="9" defaultRowHeight="13.5"/>
  <cols>
    <col min="3" max="3" width="13.125" customWidth="1"/>
    <col min="4" max="4" width="12.125"/>
    <col min="6" max="6" width="11.125"/>
    <col min="8" max="8" width="10.125"/>
    <col min="9" max="9" width="11.125"/>
    <col min="10" max="10" width="11.25"/>
    <col min="11" max="11" width="10"/>
    <col min="12" max="12" width="9" customWidth="1"/>
    <col min="13" max="13" width="14.5" customWidth="1"/>
    <col min="14" max="14" width="10.25" customWidth="1"/>
    <col min="15" max="15" width="13.625"/>
    <col min="16" max="17" width="12.875"/>
    <col min="18" max="18" width="12.5" customWidth="1"/>
    <col min="19" max="19" width="10.125"/>
    <col min="20" max="20" width="12" style="4"/>
    <col min="21" max="21" width="10.25" style="4"/>
    <col min="22" max="22" width="12.5" style="4"/>
    <col min="23" max="23" width="10.125" style="4"/>
    <col min="24" max="24" width="12" style="4"/>
    <col min="25" max="25" width="12.625" style="4"/>
    <col min="26" max="26" width="10.125"/>
    <col min="27" max="28" width="13.625"/>
    <col min="30" max="30" width="10.125"/>
    <col min="31" max="32" width="13.625"/>
    <col min="33" max="33" width="11.125" customWidth="1"/>
  </cols>
  <sheetData>
    <row r="1" customFormat="1" ht="27" customHeight="1" spans="1:25">
      <c r="A1" s="65" t="s">
        <v>0</v>
      </c>
      <c r="T1" s="4"/>
      <c r="U1" s="4"/>
      <c r="V1" s="4"/>
      <c r="W1" s="4"/>
      <c r="X1" s="4"/>
      <c r="Y1" s="4"/>
    </row>
    <row r="2" s="87" customFormat="1" ht="23" customHeight="1" spans="1:32">
      <c r="A2" s="91" t="s">
        <v>1</v>
      </c>
      <c r="B2" s="92" t="s">
        <v>2</v>
      </c>
      <c r="C2" s="93" t="s">
        <v>3</v>
      </c>
      <c r="D2" s="94" t="s">
        <v>4</v>
      </c>
      <c r="E2" s="95" t="s">
        <v>5</v>
      </c>
      <c r="F2" s="96" t="s">
        <v>6</v>
      </c>
      <c r="G2" s="96" t="s">
        <v>7</v>
      </c>
      <c r="H2" s="96" t="s">
        <v>8</v>
      </c>
      <c r="I2" s="96" t="s">
        <v>9</v>
      </c>
      <c r="J2" s="113" t="s">
        <v>10</v>
      </c>
      <c r="K2" s="114"/>
      <c r="L2" s="115"/>
      <c r="M2" s="114"/>
      <c r="N2" s="115"/>
      <c r="O2" s="116"/>
      <c r="P2" s="117"/>
      <c r="Q2" s="144" t="s">
        <v>11</v>
      </c>
      <c r="R2" s="145" t="s">
        <v>12</v>
      </c>
      <c r="S2" s="146"/>
      <c r="T2" s="147"/>
      <c r="U2" s="148"/>
      <c r="V2" s="149"/>
      <c r="W2" s="150" t="s">
        <v>13</v>
      </c>
      <c r="X2" s="151" t="s">
        <v>14</v>
      </c>
      <c r="Y2" s="164" t="s">
        <v>15</v>
      </c>
      <c r="Z2" s="164"/>
      <c r="AA2" s="164"/>
      <c r="AB2" s="164"/>
      <c r="AC2" s="165"/>
      <c r="AD2" s="164"/>
      <c r="AE2" s="166" t="s">
        <v>16</v>
      </c>
      <c r="AF2" s="167" t="s">
        <v>17</v>
      </c>
    </row>
    <row r="3" s="87" customFormat="1" ht="27" customHeight="1" spans="1:32">
      <c r="A3" s="97"/>
      <c r="B3" s="98"/>
      <c r="C3" s="93"/>
      <c r="D3" s="94"/>
      <c r="E3" s="99"/>
      <c r="F3" s="100"/>
      <c r="G3" s="100"/>
      <c r="H3" s="100"/>
      <c r="I3" s="100"/>
      <c r="J3" s="118" t="s">
        <v>18</v>
      </c>
      <c r="K3" s="119" t="s">
        <v>19</v>
      </c>
      <c r="L3" s="120" t="s">
        <v>20</v>
      </c>
      <c r="M3" s="119" t="s">
        <v>21</v>
      </c>
      <c r="N3" s="121" t="s">
        <v>22</v>
      </c>
      <c r="O3" s="122" t="s">
        <v>23</v>
      </c>
      <c r="P3" s="123" t="s">
        <v>24</v>
      </c>
      <c r="Q3" s="152"/>
      <c r="R3" s="153" t="s">
        <v>25</v>
      </c>
      <c r="S3" s="154" t="s">
        <v>26</v>
      </c>
      <c r="T3" s="155" t="s">
        <v>27</v>
      </c>
      <c r="U3" s="156" t="s">
        <v>28</v>
      </c>
      <c r="V3" s="155" t="s">
        <v>29</v>
      </c>
      <c r="W3" s="157"/>
      <c r="X3" s="158"/>
      <c r="Y3" s="168" t="s">
        <v>30</v>
      </c>
      <c r="Z3" s="168" t="s">
        <v>31</v>
      </c>
      <c r="AA3" s="168" t="s">
        <v>32</v>
      </c>
      <c r="AB3" s="169" t="s">
        <v>33</v>
      </c>
      <c r="AC3" s="170" t="s">
        <v>34</v>
      </c>
      <c r="AD3" s="171" t="s">
        <v>24</v>
      </c>
      <c r="AE3" s="172" t="s">
        <v>35</v>
      </c>
      <c r="AF3" s="173"/>
    </row>
    <row r="4" s="88" customFormat="1" ht="12.75" spans="1:32">
      <c r="A4" s="101"/>
      <c r="B4" s="102"/>
      <c r="C4" s="103">
        <v>241022000035</v>
      </c>
      <c r="D4" s="104">
        <v>45602</v>
      </c>
      <c r="E4" s="104" t="s">
        <v>86</v>
      </c>
      <c r="F4" s="102" t="s">
        <v>87</v>
      </c>
      <c r="G4" s="214" t="s">
        <v>88</v>
      </c>
      <c r="H4" s="214">
        <v>27.424</v>
      </c>
      <c r="I4" s="214">
        <v>19896</v>
      </c>
      <c r="J4" s="216">
        <v>60720</v>
      </c>
      <c r="K4" s="235"/>
      <c r="L4" s="218"/>
      <c r="M4" s="219"/>
      <c r="N4" s="218"/>
      <c r="O4" s="220"/>
      <c r="P4" s="221">
        <v>60720</v>
      </c>
      <c r="Q4" s="228"/>
      <c r="R4" s="228"/>
      <c r="S4" s="229">
        <v>19676.1150588235</v>
      </c>
      <c r="T4" s="229"/>
      <c r="U4" s="229">
        <v>725.929411764706</v>
      </c>
      <c r="V4" s="229"/>
      <c r="W4" s="229"/>
      <c r="X4" s="229">
        <v>20402.0444705882</v>
      </c>
      <c r="Y4" s="231">
        <v>4321.88528</v>
      </c>
      <c r="Z4" s="231"/>
      <c r="AA4" s="231">
        <v>20.4228141176471</v>
      </c>
      <c r="AB4" s="231">
        <v>4342.30809411765</v>
      </c>
      <c r="AC4" s="217">
        <v>7.33</v>
      </c>
      <c r="AD4" s="229">
        <v>31829.1183298824</v>
      </c>
      <c r="AE4" s="229">
        <v>52231.1628004706</v>
      </c>
      <c r="AF4" s="229">
        <v>8488.8371995294</v>
      </c>
    </row>
    <row r="5" s="178" customFormat="1" ht="12.75" spans="1:33">
      <c r="A5" s="101"/>
      <c r="B5" s="102"/>
      <c r="C5" s="103">
        <v>241022000035</v>
      </c>
      <c r="D5" s="104">
        <v>45608</v>
      </c>
      <c r="E5" s="104" t="s">
        <v>86</v>
      </c>
      <c r="F5" s="102" t="s">
        <v>87</v>
      </c>
      <c r="G5" s="214" t="s">
        <v>88</v>
      </c>
      <c r="H5" s="214">
        <v>28.3553</v>
      </c>
      <c r="I5" s="214">
        <v>15100</v>
      </c>
      <c r="J5" s="216">
        <v>62780</v>
      </c>
      <c r="K5" s="217"/>
      <c r="L5" s="218"/>
      <c r="M5" s="219"/>
      <c r="N5" s="218"/>
      <c r="O5" s="220"/>
      <c r="P5" s="221">
        <v>62780</v>
      </c>
      <c r="Q5" s="228"/>
      <c r="R5" s="228"/>
      <c r="S5" s="229">
        <v>22191.3581676471</v>
      </c>
      <c r="T5" s="229"/>
      <c r="U5" s="229">
        <v>815.214875</v>
      </c>
      <c r="V5" s="229">
        <v>300</v>
      </c>
      <c r="W5" s="229"/>
      <c r="X5" s="229">
        <v>23306.5730426471</v>
      </c>
      <c r="Y5" s="231">
        <v>4737.35333017647</v>
      </c>
      <c r="Z5" s="231">
        <v>785.15</v>
      </c>
      <c r="AA5" s="231">
        <v>22.3256288529412</v>
      </c>
      <c r="AB5" s="231">
        <v>5544.82895902941</v>
      </c>
      <c r="AC5" s="217">
        <v>7.3</v>
      </c>
      <c r="AD5" s="229">
        <v>40477.2514009147</v>
      </c>
      <c r="AE5" s="229">
        <v>63783.8244435618</v>
      </c>
      <c r="AF5" s="229">
        <v>-1003.8244435618</v>
      </c>
      <c r="AG5" s="236">
        <f>SUM(AF4:AF5)</f>
        <v>7485.0127559676</v>
      </c>
    </row>
    <row r="6" s="88" customFormat="1" ht="12.75" spans="1:33">
      <c r="A6" s="101"/>
      <c r="B6" s="102"/>
      <c r="C6" s="103">
        <v>241106000018</v>
      </c>
      <c r="D6" s="104">
        <v>45602</v>
      </c>
      <c r="E6" s="104" t="s">
        <v>86</v>
      </c>
      <c r="F6" s="102" t="s">
        <v>87</v>
      </c>
      <c r="G6" s="102" t="s">
        <v>89</v>
      </c>
      <c r="H6" s="102">
        <v>0.0019</v>
      </c>
      <c r="I6" s="102">
        <v>1</v>
      </c>
      <c r="J6" s="124"/>
      <c r="K6" s="223">
        <v>51150</v>
      </c>
      <c r="L6" s="130"/>
      <c r="M6" s="127">
        <v>1650</v>
      </c>
      <c r="N6" s="126">
        <v>31</v>
      </c>
      <c r="O6" s="128">
        <v>7.2</v>
      </c>
      <c r="P6" s="124">
        <v>223.2</v>
      </c>
      <c r="Q6" s="159"/>
      <c r="R6" s="159"/>
      <c r="S6" s="160">
        <v>1.36320808823529</v>
      </c>
      <c r="T6" s="160"/>
      <c r="U6" s="160">
        <v>0.0502941176470588</v>
      </c>
      <c r="V6" s="160"/>
      <c r="W6" s="160"/>
      <c r="X6" s="160">
        <v>1.41350220588235</v>
      </c>
      <c r="Y6" s="174">
        <v>0.2994305</v>
      </c>
      <c r="Z6" s="174"/>
      <c r="AA6" s="174">
        <v>0.00141494117647059</v>
      </c>
      <c r="AB6" s="174">
        <v>0.300845441176471</v>
      </c>
      <c r="AC6" s="125">
        <v>7.33</v>
      </c>
      <c r="AD6" s="160">
        <v>2.20519708382353</v>
      </c>
      <c r="AE6" s="160">
        <v>3.61869928970588</v>
      </c>
      <c r="AF6" s="160">
        <v>219.581300710294</v>
      </c>
      <c r="AG6" s="88">
        <f>SUM(AG5/2)</f>
        <v>3742.5063779838</v>
      </c>
    </row>
    <row r="7" s="178" customFormat="1" ht="12.75" spans="1:32">
      <c r="A7" s="101"/>
      <c r="B7" s="102"/>
      <c r="C7" s="103">
        <v>241104000071</v>
      </c>
      <c r="D7" s="104">
        <v>45608</v>
      </c>
      <c r="E7" s="104" t="s">
        <v>86</v>
      </c>
      <c r="F7" s="102" t="s">
        <v>87</v>
      </c>
      <c r="G7" s="102" t="s">
        <v>90</v>
      </c>
      <c r="H7" s="102">
        <v>0.2523</v>
      </c>
      <c r="I7" s="102">
        <v>27</v>
      </c>
      <c r="J7" s="124"/>
      <c r="K7" s="129">
        <v>116127</v>
      </c>
      <c r="L7" s="130"/>
      <c r="M7" s="127">
        <v>1684.46475195822</v>
      </c>
      <c r="N7" s="126">
        <v>68.94</v>
      </c>
      <c r="O7" s="128">
        <v>7.3</v>
      </c>
      <c r="P7" s="124">
        <v>503.262</v>
      </c>
      <c r="Q7" s="159"/>
      <c r="R7" s="159"/>
      <c r="S7" s="160">
        <v>197.454432352941</v>
      </c>
      <c r="T7" s="160"/>
      <c r="U7" s="160">
        <v>7.253625</v>
      </c>
      <c r="V7" s="160"/>
      <c r="W7" s="160"/>
      <c r="X7" s="160">
        <v>204.708057352941</v>
      </c>
      <c r="Y7" s="174">
        <v>42.1520578235294</v>
      </c>
      <c r="Z7" s="174"/>
      <c r="AA7" s="174">
        <v>0.198649147058824</v>
      </c>
      <c r="AB7" s="174">
        <v>42.3507069705882</v>
      </c>
      <c r="AC7" s="125">
        <v>7.3</v>
      </c>
      <c r="AD7" s="160">
        <v>309.160160885294</v>
      </c>
      <c r="AE7" s="160">
        <v>513.868218238235</v>
      </c>
      <c r="AF7" s="160">
        <v>-10.6062182382353</v>
      </c>
    </row>
    <row r="8" s="88" customFormat="1" ht="12.75" spans="1:32">
      <c r="A8" s="101"/>
      <c r="B8" s="102"/>
      <c r="C8" s="103">
        <v>241108000043</v>
      </c>
      <c r="D8" s="104">
        <v>45609</v>
      </c>
      <c r="E8" s="104" t="s">
        <v>86</v>
      </c>
      <c r="F8" s="102" t="s">
        <v>87</v>
      </c>
      <c r="G8" s="102" t="s">
        <v>91</v>
      </c>
      <c r="H8" s="102">
        <v>1.4833</v>
      </c>
      <c r="I8" s="102">
        <v>598</v>
      </c>
      <c r="J8" s="124"/>
      <c r="K8" s="129">
        <v>1160958</v>
      </c>
      <c r="L8" s="130"/>
      <c r="M8" s="127">
        <v>1666.43891656021</v>
      </c>
      <c r="N8" s="126">
        <v>696.67</v>
      </c>
      <c r="O8" s="128">
        <v>7.3</v>
      </c>
      <c r="P8" s="124">
        <v>5085.691</v>
      </c>
      <c r="Q8" s="159"/>
      <c r="R8" s="159"/>
      <c r="S8" s="160">
        <v>1020.92485147059</v>
      </c>
      <c r="T8" s="160"/>
      <c r="U8" s="160">
        <v>39.2638235294118</v>
      </c>
      <c r="V8" s="160"/>
      <c r="W8" s="160"/>
      <c r="X8" s="160">
        <v>1060.188675</v>
      </c>
      <c r="Y8" s="174">
        <v>235.449226044118</v>
      </c>
      <c r="Z8" s="174">
        <v>251.65</v>
      </c>
      <c r="AA8" s="174">
        <v>2.07182108823529</v>
      </c>
      <c r="AB8" s="174">
        <v>489.171047132353</v>
      </c>
      <c r="AC8" s="125">
        <v>7.33</v>
      </c>
      <c r="AD8" s="160">
        <v>3585.62377548015</v>
      </c>
      <c r="AE8" s="160">
        <v>4645.81245048015</v>
      </c>
      <c r="AF8" s="160">
        <v>439.878549519852</v>
      </c>
    </row>
    <row r="9" s="88" customFormat="1" ht="12.75" spans="1:32">
      <c r="A9" s="101"/>
      <c r="B9" s="102"/>
      <c r="C9" s="103">
        <v>241111000032</v>
      </c>
      <c r="D9" s="104">
        <v>45609</v>
      </c>
      <c r="E9" s="104" t="s">
        <v>86</v>
      </c>
      <c r="F9" s="102" t="s">
        <v>87</v>
      </c>
      <c r="G9" s="102" t="s">
        <v>90</v>
      </c>
      <c r="H9" s="102">
        <v>0.2174</v>
      </c>
      <c r="I9" s="102">
        <v>57</v>
      </c>
      <c r="J9" s="124"/>
      <c r="K9" s="129">
        <v>107613</v>
      </c>
      <c r="L9" s="130"/>
      <c r="M9" s="127">
        <v>1650.00025298992</v>
      </c>
      <c r="N9" s="126">
        <v>65.21999</v>
      </c>
      <c r="O9" s="128">
        <v>7.2</v>
      </c>
      <c r="P9" s="124">
        <v>469.583928</v>
      </c>
      <c r="Q9" s="159"/>
      <c r="R9" s="159"/>
      <c r="S9" s="160">
        <v>149.631944117647</v>
      </c>
      <c r="T9" s="160"/>
      <c r="U9" s="160">
        <v>5.75470588235294</v>
      </c>
      <c r="V9" s="160"/>
      <c r="W9" s="160"/>
      <c r="X9" s="160">
        <v>155.38665</v>
      </c>
      <c r="Y9" s="174">
        <v>34.5086373235294</v>
      </c>
      <c r="Z9" s="174"/>
      <c r="AA9" s="174">
        <v>0.303656647058824</v>
      </c>
      <c r="AB9" s="174">
        <v>34.8122939705882</v>
      </c>
      <c r="AC9" s="125">
        <v>7.33</v>
      </c>
      <c r="AD9" s="160">
        <v>255.174114804412</v>
      </c>
      <c r="AE9" s="160">
        <v>410.560764804412</v>
      </c>
      <c r="AF9" s="160">
        <v>59.0231631955883</v>
      </c>
    </row>
    <row r="10" s="88" customFormat="1" ht="12.75" spans="1:32">
      <c r="A10" s="101"/>
      <c r="B10" s="102"/>
      <c r="C10" s="103">
        <v>241114000046</v>
      </c>
      <c r="D10" s="104">
        <v>45615</v>
      </c>
      <c r="E10" s="104" t="s">
        <v>86</v>
      </c>
      <c r="F10" s="102" t="s">
        <v>87</v>
      </c>
      <c r="G10" s="102" t="s">
        <v>92</v>
      </c>
      <c r="H10" s="102">
        <v>0.0703</v>
      </c>
      <c r="I10" s="102">
        <v>43</v>
      </c>
      <c r="J10" s="124"/>
      <c r="K10" s="129">
        <v>47100</v>
      </c>
      <c r="L10" s="130"/>
      <c r="M10" s="127">
        <v>2230.11331958618</v>
      </c>
      <c r="N10" s="126">
        <v>21.120003</v>
      </c>
      <c r="O10" s="128">
        <v>7.28</v>
      </c>
      <c r="P10" s="124">
        <v>153.75362184</v>
      </c>
      <c r="Q10" s="159"/>
      <c r="R10" s="159"/>
      <c r="S10" s="160">
        <v>49.1981110294118</v>
      </c>
      <c r="T10" s="160"/>
      <c r="U10" s="160">
        <v>2.37779411764706</v>
      </c>
      <c r="V10" s="160"/>
      <c r="W10" s="160"/>
      <c r="X10" s="160">
        <v>51.5759051470588</v>
      </c>
      <c r="Y10" s="174">
        <v>11.4599338235294</v>
      </c>
      <c r="Z10" s="174"/>
      <c r="AA10" s="174">
        <v>0.0776608235294118</v>
      </c>
      <c r="AB10" s="174">
        <v>11.5375946470588</v>
      </c>
      <c r="AC10" s="125">
        <v>7.3</v>
      </c>
      <c r="AD10" s="160">
        <v>84.2244409235294</v>
      </c>
      <c r="AE10" s="160">
        <v>135.800346070588</v>
      </c>
      <c r="AF10" s="160">
        <v>17.9532757694118</v>
      </c>
    </row>
    <row r="11" s="88" customFormat="1" ht="12.75" spans="1:32">
      <c r="A11" s="101"/>
      <c r="B11" s="102"/>
      <c r="C11" s="103">
        <v>241125000029</v>
      </c>
      <c r="D11" s="104">
        <v>45623</v>
      </c>
      <c r="E11" s="104" t="s">
        <v>86</v>
      </c>
      <c r="F11" s="102" t="s">
        <v>87</v>
      </c>
      <c r="G11" s="102" t="s">
        <v>90</v>
      </c>
      <c r="H11" s="102">
        <v>0.2641</v>
      </c>
      <c r="I11" s="102">
        <v>318</v>
      </c>
      <c r="J11" s="124"/>
      <c r="K11" s="129">
        <v>228967.2</v>
      </c>
      <c r="L11" s="130"/>
      <c r="M11" s="127">
        <v>1680.00024653316</v>
      </c>
      <c r="N11" s="126">
        <v>136.28998</v>
      </c>
      <c r="O11" s="128">
        <v>7.3</v>
      </c>
      <c r="P11" s="124">
        <v>994.916854</v>
      </c>
      <c r="Q11" s="159"/>
      <c r="R11" s="159"/>
      <c r="S11" s="160">
        <v>182.670396544118</v>
      </c>
      <c r="T11" s="160"/>
      <c r="U11" s="160">
        <v>7.37926470588235</v>
      </c>
      <c r="V11" s="160"/>
      <c r="W11" s="193"/>
      <c r="X11" s="160">
        <v>190.04966125</v>
      </c>
      <c r="Y11" s="174">
        <v>43.0366485294118</v>
      </c>
      <c r="Z11" s="174"/>
      <c r="AA11" s="174">
        <v>0.208056426470588</v>
      </c>
      <c r="AB11" s="174">
        <v>43.2447049558824</v>
      </c>
      <c r="AC11" s="125">
        <v>7.3</v>
      </c>
      <c r="AD11" s="160">
        <v>315.686346177941</v>
      </c>
      <c r="AE11" s="160">
        <v>505.736007427941</v>
      </c>
      <c r="AF11" s="160">
        <v>489.180846572059</v>
      </c>
    </row>
    <row r="12" customFormat="1" spans="1:32">
      <c r="A12" s="233" t="s">
        <v>71</v>
      </c>
      <c r="B12" s="234"/>
      <c r="C12" s="163"/>
      <c r="D12" s="163"/>
      <c r="E12" s="163"/>
      <c r="F12" s="163"/>
      <c r="G12" s="163"/>
      <c r="H12" s="163">
        <f>SUM(H4:H11)</f>
        <v>58.0686</v>
      </c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76"/>
      <c r="AC12" s="176"/>
      <c r="AD12" s="176"/>
      <c r="AE12" s="176"/>
      <c r="AF12" s="176">
        <f>SUM(AF4:AF11)</f>
        <v>8700.02367349657</v>
      </c>
    </row>
    <row r="13" s="195" customFormat="1" ht="22" customHeight="1" spans="1:32">
      <c r="A13" s="1"/>
      <c r="B13" s="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8"/>
      <c r="T13" s="208"/>
      <c r="U13" s="208"/>
      <c r="V13" s="208"/>
      <c r="W13" s="208"/>
      <c r="X13" s="208"/>
      <c r="Y13" s="208"/>
      <c r="AF13" s="195">
        <v>3742.51</v>
      </c>
    </row>
    <row r="14" s="1" customFormat="1" ht="23" customHeight="1" spans="3:32">
      <c r="C14" s="74" t="s">
        <v>72</v>
      </c>
      <c r="D14" s="74"/>
      <c r="E14" s="74"/>
      <c r="F14" s="109" t="s">
        <v>73</v>
      </c>
      <c r="G14" s="110"/>
      <c r="H14" s="110"/>
      <c r="I14" s="131"/>
      <c r="J14"/>
      <c r="K14" s="136" t="s">
        <v>93</v>
      </c>
      <c r="L14" s="136"/>
      <c r="M14" s="136"/>
      <c r="N14" s="136"/>
      <c r="O14"/>
      <c r="P14"/>
      <c r="AF14" s="1">
        <f>SUM(AF12-AF13)</f>
        <v>4957.51367349657</v>
      </c>
    </row>
    <row r="15" s="1" customFormat="1" ht="23" customHeight="1" spans="3:16">
      <c r="C15" s="74"/>
      <c r="D15" s="74"/>
      <c r="E15" s="74"/>
      <c r="F15" s="111"/>
      <c r="G15" s="112"/>
      <c r="H15" s="112"/>
      <c r="I15" s="135"/>
      <c r="J15"/>
      <c r="K15" s="224" t="s">
        <v>75</v>
      </c>
      <c r="L15" s="224" t="s">
        <v>8</v>
      </c>
      <c r="M15" s="224" t="s">
        <v>76</v>
      </c>
      <c r="N15" s="224" t="s">
        <v>94</v>
      </c>
      <c r="O15"/>
      <c r="P15"/>
    </row>
    <row r="16" s="1" customFormat="1" ht="23" customHeight="1" spans="3:16">
      <c r="C16" s="74" t="s">
        <v>77</v>
      </c>
      <c r="D16" s="74"/>
      <c r="E16" s="74"/>
      <c r="F16" s="80" t="s">
        <v>78</v>
      </c>
      <c r="G16" s="81"/>
      <c r="H16" s="81"/>
      <c r="I16" s="82"/>
      <c r="J16"/>
      <c r="K16" s="136" t="s">
        <v>79</v>
      </c>
      <c r="L16" s="137">
        <f>SUM(H12)</f>
        <v>58.0686</v>
      </c>
      <c r="M16" s="138">
        <v>4957.51367349657</v>
      </c>
      <c r="N16" s="225" t="s">
        <v>95</v>
      </c>
      <c r="O16"/>
      <c r="P16"/>
    </row>
    <row r="17" s="1" customFormat="1" ht="23" customHeight="1" spans="3:16">
      <c r="C17" s="74"/>
      <c r="D17" s="74"/>
      <c r="E17" s="74"/>
      <c r="F17" s="83"/>
      <c r="G17" s="84"/>
      <c r="H17" s="84"/>
      <c r="I17" s="85"/>
      <c r="J17"/>
      <c r="K17" s="139" t="s">
        <v>80</v>
      </c>
      <c r="L17" s="139"/>
      <c r="M17" s="140">
        <v>3000</v>
      </c>
      <c r="N17" s="226"/>
      <c r="O17"/>
      <c r="P17"/>
    </row>
    <row r="18" s="1" customFormat="1" ht="23" customHeight="1" spans="3:16">
      <c r="C18" s="74" t="s">
        <v>81</v>
      </c>
      <c r="D18" s="74"/>
      <c r="E18" s="74"/>
      <c r="F18" s="80" t="s">
        <v>82</v>
      </c>
      <c r="G18" s="81"/>
      <c r="H18" s="81"/>
      <c r="I18" s="82"/>
      <c r="J18"/>
      <c r="K18" s="141" t="s">
        <v>83</v>
      </c>
      <c r="L18" s="141"/>
      <c r="M18" s="142">
        <f>SUM(M16-M17)</f>
        <v>1957.51367349657</v>
      </c>
      <c r="N18" s="226"/>
      <c r="O18"/>
      <c r="P18"/>
    </row>
    <row r="19" s="1" customFormat="1" ht="23" customHeight="1" spans="3:16">
      <c r="C19" s="74"/>
      <c r="D19" s="74"/>
      <c r="E19" s="74"/>
      <c r="F19" s="83"/>
      <c r="G19" s="84"/>
      <c r="H19" s="84"/>
      <c r="I19" s="85"/>
      <c r="J19"/>
      <c r="K19" s="136" t="s">
        <v>84</v>
      </c>
      <c r="L19" s="136"/>
      <c r="M19" s="136">
        <v>0.15</v>
      </c>
      <c r="N19" s="226"/>
      <c r="O19"/>
      <c r="P19"/>
    </row>
    <row r="20" s="1" customFormat="1" ht="23" customHeight="1" spans="5:16">
      <c r="E20"/>
      <c r="F20"/>
      <c r="G20"/>
      <c r="H20"/>
      <c r="I20"/>
      <c r="J20"/>
      <c r="K20" s="139" t="s">
        <v>85</v>
      </c>
      <c r="L20" s="139"/>
      <c r="M20" s="140">
        <f>SUM(M18*M19)</f>
        <v>293.627051024485</v>
      </c>
      <c r="N20" s="227"/>
      <c r="O20"/>
      <c r="P20"/>
    </row>
    <row r="21" s="1" customFormat="1" ht="23" customHeight="1" spans="5:16">
      <c r="E21"/>
      <c r="F21"/>
      <c r="G21"/>
      <c r="H21"/>
      <c r="I21"/>
      <c r="J21"/>
      <c r="K21"/>
      <c r="L21"/>
      <c r="M21"/>
      <c r="N21"/>
      <c r="O21"/>
      <c r="P21"/>
    </row>
    <row r="22" s="1" customFormat="1" ht="23" customHeight="1" spans="5:13">
      <c r="E22"/>
      <c r="F22"/>
      <c r="G22"/>
      <c r="H22"/>
      <c r="I22"/>
      <c r="J22"/>
      <c r="K22"/>
      <c r="L22"/>
      <c r="M22"/>
    </row>
    <row r="23" s="1" customFormat="1" ht="23" customHeight="1" spans="5:13">
      <c r="E23"/>
      <c r="F23"/>
      <c r="G23"/>
      <c r="H23"/>
      <c r="I23"/>
      <c r="J23"/>
      <c r="K23"/>
      <c r="L23"/>
      <c r="M23"/>
    </row>
    <row r="24" s="1" customFormat="1" ht="23" customHeight="1" spans="5:19">
      <c r="E24"/>
      <c r="F24"/>
      <c r="G24"/>
      <c r="H24"/>
      <c r="I24"/>
      <c r="J24"/>
      <c r="K24"/>
      <c r="L24"/>
      <c r="M24"/>
      <c r="O24"/>
      <c r="P24"/>
      <c r="Q24"/>
      <c r="R24"/>
      <c r="S24" s="35"/>
    </row>
    <row r="25" ht="21" customHeight="1"/>
    <row r="26" ht="21" customHeight="1"/>
  </sheetData>
  <mergeCells count="25">
    <mergeCell ref="J2:P2"/>
    <mergeCell ref="R2:V2"/>
    <mergeCell ref="Y2:AD2"/>
    <mergeCell ref="A12:B12"/>
    <mergeCell ref="K14:N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16:N20"/>
    <mergeCell ref="Q2:Q3"/>
    <mergeCell ref="W2:W3"/>
    <mergeCell ref="X2:X3"/>
    <mergeCell ref="AF2:AF3"/>
    <mergeCell ref="C18:E19"/>
    <mergeCell ref="F18:I19"/>
    <mergeCell ref="C16:E17"/>
    <mergeCell ref="F16:I17"/>
    <mergeCell ref="C14:E15"/>
    <mergeCell ref="F14:I15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2"/>
  <sheetViews>
    <sheetView workbookViewId="0">
      <pane xSplit="15" ySplit="4" topLeftCell="AC14" activePane="bottomRight" state="frozen"/>
      <selection/>
      <selection pane="topRight"/>
      <selection pane="bottomLeft"/>
      <selection pane="bottomRight" activeCell="AD35" sqref="AD35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2.625"/>
    <col min="33" max="33" width="9.625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4" t="s">
        <v>11</v>
      </c>
      <c r="R3" s="145" t="s">
        <v>12</v>
      </c>
      <c r="S3" s="146"/>
      <c r="T3" s="147"/>
      <c r="U3" s="148"/>
      <c r="V3" s="149"/>
      <c r="W3" s="150" t="s">
        <v>13</v>
      </c>
      <c r="X3" s="151" t="s">
        <v>14</v>
      </c>
      <c r="Y3" s="164" t="s">
        <v>15</v>
      </c>
      <c r="Z3" s="164"/>
      <c r="AA3" s="164"/>
      <c r="AB3" s="164"/>
      <c r="AC3" s="165"/>
      <c r="AD3" s="164"/>
      <c r="AE3" s="166" t="s">
        <v>16</v>
      </c>
      <c r="AF3" s="167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2"/>
      <c r="R4" s="153" t="s">
        <v>25</v>
      </c>
      <c r="S4" s="154" t="s">
        <v>26</v>
      </c>
      <c r="T4" s="155" t="s">
        <v>27</v>
      </c>
      <c r="U4" s="156" t="s">
        <v>28</v>
      </c>
      <c r="V4" s="155" t="s">
        <v>29</v>
      </c>
      <c r="W4" s="157"/>
      <c r="X4" s="158"/>
      <c r="Y4" s="168" t="s">
        <v>30</v>
      </c>
      <c r="Z4" s="168" t="s">
        <v>31</v>
      </c>
      <c r="AA4" s="168" t="s">
        <v>32</v>
      </c>
      <c r="AB4" s="169" t="s">
        <v>33</v>
      </c>
      <c r="AC4" s="170" t="s">
        <v>34</v>
      </c>
      <c r="AD4" s="171" t="s">
        <v>24</v>
      </c>
      <c r="AE4" s="172" t="s">
        <v>35</v>
      </c>
      <c r="AF4" s="173"/>
    </row>
    <row r="5" s="88" customFormat="1" ht="12.75" spans="1:32">
      <c r="A5" s="101"/>
      <c r="B5" s="102"/>
      <c r="C5" s="103">
        <v>241028000057</v>
      </c>
      <c r="D5" s="104">
        <v>45601</v>
      </c>
      <c r="E5" s="104" t="s">
        <v>96</v>
      </c>
      <c r="F5" s="102" t="s">
        <v>97</v>
      </c>
      <c r="G5" s="214" t="s">
        <v>98</v>
      </c>
      <c r="H5" s="214">
        <v>0.8721</v>
      </c>
      <c r="I5" s="214">
        <v>153</v>
      </c>
      <c r="J5" s="216">
        <v>1785.59</v>
      </c>
      <c r="K5" s="217"/>
      <c r="L5" s="218"/>
      <c r="M5" s="219"/>
      <c r="N5" s="218"/>
      <c r="O5" s="220"/>
      <c r="P5" s="221">
        <v>1785.59</v>
      </c>
      <c r="Q5" s="228"/>
      <c r="R5" s="228"/>
      <c r="S5" s="229">
        <v>631.1759625</v>
      </c>
      <c r="T5" s="229">
        <v>1.457433</v>
      </c>
      <c r="U5" s="229">
        <v>30.78</v>
      </c>
      <c r="V5" s="229"/>
      <c r="W5" s="229"/>
      <c r="X5" s="229">
        <v>663.4133955</v>
      </c>
      <c r="Y5" s="231">
        <v>140.430159</v>
      </c>
      <c r="Z5" s="231"/>
      <c r="AA5" s="231"/>
      <c r="AB5" s="231">
        <v>140.430159</v>
      </c>
      <c r="AC5" s="217">
        <v>7.33</v>
      </c>
      <c r="AD5" s="229">
        <v>1029.35306547</v>
      </c>
      <c r="AE5" s="229">
        <v>1692.76646097</v>
      </c>
      <c r="AF5" s="229">
        <v>92.8235390299999</v>
      </c>
    </row>
    <row r="6" s="88" customFormat="1" ht="12.75" spans="1:32">
      <c r="A6" s="101"/>
      <c r="B6" s="102"/>
      <c r="C6" s="103">
        <v>241101000033</v>
      </c>
      <c r="D6" s="104">
        <v>45601</v>
      </c>
      <c r="E6" s="104" t="s">
        <v>96</v>
      </c>
      <c r="F6" s="102" t="s">
        <v>97</v>
      </c>
      <c r="G6" s="214" t="s">
        <v>98</v>
      </c>
      <c r="H6" s="214">
        <v>0.8844</v>
      </c>
      <c r="I6" s="214">
        <v>155</v>
      </c>
      <c r="J6" s="216">
        <v>1806.11</v>
      </c>
      <c r="K6" s="217"/>
      <c r="L6" s="218"/>
      <c r="M6" s="219"/>
      <c r="N6" s="218"/>
      <c r="O6" s="220"/>
      <c r="P6" s="221">
        <v>1806.11</v>
      </c>
      <c r="Q6" s="228"/>
      <c r="R6" s="228"/>
      <c r="S6" s="229">
        <v>640.077997058823</v>
      </c>
      <c r="T6" s="229">
        <v>1.47798847058824</v>
      </c>
      <c r="U6" s="229">
        <v>31.2141176470588</v>
      </c>
      <c r="V6" s="229"/>
      <c r="W6" s="229"/>
      <c r="X6" s="229">
        <v>672.770103176471</v>
      </c>
      <c r="Y6" s="231">
        <v>142.410770117647</v>
      </c>
      <c r="Z6" s="231"/>
      <c r="AA6" s="231"/>
      <c r="AB6" s="231">
        <v>142.410770117647</v>
      </c>
      <c r="AC6" s="217">
        <v>7.33</v>
      </c>
      <c r="AD6" s="229">
        <v>1043.87094496235</v>
      </c>
      <c r="AE6" s="229">
        <v>1716.64104813882</v>
      </c>
      <c r="AF6" s="229">
        <v>89.4689518611799</v>
      </c>
    </row>
    <row r="7" s="178" customFormat="1" ht="12.75" spans="1:32">
      <c r="A7" s="101"/>
      <c r="B7" s="102"/>
      <c r="C7" s="103">
        <v>241015000034</v>
      </c>
      <c r="D7" s="104">
        <v>45608</v>
      </c>
      <c r="E7" s="104" t="s">
        <v>96</v>
      </c>
      <c r="F7" s="102" t="s">
        <v>97</v>
      </c>
      <c r="G7" s="214" t="s">
        <v>98</v>
      </c>
      <c r="H7" s="214">
        <v>4.77</v>
      </c>
      <c r="I7" s="214">
        <v>451</v>
      </c>
      <c r="J7" s="216">
        <v>9789.95</v>
      </c>
      <c r="K7" s="217"/>
      <c r="L7" s="218"/>
      <c r="M7" s="219"/>
      <c r="N7" s="218"/>
      <c r="O7" s="220"/>
      <c r="P7" s="221">
        <v>9789.95</v>
      </c>
      <c r="Q7" s="228"/>
      <c r="R7" s="228"/>
      <c r="S7" s="229">
        <v>3733.08617647059</v>
      </c>
      <c r="T7" s="229"/>
      <c r="U7" s="229">
        <v>137.1375</v>
      </c>
      <c r="V7" s="229"/>
      <c r="W7" s="229"/>
      <c r="X7" s="229">
        <v>3870.22367647059</v>
      </c>
      <c r="Y7" s="231">
        <v>796.929511764706</v>
      </c>
      <c r="Z7" s="231"/>
      <c r="AA7" s="231">
        <v>3.75567352941176</v>
      </c>
      <c r="AB7" s="231">
        <v>800.685185294118</v>
      </c>
      <c r="AC7" s="217">
        <v>7.3</v>
      </c>
      <c r="AD7" s="229">
        <v>5845.00185264706</v>
      </c>
      <c r="AE7" s="229">
        <v>9715.22552911764</v>
      </c>
      <c r="AF7" s="229">
        <v>74.72447088236</v>
      </c>
    </row>
    <row r="8" s="178" customFormat="1" ht="12.75" spans="1:32">
      <c r="A8" s="101"/>
      <c r="B8" s="102"/>
      <c r="C8" s="103">
        <v>241104000057</v>
      </c>
      <c r="D8" s="104">
        <v>45608</v>
      </c>
      <c r="E8" s="104" t="s">
        <v>96</v>
      </c>
      <c r="F8" s="102" t="s">
        <v>97</v>
      </c>
      <c r="G8" s="214" t="s">
        <v>98</v>
      </c>
      <c r="H8" s="214">
        <v>2.3978</v>
      </c>
      <c r="I8" s="214">
        <v>447</v>
      </c>
      <c r="J8" s="216">
        <v>4925.76</v>
      </c>
      <c r="K8" s="217"/>
      <c r="L8" s="218"/>
      <c r="M8" s="219"/>
      <c r="N8" s="218"/>
      <c r="O8" s="220"/>
      <c r="P8" s="221">
        <v>4925.76</v>
      </c>
      <c r="Q8" s="228"/>
      <c r="R8" s="228"/>
      <c r="S8" s="229">
        <v>1876.56059411765</v>
      </c>
      <c r="T8" s="229"/>
      <c r="U8" s="229">
        <v>68.93675</v>
      </c>
      <c r="V8" s="229"/>
      <c r="W8" s="229"/>
      <c r="X8" s="229">
        <v>1945.49734411765</v>
      </c>
      <c r="Y8" s="231">
        <v>400.603266941176</v>
      </c>
      <c r="Z8" s="231"/>
      <c r="AA8" s="231">
        <v>1.88791488235294</v>
      </c>
      <c r="AB8" s="231">
        <v>402.491181823529</v>
      </c>
      <c r="AC8" s="217">
        <v>7.3</v>
      </c>
      <c r="AD8" s="229">
        <v>2938.18562731176</v>
      </c>
      <c r="AE8" s="229">
        <v>4883.68297142941</v>
      </c>
      <c r="AF8" s="229">
        <v>42.0770285705903</v>
      </c>
    </row>
    <row r="9" s="88" customFormat="1" ht="12.75" spans="1:32">
      <c r="A9" s="101"/>
      <c r="B9" s="102"/>
      <c r="C9" s="103">
        <v>241111000055</v>
      </c>
      <c r="D9" s="104">
        <v>45609</v>
      </c>
      <c r="E9" s="104" t="s">
        <v>96</v>
      </c>
      <c r="F9" s="102" t="s">
        <v>97</v>
      </c>
      <c r="G9" s="214" t="s">
        <v>98</v>
      </c>
      <c r="H9" s="214">
        <v>2.9026</v>
      </c>
      <c r="I9" s="214">
        <v>435</v>
      </c>
      <c r="J9" s="216">
        <v>5972.48</v>
      </c>
      <c r="K9" s="217"/>
      <c r="L9" s="218"/>
      <c r="M9" s="219"/>
      <c r="N9" s="218"/>
      <c r="O9" s="220"/>
      <c r="P9" s="221">
        <v>5972.48</v>
      </c>
      <c r="Q9" s="228"/>
      <c r="R9" s="228"/>
      <c r="S9" s="229">
        <v>1997.79982058824</v>
      </c>
      <c r="T9" s="229"/>
      <c r="U9" s="229">
        <v>76.8335294117647</v>
      </c>
      <c r="V9" s="229">
        <v>20</v>
      </c>
      <c r="W9" s="229"/>
      <c r="X9" s="229">
        <v>2094.63335</v>
      </c>
      <c r="Y9" s="231">
        <v>460.739515617647</v>
      </c>
      <c r="Z9" s="231"/>
      <c r="AA9" s="231">
        <v>4.05424923529412</v>
      </c>
      <c r="AB9" s="231">
        <v>464.793764852941</v>
      </c>
      <c r="AC9" s="217">
        <v>7.33</v>
      </c>
      <c r="AD9" s="229">
        <v>3406.93829637206</v>
      </c>
      <c r="AE9" s="229">
        <v>5501.57164637206</v>
      </c>
      <c r="AF9" s="229">
        <v>470.90835362794</v>
      </c>
    </row>
    <row r="10" s="88" customFormat="1" ht="12.75" spans="1:32">
      <c r="A10" s="101"/>
      <c r="B10" s="102"/>
      <c r="C10" s="103">
        <v>241111000056</v>
      </c>
      <c r="D10" s="104">
        <v>45609</v>
      </c>
      <c r="E10" s="104" t="s">
        <v>96</v>
      </c>
      <c r="F10" s="102" t="s">
        <v>97</v>
      </c>
      <c r="G10" s="214" t="s">
        <v>98</v>
      </c>
      <c r="H10" s="214">
        <v>2.4588</v>
      </c>
      <c r="I10" s="214">
        <v>346</v>
      </c>
      <c r="J10" s="216">
        <v>5048.9</v>
      </c>
      <c r="K10" s="217"/>
      <c r="L10" s="218"/>
      <c r="M10" s="219"/>
      <c r="N10" s="218"/>
      <c r="O10" s="220"/>
      <c r="P10" s="221">
        <v>5048.9</v>
      </c>
      <c r="Q10" s="228"/>
      <c r="R10" s="228"/>
      <c r="S10" s="229">
        <v>1692.34141764706</v>
      </c>
      <c r="T10" s="229"/>
      <c r="U10" s="229">
        <v>65.0858823529412</v>
      </c>
      <c r="V10" s="229"/>
      <c r="W10" s="229"/>
      <c r="X10" s="229">
        <v>1757.4273</v>
      </c>
      <c r="Y10" s="231">
        <v>390.293640529412</v>
      </c>
      <c r="Z10" s="231"/>
      <c r="AA10" s="231">
        <v>3.43436505882353</v>
      </c>
      <c r="AB10" s="231">
        <v>393.728005588235</v>
      </c>
      <c r="AC10" s="217">
        <v>7.33</v>
      </c>
      <c r="AD10" s="229">
        <v>2886.02628096176</v>
      </c>
      <c r="AE10" s="229">
        <v>4643.45358096176</v>
      </c>
      <c r="AF10" s="229">
        <v>405.44641903824</v>
      </c>
    </row>
    <row r="11" s="88" customFormat="1" ht="12.75" spans="1:32">
      <c r="A11" s="101"/>
      <c r="B11" s="102"/>
      <c r="C11" s="103">
        <v>241112000044</v>
      </c>
      <c r="D11" s="104">
        <v>45609</v>
      </c>
      <c r="E11" s="104" t="s">
        <v>96</v>
      </c>
      <c r="F11" s="102" t="s">
        <v>97</v>
      </c>
      <c r="G11" s="214" t="s">
        <v>98</v>
      </c>
      <c r="H11" s="214">
        <v>0.936</v>
      </c>
      <c r="I11" s="214">
        <v>422</v>
      </c>
      <c r="J11" s="216">
        <v>2195.26</v>
      </c>
      <c r="K11" s="217"/>
      <c r="L11" s="218"/>
      <c r="M11" s="219"/>
      <c r="N11" s="218"/>
      <c r="O11" s="220"/>
      <c r="P11" s="221">
        <v>2195.26</v>
      </c>
      <c r="Q11" s="228"/>
      <c r="R11" s="228"/>
      <c r="S11" s="229">
        <v>644.229529411765</v>
      </c>
      <c r="T11" s="229"/>
      <c r="U11" s="229">
        <v>24.7764705882353</v>
      </c>
      <c r="V11" s="229"/>
      <c r="W11" s="229">
        <v>266</v>
      </c>
      <c r="X11" s="229">
        <v>935.006</v>
      </c>
      <c r="Y11" s="231">
        <v>148.574445882353</v>
      </c>
      <c r="Z11" s="231">
        <v>17.33</v>
      </c>
      <c r="AA11" s="231">
        <v>1.30737176470588</v>
      </c>
      <c r="AB11" s="231">
        <v>167.211817647059</v>
      </c>
      <c r="AC11" s="217">
        <v>7.33</v>
      </c>
      <c r="AD11" s="229">
        <v>1225.66262335294</v>
      </c>
      <c r="AE11" s="229">
        <v>2160.66862335294</v>
      </c>
      <c r="AF11" s="229">
        <v>34.5913766470603</v>
      </c>
    </row>
    <row r="12" s="88" customFormat="1" ht="12.75" spans="1:32">
      <c r="A12" s="101"/>
      <c r="B12" s="102"/>
      <c r="C12" s="103">
        <v>241115000005</v>
      </c>
      <c r="D12" s="104">
        <v>45615</v>
      </c>
      <c r="E12" s="104" t="s">
        <v>96</v>
      </c>
      <c r="F12" s="102" t="s">
        <v>97</v>
      </c>
      <c r="G12" s="214" t="s">
        <v>98</v>
      </c>
      <c r="H12" s="214">
        <v>1.0641</v>
      </c>
      <c r="I12" s="214">
        <v>52</v>
      </c>
      <c r="J12" s="216">
        <v>2244.61</v>
      </c>
      <c r="K12" s="217"/>
      <c r="L12" s="218"/>
      <c r="M12" s="219"/>
      <c r="N12" s="218"/>
      <c r="O12" s="220"/>
      <c r="P12" s="221">
        <v>2244.61</v>
      </c>
      <c r="Q12" s="228"/>
      <c r="R12" s="228"/>
      <c r="S12" s="229">
        <v>744.690041911765</v>
      </c>
      <c r="T12" s="229"/>
      <c r="U12" s="229">
        <v>35.9916176470588</v>
      </c>
      <c r="V12" s="229"/>
      <c r="W12" s="229">
        <v>72.29</v>
      </c>
      <c r="X12" s="229">
        <v>852.971659558823</v>
      </c>
      <c r="Y12" s="231">
        <v>173.463948529412</v>
      </c>
      <c r="Z12" s="231"/>
      <c r="AA12" s="231">
        <v>1.17551752941176</v>
      </c>
      <c r="AB12" s="231">
        <v>174.639466058824</v>
      </c>
      <c r="AC12" s="217">
        <v>7.3</v>
      </c>
      <c r="AD12" s="229">
        <v>1274.86810222941</v>
      </c>
      <c r="AE12" s="229">
        <v>2127.83976178824</v>
      </c>
      <c r="AF12" s="229">
        <v>116.77023821176</v>
      </c>
    </row>
    <row r="13" s="88" customFormat="1" ht="12.75" spans="1:32">
      <c r="A13" s="101"/>
      <c r="B13" s="102"/>
      <c r="C13" s="103">
        <v>241119000012</v>
      </c>
      <c r="D13" s="104">
        <v>45623</v>
      </c>
      <c r="E13" s="104" t="s">
        <v>96</v>
      </c>
      <c r="F13" s="102" t="s">
        <v>97</v>
      </c>
      <c r="G13" s="214" t="s">
        <v>98</v>
      </c>
      <c r="H13" s="214">
        <v>0.9901</v>
      </c>
      <c r="I13" s="214">
        <v>222</v>
      </c>
      <c r="J13" s="216">
        <v>2046.8</v>
      </c>
      <c r="K13" s="217"/>
      <c r="L13" s="218"/>
      <c r="M13" s="219"/>
      <c r="N13" s="218"/>
      <c r="O13" s="220"/>
      <c r="P13" s="221">
        <v>2046.8</v>
      </c>
      <c r="Q13" s="228"/>
      <c r="R13" s="228"/>
      <c r="S13" s="229">
        <v>684.823777426471</v>
      </c>
      <c r="T13" s="229"/>
      <c r="U13" s="229">
        <v>27.6645588235294</v>
      </c>
      <c r="V13" s="229"/>
      <c r="W13" s="229"/>
      <c r="X13" s="229">
        <v>712.48833625</v>
      </c>
      <c r="Y13" s="231">
        <v>161.342619117647</v>
      </c>
      <c r="Z13" s="231"/>
      <c r="AA13" s="231">
        <v>0.779994955882353</v>
      </c>
      <c r="AB13" s="231">
        <v>162.122614073529</v>
      </c>
      <c r="AC13" s="217">
        <v>7.3</v>
      </c>
      <c r="AD13" s="229">
        <v>1183.49508273676</v>
      </c>
      <c r="AE13" s="229">
        <v>1895.98341898676</v>
      </c>
      <c r="AF13" s="229">
        <v>150.81658101324</v>
      </c>
    </row>
    <row r="14" s="88" customFormat="1" ht="12.75" spans="1:32">
      <c r="A14" s="101"/>
      <c r="B14" s="102"/>
      <c r="C14" s="103">
        <v>241124000008</v>
      </c>
      <c r="D14" s="104">
        <v>45623</v>
      </c>
      <c r="E14" s="104" t="s">
        <v>96</v>
      </c>
      <c r="F14" s="102" t="s">
        <v>97</v>
      </c>
      <c r="G14" s="214" t="s">
        <v>98</v>
      </c>
      <c r="H14" s="215">
        <v>3.0541</v>
      </c>
      <c r="I14" s="222">
        <v>317</v>
      </c>
      <c r="J14" s="216">
        <v>6242.74</v>
      </c>
      <c r="K14" s="217"/>
      <c r="L14" s="218"/>
      <c r="M14" s="219"/>
      <c r="N14" s="218"/>
      <c r="O14" s="220"/>
      <c r="P14" s="221">
        <v>6242.74</v>
      </c>
      <c r="Q14" s="228"/>
      <c r="R14" s="228"/>
      <c r="S14" s="229">
        <v>2112.43338919118</v>
      </c>
      <c r="T14" s="229"/>
      <c r="U14" s="229">
        <v>85.3351470588235</v>
      </c>
      <c r="V14" s="229"/>
      <c r="W14" s="230"/>
      <c r="X14" s="229">
        <v>2197.76853625</v>
      </c>
      <c r="Y14" s="231">
        <v>497.683560294118</v>
      </c>
      <c r="Z14" s="231"/>
      <c r="AA14" s="231">
        <v>2.40600201470588</v>
      </c>
      <c r="AB14" s="231">
        <v>500.089562308824</v>
      </c>
      <c r="AC14" s="217">
        <v>7.3</v>
      </c>
      <c r="AD14" s="229">
        <v>3650.65380485441</v>
      </c>
      <c r="AE14" s="229">
        <v>5848.42234110441</v>
      </c>
      <c r="AF14" s="229">
        <v>394.317658895589</v>
      </c>
    </row>
    <row r="15" s="88" customFormat="1" ht="12.75" spans="1:32">
      <c r="A15" s="101"/>
      <c r="B15" s="102"/>
      <c r="C15" s="103">
        <v>241125000035</v>
      </c>
      <c r="D15" s="104">
        <v>45623</v>
      </c>
      <c r="E15" s="104" t="s">
        <v>96</v>
      </c>
      <c r="F15" s="102" t="s">
        <v>97</v>
      </c>
      <c r="G15" s="214" t="s">
        <v>98</v>
      </c>
      <c r="H15" s="214">
        <v>1.1856</v>
      </c>
      <c r="I15" s="214">
        <v>142</v>
      </c>
      <c r="J15" s="216">
        <v>2595.69</v>
      </c>
      <c r="K15" s="217"/>
      <c r="L15" s="218"/>
      <c r="M15" s="219"/>
      <c r="N15" s="218"/>
      <c r="O15" s="220"/>
      <c r="P15" s="221">
        <v>2595.69</v>
      </c>
      <c r="Q15" s="228"/>
      <c r="R15" s="228"/>
      <c r="S15" s="229">
        <v>820.045521176471</v>
      </c>
      <c r="T15" s="229"/>
      <c r="U15" s="229">
        <v>33.1270588235294</v>
      </c>
      <c r="V15" s="229"/>
      <c r="W15" s="229">
        <v>157.53</v>
      </c>
      <c r="X15" s="229">
        <v>1010.70258</v>
      </c>
      <c r="Y15" s="231">
        <v>193.200494117647</v>
      </c>
      <c r="Z15" s="231"/>
      <c r="AA15" s="231">
        <v>0.934008705882353</v>
      </c>
      <c r="AB15" s="231">
        <v>194.134502823529</v>
      </c>
      <c r="AC15" s="217">
        <v>7.3</v>
      </c>
      <c r="AD15" s="229">
        <v>1417.18187061176</v>
      </c>
      <c r="AE15" s="229">
        <v>2427.88445061176</v>
      </c>
      <c r="AF15" s="229">
        <v>167.80554938824</v>
      </c>
    </row>
    <row r="16" s="88" customFormat="1" ht="12.75" spans="1:33">
      <c r="A16" s="101"/>
      <c r="B16" s="102"/>
      <c r="C16" s="103">
        <v>241126000027</v>
      </c>
      <c r="D16" s="104">
        <v>45623</v>
      </c>
      <c r="E16" s="104" t="s">
        <v>96</v>
      </c>
      <c r="F16" s="102" t="s">
        <v>97</v>
      </c>
      <c r="G16" s="214" t="s">
        <v>98</v>
      </c>
      <c r="H16" s="214">
        <v>0.4539</v>
      </c>
      <c r="I16" s="214">
        <v>85</v>
      </c>
      <c r="J16" s="216">
        <v>921.06</v>
      </c>
      <c r="K16" s="217"/>
      <c r="L16" s="218"/>
      <c r="M16" s="219"/>
      <c r="N16" s="218"/>
      <c r="O16" s="220"/>
      <c r="P16" s="221">
        <v>921.06</v>
      </c>
      <c r="Q16" s="228"/>
      <c r="R16" s="228"/>
      <c r="S16" s="229">
        <v>313.94961375</v>
      </c>
      <c r="T16" s="229"/>
      <c r="U16" s="229">
        <v>12.6825</v>
      </c>
      <c r="V16" s="229"/>
      <c r="W16" s="229"/>
      <c r="X16" s="229">
        <v>326.63211375</v>
      </c>
      <c r="Y16" s="231">
        <v>73.965675</v>
      </c>
      <c r="Z16" s="231"/>
      <c r="AA16" s="231">
        <v>0.35757975</v>
      </c>
      <c r="AB16" s="231">
        <v>74.32325475</v>
      </c>
      <c r="AC16" s="217">
        <v>7.3</v>
      </c>
      <c r="AD16" s="229">
        <v>542.559759675</v>
      </c>
      <c r="AE16" s="229">
        <v>869.191873425</v>
      </c>
      <c r="AF16" s="229">
        <v>51.8681265749999</v>
      </c>
      <c r="AG16" s="88">
        <f>SUM(AF5:AF16)</f>
        <v>2091.6182937412</v>
      </c>
    </row>
    <row r="17" s="88" customFormat="1" ht="12.75" spans="1:33">
      <c r="A17" s="101"/>
      <c r="B17" s="102"/>
      <c r="C17" s="103">
        <v>241027000011</v>
      </c>
      <c r="D17" s="104">
        <v>45601</v>
      </c>
      <c r="E17" s="104" t="s">
        <v>96</v>
      </c>
      <c r="F17" s="102" t="s">
        <v>97</v>
      </c>
      <c r="G17" s="102" t="s">
        <v>99</v>
      </c>
      <c r="H17" s="102">
        <v>0.5618</v>
      </c>
      <c r="I17" s="102">
        <v>55</v>
      </c>
      <c r="J17" s="124"/>
      <c r="K17" s="129">
        <v>434000</v>
      </c>
      <c r="L17" s="130"/>
      <c r="M17" s="127">
        <v>1671.80277349769</v>
      </c>
      <c r="N17" s="126">
        <v>259.6</v>
      </c>
      <c r="O17" s="128">
        <v>7.3</v>
      </c>
      <c r="P17" s="124">
        <v>1895.08</v>
      </c>
      <c r="Q17" s="159"/>
      <c r="R17" s="159"/>
      <c r="S17" s="160">
        <v>406.598619117647</v>
      </c>
      <c r="T17" s="160">
        <v>0.938866941176471</v>
      </c>
      <c r="U17" s="160">
        <v>19.8282352941176</v>
      </c>
      <c r="V17" s="160">
        <v>310</v>
      </c>
      <c r="W17" s="160">
        <v>59</v>
      </c>
      <c r="X17" s="160">
        <v>796.365721352941</v>
      </c>
      <c r="Y17" s="174">
        <v>90.4640102352941</v>
      </c>
      <c r="Z17" s="174"/>
      <c r="AA17" s="174"/>
      <c r="AB17" s="174">
        <v>90.4640102352941</v>
      </c>
      <c r="AC17" s="125">
        <v>7.33</v>
      </c>
      <c r="AD17" s="160">
        <v>663.101195024706</v>
      </c>
      <c r="AE17" s="160">
        <v>1459.46691637765</v>
      </c>
      <c r="AF17" s="160">
        <v>435.613083622353</v>
      </c>
      <c r="AG17" s="88">
        <f>SUM(AG16/2)</f>
        <v>1045.8091468706</v>
      </c>
    </row>
    <row r="18" s="88" customFormat="1" ht="12.75" spans="1:32">
      <c r="A18" s="101"/>
      <c r="B18" s="102"/>
      <c r="C18" s="103">
        <v>241105000034</v>
      </c>
      <c r="D18" s="104">
        <v>45602</v>
      </c>
      <c r="E18" s="104" t="s">
        <v>96</v>
      </c>
      <c r="F18" s="102" t="s">
        <v>97</v>
      </c>
      <c r="G18" s="102" t="s">
        <v>100</v>
      </c>
      <c r="H18" s="102">
        <v>0.7455</v>
      </c>
      <c r="I18" s="102">
        <v>854</v>
      </c>
      <c r="J18" s="124"/>
      <c r="K18" s="223">
        <v>641427.2</v>
      </c>
      <c r="L18" s="130"/>
      <c r="M18" s="127">
        <v>1643</v>
      </c>
      <c r="N18" s="126">
        <v>390.4</v>
      </c>
      <c r="O18" s="128">
        <v>7.3</v>
      </c>
      <c r="P18" s="124">
        <v>2849.92</v>
      </c>
      <c r="Q18" s="159"/>
      <c r="R18" s="159"/>
      <c r="S18" s="160">
        <v>534.879805147059</v>
      </c>
      <c r="T18" s="160"/>
      <c r="U18" s="160">
        <v>19.7338235294118</v>
      </c>
      <c r="V18" s="160"/>
      <c r="W18" s="160"/>
      <c r="X18" s="160">
        <v>554.613628676471</v>
      </c>
      <c r="Y18" s="174">
        <v>117.4870725</v>
      </c>
      <c r="Z18" s="174">
        <v>29.21</v>
      </c>
      <c r="AA18" s="174">
        <v>0.555178235294118</v>
      </c>
      <c r="AB18" s="174">
        <v>147.252250735294</v>
      </c>
      <c r="AC18" s="125">
        <v>7.33</v>
      </c>
      <c r="AD18" s="160">
        <v>1079.35899788971</v>
      </c>
      <c r="AE18" s="160">
        <v>1633.97262656618</v>
      </c>
      <c r="AF18" s="160">
        <v>1215.94737343382</v>
      </c>
    </row>
    <row r="19" s="178" customFormat="1" ht="12.75" spans="1:32">
      <c r="A19" s="101"/>
      <c r="B19" s="102"/>
      <c r="C19" s="103">
        <v>241106000015</v>
      </c>
      <c r="D19" s="104">
        <v>45608</v>
      </c>
      <c r="E19" s="104" t="s">
        <v>96</v>
      </c>
      <c r="F19" s="102" t="s">
        <v>97</v>
      </c>
      <c r="G19" s="102" t="s">
        <v>101</v>
      </c>
      <c r="H19" s="102">
        <v>0.2358</v>
      </c>
      <c r="I19" s="102">
        <v>43</v>
      </c>
      <c r="J19" s="124"/>
      <c r="K19" s="129">
        <v>132422.4</v>
      </c>
      <c r="L19" s="130"/>
      <c r="M19" s="127">
        <v>1672</v>
      </c>
      <c r="N19" s="126">
        <v>79.2</v>
      </c>
      <c r="O19" s="128">
        <v>7.3</v>
      </c>
      <c r="P19" s="124">
        <v>578.16</v>
      </c>
      <c r="Q19" s="159"/>
      <c r="R19" s="159"/>
      <c r="S19" s="160">
        <v>184.541241176471</v>
      </c>
      <c r="T19" s="160"/>
      <c r="U19" s="160">
        <v>6.77925</v>
      </c>
      <c r="V19" s="160"/>
      <c r="W19" s="160"/>
      <c r="X19" s="160">
        <v>191.320491176471</v>
      </c>
      <c r="Y19" s="174">
        <v>39.3953834117647</v>
      </c>
      <c r="Z19" s="174"/>
      <c r="AA19" s="174">
        <v>0.185657823529412</v>
      </c>
      <c r="AB19" s="174">
        <v>39.5810412352941</v>
      </c>
      <c r="AC19" s="125">
        <v>7.3</v>
      </c>
      <c r="AD19" s="160">
        <v>288.941601017647</v>
      </c>
      <c r="AE19" s="160">
        <v>480.262092194118</v>
      </c>
      <c r="AF19" s="160">
        <v>97.8979078058824</v>
      </c>
    </row>
    <row r="20" s="178" customFormat="1" ht="12.75" spans="1:32">
      <c r="A20" s="101"/>
      <c r="B20" s="102"/>
      <c r="C20" s="103">
        <v>241107000010</v>
      </c>
      <c r="D20" s="104">
        <v>45608</v>
      </c>
      <c r="E20" s="104" t="s">
        <v>96</v>
      </c>
      <c r="F20" s="102" t="s">
        <v>97</v>
      </c>
      <c r="G20" s="102" t="s">
        <v>100</v>
      </c>
      <c r="H20" s="102">
        <v>0.616</v>
      </c>
      <c r="I20" s="102">
        <v>188</v>
      </c>
      <c r="J20" s="124"/>
      <c r="K20" s="129">
        <v>331724.8</v>
      </c>
      <c r="L20" s="130"/>
      <c r="M20" s="127">
        <v>1672</v>
      </c>
      <c r="N20" s="126">
        <v>198.4</v>
      </c>
      <c r="O20" s="128">
        <v>7.3</v>
      </c>
      <c r="P20" s="124">
        <v>1448.32</v>
      </c>
      <c r="Q20" s="159"/>
      <c r="R20" s="159"/>
      <c r="S20" s="160">
        <v>482.092470588235</v>
      </c>
      <c r="T20" s="160"/>
      <c r="U20" s="160">
        <v>17.71</v>
      </c>
      <c r="V20" s="160"/>
      <c r="W20" s="160"/>
      <c r="X20" s="160">
        <v>499.802470588235</v>
      </c>
      <c r="Y20" s="174">
        <v>102.915844705882</v>
      </c>
      <c r="Z20" s="174">
        <v>3.11</v>
      </c>
      <c r="AA20" s="174">
        <v>0.485009411764706</v>
      </c>
      <c r="AB20" s="174">
        <v>106.510854117647</v>
      </c>
      <c r="AC20" s="125">
        <v>7.3</v>
      </c>
      <c r="AD20" s="160">
        <v>777.529235058823</v>
      </c>
      <c r="AE20" s="160">
        <v>1277.33170564706</v>
      </c>
      <c r="AF20" s="160">
        <v>170.988294352941</v>
      </c>
    </row>
    <row r="21" s="178" customFormat="1" ht="12.75" spans="1:32">
      <c r="A21" s="101"/>
      <c r="B21" s="102"/>
      <c r="C21" s="103">
        <v>241107000011</v>
      </c>
      <c r="D21" s="104">
        <v>45608</v>
      </c>
      <c r="E21" s="104" t="s">
        <v>96</v>
      </c>
      <c r="F21" s="102" t="s">
        <v>97</v>
      </c>
      <c r="G21" s="102" t="s">
        <v>100</v>
      </c>
      <c r="H21" s="102">
        <v>2.028</v>
      </c>
      <c r="I21" s="102">
        <v>358</v>
      </c>
      <c r="J21" s="124"/>
      <c r="K21" s="129">
        <v>1086131.2</v>
      </c>
      <c r="L21" s="130"/>
      <c r="M21" s="127">
        <v>1672</v>
      </c>
      <c r="N21" s="126">
        <v>649.6</v>
      </c>
      <c r="O21" s="128">
        <v>7.3</v>
      </c>
      <c r="P21" s="124">
        <v>4742.08</v>
      </c>
      <c r="Q21" s="159"/>
      <c r="R21" s="159"/>
      <c r="S21" s="160">
        <v>1587.14858823529</v>
      </c>
      <c r="T21" s="160"/>
      <c r="U21" s="160">
        <v>58.305</v>
      </c>
      <c r="V21" s="160"/>
      <c r="W21" s="160"/>
      <c r="X21" s="160">
        <v>1645.45358823529</v>
      </c>
      <c r="Y21" s="174">
        <v>338.820345882353</v>
      </c>
      <c r="Z21" s="174">
        <v>10.18</v>
      </c>
      <c r="AA21" s="174">
        <v>1.59675176470588</v>
      </c>
      <c r="AB21" s="174">
        <v>350.597097647059</v>
      </c>
      <c r="AC21" s="125">
        <v>7.3</v>
      </c>
      <c r="AD21" s="160">
        <v>2559.35881282353</v>
      </c>
      <c r="AE21" s="160">
        <v>4204.81240105882</v>
      </c>
      <c r="AF21" s="160">
        <v>537.267598941176</v>
      </c>
    </row>
    <row r="22" s="178" customFormat="1" ht="12.75" spans="1:32">
      <c r="A22" s="101"/>
      <c r="B22" s="102"/>
      <c r="C22" s="103">
        <v>241107000012</v>
      </c>
      <c r="D22" s="104">
        <v>45608</v>
      </c>
      <c r="E22" s="104" t="s">
        <v>96</v>
      </c>
      <c r="F22" s="102" t="s">
        <v>97</v>
      </c>
      <c r="G22" s="102" t="s">
        <v>100</v>
      </c>
      <c r="H22" s="102">
        <v>7.8483</v>
      </c>
      <c r="I22" s="102">
        <v>1598</v>
      </c>
      <c r="J22" s="124"/>
      <c r="K22" s="129">
        <v>4200064</v>
      </c>
      <c r="L22" s="130"/>
      <c r="M22" s="127">
        <v>1672</v>
      </c>
      <c r="N22" s="126">
        <v>2512</v>
      </c>
      <c r="O22" s="128">
        <v>7.3</v>
      </c>
      <c r="P22" s="124">
        <v>18337.6</v>
      </c>
      <c r="Q22" s="159"/>
      <c r="R22" s="159"/>
      <c r="S22" s="160">
        <v>6142.21807941176</v>
      </c>
      <c r="T22" s="160"/>
      <c r="U22" s="160">
        <v>225.638625</v>
      </c>
      <c r="V22" s="160"/>
      <c r="W22" s="160"/>
      <c r="X22" s="160">
        <v>6367.85670441176</v>
      </c>
      <c r="Y22" s="174">
        <v>1311.22471429412</v>
      </c>
      <c r="Z22" s="174">
        <v>39.27</v>
      </c>
      <c r="AA22" s="174">
        <v>6.17938208823529</v>
      </c>
      <c r="AB22" s="174">
        <v>1356.67409638235</v>
      </c>
      <c r="AC22" s="125">
        <v>7.3</v>
      </c>
      <c r="AD22" s="160">
        <v>9903.72090359118</v>
      </c>
      <c r="AE22" s="160">
        <v>16271.5776080029</v>
      </c>
      <c r="AF22" s="160">
        <v>2066.02239199706</v>
      </c>
    </row>
    <row r="23" s="178" customFormat="1" ht="12.75" spans="1:32">
      <c r="A23" s="101"/>
      <c r="B23" s="102"/>
      <c r="C23" s="103">
        <v>241109000008</v>
      </c>
      <c r="D23" s="104">
        <v>45608</v>
      </c>
      <c r="E23" s="104" t="s">
        <v>96</v>
      </c>
      <c r="F23" s="102" t="s">
        <v>97</v>
      </c>
      <c r="G23" s="102" t="s">
        <v>101</v>
      </c>
      <c r="H23" s="102">
        <v>1.344</v>
      </c>
      <c r="I23" s="102">
        <v>254</v>
      </c>
      <c r="J23" s="124"/>
      <c r="K23" s="129">
        <v>696622.08</v>
      </c>
      <c r="L23" s="130"/>
      <c r="M23" s="127">
        <v>1672</v>
      </c>
      <c r="N23" s="126">
        <v>416.64</v>
      </c>
      <c r="O23" s="128">
        <v>7.3</v>
      </c>
      <c r="P23" s="124">
        <v>3041.472</v>
      </c>
      <c r="Q23" s="159"/>
      <c r="R23" s="159"/>
      <c r="S23" s="160">
        <v>1051.83811764706</v>
      </c>
      <c r="T23" s="160"/>
      <c r="U23" s="160">
        <v>38.64</v>
      </c>
      <c r="V23" s="160"/>
      <c r="W23" s="160"/>
      <c r="X23" s="160">
        <v>1090.47811764706</v>
      </c>
      <c r="Y23" s="174">
        <v>224.543661176471</v>
      </c>
      <c r="Z23" s="174"/>
      <c r="AA23" s="174">
        <v>1.05820235294118</v>
      </c>
      <c r="AB23" s="174">
        <v>225.601863529412</v>
      </c>
      <c r="AC23" s="125">
        <v>7.3</v>
      </c>
      <c r="AD23" s="160">
        <v>1646.89360376471</v>
      </c>
      <c r="AE23" s="160">
        <v>2737.37172141177</v>
      </c>
      <c r="AF23" s="160">
        <v>304.100278588235</v>
      </c>
    </row>
    <row r="24" s="88" customFormat="1" ht="12.75" spans="1:32">
      <c r="A24" s="101"/>
      <c r="B24" s="102"/>
      <c r="C24" s="103">
        <v>241111000011</v>
      </c>
      <c r="D24" s="104">
        <v>45609</v>
      </c>
      <c r="E24" s="104" t="s">
        <v>96</v>
      </c>
      <c r="F24" s="102" t="s">
        <v>97</v>
      </c>
      <c r="G24" s="102" t="s">
        <v>102</v>
      </c>
      <c r="H24" s="102">
        <v>0.1421</v>
      </c>
      <c r="I24" s="102">
        <v>36</v>
      </c>
      <c r="J24" s="124"/>
      <c r="K24" s="129">
        <v>93936</v>
      </c>
      <c r="L24" s="130"/>
      <c r="M24" s="127">
        <v>1651.18650026367</v>
      </c>
      <c r="N24" s="126">
        <v>56.89</v>
      </c>
      <c r="O24" s="128">
        <v>7.3</v>
      </c>
      <c r="P24" s="124">
        <v>415.297</v>
      </c>
      <c r="Q24" s="159"/>
      <c r="R24" s="159"/>
      <c r="S24" s="160">
        <v>97.8045044117647</v>
      </c>
      <c r="T24" s="160"/>
      <c r="U24" s="160">
        <v>3.76147058823529</v>
      </c>
      <c r="V24" s="160"/>
      <c r="W24" s="160"/>
      <c r="X24" s="160">
        <v>101.565975</v>
      </c>
      <c r="Y24" s="174">
        <v>22.5560136323529</v>
      </c>
      <c r="Z24" s="174">
        <v>10</v>
      </c>
      <c r="AA24" s="174">
        <v>0.198480264705882</v>
      </c>
      <c r="AB24" s="174">
        <v>32.7544938970588</v>
      </c>
      <c r="AC24" s="125">
        <v>7.33</v>
      </c>
      <c r="AD24" s="160">
        <v>240.090440265441</v>
      </c>
      <c r="AE24" s="160">
        <v>341.656415265441</v>
      </c>
      <c r="AF24" s="160">
        <v>73.6405847345588</v>
      </c>
    </row>
    <row r="25" s="88" customFormat="1" ht="12.75" spans="1:32">
      <c r="A25" s="101"/>
      <c r="B25" s="102"/>
      <c r="C25" s="103">
        <v>241111000012</v>
      </c>
      <c r="D25" s="104">
        <v>45609</v>
      </c>
      <c r="E25" s="104" t="s">
        <v>96</v>
      </c>
      <c r="F25" s="102" t="s">
        <v>97</v>
      </c>
      <c r="G25" s="102" t="s">
        <v>102</v>
      </c>
      <c r="H25" s="102">
        <v>0.2386</v>
      </c>
      <c r="I25" s="102">
        <v>52</v>
      </c>
      <c r="J25" s="124"/>
      <c r="K25" s="129">
        <v>148176</v>
      </c>
      <c r="L25" s="130"/>
      <c r="M25" s="127">
        <v>1651.17004680187</v>
      </c>
      <c r="N25" s="126">
        <v>89.74</v>
      </c>
      <c r="O25" s="128">
        <v>7.3</v>
      </c>
      <c r="P25" s="124">
        <v>655.102</v>
      </c>
      <c r="Q25" s="159"/>
      <c r="R25" s="159"/>
      <c r="S25" s="160">
        <v>164.223467647059</v>
      </c>
      <c r="T25" s="160"/>
      <c r="U25" s="160">
        <v>6.31588235294118</v>
      </c>
      <c r="V25" s="160"/>
      <c r="W25" s="160"/>
      <c r="X25" s="160">
        <v>170.53935</v>
      </c>
      <c r="Y25" s="174">
        <v>37.8737850294118</v>
      </c>
      <c r="Z25" s="174">
        <v>11.3</v>
      </c>
      <c r="AA25" s="174">
        <v>0.333268058823529</v>
      </c>
      <c r="AB25" s="174">
        <v>49.5070530882353</v>
      </c>
      <c r="AC25" s="125">
        <v>7.33</v>
      </c>
      <c r="AD25" s="160">
        <v>362.886699136765</v>
      </c>
      <c r="AE25" s="160">
        <v>533.426049136765</v>
      </c>
      <c r="AF25" s="160">
        <v>121.675950863235</v>
      </c>
    </row>
    <row r="26" s="88" customFormat="1" ht="12.75" spans="1:32">
      <c r="A26" s="101"/>
      <c r="B26" s="102"/>
      <c r="C26" s="103">
        <v>241112000045</v>
      </c>
      <c r="D26" s="104">
        <v>45615</v>
      </c>
      <c r="E26" s="104" t="s">
        <v>96</v>
      </c>
      <c r="F26" s="102" t="s">
        <v>97</v>
      </c>
      <c r="G26" s="102" t="s">
        <v>103</v>
      </c>
      <c r="H26" s="102">
        <v>0.8383</v>
      </c>
      <c r="I26" s="102">
        <v>181</v>
      </c>
      <c r="J26" s="179">
        <v>3448</v>
      </c>
      <c r="K26" s="125"/>
      <c r="L26" s="130"/>
      <c r="M26" s="127"/>
      <c r="N26" s="130"/>
      <c r="O26" s="128"/>
      <c r="P26" s="124">
        <v>3448</v>
      </c>
      <c r="Q26" s="159"/>
      <c r="R26" s="159"/>
      <c r="S26" s="160">
        <v>586.668228676471</v>
      </c>
      <c r="T26" s="160"/>
      <c r="U26" s="160">
        <v>28.3542647058824</v>
      </c>
      <c r="V26" s="160"/>
      <c r="W26" s="160"/>
      <c r="X26" s="160">
        <v>615.022493382353</v>
      </c>
      <c r="Y26" s="174">
        <v>136.655227941176</v>
      </c>
      <c r="Z26" s="174">
        <v>95.12</v>
      </c>
      <c r="AA26" s="174">
        <v>0.926074941176471</v>
      </c>
      <c r="AB26" s="174">
        <v>232.701302882353</v>
      </c>
      <c r="AC26" s="125">
        <v>7.3</v>
      </c>
      <c r="AD26" s="160">
        <v>1698.71951104118</v>
      </c>
      <c r="AE26" s="160">
        <v>2313.74200442353</v>
      </c>
      <c r="AF26" s="160">
        <v>1134.25799557647</v>
      </c>
    </row>
    <row r="27" s="88" customFormat="1" ht="12.75" spans="1:32">
      <c r="A27" s="101"/>
      <c r="B27" s="102"/>
      <c r="C27" s="103">
        <v>241113000029</v>
      </c>
      <c r="D27" s="104">
        <v>45615</v>
      </c>
      <c r="E27" s="104" t="s">
        <v>96</v>
      </c>
      <c r="F27" s="102" t="s">
        <v>97</v>
      </c>
      <c r="G27" s="102" t="s">
        <v>104</v>
      </c>
      <c r="H27" s="102">
        <v>1.7575</v>
      </c>
      <c r="I27" s="102">
        <v>1244.5</v>
      </c>
      <c r="J27" s="124"/>
      <c r="K27" s="129">
        <v>1064044.8</v>
      </c>
      <c r="L27" s="130"/>
      <c r="M27" s="127">
        <v>1680.00037135287</v>
      </c>
      <c r="N27" s="126">
        <v>633.35986</v>
      </c>
      <c r="O27" s="128">
        <v>7.27</v>
      </c>
      <c r="P27" s="124">
        <v>4604.5261822</v>
      </c>
      <c r="Q27" s="159"/>
      <c r="R27" s="159"/>
      <c r="S27" s="160">
        <v>1229.95277573529</v>
      </c>
      <c r="T27" s="160">
        <v>735</v>
      </c>
      <c r="U27" s="160">
        <v>59.4448529411765</v>
      </c>
      <c r="V27" s="160"/>
      <c r="W27" s="160"/>
      <c r="X27" s="160">
        <v>2024.39762867647</v>
      </c>
      <c r="Y27" s="174">
        <v>286.498345588235</v>
      </c>
      <c r="Z27" s="174"/>
      <c r="AA27" s="174">
        <v>1.94152058823529</v>
      </c>
      <c r="AB27" s="174">
        <v>288.439866176471</v>
      </c>
      <c r="AC27" s="125">
        <v>7.3</v>
      </c>
      <c r="AD27" s="160">
        <v>2105.61102308824</v>
      </c>
      <c r="AE27" s="160">
        <v>4130.00865176471</v>
      </c>
      <c r="AF27" s="160">
        <v>474.517530435294</v>
      </c>
    </row>
    <row r="28" s="194" customFormat="1" ht="19" customHeight="1" spans="1:32">
      <c r="A28" s="101" t="s">
        <v>105</v>
      </c>
      <c r="B28" s="196"/>
      <c r="C28" s="197"/>
      <c r="D28" s="198"/>
      <c r="E28" s="199"/>
      <c r="F28" s="196"/>
      <c r="G28" s="196"/>
      <c r="H28" s="196">
        <f>SUM(H5:H16)</f>
        <v>21.9695</v>
      </c>
      <c r="I28" s="204"/>
      <c r="J28" s="204"/>
      <c r="K28" s="204"/>
      <c r="L28" s="204"/>
      <c r="M28" s="205"/>
      <c r="N28" s="205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210"/>
      <c r="AC28" s="210"/>
      <c r="AD28" s="210"/>
      <c r="AE28" s="210"/>
      <c r="AF28" s="210">
        <f>SUM(AF5:AF27)</f>
        <v>8723.54728409222</v>
      </c>
    </row>
    <row r="29" s="195" customFormat="1" ht="20" customHeight="1" spans="1:32">
      <c r="A29" s="200"/>
      <c r="B29" s="200"/>
      <c r="D29" s="201"/>
      <c r="H29" s="202"/>
      <c r="I29" s="206"/>
      <c r="J29" s="207"/>
      <c r="K29" s="202"/>
      <c r="L29" s="202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AF29" s="195">
        <v>1045.81</v>
      </c>
    </row>
    <row r="30" s="1" customFormat="1" ht="23" customHeight="1" spans="3:32">
      <c r="C30" s="74" t="s">
        <v>72</v>
      </c>
      <c r="D30" s="74"/>
      <c r="E30" s="74"/>
      <c r="F30" s="109" t="s">
        <v>73</v>
      </c>
      <c r="G30" s="110"/>
      <c r="H30" s="110"/>
      <c r="I30" s="131"/>
      <c r="J30"/>
      <c r="K30" s="136" t="s">
        <v>106</v>
      </c>
      <c r="L30" s="136"/>
      <c r="M30" s="136"/>
      <c r="N30" s="136"/>
      <c r="O30"/>
      <c r="P30"/>
      <c r="AF30" s="232">
        <f>SUM(AF28-AF29)</f>
        <v>7677.73728409223</v>
      </c>
    </row>
    <row r="31" s="1" customFormat="1" ht="23" customHeight="1" spans="3:16">
      <c r="C31" s="74"/>
      <c r="D31" s="74"/>
      <c r="E31" s="74"/>
      <c r="F31" s="111"/>
      <c r="G31" s="112"/>
      <c r="H31" s="112"/>
      <c r="I31" s="135"/>
      <c r="J31"/>
      <c r="K31" s="224" t="s">
        <v>75</v>
      </c>
      <c r="L31" s="224" t="s">
        <v>8</v>
      </c>
      <c r="M31" s="224" t="s">
        <v>76</v>
      </c>
      <c r="N31" s="224" t="s">
        <v>94</v>
      </c>
      <c r="O31"/>
      <c r="P31"/>
    </row>
    <row r="32" s="1" customFormat="1" ht="23" customHeight="1" spans="3:16">
      <c r="C32" s="74" t="s">
        <v>77</v>
      </c>
      <c r="D32" s="74"/>
      <c r="E32" s="74"/>
      <c r="F32" s="80" t="s">
        <v>78</v>
      </c>
      <c r="G32" s="81"/>
      <c r="H32" s="81"/>
      <c r="I32" s="82"/>
      <c r="J32"/>
      <c r="K32" s="136" t="s">
        <v>79</v>
      </c>
      <c r="L32" s="137">
        <f>SUM(H28)</f>
        <v>21.9695</v>
      </c>
      <c r="M32" s="138">
        <v>7677.73728409223</v>
      </c>
      <c r="N32" s="225" t="s">
        <v>107</v>
      </c>
      <c r="O32"/>
      <c r="P32"/>
    </row>
    <row r="33" s="1" customFormat="1" ht="23" customHeight="1" spans="3:16">
      <c r="C33" s="74"/>
      <c r="D33" s="74"/>
      <c r="E33" s="74"/>
      <c r="F33" s="83"/>
      <c r="G33" s="84"/>
      <c r="H33" s="84"/>
      <c r="I33" s="85"/>
      <c r="J33"/>
      <c r="K33" s="139" t="s">
        <v>80</v>
      </c>
      <c r="L33" s="139"/>
      <c r="M33" s="140">
        <v>3000</v>
      </c>
      <c r="N33" s="226"/>
      <c r="O33"/>
      <c r="P33"/>
    </row>
    <row r="34" s="1" customFormat="1" ht="23" customHeight="1" spans="3:16">
      <c r="C34" s="74" t="s">
        <v>81</v>
      </c>
      <c r="D34" s="74"/>
      <c r="E34" s="74"/>
      <c r="F34" s="80" t="s">
        <v>82</v>
      </c>
      <c r="G34" s="81"/>
      <c r="H34" s="81"/>
      <c r="I34" s="82"/>
      <c r="J34"/>
      <c r="K34" s="141" t="s">
        <v>83</v>
      </c>
      <c r="L34" s="141"/>
      <c r="M34" s="142">
        <f>SUM(M32-M33)</f>
        <v>4677.73728409223</v>
      </c>
      <c r="N34" s="226"/>
      <c r="O34"/>
      <c r="P34"/>
    </row>
    <row r="35" s="1" customFormat="1" ht="23" customHeight="1" spans="3:16">
      <c r="C35" s="74"/>
      <c r="D35" s="74"/>
      <c r="E35" s="74"/>
      <c r="F35" s="83"/>
      <c r="G35" s="84"/>
      <c r="H35" s="84"/>
      <c r="I35" s="85"/>
      <c r="J35"/>
      <c r="K35" s="136" t="s">
        <v>84</v>
      </c>
      <c r="L35" s="136"/>
      <c r="M35" s="136">
        <v>0.15</v>
      </c>
      <c r="N35" s="226"/>
      <c r="O35"/>
      <c r="P35"/>
    </row>
    <row r="36" s="1" customFormat="1" ht="23" customHeight="1" spans="5:16">
      <c r="E36"/>
      <c r="F36"/>
      <c r="G36"/>
      <c r="H36"/>
      <c r="I36"/>
      <c r="J36"/>
      <c r="K36" s="139" t="s">
        <v>85</v>
      </c>
      <c r="L36" s="139"/>
      <c r="M36" s="140">
        <f>SUM(M34*M35)</f>
        <v>701.660592613834</v>
      </c>
      <c r="N36" s="227"/>
      <c r="O36"/>
      <c r="P36"/>
    </row>
    <row r="37" s="1" customFormat="1" ht="23" customHeight="1" spans="5:16">
      <c r="E37"/>
      <c r="F37"/>
      <c r="G37"/>
      <c r="H37"/>
      <c r="I37"/>
      <c r="J37"/>
      <c r="K37" s="203"/>
      <c r="L37" s="203"/>
      <c r="M37" s="203"/>
      <c r="N37" s="203"/>
      <c r="O37"/>
      <c r="P37"/>
    </row>
    <row r="38" s="1" customFormat="1" ht="23" customHeight="1" spans="5:13">
      <c r="E38"/>
      <c r="F38"/>
      <c r="G38"/>
      <c r="H38"/>
      <c r="I38"/>
      <c r="J38"/>
      <c r="K38"/>
      <c r="L38"/>
      <c r="M38"/>
    </row>
    <row r="39" s="1" customFormat="1" ht="23" customHeight="1" spans="5:13">
      <c r="E39"/>
      <c r="F39"/>
      <c r="G39"/>
      <c r="H39"/>
      <c r="I39"/>
      <c r="J39"/>
      <c r="K39"/>
      <c r="L39"/>
      <c r="M39"/>
    </row>
    <row r="40" s="1" customFormat="1" ht="23" customHeight="1" spans="5:19">
      <c r="E40"/>
      <c r="F40"/>
      <c r="G40"/>
      <c r="H40"/>
      <c r="I40"/>
      <c r="J40"/>
      <c r="K40"/>
      <c r="L40"/>
      <c r="M40"/>
      <c r="O40"/>
      <c r="P40"/>
      <c r="Q40"/>
      <c r="R40"/>
      <c r="S40" s="35"/>
    </row>
    <row r="41" s="1" customFormat="1" ht="23" customHeight="1" spans="5:19">
      <c r="E41" s="203"/>
      <c r="F41" s="203"/>
      <c r="G41" s="203"/>
      <c r="H41" s="203"/>
      <c r="I41" s="203"/>
      <c r="J41" s="203"/>
      <c r="K41" s="203"/>
      <c r="L41" s="203"/>
      <c r="N41" s="203"/>
      <c r="O41" s="203"/>
      <c r="P41" s="203"/>
      <c r="Q41" s="203"/>
      <c r="S41" s="35"/>
    </row>
    <row r="42" ht="25" customHeight="1"/>
  </sheetData>
  <mergeCells count="24">
    <mergeCell ref="J3:P3"/>
    <mergeCell ref="R3:V3"/>
    <mergeCell ref="Y3:AD3"/>
    <mergeCell ref="K30:N30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N32:N36"/>
    <mergeCell ref="Q3:Q4"/>
    <mergeCell ref="W3:W4"/>
    <mergeCell ref="X3:X4"/>
    <mergeCell ref="AF3:AF4"/>
    <mergeCell ref="C30:E31"/>
    <mergeCell ref="F30:I31"/>
    <mergeCell ref="C32:E33"/>
    <mergeCell ref="F32:I33"/>
    <mergeCell ref="C34:E35"/>
    <mergeCell ref="F34:I35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workbookViewId="0">
      <pane xSplit="14" ySplit="3" topLeftCell="AC4" activePane="bottomRight" state="frozen"/>
      <selection/>
      <selection pane="topRight"/>
      <selection pane="bottomLeft"/>
      <selection pane="bottomRight" activeCell="M27" sqref="M27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2"/>
    <col min="10" max="10" width="11.25"/>
    <col min="11" max="11" width="10"/>
    <col min="12" max="13" width="13.625"/>
    <col min="14" max="14" width="11.375"/>
    <col min="15" max="16" width="14.75"/>
    <col min="17" max="17" width="10.125"/>
    <col min="18" max="18" width="12.5" customWidth="1"/>
    <col min="19" max="19" width="10.125"/>
    <col min="20" max="20" width="13.625"/>
    <col min="21" max="21" width="11.25"/>
    <col min="22" max="22" width="12.5"/>
    <col min="23" max="23" width="10.125"/>
    <col min="24" max="24" width="13.625"/>
    <col min="25" max="25" width="12.5"/>
    <col min="26" max="26" width="10.125"/>
    <col min="27" max="27" width="13.625"/>
    <col min="28" max="28" width="11.25"/>
    <col min="29" max="30" width="10.125"/>
    <col min="31" max="31" width="11.25"/>
    <col min="32" max="32" width="10.375"/>
  </cols>
  <sheetData>
    <row r="1" customFormat="1" ht="24" customHeight="1" spans="1:1">
      <c r="A1" s="90" t="s">
        <v>0</v>
      </c>
    </row>
    <row r="2" s="87" customFormat="1" ht="23" customHeight="1" spans="1:32">
      <c r="A2" s="91" t="s">
        <v>1</v>
      </c>
      <c r="B2" s="92" t="s">
        <v>2</v>
      </c>
      <c r="C2" s="93" t="s">
        <v>3</v>
      </c>
      <c r="D2" s="94" t="s">
        <v>4</v>
      </c>
      <c r="E2" s="95" t="s">
        <v>5</v>
      </c>
      <c r="F2" s="96" t="s">
        <v>6</v>
      </c>
      <c r="G2" s="96" t="s">
        <v>7</v>
      </c>
      <c r="H2" s="96" t="s">
        <v>8</v>
      </c>
      <c r="I2" s="96" t="s">
        <v>9</v>
      </c>
      <c r="J2" s="113" t="s">
        <v>10</v>
      </c>
      <c r="K2" s="114"/>
      <c r="L2" s="115"/>
      <c r="M2" s="114"/>
      <c r="N2" s="115"/>
      <c r="O2" s="116"/>
      <c r="P2" s="117"/>
      <c r="Q2" s="144" t="s">
        <v>11</v>
      </c>
      <c r="R2" s="145" t="s">
        <v>12</v>
      </c>
      <c r="S2" s="146"/>
      <c r="T2" s="147"/>
      <c r="U2" s="148"/>
      <c r="V2" s="149"/>
      <c r="W2" s="150" t="s">
        <v>13</v>
      </c>
      <c r="X2" s="151" t="s">
        <v>14</v>
      </c>
      <c r="Y2" s="164" t="s">
        <v>15</v>
      </c>
      <c r="Z2" s="164"/>
      <c r="AA2" s="164"/>
      <c r="AB2" s="164"/>
      <c r="AC2" s="165"/>
      <c r="AD2" s="164"/>
      <c r="AE2" s="166" t="s">
        <v>16</v>
      </c>
      <c r="AF2" s="167" t="s">
        <v>17</v>
      </c>
    </row>
    <row r="3" s="87" customFormat="1" ht="27" customHeight="1" spans="1:32">
      <c r="A3" s="97"/>
      <c r="B3" s="98"/>
      <c r="C3" s="93"/>
      <c r="D3" s="94"/>
      <c r="E3" s="99"/>
      <c r="F3" s="100"/>
      <c r="G3" s="100"/>
      <c r="H3" s="100"/>
      <c r="I3" s="100"/>
      <c r="J3" s="118" t="s">
        <v>18</v>
      </c>
      <c r="K3" s="119" t="s">
        <v>19</v>
      </c>
      <c r="L3" s="120" t="s">
        <v>20</v>
      </c>
      <c r="M3" s="119" t="s">
        <v>21</v>
      </c>
      <c r="N3" s="121" t="s">
        <v>22</v>
      </c>
      <c r="O3" s="122" t="s">
        <v>23</v>
      </c>
      <c r="P3" s="123" t="s">
        <v>24</v>
      </c>
      <c r="Q3" s="152"/>
      <c r="R3" s="153" t="s">
        <v>25</v>
      </c>
      <c r="S3" s="154" t="s">
        <v>26</v>
      </c>
      <c r="T3" s="155" t="s">
        <v>27</v>
      </c>
      <c r="U3" s="156" t="s">
        <v>28</v>
      </c>
      <c r="V3" s="155" t="s">
        <v>29</v>
      </c>
      <c r="W3" s="157"/>
      <c r="X3" s="158"/>
      <c r="Y3" s="168" t="s">
        <v>30</v>
      </c>
      <c r="Z3" s="168" t="s">
        <v>31</v>
      </c>
      <c r="AA3" s="168" t="s">
        <v>32</v>
      </c>
      <c r="AB3" s="169" t="s">
        <v>33</v>
      </c>
      <c r="AC3" s="170" t="s">
        <v>34</v>
      </c>
      <c r="AD3" s="171" t="s">
        <v>24</v>
      </c>
      <c r="AE3" s="172" t="s">
        <v>35</v>
      </c>
      <c r="AF3" s="173"/>
    </row>
    <row r="4" s="88" customFormat="1" ht="63.75" spans="1:32">
      <c r="A4" s="101" t="s">
        <v>108</v>
      </c>
      <c r="B4" s="102" t="s">
        <v>109</v>
      </c>
      <c r="C4" s="103">
        <v>240910000015</v>
      </c>
      <c r="D4" s="104">
        <v>45601</v>
      </c>
      <c r="E4" s="104" t="s">
        <v>110</v>
      </c>
      <c r="F4" s="102" t="s">
        <v>111</v>
      </c>
      <c r="G4" s="102" t="s">
        <v>112</v>
      </c>
      <c r="H4" s="102">
        <v>5.1959</v>
      </c>
      <c r="I4" s="102">
        <v>743</v>
      </c>
      <c r="J4" s="124"/>
      <c r="K4" s="129">
        <v>2382640</v>
      </c>
      <c r="L4" s="130"/>
      <c r="M4" s="127">
        <v>1580</v>
      </c>
      <c r="N4" s="126">
        <v>1508</v>
      </c>
      <c r="O4" s="128">
        <v>7.29</v>
      </c>
      <c r="P4" s="124">
        <v>10993.32</v>
      </c>
      <c r="Q4" s="191">
        <v>76332.0082</v>
      </c>
      <c r="R4" s="192" t="s">
        <v>113</v>
      </c>
      <c r="S4" s="160">
        <v>3760.49441985294</v>
      </c>
      <c r="T4" s="160">
        <v>8.68326582352941</v>
      </c>
      <c r="U4" s="160">
        <v>183.384705882353</v>
      </c>
      <c r="V4" s="160"/>
      <c r="W4" s="160"/>
      <c r="X4" s="160">
        <v>3952.56239155882</v>
      </c>
      <c r="Y4" s="174">
        <v>836.671325705882</v>
      </c>
      <c r="Z4" s="174"/>
      <c r="AA4" s="174"/>
      <c r="AB4" s="174">
        <v>836.671325705882</v>
      </c>
      <c r="AC4" s="125">
        <v>7.33</v>
      </c>
      <c r="AD4" s="160">
        <v>6132.80081742412</v>
      </c>
      <c r="AE4" s="160">
        <v>10085.3632089829</v>
      </c>
      <c r="AF4" s="160">
        <v>907.956791017059</v>
      </c>
    </row>
    <row r="5" s="88" customFormat="1" ht="12.75" spans="1:32">
      <c r="A5" s="101"/>
      <c r="B5" s="102"/>
      <c r="C5" s="103">
        <v>241026000006</v>
      </c>
      <c r="D5" s="104">
        <v>45601</v>
      </c>
      <c r="E5" s="104" t="s">
        <v>110</v>
      </c>
      <c r="F5" s="102" t="s">
        <v>111</v>
      </c>
      <c r="G5" s="102" t="s">
        <v>114</v>
      </c>
      <c r="H5" s="102">
        <v>0.6549</v>
      </c>
      <c r="I5" s="102">
        <v>72</v>
      </c>
      <c r="J5" s="124"/>
      <c r="K5" s="129">
        <v>363730</v>
      </c>
      <c r="L5" s="130"/>
      <c r="M5" s="127">
        <v>1683.00018508236</v>
      </c>
      <c r="N5" s="126">
        <v>216.12</v>
      </c>
      <c r="O5" s="128">
        <v>7.3</v>
      </c>
      <c r="P5" s="124">
        <v>1577.676</v>
      </c>
      <c r="Q5" s="159"/>
      <c r="R5" s="159"/>
      <c r="S5" s="160">
        <v>473.979059558824</v>
      </c>
      <c r="T5" s="160">
        <v>1.09445347058824</v>
      </c>
      <c r="U5" s="160">
        <v>23.1141176470588</v>
      </c>
      <c r="V5" s="160"/>
      <c r="W5" s="160"/>
      <c r="X5" s="160">
        <v>498.187630676471</v>
      </c>
      <c r="Y5" s="174">
        <v>105.455465117647</v>
      </c>
      <c r="Z5" s="174"/>
      <c r="AA5" s="174"/>
      <c r="AB5" s="174">
        <v>105.455465117647</v>
      </c>
      <c r="AC5" s="125">
        <v>7.33</v>
      </c>
      <c r="AD5" s="160">
        <v>772.988559312353</v>
      </c>
      <c r="AE5" s="160">
        <v>1271.17618998882</v>
      </c>
      <c r="AF5" s="160">
        <v>306.499810011176</v>
      </c>
    </row>
    <row r="6" s="88" customFormat="1" ht="12.75" spans="1:32">
      <c r="A6" s="101"/>
      <c r="B6" s="102"/>
      <c r="C6" s="103">
        <v>241028000025</v>
      </c>
      <c r="D6" s="104">
        <v>45601</v>
      </c>
      <c r="E6" s="104" t="s">
        <v>110</v>
      </c>
      <c r="F6" s="102" t="s">
        <v>111</v>
      </c>
      <c r="G6" s="102" t="s">
        <v>115</v>
      </c>
      <c r="H6" s="102">
        <v>0.7015</v>
      </c>
      <c r="I6" s="102">
        <v>168</v>
      </c>
      <c r="J6" s="124"/>
      <c r="K6" s="129">
        <v>432424.8</v>
      </c>
      <c r="L6" s="130"/>
      <c r="M6" s="127">
        <v>1710</v>
      </c>
      <c r="N6" s="126">
        <v>252.88</v>
      </c>
      <c r="O6" s="128">
        <v>7.3</v>
      </c>
      <c r="P6" s="124">
        <v>1846.024</v>
      </c>
      <c r="Q6" s="159"/>
      <c r="R6" s="159"/>
      <c r="S6" s="160">
        <v>507.705466911765</v>
      </c>
      <c r="T6" s="160">
        <v>1.17233029411765</v>
      </c>
      <c r="U6" s="160">
        <v>24.7588235294118</v>
      </c>
      <c r="V6" s="160"/>
      <c r="W6" s="160"/>
      <c r="X6" s="160">
        <v>533.636620735294</v>
      </c>
      <c r="Y6" s="174">
        <v>112.959243823529</v>
      </c>
      <c r="Z6" s="174">
        <v>42.43</v>
      </c>
      <c r="AA6" s="174"/>
      <c r="AB6" s="174">
        <v>155.389243823529</v>
      </c>
      <c r="AC6" s="125">
        <v>7.33</v>
      </c>
      <c r="AD6" s="160">
        <v>1139.00315722647</v>
      </c>
      <c r="AE6" s="160">
        <v>1672.63977796176</v>
      </c>
      <c r="AF6" s="160">
        <v>173.384222038235</v>
      </c>
    </row>
    <row r="7" s="88" customFormat="1" ht="12.75" spans="1:32">
      <c r="A7" s="101"/>
      <c r="B7" s="102"/>
      <c r="C7" s="103">
        <v>241030000002</v>
      </c>
      <c r="D7" s="104">
        <v>45601</v>
      </c>
      <c r="E7" s="104" t="s">
        <v>110</v>
      </c>
      <c r="F7" s="102" t="s">
        <v>111</v>
      </c>
      <c r="G7" s="102" t="s">
        <v>116</v>
      </c>
      <c r="H7" s="102">
        <v>7.4945</v>
      </c>
      <c r="I7" s="102">
        <v>520</v>
      </c>
      <c r="J7" s="179">
        <v>18324.8</v>
      </c>
      <c r="K7" s="125"/>
      <c r="L7" s="130"/>
      <c r="M7" s="127"/>
      <c r="N7" s="130"/>
      <c r="O7" s="128"/>
      <c r="P7" s="124">
        <v>18324.8</v>
      </c>
      <c r="Q7" s="159"/>
      <c r="R7" s="159"/>
      <c r="S7" s="160">
        <v>5424.08926838235</v>
      </c>
      <c r="T7" s="160">
        <v>12.5246320588235</v>
      </c>
      <c r="U7" s="160">
        <v>264.511764705882</v>
      </c>
      <c r="V7" s="160"/>
      <c r="W7" s="160"/>
      <c r="X7" s="160">
        <v>5701.12566514706</v>
      </c>
      <c r="Y7" s="174">
        <v>1206.80406676471</v>
      </c>
      <c r="Z7" s="174">
        <v>47.85</v>
      </c>
      <c r="AA7" s="174"/>
      <c r="AB7" s="174">
        <v>1254.65406676471</v>
      </c>
      <c r="AC7" s="125">
        <v>7.33</v>
      </c>
      <c r="AD7" s="160">
        <v>9196.61430938529</v>
      </c>
      <c r="AE7" s="160">
        <v>14897.7399745324</v>
      </c>
      <c r="AF7" s="160">
        <v>3427.0600254676</v>
      </c>
    </row>
    <row r="8" s="88" customFormat="1" ht="12.75" spans="1:32">
      <c r="A8" s="101"/>
      <c r="B8" s="102"/>
      <c r="C8" s="103">
        <v>241030000041</v>
      </c>
      <c r="D8" s="104">
        <v>45601</v>
      </c>
      <c r="E8" s="104" t="s">
        <v>110</v>
      </c>
      <c r="F8" s="102" t="s">
        <v>111</v>
      </c>
      <c r="G8" s="102" t="s">
        <v>117</v>
      </c>
      <c r="H8" s="102">
        <v>1.5338</v>
      </c>
      <c r="I8" s="102">
        <v>336</v>
      </c>
      <c r="J8" s="124"/>
      <c r="K8" s="129">
        <v>755361</v>
      </c>
      <c r="L8" s="130"/>
      <c r="M8" s="127">
        <v>1700</v>
      </c>
      <c r="N8" s="126">
        <v>444.33</v>
      </c>
      <c r="O8" s="128">
        <v>7.27</v>
      </c>
      <c r="P8" s="124">
        <v>3230.2791</v>
      </c>
      <c r="Q8" s="159"/>
      <c r="R8" s="159"/>
      <c r="S8" s="160">
        <v>1110.07647205882</v>
      </c>
      <c r="T8" s="160">
        <v>2.56325047058824</v>
      </c>
      <c r="U8" s="160">
        <v>54.1341176470588</v>
      </c>
      <c r="V8" s="160"/>
      <c r="W8" s="160"/>
      <c r="X8" s="160">
        <v>1166.77384017647</v>
      </c>
      <c r="Y8" s="174">
        <v>246.980596117647</v>
      </c>
      <c r="Z8" s="174">
        <v>29.9</v>
      </c>
      <c r="AA8" s="174"/>
      <c r="AB8" s="174">
        <v>276.880596117647</v>
      </c>
      <c r="AC8" s="125">
        <v>7.33</v>
      </c>
      <c r="AD8" s="160">
        <v>2029.53476954235</v>
      </c>
      <c r="AE8" s="160">
        <v>3196.30860971882</v>
      </c>
      <c r="AF8" s="160">
        <v>33.9704902811768</v>
      </c>
    </row>
    <row r="9" s="88" customFormat="1" ht="12.75" spans="1:32">
      <c r="A9" s="101"/>
      <c r="B9" s="102"/>
      <c r="C9" s="103">
        <v>241101000029</v>
      </c>
      <c r="D9" s="104">
        <v>45601</v>
      </c>
      <c r="E9" s="104" t="s">
        <v>110</v>
      </c>
      <c r="F9" s="102" t="s">
        <v>111</v>
      </c>
      <c r="G9" s="102" t="s">
        <v>118</v>
      </c>
      <c r="H9" s="102">
        <v>0.8656</v>
      </c>
      <c r="I9" s="102">
        <v>346</v>
      </c>
      <c r="J9" s="179">
        <v>2978.64</v>
      </c>
      <c r="K9" s="125"/>
      <c r="L9" s="130"/>
      <c r="M9" s="127"/>
      <c r="N9" s="130"/>
      <c r="O9" s="128"/>
      <c r="P9" s="124">
        <v>2978.64</v>
      </c>
      <c r="Q9" s="159"/>
      <c r="R9" s="159"/>
      <c r="S9" s="160">
        <v>626.471635294118</v>
      </c>
      <c r="T9" s="160">
        <v>1.44657035294118</v>
      </c>
      <c r="U9" s="160">
        <v>30.5505882352941</v>
      </c>
      <c r="V9" s="160"/>
      <c r="W9" s="160"/>
      <c r="X9" s="160">
        <v>658.468793882353</v>
      </c>
      <c r="Y9" s="174">
        <v>139.383494588235</v>
      </c>
      <c r="Z9" s="174">
        <v>12.36</v>
      </c>
      <c r="AA9" s="174">
        <v>83.19</v>
      </c>
      <c r="AB9" s="174">
        <v>234.933494588235</v>
      </c>
      <c r="AC9" s="125">
        <v>7.33</v>
      </c>
      <c r="AD9" s="160">
        <v>1722.06251533176</v>
      </c>
      <c r="AE9" s="160">
        <v>2380.53130921412</v>
      </c>
      <c r="AF9" s="160">
        <v>598.108690785882</v>
      </c>
    </row>
    <row r="10" s="88" customFormat="1" ht="12.75" spans="1:32">
      <c r="A10" s="101"/>
      <c r="B10" s="102"/>
      <c r="C10" s="103">
        <v>241030000021</v>
      </c>
      <c r="D10" s="104">
        <v>45602</v>
      </c>
      <c r="E10" s="104" t="s">
        <v>110</v>
      </c>
      <c r="F10" s="102" t="s">
        <v>111</v>
      </c>
      <c r="G10" s="102" t="s">
        <v>119</v>
      </c>
      <c r="H10" s="102">
        <v>0.6626</v>
      </c>
      <c r="I10" s="102">
        <v>405</v>
      </c>
      <c r="J10" s="179">
        <v>1624.5</v>
      </c>
      <c r="K10" s="180"/>
      <c r="L10" s="130"/>
      <c r="M10" s="127"/>
      <c r="N10" s="130"/>
      <c r="O10" s="128"/>
      <c r="P10" s="124">
        <v>1624.5</v>
      </c>
      <c r="Q10" s="159"/>
      <c r="R10" s="159"/>
      <c r="S10" s="160">
        <v>475.400883823529</v>
      </c>
      <c r="T10" s="160"/>
      <c r="U10" s="160">
        <v>17.5394117647059</v>
      </c>
      <c r="V10" s="160"/>
      <c r="W10" s="160"/>
      <c r="X10" s="160">
        <v>492.940295588235</v>
      </c>
      <c r="Y10" s="174">
        <v>104.422447</v>
      </c>
      <c r="Z10" s="174">
        <v>35.38</v>
      </c>
      <c r="AA10" s="174">
        <v>0.493442117647059</v>
      </c>
      <c r="AB10" s="174">
        <v>140.295889117647</v>
      </c>
      <c r="AC10" s="125">
        <v>7.33</v>
      </c>
      <c r="AD10" s="160">
        <v>1028.36886723235</v>
      </c>
      <c r="AE10" s="160">
        <v>1521.30916282059</v>
      </c>
      <c r="AF10" s="160">
        <v>103.19083717941</v>
      </c>
    </row>
    <row r="11" s="178" customFormat="1" ht="12.75" spans="1:32">
      <c r="A11" s="101"/>
      <c r="B11" s="102"/>
      <c r="C11" s="103">
        <v>241021000005</v>
      </c>
      <c r="D11" s="104">
        <v>45608</v>
      </c>
      <c r="E11" s="104" t="s">
        <v>110</v>
      </c>
      <c r="F11" s="102" t="s">
        <v>111</v>
      </c>
      <c r="G11" s="102" t="s">
        <v>112</v>
      </c>
      <c r="H11" s="102">
        <v>1.1795</v>
      </c>
      <c r="I11" s="102">
        <v>335</v>
      </c>
      <c r="J11" s="124"/>
      <c r="K11" s="129">
        <v>583853</v>
      </c>
      <c r="L11" s="130"/>
      <c r="M11" s="127">
        <v>1650.00150628806</v>
      </c>
      <c r="N11" s="126">
        <v>353.84998</v>
      </c>
      <c r="O11" s="128">
        <v>7.3</v>
      </c>
      <c r="P11" s="124">
        <v>2583.104854</v>
      </c>
      <c r="Q11" s="159"/>
      <c r="R11" s="159"/>
      <c r="S11" s="160">
        <v>923.097514705882</v>
      </c>
      <c r="T11" s="160"/>
      <c r="U11" s="160">
        <v>33.910625</v>
      </c>
      <c r="V11" s="160"/>
      <c r="W11" s="160"/>
      <c r="X11" s="160">
        <v>957.008139705882</v>
      </c>
      <c r="Y11" s="174">
        <v>197.060452647059</v>
      </c>
      <c r="Z11" s="174"/>
      <c r="AA11" s="174">
        <v>0.928682794117647</v>
      </c>
      <c r="AB11" s="174">
        <v>197.989135441176</v>
      </c>
      <c r="AC11" s="125">
        <v>7.3</v>
      </c>
      <c r="AD11" s="160">
        <v>1445.32068872059</v>
      </c>
      <c r="AE11" s="160">
        <v>2402.32882842647</v>
      </c>
      <c r="AF11" s="160">
        <v>180.77602557353</v>
      </c>
    </row>
    <row r="12" s="178" customFormat="1" ht="12.75" spans="1:32">
      <c r="A12" s="101"/>
      <c r="B12" s="102"/>
      <c r="C12" s="103">
        <v>241106000026</v>
      </c>
      <c r="D12" s="104">
        <v>45608</v>
      </c>
      <c r="E12" s="104" t="s">
        <v>110</v>
      </c>
      <c r="F12" s="102" t="s">
        <v>111</v>
      </c>
      <c r="G12" s="102" t="s">
        <v>120</v>
      </c>
      <c r="H12" s="102">
        <v>0.1938</v>
      </c>
      <c r="I12" s="102">
        <v>63</v>
      </c>
      <c r="J12" s="124"/>
      <c r="K12" s="129">
        <v>188972</v>
      </c>
      <c r="L12" s="130"/>
      <c r="M12" s="127">
        <v>1700</v>
      </c>
      <c r="N12" s="126">
        <v>111.16</v>
      </c>
      <c r="O12" s="128">
        <v>7.27</v>
      </c>
      <c r="P12" s="124">
        <v>808.1332</v>
      </c>
      <c r="Q12" s="159"/>
      <c r="R12" s="159"/>
      <c r="S12" s="160">
        <v>151.6713</v>
      </c>
      <c r="T12" s="160"/>
      <c r="U12" s="160">
        <v>5.57175</v>
      </c>
      <c r="V12" s="160"/>
      <c r="W12" s="160"/>
      <c r="X12" s="160">
        <v>157.24305</v>
      </c>
      <c r="Y12" s="174">
        <v>32.378394</v>
      </c>
      <c r="Z12" s="174">
        <v>53.58</v>
      </c>
      <c r="AA12" s="174">
        <v>0.152589</v>
      </c>
      <c r="AB12" s="174">
        <v>86.110983</v>
      </c>
      <c r="AC12" s="125">
        <v>7.3</v>
      </c>
      <c r="AD12" s="160">
        <v>628.6101759</v>
      </c>
      <c r="AE12" s="160">
        <v>785.8532259</v>
      </c>
      <c r="AF12" s="160">
        <v>22.2799740999999</v>
      </c>
    </row>
    <row r="13" s="88" customFormat="1" ht="12.75" spans="1:32">
      <c r="A13" s="101"/>
      <c r="B13" s="102"/>
      <c r="C13" s="103">
        <v>241104000001</v>
      </c>
      <c r="D13" s="104">
        <v>45609</v>
      </c>
      <c r="E13" s="104" t="s">
        <v>110</v>
      </c>
      <c r="F13" s="102" t="s">
        <v>111</v>
      </c>
      <c r="G13" s="102" t="s">
        <v>121</v>
      </c>
      <c r="H13" s="102">
        <v>0.462</v>
      </c>
      <c r="I13" s="102">
        <v>90</v>
      </c>
      <c r="J13" s="124"/>
      <c r="K13" s="129">
        <v>368397.9</v>
      </c>
      <c r="L13" s="130"/>
      <c r="M13" s="127">
        <v>1665</v>
      </c>
      <c r="N13" s="126">
        <v>221.26</v>
      </c>
      <c r="O13" s="128">
        <v>7.3</v>
      </c>
      <c r="P13" s="124">
        <v>1615.198</v>
      </c>
      <c r="Q13" s="159"/>
      <c r="R13" s="159"/>
      <c r="S13" s="160">
        <v>317.985088235294</v>
      </c>
      <c r="T13" s="160"/>
      <c r="U13" s="160">
        <v>12.2294117647059</v>
      </c>
      <c r="V13" s="160"/>
      <c r="W13" s="160"/>
      <c r="X13" s="160">
        <v>330.2145</v>
      </c>
      <c r="Y13" s="174">
        <v>73.3348226470588</v>
      </c>
      <c r="Z13" s="174">
        <v>57.94</v>
      </c>
      <c r="AA13" s="174">
        <v>0.645305294117647</v>
      </c>
      <c r="AB13" s="174">
        <v>131.920127941176</v>
      </c>
      <c r="AC13" s="125">
        <v>7.33</v>
      </c>
      <c r="AD13" s="160">
        <v>966.974537808824</v>
      </c>
      <c r="AE13" s="160">
        <v>1297.18903780882</v>
      </c>
      <c r="AF13" s="160">
        <v>318.008962191176</v>
      </c>
    </row>
    <row r="14" s="88" customFormat="1" ht="12.75" spans="1:32">
      <c r="A14" s="101"/>
      <c r="B14" s="102"/>
      <c r="C14" s="103">
        <v>241105000045</v>
      </c>
      <c r="D14" s="104">
        <v>45609</v>
      </c>
      <c r="E14" s="104" t="s">
        <v>110</v>
      </c>
      <c r="F14" s="102" t="s">
        <v>111</v>
      </c>
      <c r="G14" s="102" t="s">
        <v>122</v>
      </c>
      <c r="H14" s="102">
        <v>0.8486</v>
      </c>
      <c r="I14" s="102">
        <v>297</v>
      </c>
      <c r="J14" s="124"/>
      <c r="K14" s="129">
        <v>432928.65</v>
      </c>
      <c r="L14" s="130"/>
      <c r="M14" s="127">
        <v>1663.25502324331</v>
      </c>
      <c r="N14" s="126">
        <v>260.29</v>
      </c>
      <c r="O14" s="128">
        <v>7.3</v>
      </c>
      <c r="P14" s="124">
        <v>1900.117</v>
      </c>
      <c r="Q14" s="159"/>
      <c r="R14" s="159"/>
      <c r="S14" s="160">
        <v>584.073908823529</v>
      </c>
      <c r="T14" s="160"/>
      <c r="U14" s="160">
        <v>22.4629411764706</v>
      </c>
      <c r="V14" s="160"/>
      <c r="W14" s="160"/>
      <c r="X14" s="160">
        <v>606.53685</v>
      </c>
      <c r="Y14" s="174">
        <v>134.701148264706</v>
      </c>
      <c r="Z14" s="174">
        <v>10.07</v>
      </c>
      <c r="AA14" s="174">
        <v>1.18529452941176</v>
      </c>
      <c r="AB14" s="174">
        <v>145.956442794118</v>
      </c>
      <c r="AC14" s="125">
        <v>7.33</v>
      </c>
      <c r="AD14" s="160">
        <v>1069.86072568088</v>
      </c>
      <c r="AE14" s="160">
        <v>1676.39757568088</v>
      </c>
      <c r="AF14" s="160">
        <v>223.719424319117</v>
      </c>
    </row>
    <row r="15" s="88" customFormat="1" ht="12.75" spans="1:32">
      <c r="A15" s="101"/>
      <c r="B15" s="102"/>
      <c r="C15" s="103">
        <v>241218000023</v>
      </c>
      <c r="D15" s="104">
        <v>45615</v>
      </c>
      <c r="E15" s="104" t="s">
        <v>110</v>
      </c>
      <c r="F15" s="102" t="s">
        <v>111</v>
      </c>
      <c r="G15" s="102" t="s">
        <v>121</v>
      </c>
      <c r="H15" s="102">
        <v>0.0592</v>
      </c>
      <c r="I15" s="102">
        <v>10</v>
      </c>
      <c r="J15" s="124"/>
      <c r="K15" s="129">
        <v>70231</v>
      </c>
      <c r="L15" s="130"/>
      <c r="M15" s="127">
        <v>1580</v>
      </c>
      <c r="N15" s="126">
        <v>44.45</v>
      </c>
      <c r="O15" s="128">
        <v>7.29</v>
      </c>
      <c r="P15" s="124">
        <v>324.0405</v>
      </c>
      <c r="Q15" s="209"/>
      <c r="R15" s="209"/>
      <c r="S15" s="160">
        <v>41.4299882352941</v>
      </c>
      <c r="T15" s="160"/>
      <c r="U15" s="160">
        <v>2.00235294117647</v>
      </c>
      <c r="V15" s="160"/>
      <c r="W15" s="160"/>
      <c r="X15" s="160">
        <v>43.4323411764706</v>
      </c>
      <c r="Y15" s="174">
        <v>9.65047058823529</v>
      </c>
      <c r="Z15" s="174"/>
      <c r="AA15" s="174">
        <v>0.0653985882352941</v>
      </c>
      <c r="AB15" s="174">
        <v>9.71586917647059</v>
      </c>
      <c r="AC15" s="125">
        <v>7.3</v>
      </c>
      <c r="AD15" s="160">
        <v>70.9258449882353</v>
      </c>
      <c r="AE15" s="160">
        <v>114.358186164706</v>
      </c>
      <c r="AF15" s="160">
        <v>209.682313835294</v>
      </c>
    </row>
    <row r="16" s="88" customFormat="1" ht="12.75" spans="1:32">
      <c r="A16" s="101"/>
      <c r="B16" s="102"/>
      <c r="C16" s="103">
        <v>241114000027</v>
      </c>
      <c r="D16" s="104">
        <v>45616</v>
      </c>
      <c r="E16" s="104" t="s">
        <v>110</v>
      </c>
      <c r="F16" s="102" t="s">
        <v>111</v>
      </c>
      <c r="G16" s="102" t="s">
        <v>122</v>
      </c>
      <c r="H16" s="102">
        <v>7.3094</v>
      </c>
      <c r="I16" s="102">
        <v>4250</v>
      </c>
      <c r="J16" s="124"/>
      <c r="K16" s="129">
        <v>3823031.52</v>
      </c>
      <c r="L16" s="130"/>
      <c r="M16" s="127">
        <v>1663.2</v>
      </c>
      <c r="N16" s="126">
        <v>2298.6</v>
      </c>
      <c r="O16" s="128">
        <v>7.3</v>
      </c>
      <c r="P16" s="124">
        <v>16779.78</v>
      </c>
      <c r="Q16" s="159"/>
      <c r="R16" s="159"/>
      <c r="S16" s="160">
        <v>4910.78814264706</v>
      </c>
      <c r="T16" s="160"/>
      <c r="U16" s="160">
        <v>214.982352941176</v>
      </c>
      <c r="V16" s="160"/>
      <c r="W16" s="160"/>
      <c r="X16" s="160">
        <v>5125.77049558824</v>
      </c>
      <c r="Y16" s="174">
        <v>1191.53969117647</v>
      </c>
      <c r="Z16" s="174">
        <v>97.22</v>
      </c>
      <c r="AA16" s="174">
        <v>8.31766723529412</v>
      </c>
      <c r="AB16" s="174">
        <v>1297.07735841176</v>
      </c>
      <c r="AC16" s="125">
        <v>7.3</v>
      </c>
      <c r="AD16" s="160">
        <v>9468.66471640588</v>
      </c>
      <c r="AE16" s="160">
        <v>14594.4352119941</v>
      </c>
      <c r="AF16" s="160">
        <v>2185.34478800588</v>
      </c>
    </row>
    <row r="17" s="88" customFormat="1" ht="12.75" spans="1:32">
      <c r="A17" s="101"/>
      <c r="B17" s="102"/>
      <c r="C17" s="103">
        <v>241121000016</v>
      </c>
      <c r="D17" s="104">
        <v>45623</v>
      </c>
      <c r="E17" s="104" t="s">
        <v>110</v>
      </c>
      <c r="F17" s="102" t="s">
        <v>111</v>
      </c>
      <c r="G17" s="102" t="s">
        <v>112</v>
      </c>
      <c r="H17" s="102">
        <v>2.2928</v>
      </c>
      <c r="I17" s="102">
        <v>1066</v>
      </c>
      <c r="J17" s="124"/>
      <c r="K17" s="129">
        <v>1070400</v>
      </c>
      <c r="L17" s="130"/>
      <c r="M17" s="127">
        <v>1600</v>
      </c>
      <c r="N17" s="126">
        <v>669</v>
      </c>
      <c r="O17" s="128">
        <v>7.27</v>
      </c>
      <c r="P17" s="124">
        <v>4863.63</v>
      </c>
      <c r="Q17" s="159"/>
      <c r="R17" s="159"/>
      <c r="S17" s="160">
        <v>1585.86401058824</v>
      </c>
      <c r="T17" s="160"/>
      <c r="U17" s="160">
        <v>64.0635294117647</v>
      </c>
      <c r="V17" s="160"/>
      <c r="W17" s="193"/>
      <c r="X17" s="160">
        <v>1649.92754</v>
      </c>
      <c r="Y17" s="174">
        <v>373.625247058824</v>
      </c>
      <c r="Z17" s="174"/>
      <c r="AA17" s="174">
        <v>1.80625435294118</v>
      </c>
      <c r="AB17" s="174">
        <v>375.431501411765</v>
      </c>
      <c r="AC17" s="125">
        <v>7.3</v>
      </c>
      <c r="AD17" s="160">
        <v>2740.64996030588</v>
      </c>
      <c r="AE17" s="160">
        <v>4390.57750030588</v>
      </c>
      <c r="AF17" s="160">
        <v>473.052499694118</v>
      </c>
    </row>
    <row r="18" ht="28" customHeight="1" spans="1:32">
      <c r="A18" s="211" t="s">
        <v>105</v>
      </c>
      <c r="B18" s="212"/>
      <c r="C18" s="212"/>
      <c r="D18" s="212"/>
      <c r="E18" s="212"/>
      <c r="F18" s="212"/>
      <c r="G18" s="212"/>
      <c r="H18" s="212">
        <f>SUM(H4:H17)</f>
        <v>29.4541</v>
      </c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3"/>
      <c r="Z18" s="213"/>
      <c r="AA18" s="213"/>
      <c r="AB18" s="213"/>
      <c r="AC18" s="213"/>
      <c r="AD18" s="213"/>
      <c r="AE18" s="213"/>
      <c r="AF18" s="213">
        <f>SUM(AF4:AF17)</f>
        <v>9163.03485449965</v>
      </c>
    </row>
    <row r="21" s="1" customFormat="1" ht="23" customHeight="1" spans="3:16">
      <c r="C21" s="74" t="s">
        <v>72</v>
      </c>
      <c r="D21" s="74"/>
      <c r="E21" s="74"/>
      <c r="F21" s="109" t="s">
        <v>73</v>
      </c>
      <c r="G21" s="110"/>
      <c r="H21" s="110"/>
      <c r="I21" s="131"/>
      <c r="J21"/>
      <c r="K21" s="132" t="s">
        <v>123</v>
      </c>
      <c r="L21" s="133"/>
      <c r="M21" s="134"/>
      <c r="N21"/>
      <c r="O21"/>
      <c r="P21"/>
    </row>
    <row r="22" s="1" customFormat="1" ht="23" customHeight="1" spans="3:16">
      <c r="C22" s="74"/>
      <c r="D22" s="74"/>
      <c r="E22" s="74"/>
      <c r="F22" s="111"/>
      <c r="G22" s="112"/>
      <c r="H22" s="112"/>
      <c r="I22" s="135"/>
      <c r="J22"/>
      <c r="K22" s="136" t="s">
        <v>75</v>
      </c>
      <c r="L22" s="136" t="s">
        <v>8</v>
      </c>
      <c r="M22" s="136" t="s">
        <v>76</v>
      </c>
      <c r="N22"/>
      <c r="O22"/>
      <c r="P22"/>
    </row>
    <row r="23" s="1" customFormat="1" ht="23" customHeight="1" spans="3:16">
      <c r="C23" s="74" t="s">
        <v>77</v>
      </c>
      <c r="D23" s="74"/>
      <c r="E23" s="74"/>
      <c r="F23" s="80" t="s">
        <v>78</v>
      </c>
      <c r="G23" s="81"/>
      <c r="H23" s="81"/>
      <c r="I23" s="82"/>
      <c r="J23"/>
      <c r="K23" s="136" t="s">
        <v>79</v>
      </c>
      <c r="L23" s="137">
        <f>SUM(H18)</f>
        <v>29.4541</v>
      </c>
      <c r="M23" s="138">
        <f>SUM(AF18)</f>
        <v>9163.03485449965</v>
      </c>
      <c r="N23"/>
      <c r="O23"/>
      <c r="P23"/>
    </row>
    <row r="24" s="1" customFormat="1" ht="23" customHeight="1" spans="3:16">
      <c r="C24" s="74"/>
      <c r="D24" s="74"/>
      <c r="E24" s="74"/>
      <c r="F24" s="83"/>
      <c r="G24" s="84"/>
      <c r="H24" s="84"/>
      <c r="I24" s="85"/>
      <c r="J24"/>
      <c r="K24" s="139" t="s">
        <v>80</v>
      </c>
      <c r="L24" s="139"/>
      <c r="M24" s="140">
        <v>6000</v>
      </c>
      <c r="N24"/>
      <c r="O24"/>
      <c r="P24"/>
    </row>
    <row r="25" s="1" customFormat="1" ht="23" customHeight="1" spans="3:16">
      <c r="C25" s="74" t="s">
        <v>81</v>
      </c>
      <c r="D25" s="74"/>
      <c r="E25" s="74"/>
      <c r="F25" s="80" t="s">
        <v>82</v>
      </c>
      <c r="G25" s="81"/>
      <c r="H25" s="81"/>
      <c r="I25" s="82"/>
      <c r="J25"/>
      <c r="K25" s="141" t="s">
        <v>83</v>
      </c>
      <c r="L25" s="141"/>
      <c r="M25" s="142">
        <f>SUM(M23-M24)</f>
        <v>3163.03485449965</v>
      </c>
      <c r="N25"/>
      <c r="O25"/>
      <c r="P25"/>
    </row>
    <row r="26" s="1" customFormat="1" ht="23" customHeight="1" spans="3:16">
      <c r="C26" s="74"/>
      <c r="D26" s="74"/>
      <c r="E26" s="74"/>
      <c r="F26" s="83"/>
      <c r="G26" s="84"/>
      <c r="H26" s="84"/>
      <c r="I26" s="85"/>
      <c r="J26"/>
      <c r="K26" s="136" t="s">
        <v>84</v>
      </c>
      <c r="L26" s="136"/>
      <c r="M26" s="136">
        <v>0.4</v>
      </c>
      <c r="N26"/>
      <c r="O26"/>
      <c r="P26"/>
    </row>
    <row r="27" s="1" customFormat="1" ht="23" customHeight="1" spans="5:16">
      <c r="E27"/>
      <c r="F27"/>
      <c r="G27"/>
      <c r="H27"/>
      <c r="I27"/>
      <c r="J27"/>
      <c r="K27" s="139" t="s">
        <v>85</v>
      </c>
      <c r="L27" s="139"/>
      <c r="M27" s="140">
        <f>SUM(M25*M26)</f>
        <v>1265.21394179986</v>
      </c>
      <c r="N27"/>
      <c r="O27"/>
      <c r="P27"/>
    </row>
    <row r="28" s="1" customFormat="1" ht="23" customHeight="1" spans="5:16">
      <c r="E28"/>
      <c r="F28"/>
      <c r="G28"/>
      <c r="H28"/>
      <c r="I28"/>
      <c r="J28"/>
      <c r="K28"/>
      <c r="L28"/>
      <c r="M28"/>
      <c r="N28"/>
      <c r="O28"/>
      <c r="P28"/>
    </row>
    <row r="29" s="1" customFormat="1" ht="23" customHeight="1" spans="5:14">
      <c r="E29"/>
      <c r="F29"/>
      <c r="G29"/>
      <c r="H29"/>
      <c r="I29"/>
      <c r="J29"/>
      <c r="K29" s="143"/>
      <c r="L29" s="143"/>
      <c r="M29" s="143"/>
      <c r="N29" s="143"/>
    </row>
    <row r="30" s="1" customFormat="1" ht="23" customHeight="1" spans="5:13">
      <c r="E30"/>
      <c r="F30"/>
      <c r="G30"/>
      <c r="H30"/>
      <c r="I30"/>
      <c r="J30"/>
      <c r="K30"/>
      <c r="L30"/>
      <c r="M30"/>
    </row>
    <row r="31" s="1" customFormat="1" ht="23" customHeight="1" spans="5:19">
      <c r="E31"/>
      <c r="F31"/>
      <c r="G31"/>
      <c r="H31"/>
      <c r="I31"/>
      <c r="J31"/>
      <c r="K31"/>
      <c r="L31"/>
      <c r="M31"/>
      <c r="O31"/>
      <c r="P31"/>
      <c r="Q31"/>
      <c r="R31"/>
      <c r="S31" s="35"/>
    </row>
    <row r="32" ht="28" customHeight="1"/>
  </sheetData>
  <autoFilter xmlns:etc="http://www.wps.cn/officeDocument/2017/etCustomData" ref="A2:AB31" etc:filterBottomFollowUsedRange="0">
    <extLst/>
  </autoFilter>
  <mergeCells count="23">
    <mergeCell ref="J2:P2"/>
    <mergeCell ref="R2:V2"/>
    <mergeCell ref="Y2:AD2"/>
    <mergeCell ref="K21:M2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  <mergeCell ref="C23:E24"/>
    <mergeCell ref="F23:I24"/>
    <mergeCell ref="C25:E26"/>
    <mergeCell ref="F25:I26"/>
    <mergeCell ref="C21:E22"/>
    <mergeCell ref="F21:I22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9"/>
  <sheetViews>
    <sheetView workbookViewId="0">
      <pane xSplit="14" ySplit="4" topLeftCell="AB32" activePane="bottomRight" state="frozen"/>
      <selection/>
      <selection pane="topRight"/>
      <selection pane="bottomLeft"/>
      <selection pane="bottomRight" activeCell="M39" sqref="M39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2.875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4" t="s">
        <v>11</v>
      </c>
      <c r="R3" s="145" t="s">
        <v>12</v>
      </c>
      <c r="S3" s="146"/>
      <c r="T3" s="147"/>
      <c r="U3" s="148"/>
      <c r="V3" s="149"/>
      <c r="W3" s="150" t="s">
        <v>13</v>
      </c>
      <c r="X3" s="151" t="s">
        <v>14</v>
      </c>
      <c r="Y3" s="164" t="s">
        <v>15</v>
      </c>
      <c r="Z3" s="164"/>
      <c r="AA3" s="164"/>
      <c r="AB3" s="164"/>
      <c r="AC3" s="165"/>
      <c r="AD3" s="164"/>
      <c r="AE3" s="166" t="s">
        <v>16</v>
      </c>
      <c r="AF3" s="167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2"/>
      <c r="R4" s="153" t="s">
        <v>25</v>
      </c>
      <c r="S4" s="154" t="s">
        <v>26</v>
      </c>
      <c r="T4" s="155" t="s">
        <v>27</v>
      </c>
      <c r="U4" s="156" t="s">
        <v>28</v>
      </c>
      <c r="V4" s="155" t="s">
        <v>29</v>
      </c>
      <c r="W4" s="157"/>
      <c r="X4" s="158"/>
      <c r="Y4" s="168" t="s">
        <v>30</v>
      </c>
      <c r="Z4" s="168" t="s">
        <v>31</v>
      </c>
      <c r="AA4" s="168" t="s">
        <v>32</v>
      </c>
      <c r="AB4" s="169" t="s">
        <v>33</v>
      </c>
      <c r="AC4" s="170" t="s">
        <v>34</v>
      </c>
      <c r="AD4" s="171" t="s">
        <v>24</v>
      </c>
      <c r="AE4" s="172" t="s">
        <v>35</v>
      </c>
      <c r="AF4" s="173"/>
    </row>
    <row r="5" s="88" customFormat="1" ht="12.75" spans="1:32">
      <c r="A5" s="101"/>
      <c r="B5" s="102"/>
      <c r="C5" s="103">
        <v>241107000022</v>
      </c>
      <c r="D5" s="104">
        <v>45602</v>
      </c>
      <c r="E5" s="104" t="s">
        <v>124</v>
      </c>
      <c r="F5" s="102" t="s">
        <v>125</v>
      </c>
      <c r="G5" s="102" t="s">
        <v>126</v>
      </c>
      <c r="H5" s="102">
        <v>32.635</v>
      </c>
      <c r="I5" s="102">
        <v>4165</v>
      </c>
      <c r="J5" s="179">
        <v>52361.59</v>
      </c>
      <c r="K5" s="180"/>
      <c r="L5" s="130"/>
      <c r="M5" s="127"/>
      <c r="N5" s="126"/>
      <c r="O5" s="128"/>
      <c r="P5" s="124">
        <v>52361.59</v>
      </c>
      <c r="Q5" s="209"/>
      <c r="R5" s="209"/>
      <c r="S5" s="160">
        <v>23414.8926102941</v>
      </c>
      <c r="T5" s="160"/>
      <c r="U5" s="160">
        <v>863.867647058823</v>
      </c>
      <c r="V5" s="160"/>
      <c r="W5" s="160"/>
      <c r="X5" s="160">
        <v>24278.7602573529</v>
      </c>
      <c r="Y5" s="174">
        <v>5143.112825</v>
      </c>
      <c r="Z5" s="174"/>
      <c r="AA5" s="174">
        <v>24.3034764705882</v>
      </c>
      <c r="AB5" s="174">
        <v>5167.41630147059</v>
      </c>
      <c r="AC5" s="125">
        <v>7.33</v>
      </c>
      <c r="AD5" s="160">
        <v>37877.1614897794</v>
      </c>
      <c r="AE5" s="160">
        <v>62155.9217471323</v>
      </c>
      <c r="AF5" s="160">
        <v>-9794.3317471323</v>
      </c>
    </row>
    <row r="6" s="88" customFormat="1" ht="12.75" spans="1:32">
      <c r="A6" s="101"/>
      <c r="B6" s="102"/>
      <c r="C6" s="103">
        <v>241210000044</v>
      </c>
      <c r="D6" s="104">
        <v>45609</v>
      </c>
      <c r="E6" s="104" t="s">
        <v>124</v>
      </c>
      <c r="F6" s="102" t="s">
        <v>125</v>
      </c>
      <c r="G6" s="102" t="s">
        <v>126</v>
      </c>
      <c r="H6" s="102">
        <v>5.104</v>
      </c>
      <c r="I6" s="102">
        <v>471</v>
      </c>
      <c r="J6" s="179">
        <v>7929.81</v>
      </c>
      <c r="K6" s="180"/>
      <c r="L6" s="130"/>
      <c r="M6" s="127"/>
      <c r="N6" s="126"/>
      <c r="O6" s="128"/>
      <c r="P6" s="124">
        <v>7929.81</v>
      </c>
      <c r="Q6" s="159"/>
      <c r="R6" s="159"/>
      <c r="S6" s="160">
        <v>3994.48047058824</v>
      </c>
      <c r="T6" s="160"/>
      <c r="U6" s="160">
        <v>146.74</v>
      </c>
      <c r="V6" s="160"/>
      <c r="W6" s="160"/>
      <c r="X6" s="160">
        <v>4141.22047058824</v>
      </c>
      <c r="Y6" s="174">
        <v>852.731284705882</v>
      </c>
      <c r="Z6" s="174"/>
      <c r="AA6" s="174">
        <v>4.01864941176471</v>
      </c>
      <c r="AB6" s="174">
        <v>856.749934117647</v>
      </c>
      <c r="AC6" s="125">
        <v>7.3</v>
      </c>
      <c r="AD6" s="160">
        <v>6254.27451905882</v>
      </c>
      <c r="AE6" s="160">
        <v>10395.4949896471</v>
      </c>
      <c r="AF6" s="160">
        <v>-2465.6849896471</v>
      </c>
    </row>
    <row r="7" s="88" customFormat="1" ht="12.75" spans="1:32">
      <c r="A7" s="101"/>
      <c r="B7" s="102"/>
      <c r="C7" s="103">
        <v>241113000012</v>
      </c>
      <c r="D7" s="104">
        <v>45609</v>
      </c>
      <c r="E7" s="104" t="s">
        <v>124</v>
      </c>
      <c r="F7" s="102" t="s">
        <v>125</v>
      </c>
      <c r="G7" s="102" t="s">
        <v>127</v>
      </c>
      <c r="H7" s="102">
        <v>5.5016</v>
      </c>
      <c r="I7" s="102">
        <v>2874</v>
      </c>
      <c r="J7" s="124"/>
      <c r="K7" s="129">
        <v>2264723.28</v>
      </c>
      <c r="L7" s="130"/>
      <c r="M7" s="127">
        <v>1608</v>
      </c>
      <c r="N7" s="126">
        <v>1408.41</v>
      </c>
      <c r="O7" s="128">
        <v>7.3</v>
      </c>
      <c r="P7" s="124">
        <v>10281.393</v>
      </c>
      <c r="Q7" s="159"/>
      <c r="R7" s="159"/>
      <c r="S7" s="160">
        <v>3786.63801176471</v>
      </c>
      <c r="T7" s="160"/>
      <c r="U7" s="160">
        <v>145.630588235294</v>
      </c>
      <c r="V7" s="160"/>
      <c r="W7" s="160"/>
      <c r="X7" s="160">
        <v>3932.2686</v>
      </c>
      <c r="Y7" s="174">
        <v>873.287576352941</v>
      </c>
      <c r="Z7" s="174"/>
      <c r="AA7" s="174">
        <v>7.68444070588235</v>
      </c>
      <c r="AB7" s="174">
        <v>880.972017058824</v>
      </c>
      <c r="AC7" s="125">
        <v>7.33</v>
      </c>
      <c r="AD7" s="160">
        <v>6457.52488504118</v>
      </c>
      <c r="AE7" s="160">
        <v>10389.7934850412</v>
      </c>
      <c r="AF7" s="160">
        <v>-108.400485041177</v>
      </c>
    </row>
    <row r="8" s="88" customFormat="1" ht="12.75" spans="1:32">
      <c r="A8" s="101"/>
      <c r="B8" s="102"/>
      <c r="C8" s="103">
        <v>241210000044</v>
      </c>
      <c r="D8" s="104">
        <v>45609</v>
      </c>
      <c r="E8" s="104" t="s">
        <v>124</v>
      </c>
      <c r="F8" s="102" t="s">
        <v>125</v>
      </c>
      <c r="G8" s="102" t="s">
        <v>126</v>
      </c>
      <c r="H8" s="102">
        <v>5.896</v>
      </c>
      <c r="I8" s="102">
        <v>922</v>
      </c>
      <c r="J8" s="179">
        <v>9160.23</v>
      </c>
      <c r="K8" s="125"/>
      <c r="L8" s="130"/>
      <c r="M8" s="127"/>
      <c r="N8" s="126"/>
      <c r="O8" s="128"/>
      <c r="P8" s="124">
        <v>9160.23</v>
      </c>
      <c r="Q8" s="159"/>
      <c r="R8" s="159"/>
      <c r="S8" s="160">
        <v>4058.09541176471</v>
      </c>
      <c r="T8" s="160"/>
      <c r="U8" s="160">
        <v>156.070588235294</v>
      </c>
      <c r="V8" s="160"/>
      <c r="W8" s="160"/>
      <c r="X8" s="160">
        <v>4214.166</v>
      </c>
      <c r="Y8" s="174">
        <v>935.892022352941</v>
      </c>
      <c r="Z8" s="174"/>
      <c r="AA8" s="174">
        <v>8.23532470588235</v>
      </c>
      <c r="AB8" s="174">
        <v>944.127347058824</v>
      </c>
      <c r="AC8" s="125">
        <v>7.33</v>
      </c>
      <c r="AD8" s="160">
        <v>6920.45345394118</v>
      </c>
      <c r="AE8" s="160">
        <v>11134.6194539412</v>
      </c>
      <c r="AF8" s="160">
        <v>-1974.3894539412</v>
      </c>
    </row>
    <row r="9" s="88" customFormat="1" ht="12.75" spans="1:32">
      <c r="A9" s="101"/>
      <c r="B9" s="102"/>
      <c r="C9" s="103">
        <v>241213000052</v>
      </c>
      <c r="D9" s="104">
        <v>45609</v>
      </c>
      <c r="E9" s="104" t="s">
        <v>124</v>
      </c>
      <c r="F9" s="102" t="s">
        <v>125</v>
      </c>
      <c r="G9" s="102" t="s">
        <v>126</v>
      </c>
      <c r="H9" s="102">
        <v>20.97</v>
      </c>
      <c r="I9" s="102">
        <v>2633</v>
      </c>
      <c r="J9" s="179">
        <v>32579.83</v>
      </c>
      <c r="K9" s="125"/>
      <c r="L9" s="130"/>
      <c r="M9" s="127"/>
      <c r="N9" s="126"/>
      <c r="O9" s="128"/>
      <c r="P9" s="124">
        <v>32579.83</v>
      </c>
      <c r="Q9" s="159"/>
      <c r="R9" s="159"/>
      <c r="S9" s="160">
        <v>14433.2192647059</v>
      </c>
      <c r="T9" s="160"/>
      <c r="U9" s="160">
        <v>555.088235294118</v>
      </c>
      <c r="V9" s="160"/>
      <c r="W9" s="160"/>
      <c r="X9" s="160">
        <v>14988.3075</v>
      </c>
      <c r="Y9" s="174">
        <v>3328.63902794118</v>
      </c>
      <c r="Z9" s="174"/>
      <c r="AA9" s="174">
        <v>29.2901558823529</v>
      </c>
      <c r="AB9" s="174">
        <v>3357.92918382353</v>
      </c>
      <c r="AC9" s="125">
        <v>7.33</v>
      </c>
      <c r="AD9" s="160">
        <v>24613.6209174265</v>
      </c>
      <c r="AE9" s="160">
        <v>39601.9284174265</v>
      </c>
      <c r="AF9" s="160">
        <v>-7022.0984174265</v>
      </c>
    </row>
    <row r="10" s="88" customFormat="1" ht="12.75" spans="1:32">
      <c r="A10" s="101"/>
      <c r="B10" s="102"/>
      <c r="C10" s="103">
        <v>241213000054</v>
      </c>
      <c r="D10" s="104">
        <v>45609</v>
      </c>
      <c r="E10" s="104" t="s">
        <v>124</v>
      </c>
      <c r="F10" s="102" t="s">
        <v>125</v>
      </c>
      <c r="G10" s="102" t="s">
        <v>126</v>
      </c>
      <c r="H10" s="102">
        <v>3.5</v>
      </c>
      <c r="I10" s="102">
        <v>419</v>
      </c>
      <c r="J10" s="179">
        <v>5437.74</v>
      </c>
      <c r="K10" s="125"/>
      <c r="L10" s="130"/>
      <c r="M10" s="127"/>
      <c r="N10" s="126"/>
      <c r="O10" s="128"/>
      <c r="P10" s="124">
        <v>5437.74</v>
      </c>
      <c r="Q10" s="209"/>
      <c r="R10" s="209"/>
      <c r="S10" s="160">
        <v>2408.97794117647</v>
      </c>
      <c r="T10" s="160"/>
      <c r="U10" s="160">
        <v>92.6470588235294</v>
      </c>
      <c r="V10" s="160"/>
      <c r="W10" s="160"/>
      <c r="X10" s="160">
        <v>2501.625</v>
      </c>
      <c r="Y10" s="174">
        <v>555.566838235294</v>
      </c>
      <c r="Z10" s="174"/>
      <c r="AA10" s="174">
        <v>4.88867647058824</v>
      </c>
      <c r="AB10" s="174">
        <v>560.455514705882</v>
      </c>
      <c r="AC10" s="125">
        <v>7.33</v>
      </c>
      <c r="AD10" s="160">
        <v>4108.13892279412</v>
      </c>
      <c r="AE10" s="160">
        <v>6609.76392279412</v>
      </c>
      <c r="AF10" s="160">
        <v>-1172.02392279412</v>
      </c>
    </row>
    <row r="11" s="88" customFormat="1" ht="12.75" spans="1:32">
      <c r="A11" s="101"/>
      <c r="B11" s="102"/>
      <c r="C11" s="103">
        <v>241113000044</v>
      </c>
      <c r="D11" s="104">
        <v>45616</v>
      </c>
      <c r="E11" s="104" t="s">
        <v>124</v>
      </c>
      <c r="F11" s="102" t="s">
        <v>125</v>
      </c>
      <c r="G11" s="102" t="s">
        <v>127</v>
      </c>
      <c r="H11" s="102">
        <v>2.0156</v>
      </c>
      <c r="I11" s="102">
        <v>301</v>
      </c>
      <c r="J11" s="124"/>
      <c r="K11" s="129">
        <v>829711.92</v>
      </c>
      <c r="L11" s="130"/>
      <c r="M11" s="127">
        <v>1608</v>
      </c>
      <c r="N11" s="126">
        <v>515.99</v>
      </c>
      <c r="O11" s="128">
        <v>7.3</v>
      </c>
      <c r="P11" s="124">
        <v>3766.727</v>
      </c>
      <c r="Q11" s="159"/>
      <c r="R11" s="159"/>
      <c r="S11" s="160">
        <v>1354.17196764706</v>
      </c>
      <c r="T11" s="160"/>
      <c r="U11" s="160">
        <v>59.2823529411765</v>
      </c>
      <c r="V11" s="160"/>
      <c r="W11" s="160"/>
      <c r="X11" s="160">
        <v>1413.45432058824</v>
      </c>
      <c r="Y11" s="174">
        <v>328.572441176471</v>
      </c>
      <c r="Z11" s="174"/>
      <c r="AA11" s="174">
        <v>2.29363423529412</v>
      </c>
      <c r="AB11" s="174">
        <v>330.866075411765</v>
      </c>
      <c r="AC11" s="125">
        <v>7.3</v>
      </c>
      <c r="AD11" s="160">
        <v>2415.32235050588</v>
      </c>
      <c r="AE11" s="160">
        <v>3828.77667109412</v>
      </c>
      <c r="AF11" s="160">
        <v>-62.0496710941179</v>
      </c>
    </row>
    <row r="12" s="88" customFormat="1" ht="12.75" spans="1:32">
      <c r="A12" s="101"/>
      <c r="B12" s="102"/>
      <c r="C12" s="103">
        <v>241114000013</v>
      </c>
      <c r="D12" s="104">
        <v>45616</v>
      </c>
      <c r="E12" s="104" t="s">
        <v>124</v>
      </c>
      <c r="F12" s="102" t="s">
        <v>125</v>
      </c>
      <c r="G12" s="102" t="s">
        <v>127</v>
      </c>
      <c r="H12" s="102">
        <v>0.0902</v>
      </c>
      <c r="I12" s="102">
        <v>76</v>
      </c>
      <c r="J12" s="124"/>
      <c r="K12" s="129">
        <v>37176.96</v>
      </c>
      <c r="L12" s="130"/>
      <c r="M12" s="127">
        <v>1608</v>
      </c>
      <c r="N12" s="126">
        <v>23.12</v>
      </c>
      <c r="O12" s="128">
        <v>7.3</v>
      </c>
      <c r="P12" s="124">
        <v>168.776</v>
      </c>
      <c r="Q12" s="159"/>
      <c r="R12" s="159"/>
      <c r="S12" s="160">
        <v>60.6004720588235</v>
      </c>
      <c r="T12" s="160"/>
      <c r="U12" s="160">
        <v>2.65294117647059</v>
      </c>
      <c r="V12" s="160"/>
      <c r="W12" s="160"/>
      <c r="X12" s="160">
        <v>63.2534132352941</v>
      </c>
      <c r="Y12" s="174">
        <v>14.7039264705882</v>
      </c>
      <c r="Z12" s="174"/>
      <c r="AA12" s="174">
        <v>0.102642294117647</v>
      </c>
      <c r="AB12" s="174">
        <v>14.8065687647059</v>
      </c>
      <c r="AC12" s="125">
        <v>7.3</v>
      </c>
      <c r="AD12" s="160">
        <v>108.087951982353</v>
      </c>
      <c r="AE12" s="160">
        <v>171.341365217647</v>
      </c>
      <c r="AF12" s="160">
        <v>-2.56536521764704</v>
      </c>
    </row>
    <row r="13" s="88" customFormat="1" ht="12.75" spans="1:32">
      <c r="A13" s="101"/>
      <c r="B13" s="102"/>
      <c r="C13" s="103">
        <v>241118000062</v>
      </c>
      <c r="D13" s="104">
        <v>45616</v>
      </c>
      <c r="E13" s="104" t="s">
        <v>124</v>
      </c>
      <c r="F13" s="102" t="s">
        <v>125</v>
      </c>
      <c r="G13" s="102" t="s">
        <v>127</v>
      </c>
      <c r="H13" s="102">
        <v>0.3791</v>
      </c>
      <c r="I13" s="102">
        <v>53</v>
      </c>
      <c r="J13" s="124"/>
      <c r="K13" s="129">
        <v>156056.4</v>
      </c>
      <c r="L13" s="130"/>
      <c r="M13" s="127">
        <v>1608</v>
      </c>
      <c r="N13" s="126">
        <v>97.05</v>
      </c>
      <c r="O13" s="128">
        <v>7.3</v>
      </c>
      <c r="P13" s="124">
        <v>708.465</v>
      </c>
      <c r="Q13" s="159"/>
      <c r="R13" s="159"/>
      <c r="S13" s="160">
        <v>254.6966625</v>
      </c>
      <c r="T13" s="160"/>
      <c r="U13" s="160">
        <v>11.15</v>
      </c>
      <c r="V13" s="160"/>
      <c r="W13" s="160"/>
      <c r="X13" s="160">
        <v>265.8466625</v>
      </c>
      <c r="Y13" s="174">
        <v>61.798875</v>
      </c>
      <c r="Z13" s="174"/>
      <c r="AA13" s="174">
        <v>0.4313935</v>
      </c>
      <c r="AB13" s="174">
        <v>62.2302685</v>
      </c>
      <c r="AC13" s="125">
        <v>7.3</v>
      </c>
      <c r="AD13" s="160">
        <v>454.28096005</v>
      </c>
      <c r="AE13" s="160">
        <v>720.12762255</v>
      </c>
      <c r="AF13" s="160">
        <v>-11.6626225499998</v>
      </c>
    </row>
    <row r="14" s="88" customFormat="1" ht="12.75" spans="1:32">
      <c r="A14" s="101"/>
      <c r="B14" s="102"/>
      <c r="C14" s="103">
        <v>241119000022</v>
      </c>
      <c r="D14" s="104">
        <v>45616</v>
      </c>
      <c r="E14" s="104" t="s">
        <v>124</v>
      </c>
      <c r="F14" s="102" t="s">
        <v>125</v>
      </c>
      <c r="G14" s="102" t="s">
        <v>127</v>
      </c>
      <c r="H14" s="102">
        <v>2.3578</v>
      </c>
      <c r="I14" s="102">
        <v>388</v>
      </c>
      <c r="J14" s="124"/>
      <c r="K14" s="129">
        <v>970588.8</v>
      </c>
      <c r="L14" s="130"/>
      <c r="M14" s="127">
        <v>1608</v>
      </c>
      <c r="N14" s="126">
        <v>603.6</v>
      </c>
      <c r="O14" s="128">
        <v>7.3</v>
      </c>
      <c r="P14" s="124">
        <v>4406.28</v>
      </c>
      <c r="Q14" s="159"/>
      <c r="R14" s="159"/>
      <c r="S14" s="160">
        <v>1584.07752794118</v>
      </c>
      <c r="T14" s="160"/>
      <c r="U14" s="160">
        <v>69.3470588235294</v>
      </c>
      <c r="V14" s="160"/>
      <c r="W14" s="160"/>
      <c r="X14" s="160">
        <v>1653.42458676471</v>
      </c>
      <c r="Y14" s="174">
        <v>384.356073529412</v>
      </c>
      <c r="Z14" s="174"/>
      <c r="AA14" s="174">
        <v>2.68303770588235</v>
      </c>
      <c r="AB14" s="174">
        <v>387.039111235294</v>
      </c>
      <c r="AC14" s="125">
        <v>7.3</v>
      </c>
      <c r="AD14" s="160">
        <v>2825.38551201765</v>
      </c>
      <c r="AE14" s="160">
        <v>4478.81009878235</v>
      </c>
      <c r="AF14" s="160">
        <v>-72.530098782353</v>
      </c>
    </row>
    <row r="15" s="88" customFormat="1" ht="12.75" spans="1:32">
      <c r="A15" s="101"/>
      <c r="B15" s="102"/>
      <c r="C15" s="103">
        <v>241113000043</v>
      </c>
      <c r="D15" s="104">
        <v>45616</v>
      </c>
      <c r="E15" s="104" t="s">
        <v>124</v>
      </c>
      <c r="F15" s="102" t="s">
        <v>125</v>
      </c>
      <c r="G15" s="102" t="s">
        <v>127</v>
      </c>
      <c r="H15" s="102">
        <v>7.2261</v>
      </c>
      <c r="I15" s="102">
        <v>7740</v>
      </c>
      <c r="J15" s="124"/>
      <c r="K15" s="129">
        <v>2974607.04</v>
      </c>
      <c r="L15" s="130"/>
      <c r="M15" s="127">
        <v>1608</v>
      </c>
      <c r="N15" s="126">
        <v>1849.88</v>
      </c>
      <c r="O15" s="128">
        <v>7.3</v>
      </c>
      <c r="P15" s="124">
        <v>13504.124</v>
      </c>
      <c r="Q15" s="159"/>
      <c r="R15" s="159"/>
      <c r="S15" s="160">
        <v>4854.82340514706</v>
      </c>
      <c r="T15" s="160"/>
      <c r="U15" s="160">
        <v>212.532352941176</v>
      </c>
      <c r="V15" s="160"/>
      <c r="W15" s="160"/>
      <c r="X15" s="160">
        <v>5067.35575808824</v>
      </c>
      <c r="Y15" s="174">
        <v>1177.96056617647</v>
      </c>
      <c r="Z15" s="174"/>
      <c r="AA15" s="174">
        <v>8.22287673529412</v>
      </c>
      <c r="AB15" s="174">
        <v>1186.18344291176</v>
      </c>
      <c r="AC15" s="125">
        <v>7.3</v>
      </c>
      <c r="AD15" s="160">
        <v>8659.13913325588</v>
      </c>
      <c r="AE15" s="160">
        <v>13726.4948913441</v>
      </c>
      <c r="AF15" s="160">
        <v>-222.370891344117</v>
      </c>
    </row>
    <row r="16" s="88" customFormat="1" ht="12.75" spans="1:32">
      <c r="A16" s="101"/>
      <c r="B16" s="102"/>
      <c r="C16" s="103">
        <v>241120000022</v>
      </c>
      <c r="D16" s="104">
        <v>45616</v>
      </c>
      <c r="E16" s="104" t="s">
        <v>124</v>
      </c>
      <c r="F16" s="102" t="s">
        <v>125</v>
      </c>
      <c r="G16" s="102" t="s">
        <v>126</v>
      </c>
      <c r="H16" s="102">
        <v>24.63</v>
      </c>
      <c r="I16" s="102">
        <v>3402</v>
      </c>
      <c r="J16" s="179">
        <v>38444.97</v>
      </c>
      <c r="K16" s="125"/>
      <c r="L16" s="130"/>
      <c r="M16" s="127"/>
      <c r="N16" s="126"/>
      <c r="O16" s="128"/>
      <c r="P16" s="124">
        <v>38444.97</v>
      </c>
      <c r="Q16" s="209"/>
      <c r="R16" s="209"/>
      <c r="S16" s="160">
        <v>16547.5568382353</v>
      </c>
      <c r="T16" s="160"/>
      <c r="U16" s="160">
        <v>724.411764705882</v>
      </c>
      <c r="V16" s="160"/>
      <c r="W16" s="160"/>
      <c r="X16" s="160">
        <v>17271.9686029412</v>
      </c>
      <c r="Y16" s="174">
        <v>4015.05220588235</v>
      </c>
      <c r="Z16" s="174"/>
      <c r="AA16" s="174">
        <v>28.0274911764706</v>
      </c>
      <c r="AB16" s="174">
        <v>4043.07969705882</v>
      </c>
      <c r="AC16" s="125">
        <v>7.3</v>
      </c>
      <c r="AD16" s="160">
        <v>29514.4817885294</v>
      </c>
      <c r="AE16" s="160">
        <v>46786.4503914706</v>
      </c>
      <c r="AF16" s="160">
        <v>-8341.4803914706</v>
      </c>
    </row>
    <row r="17" s="88" customFormat="1" ht="12.75" spans="1:32">
      <c r="A17" s="101"/>
      <c r="B17" s="102"/>
      <c r="C17" s="103">
        <v>241113000043</v>
      </c>
      <c r="D17" s="104">
        <v>45617</v>
      </c>
      <c r="E17" s="104" t="s">
        <v>124</v>
      </c>
      <c r="F17" s="102" t="s">
        <v>125</v>
      </c>
      <c r="G17" s="102" t="s">
        <v>127</v>
      </c>
      <c r="H17" s="102">
        <v>4.8174</v>
      </c>
      <c r="I17" s="102">
        <v>5160</v>
      </c>
      <c r="J17" s="124"/>
      <c r="K17" s="129">
        <v>1944345.36</v>
      </c>
      <c r="L17" s="130"/>
      <c r="M17" s="127">
        <v>1608</v>
      </c>
      <c r="N17" s="126">
        <v>1209.17</v>
      </c>
      <c r="O17" s="128">
        <v>7.3</v>
      </c>
      <c r="P17" s="124">
        <v>8826.941</v>
      </c>
      <c r="Q17" s="159"/>
      <c r="R17" s="159"/>
      <c r="S17" s="160">
        <v>3243.84588088235</v>
      </c>
      <c r="T17" s="160"/>
      <c r="U17" s="160">
        <v>92.0973529411765</v>
      </c>
      <c r="V17" s="160"/>
      <c r="W17" s="160"/>
      <c r="X17" s="160">
        <v>3335.94323382353</v>
      </c>
      <c r="Y17" s="174">
        <v>795.791973529412</v>
      </c>
      <c r="Z17" s="174"/>
      <c r="AA17" s="174">
        <v>14.8737225</v>
      </c>
      <c r="AB17" s="174">
        <v>810.665696029412</v>
      </c>
      <c r="AC17" s="125">
        <v>7.3</v>
      </c>
      <c r="AD17" s="160">
        <v>5917.85958101471</v>
      </c>
      <c r="AE17" s="160">
        <v>9253.80281483823</v>
      </c>
      <c r="AF17" s="160">
        <v>-426.861814838228</v>
      </c>
    </row>
    <row r="18" s="88" customFormat="1" ht="12.75" spans="1:32">
      <c r="A18" s="101"/>
      <c r="B18" s="102"/>
      <c r="C18" s="103">
        <v>241113000045</v>
      </c>
      <c r="D18" s="104">
        <v>45617</v>
      </c>
      <c r="E18" s="104" t="s">
        <v>124</v>
      </c>
      <c r="F18" s="102" t="s">
        <v>125</v>
      </c>
      <c r="G18" s="102" t="s">
        <v>127</v>
      </c>
      <c r="H18" s="102">
        <v>0.164</v>
      </c>
      <c r="I18" s="102">
        <v>134</v>
      </c>
      <c r="J18" s="124"/>
      <c r="K18" s="129">
        <v>66217.44</v>
      </c>
      <c r="L18" s="130"/>
      <c r="M18" s="127">
        <v>1608</v>
      </c>
      <c r="N18" s="126">
        <v>41.18</v>
      </c>
      <c r="O18" s="128">
        <v>7.3</v>
      </c>
      <c r="P18" s="124">
        <v>300.614</v>
      </c>
      <c r="Q18" s="159"/>
      <c r="R18" s="159"/>
      <c r="S18" s="160">
        <v>110.431088235294</v>
      </c>
      <c r="T18" s="160"/>
      <c r="U18" s="160">
        <v>3.13529411764706</v>
      </c>
      <c r="V18" s="160"/>
      <c r="W18" s="160"/>
      <c r="X18" s="160">
        <v>113.566382352941</v>
      </c>
      <c r="Y18" s="174">
        <v>27.0913529411765</v>
      </c>
      <c r="Z18" s="174"/>
      <c r="AA18" s="174">
        <v>0.50635</v>
      </c>
      <c r="AB18" s="174">
        <v>27.5977029411765</v>
      </c>
      <c r="AC18" s="125">
        <v>7.3</v>
      </c>
      <c r="AD18" s="160">
        <v>201.463231470588</v>
      </c>
      <c r="AE18" s="160">
        <v>315.029613823529</v>
      </c>
      <c r="AF18" s="160">
        <v>-14.415613823529</v>
      </c>
    </row>
    <row r="19" s="88" customFormat="1" ht="12.75" spans="1:32">
      <c r="A19" s="101"/>
      <c r="B19" s="102"/>
      <c r="C19" s="103">
        <v>241114000012</v>
      </c>
      <c r="D19" s="104">
        <v>45617</v>
      </c>
      <c r="E19" s="104" t="s">
        <v>124</v>
      </c>
      <c r="F19" s="102" t="s">
        <v>125</v>
      </c>
      <c r="G19" s="102" t="s">
        <v>127</v>
      </c>
      <c r="H19" s="102">
        <v>4.9075</v>
      </c>
      <c r="I19" s="102">
        <v>496</v>
      </c>
      <c r="J19" s="124"/>
      <c r="K19" s="129">
        <v>1980702.24</v>
      </c>
      <c r="L19" s="130"/>
      <c r="M19" s="127">
        <v>1608</v>
      </c>
      <c r="N19" s="126">
        <v>1231.78</v>
      </c>
      <c r="O19" s="128">
        <v>7.3</v>
      </c>
      <c r="P19" s="124">
        <v>8991.994</v>
      </c>
      <c r="Q19" s="159"/>
      <c r="R19" s="159"/>
      <c r="S19" s="160">
        <v>3304.51564338235</v>
      </c>
      <c r="T19" s="160"/>
      <c r="U19" s="160">
        <v>93.8198529411765</v>
      </c>
      <c r="V19" s="160"/>
      <c r="W19" s="160"/>
      <c r="X19" s="160">
        <v>3398.33549632353</v>
      </c>
      <c r="Y19" s="174">
        <v>810.675698529412</v>
      </c>
      <c r="Z19" s="174"/>
      <c r="AA19" s="174">
        <v>15.15190625</v>
      </c>
      <c r="AB19" s="174">
        <v>825.827604779412</v>
      </c>
      <c r="AC19" s="125">
        <v>7.3</v>
      </c>
      <c r="AD19" s="160">
        <v>6028.54151488971</v>
      </c>
      <c r="AE19" s="160">
        <v>9426.87701121324</v>
      </c>
      <c r="AF19" s="160">
        <v>-434.88301121324</v>
      </c>
    </row>
    <row r="20" s="88" customFormat="1" ht="12.75" spans="1:32">
      <c r="A20" s="101"/>
      <c r="B20" s="102"/>
      <c r="C20" s="103">
        <v>241118000061</v>
      </c>
      <c r="D20" s="104">
        <v>45617</v>
      </c>
      <c r="E20" s="104" t="s">
        <v>124</v>
      </c>
      <c r="F20" s="102" t="s">
        <v>125</v>
      </c>
      <c r="G20" s="102" t="s">
        <v>127</v>
      </c>
      <c r="H20" s="102">
        <v>0.2475</v>
      </c>
      <c r="I20" s="102">
        <v>27</v>
      </c>
      <c r="J20" s="124"/>
      <c r="K20" s="129">
        <v>99937.2</v>
      </c>
      <c r="L20" s="130"/>
      <c r="M20" s="127">
        <v>1608</v>
      </c>
      <c r="N20" s="126">
        <v>62.15</v>
      </c>
      <c r="O20" s="128">
        <v>7.3</v>
      </c>
      <c r="P20" s="124">
        <v>453.695</v>
      </c>
      <c r="Q20" s="159"/>
      <c r="R20" s="159"/>
      <c r="S20" s="160">
        <v>166.656672794118</v>
      </c>
      <c r="T20" s="160"/>
      <c r="U20" s="160">
        <v>4.73161764705882</v>
      </c>
      <c r="V20" s="160"/>
      <c r="W20" s="160"/>
      <c r="X20" s="160">
        <v>171.388290441176</v>
      </c>
      <c r="Y20" s="174">
        <v>40.8848161764706</v>
      </c>
      <c r="Z20" s="174"/>
      <c r="AA20" s="174">
        <v>0.76415625</v>
      </c>
      <c r="AB20" s="174">
        <v>41.6489724264706</v>
      </c>
      <c r="AC20" s="125">
        <v>7.3</v>
      </c>
      <c r="AD20" s="160">
        <v>304.037498713235</v>
      </c>
      <c r="AE20" s="160">
        <v>475.425789154412</v>
      </c>
      <c r="AF20" s="160">
        <v>-21.730789154412</v>
      </c>
    </row>
    <row r="21" s="88" customFormat="1" ht="12.75" spans="1:32">
      <c r="A21" s="101"/>
      <c r="B21" s="102"/>
      <c r="C21" s="103">
        <v>241118000064</v>
      </c>
      <c r="D21" s="104">
        <v>45617</v>
      </c>
      <c r="E21" s="104" t="s">
        <v>124</v>
      </c>
      <c r="F21" s="102" t="s">
        <v>125</v>
      </c>
      <c r="G21" s="102" t="s">
        <v>127</v>
      </c>
      <c r="H21" s="102">
        <v>0.0647</v>
      </c>
      <c r="I21" s="102">
        <v>9</v>
      </c>
      <c r="J21" s="124"/>
      <c r="K21" s="129">
        <v>26097.84</v>
      </c>
      <c r="L21" s="130"/>
      <c r="M21" s="127">
        <v>1608</v>
      </c>
      <c r="N21" s="126">
        <v>16.23</v>
      </c>
      <c r="O21" s="128">
        <v>7.3</v>
      </c>
      <c r="P21" s="124">
        <v>118.479</v>
      </c>
      <c r="Q21" s="159"/>
      <c r="R21" s="159"/>
      <c r="S21" s="160">
        <v>43.5664110294118</v>
      </c>
      <c r="T21" s="160"/>
      <c r="U21" s="160">
        <v>1.23691176470588</v>
      </c>
      <c r="V21" s="160"/>
      <c r="W21" s="160"/>
      <c r="X21" s="160">
        <v>44.8033227941176</v>
      </c>
      <c r="Y21" s="174">
        <v>10.6878691176471</v>
      </c>
      <c r="Z21" s="174"/>
      <c r="AA21" s="174">
        <v>0.19976125</v>
      </c>
      <c r="AB21" s="174">
        <v>10.8876303676471</v>
      </c>
      <c r="AC21" s="125">
        <v>7.3</v>
      </c>
      <c r="AD21" s="160">
        <v>79.4797016838235</v>
      </c>
      <c r="AE21" s="160">
        <v>124.283024477941</v>
      </c>
      <c r="AF21" s="160">
        <v>-5.804024477941</v>
      </c>
    </row>
    <row r="22" s="88" customFormat="1" ht="12.75" spans="1:32">
      <c r="A22" s="101"/>
      <c r="B22" s="102"/>
      <c r="C22" s="103">
        <v>241119000018</v>
      </c>
      <c r="D22" s="104">
        <v>45617</v>
      </c>
      <c r="E22" s="104" t="s">
        <v>124</v>
      </c>
      <c r="F22" s="102" t="s">
        <v>125</v>
      </c>
      <c r="G22" s="102" t="s">
        <v>127</v>
      </c>
      <c r="H22" s="102">
        <v>0.3528</v>
      </c>
      <c r="I22" s="102">
        <v>60</v>
      </c>
      <c r="J22" s="124"/>
      <c r="K22" s="129">
        <v>142388.4</v>
      </c>
      <c r="L22" s="130"/>
      <c r="M22" s="127">
        <v>1608</v>
      </c>
      <c r="N22" s="126">
        <v>88.55</v>
      </c>
      <c r="O22" s="128">
        <v>7.3</v>
      </c>
      <c r="P22" s="124">
        <v>646.415</v>
      </c>
      <c r="Q22" s="159"/>
      <c r="R22" s="159"/>
      <c r="S22" s="160">
        <v>237.561511764706</v>
      </c>
      <c r="T22" s="160"/>
      <c r="U22" s="160">
        <v>6.74470588235294</v>
      </c>
      <c r="V22" s="160"/>
      <c r="W22" s="160"/>
      <c r="X22" s="160">
        <v>244.306217647059</v>
      </c>
      <c r="Y22" s="174">
        <v>58.2794470588235</v>
      </c>
      <c r="Z22" s="174"/>
      <c r="AA22" s="174">
        <v>1.08927</v>
      </c>
      <c r="AB22" s="174">
        <v>59.3687170588235</v>
      </c>
      <c r="AC22" s="125">
        <v>7.3</v>
      </c>
      <c r="AD22" s="160">
        <v>433.391634529412</v>
      </c>
      <c r="AE22" s="160">
        <v>677.697852176471</v>
      </c>
      <c r="AF22" s="160">
        <v>-31.282852176471</v>
      </c>
    </row>
    <row r="23" s="88" customFormat="1" ht="12.75" spans="1:32">
      <c r="A23" s="101"/>
      <c r="B23" s="102"/>
      <c r="C23" s="103">
        <v>241119000019</v>
      </c>
      <c r="D23" s="104">
        <v>45617</v>
      </c>
      <c r="E23" s="104" t="s">
        <v>124</v>
      </c>
      <c r="F23" s="102" t="s">
        <v>125</v>
      </c>
      <c r="G23" s="102" t="s">
        <v>127</v>
      </c>
      <c r="H23" s="102">
        <v>0.8465</v>
      </c>
      <c r="I23" s="102">
        <v>76</v>
      </c>
      <c r="J23" s="124"/>
      <c r="K23" s="129">
        <v>341667.84</v>
      </c>
      <c r="L23" s="130"/>
      <c r="M23" s="127">
        <v>1608</v>
      </c>
      <c r="N23" s="126">
        <v>212.48</v>
      </c>
      <c r="O23" s="128">
        <v>7.3</v>
      </c>
      <c r="P23" s="124">
        <v>1551.104</v>
      </c>
      <c r="Q23" s="159"/>
      <c r="R23" s="159"/>
      <c r="S23" s="160">
        <v>569.999488970588</v>
      </c>
      <c r="T23" s="160"/>
      <c r="U23" s="160">
        <v>16.1830882352941</v>
      </c>
      <c r="V23" s="160"/>
      <c r="W23" s="160"/>
      <c r="X23" s="160">
        <v>586.182577205882</v>
      </c>
      <c r="Y23" s="174">
        <v>139.834330882353</v>
      </c>
      <c r="Z23" s="174"/>
      <c r="AA23" s="174">
        <v>2.61356875</v>
      </c>
      <c r="AB23" s="174">
        <v>142.447899632353</v>
      </c>
      <c r="AC23" s="125">
        <v>7.3</v>
      </c>
      <c r="AD23" s="160">
        <v>1039.86966731618</v>
      </c>
      <c r="AE23" s="160">
        <v>1626.05224452206</v>
      </c>
      <c r="AF23" s="160">
        <v>-74.9482445220601</v>
      </c>
    </row>
    <row r="24" s="88" customFormat="1" ht="12.75" spans="1:32">
      <c r="A24" s="101"/>
      <c r="B24" s="102"/>
      <c r="C24" s="103">
        <v>241119000020</v>
      </c>
      <c r="D24" s="104">
        <v>45617</v>
      </c>
      <c r="E24" s="104" t="s">
        <v>124</v>
      </c>
      <c r="F24" s="102" t="s">
        <v>125</v>
      </c>
      <c r="G24" s="102" t="s">
        <v>127</v>
      </c>
      <c r="H24" s="102">
        <v>0.1709</v>
      </c>
      <c r="I24" s="102">
        <v>14</v>
      </c>
      <c r="J24" s="124"/>
      <c r="K24" s="129">
        <v>68967.12</v>
      </c>
      <c r="L24" s="130"/>
      <c r="M24" s="127">
        <v>1608</v>
      </c>
      <c r="N24" s="126">
        <v>42.89</v>
      </c>
      <c r="O24" s="128">
        <v>7.3</v>
      </c>
      <c r="P24" s="124">
        <v>313.097</v>
      </c>
      <c r="Q24" s="159"/>
      <c r="R24" s="159"/>
      <c r="S24" s="160">
        <v>115.077274264706</v>
      </c>
      <c r="T24" s="160"/>
      <c r="U24" s="160">
        <v>3.26720588235294</v>
      </c>
      <c r="V24" s="160"/>
      <c r="W24" s="160"/>
      <c r="X24" s="160">
        <v>118.344480147059</v>
      </c>
      <c r="Y24" s="174">
        <v>28.2311720588235</v>
      </c>
      <c r="Z24" s="174"/>
      <c r="AA24" s="174">
        <v>0.52765375</v>
      </c>
      <c r="AB24" s="174">
        <v>28.7588258088235</v>
      </c>
      <c r="AC24" s="125">
        <v>7.3</v>
      </c>
      <c r="AD24" s="160">
        <v>209.939428404412</v>
      </c>
      <c r="AE24" s="160">
        <v>328.283908551471</v>
      </c>
      <c r="AF24" s="160">
        <v>-15.186908551471</v>
      </c>
    </row>
    <row r="25" s="88" customFormat="1" ht="12.75" spans="1:32">
      <c r="A25" s="101"/>
      <c r="B25" s="102"/>
      <c r="C25" s="103">
        <v>241120000030</v>
      </c>
      <c r="D25" s="104">
        <v>45617</v>
      </c>
      <c r="E25" s="104" t="s">
        <v>124</v>
      </c>
      <c r="F25" s="102" t="s">
        <v>125</v>
      </c>
      <c r="G25" s="102" t="s">
        <v>126</v>
      </c>
      <c r="H25" s="102">
        <v>33.45</v>
      </c>
      <c r="I25" s="102">
        <v>4005</v>
      </c>
      <c r="J25" s="179">
        <v>52212.11</v>
      </c>
      <c r="K25" s="125"/>
      <c r="L25" s="130"/>
      <c r="M25" s="127"/>
      <c r="N25" s="126"/>
      <c r="O25" s="128"/>
      <c r="P25" s="124">
        <v>52212.11</v>
      </c>
      <c r="Q25" s="209"/>
      <c r="R25" s="209"/>
      <c r="S25" s="160">
        <v>22523.9018382353</v>
      </c>
      <c r="T25" s="160"/>
      <c r="U25" s="160">
        <v>639.485294117647</v>
      </c>
      <c r="V25" s="160"/>
      <c r="W25" s="160"/>
      <c r="X25" s="160">
        <v>23163.3871323529</v>
      </c>
      <c r="Y25" s="174">
        <v>5525.64485294118</v>
      </c>
      <c r="Z25" s="174"/>
      <c r="AA25" s="174">
        <v>103.276875</v>
      </c>
      <c r="AB25" s="174">
        <v>5628.92172794118</v>
      </c>
      <c r="AC25" s="125">
        <v>7.3</v>
      </c>
      <c r="AD25" s="160">
        <v>41091.1286139706</v>
      </c>
      <c r="AE25" s="160">
        <v>64254.5157463235</v>
      </c>
      <c r="AF25" s="160">
        <v>-12042.4057463235</v>
      </c>
    </row>
    <row r="26" s="88" customFormat="1" ht="12.75" spans="1:32">
      <c r="A26" s="101"/>
      <c r="B26" s="102"/>
      <c r="C26" s="103">
        <v>241118000058</v>
      </c>
      <c r="D26" s="104">
        <v>45623</v>
      </c>
      <c r="E26" s="104" t="s">
        <v>124</v>
      </c>
      <c r="F26" s="102" t="s">
        <v>125</v>
      </c>
      <c r="G26" s="102" t="s">
        <v>127</v>
      </c>
      <c r="H26" s="102">
        <v>0.5167</v>
      </c>
      <c r="I26" s="102">
        <v>71</v>
      </c>
      <c r="J26" s="124"/>
      <c r="K26" s="129">
        <v>214362.48</v>
      </c>
      <c r="L26" s="130"/>
      <c r="M26" s="127">
        <v>1608</v>
      </c>
      <c r="N26" s="126">
        <v>133.31</v>
      </c>
      <c r="O26" s="128">
        <v>7.3</v>
      </c>
      <c r="P26" s="124">
        <v>973.163</v>
      </c>
      <c r="Q26" s="159"/>
      <c r="R26" s="159"/>
      <c r="S26" s="160">
        <v>357.386572867647</v>
      </c>
      <c r="T26" s="160"/>
      <c r="U26" s="160">
        <v>14.4372058823529</v>
      </c>
      <c r="V26" s="160"/>
      <c r="W26" s="160"/>
      <c r="X26" s="160">
        <v>371.82377875</v>
      </c>
      <c r="Y26" s="174">
        <v>84.1993044117647</v>
      </c>
      <c r="Z26" s="174"/>
      <c r="AA26" s="174">
        <v>0.407053220588235</v>
      </c>
      <c r="AB26" s="174">
        <v>84.606357632353</v>
      </c>
      <c r="AC26" s="125">
        <v>7.3</v>
      </c>
      <c r="AD26" s="160">
        <v>617.626410716177</v>
      </c>
      <c r="AE26" s="160">
        <v>989.450189466177</v>
      </c>
      <c r="AF26" s="160">
        <v>-16.2871894661766</v>
      </c>
    </row>
    <row r="27" s="88" customFormat="1" ht="12.75" spans="1:32">
      <c r="A27" s="101"/>
      <c r="B27" s="102"/>
      <c r="C27" s="103">
        <v>241118000059</v>
      </c>
      <c r="D27" s="104">
        <v>45623</v>
      </c>
      <c r="E27" s="104" t="s">
        <v>124</v>
      </c>
      <c r="F27" s="102" t="s">
        <v>125</v>
      </c>
      <c r="G27" s="102" t="s">
        <v>127</v>
      </c>
      <c r="H27" s="102">
        <v>0.8256</v>
      </c>
      <c r="I27" s="102">
        <v>31</v>
      </c>
      <c r="J27" s="124"/>
      <c r="K27" s="129">
        <v>342504</v>
      </c>
      <c r="L27" s="130"/>
      <c r="M27" s="127">
        <v>1608</v>
      </c>
      <c r="N27" s="126">
        <v>213</v>
      </c>
      <c r="O27" s="128">
        <v>7.3</v>
      </c>
      <c r="P27" s="124">
        <v>1554.9</v>
      </c>
      <c r="Q27" s="159"/>
      <c r="R27" s="159"/>
      <c r="S27" s="160">
        <v>571.043844705882</v>
      </c>
      <c r="T27" s="160"/>
      <c r="U27" s="160">
        <v>23.0682352941176</v>
      </c>
      <c r="V27" s="160"/>
      <c r="W27" s="160"/>
      <c r="X27" s="160">
        <v>594.11208</v>
      </c>
      <c r="Y27" s="174">
        <v>134.536376470588</v>
      </c>
      <c r="Z27" s="174"/>
      <c r="AA27" s="174">
        <v>0.650402823529412</v>
      </c>
      <c r="AB27" s="174">
        <v>135.186779294118</v>
      </c>
      <c r="AC27" s="125">
        <v>7.3</v>
      </c>
      <c r="AD27" s="160">
        <v>986.863488847059</v>
      </c>
      <c r="AE27" s="160">
        <v>1580.97556884706</v>
      </c>
      <c r="AF27" s="160">
        <v>-26.075568847059</v>
      </c>
    </row>
    <row r="28" s="88" customFormat="1" ht="12.75" spans="1:32">
      <c r="A28" s="101"/>
      <c r="B28" s="102"/>
      <c r="C28" s="103">
        <v>241118000060</v>
      </c>
      <c r="D28" s="104">
        <v>45623</v>
      </c>
      <c r="E28" s="104" t="s">
        <v>124</v>
      </c>
      <c r="F28" s="102" t="s">
        <v>125</v>
      </c>
      <c r="G28" s="102" t="s">
        <v>127</v>
      </c>
      <c r="H28" s="102">
        <v>0.132</v>
      </c>
      <c r="I28" s="102">
        <v>50</v>
      </c>
      <c r="J28" s="124"/>
      <c r="K28" s="129">
        <v>54768.48</v>
      </c>
      <c r="L28" s="130"/>
      <c r="M28" s="127">
        <v>1608</v>
      </c>
      <c r="N28" s="126">
        <v>34.06</v>
      </c>
      <c r="O28" s="128">
        <v>7.3</v>
      </c>
      <c r="P28" s="124">
        <v>248.638</v>
      </c>
      <c r="Q28" s="159"/>
      <c r="R28" s="159"/>
      <c r="S28" s="160">
        <v>91.3006147058824</v>
      </c>
      <c r="T28" s="160"/>
      <c r="U28" s="160">
        <v>3.68823529411765</v>
      </c>
      <c r="V28" s="160"/>
      <c r="W28" s="160"/>
      <c r="X28" s="160">
        <v>94.98885</v>
      </c>
      <c r="Y28" s="174">
        <v>21.5101764705882</v>
      </c>
      <c r="Z28" s="174"/>
      <c r="AA28" s="174">
        <v>0.103988823529412</v>
      </c>
      <c r="AB28" s="174">
        <v>21.6141652941177</v>
      </c>
      <c r="AC28" s="125">
        <v>7.3</v>
      </c>
      <c r="AD28" s="160">
        <v>157.783406647059</v>
      </c>
      <c r="AE28" s="160">
        <v>252.772256647059</v>
      </c>
      <c r="AF28" s="160">
        <v>-4.13425664705883</v>
      </c>
    </row>
    <row r="29" s="88" customFormat="1" ht="12.75" spans="1:32">
      <c r="A29" s="101"/>
      <c r="B29" s="102"/>
      <c r="C29" s="103">
        <v>241118000065</v>
      </c>
      <c r="D29" s="104">
        <v>45623</v>
      </c>
      <c r="E29" s="104" t="s">
        <v>124</v>
      </c>
      <c r="F29" s="102" t="s">
        <v>125</v>
      </c>
      <c r="G29" s="102" t="s">
        <v>127</v>
      </c>
      <c r="H29" s="102">
        <v>1.2613</v>
      </c>
      <c r="I29" s="102">
        <v>266</v>
      </c>
      <c r="J29" s="124"/>
      <c r="K29" s="129">
        <v>523146.72</v>
      </c>
      <c r="L29" s="130"/>
      <c r="M29" s="127">
        <v>1608</v>
      </c>
      <c r="N29" s="126">
        <v>325.34</v>
      </c>
      <c r="O29" s="128">
        <v>7.3</v>
      </c>
      <c r="P29" s="124">
        <v>2374.982</v>
      </c>
      <c r="Q29" s="159"/>
      <c r="R29" s="159"/>
      <c r="S29" s="160">
        <v>872.405040367647</v>
      </c>
      <c r="T29" s="160"/>
      <c r="U29" s="160">
        <v>35.2422058823529</v>
      </c>
      <c r="V29" s="160"/>
      <c r="W29" s="160"/>
      <c r="X29" s="160">
        <v>907.64724625</v>
      </c>
      <c r="Y29" s="174">
        <v>205.536254411765</v>
      </c>
      <c r="Z29" s="174"/>
      <c r="AA29" s="174">
        <v>0.993644720588235</v>
      </c>
      <c r="AB29" s="174">
        <v>206.529899132353</v>
      </c>
      <c r="AC29" s="125">
        <v>7.3</v>
      </c>
      <c r="AD29" s="160">
        <v>1507.66826366618</v>
      </c>
      <c r="AE29" s="160">
        <v>2415.31550991618</v>
      </c>
      <c r="AF29" s="160">
        <v>-40.3335099161768</v>
      </c>
    </row>
    <row r="30" s="88" customFormat="1" ht="12.75" spans="1:32">
      <c r="A30" s="101"/>
      <c r="B30" s="102"/>
      <c r="C30" s="103">
        <v>241118000067</v>
      </c>
      <c r="D30" s="104">
        <v>45623</v>
      </c>
      <c r="E30" s="104" t="s">
        <v>124</v>
      </c>
      <c r="F30" s="102" t="s">
        <v>125</v>
      </c>
      <c r="G30" s="102" t="s">
        <v>127</v>
      </c>
      <c r="H30" s="102">
        <v>0.2938</v>
      </c>
      <c r="I30" s="102">
        <v>56</v>
      </c>
      <c r="J30" s="124"/>
      <c r="K30" s="129">
        <v>121886.4</v>
      </c>
      <c r="L30" s="130"/>
      <c r="M30" s="127">
        <v>1608</v>
      </c>
      <c r="N30" s="126">
        <v>75.8</v>
      </c>
      <c r="O30" s="128">
        <v>7.3</v>
      </c>
      <c r="P30" s="124">
        <v>553.34</v>
      </c>
      <c r="Q30" s="159"/>
      <c r="R30" s="159"/>
      <c r="S30" s="160">
        <v>203.213034852941</v>
      </c>
      <c r="T30" s="160"/>
      <c r="U30" s="160">
        <v>8.20911764705882</v>
      </c>
      <c r="V30" s="160"/>
      <c r="W30" s="160"/>
      <c r="X30" s="160">
        <v>211.4221525</v>
      </c>
      <c r="Y30" s="174">
        <v>47.8764382352941</v>
      </c>
      <c r="Z30" s="174"/>
      <c r="AA30" s="174">
        <v>0.231453911764706</v>
      </c>
      <c r="AB30" s="174">
        <v>48.1078921470588</v>
      </c>
      <c r="AC30" s="125">
        <v>7.3</v>
      </c>
      <c r="AD30" s="160">
        <v>351.187612673529</v>
      </c>
      <c r="AE30" s="160">
        <v>562.609765173529</v>
      </c>
      <c r="AF30" s="160">
        <v>-9.26976517352944</v>
      </c>
    </row>
    <row r="31" s="88" customFormat="1" ht="12.75" spans="1:32">
      <c r="A31" s="101"/>
      <c r="B31" s="102"/>
      <c r="C31" s="103">
        <v>241127000014</v>
      </c>
      <c r="D31" s="104">
        <v>45623</v>
      </c>
      <c r="E31" s="104" t="s">
        <v>124</v>
      </c>
      <c r="F31" s="102" t="s">
        <v>125</v>
      </c>
      <c r="G31" s="102" t="s">
        <v>127</v>
      </c>
      <c r="H31" s="102">
        <v>0.8732</v>
      </c>
      <c r="I31" s="102">
        <v>115</v>
      </c>
      <c r="J31" s="124"/>
      <c r="K31" s="129">
        <v>362266.32</v>
      </c>
      <c r="L31" s="130"/>
      <c r="M31" s="127">
        <v>1608</v>
      </c>
      <c r="N31" s="126">
        <v>225.29</v>
      </c>
      <c r="O31" s="128">
        <v>7.3</v>
      </c>
      <c r="P31" s="124">
        <v>1644.617</v>
      </c>
      <c r="Q31" s="159"/>
      <c r="R31" s="159"/>
      <c r="S31" s="160">
        <v>603.967399705882</v>
      </c>
      <c r="T31" s="160"/>
      <c r="U31" s="160">
        <v>24.3982352941176</v>
      </c>
      <c r="V31" s="160"/>
      <c r="W31" s="160"/>
      <c r="X31" s="160">
        <v>628.365635</v>
      </c>
      <c r="Y31" s="174">
        <v>142.293076470588</v>
      </c>
      <c r="Z31" s="174"/>
      <c r="AA31" s="174">
        <v>0.687901823529412</v>
      </c>
      <c r="AB31" s="174">
        <v>142.980978294118</v>
      </c>
      <c r="AC31" s="125">
        <v>7.3</v>
      </c>
      <c r="AD31" s="160">
        <v>1043.76114154706</v>
      </c>
      <c r="AE31" s="160">
        <v>1672.12677654706</v>
      </c>
      <c r="AF31" s="160">
        <v>-27.5097765470589</v>
      </c>
    </row>
    <row r="32" s="88" customFormat="1" ht="12.75" spans="1:32">
      <c r="A32" s="101"/>
      <c r="B32" s="102"/>
      <c r="C32" s="103">
        <v>241119000021</v>
      </c>
      <c r="D32" s="104">
        <v>45623</v>
      </c>
      <c r="E32" s="104" t="s">
        <v>124</v>
      </c>
      <c r="F32" s="102" t="s">
        <v>125</v>
      </c>
      <c r="G32" s="102" t="s">
        <v>127</v>
      </c>
      <c r="H32" s="102">
        <v>1.3774</v>
      </c>
      <c r="I32" s="102">
        <v>231</v>
      </c>
      <c r="J32" s="124"/>
      <c r="K32" s="129">
        <v>571274.16</v>
      </c>
      <c r="L32" s="130"/>
      <c r="M32" s="127">
        <v>1608</v>
      </c>
      <c r="N32" s="126">
        <v>355.27</v>
      </c>
      <c r="O32" s="128">
        <v>7.3</v>
      </c>
      <c r="P32" s="124">
        <v>2593.471</v>
      </c>
      <c r="Q32" s="159"/>
      <c r="R32" s="159"/>
      <c r="S32" s="160">
        <v>952.708081029412</v>
      </c>
      <c r="T32" s="160"/>
      <c r="U32" s="160">
        <v>38.4861764705882</v>
      </c>
      <c r="V32" s="160"/>
      <c r="W32" s="160"/>
      <c r="X32" s="160">
        <v>991.1942575</v>
      </c>
      <c r="Y32" s="174">
        <v>224.455432352941</v>
      </c>
      <c r="Z32" s="174"/>
      <c r="AA32" s="174">
        <v>1.08510761764706</v>
      </c>
      <c r="AB32" s="174">
        <v>225.540539970588</v>
      </c>
      <c r="AC32" s="125">
        <v>7.3</v>
      </c>
      <c r="AD32" s="160">
        <v>1646.44594178529</v>
      </c>
      <c r="AE32" s="160">
        <v>2637.64019928529</v>
      </c>
      <c r="AF32" s="160">
        <v>-44.1691992852943</v>
      </c>
    </row>
    <row r="33" s="88" customFormat="1" ht="12.75" spans="1:32">
      <c r="A33" s="101"/>
      <c r="B33" s="102"/>
      <c r="C33" s="103">
        <v>241127000011</v>
      </c>
      <c r="D33" s="104">
        <v>45623</v>
      </c>
      <c r="E33" s="104" t="s">
        <v>124</v>
      </c>
      <c r="F33" s="102" t="s">
        <v>125</v>
      </c>
      <c r="G33" s="102" t="s">
        <v>127</v>
      </c>
      <c r="H33" s="102">
        <v>2.5492</v>
      </c>
      <c r="I33" s="102">
        <v>684</v>
      </c>
      <c r="J33" s="124"/>
      <c r="K33" s="129">
        <v>1057565.52</v>
      </c>
      <c r="L33" s="130"/>
      <c r="M33" s="127">
        <v>1608</v>
      </c>
      <c r="N33" s="126">
        <v>657.69</v>
      </c>
      <c r="O33" s="128">
        <v>7.3</v>
      </c>
      <c r="P33" s="124">
        <v>4801.137</v>
      </c>
      <c r="Q33" s="159"/>
      <c r="R33" s="159"/>
      <c r="S33" s="160">
        <v>1763.20853794118</v>
      </c>
      <c r="T33" s="160"/>
      <c r="U33" s="160">
        <v>71.2276470588235</v>
      </c>
      <c r="V33" s="160"/>
      <c r="W33" s="160"/>
      <c r="X33" s="160">
        <v>1834.436185</v>
      </c>
      <c r="Y33" s="174">
        <v>415.407135294118</v>
      </c>
      <c r="Z33" s="174"/>
      <c r="AA33" s="174">
        <v>2.00824476470588</v>
      </c>
      <c r="AB33" s="174">
        <v>417.415380058824</v>
      </c>
      <c r="AC33" s="125">
        <v>7.3</v>
      </c>
      <c r="AD33" s="160">
        <v>3047.13227442941</v>
      </c>
      <c r="AE33" s="160">
        <v>4881.56845942941</v>
      </c>
      <c r="AF33" s="160">
        <v>-80.4314594294119</v>
      </c>
    </row>
    <row r="34" s="88" customFormat="1" ht="12.75" spans="1:32">
      <c r="A34" s="101"/>
      <c r="B34" s="102"/>
      <c r="C34" s="103">
        <v>241127000015</v>
      </c>
      <c r="D34" s="104">
        <v>45623</v>
      </c>
      <c r="E34" s="104" t="s">
        <v>124</v>
      </c>
      <c r="F34" s="102" t="s">
        <v>125</v>
      </c>
      <c r="G34" s="102" t="s">
        <v>126</v>
      </c>
      <c r="H34" s="102">
        <v>33.06</v>
      </c>
      <c r="I34" s="102">
        <v>5293</v>
      </c>
      <c r="J34" s="179">
        <v>51603.35</v>
      </c>
      <c r="K34" s="125"/>
      <c r="L34" s="130"/>
      <c r="M34" s="127"/>
      <c r="N34" s="126"/>
      <c r="O34" s="128"/>
      <c r="P34" s="124">
        <v>51603.35</v>
      </c>
      <c r="Q34" s="159"/>
      <c r="R34" s="159"/>
      <c r="S34" s="160">
        <v>22866.6539558824</v>
      </c>
      <c r="T34" s="160"/>
      <c r="U34" s="160">
        <v>923.735294117647</v>
      </c>
      <c r="V34" s="160"/>
      <c r="W34" s="160"/>
      <c r="X34" s="160">
        <v>23790.38925</v>
      </c>
      <c r="Y34" s="174">
        <v>5387.32147058824</v>
      </c>
      <c r="Z34" s="174"/>
      <c r="AA34" s="174">
        <v>26.0444735294118</v>
      </c>
      <c r="AB34" s="174">
        <v>5413.36594411765</v>
      </c>
      <c r="AC34" s="125">
        <v>7.3</v>
      </c>
      <c r="AD34" s="160">
        <v>39517.5713920588</v>
      </c>
      <c r="AE34" s="160">
        <v>63307.9606420588</v>
      </c>
      <c r="AF34" s="160">
        <v>-11704.6106420588</v>
      </c>
    </row>
    <row r="35" s="194" customFormat="1" ht="19" customHeight="1" spans="1:32">
      <c r="A35" s="101" t="s">
        <v>105</v>
      </c>
      <c r="B35" s="196"/>
      <c r="C35" s="197"/>
      <c r="D35" s="198"/>
      <c r="E35" s="199"/>
      <c r="F35" s="196"/>
      <c r="G35" s="196"/>
      <c r="H35" s="196">
        <f>SUM(H5:H34)</f>
        <v>196.2159</v>
      </c>
      <c r="I35" s="204"/>
      <c r="J35" s="204"/>
      <c r="K35" s="204"/>
      <c r="L35" s="204"/>
      <c r="M35" s="205"/>
      <c r="N35" s="205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210"/>
      <c r="AC35" s="210"/>
      <c r="AD35" s="210"/>
      <c r="AE35" s="210"/>
      <c r="AF35" s="210">
        <f>SUM(AF5:AF34)</f>
        <v>-56269.9284288926</v>
      </c>
    </row>
    <row r="36" s="195" customFormat="1" ht="20" customHeight="1" spans="1:25">
      <c r="A36" s="200"/>
      <c r="B36" s="200"/>
      <c r="D36" s="201"/>
      <c r="H36" s="202"/>
      <c r="I36" s="206"/>
      <c r="J36" s="207"/>
      <c r="K36" s="202"/>
      <c r="L36" s="202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</row>
    <row r="37" s="1" customFormat="1" ht="23" customHeight="1" spans="3:16">
      <c r="C37" s="74" t="s">
        <v>72</v>
      </c>
      <c r="D37" s="74"/>
      <c r="E37" s="74"/>
      <c r="F37" s="109" t="s">
        <v>73</v>
      </c>
      <c r="G37" s="110"/>
      <c r="H37" s="110"/>
      <c r="I37" s="131"/>
      <c r="J37"/>
      <c r="K37" s="132" t="s">
        <v>128</v>
      </c>
      <c r="L37" s="133"/>
      <c r="M37" s="134"/>
      <c r="N37" s="208"/>
      <c r="O37"/>
      <c r="P37"/>
    </row>
    <row r="38" s="1" customFormat="1" ht="23" customHeight="1" spans="3:16">
      <c r="C38" s="74"/>
      <c r="D38" s="74"/>
      <c r="E38" s="74"/>
      <c r="F38" s="111"/>
      <c r="G38" s="112"/>
      <c r="H38" s="112"/>
      <c r="I38" s="135"/>
      <c r="J38"/>
      <c r="K38" s="136" t="s">
        <v>75</v>
      </c>
      <c r="L38" s="136" t="s">
        <v>8</v>
      </c>
      <c r="M38" s="136" t="s">
        <v>76</v>
      </c>
      <c r="N38" s="208"/>
      <c r="O38"/>
      <c r="P38"/>
    </row>
    <row r="39" s="1" customFormat="1" ht="23" customHeight="1" spans="3:16">
      <c r="C39" s="74" t="s">
        <v>77</v>
      </c>
      <c r="D39" s="74"/>
      <c r="E39" s="74"/>
      <c r="F39" s="80" t="s">
        <v>78</v>
      </c>
      <c r="G39" s="81"/>
      <c r="H39" s="81"/>
      <c r="I39" s="82"/>
      <c r="J39"/>
      <c r="K39" s="136" t="s">
        <v>79</v>
      </c>
      <c r="L39" s="137">
        <f>SUM(H35)</f>
        <v>196.2159</v>
      </c>
      <c r="M39" s="138">
        <f>SUM(AF35)</f>
        <v>-56269.9284288926</v>
      </c>
      <c r="N39" s="208"/>
      <c r="O39"/>
      <c r="P39"/>
    </row>
    <row r="40" s="1" customFormat="1" ht="23" customHeight="1" spans="3:16">
      <c r="C40" s="74"/>
      <c r="D40" s="74"/>
      <c r="E40" s="74"/>
      <c r="F40" s="83"/>
      <c r="G40" s="84"/>
      <c r="H40" s="84"/>
      <c r="I40" s="85"/>
      <c r="J40"/>
      <c r="K40" s="139" t="s">
        <v>80</v>
      </c>
      <c r="L40" s="139"/>
      <c r="M40" s="140"/>
      <c r="N40"/>
      <c r="O40"/>
      <c r="P40"/>
    </row>
    <row r="41" s="1" customFormat="1" ht="23" customHeight="1" spans="3:16">
      <c r="C41" s="74" t="s">
        <v>81</v>
      </c>
      <c r="D41" s="74"/>
      <c r="E41" s="74"/>
      <c r="F41" s="80" t="s">
        <v>82</v>
      </c>
      <c r="G41" s="81"/>
      <c r="H41" s="81"/>
      <c r="I41" s="82"/>
      <c r="J41"/>
      <c r="K41" s="141" t="s">
        <v>83</v>
      </c>
      <c r="L41" s="141"/>
      <c r="M41" s="142"/>
      <c r="N41"/>
      <c r="O41"/>
      <c r="P41"/>
    </row>
    <row r="42" s="1" customFormat="1" ht="23" customHeight="1" spans="3:16">
      <c r="C42" s="74"/>
      <c r="D42" s="74"/>
      <c r="E42" s="74"/>
      <c r="F42" s="83"/>
      <c r="G42" s="84"/>
      <c r="H42" s="84"/>
      <c r="I42" s="85"/>
      <c r="J42"/>
      <c r="K42" s="136" t="s">
        <v>84</v>
      </c>
      <c r="L42" s="136"/>
      <c r="M42" s="136"/>
      <c r="N42"/>
      <c r="O42"/>
      <c r="P42"/>
    </row>
    <row r="43" s="1" customFormat="1" ht="23" customHeight="1" spans="5:16">
      <c r="E43"/>
      <c r="F43"/>
      <c r="G43"/>
      <c r="H43"/>
      <c r="I43"/>
      <c r="J43"/>
      <c r="K43" s="139" t="s">
        <v>85</v>
      </c>
      <c r="L43" s="139"/>
      <c r="M43" s="140"/>
      <c r="N43"/>
      <c r="O43"/>
      <c r="P43"/>
    </row>
    <row r="44" s="1" customFormat="1" ht="23" customHeight="1" spans="5:16">
      <c r="E44"/>
      <c r="F44"/>
      <c r="G44"/>
      <c r="H44"/>
      <c r="I44"/>
      <c r="J44"/>
      <c r="K44"/>
      <c r="L44"/>
      <c r="M44"/>
      <c r="N44"/>
      <c r="O44"/>
      <c r="P44"/>
    </row>
    <row r="45" s="1" customFormat="1" ht="23" customHeight="1" spans="5:14">
      <c r="E45"/>
      <c r="F45"/>
      <c r="G45"/>
      <c r="H45"/>
      <c r="I45"/>
      <c r="J45"/>
      <c r="K45" s="143"/>
      <c r="L45" s="143"/>
      <c r="M45" s="143"/>
      <c r="N45" s="143"/>
    </row>
    <row r="46" s="1" customFormat="1" ht="23" customHeight="1" spans="5:13">
      <c r="E46"/>
      <c r="F46"/>
      <c r="G46"/>
      <c r="H46"/>
      <c r="I46"/>
      <c r="J46"/>
      <c r="K46"/>
      <c r="L46"/>
      <c r="M46"/>
    </row>
    <row r="47" s="1" customFormat="1" ht="23" customHeight="1" spans="5:19">
      <c r="E47"/>
      <c r="F47"/>
      <c r="G47"/>
      <c r="H47"/>
      <c r="I47"/>
      <c r="J47"/>
      <c r="K47"/>
      <c r="L47"/>
      <c r="M47"/>
      <c r="O47"/>
      <c r="P47"/>
      <c r="Q47"/>
      <c r="R47"/>
      <c r="S47" s="35"/>
    </row>
    <row r="48" s="1" customFormat="1" ht="23" customHeight="1" spans="5:19">
      <c r="E48" s="203"/>
      <c r="F48" s="203"/>
      <c r="G48" s="203"/>
      <c r="H48" s="203"/>
      <c r="I48" s="203"/>
      <c r="J48" s="203"/>
      <c r="K48" s="203"/>
      <c r="L48" s="203"/>
      <c r="N48" s="203"/>
      <c r="O48" s="203"/>
      <c r="P48" s="203"/>
      <c r="Q48" s="203"/>
      <c r="S48" s="35"/>
    </row>
    <row r="49" ht="25" customHeight="1"/>
  </sheetData>
  <mergeCells count="23">
    <mergeCell ref="J3:P3"/>
    <mergeCell ref="R3:V3"/>
    <mergeCell ref="Y3:AD3"/>
    <mergeCell ref="K37:M37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7:E38"/>
    <mergeCell ref="F37:I38"/>
    <mergeCell ref="C39:E40"/>
    <mergeCell ref="F39:I40"/>
    <mergeCell ref="C41:E42"/>
    <mergeCell ref="F41:I4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2"/>
  <sheetViews>
    <sheetView topLeftCell="B1" workbookViewId="0">
      <pane xSplit="13" ySplit="4" topLeftCell="O5" activePane="bottomRight" state="frozen"/>
      <selection/>
      <selection pane="topRight"/>
      <selection pane="bottomLeft"/>
      <selection pane="bottomRight" activeCell="M12" sqref="M12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1.25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4" t="s">
        <v>11</v>
      </c>
      <c r="R3" s="145" t="s">
        <v>12</v>
      </c>
      <c r="S3" s="146"/>
      <c r="T3" s="147"/>
      <c r="U3" s="148"/>
      <c r="V3" s="149"/>
      <c r="W3" s="150" t="s">
        <v>13</v>
      </c>
      <c r="X3" s="151" t="s">
        <v>14</v>
      </c>
      <c r="Y3" s="164" t="s">
        <v>15</v>
      </c>
      <c r="Z3" s="164"/>
      <c r="AA3" s="164"/>
      <c r="AB3" s="164"/>
      <c r="AC3" s="165"/>
      <c r="AD3" s="164"/>
      <c r="AE3" s="166" t="s">
        <v>16</v>
      </c>
      <c r="AF3" s="167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2"/>
      <c r="R4" s="153" t="s">
        <v>25</v>
      </c>
      <c r="S4" s="154" t="s">
        <v>26</v>
      </c>
      <c r="T4" s="155" t="s">
        <v>27</v>
      </c>
      <c r="U4" s="156" t="s">
        <v>28</v>
      </c>
      <c r="V4" s="155" t="s">
        <v>29</v>
      </c>
      <c r="W4" s="157"/>
      <c r="X4" s="158"/>
      <c r="Y4" s="168" t="s">
        <v>30</v>
      </c>
      <c r="Z4" s="168" t="s">
        <v>31</v>
      </c>
      <c r="AA4" s="168" t="s">
        <v>32</v>
      </c>
      <c r="AB4" s="169" t="s">
        <v>33</v>
      </c>
      <c r="AC4" s="170" t="s">
        <v>34</v>
      </c>
      <c r="AD4" s="171" t="s">
        <v>24</v>
      </c>
      <c r="AE4" s="172" t="s">
        <v>35</v>
      </c>
      <c r="AF4" s="173"/>
    </row>
    <row r="5" s="88" customFormat="1" ht="12.75" spans="1:32">
      <c r="A5" s="101"/>
      <c r="B5" s="102"/>
      <c r="C5" s="103">
        <v>241025000058</v>
      </c>
      <c r="D5" s="104">
        <v>45601</v>
      </c>
      <c r="E5" s="104" t="s">
        <v>129</v>
      </c>
      <c r="F5" s="102" t="s">
        <v>130</v>
      </c>
      <c r="G5" s="102" t="s">
        <v>131</v>
      </c>
      <c r="H5" s="102">
        <v>13.7</v>
      </c>
      <c r="I5" s="102">
        <v>2550</v>
      </c>
      <c r="J5" s="124"/>
      <c r="K5" s="129">
        <v>7067746.5</v>
      </c>
      <c r="L5" s="130"/>
      <c r="M5" s="127">
        <v>1648.80394439403</v>
      </c>
      <c r="N5" s="126">
        <v>4286.59</v>
      </c>
      <c r="O5" s="128">
        <v>7.29</v>
      </c>
      <c r="P5" s="124">
        <v>31249.2411</v>
      </c>
      <c r="Q5" s="159"/>
      <c r="R5" s="159"/>
      <c r="S5" s="160">
        <v>9915.27426470588</v>
      </c>
      <c r="T5" s="160">
        <v>22.8951176470588</v>
      </c>
      <c r="U5" s="160">
        <v>483.529411764706</v>
      </c>
      <c r="V5" s="160"/>
      <c r="W5" s="160"/>
      <c r="X5" s="160">
        <v>10421.6987941176</v>
      </c>
      <c r="Y5" s="174">
        <v>2206.04652941176</v>
      </c>
      <c r="Z5" s="174">
        <v>90.97</v>
      </c>
      <c r="AA5" s="174"/>
      <c r="AB5" s="174">
        <v>2297.01652941176</v>
      </c>
      <c r="AC5" s="125">
        <v>7.33</v>
      </c>
      <c r="AD5" s="160">
        <v>16837.1311605882</v>
      </c>
      <c r="AE5" s="160">
        <v>27258.8299547059</v>
      </c>
      <c r="AF5" s="160">
        <v>3990.41114529412</v>
      </c>
    </row>
    <row r="6" s="178" customFormat="1" ht="12.75" spans="1:32">
      <c r="A6" s="101"/>
      <c r="B6" s="102"/>
      <c r="C6" s="103">
        <v>241105000054</v>
      </c>
      <c r="D6" s="104">
        <v>45608</v>
      </c>
      <c r="E6" s="104" t="s">
        <v>129</v>
      </c>
      <c r="F6" s="102" t="s">
        <v>130</v>
      </c>
      <c r="G6" s="102" t="s">
        <v>132</v>
      </c>
      <c r="H6" s="102">
        <v>0.3709</v>
      </c>
      <c r="I6" s="102">
        <v>167</v>
      </c>
      <c r="J6" s="124"/>
      <c r="K6" s="129">
        <v>206012.98</v>
      </c>
      <c r="L6" s="130"/>
      <c r="M6" s="127">
        <v>1664.88588976887</v>
      </c>
      <c r="N6" s="126">
        <v>123.74</v>
      </c>
      <c r="O6" s="128">
        <v>7.27</v>
      </c>
      <c r="P6" s="124">
        <v>899.5898</v>
      </c>
      <c r="Q6" s="159"/>
      <c r="R6" s="159"/>
      <c r="S6" s="160">
        <v>290.272885294118</v>
      </c>
      <c r="T6" s="160"/>
      <c r="U6" s="160">
        <v>10.663375</v>
      </c>
      <c r="V6" s="160"/>
      <c r="W6" s="160"/>
      <c r="X6" s="160">
        <v>300.936260294118</v>
      </c>
      <c r="Y6" s="174">
        <v>61.9666993529412</v>
      </c>
      <c r="Z6" s="174"/>
      <c r="AA6" s="174">
        <v>0.292029205882353</v>
      </c>
      <c r="AB6" s="174">
        <v>62.2587285588235</v>
      </c>
      <c r="AC6" s="125">
        <v>7.3</v>
      </c>
      <c r="AD6" s="160">
        <v>454.488718479412</v>
      </c>
      <c r="AE6" s="160">
        <v>755.424978773529</v>
      </c>
      <c r="AF6" s="160">
        <v>144.164821226471</v>
      </c>
    </row>
    <row r="7" s="88" customFormat="1" ht="12.75" spans="1:32">
      <c r="A7" s="101"/>
      <c r="B7" s="102"/>
      <c r="C7" s="103">
        <v>241111000061</v>
      </c>
      <c r="D7" s="104">
        <v>45615</v>
      </c>
      <c r="E7" s="104" t="s">
        <v>129</v>
      </c>
      <c r="F7" s="102" t="s">
        <v>130</v>
      </c>
      <c r="G7" s="102" t="s">
        <v>133</v>
      </c>
      <c r="H7" s="102">
        <v>0.45</v>
      </c>
      <c r="I7" s="102">
        <v>124</v>
      </c>
      <c r="J7" s="179">
        <v>1257.4</v>
      </c>
      <c r="K7" s="125"/>
      <c r="L7" s="130"/>
      <c r="M7" s="127"/>
      <c r="N7" s="130"/>
      <c r="O7" s="128"/>
      <c r="P7" s="124">
        <v>1257.4</v>
      </c>
      <c r="Q7" s="159"/>
      <c r="R7" s="159"/>
      <c r="S7" s="160">
        <v>314.923897058824</v>
      </c>
      <c r="T7" s="160"/>
      <c r="U7" s="160">
        <v>15.2205882352941</v>
      </c>
      <c r="V7" s="160"/>
      <c r="W7" s="160"/>
      <c r="X7" s="160">
        <v>330.144485294118</v>
      </c>
      <c r="Y7" s="174">
        <v>73.3566176470588</v>
      </c>
      <c r="Z7" s="174">
        <v>20.81</v>
      </c>
      <c r="AA7" s="174">
        <v>0.497117647058824</v>
      </c>
      <c r="AB7" s="174">
        <v>94.6637352941177</v>
      </c>
      <c r="AC7" s="125">
        <v>7.3</v>
      </c>
      <c r="AD7" s="160">
        <v>691.045267647059</v>
      </c>
      <c r="AE7" s="160">
        <v>1021.18975294118</v>
      </c>
      <c r="AF7" s="160">
        <v>236.210247058824</v>
      </c>
    </row>
    <row r="8" s="194" customFormat="1" ht="19" customHeight="1" spans="1:32">
      <c r="A8" s="101" t="s">
        <v>105</v>
      </c>
      <c r="B8" s="196"/>
      <c r="C8" s="197"/>
      <c r="D8" s="198"/>
      <c r="E8" s="199"/>
      <c r="F8" s="196"/>
      <c r="G8" s="196"/>
      <c r="H8" s="196">
        <f>SUM(H5:H7)</f>
        <v>14.5209</v>
      </c>
      <c r="I8" s="204"/>
      <c r="J8" s="204"/>
      <c r="K8" s="204"/>
      <c r="L8" s="204"/>
      <c r="M8" s="205"/>
      <c r="N8" s="205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210"/>
      <c r="AC8" s="210"/>
      <c r="AD8" s="210"/>
      <c r="AE8" s="210"/>
      <c r="AF8" s="210">
        <f>SUM(AF5:AF7)</f>
        <v>4370.78621357942</v>
      </c>
    </row>
    <row r="9" s="195" customFormat="1" ht="20" customHeight="1" spans="1:25">
      <c r="A9" s="200"/>
      <c r="B9" s="200"/>
      <c r="D9" s="201"/>
      <c r="H9" s="202"/>
      <c r="I9" s="206"/>
      <c r="J9" s="207"/>
      <c r="K9" s="202"/>
      <c r="L9" s="202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</row>
    <row r="10" s="1" customFormat="1" ht="23" customHeight="1" spans="3:16">
      <c r="C10" s="74" t="s">
        <v>72</v>
      </c>
      <c r="D10" s="74"/>
      <c r="E10" s="74"/>
      <c r="F10" s="109" t="s">
        <v>73</v>
      </c>
      <c r="G10" s="110"/>
      <c r="H10" s="110"/>
      <c r="I10" s="131"/>
      <c r="J10"/>
      <c r="K10" s="132" t="s">
        <v>134</v>
      </c>
      <c r="L10" s="133"/>
      <c r="M10" s="134"/>
      <c r="N10" s="208"/>
      <c r="O10"/>
      <c r="P10"/>
    </row>
    <row r="11" s="1" customFormat="1" ht="23" customHeight="1" spans="3:16">
      <c r="C11" s="74"/>
      <c r="D11" s="74"/>
      <c r="E11" s="74"/>
      <c r="F11" s="111"/>
      <c r="G11" s="112"/>
      <c r="H11" s="112"/>
      <c r="I11" s="135"/>
      <c r="J11"/>
      <c r="K11" s="136" t="s">
        <v>75</v>
      </c>
      <c r="L11" s="136" t="s">
        <v>8</v>
      </c>
      <c r="M11" s="136" t="s">
        <v>76</v>
      </c>
      <c r="N11" s="208"/>
      <c r="O11"/>
      <c r="P11"/>
    </row>
    <row r="12" s="1" customFormat="1" ht="23" customHeight="1" spans="3:16">
      <c r="C12" s="74" t="s">
        <v>77</v>
      </c>
      <c r="D12" s="74"/>
      <c r="E12" s="74"/>
      <c r="F12" s="80" t="s">
        <v>78</v>
      </c>
      <c r="G12" s="81"/>
      <c r="H12" s="81"/>
      <c r="I12" s="82"/>
      <c r="J12"/>
      <c r="K12" s="136" t="s">
        <v>79</v>
      </c>
      <c r="L12" s="137">
        <f>SUM(H8)</f>
        <v>14.5209</v>
      </c>
      <c r="M12" s="138">
        <f>SUM(AF8)</f>
        <v>4370.78621357942</v>
      </c>
      <c r="N12" s="208"/>
      <c r="O12"/>
      <c r="P12"/>
    </row>
    <row r="13" s="1" customFormat="1" ht="23" customHeight="1" spans="3:16">
      <c r="C13" s="74"/>
      <c r="D13" s="74"/>
      <c r="E13" s="74"/>
      <c r="F13" s="83"/>
      <c r="G13" s="84"/>
      <c r="H13" s="84"/>
      <c r="I13" s="85"/>
      <c r="J13"/>
      <c r="K13" s="139" t="s">
        <v>80</v>
      </c>
      <c r="L13" s="139"/>
      <c r="M13" s="140"/>
      <c r="N13"/>
      <c r="O13"/>
      <c r="P13"/>
    </row>
    <row r="14" s="1" customFormat="1" ht="23" customHeight="1" spans="3:16">
      <c r="C14" s="74" t="s">
        <v>81</v>
      </c>
      <c r="D14" s="74"/>
      <c r="E14" s="74"/>
      <c r="F14" s="80" t="s">
        <v>82</v>
      </c>
      <c r="G14" s="81"/>
      <c r="H14" s="81"/>
      <c r="I14" s="82"/>
      <c r="J14"/>
      <c r="K14" s="141" t="s">
        <v>83</v>
      </c>
      <c r="L14" s="141"/>
      <c r="M14" s="142"/>
      <c r="N14"/>
      <c r="O14"/>
      <c r="P14"/>
    </row>
    <row r="15" s="1" customFormat="1" ht="23" customHeight="1" spans="3:16">
      <c r="C15" s="74"/>
      <c r="D15" s="74"/>
      <c r="E15" s="74"/>
      <c r="F15" s="83"/>
      <c r="G15" s="84"/>
      <c r="H15" s="84"/>
      <c r="I15" s="85"/>
      <c r="J15"/>
      <c r="K15" s="136" t="s">
        <v>84</v>
      </c>
      <c r="L15" s="136"/>
      <c r="M15" s="136"/>
      <c r="N15"/>
      <c r="O15"/>
      <c r="P15"/>
    </row>
    <row r="16" s="1" customFormat="1" ht="23" customHeight="1" spans="5:16">
      <c r="E16"/>
      <c r="F16"/>
      <c r="G16"/>
      <c r="H16"/>
      <c r="I16"/>
      <c r="J16"/>
      <c r="K16" s="139" t="s">
        <v>85</v>
      </c>
      <c r="L16" s="139"/>
      <c r="M16" s="140"/>
      <c r="N16"/>
      <c r="O16"/>
      <c r="P16"/>
    </row>
    <row r="17" s="1" customFormat="1" ht="23" customHeight="1" spans="5:16">
      <c r="E17"/>
      <c r="F17"/>
      <c r="G17"/>
      <c r="H17"/>
      <c r="I17"/>
      <c r="J17"/>
      <c r="K17"/>
      <c r="L17"/>
      <c r="M17"/>
      <c r="N17"/>
      <c r="O17"/>
      <c r="P17"/>
    </row>
    <row r="18" s="1" customFormat="1" ht="23" customHeight="1" spans="5:14">
      <c r="E18"/>
      <c r="F18"/>
      <c r="G18"/>
      <c r="H18"/>
      <c r="I18"/>
      <c r="J18"/>
      <c r="K18" s="143"/>
      <c r="L18" s="143"/>
      <c r="M18" s="143"/>
      <c r="N18" s="143"/>
    </row>
    <row r="19" s="1" customFormat="1" ht="23" customHeight="1" spans="5:13">
      <c r="E19"/>
      <c r="F19"/>
      <c r="G19"/>
      <c r="H19"/>
      <c r="I19"/>
      <c r="J19"/>
      <c r="K19"/>
      <c r="L19"/>
      <c r="M19"/>
    </row>
    <row r="20" s="1" customFormat="1" ht="23" customHeight="1" spans="5:19">
      <c r="E20"/>
      <c r="F20"/>
      <c r="G20"/>
      <c r="H20"/>
      <c r="I20"/>
      <c r="J20"/>
      <c r="K20"/>
      <c r="L20"/>
      <c r="M20"/>
      <c r="O20"/>
      <c r="P20"/>
      <c r="Q20"/>
      <c r="R20"/>
      <c r="S20" s="35"/>
    </row>
    <row r="21" s="1" customFormat="1" ht="23" customHeight="1" spans="5:19">
      <c r="E21" s="203"/>
      <c r="F21" s="203"/>
      <c r="G21" s="203"/>
      <c r="H21" s="203"/>
      <c r="I21" s="203"/>
      <c r="J21" s="203"/>
      <c r="K21" s="203"/>
      <c r="L21" s="203"/>
      <c r="N21" s="203"/>
      <c r="O21" s="203"/>
      <c r="P21" s="203"/>
      <c r="Q21" s="203"/>
      <c r="S21" s="35"/>
    </row>
    <row r="22" ht="25" customHeight="1"/>
  </sheetData>
  <mergeCells count="23">
    <mergeCell ref="J3:P3"/>
    <mergeCell ref="R3:V3"/>
    <mergeCell ref="Y3:AD3"/>
    <mergeCell ref="K10:M10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0:E11"/>
    <mergeCell ref="F10:I11"/>
    <mergeCell ref="C12:E13"/>
    <mergeCell ref="F12:I13"/>
    <mergeCell ref="C14:E15"/>
    <mergeCell ref="F14:I15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workbookViewId="0">
      <pane xSplit="14" ySplit="4" topLeftCell="AC5" activePane="bottomRight" state="frozen"/>
      <selection/>
      <selection pane="topRight"/>
      <selection pane="bottomLeft"/>
      <selection pane="bottomRight" activeCell="M21" sqref="M21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4" t="s">
        <v>11</v>
      </c>
      <c r="R3" s="145" t="s">
        <v>12</v>
      </c>
      <c r="S3" s="146"/>
      <c r="T3" s="147"/>
      <c r="U3" s="148"/>
      <c r="V3" s="149"/>
      <c r="W3" s="150" t="s">
        <v>13</v>
      </c>
      <c r="X3" s="151" t="s">
        <v>14</v>
      </c>
      <c r="Y3" s="164" t="s">
        <v>15</v>
      </c>
      <c r="Z3" s="164"/>
      <c r="AA3" s="164"/>
      <c r="AB3" s="164"/>
      <c r="AC3" s="165"/>
      <c r="AD3" s="164"/>
      <c r="AE3" s="166" t="s">
        <v>16</v>
      </c>
      <c r="AF3" s="167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2"/>
      <c r="R4" s="153" t="s">
        <v>25</v>
      </c>
      <c r="S4" s="154" t="s">
        <v>26</v>
      </c>
      <c r="T4" s="155" t="s">
        <v>27</v>
      </c>
      <c r="U4" s="156" t="s">
        <v>28</v>
      </c>
      <c r="V4" s="155" t="s">
        <v>29</v>
      </c>
      <c r="W4" s="157"/>
      <c r="X4" s="158"/>
      <c r="Y4" s="168" t="s">
        <v>30</v>
      </c>
      <c r="Z4" s="168" t="s">
        <v>31</v>
      </c>
      <c r="AA4" s="168" t="s">
        <v>32</v>
      </c>
      <c r="AB4" s="169" t="s">
        <v>33</v>
      </c>
      <c r="AC4" s="170" t="s">
        <v>34</v>
      </c>
      <c r="AD4" s="171" t="s">
        <v>24</v>
      </c>
      <c r="AE4" s="172" t="s">
        <v>35</v>
      </c>
      <c r="AF4" s="173"/>
    </row>
    <row r="5" s="88" customFormat="1" ht="12.75" spans="1:32">
      <c r="A5" s="101"/>
      <c r="B5" s="102"/>
      <c r="C5" s="103">
        <v>241209000060</v>
      </c>
      <c r="D5" s="104">
        <v>45601</v>
      </c>
      <c r="E5" s="104" t="s">
        <v>135</v>
      </c>
      <c r="F5" s="102" t="s">
        <v>136</v>
      </c>
      <c r="G5" s="102" t="s">
        <v>137</v>
      </c>
      <c r="H5" s="102">
        <v>17.902</v>
      </c>
      <c r="I5" s="102">
        <v>17472</v>
      </c>
      <c r="J5" s="179">
        <v>41296.32</v>
      </c>
      <c r="K5" s="125"/>
      <c r="L5" s="130"/>
      <c r="M5" s="127"/>
      <c r="N5" s="130"/>
      <c r="O5" s="128"/>
      <c r="P5" s="124">
        <v>41296.32</v>
      </c>
      <c r="Q5" s="209"/>
      <c r="R5" s="209"/>
      <c r="S5" s="160">
        <v>12956.4408676471</v>
      </c>
      <c r="T5" s="160">
        <v>29.9174011764706</v>
      </c>
      <c r="U5" s="160">
        <v>631.835294117647</v>
      </c>
      <c r="V5" s="160"/>
      <c r="W5" s="160"/>
      <c r="X5" s="160">
        <v>13618.1935629412</v>
      </c>
      <c r="Y5" s="174">
        <v>2882.67481529412</v>
      </c>
      <c r="Z5" s="174"/>
      <c r="AA5" s="174"/>
      <c r="AB5" s="174">
        <v>2882.67481529412</v>
      </c>
      <c r="AC5" s="125">
        <v>7.33</v>
      </c>
      <c r="AD5" s="160">
        <v>21130.0063961059</v>
      </c>
      <c r="AE5" s="160">
        <v>34748.1999590471</v>
      </c>
      <c r="AF5" s="160">
        <v>6548.1200409529</v>
      </c>
    </row>
    <row r="6" s="88" customFormat="1" ht="12.75" spans="1:32">
      <c r="A6" s="101"/>
      <c r="B6" s="102"/>
      <c r="C6" s="103">
        <v>241101000057</v>
      </c>
      <c r="D6" s="104">
        <v>45602</v>
      </c>
      <c r="E6" s="104" t="s">
        <v>135</v>
      </c>
      <c r="F6" s="102" t="s">
        <v>136</v>
      </c>
      <c r="G6" s="102" t="s">
        <v>138</v>
      </c>
      <c r="H6" s="102">
        <v>1.1063</v>
      </c>
      <c r="I6" s="102">
        <v>567</v>
      </c>
      <c r="J6" s="179">
        <v>2422.8</v>
      </c>
      <c r="K6" s="180"/>
      <c r="L6" s="130"/>
      <c r="M6" s="127"/>
      <c r="N6" s="130"/>
      <c r="O6" s="128"/>
      <c r="P6" s="124">
        <v>2422.8</v>
      </c>
      <c r="Q6" s="159"/>
      <c r="R6" s="159"/>
      <c r="S6" s="160">
        <v>793.745846323529</v>
      </c>
      <c r="T6" s="160"/>
      <c r="U6" s="160">
        <v>29.2844117647059</v>
      </c>
      <c r="V6" s="160"/>
      <c r="W6" s="160"/>
      <c r="X6" s="160">
        <v>823.030258088235</v>
      </c>
      <c r="Y6" s="174">
        <v>174.3473485</v>
      </c>
      <c r="Z6" s="174"/>
      <c r="AA6" s="174">
        <v>0.823868117647059</v>
      </c>
      <c r="AB6" s="174">
        <v>175.171216617647</v>
      </c>
      <c r="AC6" s="125">
        <v>7.33</v>
      </c>
      <c r="AD6" s="160">
        <v>1284.00501780735</v>
      </c>
      <c r="AE6" s="160">
        <v>2107.03527589559</v>
      </c>
      <c r="AF6" s="160">
        <v>315.76472410441</v>
      </c>
    </row>
    <row r="7" s="178" customFormat="1" ht="12.75" spans="1:32">
      <c r="A7" s="101"/>
      <c r="B7" s="102"/>
      <c r="C7" s="103">
        <v>241105000024</v>
      </c>
      <c r="D7" s="104">
        <v>45608</v>
      </c>
      <c r="E7" s="104" t="s">
        <v>135</v>
      </c>
      <c r="F7" s="102" t="s">
        <v>136</v>
      </c>
      <c r="G7" s="102" t="s">
        <v>139</v>
      </c>
      <c r="H7" s="102">
        <v>2.0026</v>
      </c>
      <c r="I7" s="102">
        <v>262.5</v>
      </c>
      <c r="J7" s="179">
        <v>4385.69</v>
      </c>
      <c r="K7" s="125"/>
      <c r="L7" s="130"/>
      <c r="M7" s="127"/>
      <c r="N7" s="130"/>
      <c r="O7" s="128"/>
      <c r="P7" s="124">
        <v>4385.69</v>
      </c>
      <c r="Q7" s="159"/>
      <c r="R7" s="159"/>
      <c r="S7" s="160">
        <v>1567.2701</v>
      </c>
      <c r="T7" s="160"/>
      <c r="U7" s="160">
        <v>57.57475</v>
      </c>
      <c r="V7" s="160"/>
      <c r="W7" s="160"/>
      <c r="X7" s="160">
        <v>1624.84485</v>
      </c>
      <c r="Y7" s="174">
        <v>334.576738</v>
      </c>
      <c r="Z7" s="174"/>
      <c r="AA7" s="174">
        <v>1.576753</v>
      </c>
      <c r="AB7" s="174">
        <v>336.153491</v>
      </c>
      <c r="AC7" s="125">
        <v>7.3</v>
      </c>
      <c r="AD7" s="160">
        <v>2453.9204843</v>
      </c>
      <c r="AE7" s="160">
        <v>4078.7653343</v>
      </c>
      <c r="AF7" s="160">
        <v>306.924665699999</v>
      </c>
    </row>
    <row r="8" s="178" customFormat="1" ht="12.75" spans="1:32">
      <c r="A8" s="101"/>
      <c r="B8" s="102"/>
      <c r="C8" s="103">
        <v>241112000025</v>
      </c>
      <c r="D8" s="104">
        <v>45608</v>
      </c>
      <c r="E8" s="104" t="s">
        <v>135</v>
      </c>
      <c r="F8" s="102" t="s">
        <v>136</v>
      </c>
      <c r="G8" s="102" t="s">
        <v>137</v>
      </c>
      <c r="H8" s="102">
        <v>0.2838</v>
      </c>
      <c r="I8" s="102">
        <v>166</v>
      </c>
      <c r="J8" s="179">
        <v>621.3</v>
      </c>
      <c r="K8" s="125"/>
      <c r="L8" s="130"/>
      <c r="M8" s="127"/>
      <c r="N8" s="130"/>
      <c r="O8" s="128"/>
      <c r="P8" s="124">
        <v>621.3</v>
      </c>
      <c r="Q8" s="209"/>
      <c r="R8" s="209"/>
      <c r="S8" s="160">
        <v>222.106888235294</v>
      </c>
      <c r="T8" s="160"/>
      <c r="U8" s="160">
        <v>8.15925</v>
      </c>
      <c r="V8" s="160"/>
      <c r="W8" s="160"/>
      <c r="X8" s="160">
        <v>230.266138235294</v>
      </c>
      <c r="Y8" s="174">
        <v>47.4147998823529</v>
      </c>
      <c r="Z8" s="174"/>
      <c r="AA8" s="174">
        <v>0.223450764705882</v>
      </c>
      <c r="AB8" s="174">
        <v>47.6382506470588</v>
      </c>
      <c r="AC8" s="125">
        <v>7.3</v>
      </c>
      <c r="AD8" s="160">
        <v>347.759229723529</v>
      </c>
      <c r="AE8" s="160">
        <v>578.025367958823</v>
      </c>
      <c r="AF8" s="160">
        <v>43.2746320411769</v>
      </c>
    </row>
    <row r="9" s="88" customFormat="1" ht="12.75" spans="1:32">
      <c r="A9" s="101"/>
      <c r="B9" s="102"/>
      <c r="C9" s="103">
        <v>241209000061</v>
      </c>
      <c r="D9" s="104">
        <v>45609</v>
      </c>
      <c r="E9" s="104" t="s">
        <v>135</v>
      </c>
      <c r="F9" s="102" t="s">
        <v>136</v>
      </c>
      <c r="G9" s="102" t="s">
        <v>137</v>
      </c>
      <c r="H9" s="102">
        <v>16.4369</v>
      </c>
      <c r="I9" s="102">
        <v>16042</v>
      </c>
      <c r="J9" s="179">
        <v>37916.64</v>
      </c>
      <c r="K9" s="125"/>
      <c r="L9" s="130"/>
      <c r="M9" s="127"/>
      <c r="N9" s="130"/>
      <c r="O9" s="128"/>
      <c r="P9" s="124">
        <v>37916.64</v>
      </c>
      <c r="Q9" s="159"/>
      <c r="R9" s="159"/>
      <c r="S9" s="160">
        <v>11313.1798632353</v>
      </c>
      <c r="T9" s="160"/>
      <c r="U9" s="160">
        <v>435.094411764706</v>
      </c>
      <c r="V9" s="160"/>
      <c r="W9" s="160"/>
      <c r="X9" s="160">
        <v>11748.274275</v>
      </c>
      <c r="Y9" s="174">
        <v>2609.08473239706</v>
      </c>
      <c r="Z9" s="174">
        <v>162.02</v>
      </c>
      <c r="AA9" s="174">
        <v>22.9584817941176</v>
      </c>
      <c r="AB9" s="174">
        <v>2794.06321419118</v>
      </c>
      <c r="AC9" s="125">
        <v>7.33</v>
      </c>
      <c r="AD9" s="160">
        <v>20480.4833600213</v>
      </c>
      <c r="AE9" s="160">
        <v>32228.7576350213</v>
      </c>
      <c r="AF9" s="160">
        <v>5687.8823649787</v>
      </c>
    </row>
    <row r="10" s="88" customFormat="1" ht="12.75" spans="1:32">
      <c r="A10" s="101"/>
      <c r="B10" s="102"/>
      <c r="C10" s="103">
        <v>241118000073</v>
      </c>
      <c r="D10" s="104">
        <v>45615</v>
      </c>
      <c r="E10" s="104" t="s">
        <v>135</v>
      </c>
      <c r="F10" s="102" t="s">
        <v>136</v>
      </c>
      <c r="G10" s="102" t="s">
        <v>140</v>
      </c>
      <c r="H10" s="102">
        <v>10.1365</v>
      </c>
      <c r="I10" s="102">
        <v>5464</v>
      </c>
      <c r="J10" s="179">
        <v>21201.16</v>
      </c>
      <c r="K10" s="125"/>
      <c r="L10" s="130"/>
      <c r="M10" s="127"/>
      <c r="N10" s="130"/>
      <c r="O10" s="128"/>
      <c r="P10" s="124">
        <v>21201.16</v>
      </c>
      <c r="Q10" s="159"/>
      <c r="R10" s="159"/>
      <c r="S10" s="160">
        <v>7093.83573897059</v>
      </c>
      <c r="T10" s="160"/>
      <c r="U10" s="160">
        <v>342.852205882353</v>
      </c>
      <c r="V10" s="160"/>
      <c r="W10" s="160"/>
      <c r="X10" s="160">
        <v>7436.68794485294</v>
      </c>
      <c r="Y10" s="174">
        <v>1652.39856617647</v>
      </c>
      <c r="Z10" s="174"/>
      <c r="AA10" s="174">
        <v>11.1978511764706</v>
      </c>
      <c r="AB10" s="174">
        <v>1663.59641735294</v>
      </c>
      <c r="AC10" s="125">
        <v>7.3</v>
      </c>
      <c r="AD10" s="160">
        <v>12144.2538466765</v>
      </c>
      <c r="AE10" s="160">
        <v>19580.9417915294</v>
      </c>
      <c r="AF10" s="160">
        <v>1620.2182084706</v>
      </c>
    </row>
    <row r="11" s="88" customFormat="1" ht="12.75" spans="1:32">
      <c r="A11" s="101"/>
      <c r="B11" s="102"/>
      <c r="C11" s="103">
        <v>241209000062</v>
      </c>
      <c r="D11" s="104">
        <v>45615</v>
      </c>
      <c r="E11" s="104" t="s">
        <v>135</v>
      </c>
      <c r="F11" s="102" t="s">
        <v>136</v>
      </c>
      <c r="G11" s="102" t="s">
        <v>137</v>
      </c>
      <c r="H11" s="102">
        <v>4.9817</v>
      </c>
      <c r="I11" s="102">
        <v>4862</v>
      </c>
      <c r="J11" s="179">
        <v>11334.38</v>
      </c>
      <c r="K11" s="125"/>
      <c r="L11" s="130"/>
      <c r="M11" s="127"/>
      <c r="N11" s="130"/>
      <c r="O11" s="128"/>
      <c r="P11" s="124">
        <v>11334.38</v>
      </c>
      <c r="Q11" s="159"/>
      <c r="R11" s="159"/>
      <c r="S11" s="160">
        <v>3486.34750661765</v>
      </c>
      <c r="T11" s="160"/>
      <c r="U11" s="160">
        <v>168.498676470588</v>
      </c>
      <c r="V11" s="160"/>
      <c r="W11" s="160"/>
      <c r="X11" s="160">
        <v>3654.84618308824</v>
      </c>
      <c r="Y11" s="174">
        <v>812.090360294118</v>
      </c>
      <c r="Z11" s="174">
        <v>77.38</v>
      </c>
      <c r="AA11" s="174">
        <v>5.50331329411765</v>
      </c>
      <c r="AB11" s="174">
        <v>894.973673588235</v>
      </c>
      <c r="AC11" s="125">
        <v>7.3</v>
      </c>
      <c r="AD11" s="160">
        <v>6533.30781719412</v>
      </c>
      <c r="AE11" s="160">
        <v>10188.1540002824</v>
      </c>
      <c r="AF11" s="160">
        <v>1146.2259997176</v>
      </c>
    </row>
    <row r="12" s="88" customFormat="1" ht="12.75" spans="1:32">
      <c r="A12" s="101"/>
      <c r="B12" s="102"/>
      <c r="C12" s="103">
        <v>241118000074</v>
      </c>
      <c r="D12" s="104">
        <v>45617</v>
      </c>
      <c r="E12" s="104" t="s">
        <v>135</v>
      </c>
      <c r="F12" s="102" t="s">
        <v>136</v>
      </c>
      <c r="G12" s="102" t="s">
        <v>138</v>
      </c>
      <c r="H12" s="102">
        <v>4.524</v>
      </c>
      <c r="I12" s="102">
        <v>2048</v>
      </c>
      <c r="J12" s="179">
        <v>10687.32</v>
      </c>
      <c r="K12" s="125"/>
      <c r="L12" s="130"/>
      <c r="M12" s="127"/>
      <c r="N12" s="130"/>
      <c r="O12" s="128"/>
      <c r="P12" s="124">
        <v>10687.32</v>
      </c>
      <c r="Q12" s="159"/>
      <c r="R12" s="159"/>
      <c r="S12" s="160">
        <v>3046.28197058824</v>
      </c>
      <c r="T12" s="160"/>
      <c r="U12" s="160">
        <v>86.4882352941176</v>
      </c>
      <c r="V12" s="160"/>
      <c r="W12" s="160"/>
      <c r="X12" s="160">
        <v>3132.77020588235</v>
      </c>
      <c r="Y12" s="174">
        <v>747.324882352941</v>
      </c>
      <c r="Z12" s="174">
        <v>262.87</v>
      </c>
      <c r="AA12" s="174">
        <v>13.96785</v>
      </c>
      <c r="AB12" s="174">
        <v>1024.16273235294</v>
      </c>
      <c r="AC12" s="125">
        <v>7.3</v>
      </c>
      <c r="AD12" s="160">
        <v>7476.38794617647</v>
      </c>
      <c r="AE12" s="160">
        <v>10609.1581520588</v>
      </c>
      <c r="AF12" s="160">
        <v>78.1618479411991</v>
      </c>
    </row>
    <row r="13" s="88" customFormat="1" ht="12.75" spans="1:32">
      <c r="A13" s="101"/>
      <c r="B13" s="102"/>
      <c r="C13" s="103">
        <v>241127000027</v>
      </c>
      <c r="D13" s="104">
        <v>45623</v>
      </c>
      <c r="E13" s="104" t="s">
        <v>135</v>
      </c>
      <c r="F13" s="102" t="s">
        <v>136</v>
      </c>
      <c r="G13" s="102" t="s">
        <v>140</v>
      </c>
      <c r="H13" s="102">
        <v>3.145</v>
      </c>
      <c r="I13" s="102">
        <v>1753</v>
      </c>
      <c r="J13" s="179">
        <v>6114.46</v>
      </c>
      <c r="K13" s="125"/>
      <c r="L13" s="130"/>
      <c r="M13" s="127"/>
      <c r="N13" s="130"/>
      <c r="O13" s="128"/>
      <c r="P13" s="124">
        <v>6114.46</v>
      </c>
      <c r="Q13" s="209"/>
      <c r="R13" s="209"/>
      <c r="S13" s="160">
        <v>2175.3063125</v>
      </c>
      <c r="T13" s="160"/>
      <c r="U13" s="160">
        <v>87.875</v>
      </c>
      <c r="V13" s="160"/>
      <c r="W13" s="160"/>
      <c r="X13" s="160">
        <v>2263.1813125</v>
      </c>
      <c r="Y13" s="174">
        <v>512.49625</v>
      </c>
      <c r="Z13" s="174"/>
      <c r="AA13" s="174">
        <v>2.4776125</v>
      </c>
      <c r="AB13" s="174">
        <v>514.9738625</v>
      </c>
      <c r="AC13" s="125">
        <v>7.3</v>
      </c>
      <c r="AD13" s="160">
        <v>3759.30919625</v>
      </c>
      <c r="AE13" s="160">
        <v>6022.49050875</v>
      </c>
      <c r="AF13" s="160">
        <v>91.9694912499999</v>
      </c>
    </row>
    <row r="14" s="194" customFormat="1" ht="19" customHeight="1" spans="1:32">
      <c r="A14" s="101" t="s">
        <v>105</v>
      </c>
      <c r="B14" s="196"/>
      <c r="C14" s="197"/>
      <c r="D14" s="198"/>
      <c r="E14" s="199"/>
      <c r="F14" s="196"/>
      <c r="G14" s="196"/>
      <c r="H14" s="196">
        <f>SUM(H5:H13)</f>
        <v>60.5188</v>
      </c>
      <c r="I14" s="204"/>
      <c r="J14" s="204"/>
      <c r="K14" s="204"/>
      <c r="L14" s="204"/>
      <c r="M14" s="205"/>
      <c r="N14" s="205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210"/>
      <c r="AC14" s="210"/>
      <c r="AD14" s="210"/>
      <c r="AE14" s="210"/>
      <c r="AF14" s="210">
        <f>SUM(AF5:AF13)</f>
        <v>15838.5419751566</v>
      </c>
    </row>
    <row r="15" s="195" customFormat="1" ht="20" customHeight="1" spans="1:25">
      <c r="A15" s="200"/>
      <c r="B15" s="200"/>
      <c r="D15" s="201"/>
      <c r="H15" s="202"/>
      <c r="I15" s="206"/>
      <c r="J15" s="207"/>
      <c r="K15" s="202"/>
      <c r="L15" s="202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</row>
    <row r="16" s="1" customFormat="1" ht="23" customHeight="1" spans="3:16">
      <c r="C16" s="74" t="s">
        <v>72</v>
      </c>
      <c r="D16" s="74"/>
      <c r="E16" s="74"/>
      <c r="F16" s="109" t="s">
        <v>73</v>
      </c>
      <c r="G16" s="110"/>
      <c r="H16" s="110"/>
      <c r="I16" s="131"/>
      <c r="J16"/>
      <c r="K16" s="132" t="s">
        <v>141</v>
      </c>
      <c r="L16" s="133"/>
      <c r="M16" s="134"/>
      <c r="N16"/>
      <c r="O16"/>
      <c r="P16"/>
    </row>
    <row r="17" s="1" customFormat="1" ht="23" customHeight="1" spans="3:16">
      <c r="C17" s="74"/>
      <c r="D17" s="74"/>
      <c r="E17" s="74"/>
      <c r="F17" s="111"/>
      <c r="G17" s="112"/>
      <c r="H17" s="112"/>
      <c r="I17" s="135"/>
      <c r="J17"/>
      <c r="K17" s="136" t="s">
        <v>75</v>
      </c>
      <c r="L17" s="136" t="s">
        <v>8</v>
      </c>
      <c r="M17" s="136" t="s">
        <v>76</v>
      </c>
      <c r="N17"/>
      <c r="O17"/>
      <c r="P17"/>
    </row>
    <row r="18" s="1" customFormat="1" ht="23" customHeight="1" spans="3:16">
      <c r="C18" s="74" t="s">
        <v>77</v>
      </c>
      <c r="D18" s="74"/>
      <c r="E18" s="74"/>
      <c r="F18" s="80" t="s">
        <v>78</v>
      </c>
      <c r="G18" s="81"/>
      <c r="H18" s="81"/>
      <c r="I18" s="82"/>
      <c r="J18"/>
      <c r="K18" s="136" t="s">
        <v>79</v>
      </c>
      <c r="L18" s="137">
        <f>SUM(H14)</f>
        <v>60.5188</v>
      </c>
      <c r="M18" s="138">
        <f>SUM(AF14)</f>
        <v>15838.5419751566</v>
      </c>
      <c r="N18"/>
      <c r="O18"/>
      <c r="P18"/>
    </row>
    <row r="19" s="1" customFormat="1" ht="23" customHeight="1" spans="3:16">
      <c r="C19" s="74"/>
      <c r="D19" s="74"/>
      <c r="E19" s="74"/>
      <c r="F19" s="83"/>
      <c r="G19" s="84"/>
      <c r="H19" s="84"/>
      <c r="I19" s="85"/>
      <c r="J19"/>
      <c r="K19" s="141" t="s">
        <v>83</v>
      </c>
      <c r="L19" s="141"/>
      <c r="M19" s="142">
        <f>SUM(M18:M18)</f>
        <v>15838.5419751566</v>
      </c>
      <c r="N19"/>
      <c r="O19"/>
      <c r="P19"/>
    </row>
    <row r="20" s="1" customFormat="1" ht="23" customHeight="1" spans="3:16">
      <c r="C20" s="74" t="s">
        <v>81</v>
      </c>
      <c r="D20" s="74"/>
      <c r="E20" s="74"/>
      <c r="F20" s="80" t="s">
        <v>82</v>
      </c>
      <c r="G20" s="81"/>
      <c r="H20" s="81"/>
      <c r="I20" s="82"/>
      <c r="J20"/>
      <c r="K20" s="136" t="s">
        <v>84</v>
      </c>
      <c r="L20" s="136"/>
      <c r="M20" s="136">
        <v>0.4</v>
      </c>
      <c r="N20"/>
      <c r="O20"/>
      <c r="P20"/>
    </row>
    <row r="21" s="1" customFormat="1" ht="23" customHeight="1" spans="3:16">
      <c r="C21" s="74"/>
      <c r="D21" s="74"/>
      <c r="E21" s="74"/>
      <c r="F21" s="83"/>
      <c r="G21" s="84"/>
      <c r="H21" s="84"/>
      <c r="I21" s="85"/>
      <c r="J21"/>
      <c r="K21" s="139" t="s">
        <v>85</v>
      </c>
      <c r="L21" s="139"/>
      <c r="M21" s="140">
        <f>SUM(M19*M20)</f>
        <v>6335.41679006264</v>
      </c>
      <c r="N21"/>
      <c r="O21"/>
      <c r="P21"/>
    </row>
    <row r="22" s="1" customFormat="1" ht="23" customHeight="1" spans="5:16">
      <c r="E22"/>
      <c r="F22"/>
      <c r="G22"/>
      <c r="H22"/>
      <c r="I22"/>
      <c r="J22"/>
      <c r="K22" s="203"/>
      <c r="L22" s="203"/>
      <c r="M22" s="203"/>
      <c r="N22"/>
      <c r="O22"/>
      <c r="P22"/>
    </row>
    <row r="23" s="1" customFormat="1" ht="23" customHeight="1" spans="5:16">
      <c r="E23"/>
      <c r="F23"/>
      <c r="G23"/>
      <c r="H23"/>
      <c r="I23"/>
      <c r="J23"/>
      <c r="K23"/>
      <c r="L23"/>
      <c r="M23"/>
      <c r="N23"/>
      <c r="O23"/>
      <c r="P23"/>
    </row>
    <row r="24" s="1" customFormat="1" ht="23" customHeight="1" spans="5:13">
      <c r="E24"/>
      <c r="F24"/>
      <c r="G24"/>
      <c r="H24"/>
      <c r="I24"/>
      <c r="J24"/>
      <c r="K24"/>
      <c r="L24"/>
      <c r="M24"/>
    </row>
    <row r="25" s="1" customFormat="1" ht="23" customHeight="1" spans="5:13">
      <c r="E25"/>
      <c r="F25"/>
      <c r="G25"/>
      <c r="H25"/>
      <c r="I25"/>
      <c r="J25"/>
      <c r="K25"/>
      <c r="L25"/>
      <c r="M25"/>
    </row>
    <row r="26" s="1" customFormat="1" ht="23" customHeight="1" spans="5:19">
      <c r="E26"/>
      <c r="F26"/>
      <c r="G26"/>
      <c r="H26"/>
      <c r="I26"/>
      <c r="J26"/>
      <c r="K26"/>
      <c r="L26"/>
      <c r="M26"/>
      <c r="O26"/>
      <c r="P26"/>
      <c r="Q26"/>
      <c r="R26"/>
      <c r="S26" s="35"/>
    </row>
    <row r="27" s="1" customFormat="1" ht="23" customHeight="1" spans="5:19">
      <c r="E27" s="203"/>
      <c r="F27" s="203"/>
      <c r="G27" s="203"/>
      <c r="H27" s="203"/>
      <c r="I27" s="203"/>
      <c r="J27" s="203"/>
      <c r="K27" s="203"/>
      <c r="L27" s="203"/>
      <c r="N27" s="203"/>
      <c r="O27" s="203"/>
      <c r="P27" s="203"/>
      <c r="Q27" s="203"/>
      <c r="S27" s="35"/>
    </row>
    <row r="28" ht="25" customHeight="1"/>
  </sheetData>
  <mergeCells count="23">
    <mergeCell ref="J3:P3"/>
    <mergeCell ref="R3:V3"/>
    <mergeCell ref="Y3:AD3"/>
    <mergeCell ref="K16:M1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8:E19"/>
    <mergeCell ref="F18:I19"/>
    <mergeCell ref="C16:E17"/>
    <mergeCell ref="F16:I17"/>
    <mergeCell ref="C20:E21"/>
    <mergeCell ref="F20:I21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pane xSplit="14" ySplit="4" topLeftCell="AE10" activePane="bottomRight" state="frozen"/>
      <selection/>
      <selection pane="topRight"/>
      <selection pane="bottomLeft"/>
      <selection pane="bottomRight" activeCell="M25" sqref="M25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4" t="s">
        <v>11</v>
      </c>
      <c r="R3" s="145" t="s">
        <v>12</v>
      </c>
      <c r="S3" s="146"/>
      <c r="T3" s="147"/>
      <c r="U3" s="148"/>
      <c r="V3" s="149"/>
      <c r="W3" s="150" t="s">
        <v>13</v>
      </c>
      <c r="X3" s="151" t="s">
        <v>14</v>
      </c>
      <c r="Y3" s="164" t="s">
        <v>15</v>
      </c>
      <c r="Z3" s="164"/>
      <c r="AA3" s="164"/>
      <c r="AB3" s="164"/>
      <c r="AC3" s="165"/>
      <c r="AD3" s="164"/>
      <c r="AE3" s="166" t="s">
        <v>16</v>
      </c>
      <c r="AF3" s="167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2"/>
      <c r="R4" s="153" t="s">
        <v>25</v>
      </c>
      <c r="S4" s="154" t="s">
        <v>26</v>
      </c>
      <c r="T4" s="155" t="s">
        <v>27</v>
      </c>
      <c r="U4" s="156" t="s">
        <v>28</v>
      </c>
      <c r="V4" s="155" t="s">
        <v>29</v>
      </c>
      <c r="W4" s="157"/>
      <c r="X4" s="158"/>
      <c r="Y4" s="168" t="s">
        <v>30</v>
      </c>
      <c r="Z4" s="168" t="s">
        <v>31</v>
      </c>
      <c r="AA4" s="168" t="s">
        <v>32</v>
      </c>
      <c r="AB4" s="169" t="s">
        <v>33</v>
      </c>
      <c r="AC4" s="170" t="s">
        <v>34</v>
      </c>
      <c r="AD4" s="171" t="s">
        <v>24</v>
      </c>
      <c r="AE4" s="172" t="s">
        <v>35</v>
      </c>
      <c r="AF4" s="173"/>
    </row>
    <row r="5" s="88" customFormat="1" ht="12.75" spans="1:32">
      <c r="A5" s="101"/>
      <c r="B5" s="102"/>
      <c r="C5" s="103">
        <v>241028000036</v>
      </c>
      <c r="D5" s="104">
        <v>45601</v>
      </c>
      <c r="E5" s="104" t="s">
        <v>142</v>
      </c>
      <c r="F5" s="102" t="s">
        <v>142</v>
      </c>
      <c r="G5" s="102" t="s">
        <v>143</v>
      </c>
      <c r="H5" s="102">
        <v>19.1974</v>
      </c>
      <c r="I5" s="102">
        <v>2413</v>
      </c>
      <c r="J5" s="179">
        <v>38000</v>
      </c>
      <c r="K5" s="125"/>
      <c r="L5" s="130"/>
      <c r="M5" s="127"/>
      <c r="N5" s="130"/>
      <c r="O5" s="128"/>
      <c r="P5" s="124">
        <v>38000</v>
      </c>
      <c r="Q5" s="159"/>
      <c r="R5" s="159"/>
      <c r="S5" s="160">
        <v>13893.9770926471</v>
      </c>
      <c r="T5" s="160">
        <v>32.0822431764706</v>
      </c>
      <c r="U5" s="160">
        <v>677.555294117647</v>
      </c>
      <c r="V5" s="160"/>
      <c r="W5" s="160"/>
      <c r="X5" s="160">
        <v>14603.6146299412</v>
      </c>
      <c r="Y5" s="174">
        <v>3091.26698129412</v>
      </c>
      <c r="Z5" s="174"/>
      <c r="AA5" s="174"/>
      <c r="AB5" s="174">
        <v>3091.26698129412</v>
      </c>
      <c r="AC5" s="125">
        <v>7.33</v>
      </c>
      <c r="AD5" s="160">
        <v>22658.9869728859</v>
      </c>
      <c r="AE5" s="160">
        <v>37262.6016028271</v>
      </c>
      <c r="AF5" s="160">
        <v>737.398397172903</v>
      </c>
    </row>
    <row r="6" s="88" customFormat="1" ht="63.75" spans="1:32">
      <c r="A6" s="101" t="s">
        <v>144</v>
      </c>
      <c r="B6" s="102" t="s">
        <v>145</v>
      </c>
      <c r="C6" s="103">
        <v>241028000047</v>
      </c>
      <c r="D6" s="104">
        <v>45602</v>
      </c>
      <c r="E6" s="104" t="s">
        <v>142</v>
      </c>
      <c r="F6" s="102" t="s">
        <v>142</v>
      </c>
      <c r="G6" s="102" t="s">
        <v>146</v>
      </c>
      <c r="H6" s="102">
        <v>3.0981</v>
      </c>
      <c r="I6" s="102">
        <v>231</v>
      </c>
      <c r="J6" s="179">
        <v>8037.16</v>
      </c>
      <c r="K6" s="125"/>
      <c r="L6" s="130"/>
      <c r="M6" s="127"/>
      <c r="N6" s="130"/>
      <c r="O6" s="128"/>
      <c r="P6" s="124">
        <v>8037.16</v>
      </c>
      <c r="Q6" s="191">
        <v>15749.841</v>
      </c>
      <c r="R6" s="192" t="s">
        <v>147</v>
      </c>
      <c r="S6" s="160">
        <v>2222.81840955882</v>
      </c>
      <c r="T6" s="160"/>
      <c r="U6" s="160">
        <v>82.0085294117647</v>
      </c>
      <c r="V6" s="160"/>
      <c r="W6" s="160"/>
      <c r="X6" s="160">
        <v>2304.82693897059</v>
      </c>
      <c r="Y6" s="174">
        <v>488.2450695</v>
      </c>
      <c r="Z6" s="174"/>
      <c r="AA6" s="174">
        <v>2.30717329411765</v>
      </c>
      <c r="AB6" s="174">
        <v>490.552242794118</v>
      </c>
      <c r="AC6" s="125">
        <v>7.33</v>
      </c>
      <c r="AD6" s="160">
        <v>3595.74793968088</v>
      </c>
      <c r="AE6" s="160">
        <v>5900.57487865147</v>
      </c>
      <c r="AF6" s="160">
        <v>2136.58512134853</v>
      </c>
    </row>
    <row r="7" s="88" customFormat="1" ht="12.75" spans="1:32">
      <c r="A7" s="101"/>
      <c r="B7" s="102"/>
      <c r="C7" s="103">
        <v>241106000001</v>
      </c>
      <c r="D7" s="104">
        <v>45602</v>
      </c>
      <c r="E7" s="104" t="s">
        <v>142</v>
      </c>
      <c r="F7" s="102" t="s">
        <v>142</v>
      </c>
      <c r="G7" s="102" t="s">
        <v>148</v>
      </c>
      <c r="H7" s="102">
        <v>0.4542</v>
      </c>
      <c r="I7" s="102">
        <v>69</v>
      </c>
      <c r="J7" s="179">
        <v>1060.98</v>
      </c>
      <c r="K7" s="180"/>
      <c r="L7" s="130"/>
      <c r="M7" s="127"/>
      <c r="N7" s="130"/>
      <c r="O7" s="128"/>
      <c r="P7" s="124">
        <v>1060.98</v>
      </c>
      <c r="Q7" s="159"/>
      <c r="R7" s="159"/>
      <c r="S7" s="160">
        <v>325.878480882353</v>
      </c>
      <c r="T7" s="160"/>
      <c r="U7" s="160">
        <v>12.0229411764706</v>
      </c>
      <c r="V7" s="160"/>
      <c r="W7" s="160"/>
      <c r="X7" s="160">
        <v>337.901422058824</v>
      </c>
      <c r="Y7" s="174">
        <v>71.579649</v>
      </c>
      <c r="Z7" s="174"/>
      <c r="AA7" s="174">
        <v>0.338245411764706</v>
      </c>
      <c r="AB7" s="174">
        <v>71.9178944117647</v>
      </c>
      <c r="AC7" s="125">
        <v>7.33</v>
      </c>
      <c r="AD7" s="160">
        <v>527.158166038235</v>
      </c>
      <c r="AE7" s="160">
        <v>865.059588097059</v>
      </c>
      <c r="AF7" s="160">
        <v>195.920411902941</v>
      </c>
    </row>
    <row r="8" s="88" customFormat="1" ht="12.75" spans="1:32">
      <c r="A8" s="101"/>
      <c r="B8" s="102"/>
      <c r="C8" s="103">
        <v>241106000002</v>
      </c>
      <c r="D8" s="104">
        <v>45602</v>
      </c>
      <c r="E8" s="104" t="s">
        <v>142</v>
      </c>
      <c r="F8" s="102" t="s">
        <v>142</v>
      </c>
      <c r="G8" s="102" t="s">
        <v>149</v>
      </c>
      <c r="H8" s="102">
        <v>0.3458</v>
      </c>
      <c r="I8" s="102">
        <v>98</v>
      </c>
      <c r="J8" s="179">
        <v>757</v>
      </c>
      <c r="K8" s="180"/>
      <c r="L8" s="130"/>
      <c r="M8" s="127"/>
      <c r="N8" s="130"/>
      <c r="O8" s="128"/>
      <c r="P8" s="124">
        <v>757</v>
      </c>
      <c r="Q8" s="159"/>
      <c r="R8" s="159"/>
      <c r="S8" s="160">
        <v>248.103872058824</v>
      </c>
      <c r="T8" s="160"/>
      <c r="U8" s="160">
        <v>9.1535294117647</v>
      </c>
      <c r="V8" s="160"/>
      <c r="W8" s="160"/>
      <c r="X8" s="160">
        <v>257.257401470588</v>
      </c>
      <c r="Y8" s="174">
        <v>54.496351</v>
      </c>
      <c r="Z8" s="174"/>
      <c r="AA8" s="174">
        <v>0.257519294117647</v>
      </c>
      <c r="AB8" s="174">
        <v>54.7538702941176</v>
      </c>
      <c r="AC8" s="125">
        <v>7.33</v>
      </c>
      <c r="AD8" s="160">
        <v>401.345869255882</v>
      </c>
      <c r="AE8" s="160">
        <v>658.603270726471</v>
      </c>
      <c r="AF8" s="160">
        <v>98.396729273529</v>
      </c>
    </row>
    <row r="9" s="88" customFormat="1" ht="12.75" spans="1:32">
      <c r="A9" s="101"/>
      <c r="B9" s="102"/>
      <c r="C9" s="103">
        <v>241106000037</v>
      </c>
      <c r="D9" s="104">
        <v>45602</v>
      </c>
      <c r="E9" s="104" t="s">
        <v>142</v>
      </c>
      <c r="F9" s="102" t="s">
        <v>142</v>
      </c>
      <c r="G9" s="102" t="s">
        <v>150</v>
      </c>
      <c r="H9" s="102">
        <v>0.6996</v>
      </c>
      <c r="I9" s="102">
        <v>76</v>
      </c>
      <c r="J9" s="179">
        <v>1583.01</v>
      </c>
      <c r="K9" s="180"/>
      <c r="L9" s="130"/>
      <c r="M9" s="127"/>
      <c r="N9" s="130"/>
      <c r="O9" s="128"/>
      <c r="P9" s="124">
        <v>1583.01</v>
      </c>
      <c r="Q9" s="159"/>
      <c r="R9" s="159"/>
      <c r="S9" s="160">
        <v>501.947567647059</v>
      </c>
      <c r="T9" s="160"/>
      <c r="U9" s="160">
        <v>18.5188235294118</v>
      </c>
      <c r="V9" s="160"/>
      <c r="W9" s="160"/>
      <c r="X9" s="160">
        <v>520.466391176471</v>
      </c>
      <c r="Y9" s="174">
        <v>110.253462</v>
      </c>
      <c r="Z9" s="174"/>
      <c r="AA9" s="174">
        <v>0.520996235294118</v>
      </c>
      <c r="AB9" s="174">
        <v>110.774458235294</v>
      </c>
      <c r="AC9" s="125">
        <v>7.33</v>
      </c>
      <c r="AD9" s="160">
        <v>811.976778864706</v>
      </c>
      <c r="AE9" s="160">
        <v>1332.44317004118</v>
      </c>
      <c r="AF9" s="160">
        <v>250.56682995882</v>
      </c>
    </row>
    <row r="10" s="178" customFormat="1" ht="12.75" spans="1:32">
      <c r="A10" s="101"/>
      <c r="B10" s="102"/>
      <c r="C10" s="103">
        <v>241024000054</v>
      </c>
      <c r="D10" s="104">
        <v>45608</v>
      </c>
      <c r="E10" s="104" t="s">
        <v>142</v>
      </c>
      <c r="F10" s="102" t="s">
        <v>142</v>
      </c>
      <c r="G10" s="102" t="s">
        <v>151</v>
      </c>
      <c r="H10" s="102">
        <v>16.835</v>
      </c>
      <c r="I10" s="102">
        <v>7500</v>
      </c>
      <c r="J10" s="179">
        <v>48779</v>
      </c>
      <c r="K10" s="125"/>
      <c r="L10" s="130"/>
      <c r="M10" s="127"/>
      <c r="N10" s="130"/>
      <c r="O10" s="128"/>
      <c r="P10" s="124">
        <v>48779</v>
      </c>
      <c r="Q10" s="159"/>
      <c r="R10" s="159"/>
      <c r="S10" s="160">
        <v>13175.3680882353</v>
      </c>
      <c r="T10" s="160"/>
      <c r="U10" s="160">
        <v>484.00625</v>
      </c>
      <c r="V10" s="160"/>
      <c r="W10" s="160"/>
      <c r="X10" s="160">
        <v>13659.3743382353</v>
      </c>
      <c r="Y10" s="174">
        <v>2812.64325588235</v>
      </c>
      <c r="Z10" s="174">
        <v>97.38</v>
      </c>
      <c r="AA10" s="174">
        <v>13.2550867647059</v>
      </c>
      <c r="AB10" s="174">
        <v>2923.27834264706</v>
      </c>
      <c r="AC10" s="125">
        <v>7.3</v>
      </c>
      <c r="AD10" s="160">
        <v>21339.9319013235</v>
      </c>
      <c r="AE10" s="160">
        <v>34999.3062395588</v>
      </c>
      <c r="AF10" s="160">
        <v>13779.6937604412</v>
      </c>
    </row>
    <row r="11" s="178" customFormat="1" ht="12.75" spans="1:32">
      <c r="A11" s="101"/>
      <c r="B11" s="102"/>
      <c r="C11" s="103">
        <v>241108000001</v>
      </c>
      <c r="D11" s="104">
        <v>45608</v>
      </c>
      <c r="E11" s="104" t="s">
        <v>142</v>
      </c>
      <c r="F11" s="102" t="s">
        <v>142</v>
      </c>
      <c r="G11" s="102" t="s">
        <v>152</v>
      </c>
      <c r="H11" s="102">
        <v>1.6887</v>
      </c>
      <c r="I11" s="102">
        <v>558</v>
      </c>
      <c r="J11" s="179">
        <v>5053</v>
      </c>
      <c r="K11" s="125"/>
      <c r="L11" s="130"/>
      <c r="M11" s="127"/>
      <c r="N11" s="130"/>
      <c r="O11" s="128"/>
      <c r="P11" s="124">
        <v>5053</v>
      </c>
      <c r="Q11" s="159"/>
      <c r="R11" s="159"/>
      <c r="S11" s="160">
        <v>1321.60642058824</v>
      </c>
      <c r="T11" s="160"/>
      <c r="U11" s="160">
        <v>48.550125</v>
      </c>
      <c r="V11" s="160"/>
      <c r="W11" s="160"/>
      <c r="X11" s="160">
        <v>1370.15654558824</v>
      </c>
      <c r="Y11" s="174">
        <v>282.133095705882</v>
      </c>
      <c r="Z11" s="174">
        <v>57.94</v>
      </c>
      <c r="AA11" s="174">
        <v>1.32960291176471</v>
      </c>
      <c r="AB11" s="174">
        <v>341.402698617647</v>
      </c>
      <c r="AC11" s="125">
        <v>7.3</v>
      </c>
      <c r="AD11" s="160">
        <v>2492.23969990882</v>
      </c>
      <c r="AE11" s="160">
        <v>3862.39624549706</v>
      </c>
      <c r="AF11" s="160">
        <v>1190.60375450294</v>
      </c>
    </row>
    <row r="12" s="88" customFormat="1" ht="12.75" spans="1:32">
      <c r="A12" s="101"/>
      <c r="B12" s="102"/>
      <c r="C12" s="103">
        <v>241112000043</v>
      </c>
      <c r="D12" s="104">
        <v>45609</v>
      </c>
      <c r="E12" s="104" t="s">
        <v>142</v>
      </c>
      <c r="F12" s="102" t="s">
        <v>142</v>
      </c>
      <c r="G12" s="102" t="s">
        <v>148</v>
      </c>
      <c r="H12" s="102">
        <v>4.9039</v>
      </c>
      <c r="I12" s="102">
        <v>546</v>
      </c>
      <c r="J12" s="179">
        <v>10739.54</v>
      </c>
      <c r="K12" s="125"/>
      <c r="L12" s="130"/>
      <c r="M12" s="127"/>
      <c r="N12" s="130"/>
      <c r="O12" s="128"/>
      <c r="P12" s="124">
        <v>10739.54</v>
      </c>
      <c r="Q12" s="159"/>
      <c r="R12" s="159"/>
      <c r="S12" s="160">
        <v>3375.25340735294</v>
      </c>
      <c r="T12" s="160"/>
      <c r="U12" s="160">
        <v>129.809117647059</v>
      </c>
      <c r="V12" s="160"/>
      <c r="W12" s="160"/>
      <c r="X12" s="160">
        <v>3505.062525</v>
      </c>
      <c r="Y12" s="174">
        <v>778.412633720588</v>
      </c>
      <c r="Z12" s="174"/>
      <c r="AA12" s="174">
        <v>6.84959444117647</v>
      </c>
      <c r="AB12" s="174">
        <v>785.262228161765</v>
      </c>
      <c r="AC12" s="125">
        <v>7.33</v>
      </c>
      <c r="AD12" s="160">
        <v>5755.97213242574</v>
      </c>
      <c r="AE12" s="160">
        <v>9261.03465742574</v>
      </c>
      <c r="AF12" s="160">
        <v>1478.50534257426</v>
      </c>
    </row>
    <row r="13" s="88" customFormat="1" ht="12.75" spans="1:32">
      <c r="A13" s="101"/>
      <c r="B13" s="102"/>
      <c r="C13" s="103">
        <v>241113000017</v>
      </c>
      <c r="D13" s="104">
        <v>45609</v>
      </c>
      <c r="E13" s="104" t="s">
        <v>142</v>
      </c>
      <c r="F13" s="102" t="s">
        <v>142</v>
      </c>
      <c r="G13" s="102" t="s">
        <v>153</v>
      </c>
      <c r="H13" s="102">
        <v>1.4152</v>
      </c>
      <c r="I13" s="102">
        <v>656</v>
      </c>
      <c r="J13" s="124"/>
      <c r="K13" s="129">
        <v>851651</v>
      </c>
      <c r="L13" s="130"/>
      <c r="M13" s="127">
        <v>1671.50988204353</v>
      </c>
      <c r="N13" s="126">
        <v>509.51</v>
      </c>
      <c r="O13" s="128">
        <v>7.29</v>
      </c>
      <c r="P13" s="124">
        <v>3714.3279</v>
      </c>
      <c r="Q13" s="159"/>
      <c r="R13" s="159"/>
      <c r="S13" s="160">
        <v>974.053023529412</v>
      </c>
      <c r="T13" s="160"/>
      <c r="U13" s="160">
        <v>37.4611764705882</v>
      </c>
      <c r="V13" s="160"/>
      <c r="W13" s="160">
        <v>98.72</v>
      </c>
      <c r="X13" s="160">
        <v>1110.2342</v>
      </c>
      <c r="Y13" s="174">
        <v>224.639482705882</v>
      </c>
      <c r="Z13" s="174"/>
      <c r="AA13" s="174">
        <v>1.97670141176471</v>
      </c>
      <c r="AB13" s="174">
        <v>226.616184117647</v>
      </c>
      <c r="AC13" s="125">
        <v>7.33</v>
      </c>
      <c r="AD13" s="160">
        <v>1661.09662958235</v>
      </c>
      <c r="AE13" s="160">
        <v>2771.33082958235</v>
      </c>
      <c r="AF13" s="160">
        <v>942.997070417647</v>
      </c>
    </row>
    <row r="14" s="88" customFormat="1" ht="12.75" spans="1:32">
      <c r="A14" s="101"/>
      <c r="B14" s="102"/>
      <c r="C14" s="103">
        <v>241116000018</v>
      </c>
      <c r="D14" s="104">
        <v>45615</v>
      </c>
      <c r="E14" s="104" t="s">
        <v>142</v>
      </c>
      <c r="F14" s="102" t="s">
        <v>142</v>
      </c>
      <c r="G14" s="102" t="s">
        <v>148</v>
      </c>
      <c r="H14" s="102">
        <v>6.0469</v>
      </c>
      <c r="I14" s="102">
        <v>528</v>
      </c>
      <c r="J14" s="179">
        <v>13684.14</v>
      </c>
      <c r="K14" s="125"/>
      <c r="L14" s="130"/>
      <c r="M14" s="127"/>
      <c r="N14" s="130"/>
      <c r="O14" s="128"/>
      <c r="P14" s="124">
        <v>13684.14</v>
      </c>
      <c r="Q14" s="159"/>
      <c r="R14" s="159"/>
      <c r="S14" s="160">
        <v>4231.8073625</v>
      </c>
      <c r="T14" s="160"/>
      <c r="U14" s="160">
        <v>204.5275</v>
      </c>
      <c r="V14" s="160"/>
      <c r="W14" s="160"/>
      <c r="X14" s="160">
        <v>4436.3348625</v>
      </c>
      <c r="Y14" s="174">
        <v>985.733625</v>
      </c>
      <c r="Z14" s="174"/>
      <c r="AA14" s="174">
        <v>6.680046</v>
      </c>
      <c r="AB14" s="174">
        <v>992.413671</v>
      </c>
      <c r="AC14" s="125">
        <v>7.3</v>
      </c>
      <c r="AD14" s="160">
        <v>7244.6197983</v>
      </c>
      <c r="AE14" s="160">
        <v>11680.9546608</v>
      </c>
      <c r="AF14" s="160">
        <v>2003.1853392</v>
      </c>
    </row>
    <row r="15" s="88" customFormat="1" ht="12.75" spans="1:32">
      <c r="A15" s="101"/>
      <c r="B15" s="102"/>
      <c r="C15" s="103">
        <v>241118000049</v>
      </c>
      <c r="D15" s="104">
        <v>45616</v>
      </c>
      <c r="E15" s="104" t="s">
        <v>142</v>
      </c>
      <c r="F15" s="102" t="s">
        <v>142</v>
      </c>
      <c r="G15" s="102" t="s">
        <v>154</v>
      </c>
      <c r="H15" s="102">
        <v>18.8558</v>
      </c>
      <c r="I15" s="102">
        <v>3372</v>
      </c>
      <c r="J15" s="179">
        <v>41577.26</v>
      </c>
      <c r="K15" s="180"/>
      <c r="L15" s="130"/>
      <c r="M15" s="127"/>
      <c r="N15" s="130"/>
      <c r="O15" s="128"/>
      <c r="P15" s="124">
        <v>41577.26</v>
      </c>
      <c r="Q15" s="159"/>
      <c r="R15" s="159"/>
      <c r="S15" s="160">
        <v>12668.1860426471</v>
      </c>
      <c r="T15" s="160"/>
      <c r="U15" s="160">
        <v>554.582352941176</v>
      </c>
      <c r="V15" s="160"/>
      <c r="W15" s="160"/>
      <c r="X15" s="160">
        <v>13222.7683955882</v>
      </c>
      <c r="Y15" s="174">
        <v>3073.77269117647</v>
      </c>
      <c r="Z15" s="174"/>
      <c r="AA15" s="174">
        <v>21.4567912352941</v>
      </c>
      <c r="AB15" s="174">
        <v>3095.22948241176</v>
      </c>
      <c r="AC15" s="125">
        <v>7.3</v>
      </c>
      <c r="AD15" s="160">
        <v>22595.1752216059</v>
      </c>
      <c r="AE15" s="160">
        <v>35817.9436171941</v>
      </c>
      <c r="AF15" s="160">
        <v>5759.3163828059</v>
      </c>
    </row>
    <row r="16" s="88" customFormat="1" ht="12.75" spans="1:32">
      <c r="A16" s="101"/>
      <c r="B16" s="102"/>
      <c r="C16" s="103">
        <v>241118000049</v>
      </c>
      <c r="D16" s="104">
        <v>45617</v>
      </c>
      <c r="E16" s="104" t="s">
        <v>142</v>
      </c>
      <c r="F16" s="102" t="s">
        <v>142</v>
      </c>
      <c r="G16" s="102" t="s">
        <v>154</v>
      </c>
      <c r="H16" s="102">
        <v>18.8558</v>
      </c>
      <c r="I16" s="102">
        <v>3470</v>
      </c>
      <c r="J16" s="179">
        <v>41577.26</v>
      </c>
      <c r="K16" s="180"/>
      <c r="L16" s="130"/>
      <c r="M16" s="127"/>
      <c r="N16" s="130"/>
      <c r="O16" s="128"/>
      <c r="P16" s="124">
        <v>41577.26</v>
      </c>
      <c r="Q16" s="159"/>
      <c r="R16" s="159"/>
      <c r="S16" s="160">
        <v>12696.7470338235</v>
      </c>
      <c r="T16" s="160"/>
      <c r="U16" s="160">
        <v>360.478529411765</v>
      </c>
      <c r="V16" s="160"/>
      <c r="W16" s="160"/>
      <c r="X16" s="160">
        <v>13057.2255632353</v>
      </c>
      <c r="Y16" s="174">
        <v>3114.81178529412</v>
      </c>
      <c r="Z16" s="174">
        <v>1481.48</v>
      </c>
      <c r="AA16" s="174">
        <v>58.2172825</v>
      </c>
      <c r="AB16" s="174">
        <v>4654.50906779412</v>
      </c>
      <c r="AC16" s="125">
        <v>7.3</v>
      </c>
      <c r="AD16" s="160">
        <v>33977.9161948971</v>
      </c>
      <c r="AE16" s="160">
        <v>47035.1417581323</v>
      </c>
      <c r="AF16" s="160">
        <v>-5457.88175813229</v>
      </c>
    </row>
    <row r="17" s="88" customFormat="1" ht="12.75" spans="1:32">
      <c r="A17" s="101"/>
      <c r="B17" s="102"/>
      <c r="C17" s="103">
        <v>241023000034</v>
      </c>
      <c r="D17" s="104">
        <v>45617</v>
      </c>
      <c r="E17" s="104" t="s">
        <v>142</v>
      </c>
      <c r="F17" s="102" t="s">
        <v>142</v>
      </c>
      <c r="G17" s="102" t="s">
        <v>146</v>
      </c>
      <c r="H17" s="102">
        <v>0.535</v>
      </c>
      <c r="I17" s="102">
        <v>223</v>
      </c>
      <c r="J17" s="179">
        <v>1547</v>
      </c>
      <c r="K17" s="180"/>
      <c r="L17" s="130"/>
      <c r="M17" s="127"/>
      <c r="N17" s="130"/>
      <c r="O17" s="128"/>
      <c r="P17" s="124">
        <v>1547</v>
      </c>
      <c r="Q17" s="159"/>
      <c r="R17" s="159"/>
      <c r="S17" s="160">
        <v>360.247757352941</v>
      </c>
      <c r="T17" s="160"/>
      <c r="U17" s="160">
        <v>10.2279411764706</v>
      </c>
      <c r="V17" s="160"/>
      <c r="W17" s="160"/>
      <c r="X17" s="160">
        <v>370.475698529412</v>
      </c>
      <c r="Y17" s="174">
        <v>88.3772794117647</v>
      </c>
      <c r="Z17" s="174"/>
      <c r="AA17" s="174">
        <v>1.6518125</v>
      </c>
      <c r="AB17" s="174">
        <v>90.0290919117647</v>
      </c>
      <c r="AC17" s="125">
        <v>7.3</v>
      </c>
      <c r="AD17" s="160">
        <v>657.212370955882</v>
      </c>
      <c r="AE17" s="160">
        <v>1027.68806948529</v>
      </c>
      <c r="AF17" s="160">
        <v>519.31193051471</v>
      </c>
    </row>
    <row r="18" s="88" customFormat="1" ht="12.75" spans="1:32">
      <c r="A18" s="101"/>
      <c r="B18" s="102"/>
      <c r="C18" s="103">
        <v>241115000013</v>
      </c>
      <c r="D18" s="104">
        <v>45617</v>
      </c>
      <c r="E18" s="104" t="s">
        <v>142</v>
      </c>
      <c r="F18" s="102" t="s">
        <v>142</v>
      </c>
      <c r="G18" s="102" t="s">
        <v>155</v>
      </c>
      <c r="H18" s="102">
        <v>0.0579</v>
      </c>
      <c r="I18" s="102">
        <v>37</v>
      </c>
      <c r="J18" s="179">
        <v>123</v>
      </c>
      <c r="K18" s="125"/>
      <c r="L18" s="130"/>
      <c r="M18" s="127"/>
      <c r="N18" s="130"/>
      <c r="O18" s="128"/>
      <c r="P18" s="124">
        <v>123</v>
      </c>
      <c r="Q18" s="159"/>
      <c r="R18" s="159"/>
      <c r="S18" s="160">
        <v>38.9875610294118</v>
      </c>
      <c r="T18" s="160"/>
      <c r="U18" s="160">
        <v>1.10691176470588</v>
      </c>
      <c r="V18" s="160"/>
      <c r="W18" s="160"/>
      <c r="X18" s="160">
        <v>40.0944727941176</v>
      </c>
      <c r="Y18" s="174">
        <v>9.56456911764706</v>
      </c>
      <c r="Z18" s="174"/>
      <c r="AA18" s="174">
        <v>0.17876625</v>
      </c>
      <c r="AB18" s="174">
        <v>9.74333536764706</v>
      </c>
      <c r="AC18" s="125">
        <v>7.3</v>
      </c>
      <c r="AD18" s="160">
        <v>71.1263481838235</v>
      </c>
      <c r="AE18" s="160">
        <v>111.220820977941</v>
      </c>
      <c r="AF18" s="160">
        <v>11.779179022059</v>
      </c>
    </row>
    <row r="19" s="88" customFormat="1" ht="12.75" spans="1:32">
      <c r="A19" s="101"/>
      <c r="B19" s="102"/>
      <c r="C19" s="103">
        <v>241120000029</v>
      </c>
      <c r="D19" s="104">
        <v>45623</v>
      </c>
      <c r="E19" s="104" t="s">
        <v>142</v>
      </c>
      <c r="F19" s="102" t="s">
        <v>142</v>
      </c>
      <c r="G19" s="102" t="s">
        <v>146</v>
      </c>
      <c r="H19" s="102">
        <v>1.1485</v>
      </c>
      <c r="I19" s="102">
        <v>243</v>
      </c>
      <c r="J19" s="179">
        <v>4092.46</v>
      </c>
      <c r="K19" s="125"/>
      <c r="L19" s="130"/>
      <c r="M19" s="127"/>
      <c r="N19" s="130"/>
      <c r="O19" s="128"/>
      <c r="P19" s="124">
        <v>4092.46</v>
      </c>
      <c r="Q19" s="159"/>
      <c r="R19" s="159"/>
      <c r="S19" s="160">
        <v>794.384515073529</v>
      </c>
      <c r="T19" s="160"/>
      <c r="U19" s="160">
        <v>32.0904411764706</v>
      </c>
      <c r="V19" s="160">
        <v>230</v>
      </c>
      <c r="W19" s="160">
        <v>408</v>
      </c>
      <c r="X19" s="160">
        <v>1464.47495625</v>
      </c>
      <c r="Y19" s="174">
        <v>187.154830882353</v>
      </c>
      <c r="Z19" s="174">
        <v>67.46</v>
      </c>
      <c r="AA19" s="174">
        <v>0.904781544117647</v>
      </c>
      <c r="AB19" s="174">
        <v>255.519612426471</v>
      </c>
      <c r="AC19" s="125">
        <v>7.3</v>
      </c>
      <c r="AD19" s="160">
        <v>1865.29317071324</v>
      </c>
      <c r="AE19" s="160">
        <v>3329.76812696324</v>
      </c>
      <c r="AF19" s="160">
        <v>762.69187303676</v>
      </c>
    </row>
    <row r="20" s="88" customFormat="1" ht="12.75" spans="1:32">
      <c r="A20" s="101"/>
      <c r="B20" s="102"/>
      <c r="C20" s="103">
        <v>241121000012</v>
      </c>
      <c r="D20" s="104">
        <v>45623</v>
      </c>
      <c r="E20" s="104" t="s">
        <v>142</v>
      </c>
      <c r="F20" s="102" t="s">
        <v>142</v>
      </c>
      <c r="G20" s="102" t="s">
        <v>156</v>
      </c>
      <c r="H20" s="102">
        <v>21.5631</v>
      </c>
      <c r="I20" s="102">
        <v>10414</v>
      </c>
      <c r="J20" s="179">
        <v>62286</v>
      </c>
      <c r="K20" s="125"/>
      <c r="L20" s="130"/>
      <c r="M20" s="127"/>
      <c r="N20" s="130"/>
      <c r="O20" s="128"/>
      <c r="P20" s="124">
        <v>62286</v>
      </c>
      <c r="Q20" s="159"/>
      <c r="R20" s="159"/>
      <c r="S20" s="160">
        <v>14914.5779163971</v>
      </c>
      <c r="T20" s="160"/>
      <c r="U20" s="160">
        <v>602.498382352941</v>
      </c>
      <c r="V20" s="160">
        <v>800</v>
      </c>
      <c r="W20" s="193"/>
      <c r="X20" s="160">
        <v>16317.07629875</v>
      </c>
      <c r="Y20" s="174">
        <v>3513.83398676471</v>
      </c>
      <c r="Z20" s="174">
        <v>902.53</v>
      </c>
      <c r="AA20" s="174">
        <v>16.9872833382353</v>
      </c>
      <c r="AB20" s="174">
        <v>4433.35127010294</v>
      </c>
      <c r="AC20" s="125">
        <v>7.3</v>
      </c>
      <c r="AD20" s="160">
        <v>32363.4642717515</v>
      </c>
      <c r="AE20" s="160">
        <v>48680.5405705015</v>
      </c>
      <c r="AF20" s="160">
        <v>13605.4594294985</v>
      </c>
    </row>
    <row r="21" customFormat="1" spans="1:32">
      <c r="A21" s="86" t="s">
        <v>105</v>
      </c>
      <c r="B21" s="105"/>
      <c r="C21" s="105"/>
      <c r="D21" s="105"/>
      <c r="E21" s="105"/>
      <c r="F21" s="105"/>
      <c r="G21" s="105"/>
      <c r="H21" s="105">
        <f>SUM(H5:H20)</f>
        <v>115.7009</v>
      </c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61"/>
      <c r="T21" s="105"/>
      <c r="U21" s="105"/>
      <c r="V21" s="162"/>
      <c r="W21" s="163"/>
      <c r="X21" s="163"/>
      <c r="Y21" s="163"/>
      <c r="Z21" s="163"/>
      <c r="AA21" s="175"/>
      <c r="AB21" s="176"/>
      <c r="AC21" s="176"/>
      <c r="AD21" s="176"/>
      <c r="AE21" s="176"/>
      <c r="AF21" s="176">
        <f>SUM(AF5:AF20)</f>
        <v>38014.5297935384</v>
      </c>
    </row>
    <row r="22" s="89" customFormat="1" ht="26" customHeight="1" spans="1:25">
      <c r="A22" s="106"/>
      <c r="B22" s="107"/>
      <c r="D22" s="108"/>
      <c r="E22" s="108"/>
      <c r="Y22" s="177"/>
    </row>
    <row r="23" s="1" customFormat="1" ht="23" customHeight="1" spans="3:16">
      <c r="C23" s="74" t="s">
        <v>72</v>
      </c>
      <c r="D23" s="74"/>
      <c r="E23" s="74"/>
      <c r="F23" s="109" t="s">
        <v>73</v>
      </c>
      <c r="G23" s="110"/>
      <c r="H23" s="110"/>
      <c r="I23" s="131"/>
      <c r="J23"/>
      <c r="K23" s="132" t="s">
        <v>157</v>
      </c>
      <c r="L23" s="133"/>
      <c r="M23" s="134"/>
      <c r="N23" s="89"/>
      <c r="O23"/>
      <c r="P23"/>
    </row>
    <row r="24" s="1" customFormat="1" ht="23" customHeight="1" spans="3:16">
      <c r="C24" s="74"/>
      <c r="D24" s="74"/>
      <c r="E24" s="74"/>
      <c r="F24" s="111"/>
      <c r="G24" s="112"/>
      <c r="H24" s="112"/>
      <c r="I24" s="135"/>
      <c r="J24"/>
      <c r="K24" s="136" t="s">
        <v>75</v>
      </c>
      <c r="L24" s="136" t="s">
        <v>8</v>
      </c>
      <c r="M24" s="136" t="s">
        <v>76</v>
      </c>
      <c r="N24"/>
      <c r="O24"/>
      <c r="P24"/>
    </row>
    <row r="25" s="1" customFormat="1" ht="23" customHeight="1" spans="3:16">
      <c r="C25" s="74" t="s">
        <v>77</v>
      </c>
      <c r="D25" s="74"/>
      <c r="E25" s="74"/>
      <c r="F25" s="80" t="s">
        <v>78</v>
      </c>
      <c r="G25" s="81"/>
      <c r="H25" s="81"/>
      <c r="I25" s="82"/>
      <c r="J25"/>
      <c r="K25" s="136" t="s">
        <v>79</v>
      </c>
      <c r="L25" s="137">
        <f>SUM(H21)</f>
        <v>115.7009</v>
      </c>
      <c r="M25" s="138">
        <f>SUM(AF21)</f>
        <v>38014.5297935384</v>
      </c>
      <c r="N25"/>
      <c r="O25"/>
      <c r="P25"/>
    </row>
    <row r="26" s="1" customFormat="1" ht="23" customHeight="1" spans="3:16">
      <c r="C26" s="74"/>
      <c r="D26" s="74"/>
      <c r="E26" s="74"/>
      <c r="F26" s="83"/>
      <c r="G26" s="84"/>
      <c r="H26" s="84"/>
      <c r="I26" s="85"/>
      <c r="J26"/>
      <c r="K26" s="181" t="s">
        <v>158</v>
      </c>
      <c r="L26" s="182"/>
      <c r="M26" s="183">
        <v>6000</v>
      </c>
      <c r="N26"/>
      <c r="O26"/>
      <c r="P26"/>
    </row>
    <row r="27" s="1" customFormat="1" ht="23" customHeight="1" spans="3:16">
      <c r="C27" s="74" t="s">
        <v>81</v>
      </c>
      <c r="D27" s="74"/>
      <c r="E27" s="74"/>
      <c r="F27" s="80" t="s">
        <v>82</v>
      </c>
      <c r="G27" s="81"/>
      <c r="H27" s="81"/>
      <c r="I27" s="82"/>
      <c r="J27"/>
      <c r="K27" s="181" t="s">
        <v>83</v>
      </c>
      <c r="L27" s="182"/>
      <c r="M27" s="183">
        <f>SUM(M25-M26)</f>
        <v>32014.5297935384</v>
      </c>
      <c r="N27"/>
      <c r="O27"/>
      <c r="P27"/>
    </row>
    <row r="28" s="1" customFormat="1" ht="23" customHeight="1" spans="3:16">
      <c r="C28" s="74"/>
      <c r="D28" s="74"/>
      <c r="E28" s="74"/>
      <c r="F28" s="83"/>
      <c r="G28" s="84"/>
      <c r="H28" s="84"/>
      <c r="I28" s="85"/>
      <c r="J28"/>
      <c r="K28" s="184" t="s">
        <v>80</v>
      </c>
      <c r="L28" s="185"/>
      <c r="M28" s="186">
        <v>35000</v>
      </c>
      <c r="N28"/>
      <c r="O28"/>
      <c r="P28"/>
    </row>
    <row r="29" s="1" customFormat="1" ht="23" customHeight="1" spans="5:16">
      <c r="E29"/>
      <c r="F29"/>
      <c r="G29"/>
      <c r="H29"/>
      <c r="I29"/>
      <c r="J29"/>
      <c r="K29" s="184" t="s">
        <v>159</v>
      </c>
      <c r="L29" s="185"/>
      <c r="M29" s="184">
        <v>0.4</v>
      </c>
      <c r="N29"/>
      <c r="O29"/>
      <c r="P29"/>
    </row>
    <row r="30" s="1" customFormat="1" ht="23" customHeight="1" spans="5:16">
      <c r="E30"/>
      <c r="F30"/>
      <c r="G30"/>
      <c r="H30"/>
      <c r="I30"/>
      <c r="J30"/>
      <c r="K30" s="184" t="s">
        <v>85</v>
      </c>
      <c r="L30" s="185"/>
      <c r="M30" s="186">
        <f>SUM(M28*M29)</f>
        <v>14000</v>
      </c>
      <c r="N30"/>
      <c r="O30"/>
      <c r="P30"/>
    </row>
    <row r="31" s="1" customFormat="1" ht="23" customHeight="1" spans="5:14">
      <c r="E31"/>
      <c r="F31"/>
      <c r="G31"/>
      <c r="H31"/>
      <c r="I31"/>
      <c r="J31"/>
      <c r="K31" s="187" t="s">
        <v>160</v>
      </c>
      <c r="L31" s="188"/>
      <c r="M31" s="189"/>
      <c r="N31"/>
    </row>
    <row r="32" s="1" customFormat="1" ht="23" customHeight="1" spans="5:14">
      <c r="E32"/>
      <c r="F32"/>
      <c r="G32"/>
      <c r="H32"/>
      <c r="I32"/>
      <c r="J32"/>
      <c r="K32" s="187" t="s">
        <v>161</v>
      </c>
      <c r="L32" s="188"/>
      <c r="M32" s="187"/>
      <c r="N32"/>
    </row>
    <row r="33" s="1" customFormat="1" ht="23" customHeight="1" spans="5:19">
      <c r="E33"/>
      <c r="F33"/>
      <c r="G33"/>
      <c r="H33"/>
      <c r="I33"/>
      <c r="J33"/>
      <c r="K33" s="187" t="s">
        <v>85</v>
      </c>
      <c r="L33" s="188"/>
      <c r="M33" s="189"/>
      <c r="N33" s="143"/>
      <c r="O33"/>
      <c r="P33"/>
      <c r="Q33"/>
      <c r="R33"/>
      <c r="S33" s="35"/>
    </row>
    <row r="34" s="1" customFormat="1" ht="23" customHeight="1" spans="5:19">
      <c r="E34"/>
      <c r="F34"/>
      <c r="G34"/>
      <c r="H34"/>
      <c r="I34"/>
      <c r="J34"/>
      <c r="K34" s="139" t="s">
        <v>162</v>
      </c>
      <c r="L34" s="190"/>
      <c r="M34" s="140"/>
      <c r="N34"/>
      <c r="O34"/>
      <c r="P34"/>
      <c r="Q34"/>
      <c r="S34" s="35"/>
    </row>
    <row r="35" ht="22" customHeight="1" spans="11:13">
      <c r="K35" s="143"/>
      <c r="L35" s="143"/>
      <c r="M35" s="1"/>
    </row>
    <row r="36" ht="22" customHeight="1" spans="11:13">
      <c r="K36" s="143"/>
      <c r="L36" s="143"/>
      <c r="M36" s="1"/>
    </row>
  </sheetData>
  <mergeCells count="23">
    <mergeCell ref="J3:P3"/>
    <mergeCell ref="R3:V3"/>
    <mergeCell ref="Y3:AD3"/>
    <mergeCell ref="K23:M2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23:E24"/>
    <mergeCell ref="C25:E26"/>
    <mergeCell ref="F25:I26"/>
    <mergeCell ref="C27:E28"/>
    <mergeCell ref="F27:I28"/>
    <mergeCell ref="F23:I24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2"/>
  <sheetViews>
    <sheetView workbookViewId="0">
      <pane xSplit="14" ySplit="4" topLeftCell="AE5" activePane="bottomRight" state="frozen"/>
      <selection/>
      <selection pane="topRight"/>
      <selection pane="bottomLeft"/>
      <selection pane="bottomRight" activeCell="M11" sqref="M11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4" t="s">
        <v>11</v>
      </c>
      <c r="R3" s="145" t="s">
        <v>12</v>
      </c>
      <c r="S3" s="146"/>
      <c r="T3" s="147"/>
      <c r="U3" s="148"/>
      <c r="V3" s="149"/>
      <c r="W3" s="150" t="s">
        <v>13</v>
      </c>
      <c r="X3" s="151" t="s">
        <v>14</v>
      </c>
      <c r="Y3" s="164" t="s">
        <v>15</v>
      </c>
      <c r="Z3" s="164"/>
      <c r="AA3" s="164"/>
      <c r="AB3" s="164"/>
      <c r="AC3" s="165"/>
      <c r="AD3" s="164"/>
      <c r="AE3" s="166" t="s">
        <v>16</v>
      </c>
      <c r="AF3" s="167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2"/>
      <c r="R4" s="153" t="s">
        <v>25</v>
      </c>
      <c r="S4" s="154" t="s">
        <v>26</v>
      </c>
      <c r="T4" s="155" t="s">
        <v>27</v>
      </c>
      <c r="U4" s="156" t="s">
        <v>28</v>
      </c>
      <c r="V4" s="155" t="s">
        <v>29</v>
      </c>
      <c r="W4" s="157"/>
      <c r="X4" s="158"/>
      <c r="Y4" s="168" t="s">
        <v>30</v>
      </c>
      <c r="Z4" s="168" t="s">
        <v>31</v>
      </c>
      <c r="AA4" s="168" t="s">
        <v>32</v>
      </c>
      <c r="AB4" s="169" t="s">
        <v>33</v>
      </c>
      <c r="AC4" s="170" t="s">
        <v>34</v>
      </c>
      <c r="AD4" s="171" t="s">
        <v>24</v>
      </c>
      <c r="AE4" s="172" t="s">
        <v>35</v>
      </c>
      <c r="AF4" s="173"/>
    </row>
    <row r="5" s="88" customFormat="1" ht="12.75" spans="1:32">
      <c r="A5" s="101"/>
      <c r="B5" s="102"/>
      <c r="C5" s="103">
        <v>241111000039</v>
      </c>
      <c r="D5" s="104">
        <v>45609</v>
      </c>
      <c r="E5" s="104" t="s">
        <v>163</v>
      </c>
      <c r="F5" s="102" t="s">
        <v>164</v>
      </c>
      <c r="G5" s="102" t="s">
        <v>165</v>
      </c>
      <c r="H5" s="102">
        <v>1.8662</v>
      </c>
      <c r="I5" s="102">
        <v>626</v>
      </c>
      <c r="J5" s="124"/>
      <c r="K5" s="125"/>
      <c r="L5" s="126">
        <v>559.83</v>
      </c>
      <c r="M5" s="127">
        <v>0</v>
      </c>
      <c r="N5" s="126">
        <v>559.82996</v>
      </c>
      <c r="O5" s="128">
        <v>7.3</v>
      </c>
      <c r="P5" s="124">
        <v>4086.758708</v>
      </c>
      <c r="Q5" s="159"/>
      <c r="R5" s="159"/>
      <c r="S5" s="160">
        <v>1284.46703823529</v>
      </c>
      <c r="T5" s="160"/>
      <c r="U5" s="160">
        <v>49.3994117647059</v>
      </c>
      <c r="V5" s="160"/>
      <c r="W5" s="160"/>
      <c r="X5" s="160">
        <v>1333.86645</v>
      </c>
      <c r="Y5" s="174">
        <v>296.228238147059</v>
      </c>
      <c r="Z5" s="174"/>
      <c r="AA5" s="174">
        <v>2.60664229411765</v>
      </c>
      <c r="AB5" s="174">
        <v>298.834880441176</v>
      </c>
      <c r="AC5" s="125">
        <v>7.33</v>
      </c>
      <c r="AD5" s="160">
        <v>2190.45967363382</v>
      </c>
      <c r="AE5" s="160">
        <v>3524.32612363382</v>
      </c>
      <c r="AF5" s="160">
        <v>562.432584366176</v>
      </c>
    </row>
    <row r="6" s="88" customFormat="1" ht="12.75" spans="1:32">
      <c r="A6" s="101"/>
      <c r="B6" s="102"/>
      <c r="C6" s="103">
        <v>241125000066</v>
      </c>
      <c r="D6" s="104">
        <v>45623</v>
      </c>
      <c r="E6" s="104" t="s">
        <v>163</v>
      </c>
      <c r="F6" s="102" t="s">
        <v>164</v>
      </c>
      <c r="G6" s="102" t="s">
        <v>165</v>
      </c>
      <c r="H6" s="102">
        <v>0.151</v>
      </c>
      <c r="I6" s="102">
        <v>45</v>
      </c>
      <c r="J6" s="124"/>
      <c r="K6" s="129">
        <v>76000</v>
      </c>
      <c r="L6" s="130"/>
      <c r="M6" s="127">
        <v>1677.70408315426</v>
      </c>
      <c r="N6" s="126">
        <v>45.300003</v>
      </c>
      <c r="O6" s="128">
        <v>7.2</v>
      </c>
      <c r="P6" s="124">
        <v>326.1600216</v>
      </c>
      <c r="Q6" s="159"/>
      <c r="R6" s="159"/>
      <c r="S6" s="160">
        <v>104.442369852941</v>
      </c>
      <c r="T6" s="160"/>
      <c r="U6" s="160">
        <v>4.21911764705882</v>
      </c>
      <c r="V6" s="160"/>
      <c r="W6" s="160"/>
      <c r="X6" s="160">
        <v>108.6614875</v>
      </c>
      <c r="Y6" s="174">
        <v>24.6063382352941</v>
      </c>
      <c r="Z6" s="174"/>
      <c r="AA6" s="174">
        <v>0.118956911764706</v>
      </c>
      <c r="AB6" s="174">
        <v>24.7252951470588</v>
      </c>
      <c r="AC6" s="125">
        <v>7.3</v>
      </c>
      <c r="AD6" s="160">
        <v>180.494654573529</v>
      </c>
      <c r="AE6" s="160">
        <v>289.156142073529</v>
      </c>
      <c r="AF6" s="160">
        <v>37.0038795264706</v>
      </c>
    </row>
    <row r="7" customFormat="1" spans="1:32">
      <c r="A7" s="86" t="s">
        <v>105</v>
      </c>
      <c r="B7" s="105"/>
      <c r="C7" s="105"/>
      <c r="D7" s="105"/>
      <c r="E7" s="105"/>
      <c r="F7" s="105"/>
      <c r="G7" s="105"/>
      <c r="H7" s="105">
        <f>SUM(H5:H6)</f>
        <v>2.0172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61"/>
      <c r="T7" s="105"/>
      <c r="U7" s="105"/>
      <c r="V7" s="162"/>
      <c r="W7" s="163"/>
      <c r="X7" s="163"/>
      <c r="Y7" s="163"/>
      <c r="Z7" s="163"/>
      <c r="AA7" s="175"/>
      <c r="AB7" s="176"/>
      <c r="AC7" s="176"/>
      <c r="AD7" s="176"/>
      <c r="AE7" s="176"/>
      <c r="AF7" s="176">
        <f>SUM(AF5:AF6)</f>
        <v>599.436463892647</v>
      </c>
    </row>
    <row r="8" s="89" customFormat="1" ht="26" customHeight="1" spans="1:25">
      <c r="A8" s="106"/>
      <c r="B8" s="107"/>
      <c r="D8" s="108"/>
      <c r="E8" s="108"/>
      <c r="Y8" s="177"/>
    </row>
    <row r="9" s="1" customFormat="1" ht="23" customHeight="1" spans="3:16">
      <c r="C9" s="74" t="s">
        <v>72</v>
      </c>
      <c r="D9" s="74"/>
      <c r="E9" s="74"/>
      <c r="F9" s="109" t="s">
        <v>73</v>
      </c>
      <c r="G9" s="110"/>
      <c r="H9" s="110"/>
      <c r="I9" s="131"/>
      <c r="J9"/>
      <c r="K9" s="132" t="s">
        <v>166</v>
      </c>
      <c r="L9" s="133"/>
      <c r="M9" s="134"/>
      <c r="N9" s="89"/>
      <c r="O9"/>
      <c r="P9"/>
    </row>
    <row r="10" s="1" customFormat="1" ht="23" customHeight="1" spans="3:16">
      <c r="C10" s="74"/>
      <c r="D10" s="74"/>
      <c r="E10" s="74"/>
      <c r="F10" s="111"/>
      <c r="G10" s="112"/>
      <c r="H10" s="112"/>
      <c r="I10" s="135"/>
      <c r="J10"/>
      <c r="K10" s="136" t="s">
        <v>75</v>
      </c>
      <c r="L10" s="136" t="s">
        <v>8</v>
      </c>
      <c r="M10" s="136" t="s">
        <v>76</v>
      </c>
      <c r="N10" s="89"/>
      <c r="O10"/>
      <c r="P10"/>
    </row>
    <row r="11" s="1" customFormat="1" ht="23" customHeight="1" spans="3:16">
      <c r="C11" s="74" t="s">
        <v>77</v>
      </c>
      <c r="D11" s="74"/>
      <c r="E11" s="74"/>
      <c r="F11" s="80" t="s">
        <v>78</v>
      </c>
      <c r="G11" s="81"/>
      <c r="H11" s="81"/>
      <c r="I11" s="82"/>
      <c r="J11"/>
      <c r="K11" s="136" t="s">
        <v>79</v>
      </c>
      <c r="L11" s="137">
        <f>SUM(H7)</f>
        <v>2.0172</v>
      </c>
      <c r="M11" s="138">
        <f>SUM(AF7)</f>
        <v>599.436463892647</v>
      </c>
      <c r="N11" s="89"/>
      <c r="O11"/>
      <c r="P11"/>
    </row>
    <row r="12" s="1" customFormat="1" ht="23" customHeight="1" spans="3:16">
      <c r="C12" s="74"/>
      <c r="D12" s="74"/>
      <c r="E12" s="74"/>
      <c r="F12" s="83"/>
      <c r="G12" s="84"/>
      <c r="H12" s="84"/>
      <c r="I12" s="85"/>
      <c r="J12"/>
      <c r="K12" s="139" t="s">
        <v>80</v>
      </c>
      <c r="L12" s="139"/>
      <c r="M12" s="140"/>
      <c r="N12"/>
      <c r="O12"/>
      <c r="P12"/>
    </row>
    <row r="13" s="1" customFormat="1" ht="23" customHeight="1" spans="3:16">
      <c r="C13" s="74" t="s">
        <v>81</v>
      </c>
      <c r="D13" s="74"/>
      <c r="E13" s="74"/>
      <c r="F13" s="80" t="s">
        <v>82</v>
      </c>
      <c r="G13" s="81"/>
      <c r="H13" s="81"/>
      <c r="I13" s="82"/>
      <c r="J13"/>
      <c r="K13" s="141" t="s">
        <v>83</v>
      </c>
      <c r="L13" s="141"/>
      <c r="M13" s="142"/>
      <c r="N13"/>
      <c r="O13"/>
      <c r="P13"/>
    </row>
    <row r="14" s="1" customFormat="1" ht="23" customHeight="1" spans="3:16">
      <c r="C14" s="74"/>
      <c r="D14" s="74"/>
      <c r="E14" s="74"/>
      <c r="F14" s="83"/>
      <c r="G14" s="84"/>
      <c r="H14" s="84"/>
      <c r="I14" s="85"/>
      <c r="J14"/>
      <c r="K14" s="136" t="s">
        <v>84</v>
      </c>
      <c r="L14" s="136"/>
      <c r="M14" s="136"/>
      <c r="N14"/>
      <c r="O14"/>
      <c r="P14"/>
    </row>
    <row r="15" s="1" customFormat="1" ht="23" customHeight="1" spans="5:16">
      <c r="E15"/>
      <c r="F15"/>
      <c r="G15"/>
      <c r="H15"/>
      <c r="I15"/>
      <c r="J15"/>
      <c r="K15" s="139" t="s">
        <v>85</v>
      </c>
      <c r="L15" s="139"/>
      <c r="M15" s="140"/>
      <c r="N15"/>
      <c r="O15"/>
      <c r="P15"/>
    </row>
    <row r="16" s="1" customFormat="1" ht="23" customHeight="1" spans="5:16">
      <c r="E16"/>
      <c r="F16"/>
      <c r="G16"/>
      <c r="H16"/>
      <c r="I16"/>
      <c r="J16"/>
      <c r="K16"/>
      <c r="L16"/>
      <c r="M16"/>
      <c r="N16"/>
      <c r="O16"/>
      <c r="P16"/>
    </row>
    <row r="17" s="1" customFormat="1" ht="23" customHeight="1" spans="5:14">
      <c r="E17"/>
      <c r="F17"/>
      <c r="G17"/>
      <c r="H17"/>
      <c r="I17"/>
      <c r="J17"/>
      <c r="K17"/>
      <c r="L17"/>
      <c r="M17"/>
      <c r="N17"/>
    </row>
    <row r="18" s="1" customFormat="1" ht="23" customHeight="1" spans="5:14">
      <c r="E18"/>
      <c r="F18"/>
      <c r="G18"/>
      <c r="H18"/>
      <c r="I18"/>
      <c r="J18"/>
      <c r="K18"/>
      <c r="L18"/>
      <c r="M18"/>
      <c r="N18"/>
    </row>
    <row r="19" s="1" customFormat="1" ht="23" customHeight="1" spans="5:19"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35"/>
    </row>
    <row r="20" s="1" customFormat="1" ht="23" customHeight="1" spans="5:19">
      <c r="E20"/>
      <c r="F20"/>
      <c r="G20"/>
      <c r="H20"/>
      <c r="I20"/>
      <c r="J20"/>
      <c r="K20"/>
      <c r="L20"/>
      <c r="M20"/>
      <c r="N20"/>
      <c r="O20"/>
      <c r="P20"/>
      <c r="Q20"/>
      <c r="S20" s="35"/>
    </row>
    <row r="21" ht="22" customHeight="1"/>
    <row r="22" ht="22" customHeight="1" spans="11:13">
      <c r="K22" s="143"/>
      <c r="L22" s="143"/>
      <c r="M22" s="1"/>
    </row>
  </sheetData>
  <mergeCells count="23">
    <mergeCell ref="J3:P3"/>
    <mergeCell ref="R3:V3"/>
    <mergeCell ref="Y3:AD3"/>
    <mergeCell ref="K9:M9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9:E10"/>
    <mergeCell ref="F9:I10"/>
    <mergeCell ref="C11:E12"/>
    <mergeCell ref="F11:I12"/>
    <mergeCell ref="C13:E14"/>
    <mergeCell ref="F13:I1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B5" sqref="B5"/>
    </sheetView>
  </sheetViews>
  <sheetFormatPr defaultColWidth="11" defaultRowHeight="33" customHeight="1"/>
  <cols>
    <col min="1" max="1" width="16.25" style="9" customWidth="1"/>
    <col min="2" max="2" width="12.5" style="4" customWidth="1"/>
    <col min="3" max="3" width="8.125" style="4" customWidth="1"/>
    <col min="4" max="4" width="10.25" style="10" customWidth="1"/>
    <col min="5" max="5" width="11.375" style="10" customWidth="1"/>
    <col min="6" max="6" width="11.875" style="11" customWidth="1"/>
    <col min="7" max="7" width="6.375" style="12" customWidth="1"/>
    <col min="8" max="8" width="14.625" style="4" customWidth="1"/>
    <col min="9" max="9" width="4.625" style="4" customWidth="1"/>
    <col min="10" max="10" width="9.375" style="4" customWidth="1"/>
    <col min="11" max="11" width="6.375" style="4" customWidth="1"/>
    <col min="12" max="12" width="9.375" style="4" customWidth="1"/>
    <col min="13" max="13" width="14.625" style="4" customWidth="1"/>
    <col min="14" max="14" width="30.5" style="4" customWidth="1"/>
    <col min="15" max="15" width="5.375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40" customHeight="1" spans="1:20">
      <c r="A3" s="15" t="s">
        <v>168</v>
      </c>
      <c r="B3" s="16" t="s">
        <v>169</v>
      </c>
      <c r="C3" s="66" t="s">
        <v>170</v>
      </c>
      <c r="D3" s="18" t="s">
        <v>171</v>
      </c>
      <c r="E3" s="18"/>
      <c r="F3" s="18"/>
      <c r="G3" s="18"/>
      <c r="H3" s="18"/>
      <c r="I3" s="70" t="s">
        <v>172</v>
      </c>
      <c r="J3" s="71"/>
      <c r="K3" s="72"/>
      <c r="L3" s="73"/>
      <c r="M3" s="42" t="s">
        <v>173</v>
      </c>
      <c r="N3" s="16" t="s">
        <v>94</v>
      </c>
      <c r="P3" s="74" t="s">
        <v>72</v>
      </c>
      <c r="Q3" s="74"/>
      <c r="R3" s="79" t="s">
        <v>73</v>
      </c>
      <c r="S3" s="79"/>
      <c r="T3" s="79"/>
    </row>
    <row r="4" s="2" customFormat="1" ht="55" customHeight="1" spans="1:20">
      <c r="A4" s="19"/>
      <c r="B4" s="16"/>
      <c r="C4" s="67"/>
      <c r="D4" s="21" t="s">
        <v>80</v>
      </c>
      <c r="E4" s="22" t="s">
        <v>83</v>
      </c>
      <c r="F4" s="22" t="s">
        <v>83</v>
      </c>
      <c r="G4" s="23" t="s">
        <v>174</v>
      </c>
      <c r="H4" s="24" t="s">
        <v>85</v>
      </c>
      <c r="I4" s="43" t="s">
        <v>80</v>
      </c>
      <c r="J4" s="44" t="s">
        <v>83</v>
      </c>
      <c r="K4" s="45" t="s">
        <v>175</v>
      </c>
      <c r="L4" s="46" t="s">
        <v>85</v>
      </c>
      <c r="M4" s="47"/>
      <c r="N4" s="16"/>
      <c r="P4" s="74"/>
      <c r="Q4" s="74"/>
      <c r="R4" s="79"/>
      <c r="S4" s="79"/>
      <c r="T4" s="79"/>
    </row>
    <row r="5" s="3" customFormat="1" ht="26" customHeight="1" spans="1:20">
      <c r="A5" s="16" t="s">
        <v>176</v>
      </c>
      <c r="B5" s="25">
        <f>SUM(黄颖!M44)</f>
        <v>30842.5797914111</v>
      </c>
      <c r="C5" s="26">
        <f>SUM(黄颖!L44)</f>
        <v>82.62</v>
      </c>
      <c r="D5" s="68">
        <v>6000</v>
      </c>
      <c r="E5" s="28">
        <f>SUM(B5-D5)</f>
        <v>24842.5797914111</v>
      </c>
      <c r="F5" s="28"/>
      <c r="G5" s="29">
        <v>0.4</v>
      </c>
      <c r="H5" s="28">
        <f>SUM(E5*G5)</f>
        <v>9937.03191656444</v>
      </c>
      <c r="I5" s="48"/>
      <c r="J5" s="48"/>
      <c r="K5" s="49"/>
      <c r="L5" s="50"/>
      <c r="M5" s="51">
        <f>SUM(H5+L5)</f>
        <v>9937.03191656444</v>
      </c>
      <c r="N5" s="52"/>
      <c r="P5" s="74" t="s">
        <v>77</v>
      </c>
      <c r="Q5" s="74"/>
      <c r="R5" s="80" t="s">
        <v>78</v>
      </c>
      <c r="S5" s="81"/>
      <c r="T5" s="82"/>
    </row>
    <row r="6" s="5" customFormat="1" spans="1:20">
      <c r="A6" s="31" t="s">
        <v>177</v>
      </c>
      <c r="B6" s="32">
        <f>SUM(三凤!M16)</f>
        <v>4957.51367349657</v>
      </c>
      <c r="C6" s="33">
        <f>SUM(三凤!L16)</f>
        <v>58.0686</v>
      </c>
      <c r="D6" s="34">
        <v>3000</v>
      </c>
      <c r="E6" s="28">
        <f>SUM(B6-D6)</f>
        <v>1957.51367349657</v>
      </c>
      <c r="F6" s="28"/>
      <c r="G6" s="29">
        <v>0.15</v>
      </c>
      <c r="H6" s="28">
        <f>SUM(E6*G6)</f>
        <v>293.627051024485</v>
      </c>
      <c r="I6" s="56"/>
      <c r="J6" s="56"/>
      <c r="K6" s="49"/>
      <c r="L6" s="49"/>
      <c r="M6" s="51">
        <f>SUM(H6+L6)</f>
        <v>293.627051024485</v>
      </c>
      <c r="N6" s="57" t="s">
        <v>178</v>
      </c>
      <c r="P6" s="74"/>
      <c r="Q6" s="74"/>
      <c r="R6" s="83"/>
      <c r="S6" s="84"/>
      <c r="T6" s="85"/>
    </row>
    <row r="7" s="3" customFormat="1" spans="1:20">
      <c r="A7" s="16" t="s">
        <v>96</v>
      </c>
      <c r="B7" s="25">
        <f>SUM(朱小飞!M32)</f>
        <v>7677.73728409223</v>
      </c>
      <c r="C7" s="26">
        <f>SUM(朱小飞!L32)</f>
        <v>21.9695</v>
      </c>
      <c r="D7" s="28">
        <v>3000</v>
      </c>
      <c r="E7" s="28">
        <f>SUM(B7-D7)</f>
        <v>4677.73728409223</v>
      </c>
      <c r="F7" s="28"/>
      <c r="G7" s="29">
        <v>0.15</v>
      </c>
      <c r="H7" s="28">
        <f>SUM(E7*G7)</f>
        <v>701.660592613834</v>
      </c>
      <c r="I7" s="48"/>
      <c r="J7" s="56"/>
      <c r="K7" s="56"/>
      <c r="L7" s="48"/>
      <c r="M7" s="51">
        <f>SUM(H7+L7)</f>
        <v>701.660592613834</v>
      </c>
      <c r="N7" s="57" t="s">
        <v>179</v>
      </c>
      <c r="P7" s="74" t="s">
        <v>81</v>
      </c>
      <c r="Q7" s="74"/>
      <c r="R7" s="80" t="s">
        <v>82</v>
      </c>
      <c r="S7" s="81"/>
      <c r="T7" s="82"/>
    </row>
    <row r="8" s="6" customFormat="1" ht="26" customHeight="1" spans="1:20">
      <c r="A8" s="16" t="s">
        <v>110</v>
      </c>
      <c r="B8" s="25">
        <f>SUM(吕沛霖!M23)</f>
        <v>9163.03485449965</v>
      </c>
      <c r="C8" s="26">
        <f>SUM(吕沛霖!L23)</f>
        <v>29.4541</v>
      </c>
      <c r="D8" s="28">
        <v>6000</v>
      </c>
      <c r="E8" s="28">
        <f>SUM(B8-D8)</f>
        <v>3163.03485449965</v>
      </c>
      <c r="F8" s="28"/>
      <c r="G8" s="29">
        <v>0.4</v>
      </c>
      <c r="H8" s="28">
        <f>SUM(E8*G8)</f>
        <v>1265.21394179986</v>
      </c>
      <c r="I8" s="56"/>
      <c r="J8" s="56"/>
      <c r="K8" s="56"/>
      <c r="L8" s="56"/>
      <c r="M8" s="51">
        <f>SUM(H8+L8)</f>
        <v>1265.21394179986</v>
      </c>
      <c r="N8" s="58"/>
      <c r="P8" s="74"/>
      <c r="Q8" s="74"/>
      <c r="R8" s="83"/>
      <c r="S8" s="84"/>
      <c r="T8" s="85"/>
    </row>
    <row r="9" s="6" customFormat="1" ht="26" customHeight="1" spans="1:20">
      <c r="A9" s="16" t="s">
        <v>135</v>
      </c>
      <c r="B9" s="25">
        <f>SUM(陆总!M18)</f>
        <v>15838.5419751566</v>
      </c>
      <c r="C9" s="26">
        <f>SUM(陆总!L18)</f>
        <v>60.5188</v>
      </c>
      <c r="D9" s="28"/>
      <c r="E9" s="28"/>
      <c r="F9" s="28"/>
      <c r="G9" s="29">
        <v>0.4</v>
      </c>
      <c r="H9" s="28">
        <f>SUM(B9*G9)</f>
        <v>6335.41679006264</v>
      </c>
      <c r="I9" s="48"/>
      <c r="J9" s="56"/>
      <c r="K9" s="56"/>
      <c r="L9" s="56"/>
      <c r="M9" s="51">
        <f>SUM(H9+L9)</f>
        <v>6335.41679006264</v>
      </c>
      <c r="N9" s="58"/>
      <c r="P9" s="3"/>
      <c r="Q9" s="3"/>
      <c r="R9" s="3"/>
      <c r="S9" s="3"/>
      <c r="T9" s="3"/>
    </row>
    <row r="10" s="6" customFormat="1" ht="26" customHeight="1" spans="1:21">
      <c r="A10" s="16" t="s">
        <v>129</v>
      </c>
      <c r="B10" s="25">
        <f>SUM(苏慧琪!M12)</f>
        <v>4370.78621357942</v>
      </c>
      <c r="C10" s="26">
        <f>SUM(苏慧琪!L12)</f>
        <v>14.5209</v>
      </c>
      <c r="D10" s="28"/>
      <c r="E10" s="28"/>
      <c r="F10" s="28"/>
      <c r="G10" s="29"/>
      <c r="H10" s="28"/>
      <c r="I10" s="56"/>
      <c r="J10" s="56"/>
      <c r="K10" s="56"/>
      <c r="L10" s="56"/>
      <c r="M10" s="51"/>
      <c r="N10" s="58"/>
      <c r="P10" s="75" t="s">
        <v>180</v>
      </c>
      <c r="Q10" s="86"/>
      <c r="R10" s="86"/>
      <c r="S10" s="3"/>
      <c r="T10" s="3"/>
      <c r="U10" s="3"/>
    </row>
    <row r="11" s="6" customFormat="1" ht="26" customHeight="1" spans="1:21">
      <c r="A11" s="16" t="s">
        <v>124</v>
      </c>
      <c r="B11" s="25">
        <f>SUM(罗珮文!M39)</f>
        <v>-56269.9284288926</v>
      </c>
      <c r="C11" s="26">
        <f>SUM(罗珮文!L39)</f>
        <v>196.2159</v>
      </c>
      <c r="D11" s="28"/>
      <c r="E11" s="28"/>
      <c r="F11" s="28"/>
      <c r="G11" s="29"/>
      <c r="H11" s="28"/>
      <c r="I11" s="56"/>
      <c r="J11" s="56"/>
      <c r="K11" s="56"/>
      <c r="L11" s="56"/>
      <c r="M11" s="51"/>
      <c r="N11" s="58"/>
      <c r="P11" s="75" t="s">
        <v>181</v>
      </c>
      <c r="Q11" s="86"/>
      <c r="R11" s="86"/>
      <c r="S11" s="3"/>
      <c r="T11" s="3"/>
      <c r="U11" s="3"/>
    </row>
    <row r="12" s="3" customFormat="1" ht="26" customHeight="1" spans="1:14">
      <c r="A12" s="16" t="s">
        <v>182</v>
      </c>
      <c r="B12" s="25">
        <f>SUM(浦生!M25)</f>
        <v>38014.5297935384</v>
      </c>
      <c r="C12" s="26">
        <f>SUM(浦生!L25)</f>
        <v>115.7009</v>
      </c>
      <c r="D12" s="28">
        <v>6000</v>
      </c>
      <c r="E12" s="28">
        <f>SUM(B12-D12)</f>
        <v>32014.5297935384</v>
      </c>
      <c r="F12" s="28">
        <v>35000</v>
      </c>
      <c r="G12" s="29">
        <v>0.4</v>
      </c>
      <c r="H12" s="28">
        <f>SUM(F12*G12)</f>
        <v>14000</v>
      </c>
      <c r="I12" s="48"/>
      <c r="J12" s="48"/>
      <c r="K12" s="49"/>
      <c r="L12" s="50"/>
      <c r="M12" s="51">
        <f>SUM(H12+L12)</f>
        <v>14000</v>
      </c>
      <c r="N12" s="76"/>
    </row>
    <row r="13" s="3" customFormat="1" ht="26" customHeight="1" spans="1:18">
      <c r="A13" s="16" t="s">
        <v>163</v>
      </c>
      <c r="B13" s="25">
        <f>SUM(无人!M11)</f>
        <v>599.436463892647</v>
      </c>
      <c r="C13" s="26">
        <f>SUM(无人!L11)</f>
        <v>2.0172</v>
      </c>
      <c r="D13" s="28"/>
      <c r="E13" s="28"/>
      <c r="F13" s="28"/>
      <c r="G13" s="29"/>
      <c r="H13" s="28"/>
      <c r="I13" s="48"/>
      <c r="J13" s="48"/>
      <c r="K13" s="49"/>
      <c r="L13" s="50"/>
      <c r="M13" s="51"/>
      <c r="N13" s="76"/>
      <c r="P13" s="77"/>
      <c r="Q13" s="9"/>
      <c r="R13" s="9"/>
    </row>
    <row r="14" s="2" customFormat="1" ht="36" customHeight="1" spans="1:14">
      <c r="A14" s="16" t="s">
        <v>105</v>
      </c>
      <c r="B14" s="25">
        <f>SUM(B5:B12)</f>
        <v>54594.7951568814</v>
      </c>
      <c r="C14" s="26">
        <f>SUM(C5:C12)</f>
        <v>579.0687</v>
      </c>
      <c r="D14" s="28"/>
      <c r="E14" s="28"/>
      <c r="F14" s="28"/>
      <c r="G14" s="29"/>
      <c r="H14" s="29"/>
      <c r="I14" s="56"/>
      <c r="J14" s="56"/>
      <c r="K14" s="59"/>
      <c r="L14" s="44"/>
      <c r="M14" s="60">
        <f>SUM(M5:M12)</f>
        <v>32532.9502920653</v>
      </c>
      <c r="N14" s="61"/>
    </row>
    <row r="15" s="1" customFormat="1" ht="9" customHeight="1" spans="1:13">
      <c r="A15" s="9"/>
      <c r="G15" s="35"/>
      <c r="H15" s="35"/>
      <c r="I15" s="35"/>
      <c r="J15" s="35"/>
      <c r="K15" s="62"/>
      <c r="L15" s="11"/>
      <c r="M15" s="63"/>
    </row>
    <row r="16" s="65" customFormat="1" ht="41" customHeight="1" spans="1:13">
      <c r="A16" s="65" t="s">
        <v>183</v>
      </c>
      <c r="G16" s="69"/>
      <c r="H16" s="69"/>
      <c r="I16" s="69"/>
      <c r="J16" s="69" t="s">
        <v>181</v>
      </c>
      <c r="K16" s="69"/>
      <c r="M16" s="78"/>
    </row>
    <row r="17" s="8" customFormat="1" ht="41" customHeight="1" spans="1:13">
      <c r="A17" s="37"/>
      <c r="G17" s="38"/>
      <c r="H17" s="38"/>
      <c r="I17" s="38"/>
      <c r="J17" s="38"/>
      <c r="K17" s="38"/>
      <c r="M17" s="39"/>
    </row>
    <row r="18" s="4" customFormat="1" ht="57" customHeight="1" spans="1:13">
      <c r="A18" s="9"/>
      <c r="G18" s="30"/>
      <c r="H18" s="30"/>
      <c r="I18" s="30"/>
      <c r="J18" s="30"/>
      <c r="K18" s="53"/>
      <c r="L18" s="11"/>
      <c r="M18" s="12"/>
    </row>
    <row r="19" s="4" customFormat="1" customHeight="1" spans="1:7">
      <c r="A19" s="9"/>
      <c r="D19" s="8"/>
      <c r="E19" s="39"/>
      <c r="F19" s="11"/>
      <c r="G19" s="12"/>
    </row>
    <row r="20" customHeight="1" spans="4:5">
      <c r="D20" s="8"/>
      <c r="E20" s="39"/>
    </row>
    <row r="21" customHeight="1" spans="4:5">
      <c r="D21" s="8"/>
      <c r="E21" s="39"/>
    </row>
    <row r="22" customHeight="1" spans="4:5">
      <c r="D22" s="8"/>
      <c r="E22" s="39"/>
    </row>
    <row r="23" customHeight="1" spans="4:5">
      <c r="D23" s="8"/>
      <c r="E23" s="39"/>
    </row>
    <row r="24" customHeight="1" spans="4:5">
      <c r="D24" s="8"/>
      <c r="E24" s="39"/>
    </row>
    <row r="25" customHeight="1" spans="4:5">
      <c r="D25" s="8"/>
      <c r="E25" s="39"/>
    </row>
  </sheetData>
  <mergeCells count="16">
    <mergeCell ref="A1:N1"/>
    <mergeCell ref="D3:H3"/>
    <mergeCell ref="I3:L3"/>
    <mergeCell ref="Q10:R10"/>
    <mergeCell ref="Q11:R11"/>
    <mergeCell ref="A3:A4"/>
    <mergeCell ref="B3:B4"/>
    <mergeCell ref="C3:C4"/>
    <mergeCell ref="M3:M4"/>
    <mergeCell ref="N3:N4"/>
    <mergeCell ref="P3:Q4"/>
    <mergeCell ref="R3:T4"/>
    <mergeCell ref="P5:Q6"/>
    <mergeCell ref="R5:T6"/>
    <mergeCell ref="P7:Q8"/>
    <mergeCell ref="R7:T8"/>
  </mergeCells>
  <pageMargins left="0.275" right="0.156944444444444" top="1.29861111111111" bottom="1" header="0.5" footer="0.5"/>
  <pageSetup paperSize="9" scale="9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topLeftCell="A4" workbookViewId="0">
      <selection activeCell="J12" sqref="J12"/>
    </sheetView>
  </sheetViews>
  <sheetFormatPr defaultColWidth="11" defaultRowHeight="33" customHeight="1"/>
  <cols>
    <col min="1" max="1" width="16.25" style="9" customWidth="1"/>
    <col min="2" max="2" width="12.5" style="4" customWidth="1"/>
    <col min="3" max="3" width="10.4166666666667" style="4" customWidth="1"/>
    <col min="4" max="4" width="11.9" style="10" customWidth="1"/>
    <col min="5" max="5" width="13.1833333333333" style="10" customWidth="1"/>
    <col min="6" max="6" width="11.875" style="11" customWidth="1"/>
    <col min="7" max="7" width="10.4916666666667" style="12" customWidth="1"/>
    <col min="8" max="8" width="14.625" style="4" customWidth="1"/>
    <col min="9" max="9" width="6.25833333333333" style="4" customWidth="1"/>
    <col min="10" max="10" width="9.375" style="4" customWidth="1"/>
    <col min="11" max="11" width="9.175" style="4" customWidth="1"/>
    <col min="12" max="12" width="10.6916666666667" style="4" customWidth="1"/>
    <col min="13" max="13" width="14.625" style="4" customWidth="1"/>
    <col min="14" max="14" width="34.125" style="4" customWidth="1"/>
    <col min="15" max="15" width="5.375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40" customHeight="1" spans="1:14">
      <c r="A3" s="15" t="s">
        <v>168</v>
      </c>
      <c r="B3" s="16" t="s">
        <v>169</v>
      </c>
      <c r="C3" s="17" t="s">
        <v>170</v>
      </c>
      <c r="D3" s="18" t="s">
        <v>171</v>
      </c>
      <c r="E3" s="18"/>
      <c r="F3" s="18"/>
      <c r="G3" s="18"/>
      <c r="H3" s="18"/>
      <c r="I3" s="40" t="s">
        <v>172</v>
      </c>
      <c r="J3" s="40"/>
      <c r="K3" s="41"/>
      <c r="L3" s="40"/>
      <c r="M3" s="42" t="s">
        <v>173</v>
      </c>
      <c r="N3" s="16" t="s">
        <v>94</v>
      </c>
    </row>
    <row r="4" s="2" customFormat="1" ht="55" customHeight="1" spans="1:14">
      <c r="A4" s="19"/>
      <c r="B4" s="16"/>
      <c r="C4" s="20"/>
      <c r="D4" s="21" t="s">
        <v>80</v>
      </c>
      <c r="E4" s="22" t="s">
        <v>83</v>
      </c>
      <c r="F4" s="22" t="s">
        <v>83</v>
      </c>
      <c r="G4" s="23" t="s">
        <v>174</v>
      </c>
      <c r="H4" s="24" t="s">
        <v>85</v>
      </c>
      <c r="I4" s="43" t="s">
        <v>80</v>
      </c>
      <c r="J4" s="44" t="s">
        <v>83</v>
      </c>
      <c r="K4" s="45" t="s">
        <v>175</v>
      </c>
      <c r="L4" s="46" t="s">
        <v>85</v>
      </c>
      <c r="M4" s="47"/>
      <c r="N4" s="16"/>
    </row>
    <row r="5" s="3" customFormat="1" ht="36" customHeight="1" spans="1:14">
      <c r="A5" s="16" t="s">
        <v>176</v>
      </c>
      <c r="B5" s="25">
        <f>SUM(黄颖!M44)</f>
        <v>30842.5797914111</v>
      </c>
      <c r="C5" s="26">
        <f>SUM(黄颖!L44)</f>
        <v>82.62</v>
      </c>
      <c r="D5" s="27">
        <v>6000</v>
      </c>
      <c r="E5" s="28">
        <f>SUM(B5-D5)</f>
        <v>24842.5797914111</v>
      </c>
      <c r="F5" s="28"/>
      <c r="G5" s="29">
        <v>0.4</v>
      </c>
      <c r="H5" s="28">
        <f>SUM(E5*G5)</f>
        <v>9937.03191656444</v>
      </c>
      <c r="I5" s="48"/>
      <c r="J5" s="48"/>
      <c r="K5" s="49"/>
      <c r="L5" s="50"/>
      <c r="M5" s="51">
        <f>SUM(H5+L5)</f>
        <v>9937.03191656444</v>
      </c>
      <c r="N5" s="52"/>
    </row>
    <row r="6" s="4" customFormat="1" ht="57" customHeight="1" spans="1:14">
      <c r="A6" s="9"/>
      <c r="B6" s="4"/>
      <c r="C6" s="30"/>
      <c r="D6" s="4"/>
      <c r="E6" s="4"/>
      <c r="F6" s="4"/>
      <c r="G6" s="30"/>
      <c r="H6" s="4"/>
      <c r="I6" s="4"/>
      <c r="J6" s="4"/>
      <c r="K6" s="53"/>
      <c r="L6" s="54" t="s">
        <v>180</v>
      </c>
      <c r="M6" s="55"/>
      <c r="N6" s="55"/>
    </row>
    <row r="7" s="5" customFormat="1" ht="45" customHeight="1" spans="1:14">
      <c r="A7" s="31" t="s">
        <v>177</v>
      </c>
      <c r="B7" s="32">
        <f>SUM(三凤!M16)</f>
        <v>4957.51367349657</v>
      </c>
      <c r="C7" s="33">
        <f>SUM(三凤!L16)</f>
        <v>58.0686</v>
      </c>
      <c r="D7" s="34">
        <v>3000</v>
      </c>
      <c r="E7" s="28">
        <f>SUM(B7-D7)</f>
        <v>1957.51367349657</v>
      </c>
      <c r="F7" s="28"/>
      <c r="G7" s="29">
        <v>0.15</v>
      </c>
      <c r="H7" s="28">
        <f>SUM(E7*G7)</f>
        <v>293.627051024485</v>
      </c>
      <c r="I7" s="56"/>
      <c r="J7" s="56"/>
      <c r="K7" s="49"/>
      <c r="L7" s="49"/>
      <c r="M7" s="51">
        <f>SUM(H7+L7)</f>
        <v>293.627051024485</v>
      </c>
      <c r="N7" s="57" t="s">
        <v>178</v>
      </c>
    </row>
    <row r="8" s="4" customFormat="1" ht="57" customHeight="1" spans="1:14">
      <c r="A8" s="9"/>
      <c r="B8" s="4"/>
      <c r="C8" s="30"/>
      <c r="D8" s="4"/>
      <c r="E8" s="4"/>
      <c r="F8" s="4"/>
      <c r="G8" s="30"/>
      <c r="H8" s="4"/>
      <c r="I8" s="4"/>
      <c r="J8" s="4"/>
      <c r="K8" s="53"/>
      <c r="L8" s="54" t="s">
        <v>180</v>
      </c>
      <c r="M8" s="55"/>
      <c r="N8" s="55"/>
    </row>
    <row r="9" s="3" customFormat="1" ht="45" customHeight="1" spans="1:14">
      <c r="A9" s="16" t="s">
        <v>96</v>
      </c>
      <c r="B9" s="25">
        <f>SUM(朱小飞!M32)</f>
        <v>7677.73728409223</v>
      </c>
      <c r="C9" s="26">
        <f>SUM(朱小飞!L32)</f>
        <v>21.9695</v>
      </c>
      <c r="D9" s="28">
        <v>3000</v>
      </c>
      <c r="E9" s="28">
        <f>SUM(B9-D9)</f>
        <v>4677.73728409223</v>
      </c>
      <c r="F9" s="28"/>
      <c r="G9" s="29">
        <v>0.15</v>
      </c>
      <c r="H9" s="28">
        <f>SUM(E9*G9)</f>
        <v>701.660592613834</v>
      </c>
      <c r="I9" s="48"/>
      <c r="J9" s="56"/>
      <c r="K9" s="56"/>
      <c r="L9" s="48"/>
      <c r="M9" s="51">
        <f>SUM(H9+L9)</f>
        <v>701.660592613834</v>
      </c>
      <c r="N9" s="57" t="s">
        <v>179</v>
      </c>
    </row>
    <row r="10" s="4" customFormat="1" ht="57" customHeight="1" spans="1:14">
      <c r="A10" s="9"/>
      <c r="B10" s="4"/>
      <c r="C10" s="30"/>
      <c r="D10" s="4"/>
      <c r="E10" s="4"/>
      <c r="F10" s="4"/>
      <c r="G10" s="30"/>
      <c r="H10" s="4"/>
      <c r="I10" s="4"/>
      <c r="J10" s="4"/>
      <c r="K10" s="53"/>
      <c r="L10" s="54" t="s">
        <v>180</v>
      </c>
      <c r="M10" s="55"/>
      <c r="N10" s="55"/>
    </row>
    <row r="11" s="6" customFormat="1" ht="34" customHeight="1" spans="1:14">
      <c r="A11" s="16" t="s">
        <v>110</v>
      </c>
      <c r="B11" s="25">
        <f>SUM(吕沛霖!M23)</f>
        <v>9163.03485449965</v>
      </c>
      <c r="C11" s="26">
        <f>SUM(吕沛霖!L23)</f>
        <v>29.4541</v>
      </c>
      <c r="D11" s="28">
        <v>6000</v>
      </c>
      <c r="E11" s="28">
        <f>SUM(B11-D11)</f>
        <v>3163.03485449965</v>
      </c>
      <c r="F11" s="28"/>
      <c r="G11" s="29">
        <v>0.4</v>
      </c>
      <c r="H11" s="28">
        <f>SUM(E11*G11)</f>
        <v>1265.21394179986</v>
      </c>
      <c r="I11" s="56"/>
      <c r="J11" s="56"/>
      <c r="K11" s="56"/>
      <c r="L11" s="56"/>
      <c r="M11" s="51">
        <f>SUM(H11+L11)</f>
        <v>1265.21394179986</v>
      </c>
      <c r="N11" s="58"/>
    </row>
    <row r="12" s="4" customFormat="1" ht="57" customHeight="1" spans="1:14">
      <c r="A12" s="9"/>
      <c r="B12" s="4"/>
      <c r="C12" s="30"/>
      <c r="D12" s="4"/>
      <c r="E12" s="4"/>
      <c r="F12" s="4"/>
      <c r="G12" s="30"/>
      <c r="H12" s="4"/>
      <c r="I12" s="4"/>
      <c r="J12" s="4"/>
      <c r="K12" s="53"/>
      <c r="L12" s="54" t="s">
        <v>180</v>
      </c>
      <c r="M12" s="55"/>
      <c r="N12" s="55"/>
    </row>
    <row r="13" s="2" customFormat="1" ht="36" customHeight="1" spans="1:14">
      <c r="A13" s="16" t="s">
        <v>105</v>
      </c>
      <c r="B13" s="25">
        <f>SUM(B5:B11)</f>
        <v>52640.8656034996</v>
      </c>
      <c r="C13" s="26">
        <f>SUM(C5:C11)</f>
        <v>192.1122</v>
      </c>
      <c r="D13" s="28"/>
      <c r="E13" s="28"/>
      <c r="F13" s="28"/>
      <c r="G13" s="29"/>
      <c r="H13" s="29"/>
      <c r="I13" s="56"/>
      <c r="J13" s="56"/>
      <c r="K13" s="59"/>
      <c r="L13" s="44"/>
      <c r="M13" s="60">
        <f>SUM(M5:M11)</f>
        <v>12197.5335020026</v>
      </c>
      <c r="N13" s="61"/>
    </row>
    <row r="14" s="1" customFormat="1" ht="9" customHeight="1" spans="1:13">
      <c r="A14" s="9"/>
      <c r="G14" s="35"/>
      <c r="H14" s="35"/>
      <c r="I14" s="35"/>
      <c r="J14" s="35"/>
      <c r="K14" s="62"/>
      <c r="L14" s="11"/>
      <c r="M14" s="63"/>
    </row>
    <row r="15" s="7" customFormat="1" ht="41" customHeight="1" spans="1:13">
      <c r="A15" s="7" t="s">
        <v>183</v>
      </c>
      <c r="G15" s="36"/>
      <c r="H15" s="36"/>
      <c r="I15" s="36"/>
      <c r="J15" s="36" t="s">
        <v>181</v>
      </c>
      <c r="K15" s="36"/>
      <c r="M15" s="64"/>
    </row>
    <row r="16" s="8" customFormat="1" ht="41" customHeight="1" spans="1:13">
      <c r="A16" s="37"/>
      <c r="G16" s="38"/>
      <c r="H16" s="38"/>
      <c r="I16" s="38"/>
      <c r="J16" s="38"/>
      <c r="K16" s="38"/>
      <c r="M16" s="39"/>
    </row>
    <row r="17" s="4" customFormat="1" ht="57" customHeight="1" spans="1:13">
      <c r="A17" s="9"/>
      <c r="G17" s="30"/>
      <c r="H17" s="30"/>
      <c r="I17" s="30"/>
      <c r="J17" s="30"/>
      <c r="K17" s="53"/>
      <c r="L17" s="11"/>
      <c r="M17" s="12"/>
    </row>
    <row r="18" s="4" customFormat="1" customHeight="1" spans="1:7">
      <c r="A18" s="9"/>
      <c r="D18" s="8"/>
      <c r="E18" s="39"/>
      <c r="F18" s="11"/>
      <c r="G18" s="12"/>
    </row>
    <row r="19" customHeight="1" spans="4:5">
      <c r="D19" s="8"/>
      <c r="E19" s="39"/>
    </row>
    <row r="20" customHeight="1" spans="4:5">
      <c r="D20" s="8"/>
      <c r="E20" s="39"/>
    </row>
    <row r="21" customHeight="1" spans="4:5">
      <c r="D21" s="8"/>
      <c r="E21" s="39"/>
    </row>
    <row r="22" customHeight="1" spans="4:5">
      <c r="D22" s="8"/>
      <c r="E22" s="39"/>
    </row>
    <row r="23" customHeight="1" spans="4:5">
      <c r="D23" s="8"/>
      <c r="E23" s="39"/>
    </row>
    <row r="24" customHeight="1" spans="4:5">
      <c r="D24" s="8"/>
      <c r="E24" s="39"/>
    </row>
  </sheetData>
  <mergeCells count="8">
    <mergeCell ref="A1:N1"/>
    <mergeCell ref="D3:H3"/>
    <mergeCell ref="I3:L3"/>
    <mergeCell ref="A3:A4"/>
    <mergeCell ref="B3:B4"/>
    <mergeCell ref="C3:C4"/>
    <mergeCell ref="M3:M4"/>
    <mergeCell ref="N3:N4"/>
  </mergeCells>
  <pageMargins left="0.590277777777778" right="0.156944444444444" top="0.826388888888889" bottom="0.550694444444444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黄颖</vt:lpstr>
      <vt:lpstr>三凤</vt:lpstr>
      <vt:lpstr>朱小飞</vt:lpstr>
      <vt:lpstr>吕沛霖</vt:lpstr>
      <vt:lpstr>罗珮文</vt:lpstr>
      <vt:lpstr>苏慧琪</vt:lpstr>
      <vt:lpstr>陆总</vt:lpstr>
      <vt:lpstr>浦生</vt:lpstr>
      <vt:lpstr>无人</vt:lpstr>
      <vt:lpstr>提成总表</vt:lpstr>
      <vt:lpstr>黄颖 陈三凤 朱小飞 吕沛霖 2025年10份发放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/mg</cp:lastModifiedBy>
  <dcterms:created xsi:type="dcterms:W3CDTF">2021-01-15T02:45:00Z</dcterms:created>
  <dcterms:modified xsi:type="dcterms:W3CDTF">2025-10-20T09:15:28Z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6BE3DA52AC7244678364BCD4CB535940</vt:lpwstr>
  </property>
</Properties>
</file>