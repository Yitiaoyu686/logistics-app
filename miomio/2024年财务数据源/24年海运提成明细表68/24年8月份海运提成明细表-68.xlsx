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9"/>
  </bookViews>
  <sheets>
    <sheet name="黄颖" sheetId="1" r:id="rId1"/>
    <sheet name="三凤" sheetId="7" r:id="rId2"/>
    <sheet name="吕沛霖" sheetId="3" r:id="rId3"/>
    <sheet name="朱小飞" sheetId="4" r:id="rId4"/>
    <sheet name="罗伟健" sheetId="15" r:id="rId5"/>
    <sheet name="罗珮文" sheetId="16" r:id="rId6"/>
    <sheet name="陆总" sheetId="14" r:id="rId7"/>
    <sheet name="浦生" sheetId="5" r:id="rId8"/>
    <sheet name="提成总表" sheetId="9" r:id="rId9"/>
    <sheet name="黄颖 陈三凤 朱小飞 吕沛霖 2025年10月份发放" sheetId="17" r:id="rId10"/>
  </sheets>
  <definedNames>
    <definedName name="_xlnm._FilterDatabase" localSheetId="0" hidden="1">黄颖!$A$3:$AB$29</definedName>
    <definedName name="_xlnm._FilterDatabase" localSheetId="2" hidden="1">吕沛霖!$A$2:$AB$35</definedName>
    <definedName name="_xlnm._FilterDatabase" localSheetId="1" hidden="1">三凤!#REF!</definedName>
    <definedName name="_xlnm.Print_Area" localSheetId="8">提成总表!$A$1:$G$16</definedName>
    <definedName name="_xlnm.Print_Area" localSheetId="9">'黄颖 陈三凤 朱小飞 吕沛霖 2025年10月份发放'!$A$1:$N$15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到付USD75.56转预付556.
</t>
        </r>
      </text>
    </comment>
    <comment ref="J6" authorId="0">
      <text>
        <r>
          <rPr>
            <sz val="9"/>
            <rFont val="宋体"/>
            <charset val="134"/>
          </rPr>
          <t xml:space="preserve">到付USD8747.48转预付64294
</t>
        </r>
      </text>
    </comment>
    <comment ref="J8" authorId="0">
      <text>
        <r>
          <rPr>
            <sz val="9"/>
            <rFont val="宋体"/>
            <charset val="134"/>
          </rPr>
          <t xml:space="preserve">到付USD32转预付235.2.
</t>
        </r>
      </text>
    </comment>
    <comment ref="J9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N9" authorId="0">
      <text>
        <r>
          <rPr>
            <sz val="9"/>
            <rFont val="宋体"/>
            <charset val="134"/>
          </rPr>
          <t xml:space="preserve">合计20845.9
</t>
        </r>
      </text>
    </comment>
    <comment ref="Y9" authorId="0">
      <text>
        <r>
          <rPr>
            <sz val="9"/>
            <rFont val="宋体"/>
            <charset val="134"/>
          </rPr>
          <t xml:space="preserve">赛捷代付
</t>
        </r>
      </text>
    </comment>
    <comment ref="Y10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11" authorId="0">
      <text>
        <r>
          <rPr>
            <sz val="9"/>
            <rFont val="宋体"/>
            <charset val="134"/>
          </rPr>
          <t xml:space="preserve">到付USD51.2转预付376.32.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到付USD609.84转预付4482.5.
</t>
        </r>
      </text>
    </comment>
    <comment ref="J13" authorId="0">
      <text>
        <r>
          <rPr>
            <b/>
            <sz val="9"/>
            <rFont val="宋体"/>
            <charset val="134"/>
          </rPr>
          <t>15/10国内收美金.</t>
        </r>
        <r>
          <rPr>
            <sz val="9"/>
            <rFont val="宋体"/>
            <charset val="134"/>
          </rPr>
          <t xml:space="preserve">
</t>
        </r>
      </text>
    </comment>
    <comment ref="N14" authorId="0">
      <text>
        <r>
          <rPr>
            <sz val="9"/>
            <rFont val="宋体"/>
            <charset val="134"/>
          </rPr>
          <t>预付351转到付USD49.09.</t>
        </r>
      </text>
    </comment>
    <comment ref="Y17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18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N19" authorId="0">
      <text>
        <r>
          <rPr>
            <sz val="9"/>
            <rFont val="宋体"/>
            <charset val="134"/>
          </rPr>
          <t xml:space="preserve">预付1217转到付USD170.2.
</t>
        </r>
      </text>
    </comment>
    <comment ref="J20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21" authorId="0">
      <text>
        <r>
          <rPr>
            <sz val="9"/>
            <rFont val="宋体"/>
            <charset val="134"/>
          </rPr>
          <t xml:space="preserve">到付USD24转预付565.2.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到付USD216.05转预付1588.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到付USD325.11转预付2389.6.
</t>
        </r>
      </text>
    </comment>
    <comment ref="J24" authorId="0">
      <text>
        <r>
          <rPr>
            <sz val="9"/>
            <rFont val="宋体"/>
            <charset val="134"/>
          </rPr>
          <t xml:space="preserve">到付USD94.65转预付835.2.
</t>
        </r>
      </text>
    </comment>
    <comment ref="J25" authorId="0">
      <text>
        <r>
          <rPr>
            <sz val="9"/>
            <rFont val="宋体"/>
            <charset val="134"/>
          </rPr>
          <t xml:space="preserve">到付USD150.34转 预付1105.
</t>
        </r>
      </text>
    </comment>
    <comment ref="J26" authorId="0">
      <text>
        <r>
          <rPr>
            <sz val="9"/>
            <rFont val="宋体"/>
            <charset val="134"/>
          </rPr>
          <t xml:space="preserve">到付USD637.62转预付4277.5.
</t>
        </r>
      </text>
    </comment>
    <comment ref="J28" authorId="0">
      <text>
        <r>
          <rPr>
            <sz val="9"/>
            <rFont val="宋体"/>
            <charset val="134"/>
          </rPr>
          <t xml:space="preserve">到付USAD12.58转预付904.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8" authorId="0">
      <text>
        <r>
          <rPr>
            <sz val="9"/>
            <rFont val="宋体"/>
            <charset val="134"/>
          </rPr>
          <t xml:space="preserve">到付USD2081.4转预付14778.
</t>
        </r>
      </text>
    </comment>
    <comment ref="J9" authorId="0">
      <text>
        <r>
          <rPr>
            <sz val="9"/>
            <rFont val="宋体"/>
            <charset val="134"/>
          </rPr>
          <t xml:space="preserve">到付USD44.9转到付USD327.6.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到付USD649.6转预付4667.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到付USD2776.03转预付20266.26.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到付USD1410转预付10152.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4" authorId="0">
      <text>
        <r>
          <rPr>
            <sz val="9"/>
            <rFont val="宋体"/>
            <charset val="134"/>
          </rPr>
          <t xml:space="preserve">到付USD26.73转预付356.
</t>
        </r>
      </text>
    </comment>
    <comment ref="N5" authorId="0">
      <text>
        <r>
          <rPr>
            <sz val="9"/>
            <rFont val="宋体"/>
            <charset val="134"/>
          </rPr>
          <t xml:space="preserve">预付2366.5转到付USD330.97.
</t>
        </r>
      </text>
    </comment>
    <comment ref="J6" authorId="0">
      <text>
        <r>
          <rPr>
            <sz val="9"/>
            <rFont val="宋体"/>
            <charset val="134"/>
          </rPr>
          <t xml:space="preserve">合计70500.83.
</t>
        </r>
      </text>
    </comment>
    <comment ref="J9" authorId="0">
      <text>
        <r>
          <rPr>
            <sz val="9"/>
            <rFont val="宋体"/>
            <charset val="134"/>
          </rPr>
          <t xml:space="preserve">到付USD494.5转预付3645.46.
</t>
        </r>
      </text>
    </comment>
    <comment ref="Y12" authorId="0">
      <text>
        <r>
          <rPr>
            <sz val="9"/>
            <rFont val="宋体"/>
            <charset val="134"/>
          </rPr>
          <t xml:space="preserve">赛捷代付
</t>
        </r>
      </text>
    </comment>
    <comment ref="N14" authorId="0">
      <text>
        <r>
          <rPr>
            <sz val="9"/>
            <rFont val="宋体"/>
            <charset val="134"/>
          </rPr>
          <t xml:space="preserve">预付5126.18转到付USD716.94.
</t>
        </r>
      </text>
    </comment>
    <comment ref="N16" authorId="0">
      <text>
        <r>
          <rPr>
            <sz val="9"/>
            <rFont val="宋体"/>
            <charset val="134"/>
          </rPr>
          <t xml:space="preserve">预付转到付
</t>
        </r>
      </text>
    </comment>
    <comment ref="J18" authorId="0">
      <text>
        <r>
          <rPr>
            <sz val="9"/>
            <rFont val="宋体"/>
            <charset val="134"/>
          </rPr>
          <t xml:space="preserve">到付USD8366.23转预付60665.17.
</t>
        </r>
      </text>
    </comment>
    <comment ref="J21" authorId="0">
      <text>
        <r>
          <rPr>
            <b/>
            <sz val="9"/>
            <rFont val="宋体"/>
            <charset val="134"/>
          </rPr>
          <t>3到付USD57.22转预付421.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到付USD611.38转预付611.38.
</t>
        </r>
      </text>
    </comment>
    <comment ref="J6" authorId="0">
      <text>
        <r>
          <rPr>
            <sz val="9"/>
            <rFont val="宋体"/>
            <charset val="134"/>
          </rPr>
          <t xml:space="preserve">到付USD108.49转预付801.54.
</t>
        </r>
      </text>
    </comment>
    <comment ref="J7" authorId="0">
      <text>
        <r>
          <rPr>
            <sz val="9"/>
            <rFont val="宋体"/>
            <charset val="134"/>
          </rPr>
          <t xml:space="preserve">到付USD915.43转预付6679.5.
</t>
        </r>
      </text>
    </comment>
    <comment ref="J8" authorId="0">
      <text>
        <r>
          <rPr>
            <sz val="9"/>
            <rFont val="宋体"/>
            <charset val="134"/>
          </rPr>
          <t xml:space="preserve">到付USD768.453转预付5462. 
</t>
        </r>
      </text>
    </comment>
    <comment ref="J13" authorId="0">
      <text>
        <r>
          <rPr>
            <sz val="9"/>
            <rFont val="宋体"/>
            <charset val="134"/>
          </rPr>
          <t>到付USD182.4转预付1994.39.</t>
        </r>
      </text>
    </comment>
    <comment ref="J14" authorId="0">
      <text>
        <r>
          <rPr>
            <sz val="9"/>
            <rFont val="宋体"/>
            <charset val="134"/>
          </rPr>
          <t xml:space="preserve">到付USD3669.6转预付26604.
</t>
        </r>
      </text>
    </comment>
    <comment ref="Y15" authorId="0">
      <text>
        <r>
          <rPr>
            <sz val="9"/>
            <rFont val="宋体"/>
            <charset val="134"/>
          </rPr>
          <t>赛捷代付</t>
        </r>
      </text>
    </comment>
    <comment ref="J18" authorId="0">
      <text>
        <r>
          <rPr>
            <sz val="9"/>
            <rFont val="宋体"/>
            <charset val="134"/>
          </rPr>
          <t xml:space="preserve">到付USD58.65转预付468.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到付USD2379.39转预付17258.7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14/10国内收美金.
</t>
        </r>
      </text>
    </comment>
    <comment ref="J6" authorId="0">
      <text>
        <r>
          <rPr>
            <sz val="9"/>
            <rFont val="宋体"/>
            <charset val="134"/>
          </rPr>
          <t xml:space="preserve">到付USD1116.47转预付8038.58
</t>
        </r>
      </text>
    </comment>
    <comment ref="J7" authorId="0">
      <text>
        <r>
          <rPr>
            <sz val="9"/>
            <rFont val="宋体"/>
            <charset val="134"/>
          </rPr>
          <t xml:space="preserve">到付USD13.69转预付98.57
</t>
        </r>
      </text>
    </comment>
    <comment ref="J8" authorId="0">
      <text>
        <r>
          <rPr>
            <sz val="9"/>
            <rFont val="宋体"/>
            <charset val="134"/>
          </rPr>
          <t xml:space="preserve">到付USD2136.79转预付16565.05
</t>
        </r>
      </text>
    </comment>
    <comment ref="J9" authorId="0">
      <text>
        <r>
          <rPr>
            <b/>
            <sz val="9"/>
            <rFont val="宋体"/>
            <charset val="134"/>
          </rPr>
          <t>14/10国内收美金.</t>
        </r>
        <r>
          <rPr>
            <sz val="9"/>
            <rFont val="宋体"/>
            <charset val="134"/>
          </rPr>
          <t xml:space="preserve">
</t>
        </r>
      </text>
    </comment>
    <comment ref="J10" authorId="0">
      <text>
        <r>
          <rPr>
            <sz val="9"/>
            <rFont val="宋体"/>
            <charset val="134"/>
          </rPr>
          <t xml:space="preserve">到付USD3312转预付24057.26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到付USD127.35转预付923.29
</t>
        </r>
      </text>
    </comment>
    <comment ref="J6" authorId="0">
      <text>
        <r>
          <rPr>
            <sz val="9"/>
            <rFont val="宋体"/>
            <charset val="134"/>
          </rPr>
          <t xml:space="preserve">到付USD46.61转预付337.92
</t>
        </r>
      </text>
    </comment>
    <comment ref="J8" authorId="0">
      <text>
        <r>
          <rPr>
            <sz val="9"/>
            <rFont val="宋体"/>
            <charset val="134"/>
          </rPr>
          <t xml:space="preserve">到付USD179.2转预付1290.24.
</t>
        </r>
      </text>
    </comment>
    <comment ref="J9" authorId="0">
      <text>
        <r>
          <rPr>
            <sz val="9"/>
            <rFont val="宋体"/>
            <charset val="134"/>
          </rPr>
          <t xml:space="preserve">到付USD619.5转预付4491.38
</t>
        </r>
      </text>
    </comment>
    <comment ref="J10" authorId="0">
      <text>
        <r>
          <rPr>
            <sz val="9"/>
            <rFont val="宋体"/>
            <charset val="134"/>
          </rPr>
          <t xml:space="preserve">到付USD6762.53转预付48216.84.
</t>
        </r>
      </text>
    </comment>
    <comment ref="J12" authorId="0">
      <text>
        <r>
          <rPr>
            <sz val="9"/>
            <rFont val="宋体"/>
            <charset val="134"/>
          </rPr>
          <t xml:space="preserve">预付3924.77转到付USD28642.1
</t>
        </r>
      </text>
    </comment>
    <comment ref="J13" authorId="0">
      <text>
        <r>
          <rPr>
            <sz val="9"/>
            <rFont val="宋体"/>
            <charset val="134"/>
          </rPr>
          <t xml:space="preserve">到付USD408.47转预付2922.21.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到付USD7234.92转预付51584.98
</t>
        </r>
      </text>
    </comment>
    <comment ref="J15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到付USD8.6转预付61.48.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到付USD8319.96转预付59321.31
</t>
        </r>
      </text>
    </comment>
    <comment ref="J19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0" authorId="0">
      <text>
        <r>
          <rPr>
            <sz val="9"/>
            <rFont val="宋体"/>
            <charset val="134"/>
          </rPr>
          <t xml:space="preserve">到付USD9336.06转预付66566.11
</t>
        </r>
      </text>
    </comment>
    <comment ref="J21" authorId="0">
      <text>
        <r>
          <rPr>
            <sz val="9"/>
            <rFont val="宋体"/>
            <charset val="134"/>
          </rPr>
          <t xml:space="preserve">到付USD839.91转预付6236.5.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到付USD2194.36转预付15645.79
</t>
        </r>
      </text>
    </comment>
    <comment ref="J24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5" authorId="0">
      <text>
        <r>
          <rPr>
            <sz val="9"/>
            <rFont val="宋体"/>
            <charset val="134"/>
          </rPr>
          <t>到付USD8618.84转预付52338.</t>
        </r>
      </text>
    </comment>
    <comment ref="J28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30" authorId="0">
      <text>
        <r>
          <rPr>
            <sz val="9"/>
            <rFont val="宋体"/>
            <charset val="134"/>
          </rPr>
          <t xml:space="preserve">到付USD7524转预付53646.12
</t>
        </r>
      </text>
    </comment>
    <comment ref="J31" authorId="0">
      <text>
        <r>
          <rPr>
            <sz val="9"/>
            <rFont val="宋体"/>
            <charset val="134"/>
          </rPr>
          <t xml:space="preserve">到付USD259.92转预付1853.23.
</t>
        </r>
      </text>
    </comment>
    <comment ref="J36" authorId="0">
      <text>
        <r>
          <rPr>
            <sz val="9"/>
            <rFont val="宋体"/>
            <charset val="134"/>
          </rPr>
          <t xml:space="preserve">到付USD475.2转预付3388.18
</t>
        </r>
      </text>
    </comment>
    <comment ref="J38" authorId="0">
      <text>
        <r>
          <rPr>
            <sz val="9"/>
            <rFont val="宋体"/>
            <charset val="134"/>
          </rPr>
          <t xml:space="preserve">USD7912.888转预付56418.26
</t>
        </r>
      </text>
    </comment>
    <comment ref="J41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42" authorId="0">
      <text>
        <r>
          <rPr>
            <sz val="9"/>
            <rFont val="宋体"/>
            <charset val="134"/>
          </rPr>
          <t xml:space="preserve">到付USD522.84转预付3842.88.
</t>
        </r>
      </text>
    </comment>
    <comment ref="J43" authorId="0">
      <text>
        <r>
          <rPr>
            <sz val="9"/>
            <rFont val="宋体"/>
            <charset val="134"/>
          </rPr>
          <t xml:space="preserve">到付USD4042.44转预付28822.6
</t>
        </r>
      </text>
    </comment>
    <comment ref="A44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原JOB080397</t>
        </r>
      </text>
    </comment>
    <comment ref="J46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47" authorId="0">
      <text>
        <r>
          <rPr>
            <sz val="9"/>
            <rFont val="宋体"/>
            <charset val="134"/>
          </rPr>
          <t xml:space="preserve">到付USD3631.78转预付25894.59
</t>
        </r>
      </text>
    </comment>
  </commentList>
</comments>
</file>

<file path=xl/sharedStrings.xml><?xml version="1.0" encoding="utf-8"?>
<sst xmlns="http://schemas.openxmlformats.org/spreadsheetml/2006/main" count="938" uniqueCount="188">
  <si>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</si>
  <si>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</si>
  <si>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</si>
  <si>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</si>
  <si>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</si>
  <si>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</si>
  <si>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</si>
  <si>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</si>
  <si>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</si>
  <si>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</si>
  <si>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</si>
  <si>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</si>
  <si>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</si>
  <si>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</si>
  <si>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</si>
  <si>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</si>
  <si>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</si>
  <si>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</si>
  <si>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</si>
  <si>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</si>
  <si>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</si>
  <si>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</si>
  <si>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</si>
  <si>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</si>
  <si>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</si>
  <si>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</si>
  <si>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</si>
  <si>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</si>
  <si>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</si>
  <si>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</si>
  <si>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</si>
  <si>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</si>
  <si>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</si>
  <si>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</si>
  <si>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</si>
  <si>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</si>
  <si>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黄颖</t>
  </si>
  <si>
    <t>ying</t>
  </si>
  <si>
    <t>Huangpu</t>
  </si>
  <si>
    <t>Idris</t>
  </si>
  <si>
    <t>zhounengquan</t>
  </si>
  <si>
    <t>JOB080362</t>
  </si>
  <si>
    <t>COLL004097</t>
  </si>
  <si>
    <t>Sunday Adelena</t>
  </si>
  <si>
    <t>赛捷=56732.25
赛捷=800</t>
  </si>
  <si>
    <t>JOB080363</t>
  </si>
  <si>
    <t>COLL004098</t>
  </si>
  <si>
    <t>赛捷=56837.25
赛捷=2300</t>
  </si>
  <si>
    <t>huangzhaoyong</t>
  </si>
  <si>
    <t>Emma</t>
  </si>
  <si>
    <t>JOB080374</t>
  </si>
  <si>
    <t>COLL004108</t>
  </si>
  <si>
    <t>leoyang</t>
  </si>
  <si>
    <t>赛捷=56265.25
赛捷=1000</t>
  </si>
  <si>
    <t>yanjiafu</t>
  </si>
  <si>
    <t>baikaibo</t>
  </si>
  <si>
    <t>Nura</t>
  </si>
  <si>
    <t>liangyu</t>
  </si>
  <si>
    <t>libiao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</si>
  <si>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</si>
  <si>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</si>
  <si>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</si>
  <si>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</si>
  <si>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</si>
  <si>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</si>
  <si>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</si>
  <si>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</si>
  <si>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</si>
  <si>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任务</t>
  </si>
  <si>
    <t>基本任务：3.5万以上</t>
  </si>
  <si>
    <t>按50%提成</t>
  </si>
  <si>
    <t>提成计数</t>
  </si>
  <si>
    <t>基数</t>
  </si>
  <si>
    <t>提成计数40%</t>
  </si>
  <si>
    <t>提成金额</t>
  </si>
  <si>
    <t>实提成计数</t>
  </si>
  <si>
    <t>提成点数50%</t>
  </si>
  <si>
    <t>合计提成金额</t>
  </si>
  <si>
    <t>Bella</t>
  </si>
  <si>
    <t>Bella Chan</t>
  </si>
  <si>
    <t>zhong zi xin</t>
  </si>
  <si>
    <t>zhang jian fei</t>
  </si>
  <si>
    <t>new hope 边鹏飞</t>
  </si>
  <si>
    <t>zhang yong chong</t>
  </si>
  <si>
    <t>zhang long ting</t>
  </si>
  <si>
    <t>FENG</t>
  </si>
  <si>
    <t>Shuaibu musa</t>
  </si>
  <si>
    <t>三凤 提成</t>
  </si>
  <si>
    <t>备注</t>
  </si>
  <si>
    <t>总利润减zhong zi xin
利润的
一半2529.79</t>
  </si>
  <si>
    <t>提成点数</t>
  </si>
  <si>
    <t>JOB080353</t>
  </si>
  <si>
    <t>COLL004085</t>
  </si>
  <si>
    <t>吕沛霖</t>
  </si>
  <si>
    <t>Paul</t>
  </si>
  <si>
    <t>华茂青松=56567
赛捷=1280</t>
  </si>
  <si>
    <t>喵喵速运-Layne</t>
  </si>
  <si>
    <t>Hu Hai Liang</t>
  </si>
  <si>
    <t>WEI PING</t>
  </si>
  <si>
    <t>MR MANBO</t>
  </si>
  <si>
    <t>YA</t>
  </si>
  <si>
    <t>JOB080373</t>
  </si>
  <si>
    <t>COLL004107</t>
  </si>
  <si>
    <t>赛捷=56265.25
赛捷=1280</t>
  </si>
  <si>
    <t>FRANK</t>
  </si>
  <si>
    <t>JOB080387</t>
  </si>
  <si>
    <t>COLL004121</t>
  </si>
  <si>
    <t>Candice Ding</t>
  </si>
  <si>
    <t>登凯=50475
赛捷=1000
拖车费=1670
杂费=61 
过磅费=53</t>
  </si>
  <si>
    <t>Sule Adekunle</t>
  </si>
  <si>
    <t>合计</t>
  </si>
  <si>
    <t>吕沛霖 提成</t>
  </si>
  <si>
    <t>朱小飞</t>
  </si>
  <si>
    <t>Isabel Zhu</t>
  </si>
  <si>
    <t>Halifa Success</t>
  </si>
  <si>
    <t>Anthonia</t>
  </si>
  <si>
    <t>Mr Michael</t>
  </si>
  <si>
    <t>Joy</t>
  </si>
  <si>
    <t>Musa Garuba</t>
  </si>
  <si>
    <t>Abdul Aziz</t>
  </si>
  <si>
    <t>JOB080364</t>
  </si>
  <si>
    <t>COLL004100</t>
  </si>
  <si>
    <t>赛捷=57732.25
赛捷=800</t>
  </si>
  <si>
    <t>Inemesit udoh</t>
  </si>
  <si>
    <t>Victor Nnamdi</t>
  </si>
  <si>
    <t>Wu Jiao Xing</t>
  </si>
  <si>
    <t>Lin Bao Zhen</t>
  </si>
  <si>
    <t>Nicolas</t>
  </si>
  <si>
    <t>朱小飞 提成</t>
  </si>
  <si>
    <t>总利润减Halifa
利润的
一半501.13</t>
  </si>
  <si>
    <t>JOB080389</t>
  </si>
  <si>
    <t>COLL004124</t>
  </si>
  <si>
    <t>罗伟健</t>
  </si>
  <si>
    <t>MailMail速运-演员</t>
  </si>
  <si>
    <t>zeng hai</t>
  </si>
  <si>
    <t>赛捷</t>
  </si>
  <si>
    <t>Mr.Joseph Ezekiel</t>
  </si>
  <si>
    <t>罗伟健 提成</t>
  </si>
  <si>
    <t>罗珮文</t>
  </si>
  <si>
    <t>Shirley</t>
  </si>
  <si>
    <t>Yusky</t>
  </si>
  <si>
    <t>罗珮文 提成</t>
  </si>
  <si>
    <t>陆总</t>
  </si>
  <si>
    <t>喵喵速运-江</t>
  </si>
  <si>
    <t>LUZHILONG</t>
  </si>
  <si>
    <t>Sam.Pao</t>
  </si>
  <si>
    <t>LuZhiLong</t>
  </si>
  <si>
    <t>陆梓龙</t>
  </si>
  <si>
    <t>jizong</t>
  </si>
  <si>
    <t>陆总 提成</t>
  </si>
  <si>
    <t>Nick Wang</t>
  </si>
  <si>
    <t>MaiKaiNian</t>
  </si>
  <si>
    <t>SKY JET</t>
  </si>
  <si>
    <t>JOB080361</t>
  </si>
  <si>
    <t>COLL004096</t>
  </si>
  <si>
    <t>ShanShan</t>
  </si>
  <si>
    <t>华茂青松=56567
赛捷=2300</t>
  </si>
  <si>
    <t>Wendy</t>
  </si>
  <si>
    <t>Cherry</t>
  </si>
  <si>
    <t>ChenGaoHong</t>
  </si>
  <si>
    <t>Oladunni Eludire</t>
  </si>
  <si>
    <t>JOB080371</t>
  </si>
  <si>
    <t>COLL004105整柜</t>
  </si>
  <si>
    <t>JunYue hotel</t>
  </si>
  <si>
    <t>华茂青松</t>
  </si>
  <si>
    <t>Maxim</t>
  </si>
  <si>
    <t>JOB100326</t>
  </si>
  <si>
    <t>COLL004189</t>
  </si>
  <si>
    <t>登凯=48262.5
赛捷=2800
 拖车费=1670
杂费=61 
过磅费=63</t>
  </si>
  <si>
    <t>浦生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</si>
  <si>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8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</t>
    </r>
    <r>
      <rPr>
        <b/>
        <sz val="18"/>
        <color theme="1"/>
        <rFont val="宋体"/>
        <charset val="134"/>
      </rPr>
      <t>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</si>
  <si>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</si>
  <si>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</si>
  <si>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</si>
  <si>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</si>
  <si>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</si>
  <si>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</si>
  <si>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</si>
  <si>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</si>
  <si>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</si>
  <si>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</si>
  <si>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小飞8-9月份原方案10%
（zhong zi xin利润的一半2529.79）</t>
  </si>
  <si>
    <t>小飞8-9月份原方案10%
（Halifa利润的一半501.13）</t>
  </si>
  <si>
    <t>空运毛利8089.45加海运=49132.98，
49132.98-15000=34132.98*0.15
=￥5119.95</t>
  </si>
  <si>
    <t>浦海森</t>
  </si>
  <si>
    <t>确认人：</t>
  </si>
  <si>
    <t>日期：</t>
  </si>
  <si>
    <t>领款人：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</si>
</sst>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00_ "/>
    <numFmt numFmtId="183" formatCode="0.00_ "/>
    <numFmt numFmtId="184" formatCode="&quot;US$&quot;#,##0.00;\-&quot;US$&quot;#,##0.00"/>
    <numFmt numFmtId="185" formatCode="_ * #,##0.00_ ;_ * \-#,##0.00_ ;_ * &quot;-&quot;_ ;_ @_ "/>
  </numFmts>
  <fonts count="5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sz val="10"/>
      <color theme="5" tint="-0.25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微软雅黑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sz val="12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sz val="9"/>
      <color rgb="FF000000"/>
      <name val="Microsoft JhengHei"/>
      <charset val="134"/>
    </font>
    <font>
      <b/>
      <sz val="10"/>
      <color theme="1"/>
      <name val="宋体"/>
      <charset val="134"/>
    </font>
    <font>
      <sz val="11"/>
      <color theme="5" tint="-0.25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</font>
    <font>
      <sz val="1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3" borderId="19" applyNumberFormat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4" fillId="14" borderId="19" applyNumberFormat="0" applyAlignment="0" applyProtection="0">
      <alignment vertical="center"/>
    </xf>
    <xf numFmtId="0" fontId="45" fillId="15" borderId="21" applyNumberFormat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2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76" fontId="2" fillId="3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3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8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180" fontId="19" fillId="6" borderId="8" xfId="1" applyNumberFormat="1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182" fontId="20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left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0" fontId="22" fillId="3" borderId="9" xfId="0" applyFont="1" applyFill="1" applyBorder="1" applyAlignment="1">
      <alignment horizontal="left" vertical="center"/>
    </xf>
    <xf numFmtId="0" fontId="22" fillId="3" borderId="10" xfId="0" applyFont="1" applyFill="1" applyBorder="1" applyAlignment="1">
      <alignment horizontal="left" vertical="center"/>
    </xf>
    <xf numFmtId="0" fontId="22" fillId="3" borderId="11" xfId="0" applyFont="1" applyFill="1" applyBorder="1" applyAlignment="1">
      <alignment horizontal="left" vertical="center"/>
    </xf>
    <xf numFmtId="0" fontId="22" fillId="3" borderId="12" xfId="0" applyFont="1" applyFill="1" applyBorder="1" applyAlignment="1">
      <alignment horizontal="left" vertical="center"/>
    </xf>
    <xf numFmtId="176" fontId="15" fillId="5" borderId="5" xfId="0" applyNumberFormat="1" applyFont="1" applyFill="1" applyBorder="1" applyAlignment="1">
      <alignment horizontal="center" vertical="center"/>
    </xf>
    <xf numFmtId="183" fontId="15" fillId="5" borderId="6" xfId="0" applyNumberFormat="1" applyFont="1" applyFill="1" applyBorder="1" applyAlignment="1">
      <alignment horizontal="center" vertical="center"/>
    </xf>
    <xf numFmtId="184" fontId="15" fillId="5" borderId="6" xfId="0" applyNumberFormat="1" applyFont="1" applyFill="1" applyBorder="1" applyAlignment="1">
      <alignment horizontal="center" vertical="center"/>
    </xf>
    <xf numFmtId="0" fontId="15" fillId="5" borderId="6" xfId="0" applyNumberFormat="1" applyFont="1" applyFill="1" applyBorder="1" applyAlignment="1">
      <alignment horizontal="center" vertical="center"/>
    </xf>
    <xf numFmtId="176" fontId="23" fillId="0" borderId="7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3" fontId="24" fillId="5" borderId="2" xfId="0" applyNumberFormat="1" applyFont="1" applyFill="1" applyBorder="1" applyAlignment="1">
      <alignment horizontal="center" vertical="center" wrapText="1"/>
    </xf>
    <xf numFmtId="184" fontId="24" fillId="5" borderId="2" xfId="0" applyNumberFormat="1" applyFont="1" applyFill="1" applyBorder="1" applyAlignment="1">
      <alignment horizontal="center" vertical="center" wrapText="1"/>
    </xf>
    <xf numFmtId="184" fontId="17" fillId="5" borderId="2" xfId="0" applyNumberFormat="1" applyFont="1" applyFill="1" applyBorder="1" applyAlignment="1">
      <alignment horizontal="center" vertical="center" wrapText="1"/>
    </xf>
    <xf numFmtId="0" fontId="25" fillId="5" borderId="2" xfId="0" applyNumberFormat="1" applyFont="1" applyFill="1" applyBorder="1" applyAlignment="1">
      <alignment horizontal="center" vertical="center"/>
    </xf>
    <xf numFmtId="176" fontId="26" fillId="0" borderId="2" xfId="0" applyNumberFormat="1" applyFont="1" applyFill="1" applyBorder="1" applyAlignment="1">
      <alignment horizontal="right" vertical="center"/>
    </xf>
    <xf numFmtId="176" fontId="27" fillId="0" borderId="2" xfId="0" applyNumberFormat="1" applyFont="1" applyFill="1" applyBorder="1" applyAlignment="1">
      <alignment vertical="center"/>
    </xf>
    <xf numFmtId="183" fontId="21" fillId="0" borderId="2" xfId="0" applyNumberFormat="1" applyFont="1" applyFill="1" applyBorder="1" applyAlignment="1">
      <alignment vertical="center"/>
    </xf>
    <xf numFmtId="184" fontId="20" fillId="0" borderId="2" xfId="0" applyNumberFormat="1" applyFont="1" applyFill="1" applyBorder="1" applyAlignment="1">
      <alignment vertical="center"/>
    </xf>
    <xf numFmtId="183" fontId="27" fillId="0" borderId="2" xfId="0" applyNumberFormat="1" applyFont="1" applyFill="1" applyBorder="1" applyAlignment="1">
      <alignment horizontal="center" vertical="center"/>
    </xf>
    <xf numFmtId="176" fontId="20" fillId="0" borderId="2" xfId="0" applyNumberFormat="1" applyFont="1" applyFill="1" applyBorder="1" applyAlignment="1">
      <alignment vertical="center"/>
    </xf>
    <xf numFmtId="184" fontId="27" fillId="0" borderId="2" xfId="0" applyNumberFormat="1" applyFont="1" applyFill="1" applyBorder="1" applyAlignment="1">
      <alignment vertical="center"/>
    </xf>
    <xf numFmtId="176" fontId="21" fillId="0" borderId="2" xfId="0" applyNumberFormat="1" applyFont="1" applyFill="1" applyBorder="1" applyAlignment="1">
      <alignment vertical="center"/>
    </xf>
    <xf numFmtId="183" fontId="27" fillId="0" borderId="2" xfId="0" applyNumberFormat="1" applyFont="1" applyFill="1" applyBorder="1" applyAlignment="1">
      <alignment vertical="center"/>
    </xf>
    <xf numFmtId="7" fontId="20" fillId="0" borderId="2" xfId="0" applyNumberFormat="1" applyFont="1" applyFill="1" applyBorder="1" applyAlignment="1">
      <alignment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22" fillId="3" borderId="13" xfId="0" applyFont="1" applyFill="1" applyBorder="1" applyAlignment="1">
      <alignment horizontal="left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176" fontId="0" fillId="8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176" fontId="0" fillId="9" borderId="2" xfId="0" applyNumberFormat="1" applyFill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176" fontId="17" fillId="10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76" fontId="17" fillId="0" borderId="6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25" fillId="0" borderId="9" xfId="0" applyNumberFormat="1" applyFont="1" applyFill="1" applyBorder="1" applyAlignment="1">
      <alignment horizontal="center" vertical="center" wrapText="1"/>
    </xf>
    <xf numFmtId="7" fontId="28" fillId="5" borderId="3" xfId="0" applyNumberFormat="1" applyFont="1" applyFill="1" applyBorder="1" applyAlignment="1">
      <alignment horizontal="center" vertical="center" wrapText="1"/>
    </xf>
    <xf numFmtId="176" fontId="15" fillId="3" borderId="8" xfId="0" applyNumberFormat="1" applyFont="1" applyFill="1" applyBorder="1" applyAlignment="1">
      <alignment horizontal="center" vertical="center"/>
    </xf>
    <xf numFmtId="185" fontId="29" fillId="10" borderId="2" xfId="4" applyNumberFormat="1" applyFont="1" applyFill="1" applyBorder="1" applyAlignment="1">
      <alignment horizontal="center" vertical="center"/>
    </xf>
    <xf numFmtId="176" fontId="26" fillId="10" borderId="2" xfId="4" applyNumberFormat="1" applyFont="1" applyFill="1" applyBorder="1" applyAlignment="1">
      <alignment horizontal="center" vertical="center"/>
    </xf>
    <xf numFmtId="185" fontId="26" fillId="0" borderId="2" xfId="4" applyNumberFormat="1" applyFont="1" applyFill="1" applyBorder="1" applyAlignment="1">
      <alignment horizontal="center" vertical="center"/>
    </xf>
    <xf numFmtId="176" fontId="26" fillId="0" borderId="2" xfId="4" applyNumberFormat="1" applyFont="1" applyFill="1" applyBorder="1" applyAlignment="1">
      <alignment horizontal="center" vertical="center"/>
    </xf>
    <xf numFmtId="176" fontId="25" fillId="0" borderId="15" xfId="0" applyNumberFormat="1" applyFont="1" applyFill="1" applyBorder="1" applyAlignment="1">
      <alignment horizontal="center" vertical="center" wrapText="1"/>
    </xf>
    <xf numFmtId="7" fontId="28" fillId="5" borderId="8" xfId="0" applyNumberFormat="1" applyFont="1" applyFill="1" applyBorder="1" applyAlignment="1">
      <alignment horizontal="center" vertical="center" wrapText="1"/>
    </xf>
    <xf numFmtId="176" fontId="21" fillId="0" borderId="8" xfId="0" applyNumberFormat="1" applyFont="1" applyFill="1" applyBorder="1" applyAlignment="1">
      <alignment horizontal="center" vertical="center"/>
    </xf>
    <xf numFmtId="176" fontId="30" fillId="0" borderId="2" xfId="0" applyNumberFormat="1" applyFont="1" applyFill="1" applyBorder="1" applyAlignment="1">
      <alignment vertical="center"/>
    </xf>
    <xf numFmtId="7" fontId="21" fillId="0" borderId="2" xfId="0" applyNumberFormat="1" applyFont="1" applyFill="1" applyBorder="1" applyAlignment="1">
      <alignment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 wrapText="1"/>
    </xf>
    <xf numFmtId="176" fontId="16" fillId="0" borderId="8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4" fontId="25" fillId="5" borderId="2" xfId="0" applyNumberFormat="1" applyFont="1" applyFill="1" applyBorder="1" applyAlignment="1">
      <alignment horizontal="center" vertical="center"/>
    </xf>
    <xf numFmtId="183" fontId="25" fillId="5" borderId="2" xfId="0" applyNumberFormat="1" applyFont="1" applyFill="1" applyBorder="1" applyAlignment="1">
      <alignment horizontal="center" vertical="center"/>
    </xf>
    <xf numFmtId="176" fontId="25" fillId="3" borderId="3" xfId="0" applyNumberFormat="1" applyFont="1" applyFill="1" applyBorder="1" applyAlignment="1">
      <alignment horizontal="center" vertical="center"/>
    </xf>
    <xf numFmtId="176" fontId="15" fillId="9" borderId="3" xfId="0" applyNumberFormat="1" applyFont="1" applyFill="1" applyBorder="1" applyAlignment="1">
      <alignment horizontal="center" vertical="center"/>
    </xf>
    <xf numFmtId="184" fontId="31" fillId="5" borderId="2" xfId="0" applyNumberFormat="1" applyFont="1" applyFill="1" applyBorder="1" applyAlignment="1">
      <alignment vertical="center" wrapText="1"/>
    </xf>
    <xf numFmtId="184" fontId="25" fillId="5" borderId="2" xfId="0" applyNumberFormat="1" applyFont="1" applyFill="1" applyBorder="1" applyAlignment="1">
      <alignment horizontal="right" vertical="center"/>
    </xf>
    <xf numFmtId="183" fontId="28" fillId="5" borderId="2" xfId="0" applyNumberFormat="1" applyFont="1" applyFill="1" applyBorder="1" applyAlignment="1">
      <alignment horizontal="center" vertical="center"/>
    </xf>
    <xf numFmtId="176" fontId="25" fillId="5" borderId="2" xfId="0" applyNumberFormat="1" applyFont="1" applyFill="1" applyBorder="1" applyAlignment="1">
      <alignment horizontal="center" vertical="center"/>
    </xf>
    <xf numFmtId="176" fontId="25" fillId="3" borderId="2" xfId="0" applyNumberFormat="1" applyFont="1" applyFill="1" applyBorder="1" applyAlignment="1">
      <alignment horizontal="center" vertical="center"/>
    </xf>
    <xf numFmtId="176" fontId="15" fillId="9" borderId="4" xfId="0" applyNumberFormat="1" applyFont="1" applyFill="1" applyBorder="1" applyAlignment="1">
      <alignment horizontal="center" vertical="center"/>
    </xf>
    <xf numFmtId="184" fontId="21" fillId="0" borderId="2" xfId="0" applyNumberFormat="1" applyFont="1" applyFill="1" applyBorder="1" applyAlignment="1">
      <alignment vertical="center"/>
    </xf>
    <xf numFmtId="184" fontId="30" fillId="0" borderId="2" xfId="0" applyNumberFormat="1" applyFont="1" applyFill="1" applyBorder="1" applyAlignment="1">
      <alignment vertical="center"/>
    </xf>
    <xf numFmtId="184" fontId="21" fillId="0" borderId="2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10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76" fontId="0" fillId="11" borderId="2" xfId="0" applyNumberFormat="1" applyFill="1" applyBorder="1" applyAlignment="1">
      <alignment horizontal="center" vertical="center"/>
    </xf>
    <xf numFmtId="176" fontId="5" fillId="0" borderId="2" xfId="0" applyNumberFormat="1" applyFont="1" applyFill="1" applyBorder="1">
      <alignment vertical="center"/>
    </xf>
    <xf numFmtId="0" fontId="20" fillId="11" borderId="2" xfId="0" applyFont="1" applyFill="1" applyBorder="1" applyAlignment="1">
      <alignment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0" fontId="20" fillId="0" borderId="3" xfId="0" applyFont="1" applyFill="1" applyBorder="1" applyAlignment="1">
      <alignment vertical="center"/>
    </xf>
    <xf numFmtId="176" fontId="27" fillId="11" borderId="2" xfId="0" applyNumberFormat="1" applyFont="1" applyFill="1" applyBorder="1" applyAlignment="1">
      <alignment vertical="center"/>
    </xf>
    <xf numFmtId="183" fontId="21" fillId="11" borderId="2" xfId="0" applyNumberFormat="1" applyFont="1" applyFill="1" applyBorder="1" applyAlignment="1">
      <alignment vertical="center"/>
    </xf>
    <xf numFmtId="184" fontId="20" fillId="11" borderId="2" xfId="0" applyNumberFormat="1" applyFont="1" applyFill="1" applyBorder="1" applyAlignment="1">
      <alignment vertical="center"/>
    </xf>
    <xf numFmtId="183" fontId="27" fillId="11" borderId="2" xfId="0" applyNumberFormat="1" applyFont="1" applyFill="1" applyBorder="1" applyAlignment="1">
      <alignment horizontal="center" vertical="center"/>
    </xf>
    <xf numFmtId="176" fontId="20" fillId="11" borderId="2" xfId="0" applyNumberFormat="1" applyFont="1" applyFill="1" applyBorder="1" applyAlignment="1">
      <alignment vertical="center"/>
    </xf>
    <xf numFmtId="176" fontId="27" fillId="0" borderId="3" xfId="0" applyNumberFormat="1" applyFont="1" applyFill="1" applyBorder="1" applyAlignment="1">
      <alignment vertical="center"/>
    </xf>
    <xf numFmtId="184" fontId="20" fillId="0" borderId="3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8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21" fillId="11" borderId="8" xfId="0" applyNumberFormat="1" applyFont="1" applyFill="1" applyBorder="1" applyAlignment="1">
      <alignment horizontal="center" vertical="center"/>
    </xf>
    <xf numFmtId="176" fontId="21" fillId="11" borderId="2" xfId="0" applyNumberFormat="1" applyFont="1" applyFill="1" applyBorder="1" applyAlignment="1">
      <alignment vertical="center"/>
    </xf>
    <xf numFmtId="7" fontId="21" fillId="11" borderId="2" xfId="0" applyNumberFormat="1" applyFont="1" applyFill="1" applyBorder="1" applyAlignment="1">
      <alignment vertical="center"/>
    </xf>
    <xf numFmtId="184" fontId="21" fillId="11" borderId="2" xfId="0" applyNumberFormat="1" applyFont="1" applyFill="1" applyBorder="1" applyAlignment="1">
      <alignment vertical="center"/>
    </xf>
    <xf numFmtId="176" fontId="16" fillId="0" borderId="0" xfId="0" applyNumberFormat="1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176" fontId="32" fillId="9" borderId="2" xfId="0" applyNumberFormat="1" applyFont="1" applyFill="1" applyBorder="1" applyAlignment="1">
      <alignment horizontal="center" vertical="center"/>
    </xf>
    <xf numFmtId="176" fontId="33" fillId="9" borderId="2" xfId="0" applyNumberFormat="1" applyFont="1" applyFill="1" applyBorder="1" applyAlignment="1">
      <alignment horizontal="center" vertical="center"/>
    </xf>
    <xf numFmtId="176" fontId="16" fillId="0" borderId="3" xfId="0" applyNumberFormat="1" applyFont="1" applyFill="1" applyBorder="1" applyAlignment="1">
      <alignment horizontal="center" vertical="center"/>
    </xf>
    <xf numFmtId="176" fontId="16" fillId="0" borderId="2" xfId="0" applyNumberFormat="1" applyFont="1" applyBorder="1">
      <alignment vertical="center"/>
    </xf>
    <xf numFmtId="0" fontId="13" fillId="0" borderId="0" xfId="0" applyFont="1" applyFill="1" applyAlignment="1">
      <alignment vertical="center"/>
    </xf>
    <xf numFmtId="0" fontId="20" fillId="5" borderId="2" xfId="0" applyFont="1" applyFill="1" applyBorder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20" fillId="5" borderId="2" xfId="0" applyNumberFormat="1" applyFont="1" applyFill="1" applyBorder="1" applyAlignment="1">
      <alignment vertical="center"/>
    </xf>
    <xf numFmtId="183" fontId="27" fillId="5" borderId="2" xfId="0" applyNumberFormat="1" applyFont="1" applyFill="1" applyBorder="1" applyAlignment="1">
      <alignment vertical="center"/>
    </xf>
    <xf numFmtId="184" fontId="20" fillId="5" borderId="2" xfId="0" applyNumberFormat="1" applyFont="1" applyFill="1" applyBorder="1" applyAlignment="1">
      <alignment vertical="center"/>
    </xf>
    <xf numFmtId="183" fontId="27" fillId="5" borderId="2" xfId="0" applyNumberFormat="1" applyFont="1" applyFill="1" applyBorder="1" applyAlignment="1">
      <alignment horizontal="center" vertical="center"/>
    </xf>
    <xf numFmtId="184" fontId="27" fillId="5" borderId="2" xfId="0" applyNumberFormat="1" applyFont="1" applyFill="1" applyBorder="1" applyAlignment="1">
      <alignment vertical="center"/>
    </xf>
    <xf numFmtId="176" fontId="21" fillId="5" borderId="8" xfId="0" applyNumberFormat="1" applyFont="1" applyFill="1" applyBorder="1" applyAlignment="1">
      <alignment horizontal="center" vertical="center"/>
    </xf>
    <xf numFmtId="176" fontId="21" fillId="5" borderId="2" xfId="0" applyNumberFormat="1" applyFont="1" applyFill="1" applyBorder="1" applyAlignment="1">
      <alignment vertical="center"/>
    </xf>
    <xf numFmtId="7" fontId="21" fillId="5" borderId="2" xfId="0" applyNumberFormat="1" applyFont="1" applyFill="1" applyBorder="1" applyAlignment="1">
      <alignment vertical="center"/>
    </xf>
    <xf numFmtId="184" fontId="21" fillId="5" borderId="2" xfId="0" applyNumberFormat="1" applyFont="1" applyFill="1" applyBorder="1" applyAlignment="1">
      <alignment vertical="center"/>
    </xf>
    <xf numFmtId="183" fontId="21" fillId="5" borderId="2" xfId="0" applyNumberFormat="1" applyFont="1" applyFill="1" applyBorder="1" applyAlignment="1">
      <alignment vertical="center"/>
    </xf>
    <xf numFmtId="0" fontId="20" fillId="0" borderId="3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76" fontId="21" fillId="0" borderId="8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"/>
  <sheetViews>
    <sheetView workbookViewId="0">
      <pane xSplit="14" ySplit="4" topLeftCell="AB15" activePane="bottomRight" state="frozen"/>
      <selection/>
      <selection pane="topRight"/>
      <selection pane="bottomLeft"/>
      <selection pane="bottomRight" activeCell="M42" sqref="M42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7.75" customWidth="1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74" t="s">
        <v>0</v>
      </c>
    </row>
    <row r="2" customFormat="1" ht="6" customHeight="1" spans="1:1">
      <c r="A2" s="74"/>
    </row>
    <row r="3" s="71" customFormat="1" ht="23" customHeight="1" spans="1:32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 t="s">
        <v>6</v>
      </c>
      <c r="G3" s="80" t="s">
        <v>7</v>
      </c>
      <c r="H3" s="80" t="s">
        <v>8</v>
      </c>
      <c r="I3" s="80" t="s">
        <v>9</v>
      </c>
      <c r="J3" s="104" t="s">
        <v>10</v>
      </c>
      <c r="K3" s="105"/>
      <c r="L3" s="106"/>
      <c r="M3" s="105"/>
      <c r="N3" s="106"/>
      <c r="O3" s="107"/>
      <c r="P3" s="108"/>
      <c r="Q3" s="147" t="s">
        <v>11</v>
      </c>
      <c r="R3" s="148" t="s">
        <v>12</v>
      </c>
      <c r="S3" s="149"/>
      <c r="T3" s="150"/>
      <c r="U3" s="151"/>
      <c r="V3" s="152"/>
      <c r="W3" s="153" t="s">
        <v>13</v>
      </c>
      <c r="X3" s="154" t="s">
        <v>14</v>
      </c>
      <c r="Y3" s="173" t="s">
        <v>15</v>
      </c>
      <c r="Z3" s="173"/>
      <c r="AA3" s="173"/>
      <c r="AB3" s="173"/>
      <c r="AC3" s="174"/>
      <c r="AD3" s="173"/>
      <c r="AE3" s="175" t="s">
        <v>16</v>
      </c>
      <c r="AF3" s="176" t="s">
        <v>17</v>
      </c>
    </row>
    <row r="4" s="71" customFormat="1" ht="27" customHeight="1" spans="1:32">
      <c r="A4" s="81"/>
      <c r="B4" s="82"/>
      <c r="C4" s="77"/>
      <c r="D4" s="78"/>
      <c r="E4" s="83"/>
      <c r="F4" s="84"/>
      <c r="G4" s="84"/>
      <c r="H4" s="84"/>
      <c r="I4" s="84"/>
      <c r="J4" s="109" t="s">
        <v>18</v>
      </c>
      <c r="K4" s="110" t="s">
        <v>19</v>
      </c>
      <c r="L4" s="111" t="s">
        <v>20</v>
      </c>
      <c r="M4" s="110" t="s">
        <v>21</v>
      </c>
      <c r="N4" s="112" t="s">
        <v>22</v>
      </c>
      <c r="O4" s="113" t="s">
        <v>23</v>
      </c>
      <c r="P4" s="114" t="s">
        <v>24</v>
      </c>
      <c r="Q4" s="155"/>
      <c r="R4" s="156" t="s">
        <v>25</v>
      </c>
      <c r="S4" s="157" t="s">
        <v>26</v>
      </c>
      <c r="T4" s="158" t="s">
        <v>27</v>
      </c>
      <c r="U4" s="159" t="s">
        <v>28</v>
      </c>
      <c r="V4" s="158" t="s">
        <v>29</v>
      </c>
      <c r="W4" s="160"/>
      <c r="X4" s="161"/>
      <c r="Y4" s="177" t="s">
        <v>30</v>
      </c>
      <c r="Z4" s="177" t="s">
        <v>31</v>
      </c>
      <c r="AA4" s="177" t="s">
        <v>32</v>
      </c>
      <c r="AB4" s="178" t="s">
        <v>33</v>
      </c>
      <c r="AC4" s="179" t="s">
        <v>34</v>
      </c>
      <c r="AD4" s="180" t="s">
        <v>24</v>
      </c>
      <c r="AE4" s="181" t="s">
        <v>35</v>
      </c>
      <c r="AF4" s="182"/>
    </row>
    <row r="5" s="72" customFormat="1" ht="12.75" spans="1:32">
      <c r="A5" s="85"/>
      <c r="B5" s="86"/>
      <c r="C5" s="87">
        <v>240709000025</v>
      </c>
      <c r="D5" s="88">
        <v>45491</v>
      </c>
      <c r="E5" s="88" t="s">
        <v>36</v>
      </c>
      <c r="F5" s="86" t="s">
        <v>37</v>
      </c>
      <c r="G5" s="86" t="s">
        <v>38</v>
      </c>
      <c r="H5" s="86">
        <v>0.1112</v>
      </c>
      <c r="I5" s="86">
        <v>57</v>
      </c>
      <c r="J5" s="115">
        <v>556</v>
      </c>
      <c r="K5" s="116"/>
      <c r="L5" s="117"/>
      <c r="M5" s="118"/>
      <c r="N5" s="117"/>
      <c r="O5" s="86"/>
      <c r="P5" s="119">
        <v>556</v>
      </c>
      <c r="Q5" s="162"/>
      <c r="R5" s="162"/>
      <c r="S5" s="163">
        <v>216.424765128559</v>
      </c>
      <c r="T5" s="121">
        <v>0.458454459770348</v>
      </c>
      <c r="U5" s="121"/>
      <c r="V5" s="121"/>
      <c r="W5" s="121"/>
      <c r="X5" s="164">
        <v>216.883219588329</v>
      </c>
      <c r="Y5" s="183"/>
      <c r="Z5" s="183">
        <v>37.06</v>
      </c>
      <c r="AA5" s="183"/>
      <c r="AB5" s="183">
        <v>37.06</v>
      </c>
      <c r="AC5" s="116">
        <v>7.15</v>
      </c>
      <c r="AD5" s="121">
        <v>264.979</v>
      </c>
      <c r="AE5" s="121">
        <v>481.862219588329</v>
      </c>
      <c r="AF5" s="164">
        <v>74.137780411671</v>
      </c>
    </row>
    <row r="6" s="72" customFormat="1" ht="12.75" spans="1:32">
      <c r="A6" s="85"/>
      <c r="B6" s="86"/>
      <c r="C6" s="87">
        <v>240718000039</v>
      </c>
      <c r="D6" s="88">
        <v>45511</v>
      </c>
      <c r="E6" s="88" t="s">
        <v>36</v>
      </c>
      <c r="F6" s="86" t="s">
        <v>37</v>
      </c>
      <c r="G6" s="86" t="s">
        <v>39</v>
      </c>
      <c r="H6" s="86">
        <v>0.5054</v>
      </c>
      <c r="I6" s="86">
        <v>412</v>
      </c>
      <c r="J6" s="115">
        <v>2582</v>
      </c>
      <c r="K6" s="116"/>
      <c r="L6" s="117"/>
      <c r="M6" s="118"/>
      <c r="N6" s="117"/>
      <c r="O6" s="86"/>
      <c r="P6" s="121">
        <v>2582</v>
      </c>
      <c r="Q6" s="166"/>
      <c r="R6" s="166"/>
      <c r="S6" s="121">
        <v>435.753424739204</v>
      </c>
      <c r="T6" s="121"/>
      <c r="U6" s="121">
        <v>10.546005750253</v>
      </c>
      <c r="V6" s="121"/>
      <c r="W6" s="121"/>
      <c r="X6" s="164">
        <v>446.299430489457</v>
      </c>
      <c r="Y6" s="183">
        <v>77.1062924282374</v>
      </c>
      <c r="Z6" s="183"/>
      <c r="AA6" s="183"/>
      <c r="AB6" s="183">
        <v>77.1062924282374</v>
      </c>
      <c r="AC6" s="116">
        <v>7.08</v>
      </c>
      <c r="AD6" s="121">
        <v>545.91255039192</v>
      </c>
      <c r="AE6" s="121">
        <v>992.211980881378</v>
      </c>
      <c r="AF6" s="164">
        <v>1589.78801911862</v>
      </c>
    </row>
    <row r="7" s="72" customFormat="1" ht="12.75" spans="1:32">
      <c r="A7" s="85"/>
      <c r="B7" s="86"/>
      <c r="C7" s="87">
        <v>240718000039</v>
      </c>
      <c r="D7" s="88">
        <v>45511</v>
      </c>
      <c r="E7" s="88" t="s">
        <v>36</v>
      </c>
      <c r="F7" s="86" t="s">
        <v>37</v>
      </c>
      <c r="G7" s="86" t="s">
        <v>39</v>
      </c>
      <c r="H7" s="86">
        <v>2.7869</v>
      </c>
      <c r="I7" s="86">
        <v>2167</v>
      </c>
      <c r="J7" s="115">
        <v>14238</v>
      </c>
      <c r="K7" s="116"/>
      <c r="L7" s="117"/>
      <c r="M7" s="118"/>
      <c r="N7" s="117"/>
      <c r="O7" s="86"/>
      <c r="P7" s="121">
        <v>14238</v>
      </c>
      <c r="Q7" s="166"/>
      <c r="R7" s="166"/>
      <c r="S7" s="121">
        <v>2412.59473970588</v>
      </c>
      <c r="T7" s="121"/>
      <c r="U7" s="121">
        <v>81.9676470588235</v>
      </c>
      <c r="V7" s="121"/>
      <c r="W7" s="121"/>
      <c r="X7" s="164">
        <v>2494.56238676471</v>
      </c>
      <c r="Y7" s="183">
        <v>414.673916632353</v>
      </c>
      <c r="Z7" s="183"/>
      <c r="AA7" s="183">
        <v>3.74797066176471</v>
      </c>
      <c r="AB7" s="183">
        <v>418.421887294118</v>
      </c>
      <c r="AC7" s="116">
        <v>7.15</v>
      </c>
      <c r="AD7" s="121">
        <v>2991.71649415294</v>
      </c>
      <c r="AE7" s="121">
        <v>5486.27888091765</v>
      </c>
      <c r="AF7" s="164">
        <v>8751.72111908235</v>
      </c>
    </row>
    <row r="8" s="72" customFormat="1" ht="12.75" spans="1:32">
      <c r="A8" s="85"/>
      <c r="B8" s="86"/>
      <c r="C8" s="87">
        <v>240729000020</v>
      </c>
      <c r="D8" s="88">
        <v>45506</v>
      </c>
      <c r="E8" s="88" t="s">
        <v>36</v>
      </c>
      <c r="F8" s="86" t="s">
        <v>37</v>
      </c>
      <c r="G8" s="86" t="s">
        <v>40</v>
      </c>
      <c r="H8" s="86">
        <v>0.0032</v>
      </c>
      <c r="I8" s="86">
        <v>2.7</v>
      </c>
      <c r="J8" s="115">
        <v>235.2</v>
      </c>
      <c r="K8" s="116"/>
      <c r="L8" s="117"/>
      <c r="M8" s="118"/>
      <c r="N8" s="117"/>
      <c r="O8" s="86"/>
      <c r="P8" s="119">
        <v>235.2</v>
      </c>
      <c r="Q8" s="162"/>
      <c r="R8" s="162"/>
      <c r="S8" s="121">
        <v>2.77021176470588</v>
      </c>
      <c r="T8" s="121"/>
      <c r="U8" s="121">
        <v>0.0941176470588235</v>
      </c>
      <c r="V8" s="121"/>
      <c r="W8" s="121"/>
      <c r="X8" s="164">
        <v>2.86432941176471</v>
      </c>
      <c r="Y8" s="183">
        <v>0.476140705882353</v>
      </c>
      <c r="Z8" s="183"/>
      <c r="AA8" s="183">
        <v>0.00430352941176471</v>
      </c>
      <c r="AB8" s="183">
        <v>0.480444235294118</v>
      </c>
      <c r="AC8" s="116">
        <v>7.15</v>
      </c>
      <c r="AD8" s="121">
        <v>3.43517628235294</v>
      </c>
      <c r="AE8" s="121">
        <v>6.29950569411765</v>
      </c>
      <c r="AF8" s="164">
        <v>228.900494305882</v>
      </c>
    </row>
    <row r="9" s="72" customFormat="1" ht="25.5" spans="1:32">
      <c r="A9" s="249" t="s">
        <v>41</v>
      </c>
      <c r="B9" s="249" t="s">
        <v>42</v>
      </c>
      <c r="C9" s="87">
        <v>240804000005</v>
      </c>
      <c r="D9" s="88">
        <v>45511</v>
      </c>
      <c r="E9" s="88" t="s">
        <v>36</v>
      </c>
      <c r="F9" s="86" t="s">
        <v>37</v>
      </c>
      <c r="G9" s="86" t="s">
        <v>43</v>
      </c>
      <c r="H9" s="86">
        <v>34.5199</v>
      </c>
      <c r="I9" s="86">
        <v>9224</v>
      </c>
      <c r="J9" s="115">
        <v>77059.62</v>
      </c>
      <c r="K9" s="116"/>
      <c r="L9" s="120"/>
      <c r="M9" s="118"/>
      <c r="N9" s="120"/>
      <c r="O9" s="86"/>
      <c r="P9" s="121">
        <v>77059.62</v>
      </c>
      <c r="Q9" s="162">
        <v>80368.62</v>
      </c>
      <c r="R9" s="251" t="s">
        <v>44</v>
      </c>
      <c r="S9" s="121">
        <v>29205.99289375</v>
      </c>
      <c r="T9" s="121"/>
      <c r="U9" s="121">
        <v>736.086102941176</v>
      </c>
      <c r="V9" s="121"/>
      <c r="W9" s="121"/>
      <c r="X9" s="164">
        <v>29942.0789966912</v>
      </c>
      <c r="Y9" s="184">
        <v>5345.00039852941</v>
      </c>
      <c r="Z9" s="183"/>
      <c r="AA9" s="183">
        <v>104.818661058824</v>
      </c>
      <c r="AB9" s="183">
        <v>5449.81905958823</v>
      </c>
      <c r="AC9" s="116">
        <v>7.09</v>
      </c>
      <c r="AD9" s="121">
        <v>38639.2171324806</v>
      </c>
      <c r="AE9" s="121">
        <v>68581.2961291718</v>
      </c>
      <c r="AF9" s="164">
        <v>8478.3238708282</v>
      </c>
    </row>
    <row r="10" s="72" customFormat="1" ht="25.5" spans="1:32">
      <c r="A10" s="85" t="s">
        <v>45</v>
      </c>
      <c r="B10" s="86" t="s">
        <v>46</v>
      </c>
      <c r="C10" s="87">
        <v>240718000039</v>
      </c>
      <c r="D10" s="88">
        <v>45511</v>
      </c>
      <c r="E10" s="88" t="s">
        <v>36</v>
      </c>
      <c r="F10" s="86" t="s">
        <v>37</v>
      </c>
      <c r="G10" s="86" t="s">
        <v>39</v>
      </c>
      <c r="H10" s="86">
        <v>9.29</v>
      </c>
      <c r="I10" s="86">
        <v>13260</v>
      </c>
      <c r="J10" s="115">
        <v>47474</v>
      </c>
      <c r="K10" s="116"/>
      <c r="L10" s="117"/>
      <c r="M10" s="118"/>
      <c r="N10" s="117"/>
      <c r="O10" s="86"/>
      <c r="P10" s="121">
        <v>47474</v>
      </c>
      <c r="Q10" s="166">
        <v>80918.5258</v>
      </c>
      <c r="R10" s="167" t="s">
        <v>47</v>
      </c>
      <c r="S10" s="121">
        <v>8079.19194852941</v>
      </c>
      <c r="T10" s="121"/>
      <c r="U10" s="121">
        <v>198.095588235294</v>
      </c>
      <c r="V10" s="121">
        <v>960</v>
      </c>
      <c r="W10" s="121"/>
      <c r="X10" s="164">
        <v>9237.2875367647</v>
      </c>
      <c r="Y10" s="184">
        <v>1438.44720588235</v>
      </c>
      <c r="Z10" s="183">
        <v>1823.01</v>
      </c>
      <c r="AA10" s="183">
        <v>35.4632088235294</v>
      </c>
      <c r="AB10" s="183">
        <v>3296.92041470588</v>
      </c>
      <c r="AC10" s="116">
        <v>7.09</v>
      </c>
      <c r="AD10" s="121">
        <v>23375.1657402647</v>
      </c>
      <c r="AE10" s="121">
        <v>32612.4532770294</v>
      </c>
      <c r="AF10" s="164">
        <v>14861.5467229706</v>
      </c>
    </row>
    <row r="11" s="72" customFormat="1" ht="12.75" spans="1:32">
      <c r="A11" s="85"/>
      <c r="B11" s="86"/>
      <c r="C11" s="87">
        <v>240730000015</v>
      </c>
      <c r="D11" s="88">
        <v>45511</v>
      </c>
      <c r="E11" s="88" t="s">
        <v>36</v>
      </c>
      <c r="F11" s="86" t="s">
        <v>37</v>
      </c>
      <c r="G11" s="86" t="s">
        <v>38</v>
      </c>
      <c r="H11" s="86">
        <v>0.159</v>
      </c>
      <c r="I11" s="86">
        <v>26.5</v>
      </c>
      <c r="J11" s="115">
        <v>376.32</v>
      </c>
      <c r="K11" s="116"/>
      <c r="L11" s="117"/>
      <c r="M11" s="118"/>
      <c r="N11" s="117"/>
      <c r="O11" s="86"/>
      <c r="P11" s="121">
        <v>376.32</v>
      </c>
      <c r="Q11" s="162"/>
      <c r="R11" s="162"/>
      <c r="S11" s="121">
        <v>138.276805147059</v>
      </c>
      <c r="T11" s="121"/>
      <c r="U11" s="121">
        <v>3.39044117647059</v>
      </c>
      <c r="V11" s="121"/>
      <c r="W11" s="121"/>
      <c r="X11" s="164">
        <v>141.667246323529</v>
      </c>
      <c r="Y11" s="184">
        <v>24.6192794117647</v>
      </c>
      <c r="Z11" s="183"/>
      <c r="AA11" s="183">
        <v>0.606959117647059</v>
      </c>
      <c r="AB11" s="183">
        <v>25.2262385294118</v>
      </c>
      <c r="AC11" s="116">
        <v>7.09</v>
      </c>
      <c r="AD11" s="121">
        <v>178.854031173529</v>
      </c>
      <c r="AE11" s="121">
        <v>320.521277497059</v>
      </c>
      <c r="AF11" s="164">
        <v>55.798722502941</v>
      </c>
    </row>
    <row r="12" s="72" customFormat="1" ht="12.75" spans="1:32">
      <c r="A12" s="85"/>
      <c r="B12" s="86"/>
      <c r="C12" s="87">
        <v>240802000002</v>
      </c>
      <c r="D12" s="88">
        <v>45512</v>
      </c>
      <c r="E12" s="88" t="s">
        <v>36</v>
      </c>
      <c r="F12" s="86" t="s">
        <v>37</v>
      </c>
      <c r="G12" s="86" t="s">
        <v>48</v>
      </c>
      <c r="H12" s="86">
        <v>1.848</v>
      </c>
      <c r="I12" s="86">
        <v>1035</v>
      </c>
      <c r="J12" s="115">
        <v>4482.5</v>
      </c>
      <c r="K12" s="116"/>
      <c r="L12" s="117"/>
      <c r="M12" s="118"/>
      <c r="N12" s="117"/>
      <c r="O12" s="86"/>
      <c r="P12" s="121">
        <v>4482.5</v>
      </c>
      <c r="Q12" s="162"/>
      <c r="R12" s="162"/>
      <c r="S12" s="121">
        <v>1590.69997058824</v>
      </c>
      <c r="T12" s="121">
        <v>1.49443411764706</v>
      </c>
      <c r="U12" s="121">
        <v>27.1764705882353</v>
      </c>
      <c r="V12" s="121"/>
      <c r="W12" s="121"/>
      <c r="X12" s="164">
        <v>1619.37087529412</v>
      </c>
      <c r="Y12" s="184">
        <v>283.586470588235</v>
      </c>
      <c r="Z12" s="183"/>
      <c r="AA12" s="183"/>
      <c r="AB12" s="183">
        <v>283.586470588235</v>
      </c>
      <c r="AC12" s="116">
        <v>7.12</v>
      </c>
      <c r="AD12" s="121">
        <v>2019.13567058824</v>
      </c>
      <c r="AE12" s="121">
        <v>3638.50654588235</v>
      </c>
      <c r="AF12" s="164">
        <v>843.99345411765</v>
      </c>
    </row>
    <row r="13" s="72" customFormat="1" ht="12.75" spans="1:32">
      <c r="A13" s="85"/>
      <c r="B13" s="86"/>
      <c r="C13" s="87">
        <v>240803000017</v>
      </c>
      <c r="D13" s="88">
        <v>45512</v>
      </c>
      <c r="E13" s="88" t="s">
        <v>36</v>
      </c>
      <c r="F13" s="86" t="s">
        <v>37</v>
      </c>
      <c r="G13" s="86" t="s">
        <v>43</v>
      </c>
      <c r="H13" s="86">
        <v>17.17</v>
      </c>
      <c r="I13" s="86">
        <v>12298</v>
      </c>
      <c r="J13" s="115">
        <v>38477.75</v>
      </c>
      <c r="K13" s="116"/>
      <c r="L13" s="120"/>
      <c r="M13" s="118"/>
      <c r="N13" s="120"/>
      <c r="O13" s="86"/>
      <c r="P13" s="121">
        <v>38477.75</v>
      </c>
      <c r="Q13" s="162"/>
      <c r="R13" s="162"/>
      <c r="S13" s="121">
        <v>14779.393125</v>
      </c>
      <c r="T13" s="121">
        <v>13.884975</v>
      </c>
      <c r="U13" s="121">
        <v>252.5</v>
      </c>
      <c r="V13" s="121"/>
      <c r="W13" s="121"/>
      <c r="X13" s="164">
        <v>15045.7781</v>
      </c>
      <c r="Y13" s="184">
        <v>2634.8375</v>
      </c>
      <c r="Z13" s="183"/>
      <c r="AA13" s="183"/>
      <c r="AB13" s="183">
        <v>2634.8375</v>
      </c>
      <c r="AC13" s="116">
        <v>7.12</v>
      </c>
      <c r="AD13" s="121">
        <v>18760.043</v>
      </c>
      <c r="AE13" s="121">
        <v>33805.8211</v>
      </c>
      <c r="AF13" s="164">
        <v>4671.9289</v>
      </c>
    </row>
    <row r="14" s="72" customFormat="1" ht="12.75" spans="1:32">
      <c r="A14" s="85"/>
      <c r="B14" s="86"/>
      <c r="C14" s="87">
        <v>240725000027</v>
      </c>
      <c r="D14" s="88">
        <v>45534</v>
      </c>
      <c r="E14" s="88" t="s">
        <v>36</v>
      </c>
      <c r="F14" s="86" t="s">
        <v>37</v>
      </c>
      <c r="G14" s="86" t="s">
        <v>38</v>
      </c>
      <c r="H14" s="192">
        <v>0.0213</v>
      </c>
      <c r="I14" s="86">
        <v>3.7</v>
      </c>
      <c r="J14" s="115"/>
      <c r="K14" s="122">
        <v>85293</v>
      </c>
      <c r="L14" s="117"/>
      <c r="M14" s="118">
        <v>1730.43213633597</v>
      </c>
      <c r="N14" s="120">
        <v>49.29</v>
      </c>
      <c r="O14" s="86">
        <v>7.12</v>
      </c>
      <c r="P14" s="121">
        <v>350.9448</v>
      </c>
      <c r="Q14" s="162"/>
      <c r="R14" s="162"/>
      <c r="S14" s="121">
        <v>18.0252033088235</v>
      </c>
      <c r="T14" s="121"/>
      <c r="U14" s="121">
        <v>0.657794117647059</v>
      </c>
      <c r="V14" s="121"/>
      <c r="W14" s="121"/>
      <c r="X14" s="164">
        <v>18.6829974264706</v>
      </c>
      <c r="Y14" s="184">
        <v>3.26297205882353</v>
      </c>
      <c r="Z14" s="183">
        <v>7.25</v>
      </c>
      <c r="AA14" s="183"/>
      <c r="AB14" s="183">
        <v>10.5129720588235</v>
      </c>
      <c r="AC14" s="116">
        <v>7.07</v>
      </c>
      <c r="AD14" s="121">
        <v>74.3267124558823</v>
      </c>
      <c r="AE14" s="121">
        <v>93.0097098823529</v>
      </c>
      <c r="AF14" s="164">
        <v>257.935090117647</v>
      </c>
    </row>
    <row r="15" s="72" customFormat="1" ht="12.75" spans="1:32">
      <c r="A15" s="85"/>
      <c r="B15" s="86"/>
      <c r="C15" s="87">
        <v>240807000010</v>
      </c>
      <c r="D15" s="88">
        <v>45534</v>
      </c>
      <c r="E15" s="88" t="s">
        <v>36</v>
      </c>
      <c r="F15" s="86" t="s">
        <v>37</v>
      </c>
      <c r="G15" s="86" t="s">
        <v>38</v>
      </c>
      <c r="H15" s="86">
        <v>0.0207</v>
      </c>
      <c r="I15" s="86">
        <v>4.2</v>
      </c>
      <c r="J15" s="119"/>
      <c r="K15" s="122">
        <v>59049</v>
      </c>
      <c r="L15" s="117"/>
      <c r="M15" s="118">
        <v>1786.11615245009</v>
      </c>
      <c r="N15" s="120">
        <v>33.06</v>
      </c>
      <c r="O15" s="86">
        <v>7.12</v>
      </c>
      <c r="P15" s="119">
        <v>235.3872</v>
      </c>
      <c r="Q15" s="162"/>
      <c r="R15" s="162"/>
      <c r="S15" s="121">
        <v>17.5174511029412</v>
      </c>
      <c r="T15" s="121"/>
      <c r="U15" s="121">
        <v>0.639264705882353</v>
      </c>
      <c r="V15" s="121"/>
      <c r="W15" s="121"/>
      <c r="X15" s="164">
        <v>18.1567158088235</v>
      </c>
      <c r="Y15" s="184">
        <v>3.17105735294118</v>
      </c>
      <c r="Z15" s="183">
        <v>7.5</v>
      </c>
      <c r="AA15" s="183"/>
      <c r="AB15" s="183">
        <v>10.6710573529412</v>
      </c>
      <c r="AC15" s="116">
        <v>7.07</v>
      </c>
      <c r="AD15" s="121">
        <v>75.4443754852941</v>
      </c>
      <c r="AE15" s="121">
        <v>93.6010912941177</v>
      </c>
      <c r="AF15" s="164">
        <v>141.786108705882</v>
      </c>
    </row>
    <row r="16" s="72" customFormat="1" ht="12.75" spans="1:32">
      <c r="A16" s="85"/>
      <c r="B16" s="86"/>
      <c r="C16" s="87">
        <v>240808000024</v>
      </c>
      <c r="D16" s="88">
        <v>45534</v>
      </c>
      <c r="E16" s="88" t="s">
        <v>36</v>
      </c>
      <c r="F16" s="86" t="s">
        <v>37</v>
      </c>
      <c r="G16" s="86" t="s">
        <v>49</v>
      </c>
      <c r="H16" s="86">
        <v>2.295</v>
      </c>
      <c r="I16" s="86">
        <v>107</v>
      </c>
      <c r="J16" s="119"/>
      <c r="K16" s="116"/>
      <c r="L16" s="120">
        <v>827</v>
      </c>
      <c r="M16" s="118">
        <v>0</v>
      </c>
      <c r="N16" s="120">
        <v>827</v>
      </c>
      <c r="O16" s="86">
        <v>7.12</v>
      </c>
      <c r="P16" s="119">
        <v>5888.24</v>
      </c>
      <c r="Q16" s="162"/>
      <c r="R16" s="162"/>
      <c r="S16" s="121">
        <v>1942.1521875</v>
      </c>
      <c r="T16" s="121"/>
      <c r="U16" s="121">
        <v>70.875</v>
      </c>
      <c r="V16" s="121"/>
      <c r="W16" s="121"/>
      <c r="X16" s="164">
        <v>2013.0271875</v>
      </c>
      <c r="Y16" s="184">
        <v>351.57375</v>
      </c>
      <c r="Z16" s="183">
        <v>70.8</v>
      </c>
      <c r="AA16" s="183"/>
      <c r="AB16" s="183">
        <v>422.37375</v>
      </c>
      <c r="AC16" s="116">
        <v>7.07</v>
      </c>
      <c r="AD16" s="121">
        <v>2986.1824125</v>
      </c>
      <c r="AE16" s="121">
        <v>4999.2096</v>
      </c>
      <c r="AF16" s="164">
        <v>889.0304</v>
      </c>
    </row>
    <row r="17" s="72" customFormat="1" ht="25.5" spans="1:32">
      <c r="A17" s="85" t="s">
        <v>50</v>
      </c>
      <c r="B17" s="86" t="s">
        <v>51</v>
      </c>
      <c r="C17" s="87">
        <v>240729000025</v>
      </c>
      <c r="D17" s="88">
        <v>45534</v>
      </c>
      <c r="E17" s="88" t="s">
        <v>36</v>
      </c>
      <c r="F17" s="86" t="s">
        <v>37</v>
      </c>
      <c r="G17" s="86" t="s">
        <v>52</v>
      </c>
      <c r="H17" s="86">
        <v>0.3136</v>
      </c>
      <c r="I17" s="86">
        <v>10</v>
      </c>
      <c r="J17" s="115">
        <v>753</v>
      </c>
      <c r="K17" s="116"/>
      <c r="L17" s="117"/>
      <c r="M17" s="118"/>
      <c r="N17" s="117"/>
      <c r="O17" s="86"/>
      <c r="P17" s="119">
        <v>753</v>
      </c>
      <c r="Q17" s="166">
        <v>72543.05</v>
      </c>
      <c r="R17" s="167" t="s">
        <v>53</v>
      </c>
      <c r="S17" s="121">
        <v>264.093858823529</v>
      </c>
      <c r="T17" s="121"/>
      <c r="U17" s="121">
        <v>6.45647058823529</v>
      </c>
      <c r="V17" s="121"/>
      <c r="W17" s="121"/>
      <c r="X17" s="164">
        <v>270.550329411765</v>
      </c>
      <c r="Y17" s="184">
        <v>47.6303058823529</v>
      </c>
      <c r="Z17" s="183"/>
      <c r="AA17" s="183">
        <v>1.27801223529412</v>
      </c>
      <c r="AB17" s="183">
        <v>48.9083181176471</v>
      </c>
      <c r="AC17" s="116">
        <v>7.06</v>
      </c>
      <c r="AD17" s="121">
        <v>345.292725910588</v>
      </c>
      <c r="AE17" s="121">
        <v>615.843055322353</v>
      </c>
      <c r="AF17" s="164">
        <v>137.156944677647</v>
      </c>
    </row>
    <row r="18" s="72" customFormat="1" ht="12.75" spans="1:32">
      <c r="A18" s="85"/>
      <c r="B18" s="86"/>
      <c r="C18" s="87">
        <v>240804000005</v>
      </c>
      <c r="D18" s="88">
        <v>45534</v>
      </c>
      <c r="E18" s="88" t="s">
        <v>36</v>
      </c>
      <c r="F18" s="86" t="s">
        <v>37</v>
      </c>
      <c r="G18" s="86" t="s">
        <v>43</v>
      </c>
      <c r="H18" s="86">
        <v>31.7366</v>
      </c>
      <c r="I18" s="86">
        <v>8596</v>
      </c>
      <c r="J18" s="115">
        <v>70573.12</v>
      </c>
      <c r="K18" s="116"/>
      <c r="L18" s="120"/>
      <c r="M18" s="118"/>
      <c r="N18" s="120"/>
      <c r="O18" s="86"/>
      <c r="P18" s="119">
        <v>70573.12</v>
      </c>
      <c r="Q18" s="162"/>
      <c r="R18" s="162"/>
      <c r="S18" s="121">
        <v>26726.5343110294</v>
      </c>
      <c r="T18" s="121"/>
      <c r="U18" s="121">
        <v>653.400588235294</v>
      </c>
      <c r="V18" s="121"/>
      <c r="W18" s="121"/>
      <c r="X18" s="164">
        <v>27379.9348992647</v>
      </c>
      <c r="Y18" s="184">
        <v>4820.22948235294</v>
      </c>
      <c r="Z18" s="183"/>
      <c r="AA18" s="183">
        <v>129.335979294118</v>
      </c>
      <c r="AB18" s="183">
        <v>4949.56546164706</v>
      </c>
      <c r="AC18" s="116">
        <v>7.06</v>
      </c>
      <c r="AD18" s="121">
        <v>34943.9321592282</v>
      </c>
      <c r="AE18" s="121">
        <v>62323.8670584929</v>
      </c>
      <c r="AF18" s="164">
        <v>8249.2529415071</v>
      </c>
    </row>
    <row r="19" s="72" customFormat="1" ht="12.75" spans="1:32">
      <c r="A19" s="85"/>
      <c r="B19" s="86"/>
      <c r="C19" s="87">
        <v>240811000002</v>
      </c>
      <c r="D19" s="88">
        <v>45534</v>
      </c>
      <c r="E19" s="88" t="s">
        <v>36</v>
      </c>
      <c r="F19" s="86" t="s">
        <v>37</v>
      </c>
      <c r="G19" s="86" t="s">
        <v>54</v>
      </c>
      <c r="H19" s="86">
        <v>0.293</v>
      </c>
      <c r="I19" s="86">
        <v>65.5</v>
      </c>
      <c r="J19" s="119"/>
      <c r="K19" s="122">
        <v>295731</v>
      </c>
      <c r="L19" s="117"/>
      <c r="M19" s="118">
        <v>1737.54994124559</v>
      </c>
      <c r="N19" s="120">
        <v>170.2</v>
      </c>
      <c r="O19" s="86">
        <v>7.15</v>
      </c>
      <c r="P19" s="119">
        <v>1216.93</v>
      </c>
      <c r="Q19" s="162"/>
      <c r="R19" s="162"/>
      <c r="S19" s="121">
        <v>246.745856617647</v>
      </c>
      <c r="T19" s="121">
        <v>355.58</v>
      </c>
      <c r="U19" s="121">
        <v>6.03235294117647</v>
      </c>
      <c r="V19" s="121"/>
      <c r="W19" s="121">
        <v>54.56</v>
      </c>
      <c r="X19" s="164">
        <v>662.918209558823</v>
      </c>
      <c r="Y19" s="184">
        <v>44.5015294117647</v>
      </c>
      <c r="Z19" s="183">
        <v>27.05</v>
      </c>
      <c r="AA19" s="183">
        <v>1.19406117647059</v>
      </c>
      <c r="AB19" s="183">
        <v>72.7455905882353</v>
      </c>
      <c r="AC19" s="116">
        <v>7.06</v>
      </c>
      <c r="AD19" s="121">
        <v>513.583869552941</v>
      </c>
      <c r="AE19" s="121">
        <v>1176.50207911176</v>
      </c>
      <c r="AF19" s="164">
        <v>40.4279208882356</v>
      </c>
    </row>
    <row r="20" s="72" customFormat="1" ht="12.75" spans="1:32">
      <c r="A20" s="85"/>
      <c r="B20" s="86"/>
      <c r="C20" s="87">
        <v>240810000003</v>
      </c>
      <c r="D20" s="88">
        <v>45516</v>
      </c>
      <c r="E20" s="88" t="s">
        <v>36</v>
      </c>
      <c r="F20" s="86" t="s">
        <v>37</v>
      </c>
      <c r="G20" s="86" t="s">
        <v>43</v>
      </c>
      <c r="H20" s="86">
        <v>0.693</v>
      </c>
      <c r="I20" s="86">
        <v>463</v>
      </c>
      <c r="J20" s="115">
        <v>1600</v>
      </c>
      <c r="K20" s="116"/>
      <c r="L20" s="120"/>
      <c r="M20" s="118"/>
      <c r="N20" s="120"/>
      <c r="O20" s="86"/>
      <c r="P20" s="119">
        <v>1600</v>
      </c>
      <c r="Q20" s="162"/>
      <c r="R20" s="162"/>
      <c r="S20" s="121">
        <v>542.771867647059</v>
      </c>
      <c r="T20" s="121"/>
      <c r="U20" s="121">
        <v>13.2485294117647</v>
      </c>
      <c r="V20" s="121"/>
      <c r="W20" s="121"/>
      <c r="X20" s="164">
        <v>556.020397058824</v>
      </c>
      <c r="Y20" s="183">
        <v>109.427349705882</v>
      </c>
      <c r="Z20" s="183"/>
      <c r="AA20" s="183"/>
      <c r="AB20" s="183">
        <v>109.427349705882</v>
      </c>
      <c r="AC20" s="116">
        <v>7.06</v>
      </c>
      <c r="AD20" s="121">
        <v>772.557088923529</v>
      </c>
      <c r="AE20" s="121">
        <v>1328.57748598235</v>
      </c>
      <c r="AF20" s="164">
        <v>271.42251401765</v>
      </c>
    </row>
    <row r="21" s="72" customFormat="1" ht="12.75" spans="1:32">
      <c r="A21" s="85"/>
      <c r="B21" s="86"/>
      <c r="C21" s="87">
        <v>240812000069</v>
      </c>
      <c r="D21" s="88">
        <v>45516</v>
      </c>
      <c r="E21" s="88" t="s">
        <v>36</v>
      </c>
      <c r="F21" s="86" t="s">
        <v>37</v>
      </c>
      <c r="G21" s="86" t="s">
        <v>40</v>
      </c>
      <c r="H21" s="86">
        <v>0.045</v>
      </c>
      <c r="I21" s="86">
        <v>52.5</v>
      </c>
      <c r="J21" s="115">
        <v>565.2</v>
      </c>
      <c r="K21" s="116"/>
      <c r="L21" s="117"/>
      <c r="M21" s="118"/>
      <c r="N21" s="117"/>
      <c r="O21" s="86"/>
      <c r="P21" s="119">
        <v>565.2</v>
      </c>
      <c r="Q21" s="162"/>
      <c r="R21" s="162"/>
      <c r="S21" s="121">
        <v>35.2449264705882</v>
      </c>
      <c r="T21" s="121"/>
      <c r="U21" s="121">
        <v>0.860294117647059</v>
      </c>
      <c r="V21" s="121"/>
      <c r="W21" s="121"/>
      <c r="X21" s="164">
        <v>36.1052205882353</v>
      </c>
      <c r="Y21" s="183">
        <v>7.10567205882353</v>
      </c>
      <c r="Z21" s="183">
        <v>50.15</v>
      </c>
      <c r="AA21" s="183"/>
      <c r="AB21" s="183">
        <v>57.2556720588235</v>
      </c>
      <c r="AC21" s="116">
        <v>7.06</v>
      </c>
      <c r="AD21" s="121">
        <v>404.225044735294</v>
      </c>
      <c r="AE21" s="121">
        <v>440.330265323529</v>
      </c>
      <c r="AF21" s="164">
        <v>124.869734676471</v>
      </c>
    </row>
    <row r="22" s="72" customFormat="1" ht="12.75" spans="1:32">
      <c r="A22" s="85"/>
      <c r="B22" s="86"/>
      <c r="C22" s="87">
        <v>240814000018</v>
      </c>
      <c r="D22" s="88">
        <v>45516</v>
      </c>
      <c r="E22" s="88" t="s">
        <v>36</v>
      </c>
      <c r="F22" s="86" t="s">
        <v>37</v>
      </c>
      <c r="G22" s="86" t="s">
        <v>55</v>
      </c>
      <c r="H22" s="86">
        <v>0.414</v>
      </c>
      <c r="I22" s="86">
        <v>225</v>
      </c>
      <c r="J22" s="115">
        <v>1588</v>
      </c>
      <c r="K22" s="116"/>
      <c r="L22" s="117"/>
      <c r="M22" s="118"/>
      <c r="N22" s="117"/>
      <c r="O22" s="86"/>
      <c r="P22" s="119">
        <v>1588</v>
      </c>
      <c r="Q22" s="162"/>
      <c r="R22" s="162"/>
      <c r="S22" s="121">
        <v>324.253323529412</v>
      </c>
      <c r="T22" s="121"/>
      <c r="U22" s="121">
        <v>7.91470588235294</v>
      </c>
      <c r="V22" s="121"/>
      <c r="W22" s="121"/>
      <c r="X22" s="164">
        <v>332.168029411765</v>
      </c>
      <c r="Y22" s="183">
        <v>65.3721829411765</v>
      </c>
      <c r="Z22" s="183">
        <v>81.63</v>
      </c>
      <c r="AA22" s="183"/>
      <c r="AB22" s="183">
        <v>147.002182941176</v>
      </c>
      <c r="AC22" s="116">
        <v>7.06</v>
      </c>
      <c r="AD22" s="121">
        <v>1037.83541156471</v>
      </c>
      <c r="AE22" s="121">
        <v>1370.00344097647</v>
      </c>
      <c r="AF22" s="164">
        <v>217.99655902353</v>
      </c>
    </row>
    <row r="23" s="72" customFormat="1" ht="12.75" spans="1:32">
      <c r="A23" s="85"/>
      <c r="B23" s="86"/>
      <c r="C23" s="87">
        <v>240814000019</v>
      </c>
      <c r="D23" s="88">
        <v>45516</v>
      </c>
      <c r="E23" s="88" t="s">
        <v>36</v>
      </c>
      <c r="F23" s="86" t="s">
        <v>37</v>
      </c>
      <c r="G23" s="86" t="s">
        <v>56</v>
      </c>
      <c r="H23" s="86">
        <v>1.0206</v>
      </c>
      <c r="I23" s="86">
        <v>428</v>
      </c>
      <c r="J23" s="115">
        <v>2389.6</v>
      </c>
      <c r="K23" s="116"/>
      <c r="L23" s="117"/>
      <c r="M23" s="118"/>
      <c r="N23" s="117"/>
      <c r="O23" s="86"/>
      <c r="P23" s="119">
        <v>2389.6</v>
      </c>
      <c r="Q23" s="162"/>
      <c r="R23" s="162"/>
      <c r="S23" s="121">
        <v>799.354932352941</v>
      </c>
      <c r="T23" s="121"/>
      <c r="U23" s="121">
        <v>19.5114705882353</v>
      </c>
      <c r="V23" s="121"/>
      <c r="W23" s="121"/>
      <c r="X23" s="164">
        <v>818.866402941176</v>
      </c>
      <c r="Y23" s="183">
        <v>161.156642294118</v>
      </c>
      <c r="Z23" s="183"/>
      <c r="AA23" s="183"/>
      <c r="AB23" s="183">
        <v>161.156642294118</v>
      </c>
      <c r="AC23" s="116">
        <v>7.06</v>
      </c>
      <c r="AD23" s="121">
        <v>1137.76589459647</v>
      </c>
      <c r="AE23" s="121">
        <v>1956.63229753765</v>
      </c>
      <c r="AF23" s="164">
        <v>432.96770246235</v>
      </c>
    </row>
    <row r="24" s="72" customFormat="1" ht="12.75" spans="1:32">
      <c r="A24" s="85"/>
      <c r="B24" s="86"/>
      <c r="C24" s="87">
        <v>240814000024</v>
      </c>
      <c r="D24" s="88">
        <v>45516</v>
      </c>
      <c r="E24" s="88" t="s">
        <v>36</v>
      </c>
      <c r="F24" s="86" t="s">
        <v>37</v>
      </c>
      <c r="G24" s="86" t="s">
        <v>55</v>
      </c>
      <c r="H24" s="86">
        <v>0.0407</v>
      </c>
      <c r="I24" s="86">
        <v>2</v>
      </c>
      <c r="J24" s="115">
        <v>835.2</v>
      </c>
      <c r="K24" s="116"/>
      <c r="L24" s="117"/>
      <c r="M24" s="118"/>
      <c r="N24" s="117"/>
      <c r="O24" s="86"/>
      <c r="P24" s="119">
        <v>835.2</v>
      </c>
      <c r="Q24" s="162"/>
      <c r="R24" s="162"/>
      <c r="S24" s="121">
        <v>31.8770779411765</v>
      </c>
      <c r="T24" s="121"/>
      <c r="U24" s="121">
        <v>0.778088235294118</v>
      </c>
      <c r="V24" s="121"/>
      <c r="W24" s="121"/>
      <c r="X24" s="164">
        <v>32.6551661764706</v>
      </c>
      <c r="Y24" s="183">
        <v>6.42668561764706</v>
      </c>
      <c r="Z24" s="183">
        <v>81.63</v>
      </c>
      <c r="AA24" s="183"/>
      <c r="AB24" s="183">
        <v>88.056685617647</v>
      </c>
      <c r="AC24" s="116">
        <v>7.06</v>
      </c>
      <c r="AD24" s="121">
        <v>621.680200460588</v>
      </c>
      <c r="AE24" s="121">
        <v>654.335366637059</v>
      </c>
      <c r="AF24" s="164">
        <v>180.864633362941</v>
      </c>
    </row>
    <row r="25" s="72" customFormat="1" ht="12.75" spans="1:32">
      <c r="A25" s="85"/>
      <c r="B25" s="86"/>
      <c r="C25" s="87">
        <v>240815000013</v>
      </c>
      <c r="D25" s="88">
        <v>45516</v>
      </c>
      <c r="E25" s="88" t="s">
        <v>36</v>
      </c>
      <c r="F25" s="86" t="s">
        <v>37</v>
      </c>
      <c r="G25" s="86" t="s">
        <v>57</v>
      </c>
      <c r="H25" s="86">
        <v>0.2945</v>
      </c>
      <c r="I25" s="86">
        <v>235</v>
      </c>
      <c r="J25" s="115">
        <v>1105</v>
      </c>
      <c r="K25" s="116"/>
      <c r="L25" s="117"/>
      <c r="M25" s="118"/>
      <c r="N25" s="117"/>
      <c r="O25" s="86"/>
      <c r="P25" s="119">
        <v>1105</v>
      </c>
      <c r="Q25" s="162"/>
      <c r="R25" s="162"/>
      <c r="S25" s="121">
        <v>230.658463235294</v>
      </c>
      <c r="T25" s="121"/>
      <c r="U25" s="121">
        <v>5.63014705882353</v>
      </c>
      <c r="V25" s="121"/>
      <c r="W25" s="121">
        <v>316</v>
      </c>
      <c r="X25" s="164">
        <v>552.288610294118</v>
      </c>
      <c r="Y25" s="183">
        <v>46.5026760294118</v>
      </c>
      <c r="Z25" s="183"/>
      <c r="AA25" s="183"/>
      <c r="AB25" s="183">
        <v>46.5026760294118</v>
      </c>
      <c r="AC25" s="116">
        <v>7.06</v>
      </c>
      <c r="AD25" s="121">
        <v>328.308892767647</v>
      </c>
      <c r="AE25" s="121">
        <v>880.597503061765</v>
      </c>
      <c r="AF25" s="164">
        <v>224.402496938235</v>
      </c>
    </row>
    <row r="26" s="72" customFormat="1" ht="12.75" spans="1:32">
      <c r="A26" s="85"/>
      <c r="B26" s="86"/>
      <c r="C26" s="87">
        <v>240816000023</v>
      </c>
      <c r="D26" s="88">
        <v>45516</v>
      </c>
      <c r="E26" s="88" t="s">
        <v>36</v>
      </c>
      <c r="F26" s="86" t="s">
        <v>37</v>
      </c>
      <c r="G26" s="86" t="s">
        <v>58</v>
      </c>
      <c r="H26" s="86">
        <v>1.9876</v>
      </c>
      <c r="I26" s="86">
        <v>92</v>
      </c>
      <c r="J26" s="115">
        <v>4277.5</v>
      </c>
      <c r="K26" s="116"/>
      <c r="L26" s="117"/>
      <c r="M26" s="118"/>
      <c r="N26" s="117"/>
      <c r="O26" s="86"/>
      <c r="P26" s="119">
        <v>4277.5</v>
      </c>
      <c r="Q26" s="162"/>
      <c r="R26" s="162"/>
      <c r="S26" s="121">
        <v>1556.72924117647</v>
      </c>
      <c r="T26" s="121"/>
      <c r="U26" s="121">
        <v>37.9982352941176</v>
      </c>
      <c r="V26" s="121"/>
      <c r="W26" s="121">
        <v>99</v>
      </c>
      <c r="X26" s="164">
        <v>1693.72747647059</v>
      </c>
      <c r="Y26" s="183">
        <v>313.849639647059</v>
      </c>
      <c r="Z26" s="183">
        <v>47.2</v>
      </c>
      <c r="AA26" s="183"/>
      <c r="AB26" s="183">
        <v>361.049639647059</v>
      </c>
      <c r="AC26" s="116">
        <v>7.06</v>
      </c>
      <c r="AD26" s="121">
        <v>2549.01045590823</v>
      </c>
      <c r="AE26" s="121">
        <v>4242.73793237882</v>
      </c>
      <c r="AF26" s="164">
        <v>34.76206762118</v>
      </c>
    </row>
    <row r="27" s="72" customFormat="1" ht="12.75" spans="1:32">
      <c r="A27" s="85"/>
      <c r="B27" s="86"/>
      <c r="C27" s="87">
        <v>240818000042</v>
      </c>
      <c r="D27" s="88">
        <v>45532</v>
      </c>
      <c r="E27" s="88" t="s">
        <v>36</v>
      </c>
      <c r="F27" s="86" t="s">
        <v>37</v>
      </c>
      <c r="G27" s="86" t="s">
        <v>40</v>
      </c>
      <c r="H27" s="86">
        <v>0.0276</v>
      </c>
      <c r="I27" s="86">
        <v>60</v>
      </c>
      <c r="J27" s="119"/>
      <c r="K27" s="122">
        <v>120050</v>
      </c>
      <c r="L27" s="117"/>
      <c r="M27" s="118">
        <v>1800.65996700165</v>
      </c>
      <c r="N27" s="120">
        <v>66.67</v>
      </c>
      <c r="O27" s="86">
        <v>7.12</v>
      </c>
      <c r="P27" s="119">
        <v>474.6904</v>
      </c>
      <c r="Q27" s="162"/>
      <c r="R27" s="162"/>
      <c r="S27" s="121">
        <v>21.4535205882353</v>
      </c>
      <c r="T27" s="121"/>
      <c r="U27" s="121">
        <v>0.608823529411765</v>
      </c>
      <c r="V27" s="121"/>
      <c r="W27" s="121"/>
      <c r="X27" s="164">
        <v>22.0623441176471</v>
      </c>
      <c r="Y27" s="183">
        <v>4.35814552941176</v>
      </c>
      <c r="Z27" s="183">
        <v>35.4</v>
      </c>
      <c r="AA27" s="183">
        <v>0.100573588235294</v>
      </c>
      <c r="AB27" s="183">
        <v>39.8587191176471</v>
      </c>
      <c r="AC27" s="116">
        <v>7.12</v>
      </c>
      <c r="AD27" s="121">
        <v>283.794080117647</v>
      </c>
      <c r="AE27" s="121">
        <v>305.856424235294</v>
      </c>
      <c r="AF27" s="164">
        <v>168.833975764706</v>
      </c>
    </row>
    <row r="28" s="72" customFormat="1" ht="12.75" spans="1:32">
      <c r="A28" s="85"/>
      <c r="B28" s="86"/>
      <c r="C28" s="87">
        <v>240826000045</v>
      </c>
      <c r="D28" s="88">
        <v>45532</v>
      </c>
      <c r="E28" s="88" t="s">
        <v>36</v>
      </c>
      <c r="F28" s="86" t="s">
        <v>37</v>
      </c>
      <c r="G28" s="86" t="s">
        <v>56</v>
      </c>
      <c r="H28" s="86">
        <v>0.4085</v>
      </c>
      <c r="I28" s="86">
        <v>179</v>
      </c>
      <c r="J28" s="115">
        <v>904</v>
      </c>
      <c r="K28" s="116"/>
      <c r="L28" s="117"/>
      <c r="M28" s="118"/>
      <c r="N28" s="117"/>
      <c r="O28" s="86"/>
      <c r="P28" s="119">
        <v>904</v>
      </c>
      <c r="Q28" s="162"/>
      <c r="R28" s="162"/>
      <c r="S28" s="121">
        <v>317.527650735294</v>
      </c>
      <c r="T28" s="121"/>
      <c r="U28" s="121">
        <v>9.0110294117647</v>
      </c>
      <c r="V28" s="121"/>
      <c r="W28" s="121"/>
      <c r="X28" s="164">
        <v>326.538680147059</v>
      </c>
      <c r="Y28" s="183">
        <v>64.5037119117647</v>
      </c>
      <c r="Z28" s="183"/>
      <c r="AA28" s="183">
        <v>1.48856198529412</v>
      </c>
      <c r="AB28" s="183">
        <v>65.9922738970588</v>
      </c>
      <c r="AC28" s="116">
        <v>7.12</v>
      </c>
      <c r="AD28" s="121">
        <v>469.864990147059</v>
      </c>
      <c r="AE28" s="121">
        <v>796.403670294118</v>
      </c>
      <c r="AF28" s="164">
        <v>107.596329705882</v>
      </c>
    </row>
    <row r="29" spans="1:32">
      <c r="A29" s="237" t="s">
        <v>59</v>
      </c>
      <c r="B29" s="238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88"/>
      <c r="AC29" s="188"/>
      <c r="AD29" s="188"/>
      <c r="AE29" s="188"/>
      <c r="AF29" s="188">
        <f>SUM(AF5:AF28)</f>
        <v>51035.4445028074</v>
      </c>
    </row>
    <row r="30" s="191" customFormat="1" ht="20" customHeight="1" spans="1:25">
      <c r="A30" s="1"/>
      <c r="B30" s="1"/>
      <c r="D30" s="198"/>
      <c r="E30" s="198"/>
      <c r="F30" s="250"/>
      <c r="G30" s="250"/>
      <c r="H30" s="250"/>
      <c r="I30" s="143"/>
      <c r="J30" s="143"/>
      <c r="K30" s="143"/>
      <c r="L30" s="143"/>
      <c r="M30" s="199"/>
      <c r="N30" s="143"/>
      <c r="O30" s="143"/>
      <c r="P30" s="143"/>
      <c r="Q30" s="143"/>
      <c r="R30" s="199"/>
      <c r="S30" s="199"/>
      <c r="T30" s="199"/>
      <c r="U30" s="199"/>
      <c r="V30" s="199"/>
      <c r="W30" s="199"/>
      <c r="X30" s="199"/>
      <c r="Y30" s="199"/>
    </row>
    <row r="31" s="1" customFormat="1" ht="18" customHeight="1" spans="3:20">
      <c r="C31" s="95" t="s">
        <v>60</v>
      </c>
      <c r="D31" s="95"/>
      <c r="E31" s="95"/>
      <c r="F31" s="96" t="s">
        <v>61</v>
      </c>
      <c r="G31" s="97"/>
      <c r="H31" s="97"/>
      <c r="I31" s="124"/>
      <c r="J31"/>
      <c r="K31" s="129" t="s">
        <v>62</v>
      </c>
      <c r="L31" s="129"/>
      <c r="M31" s="129"/>
      <c r="N31"/>
      <c r="O31"/>
      <c r="P31"/>
      <c r="Q31"/>
      <c r="R31"/>
      <c r="S31"/>
      <c r="T31"/>
    </row>
    <row r="32" s="1" customFormat="1" ht="18" customHeight="1" spans="3:20">
      <c r="C32" s="95"/>
      <c r="D32" s="95"/>
      <c r="E32" s="95"/>
      <c r="F32" s="98"/>
      <c r="G32" s="99"/>
      <c r="H32" s="99"/>
      <c r="I32" s="128"/>
      <c r="J32"/>
      <c r="K32" s="129" t="s">
        <v>63</v>
      </c>
      <c r="L32" s="129" t="s">
        <v>8</v>
      </c>
      <c r="M32" s="129" t="s">
        <v>64</v>
      </c>
      <c r="N32"/>
      <c r="O32"/>
      <c r="P32"/>
      <c r="Q32"/>
      <c r="R32"/>
      <c r="S32"/>
      <c r="T32"/>
    </row>
    <row r="33" s="1" customFormat="1" ht="18" customHeight="1" spans="3:20">
      <c r="C33" s="95" t="s">
        <v>65</v>
      </c>
      <c r="D33" s="95"/>
      <c r="E33" s="95"/>
      <c r="F33" s="100" t="s">
        <v>66</v>
      </c>
      <c r="G33" s="101"/>
      <c r="H33" s="101"/>
      <c r="I33" s="130"/>
      <c r="J33"/>
      <c r="K33" s="129" t="s">
        <v>67</v>
      </c>
      <c r="L33" s="131">
        <f>SUM(H5:H28)</f>
        <v>106.0053</v>
      </c>
      <c r="M33" s="132">
        <f>SUM(AF29)</f>
        <v>51035.4445028074</v>
      </c>
      <c r="N33"/>
      <c r="O33"/>
      <c r="P33"/>
      <c r="Q33"/>
      <c r="R33"/>
      <c r="S33"/>
      <c r="T33"/>
    </row>
    <row r="34" s="1" customFormat="1" ht="18" customHeight="1" spans="3:20">
      <c r="C34" s="95"/>
      <c r="D34" s="95"/>
      <c r="E34" s="95"/>
      <c r="F34" s="102"/>
      <c r="G34" s="103"/>
      <c r="H34" s="103"/>
      <c r="I34" s="133"/>
      <c r="J34"/>
      <c r="K34" s="134" t="s">
        <v>68</v>
      </c>
      <c r="L34" s="135"/>
      <c r="M34" s="136">
        <v>6000</v>
      </c>
      <c r="N34"/>
      <c r="O34"/>
      <c r="P34"/>
      <c r="Q34"/>
      <c r="R34"/>
      <c r="S34"/>
      <c r="T34"/>
    </row>
    <row r="35" s="1" customFormat="1" ht="18" customHeight="1" spans="3:20">
      <c r="C35" s="95" t="s">
        <v>69</v>
      </c>
      <c r="D35" s="95"/>
      <c r="E35" s="95"/>
      <c r="F35" s="100" t="s">
        <v>70</v>
      </c>
      <c r="G35" s="101"/>
      <c r="H35" s="101"/>
      <c r="I35" s="130"/>
      <c r="J35"/>
      <c r="K35" s="134" t="s">
        <v>71</v>
      </c>
      <c r="L35" s="135"/>
      <c r="M35" s="136">
        <f>SUM(M33-M34)</f>
        <v>45035.4445028074</v>
      </c>
      <c r="N35"/>
      <c r="O35"/>
      <c r="P35"/>
      <c r="Q35"/>
      <c r="R35"/>
      <c r="S35"/>
      <c r="T35"/>
    </row>
    <row r="36" s="1" customFormat="1" ht="18" customHeight="1" spans="3:20">
      <c r="C36" s="95"/>
      <c r="D36" s="95"/>
      <c r="E36" s="95"/>
      <c r="F36" s="102"/>
      <c r="G36" s="103"/>
      <c r="H36" s="103"/>
      <c r="I36" s="133"/>
      <c r="J36"/>
      <c r="K36" s="137" t="s">
        <v>72</v>
      </c>
      <c r="L36" s="138"/>
      <c r="M36" s="139">
        <v>35000</v>
      </c>
      <c r="N36"/>
      <c r="O36"/>
      <c r="P36"/>
      <c r="Q36"/>
      <c r="R36"/>
      <c r="S36"/>
      <c r="T36"/>
    </row>
    <row r="37" s="1" customFormat="1" ht="18" customHeight="1" spans="5:20">
      <c r="E37"/>
      <c r="F37" s="250"/>
      <c r="G37" s="250"/>
      <c r="H37" s="250"/>
      <c r="I37" s="143"/>
      <c r="J37" s="143"/>
      <c r="K37" s="137" t="s">
        <v>73</v>
      </c>
      <c r="L37" s="138"/>
      <c r="M37" s="137">
        <v>0.4</v>
      </c>
      <c r="N37"/>
      <c r="O37"/>
      <c r="P37"/>
      <c r="Q37"/>
      <c r="R37"/>
      <c r="S37"/>
      <c r="T37"/>
    </row>
    <row r="38" ht="18" customHeight="1" spans="11:13">
      <c r="K38" s="137" t="s">
        <v>74</v>
      </c>
      <c r="L38" s="138"/>
      <c r="M38" s="139">
        <f>SUM(M36*M37)</f>
        <v>14000</v>
      </c>
    </row>
    <row r="39" ht="18" customHeight="1" spans="11:13">
      <c r="K39" s="140" t="s">
        <v>75</v>
      </c>
      <c r="L39" s="141"/>
      <c r="M39" s="142">
        <f>SUM(M35-M36)</f>
        <v>10035.4445028074</v>
      </c>
    </row>
    <row r="40" ht="18" customHeight="1" spans="11:13">
      <c r="K40" s="140" t="s">
        <v>76</v>
      </c>
      <c r="L40" s="141"/>
      <c r="M40" s="140">
        <v>0.5</v>
      </c>
    </row>
    <row r="41" ht="18" customHeight="1" spans="11:15">
      <c r="K41" s="140" t="s">
        <v>74</v>
      </c>
      <c r="L41" s="141"/>
      <c r="M41" s="142">
        <f>SUM(M39*M40)</f>
        <v>5017.7222514037</v>
      </c>
      <c r="N41" s="143"/>
      <c r="O41" s="143"/>
    </row>
    <row r="42" ht="18" customHeight="1" spans="11:13">
      <c r="K42" s="144" t="s">
        <v>77</v>
      </c>
      <c r="L42" s="145"/>
      <c r="M42" s="146">
        <f>SUM(M38+M41)</f>
        <v>19017.7222514037</v>
      </c>
    </row>
    <row r="43" spans="11:13">
      <c r="K43" s="143"/>
      <c r="L43" s="143"/>
      <c r="M43" s="1"/>
    </row>
    <row r="44" spans="11:13">
      <c r="K44" s="143"/>
      <c r="L44" s="143"/>
      <c r="M44" s="1"/>
    </row>
  </sheetData>
  <autoFilter xmlns:etc="http://www.wps.cn/officeDocument/2017/etCustomData" ref="A3:AB29" etc:filterBottomFollowUsedRange="0">
    <extLst/>
  </autoFilter>
  <mergeCells count="24">
    <mergeCell ref="J3:P3"/>
    <mergeCell ref="R3:V3"/>
    <mergeCell ref="Y3:AD3"/>
    <mergeCell ref="A29:B29"/>
    <mergeCell ref="K31:M3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1:E32"/>
    <mergeCell ref="C33:E34"/>
    <mergeCell ref="F33:I34"/>
    <mergeCell ref="C35:E36"/>
    <mergeCell ref="F35:I36"/>
    <mergeCell ref="F31:I32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8"/>
  <sheetViews>
    <sheetView workbookViewId="0">
      <pane xSplit="15" ySplit="3" topLeftCell="P4" activePane="bottomRight" state="frozen"/>
      <selection/>
      <selection pane="topRight"/>
      <selection pane="bottomLeft"/>
      <selection pane="bottomRight" activeCell="M22" sqref="M22"/>
    </sheetView>
  </sheetViews>
  <sheetFormatPr defaultColWidth="9" defaultRowHeight="13.5"/>
  <cols>
    <col min="3" max="3" width="13.125" customWidth="1"/>
    <col min="4" max="4" width="12.125"/>
    <col min="6" max="6" width="11.125"/>
    <col min="8" max="8" width="10.125"/>
    <col min="9" max="9" width="11.125"/>
    <col min="10" max="10" width="11.25"/>
    <col min="11" max="11" width="10"/>
    <col min="12" max="12" width="9" customWidth="1"/>
    <col min="13" max="13" width="14.5" customWidth="1"/>
    <col min="14" max="14" width="10.25" customWidth="1"/>
    <col min="15" max="15" width="13.625"/>
    <col min="16" max="17" width="12.875"/>
    <col min="18" max="18" width="12.5" customWidth="1"/>
    <col min="19" max="19" width="10.1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10.125"/>
    <col min="31" max="32" width="13.625"/>
    <col min="33" max="34" width="9.625"/>
  </cols>
  <sheetData>
    <row r="1" customFormat="1" ht="27" customHeight="1" spans="1:25">
      <c r="A1" s="235" t="s">
        <v>0</v>
      </c>
      <c r="T1" s="4"/>
      <c r="U1" s="4"/>
      <c r="V1" s="4"/>
      <c r="W1" s="4"/>
      <c r="X1" s="4"/>
      <c r="Y1" s="4"/>
    </row>
    <row r="2" s="71" customFormat="1" ht="23" customHeight="1" spans="1:32">
      <c r="A2" s="75" t="s">
        <v>1</v>
      </c>
      <c r="B2" s="76" t="s">
        <v>2</v>
      </c>
      <c r="C2" s="77" t="s">
        <v>3</v>
      </c>
      <c r="D2" s="78" t="s">
        <v>4</v>
      </c>
      <c r="E2" s="79" t="s">
        <v>5</v>
      </c>
      <c r="F2" s="80" t="s">
        <v>6</v>
      </c>
      <c r="G2" s="80" t="s">
        <v>7</v>
      </c>
      <c r="H2" s="80" t="s">
        <v>8</v>
      </c>
      <c r="I2" s="80" t="s">
        <v>9</v>
      </c>
      <c r="J2" s="104" t="s">
        <v>10</v>
      </c>
      <c r="K2" s="105"/>
      <c r="L2" s="106"/>
      <c r="M2" s="105"/>
      <c r="N2" s="106"/>
      <c r="O2" s="107"/>
      <c r="P2" s="108"/>
      <c r="Q2" s="147" t="s">
        <v>11</v>
      </c>
      <c r="R2" s="148" t="s">
        <v>12</v>
      </c>
      <c r="S2" s="149"/>
      <c r="T2" s="150"/>
      <c r="U2" s="151"/>
      <c r="V2" s="152"/>
      <c r="W2" s="153" t="s">
        <v>13</v>
      </c>
      <c r="X2" s="154" t="s">
        <v>14</v>
      </c>
      <c r="Y2" s="173" t="s">
        <v>15</v>
      </c>
      <c r="Z2" s="173"/>
      <c r="AA2" s="173"/>
      <c r="AB2" s="173"/>
      <c r="AC2" s="174"/>
      <c r="AD2" s="173"/>
      <c r="AE2" s="175" t="s">
        <v>16</v>
      </c>
      <c r="AF2" s="176" t="s">
        <v>17</v>
      </c>
    </row>
    <row r="3" s="71" customFormat="1" ht="27" customHeight="1" spans="1:32">
      <c r="A3" s="81"/>
      <c r="B3" s="82"/>
      <c r="C3" s="77"/>
      <c r="D3" s="78"/>
      <c r="E3" s="83"/>
      <c r="F3" s="84"/>
      <c r="G3" s="84"/>
      <c r="H3" s="84"/>
      <c r="I3" s="84"/>
      <c r="J3" s="109" t="s">
        <v>18</v>
      </c>
      <c r="K3" s="110" t="s">
        <v>19</v>
      </c>
      <c r="L3" s="111" t="s">
        <v>20</v>
      </c>
      <c r="M3" s="110" t="s">
        <v>21</v>
      </c>
      <c r="N3" s="112" t="s">
        <v>22</v>
      </c>
      <c r="O3" s="113" t="s">
        <v>23</v>
      </c>
      <c r="P3" s="114" t="s">
        <v>24</v>
      </c>
      <c r="Q3" s="155"/>
      <c r="R3" s="156" t="s">
        <v>25</v>
      </c>
      <c r="S3" s="157" t="s">
        <v>26</v>
      </c>
      <c r="T3" s="158" t="s">
        <v>27</v>
      </c>
      <c r="U3" s="159" t="s">
        <v>28</v>
      </c>
      <c r="V3" s="158" t="s">
        <v>29</v>
      </c>
      <c r="W3" s="160"/>
      <c r="X3" s="161"/>
      <c r="Y3" s="177" t="s">
        <v>30</v>
      </c>
      <c r="Z3" s="177" t="s">
        <v>31</v>
      </c>
      <c r="AA3" s="177" t="s">
        <v>32</v>
      </c>
      <c r="AB3" s="178" t="s">
        <v>33</v>
      </c>
      <c r="AC3" s="179" t="s">
        <v>34</v>
      </c>
      <c r="AD3" s="180" t="s">
        <v>24</v>
      </c>
      <c r="AE3" s="181" t="s">
        <v>35</v>
      </c>
      <c r="AF3" s="182"/>
    </row>
    <row r="4" s="72" customFormat="1" ht="12.75" spans="1:32">
      <c r="A4" s="85"/>
      <c r="B4" s="86"/>
      <c r="C4" s="87">
        <v>240726000008</v>
      </c>
      <c r="D4" s="88">
        <v>45506</v>
      </c>
      <c r="E4" s="88" t="s">
        <v>78</v>
      </c>
      <c r="F4" s="86" t="s">
        <v>79</v>
      </c>
      <c r="G4" s="236" t="s">
        <v>80</v>
      </c>
      <c r="H4" s="236">
        <v>0.835</v>
      </c>
      <c r="I4" s="236">
        <v>1254</v>
      </c>
      <c r="J4" s="239"/>
      <c r="K4" s="240">
        <v>1830068.49</v>
      </c>
      <c r="L4" s="241"/>
      <c r="M4" s="242">
        <v>1711</v>
      </c>
      <c r="N4" s="243">
        <v>1069.59</v>
      </c>
      <c r="O4" s="236">
        <v>7.12</v>
      </c>
      <c r="P4" s="239">
        <v>7615.4808</v>
      </c>
      <c r="Q4" s="244"/>
      <c r="R4" s="244"/>
      <c r="S4" s="245">
        <v>722.852132352941</v>
      </c>
      <c r="T4" s="245"/>
      <c r="U4" s="245">
        <v>24.5588235294118</v>
      </c>
      <c r="V4" s="245"/>
      <c r="W4" s="245"/>
      <c r="X4" s="246">
        <v>747.410955882353</v>
      </c>
      <c r="Y4" s="247">
        <v>124.242965441176</v>
      </c>
      <c r="Z4" s="247">
        <v>284.87</v>
      </c>
      <c r="AA4" s="247">
        <v>1.12295220588235</v>
      </c>
      <c r="AB4" s="247">
        <v>410.235917647059</v>
      </c>
      <c r="AC4" s="248">
        <v>7.15</v>
      </c>
      <c r="AD4" s="245">
        <v>2933.18681117647</v>
      </c>
      <c r="AE4" s="245">
        <v>3680.59776705882</v>
      </c>
      <c r="AF4" s="246">
        <v>3934.88303294118</v>
      </c>
    </row>
    <row r="5" s="72" customFormat="1" ht="12.75" spans="1:34">
      <c r="A5" s="85"/>
      <c r="B5" s="86"/>
      <c r="C5" s="87">
        <v>240724000026</v>
      </c>
      <c r="D5" s="88">
        <v>45506</v>
      </c>
      <c r="E5" s="88" t="s">
        <v>78</v>
      </c>
      <c r="F5" s="86" t="s">
        <v>79</v>
      </c>
      <c r="G5" s="236" t="s">
        <v>80</v>
      </c>
      <c r="H5" s="236">
        <v>3.0722</v>
      </c>
      <c r="I5" s="236">
        <v>4949</v>
      </c>
      <c r="J5" s="239"/>
      <c r="K5" s="240">
        <v>1723658</v>
      </c>
      <c r="L5" s="241"/>
      <c r="M5" s="242">
        <v>1711.01360942634</v>
      </c>
      <c r="N5" s="243">
        <v>1007.39</v>
      </c>
      <c r="O5" s="236">
        <v>7.12</v>
      </c>
      <c r="P5" s="239">
        <v>7172.6168</v>
      </c>
      <c r="Q5" s="244"/>
      <c r="R5" s="244"/>
      <c r="S5" s="245">
        <v>2659.57643235294</v>
      </c>
      <c r="T5" s="245"/>
      <c r="U5" s="245">
        <v>90.3588235294118</v>
      </c>
      <c r="V5" s="245"/>
      <c r="W5" s="245"/>
      <c r="X5" s="246">
        <v>2749.93525588235</v>
      </c>
      <c r="Y5" s="247">
        <v>457.124836441176</v>
      </c>
      <c r="Z5" s="247"/>
      <c r="AA5" s="247">
        <v>4.13165720588235</v>
      </c>
      <c r="AB5" s="247">
        <v>461.256493647059</v>
      </c>
      <c r="AC5" s="248">
        <v>7.15</v>
      </c>
      <c r="AD5" s="245">
        <v>3297.98392957647</v>
      </c>
      <c r="AE5" s="245">
        <v>6047.91918545882</v>
      </c>
      <c r="AF5" s="246">
        <v>1124.69761454118</v>
      </c>
      <c r="AG5" s="228">
        <f>SUM(AF4:AF5)</f>
        <v>5059.58064748236</v>
      </c>
      <c r="AH5" s="228">
        <f>SUM(AG5/2)</f>
        <v>2529.79032374118</v>
      </c>
    </row>
    <row r="6" s="72" customFormat="1" ht="12.75" spans="1:32">
      <c r="A6" s="85"/>
      <c r="B6" s="86"/>
      <c r="C6" s="87">
        <v>240729000017</v>
      </c>
      <c r="D6" s="88">
        <v>45506</v>
      </c>
      <c r="E6" s="88" t="s">
        <v>78</v>
      </c>
      <c r="F6" s="86" t="s">
        <v>79</v>
      </c>
      <c r="G6" s="86" t="s">
        <v>81</v>
      </c>
      <c r="H6" s="86">
        <v>1.1178</v>
      </c>
      <c r="I6" s="86">
        <v>1055</v>
      </c>
      <c r="J6" s="119"/>
      <c r="K6" s="122">
        <v>776250</v>
      </c>
      <c r="L6" s="117"/>
      <c r="M6" s="118">
        <v>1725</v>
      </c>
      <c r="N6" s="120">
        <v>450</v>
      </c>
      <c r="O6" s="86">
        <v>7.12</v>
      </c>
      <c r="P6" s="119">
        <v>3204</v>
      </c>
      <c r="Q6" s="162"/>
      <c r="R6" s="162"/>
      <c r="S6" s="121">
        <v>967.669597058823</v>
      </c>
      <c r="T6" s="121"/>
      <c r="U6" s="121">
        <v>32.8764705882353</v>
      </c>
      <c r="V6" s="121"/>
      <c r="W6" s="121"/>
      <c r="X6" s="164">
        <v>1000.54606764706</v>
      </c>
      <c r="Y6" s="183">
        <v>166.321900323529</v>
      </c>
      <c r="Z6" s="183"/>
      <c r="AA6" s="183">
        <v>1.50327661764706</v>
      </c>
      <c r="AB6" s="183">
        <v>167.825176941176</v>
      </c>
      <c r="AC6" s="116">
        <v>7.15</v>
      </c>
      <c r="AD6" s="121">
        <v>1199.95001512941</v>
      </c>
      <c r="AE6" s="121">
        <v>2200.49608277647</v>
      </c>
      <c r="AF6" s="164">
        <v>1003.50391722353</v>
      </c>
    </row>
    <row r="7" s="72" customFormat="1" ht="12.75" spans="1:32">
      <c r="A7" s="85"/>
      <c r="B7" s="86"/>
      <c r="C7" s="87">
        <v>240801000022</v>
      </c>
      <c r="D7" s="88">
        <v>45506</v>
      </c>
      <c r="E7" s="88" t="s">
        <v>78</v>
      </c>
      <c r="F7" s="86" t="s">
        <v>79</v>
      </c>
      <c r="G7" s="86" t="s">
        <v>82</v>
      </c>
      <c r="H7" s="86">
        <v>1.8732</v>
      </c>
      <c r="I7" s="86">
        <v>1420</v>
      </c>
      <c r="J7" s="119"/>
      <c r="K7" s="122">
        <v>1129654.4</v>
      </c>
      <c r="L7" s="117"/>
      <c r="M7" s="118">
        <v>1739</v>
      </c>
      <c r="N7" s="120">
        <v>649.6</v>
      </c>
      <c r="O7" s="86">
        <v>7.06</v>
      </c>
      <c r="P7" s="119">
        <v>4586.176</v>
      </c>
      <c r="Q7" s="162"/>
      <c r="R7" s="162"/>
      <c r="S7" s="121">
        <v>1621.61271176471</v>
      </c>
      <c r="T7" s="121"/>
      <c r="U7" s="121">
        <v>55.0941176470588</v>
      </c>
      <c r="V7" s="121"/>
      <c r="W7" s="121"/>
      <c r="X7" s="164">
        <v>1676.70682941176</v>
      </c>
      <c r="Y7" s="183">
        <v>278.720865705882</v>
      </c>
      <c r="Z7" s="183"/>
      <c r="AA7" s="183">
        <v>2.51917852941176</v>
      </c>
      <c r="AB7" s="183">
        <v>281.240044235294</v>
      </c>
      <c r="AC7" s="116">
        <v>7.15</v>
      </c>
      <c r="AD7" s="121">
        <v>2010.86631628235</v>
      </c>
      <c r="AE7" s="121">
        <v>3687.57314569412</v>
      </c>
      <c r="AF7" s="164">
        <v>898.602854305883</v>
      </c>
    </row>
    <row r="8" s="72" customFormat="1" ht="12.75" spans="1:32">
      <c r="A8" s="85"/>
      <c r="B8" s="86"/>
      <c r="C8" s="87">
        <v>240724000012</v>
      </c>
      <c r="D8" s="88">
        <v>45511</v>
      </c>
      <c r="E8" s="88" t="s">
        <v>78</v>
      </c>
      <c r="F8" s="86" t="s">
        <v>79</v>
      </c>
      <c r="G8" s="86" t="s">
        <v>83</v>
      </c>
      <c r="H8" s="86">
        <v>5.7046</v>
      </c>
      <c r="I8" s="86">
        <v>942</v>
      </c>
      <c r="J8" s="115">
        <v>14778</v>
      </c>
      <c r="K8" s="116"/>
      <c r="L8" s="117"/>
      <c r="M8" s="118"/>
      <c r="N8" s="117"/>
      <c r="O8" s="86"/>
      <c r="P8" s="121">
        <v>14778</v>
      </c>
      <c r="Q8" s="162"/>
      <c r="R8" s="162"/>
      <c r="S8" s="121">
        <v>4961.09347573529</v>
      </c>
      <c r="T8" s="121"/>
      <c r="U8" s="121">
        <v>121.642205882353</v>
      </c>
      <c r="V8" s="121">
        <v>1400</v>
      </c>
      <c r="W8" s="121"/>
      <c r="X8" s="164">
        <v>6482.73568161765</v>
      </c>
      <c r="Y8" s="184">
        <v>883.290197058824</v>
      </c>
      <c r="Z8" s="183"/>
      <c r="AA8" s="183">
        <v>21.7764715882353</v>
      </c>
      <c r="AB8" s="183">
        <v>905.066668647059</v>
      </c>
      <c r="AC8" s="116">
        <v>7.09</v>
      </c>
      <c r="AD8" s="121">
        <v>6416.92268070765</v>
      </c>
      <c r="AE8" s="121">
        <v>12899.6583623253</v>
      </c>
      <c r="AF8" s="164">
        <v>1878.3416376747</v>
      </c>
    </row>
    <row r="9" s="72" customFormat="1" ht="12.75" spans="1:32">
      <c r="A9" s="85"/>
      <c r="B9" s="86"/>
      <c r="C9" s="87">
        <v>240802000009</v>
      </c>
      <c r="D9" s="88">
        <v>45511</v>
      </c>
      <c r="E9" s="88" t="s">
        <v>78</v>
      </c>
      <c r="F9" s="86" t="s">
        <v>79</v>
      </c>
      <c r="G9" s="86" t="s">
        <v>84</v>
      </c>
      <c r="H9" s="86">
        <v>0.1283</v>
      </c>
      <c r="I9" s="86">
        <v>12.76</v>
      </c>
      <c r="J9" s="115">
        <v>327.6</v>
      </c>
      <c r="K9" s="116"/>
      <c r="L9" s="117"/>
      <c r="M9" s="118"/>
      <c r="N9" s="117"/>
      <c r="O9" s="86"/>
      <c r="P9" s="121">
        <v>327.6</v>
      </c>
      <c r="Q9" s="162"/>
      <c r="R9" s="162"/>
      <c r="S9" s="121">
        <v>111.578076102941</v>
      </c>
      <c r="T9" s="121"/>
      <c r="U9" s="121">
        <v>2.73580882352941</v>
      </c>
      <c r="V9" s="121"/>
      <c r="W9" s="121"/>
      <c r="X9" s="164">
        <v>114.313884926471</v>
      </c>
      <c r="Y9" s="184">
        <v>19.8657455882353</v>
      </c>
      <c r="Z9" s="183"/>
      <c r="AA9" s="183">
        <v>0.489766382352941</v>
      </c>
      <c r="AB9" s="183">
        <v>20.3555119705882</v>
      </c>
      <c r="AC9" s="116">
        <v>7.09</v>
      </c>
      <c r="AD9" s="121">
        <v>144.320579871471</v>
      </c>
      <c r="AE9" s="121">
        <v>258.634464797941</v>
      </c>
      <c r="AF9" s="164">
        <v>68.965535202059</v>
      </c>
    </row>
    <row r="10" s="72" customFormat="1" ht="12.75" spans="1:32">
      <c r="A10" s="85"/>
      <c r="B10" s="86"/>
      <c r="C10" s="87">
        <v>240809000038</v>
      </c>
      <c r="D10" s="88">
        <v>45534</v>
      </c>
      <c r="E10" s="88" t="s">
        <v>78</v>
      </c>
      <c r="F10" s="86" t="s">
        <v>79</v>
      </c>
      <c r="G10" s="86" t="s">
        <v>85</v>
      </c>
      <c r="H10" s="86">
        <v>2.0316</v>
      </c>
      <c r="I10" s="86">
        <v>173</v>
      </c>
      <c r="J10" s="115">
        <v>4667</v>
      </c>
      <c r="K10" s="116"/>
      <c r="L10" s="117"/>
      <c r="M10" s="118"/>
      <c r="N10" s="117"/>
      <c r="O10" s="86"/>
      <c r="P10" s="119">
        <v>4667</v>
      </c>
      <c r="Q10" s="162"/>
      <c r="R10" s="162"/>
      <c r="S10" s="121">
        <v>1719.24896911765</v>
      </c>
      <c r="T10" s="121"/>
      <c r="U10" s="121">
        <v>62.7405882352941</v>
      </c>
      <c r="V10" s="121"/>
      <c r="W10" s="121"/>
      <c r="X10" s="164">
        <v>1781.98955735294</v>
      </c>
      <c r="Y10" s="184">
        <v>311.223194117647</v>
      </c>
      <c r="Z10" s="183"/>
      <c r="AA10" s="183"/>
      <c r="AB10" s="183">
        <v>311.223194117647</v>
      </c>
      <c r="AC10" s="116">
        <v>7.07</v>
      </c>
      <c r="AD10" s="121">
        <v>2200.34798241176</v>
      </c>
      <c r="AE10" s="121">
        <v>3982.33753976471</v>
      </c>
      <c r="AF10" s="164">
        <v>684.66246023529</v>
      </c>
    </row>
    <row r="11" s="72" customFormat="1" ht="12.75" spans="1:32">
      <c r="A11" s="85"/>
      <c r="B11" s="86"/>
      <c r="C11" s="87">
        <v>240815000041</v>
      </c>
      <c r="D11" s="88">
        <v>45516</v>
      </c>
      <c r="E11" s="88" t="s">
        <v>78</v>
      </c>
      <c r="F11" s="86" t="s">
        <v>79</v>
      </c>
      <c r="G11" s="86" t="s">
        <v>86</v>
      </c>
      <c r="H11" s="86">
        <v>6.6096</v>
      </c>
      <c r="I11" s="86">
        <v>2430</v>
      </c>
      <c r="J11" s="115">
        <v>20266.26</v>
      </c>
      <c r="K11" s="116"/>
      <c r="L11" s="117"/>
      <c r="M11" s="118"/>
      <c r="N11" s="117"/>
      <c r="O11" s="86"/>
      <c r="P11" s="119">
        <v>20266.26</v>
      </c>
      <c r="Q11" s="162"/>
      <c r="R11" s="162"/>
      <c r="S11" s="121">
        <v>5176.7748</v>
      </c>
      <c r="T11" s="121"/>
      <c r="U11" s="121">
        <v>126.36</v>
      </c>
      <c r="V11" s="121"/>
      <c r="W11" s="121"/>
      <c r="X11" s="164">
        <v>5303.1348</v>
      </c>
      <c r="Y11" s="183">
        <v>1043.681112</v>
      </c>
      <c r="Z11" s="183"/>
      <c r="AA11" s="183"/>
      <c r="AB11" s="183">
        <v>1043.681112</v>
      </c>
      <c r="AC11" s="116">
        <v>7.06</v>
      </c>
      <c r="AD11" s="121">
        <v>7368.38865072</v>
      </c>
      <c r="AE11" s="121">
        <v>12671.52345072</v>
      </c>
      <c r="AF11" s="164">
        <v>7594.73654928</v>
      </c>
    </row>
    <row r="12" s="72" customFormat="1" ht="12.75" spans="1:32">
      <c r="A12" s="85"/>
      <c r="B12" s="86"/>
      <c r="C12" s="87">
        <v>240819000004</v>
      </c>
      <c r="D12" s="88">
        <v>45532</v>
      </c>
      <c r="E12" s="88" t="s">
        <v>78</v>
      </c>
      <c r="F12" s="86" t="s">
        <v>79</v>
      </c>
      <c r="G12" s="86" t="s">
        <v>85</v>
      </c>
      <c r="H12" s="86">
        <v>4.6</v>
      </c>
      <c r="I12" s="86">
        <v>2063</v>
      </c>
      <c r="J12" s="115">
        <v>9940</v>
      </c>
      <c r="K12" s="116"/>
      <c r="L12" s="117"/>
      <c r="M12" s="118"/>
      <c r="N12" s="117"/>
      <c r="O12" s="86"/>
      <c r="P12" s="119">
        <v>9940</v>
      </c>
      <c r="Q12" s="162"/>
      <c r="R12" s="162"/>
      <c r="S12" s="121">
        <v>3602.81470588235</v>
      </c>
      <c r="T12" s="121"/>
      <c r="U12" s="121">
        <v>87.9411764705882</v>
      </c>
      <c r="V12" s="121"/>
      <c r="W12" s="121"/>
      <c r="X12" s="164">
        <v>3690.75588235294</v>
      </c>
      <c r="Y12" s="183">
        <v>726.357588235294</v>
      </c>
      <c r="Z12" s="183"/>
      <c r="AA12" s="183"/>
      <c r="AB12" s="183">
        <v>726.357588235294</v>
      </c>
      <c r="AC12" s="116">
        <v>7.06</v>
      </c>
      <c r="AD12" s="121">
        <v>5128.08457294117</v>
      </c>
      <c r="AE12" s="121">
        <v>8818.84045529412</v>
      </c>
      <c r="AF12" s="164">
        <v>1121.15954470588</v>
      </c>
    </row>
    <row r="13" s="72" customFormat="1" ht="12.75" spans="1:32">
      <c r="A13" s="85"/>
      <c r="B13" s="86"/>
      <c r="C13" s="87">
        <v>240819000004</v>
      </c>
      <c r="D13" s="88">
        <v>45532</v>
      </c>
      <c r="E13" s="88" t="s">
        <v>78</v>
      </c>
      <c r="F13" s="86" t="s">
        <v>79</v>
      </c>
      <c r="G13" s="86" t="s">
        <v>85</v>
      </c>
      <c r="H13" s="86">
        <v>0.0982</v>
      </c>
      <c r="I13" s="86">
        <v>59</v>
      </c>
      <c r="J13" s="115">
        <v>212</v>
      </c>
      <c r="K13" s="116"/>
      <c r="L13" s="117"/>
      <c r="M13" s="118"/>
      <c r="N13" s="117"/>
      <c r="O13" s="86"/>
      <c r="P13" s="119">
        <v>212</v>
      </c>
      <c r="Q13" s="162"/>
      <c r="R13" s="162"/>
      <c r="S13" s="121">
        <v>76.3310044117647</v>
      </c>
      <c r="T13" s="121"/>
      <c r="U13" s="121">
        <v>2.16617647058824</v>
      </c>
      <c r="V13" s="121"/>
      <c r="W13" s="121"/>
      <c r="X13" s="164">
        <v>78.4971808823529</v>
      </c>
      <c r="Y13" s="183">
        <v>15.5061554705882</v>
      </c>
      <c r="Z13" s="183"/>
      <c r="AA13" s="183">
        <v>0.357837911764706</v>
      </c>
      <c r="AB13" s="183">
        <v>15.8639933823529</v>
      </c>
      <c r="AC13" s="116">
        <v>7.12</v>
      </c>
      <c r="AD13" s="121">
        <v>112.951632882353</v>
      </c>
      <c r="AE13" s="121">
        <v>191.448813764706</v>
      </c>
      <c r="AF13" s="164">
        <v>20.551186235294</v>
      </c>
    </row>
    <row r="14" customFormat="1" spans="1:32">
      <c r="A14" s="237" t="s">
        <v>59</v>
      </c>
      <c r="B14" s="238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88"/>
      <c r="AC14" s="188"/>
      <c r="AD14" s="188"/>
      <c r="AE14" s="188"/>
      <c r="AF14" s="188">
        <f>SUM(AF4:AF13)</f>
        <v>18330.104332345</v>
      </c>
    </row>
    <row r="15" s="191" customFormat="1" ht="22" customHeight="1" spans="1:32">
      <c r="A15" s="1"/>
      <c r="B15" s="1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205"/>
      <c r="T15" s="205"/>
      <c r="U15" s="205"/>
      <c r="V15" s="205"/>
      <c r="W15" s="205"/>
      <c r="X15" s="205"/>
      <c r="Y15" s="205"/>
      <c r="AF15" s="199">
        <v>2529.79032374118</v>
      </c>
    </row>
    <row r="16" s="1" customFormat="1" ht="23" customHeight="1" spans="3:32">
      <c r="C16" s="95" t="s">
        <v>60</v>
      </c>
      <c r="D16" s="95"/>
      <c r="E16" s="95"/>
      <c r="F16" s="96" t="s">
        <v>61</v>
      </c>
      <c r="G16" s="97"/>
      <c r="H16" s="97"/>
      <c r="I16" s="124"/>
      <c r="J16"/>
      <c r="K16" s="129" t="s">
        <v>87</v>
      </c>
      <c r="L16" s="129"/>
      <c r="M16" s="129"/>
      <c r="N16" s="129"/>
      <c r="O16"/>
      <c r="P16"/>
      <c r="AF16" s="66">
        <f>SUM(AF14-AF15)</f>
        <v>15800.3140086038</v>
      </c>
    </row>
    <row r="17" s="1" customFormat="1" ht="23" customHeight="1" spans="3:16">
      <c r="C17" s="95"/>
      <c r="D17" s="95"/>
      <c r="E17" s="95"/>
      <c r="F17" s="98"/>
      <c r="G17" s="99"/>
      <c r="H17" s="99"/>
      <c r="I17" s="128"/>
      <c r="J17"/>
      <c r="K17" s="220" t="s">
        <v>63</v>
      </c>
      <c r="L17" s="220" t="s">
        <v>8</v>
      </c>
      <c r="M17" s="220" t="s">
        <v>64</v>
      </c>
      <c r="N17" s="220" t="s">
        <v>88</v>
      </c>
      <c r="O17"/>
      <c r="P17"/>
    </row>
    <row r="18" s="1" customFormat="1" ht="23" customHeight="1" spans="3:16">
      <c r="C18" s="95" t="s">
        <v>65</v>
      </c>
      <c r="D18" s="95"/>
      <c r="E18" s="95"/>
      <c r="F18" s="100" t="s">
        <v>66</v>
      </c>
      <c r="G18" s="101"/>
      <c r="H18" s="101"/>
      <c r="I18" s="130"/>
      <c r="J18"/>
      <c r="K18" s="129" t="s">
        <v>67</v>
      </c>
      <c r="L18" s="131">
        <f>SUM(H4:H13)</f>
        <v>26.0705</v>
      </c>
      <c r="M18" s="132">
        <v>15800.3140086038</v>
      </c>
      <c r="N18" s="221" t="s">
        <v>89</v>
      </c>
      <c r="O18"/>
      <c r="P18"/>
    </row>
    <row r="19" s="1" customFormat="1" ht="23" customHeight="1" spans="3:16">
      <c r="C19" s="95"/>
      <c r="D19" s="95"/>
      <c r="E19" s="95"/>
      <c r="F19" s="102"/>
      <c r="G19" s="103"/>
      <c r="H19" s="103"/>
      <c r="I19" s="133"/>
      <c r="J19"/>
      <c r="K19" s="144" t="s">
        <v>72</v>
      </c>
      <c r="L19" s="144"/>
      <c r="M19" s="146">
        <v>2000</v>
      </c>
      <c r="N19" s="222"/>
      <c r="O19"/>
      <c r="P19"/>
    </row>
    <row r="20" s="1" customFormat="1" ht="23" customHeight="1" spans="3:16">
      <c r="C20" s="95" t="s">
        <v>69</v>
      </c>
      <c r="D20" s="95"/>
      <c r="E20" s="95"/>
      <c r="F20" s="100" t="s">
        <v>70</v>
      </c>
      <c r="G20" s="101"/>
      <c r="H20" s="101"/>
      <c r="I20" s="130"/>
      <c r="J20"/>
      <c r="K20" s="206" t="s">
        <v>71</v>
      </c>
      <c r="L20" s="206"/>
      <c r="M20" s="207">
        <f>SUM(M18-M19)</f>
        <v>13800.3140086038</v>
      </c>
      <c r="N20" s="222"/>
      <c r="O20"/>
      <c r="P20"/>
    </row>
    <row r="21" s="1" customFormat="1" ht="23" customHeight="1" spans="3:16">
      <c r="C21" s="95"/>
      <c r="D21" s="95"/>
      <c r="E21" s="95"/>
      <c r="F21" s="102"/>
      <c r="G21" s="103"/>
      <c r="H21" s="103"/>
      <c r="I21" s="133"/>
      <c r="J21"/>
      <c r="K21" s="129" t="s">
        <v>90</v>
      </c>
      <c r="L21" s="129"/>
      <c r="M21" s="129">
        <v>0.1</v>
      </c>
      <c r="N21" s="222"/>
      <c r="O21"/>
      <c r="P21"/>
    </row>
    <row r="22" s="1" customFormat="1" ht="23" customHeight="1" spans="5:16">
      <c r="E22"/>
      <c r="F22"/>
      <c r="G22"/>
      <c r="H22"/>
      <c r="I22"/>
      <c r="J22"/>
      <c r="K22" s="144" t="s">
        <v>74</v>
      </c>
      <c r="L22" s="144"/>
      <c r="M22" s="146">
        <f>SUM(M20*M21)</f>
        <v>1380.03140086038</v>
      </c>
      <c r="N22" s="223"/>
      <c r="O22"/>
      <c r="P22"/>
    </row>
    <row r="23" s="1" customFormat="1" ht="23" customHeight="1" spans="5:16">
      <c r="E23"/>
      <c r="F23"/>
      <c r="G23"/>
      <c r="H23"/>
      <c r="I23"/>
      <c r="J23"/>
      <c r="K23"/>
      <c r="L23"/>
      <c r="M23"/>
      <c r="N23"/>
      <c r="O23"/>
      <c r="P23"/>
    </row>
    <row r="24" s="1" customFormat="1" ht="23" customHeight="1" spans="5:15">
      <c r="E24"/>
      <c r="F24"/>
      <c r="G24"/>
      <c r="H24"/>
      <c r="I24"/>
      <c r="J24"/>
      <c r="K24" s="143"/>
      <c r="L24" s="143"/>
      <c r="M24" s="143"/>
      <c r="N24" s="143"/>
      <c r="O24" s="143"/>
    </row>
    <row r="25" s="1" customFormat="1" ht="23" customHeight="1" spans="5:13">
      <c r="E25"/>
      <c r="F25"/>
      <c r="G25"/>
      <c r="H25"/>
      <c r="I25"/>
      <c r="J25"/>
      <c r="K25"/>
      <c r="L25"/>
      <c r="M25"/>
    </row>
    <row r="26" s="1" customFormat="1" ht="23" customHeight="1" spans="5:19">
      <c r="E26"/>
      <c r="F26"/>
      <c r="G26"/>
      <c r="H26"/>
      <c r="I26"/>
      <c r="J26"/>
      <c r="K26"/>
      <c r="L26"/>
      <c r="M26"/>
      <c r="O26"/>
      <c r="P26"/>
      <c r="Q26"/>
      <c r="R26"/>
      <c r="S26" s="36"/>
    </row>
    <row r="27" ht="21" customHeight="1"/>
    <row r="28" ht="21" customHeight="1"/>
  </sheetData>
  <mergeCells count="25">
    <mergeCell ref="J2:P2"/>
    <mergeCell ref="R2:V2"/>
    <mergeCell ref="Y2:AD2"/>
    <mergeCell ref="A14:B14"/>
    <mergeCell ref="K16:N1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8:N22"/>
    <mergeCell ref="Q2:Q3"/>
    <mergeCell ref="W2:W3"/>
    <mergeCell ref="X2:X3"/>
    <mergeCell ref="AF2:AF3"/>
    <mergeCell ref="C20:E21"/>
    <mergeCell ref="F20:I21"/>
    <mergeCell ref="C18:E19"/>
    <mergeCell ref="F18:I19"/>
    <mergeCell ref="C16:E17"/>
    <mergeCell ref="F16:I17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pane xSplit="14" ySplit="3" topLeftCell="O14" activePane="bottomRight" state="frozen"/>
      <selection/>
      <selection pane="topRight"/>
      <selection pane="bottomLeft"/>
      <selection pane="bottomRight" activeCell="O30" sqref="O30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10"/>
    <col min="12" max="13" width="13.625"/>
    <col min="14" max="14" width="11.375"/>
    <col min="15" max="16" width="14.75"/>
    <col min="17" max="17" width="10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375"/>
  </cols>
  <sheetData>
    <row r="1" customFormat="1" ht="24" customHeight="1" spans="1:1">
      <c r="A1" s="74" t="s">
        <v>0</v>
      </c>
    </row>
    <row r="2" s="71" customFormat="1" ht="23" customHeight="1" spans="1:32">
      <c r="A2" s="75" t="s">
        <v>1</v>
      </c>
      <c r="B2" s="76" t="s">
        <v>2</v>
      </c>
      <c r="C2" s="77" t="s">
        <v>3</v>
      </c>
      <c r="D2" s="78" t="s">
        <v>4</v>
      </c>
      <c r="E2" s="79" t="s">
        <v>5</v>
      </c>
      <c r="F2" s="80" t="s">
        <v>6</v>
      </c>
      <c r="G2" s="80" t="s">
        <v>7</v>
      </c>
      <c r="H2" s="80" t="s">
        <v>8</v>
      </c>
      <c r="I2" s="80" t="s">
        <v>9</v>
      </c>
      <c r="J2" s="104" t="s">
        <v>10</v>
      </c>
      <c r="K2" s="105"/>
      <c r="L2" s="106"/>
      <c r="M2" s="105"/>
      <c r="N2" s="106"/>
      <c r="O2" s="107"/>
      <c r="P2" s="108"/>
      <c r="Q2" s="147" t="s">
        <v>11</v>
      </c>
      <c r="R2" s="148" t="s">
        <v>12</v>
      </c>
      <c r="S2" s="149"/>
      <c r="T2" s="150"/>
      <c r="U2" s="151"/>
      <c r="V2" s="152"/>
      <c r="W2" s="153" t="s">
        <v>13</v>
      </c>
      <c r="X2" s="154" t="s">
        <v>14</v>
      </c>
      <c r="Y2" s="173" t="s">
        <v>15</v>
      </c>
      <c r="Z2" s="173"/>
      <c r="AA2" s="173"/>
      <c r="AB2" s="173"/>
      <c r="AC2" s="174"/>
      <c r="AD2" s="173"/>
      <c r="AE2" s="175" t="s">
        <v>16</v>
      </c>
      <c r="AF2" s="176" t="s">
        <v>17</v>
      </c>
    </row>
    <row r="3" s="71" customFormat="1" ht="27" customHeight="1" spans="1:32">
      <c r="A3" s="81"/>
      <c r="B3" s="82"/>
      <c r="C3" s="77"/>
      <c r="D3" s="78"/>
      <c r="E3" s="83"/>
      <c r="F3" s="84"/>
      <c r="G3" s="84"/>
      <c r="H3" s="84"/>
      <c r="I3" s="84"/>
      <c r="J3" s="109" t="s">
        <v>18</v>
      </c>
      <c r="K3" s="110" t="s">
        <v>19</v>
      </c>
      <c r="L3" s="111" t="s">
        <v>20</v>
      </c>
      <c r="M3" s="110" t="s">
        <v>21</v>
      </c>
      <c r="N3" s="112" t="s">
        <v>22</v>
      </c>
      <c r="O3" s="113" t="s">
        <v>23</v>
      </c>
      <c r="P3" s="114" t="s">
        <v>24</v>
      </c>
      <c r="Q3" s="155"/>
      <c r="R3" s="156" t="s">
        <v>25</v>
      </c>
      <c r="S3" s="157" t="s">
        <v>26</v>
      </c>
      <c r="T3" s="158" t="s">
        <v>27</v>
      </c>
      <c r="U3" s="159" t="s">
        <v>28</v>
      </c>
      <c r="V3" s="158" t="s">
        <v>29</v>
      </c>
      <c r="W3" s="160"/>
      <c r="X3" s="161"/>
      <c r="Y3" s="177" t="s">
        <v>30</v>
      </c>
      <c r="Z3" s="177" t="s">
        <v>31</v>
      </c>
      <c r="AA3" s="177" t="s">
        <v>32</v>
      </c>
      <c r="AB3" s="178" t="s">
        <v>33</v>
      </c>
      <c r="AC3" s="179" t="s">
        <v>34</v>
      </c>
      <c r="AD3" s="180" t="s">
        <v>24</v>
      </c>
      <c r="AE3" s="181" t="s">
        <v>35</v>
      </c>
      <c r="AF3" s="182"/>
    </row>
    <row r="4" s="72" customFormat="1" ht="25.5" spans="1:32">
      <c r="A4" s="85" t="s">
        <v>91</v>
      </c>
      <c r="B4" s="86" t="s">
        <v>92</v>
      </c>
      <c r="C4" s="87">
        <v>240719000024</v>
      </c>
      <c r="D4" s="88">
        <v>45505</v>
      </c>
      <c r="E4" s="88" t="s">
        <v>93</v>
      </c>
      <c r="F4" s="86" t="s">
        <v>94</v>
      </c>
      <c r="G4" s="86" t="s">
        <v>94</v>
      </c>
      <c r="H4" s="86">
        <v>0.0423</v>
      </c>
      <c r="I4" s="86">
        <v>12.5</v>
      </c>
      <c r="J4" s="115">
        <v>356</v>
      </c>
      <c r="K4" s="116"/>
      <c r="L4" s="117"/>
      <c r="M4" s="118"/>
      <c r="N4" s="117"/>
      <c r="O4" s="86"/>
      <c r="P4" s="119">
        <v>356</v>
      </c>
      <c r="Q4" s="166">
        <v>11754.549688</v>
      </c>
      <c r="R4" s="167" t="s">
        <v>95</v>
      </c>
      <c r="S4" s="121">
        <v>36.4708545042903</v>
      </c>
      <c r="T4" s="121"/>
      <c r="U4" s="121">
        <v>0.882659365325885</v>
      </c>
      <c r="V4" s="121"/>
      <c r="W4" s="121"/>
      <c r="X4" s="164">
        <v>37.3535138696162</v>
      </c>
      <c r="Y4" s="183">
        <v>6.45349459777293</v>
      </c>
      <c r="Z4" s="183">
        <v>9.09</v>
      </c>
      <c r="AA4" s="183"/>
      <c r="AB4" s="183">
        <v>15.5434945977729</v>
      </c>
      <c r="AC4" s="116">
        <v>7.08</v>
      </c>
      <c r="AD4" s="121">
        <v>110.047941752232</v>
      </c>
      <c r="AE4" s="121">
        <v>147.401455621849</v>
      </c>
      <c r="AF4" s="164">
        <v>208.598544378151</v>
      </c>
    </row>
    <row r="5" s="72" customFormat="1" ht="12.75" spans="1:32">
      <c r="A5" s="85"/>
      <c r="B5" s="86"/>
      <c r="C5" s="87">
        <v>240719000037</v>
      </c>
      <c r="D5" s="88">
        <v>45506</v>
      </c>
      <c r="E5" s="88" t="s">
        <v>93</v>
      </c>
      <c r="F5" s="86" t="s">
        <v>96</v>
      </c>
      <c r="G5" s="86" t="s">
        <v>97</v>
      </c>
      <c r="H5" s="86">
        <v>0.9193</v>
      </c>
      <c r="I5" s="86">
        <v>430</v>
      </c>
      <c r="J5" s="119"/>
      <c r="K5" s="122">
        <v>579841.5</v>
      </c>
      <c r="L5" s="117"/>
      <c r="M5" s="118">
        <v>1744.56629659717</v>
      </c>
      <c r="N5" s="120">
        <v>332.37</v>
      </c>
      <c r="O5" s="86">
        <v>7.12</v>
      </c>
      <c r="P5" s="119">
        <v>2366.4744</v>
      </c>
      <c r="Q5" s="162"/>
      <c r="R5" s="162"/>
      <c r="S5" s="121">
        <v>795.829898529412</v>
      </c>
      <c r="T5" s="121"/>
      <c r="U5" s="121">
        <v>27.0382352941176</v>
      </c>
      <c r="V5" s="121"/>
      <c r="W5" s="121"/>
      <c r="X5" s="164">
        <v>822.868133823529</v>
      </c>
      <c r="Y5" s="183">
        <v>136.786297161765</v>
      </c>
      <c r="Z5" s="183"/>
      <c r="AA5" s="183">
        <v>1.23632330882353</v>
      </c>
      <c r="AB5" s="183">
        <v>138.022620470588</v>
      </c>
      <c r="AC5" s="116">
        <v>7.15</v>
      </c>
      <c r="AD5" s="121">
        <v>986.861736364706</v>
      </c>
      <c r="AE5" s="121">
        <v>1809.72987018824</v>
      </c>
      <c r="AF5" s="164">
        <v>556.744529811765</v>
      </c>
    </row>
    <row r="6" s="72" customFormat="1" ht="12.75" spans="1:32">
      <c r="A6" s="85"/>
      <c r="B6" s="86"/>
      <c r="C6" s="87">
        <v>240630000010</v>
      </c>
      <c r="D6" s="88">
        <v>45511</v>
      </c>
      <c r="E6" s="88" t="s">
        <v>93</v>
      </c>
      <c r="F6" s="86" t="s">
        <v>96</v>
      </c>
      <c r="G6" s="86" t="s">
        <v>98</v>
      </c>
      <c r="H6" s="192">
        <v>1.6128</v>
      </c>
      <c r="I6" s="86">
        <v>637</v>
      </c>
      <c r="J6" s="115">
        <v>3432</v>
      </c>
      <c r="K6" s="116"/>
      <c r="L6" s="117"/>
      <c r="M6" s="118"/>
      <c r="N6" s="117"/>
      <c r="O6" s="86"/>
      <c r="P6" s="119">
        <v>3432</v>
      </c>
      <c r="Q6" s="233"/>
      <c r="R6" s="233"/>
      <c r="S6" s="121">
        <v>1396.18672941176</v>
      </c>
      <c r="T6" s="121"/>
      <c r="U6" s="121">
        <v>47.4352941176471</v>
      </c>
      <c r="V6" s="121"/>
      <c r="W6" s="121"/>
      <c r="X6" s="164">
        <v>1443.62202352941</v>
      </c>
      <c r="Y6" s="183">
        <v>239.974915764706</v>
      </c>
      <c r="Z6" s="183"/>
      <c r="AA6" s="183">
        <v>2.16897882352941</v>
      </c>
      <c r="AB6" s="183">
        <v>242.143894588235</v>
      </c>
      <c r="AC6" s="116">
        <v>7.15</v>
      </c>
      <c r="AD6" s="121">
        <v>1731.32884630588</v>
      </c>
      <c r="AE6" s="121">
        <v>3174.95086983529</v>
      </c>
      <c r="AF6" s="164">
        <v>257.049130164706</v>
      </c>
    </row>
    <row r="7" s="72" customFormat="1" ht="12.75" spans="1:32">
      <c r="A7" s="85"/>
      <c r="B7" s="86"/>
      <c r="C7" s="87">
        <v>240630000010</v>
      </c>
      <c r="D7" s="88">
        <v>45511</v>
      </c>
      <c r="E7" s="88" t="s">
        <v>93</v>
      </c>
      <c r="F7" s="86" t="s">
        <v>96</v>
      </c>
      <c r="G7" s="86" t="s">
        <v>98</v>
      </c>
      <c r="H7" s="86">
        <v>1.5552</v>
      </c>
      <c r="I7" s="86">
        <v>912</v>
      </c>
      <c r="J7" s="115">
        <v>3309</v>
      </c>
      <c r="K7" s="116"/>
      <c r="L7" s="117"/>
      <c r="M7" s="118"/>
      <c r="N7" s="117"/>
      <c r="O7" s="86"/>
      <c r="P7" s="119">
        <v>3309</v>
      </c>
      <c r="Q7" s="233"/>
      <c r="R7" s="233"/>
      <c r="S7" s="121">
        <v>1315.7964</v>
      </c>
      <c r="T7" s="121"/>
      <c r="U7" s="121">
        <v>33.1623529411765</v>
      </c>
      <c r="V7" s="121"/>
      <c r="W7" s="121"/>
      <c r="X7" s="164">
        <v>1348.95875294118</v>
      </c>
      <c r="Y7" s="184">
        <v>240.804423529412</v>
      </c>
      <c r="Z7" s="183"/>
      <c r="AA7" s="183">
        <v>4.72231905882353</v>
      </c>
      <c r="AB7" s="183">
        <v>245.526742588236</v>
      </c>
      <c r="AC7" s="116">
        <v>7.09</v>
      </c>
      <c r="AD7" s="121">
        <v>1740.78460495059</v>
      </c>
      <c r="AE7" s="121">
        <v>3089.74335789177</v>
      </c>
      <c r="AF7" s="164">
        <v>219.256642108234</v>
      </c>
    </row>
    <row r="8" s="72" customFormat="1" ht="12.75" spans="1:32">
      <c r="A8" s="85"/>
      <c r="B8" s="86"/>
      <c r="C8" s="87">
        <v>240630000010</v>
      </c>
      <c r="D8" s="88">
        <v>45534</v>
      </c>
      <c r="E8" s="88" t="s">
        <v>93</v>
      </c>
      <c r="F8" s="86" t="s">
        <v>96</v>
      </c>
      <c r="G8" s="86" t="s">
        <v>98</v>
      </c>
      <c r="H8" s="192">
        <v>4.6083</v>
      </c>
      <c r="I8" s="86">
        <v>761.3</v>
      </c>
      <c r="J8" s="115">
        <v>9806</v>
      </c>
      <c r="K8" s="116"/>
      <c r="L8" s="117"/>
      <c r="M8" s="118"/>
      <c r="N8" s="117"/>
      <c r="O8" s="86"/>
      <c r="P8" s="119">
        <v>9806</v>
      </c>
      <c r="Q8" s="233"/>
      <c r="R8" s="233"/>
      <c r="S8" s="121">
        <v>4007.67925257353</v>
      </c>
      <c r="T8" s="121"/>
      <c r="U8" s="121">
        <v>98.2652205882353</v>
      </c>
      <c r="V8" s="121"/>
      <c r="W8" s="121"/>
      <c r="X8" s="164">
        <v>4105.94447316177</v>
      </c>
      <c r="Y8" s="184">
        <v>713.541039705882</v>
      </c>
      <c r="Z8" s="183"/>
      <c r="AA8" s="183">
        <v>17.5915075588235</v>
      </c>
      <c r="AB8" s="183">
        <v>731.132547264706</v>
      </c>
      <c r="AC8" s="116">
        <v>7.09</v>
      </c>
      <c r="AD8" s="121">
        <v>5183.72976010676</v>
      </c>
      <c r="AE8" s="121">
        <v>9289.67423326853</v>
      </c>
      <c r="AF8" s="164">
        <v>516.32576673147</v>
      </c>
    </row>
    <row r="9" s="72" customFormat="1" ht="12.75" spans="1:32">
      <c r="A9" s="85"/>
      <c r="B9" s="86"/>
      <c r="C9" s="87">
        <v>240730000035</v>
      </c>
      <c r="D9" s="88">
        <v>45511</v>
      </c>
      <c r="E9" s="88" t="s">
        <v>93</v>
      </c>
      <c r="F9" s="86" t="s">
        <v>96</v>
      </c>
      <c r="G9" s="86" t="s">
        <v>99</v>
      </c>
      <c r="H9" s="86">
        <v>1.0597</v>
      </c>
      <c r="I9" s="86">
        <v>336</v>
      </c>
      <c r="J9" s="115">
        <v>3645.46</v>
      </c>
      <c r="K9" s="116"/>
      <c r="L9" s="117"/>
      <c r="M9" s="118"/>
      <c r="N9" s="117"/>
      <c r="O9" s="86"/>
      <c r="P9" s="121">
        <v>3645.46</v>
      </c>
      <c r="Q9" s="162"/>
      <c r="R9" s="162"/>
      <c r="S9" s="121">
        <v>921.584468014706</v>
      </c>
      <c r="T9" s="121"/>
      <c r="U9" s="121">
        <v>22.5965441176471</v>
      </c>
      <c r="V9" s="121"/>
      <c r="W9" s="121"/>
      <c r="X9" s="164">
        <v>944.181012132353</v>
      </c>
      <c r="Y9" s="184">
        <v>164.082077941176</v>
      </c>
      <c r="Z9" s="183">
        <v>50.15</v>
      </c>
      <c r="AA9" s="183">
        <v>4.04524891176471</v>
      </c>
      <c r="AB9" s="183">
        <v>218.277326852941</v>
      </c>
      <c r="AC9" s="116">
        <v>7.09</v>
      </c>
      <c r="AD9" s="121">
        <v>1547.58624738735</v>
      </c>
      <c r="AE9" s="121">
        <v>2491.76725951971</v>
      </c>
      <c r="AF9" s="164">
        <v>1153.69274048029</v>
      </c>
    </row>
    <row r="10" s="72" customFormat="1" ht="12.75" spans="1:32">
      <c r="A10" s="85"/>
      <c r="B10" s="86"/>
      <c r="C10" s="87">
        <v>240808000012</v>
      </c>
      <c r="D10" s="88">
        <v>45512</v>
      </c>
      <c r="E10" s="88" t="s">
        <v>93</v>
      </c>
      <c r="F10" s="86" t="s">
        <v>96</v>
      </c>
      <c r="G10" s="86" t="s">
        <v>100</v>
      </c>
      <c r="H10" s="86">
        <v>0.2465</v>
      </c>
      <c r="I10" s="86">
        <v>35.5</v>
      </c>
      <c r="J10" s="115">
        <v>821</v>
      </c>
      <c r="K10" s="116"/>
      <c r="L10" s="117"/>
      <c r="M10" s="118"/>
      <c r="N10" s="117"/>
      <c r="O10" s="86"/>
      <c r="P10" s="121">
        <v>821</v>
      </c>
      <c r="Q10" s="162"/>
      <c r="R10" s="162"/>
      <c r="S10" s="121">
        <v>212.17940625</v>
      </c>
      <c r="T10" s="121">
        <v>0.19933875</v>
      </c>
      <c r="U10" s="121">
        <v>3.625</v>
      </c>
      <c r="V10" s="121"/>
      <c r="W10" s="121"/>
      <c r="X10" s="164">
        <v>216.003745</v>
      </c>
      <c r="Y10" s="184">
        <v>37.826875</v>
      </c>
      <c r="Z10" s="183"/>
      <c r="AA10" s="183">
        <v>22.18</v>
      </c>
      <c r="AB10" s="183">
        <v>60.006875</v>
      </c>
      <c r="AC10" s="116">
        <v>7.12</v>
      </c>
      <c r="AD10" s="121">
        <v>427.24895</v>
      </c>
      <c r="AE10" s="121">
        <v>643.252695</v>
      </c>
      <c r="AF10" s="164">
        <v>177.747305</v>
      </c>
    </row>
    <row r="11" s="72" customFormat="1" ht="12.75" spans="1:32">
      <c r="A11" s="85"/>
      <c r="B11" s="86"/>
      <c r="C11" s="87">
        <v>240630000010</v>
      </c>
      <c r="D11" s="88">
        <v>45534</v>
      </c>
      <c r="E11" s="88" t="s">
        <v>93</v>
      </c>
      <c r="F11" s="86" t="s">
        <v>96</v>
      </c>
      <c r="G11" s="86" t="s">
        <v>98</v>
      </c>
      <c r="H11" s="86">
        <v>20.8295</v>
      </c>
      <c r="I11" s="86">
        <v>1472</v>
      </c>
      <c r="J11" s="115">
        <v>44333.83</v>
      </c>
      <c r="K11" s="116"/>
      <c r="L11" s="117"/>
      <c r="M11" s="118"/>
      <c r="N11" s="117"/>
      <c r="O11" s="86"/>
      <c r="P11" s="119">
        <v>44333.83</v>
      </c>
      <c r="Q11" s="233"/>
      <c r="R11" s="233"/>
      <c r="S11" s="121">
        <v>17929.3750202206</v>
      </c>
      <c r="T11" s="121">
        <v>16.8443265441176</v>
      </c>
      <c r="U11" s="121">
        <v>306.316176470588</v>
      </c>
      <c r="V11" s="121"/>
      <c r="W11" s="121"/>
      <c r="X11" s="164">
        <v>18252.5355232353</v>
      </c>
      <c r="Y11" s="184">
        <v>3196.40930147059</v>
      </c>
      <c r="Z11" s="183"/>
      <c r="AA11" s="183"/>
      <c r="AB11" s="183">
        <v>3196.40930147059</v>
      </c>
      <c r="AC11" s="116">
        <v>7.12</v>
      </c>
      <c r="AD11" s="121">
        <v>22758.4342264706</v>
      </c>
      <c r="AE11" s="121">
        <v>41010.9697497059</v>
      </c>
      <c r="AF11" s="164">
        <v>3322.86025029412</v>
      </c>
    </row>
    <row r="12" s="72" customFormat="1" ht="25.5" spans="1:32">
      <c r="A12" s="85" t="s">
        <v>101</v>
      </c>
      <c r="B12" s="86" t="s">
        <v>102</v>
      </c>
      <c r="C12" s="87">
        <v>240630000010</v>
      </c>
      <c r="D12" s="88">
        <v>45534</v>
      </c>
      <c r="E12" s="88" t="s">
        <v>93</v>
      </c>
      <c r="F12" s="86" t="s">
        <v>96</v>
      </c>
      <c r="G12" s="86" t="s">
        <v>98</v>
      </c>
      <c r="H12" s="86">
        <v>4.5207</v>
      </c>
      <c r="I12" s="86">
        <v>744</v>
      </c>
      <c r="J12" s="115">
        <v>9620</v>
      </c>
      <c r="K12" s="116"/>
      <c r="L12" s="117"/>
      <c r="M12" s="118"/>
      <c r="N12" s="117"/>
      <c r="O12" s="86"/>
      <c r="P12" s="119">
        <v>9620</v>
      </c>
      <c r="Q12" s="166">
        <v>59706.0336</v>
      </c>
      <c r="R12" s="167" t="s">
        <v>103</v>
      </c>
      <c r="S12" s="121">
        <v>3825.65899522059</v>
      </c>
      <c r="T12" s="121"/>
      <c r="U12" s="121">
        <v>139.609852941176</v>
      </c>
      <c r="V12" s="121">
        <v>900</v>
      </c>
      <c r="W12" s="121"/>
      <c r="X12" s="164">
        <v>4865.26884816176</v>
      </c>
      <c r="Y12" s="184">
        <v>692.531351470588</v>
      </c>
      <c r="Z12" s="183">
        <v>70.8</v>
      </c>
      <c r="AA12" s="183"/>
      <c r="AB12" s="183">
        <v>763.331351470588</v>
      </c>
      <c r="AC12" s="116">
        <v>7.07</v>
      </c>
      <c r="AD12" s="121">
        <v>5396.75265489706</v>
      </c>
      <c r="AE12" s="121">
        <v>10262.0215030588</v>
      </c>
      <c r="AF12" s="121">
        <v>-642.021503058822</v>
      </c>
    </row>
    <row r="13" s="72" customFormat="1" ht="12.75" spans="1:32">
      <c r="A13" s="85"/>
      <c r="B13" s="86"/>
      <c r="C13" s="87">
        <v>240806000025</v>
      </c>
      <c r="D13" s="88">
        <v>45534</v>
      </c>
      <c r="E13" s="88" t="s">
        <v>93</v>
      </c>
      <c r="F13" s="86" t="s">
        <v>96</v>
      </c>
      <c r="G13" s="86" t="s">
        <v>104</v>
      </c>
      <c r="H13" s="86">
        <v>4.665</v>
      </c>
      <c r="I13" s="86">
        <v>886</v>
      </c>
      <c r="J13" s="115">
        <v>10755.219</v>
      </c>
      <c r="K13" s="116"/>
      <c r="L13" s="117"/>
      <c r="M13" s="118"/>
      <c r="N13" s="117"/>
      <c r="O13" s="86"/>
      <c r="P13" s="119">
        <v>10755.219</v>
      </c>
      <c r="Q13" s="162"/>
      <c r="R13" s="162"/>
      <c r="S13" s="121">
        <v>3947.77340073529</v>
      </c>
      <c r="T13" s="121"/>
      <c r="U13" s="121">
        <v>144.066176470588</v>
      </c>
      <c r="V13" s="121"/>
      <c r="W13" s="121"/>
      <c r="X13" s="164">
        <v>4091.83957720588</v>
      </c>
      <c r="Y13" s="184">
        <v>714.636838235294</v>
      </c>
      <c r="Z13" s="183"/>
      <c r="AA13" s="183"/>
      <c r="AB13" s="183">
        <v>714.636838235294</v>
      </c>
      <c r="AC13" s="116">
        <v>7.07</v>
      </c>
      <c r="AD13" s="121">
        <v>5052.48244632353</v>
      </c>
      <c r="AE13" s="121">
        <v>9144.32202352941</v>
      </c>
      <c r="AF13" s="164">
        <v>1610.89697647059</v>
      </c>
    </row>
    <row r="14" s="72" customFormat="1" ht="12.75" spans="1:32">
      <c r="A14" s="85"/>
      <c r="B14" s="86"/>
      <c r="C14" s="87">
        <v>240808000002</v>
      </c>
      <c r="D14" s="88">
        <v>45534</v>
      </c>
      <c r="E14" s="88" t="s">
        <v>93</v>
      </c>
      <c r="F14" s="86" t="s">
        <v>96</v>
      </c>
      <c r="G14" s="86" t="s">
        <v>104</v>
      </c>
      <c r="H14" s="86">
        <v>2.1795</v>
      </c>
      <c r="I14" s="86">
        <v>785</v>
      </c>
      <c r="J14" s="119"/>
      <c r="K14" s="122">
        <v>1256000</v>
      </c>
      <c r="L14" s="117"/>
      <c r="M14" s="118">
        <v>1751.88997684604</v>
      </c>
      <c r="N14" s="120">
        <v>716.94</v>
      </c>
      <c r="O14" s="86">
        <v>7.15</v>
      </c>
      <c r="P14" s="119">
        <v>5126.121</v>
      </c>
      <c r="Q14" s="162"/>
      <c r="R14" s="162"/>
      <c r="S14" s="121">
        <v>1844.40988786765</v>
      </c>
      <c r="T14" s="121"/>
      <c r="U14" s="121">
        <v>67.3080882352941</v>
      </c>
      <c r="V14" s="121"/>
      <c r="W14" s="121"/>
      <c r="X14" s="164">
        <v>1911.71797610294</v>
      </c>
      <c r="Y14" s="184">
        <v>333.880169117647</v>
      </c>
      <c r="Z14" s="183"/>
      <c r="AA14" s="183"/>
      <c r="AB14" s="183">
        <v>333.880169117647</v>
      </c>
      <c r="AC14" s="116">
        <v>7.07</v>
      </c>
      <c r="AD14" s="121">
        <v>2360.53279566176</v>
      </c>
      <c r="AE14" s="121">
        <v>4272.25077176471</v>
      </c>
      <c r="AF14" s="164">
        <v>853.870228235294</v>
      </c>
    </row>
    <row r="15" s="72" customFormat="1" ht="63.75" spans="1:32">
      <c r="A15" s="85" t="s">
        <v>105</v>
      </c>
      <c r="B15" s="86" t="s">
        <v>106</v>
      </c>
      <c r="C15" s="87">
        <v>240807000029</v>
      </c>
      <c r="D15" s="88">
        <v>45516</v>
      </c>
      <c r="E15" s="88" t="s">
        <v>93</v>
      </c>
      <c r="F15" s="86" t="s">
        <v>96</v>
      </c>
      <c r="G15" s="86" t="s">
        <v>107</v>
      </c>
      <c r="H15" s="86">
        <v>0.55</v>
      </c>
      <c r="I15" s="86">
        <v>148</v>
      </c>
      <c r="J15" s="115">
        <v>1768.88</v>
      </c>
      <c r="K15" s="116"/>
      <c r="L15" s="117"/>
      <c r="M15" s="118"/>
      <c r="N15" s="117"/>
      <c r="O15" s="86"/>
      <c r="P15" s="119">
        <v>1768.88</v>
      </c>
      <c r="Q15" s="166">
        <v>85027.906844</v>
      </c>
      <c r="R15" s="167" t="s">
        <v>108</v>
      </c>
      <c r="S15" s="121">
        <v>430.771323529412</v>
      </c>
      <c r="T15" s="121"/>
      <c r="U15" s="121">
        <v>10.5147058823529</v>
      </c>
      <c r="V15" s="121"/>
      <c r="W15" s="121"/>
      <c r="X15" s="164">
        <v>441.286029411765</v>
      </c>
      <c r="Y15" s="183">
        <v>86.8471029411765</v>
      </c>
      <c r="Z15" s="183">
        <v>47.2</v>
      </c>
      <c r="AA15" s="183"/>
      <c r="AB15" s="183">
        <v>134.047102941176</v>
      </c>
      <c r="AC15" s="116">
        <v>7.06</v>
      </c>
      <c r="AD15" s="121">
        <v>946.372546764706</v>
      </c>
      <c r="AE15" s="121">
        <v>1387.65857617647</v>
      </c>
      <c r="AF15" s="164">
        <v>381.22142382353</v>
      </c>
    </row>
    <row r="16" s="72" customFormat="1" ht="12.75" spans="1:32">
      <c r="A16" s="85"/>
      <c r="B16" s="86"/>
      <c r="C16" s="87">
        <v>240811000001</v>
      </c>
      <c r="D16" s="88">
        <v>45516</v>
      </c>
      <c r="E16" s="88" t="s">
        <v>93</v>
      </c>
      <c r="F16" s="86" t="s">
        <v>96</v>
      </c>
      <c r="G16" s="86" t="s">
        <v>104</v>
      </c>
      <c r="H16" s="86">
        <v>8.3155</v>
      </c>
      <c r="I16" s="86">
        <v>4780</v>
      </c>
      <c r="J16" s="119"/>
      <c r="K16" s="122">
        <v>4494672</v>
      </c>
      <c r="L16" s="117"/>
      <c r="M16" s="118">
        <v>1773.86486070494</v>
      </c>
      <c r="N16" s="120">
        <v>2533.83</v>
      </c>
      <c r="O16" s="86">
        <v>7.24</v>
      </c>
      <c r="P16" s="119">
        <v>18344.9292</v>
      </c>
      <c r="Q16" s="162"/>
      <c r="R16" s="162"/>
      <c r="S16" s="121">
        <v>6512.87080147059</v>
      </c>
      <c r="T16" s="121"/>
      <c r="U16" s="121">
        <v>158.972794117647</v>
      </c>
      <c r="V16" s="121"/>
      <c r="W16" s="121"/>
      <c r="X16" s="164">
        <v>6671.84359558824</v>
      </c>
      <c r="Y16" s="183">
        <v>1313.04924455882</v>
      </c>
      <c r="Z16" s="183"/>
      <c r="AA16" s="183"/>
      <c r="AB16" s="183">
        <v>1313.04924455882</v>
      </c>
      <c r="AC16" s="116">
        <v>7.06</v>
      </c>
      <c r="AD16" s="121">
        <v>9270.12766658529</v>
      </c>
      <c r="AE16" s="121">
        <v>15941.9712621735</v>
      </c>
      <c r="AF16" s="164">
        <v>2402.95793782647</v>
      </c>
    </row>
    <row r="17" s="72" customFormat="1" ht="12.75" spans="1:32">
      <c r="A17" s="85"/>
      <c r="B17" s="86"/>
      <c r="C17" s="87">
        <v>240813000034</v>
      </c>
      <c r="D17" s="88">
        <v>45516</v>
      </c>
      <c r="E17" s="88" t="s">
        <v>93</v>
      </c>
      <c r="F17" s="86" t="s">
        <v>96</v>
      </c>
      <c r="G17" s="86" t="s">
        <v>97</v>
      </c>
      <c r="H17" s="86">
        <v>4.253</v>
      </c>
      <c r="I17" s="86">
        <v>1141</v>
      </c>
      <c r="J17" s="119"/>
      <c r="K17" s="122">
        <v>2383535</v>
      </c>
      <c r="L17" s="117"/>
      <c r="M17" s="118">
        <v>1751.27138892922</v>
      </c>
      <c r="N17" s="120">
        <v>1361.0312</v>
      </c>
      <c r="O17" s="86">
        <v>7.12</v>
      </c>
      <c r="P17" s="119">
        <v>9690.542144</v>
      </c>
      <c r="Q17" s="162"/>
      <c r="R17" s="162"/>
      <c r="S17" s="121">
        <v>3331.03716176471</v>
      </c>
      <c r="T17" s="121"/>
      <c r="U17" s="121">
        <v>81.3073529411765</v>
      </c>
      <c r="V17" s="121"/>
      <c r="W17" s="121"/>
      <c r="X17" s="164">
        <v>3412.34451470588</v>
      </c>
      <c r="Y17" s="183">
        <v>671.564961470588</v>
      </c>
      <c r="Z17" s="183"/>
      <c r="AA17" s="183"/>
      <c r="AB17" s="183">
        <v>671.564961470588</v>
      </c>
      <c r="AC17" s="116">
        <v>7.06</v>
      </c>
      <c r="AD17" s="121">
        <v>4741.24862798235</v>
      </c>
      <c r="AE17" s="121">
        <v>8153.59314268823</v>
      </c>
      <c r="AF17" s="164">
        <v>1536.94900131176</v>
      </c>
    </row>
    <row r="18" s="72" customFormat="1" ht="12.75" spans="1:32">
      <c r="A18" s="85"/>
      <c r="B18" s="86"/>
      <c r="C18" s="87">
        <v>240819000017</v>
      </c>
      <c r="D18" s="88">
        <v>45516</v>
      </c>
      <c r="E18" s="88" t="s">
        <v>93</v>
      </c>
      <c r="F18" s="86" t="s">
        <v>96</v>
      </c>
      <c r="G18" s="86" t="s">
        <v>98</v>
      </c>
      <c r="H18" s="86">
        <v>23.494</v>
      </c>
      <c r="I18" s="86">
        <v>2608</v>
      </c>
      <c r="J18" s="115">
        <v>50190.17</v>
      </c>
      <c r="K18" s="116"/>
      <c r="L18" s="117"/>
      <c r="M18" s="118"/>
      <c r="N18" s="117"/>
      <c r="O18" s="86"/>
      <c r="P18" s="119">
        <v>50190.17</v>
      </c>
      <c r="Q18" s="162"/>
      <c r="R18" s="162"/>
      <c r="S18" s="121">
        <v>18400.9845</v>
      </c>
      <c r="T18" s="121"/>
      <c r="U18" s="121">
        <v>449.15</v>
      </c>
      <c r="V18" s="121">
        <v>960</v>
      </c>
      <c r="W18" s="121">
        <v>146.5</v>
      </c>
      <c r="X18" s="164">
        <v>19956.6345</v>
      </c>
      <c r="Y18" s="183">
        <v>3709.79243</v>
      </c>
      <c r="Z18" s="183"/>
      <c r="AA18" s="183"/>
      <c r="AB18" s="183">
        <v>3709.79243</v>
      </c>
      <c r="AC18" s="116">
        <v>7.06</v>
      </c>
      <c r="AD18" s="121">
        <v>26191.1345558</v>
      </c>
      <c r="AE18" s="121">
        <v>46147.7690558</v>
      </c>
      <c r="AF18" s="164">
        <v>4042.4009442</v>
      </c>
    </row>
    <row r="19" s="72" customFormat="1" ht="12.75" spans="1:32">
      <c r="A19" s="85"/>
      <c r="B19" s="86"/>
      <c r="C19" s="87">
        <v>240819000033</v>
      </c>
      <c r="D19" s="88">
        <v>45532</v>
      </c>
      <c r="E19" s="88" t="s">
        <v>93</v>
      </c>
      <c r="F19" s="86" t="s">
        <v>96</v>
      </c>
      <c r="G19" s="86" t="s">
        <v>107</v>
      </c>
      <c r="H19" s="86">
        <v>0.2086</v>
      </c>
      <c r="I19" s="86">
        <v>344</v>
      </c>
      <c r="J19" s="119"/>
      <c r="K19" s="122">
        <v>383195</v>
      </c>
      <c r="L19" s="117"/>
      <c r="M19" s="118">
        <v>1811.79669030733</v>
      </c>
      <c r="N19" s="120">
        <v>211.5</v>
      </c>
      <c r="O19" s="86">
        <v>7.3</v>
      </c>
      <c r="P19" s="119">
        <v>1543.95</v>
      </c>
      <c r="Q19" s="162"/>
      <c r="R19" s="162"/>
      <c r="S19" s="121">
        <v>162.145086764706</v>
      </c>
      <c r="T19" s="121"/>
      <c r="U19" s="121">
        <v>4.60147058823529</v>
      </c>
      <c r="V19" s="121"/>
      <c r="W19" s="121"/>
      <c r="X19" s="164">
        <v>166.746557352941</v>
      </c>
      <c r="Y19" s="183">
        <v>32.9387375882353</v>
      </c>
      <c r="Z19" s="183">
        <v>46.5</v>
      </c>
      <c r="AA19" s="183">
        <v>0.760132264705882</v>
      </c>
      <c r="AB19" s="183">
        <v>80.1988698529412</v>
      </c>
      <c r="AC19" s="116">
        <v>7.12</v>
      </c>
      <c r="AD19" s="121">
        <v>571.015953352941</v>
      </c>
      <c r="AE19" s="121">
        <v>737.762510705882</v>
      </c>
      <c r="AF19" s="164">
        <v>806.187489294118</v>
      </c>
    </row>
    <row r="20" s="72" customFormat="1" ht="12.75" spans="1:32">
      <c r="A20" s="85"/>
      <c r="B20" s="86"/>
      <c r="C20" s="87">
        <v>240823000021</v>
      </c>
      <c r="D20" s="88">
        <v>45532</v>
      </c>
      <c r="E20" s="88" t="s">
        <v>93</v>
      </c>
      <c r="F20" s="86" t="s">
        <v>96</v>
      </c>
      <c r="G20" s="86" t="s">
        <v>104</v>
      </c>
      <c r="H20" s="86">
        <v>7.4589</v>
      </c>
      <c r="I20" s="86">
        <v>3300</v>
      </c>
      <c r="J20" s="119"/>
      <c r="K20" s="122">
        <v>3229875</v>
      </c>
      <c r="L20" s="117"/>
      <c r="M20" s="118">
        <v>1650</v>
      </c>
      <c r="N20" s="120">
        <v>1957.5</v>
      </c>
      <c r="O20" s="86">
        <v>7.12</v>
      </c>
      <c r="P20" s="119">
        <v>13937.4</v>
      </c>
      <c r="Q20" s="162"/>
      <c r="R20" s="162"/>
      <c r="S20" s="121">
        <v>5797.81393897059</v>
      </c>
      <c r="T20" s="121"/>
      <c r="U20" s="121">
        <v>164.534558823529</v>
      </c>
      <c r="V20" s="121"/>
      <c r="W20" s="121"/>
      <c r="X20" s="164">
        <v>5962.34849779412</v>
      </c>
      <c r="Y20" s="183">
        <v>1177.78882932353</v>
      </c>
      <c r="Z20" s="183"/>
      <c r="AA20" s="183">
        <v>27.1800122205882</v>
      </c>
      <c r="AB20" s="183">
        <v>1204.96884154412</v>
      </c>
      <c r="AC20" s="116">
        <v>7.12</v>
      </c>
      <c r="AD20" s="121">
        <v>8579.37815179412</v>
      </c>
      <c r="AE20" s="121">
        <v>14541.7266495882</v>
      </c>
      <c r="AF20" s="121">
        <v>-604.326649588233</v>
      </c>
    </row>
    <row r="21" s="72" customFormat="1" ht="12.75" spans="1:32">
      <c r="A21" s="85"/>
      <c r="B21" s="86"/>
      <c r="C21" s="87">
        <v>240828000017</v>
      </c>
      <c r="D21" s="88">
        <v>45532</v>
      </c>
      <c r="E21" s="88" t="s">
        <v>93</v>
      </c>
      <c r="F21" s="86" t="s">
        <v>96</v>
      </c>
      <c r="G21" s="86" t="s">
        <v>109</v>
      </c>
      <c r="H21" s="86">
        <v>0.1138</v>
      </c>
      <c r="I21" s="86">
        <v>45</v>
      </c>
      <c r="J21" s="115">
        <v>421</v>
      </c>
      <c r="K21" s="116"/>
      <c r="L21" s="117"/>
      <c r="M21" s="118"/>
      <c r="N21" s="120"/>
      <c r="O21" s="86"/>
      <c r="P21" s="119">
        <v>421</v>
      </c>
      <c r="Q21" s="162"/>
      <c r="R21" s="162"/>
      <c r="S21" s="121">
        <v>88.4569073529412</v>
      </c>
      <c r="T21" s="121"/>
      <c r="U21" s="121">
        <v>2.51029411764706</v>
      </c>
      <c r="V21" s="121"/>
      <c r="W21" s="121"/>
      <c r="X21" s="164">
        <v>90.9672014705882</v>
      </c>
      <c r="Y21" s="183">
        <v>17.9694551176471</v>
      </c>
      <c r="Z21" s="183">
        <v>20.65</v>
      </c>
      <c r="AA21" s="183">
        <v>0.414683852941176</v>
      </c>
      <c r="AB21" s="183">
        <v>39.0341389705882</v>
      </c>
      <c r="AC21" s="116">
        <v>7.12</v>
      </c>
      <c r="AD21" s="121">
        <v>277.923069470588</v>
      </c>
      <c r="AE21" s="121">
        <v>368.890270941176</v>
      </c>
      <c r="AF21" s="164">
        <v>52.1097290588236</v>
      </c>
    </row>
    <row r="22" ht="28" customHeight="1" spans="1:32">
      <c r="A22" s="229" t="s">
        <v>110</v>
      </c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4"/>
      <c r="Z22" s="234"/>
      <c r="AA22" s="234"/>
      <c r="AB22" s="234"/>
      <c r="AC22" s="234"/>
      <c r="AD22" s="234"/>
      <c r="AE22" s="234"/>
      <c r="AF22" s="234">
        <f>SUM(AF4:AF21)</f>
        <v>16852.5204865423</v>
      </c>
    </row>
    <row r="25" s="1" customFormat="1" ht="23" customHeight="1" spans="3:16">
      <c r="C25" s="95" t="s">
        <v>60</v>
      </c>
      <c r="D25" s="95"/>
      <c r="E25" s="95"/>
      <c r="F25" s="96" t="s">
        <v>61</v>
      </c>
      <c r="G25" s="97"/>
      <c r="H25" s="97"/>
      <c r="I25" s="124"/>
      <c r="J25"/>
      <c r="K25" s="125" t="s">
        <v>111</v>
      </c>
      <c r="L25" s="126"/>
      <c r="M25" s="127"/>
      <c r="N25"/>
      <c r="O25"/>
      <c r="P25"/>
    </row>
    <row r="26" s="1" customFormat="1" ht="23" customHeight="1" spans="3:16">
      <c r="C26" s="95"/>
      <c r="D26" s="95"/>
      <c r="E26" s="95"/>
      <c r="F26" s="98"/>
      <c r="G26" s="99"/>
      <c r="H26" s="99"/>
      <c r="I26" s="128"/>
      <c r="J26"/>
      <c r="K26" s="129" t="s">
        <v>63</v>
      </c>
      <c r="L26" s="129" t="s">
        <v>8</v>
      </c>
      <c r="M26" s="129" t="s">
        <v>64</v>
      </c>
      <c r="N26"/>
      <c r="O26"/>
      <c r="P26"/>
    </row>
    <row r="27" s="1" customFormat="1" ht="23" customHeight="1" spans="3:16">
      <c r="C27" s="95" t="s">
        <v>65</v>
      </c>
      <c r="D27" s="95"/>
      <c r="E27" s="95"/>
      <c r="F27" s="100" t="s">
        <v>66</v>
      </c>
      <c r="G27" s="101"/>
      <c r="H27" s="101"/>
      <c r="I27" s="130"/>
      <c r="J27"/>
      <c r="K27" s="129" t="s">
        <v>67</v>
      </c>
      <c r="L27" s="131">
        <f>SUM(H4:H21)</f>
        <v>86.6326</v>
      </c>
      <c r="M27" s="132">
        <f>SUM(AF22)</f>
        <v>16852.5204865423</v>
      </c>
      <c r="N27"/>
      <c r="O27"/>
      <c r="P27"/>
    </row>
    <row r="28" s="1" customFormat="1" ht="23" customHeight="1" spans="3:16">
      <c r="C28" s="95"/>
      <c r="D28" s="95"/>
      <c r="E28" s="95"/>
      <c r="F28" s="102"/>
      <c r="G28" s="103"/>
      <c r="H28" s="103"/>
      <c r="I28" s="133"/>
      <c r="J28"/>
      <c r="K28" s="144" t="s">
        <v>72</v>
      </c>
      <c r="L28" s="144"/>
      <c r="M28" s="231">
        <v>8595.80555559102</v>
      </c>
      <c r="N28"/>
      <c r="O28"/>
      <c r="P28"/>
    </row>
    <row r="29" s="1" customFormat="1" ht="23" customHeight="1" spans="3:16">
      <c r="C29" s="95" t="s">
        <v>69</v>
      </c>
      <c r="D29" s="95"/>
      <c r="E29" s="95"/>
      <c r="F29" s="100" t="s">
        <v>70</v>
      </c>
      <c r="G29" s="101"/>
      <c r="H29" s="101"/>
      <c r="I29" s="130"/>
      <c r="J29"/>
      <c r="K29" s="206" t="s">
        <v>71</v>
      </c>
      <c r="L29" s="206"/>
      <c r="M29" s="207">
        <f>SUM(M27-M28)</f>
        <v>8256.71493095128</v>
      </c>
      <c r="N29"/>
      <c r="O29"/>
      <c r="P29"/>
    </row>
    <row r="30" s="1" customFormat="1" ht="23" customHeight="1" spans="3:16">
      <c r="C30" s="95"/>
      <c r="D30" s="95"/>
      <c r="E30" s="95"/>
      <c r="F30" s="102"/>
      <c r="G30" s="103"/>
      <c r="H30" s="103"/>
      <c r="I30" s="133"/>
      <c r="J30"/>
      <c r="K30" s="129" t="s">
        <v>90</v>
      </c>
      <c r="L30" s="129"/>
      <c r="M30" s="129">
        <v>0.4</v>
      </c>
      <c r="N30"/>
      <c r="O30"/>
      <c r="P30"/>
    </row>
    <row r="31" s="1" customFormat="1" ht="23" customHeight="1" spans="5:16">
      <c r="E31"/>
      <c r="F31"/>
      <c r="G31"/>
      <c r="H31"/>
      <c r="I31"/>
      <c r="J31"/>
      <c r="K31" s="144" t="s">
        <v>74</v>
      </c>
      <c r="L31" s="144"/>
      <c r="M31" s="232">
        <f>SUM(M29*M30)</f>
        <v>3302.68597238051</v>
      </c>
      <c r="N31"/>
      <c r="O31"/>
      <c r="P31"/>
    </row>
    <row r="32" s="1" customFormat="1" ht="23" customHeight="1" spans="5:16">
      <c r="E32"/>
      <c r="F32"/>
      <c r="G32"/>
      <c r="H32"/>
      <c r="I32"/>
      <c r="J32"/>
      <c r="K32"/>
      <c r="L32"/>
      <c r="M32"/>
      <c r="N32"/>
      <c r="O32"/>
      <c r="P32"/>
    </row>
    <row r="33" s="1" customFormat="1" ht="23" customHeight="1" spans="5:14">
      <c r="E33"/>
      <c r="F33"/>
      <c r="G33"/>
      <c r="H33"/>
      <c r="I33"/>
      <c r="J33"/>
      <c r="K33" s="143"/>
      <c r="L33" s="143"/>
      <c r="M33" s="143"/>
      <c r="N33" s="143"/>
    </row>
    <row r="34" s="1" customFormat="1" ht="23" customHeight="1" spans="5:13">
      <c r="E34"/>
      <c r="F34"/>
      <c r="G34"/>
      <c r="H34"/>
      <c r="I34"/>
      <c r="J34"/>
      <c r="K34"/>
      <c r="L34"/>
      <c r="M34"/>
    </row>
    <row r="35" s="1" customFormat="1" ht="23" customHeight="1" spans="5:19">
      <c r="E35"/>
      <c r="F35"/>
      <c r="G35"/>
      <c r="H35"/>
      <c r="I35"/>
      <c r="J35"/>
      <c r="K35"/>
      <c r="L35"/>
      <c r="M35"/>
      <c r="O35"/>
      <c r="P35"/>
      <c r="Q35"/>
      <c r="R35"/>
      <c r="S35" s="36"/>
    </row>
    <row r="36" ht="28" customHeight="1"/>
  </sheetData>
  <autoFilter xmlns:etc="http://www.wps.cn/officeDocument/2017/etCustomData" ref="A2:AB35" etc:filterBottomFollowUsedRange="0">
    <extLst/>
  </autoFilter>
  <mergeCells count="23">
    <mergeCell ref="J2:P2"/>
    <mergeCell ref="R2:V2"/>
    <mergeCell ref="Y2:AD2"/>
    <mergeCell ref="K25:M2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27:E28"/>
    <mergeCell ref="F27:I28"/>
    <mergeCell ref="C29:E30"/>
    <mergeCell ref="F29:I30"/>
    <mergeCell ref="C25:E26"/>
    <mergeCell ref="F25:I26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7"/>
  <sheetViews>
    <sheetView workbookViewId="0">
      <pane xSplit="15" ySplit="3" topLeftCell="P15" activePane="bottomRight" state="frozen"/>
      <selection/>
      <selection pane="topRight"/>
      <selection pane="bottomLeft"/>
      <selection pane="bottomRight" activeCell="M31" sqref="M31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3.625"/>
    <col min="33" max="34" width="9.625"/>
  </cols>
  <sheetData>
    <row r="1" customFormat="1" ht="24" customHeight="1" spans="1:1">
      <c r="A1" s="74" t="s">
        <v>0</v>
      </c>
    </row>
    <row r="2" customFormat="1" ht="6" customHeight="1" spans="1:1">
      <c r="A2" s="74"/>
    </row>
    <row r="3" s="71" customFormat="1" ht="23" customHeight="1" spans="1:32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 t="s">
        <v>6</v>
      </c>
      <c r="G3" s="80" t="s">
        <v>7</v>
      </c>
      <c r="H3" s="80" t="s">
        <v>8</v>
      </c>
      <c r="I3" s="80" t="s">
        <v>9</v>
      </c>
      <c r="J3" s="104" t="s">
        <v>10</v>
      </c>
      <c r="K3" s="105"/>
      <c r="L3" s="106"/>
      <c r="M3" s="105"/>
      <c r="N3" s="106"/>
      <c r="O3" s="107"/>
      <c r="P3" s="108"/>
      <c r="Q3" s="147" t="s">
        <v>11</v>
      </c>
      <c r="R3" s="148" t="s">
        <v>12</v>
      </c>
      <c r="S3" s="149"/>
      <c r="T3" s="150"/>
      <c r="U3" s="151"/>
      <c r="V3" s="152"/>
      <c r="W3" s="153" t="s">
        <v>13</v>
      </c>
      <c r="X3" s="154" t="s">
        <v>14</v>
      </c>
      <c r="Y3" s="173" t="s">
        <v>15</v>
      </c>
      <c r="Z3" s="173"/>
      <c r="AA3" s="173"/>
      <c r="AB3" s="173"/>
      <c r="AC3" s="174"/>
      <c r="AD3" s="173"/>
      <c r="AE3" s="175" t="s">
        <v>16</v>
      </c>
      <c r="AF3" s="176" t="s">
        <v>17</v>
      </c>
    </row>
    <row r="4" s="71" customFormat="1" ht="27" customHeight="1" spans="1:32">
      <c r="A4" s="81"/>
      <c r="B4" s="82"/>
      <c r="C4" s="77"/>
      <c r="D4" s="78"/>
      <c r="E4" s="83"/>
      <c r="F4" s="84"/>
      <c r="G4" s="84"/>
      <c r="H4" s="84"/>
      <c r="I4" s="84"/>
      <c r="J4" s="109" t="s">
        <v>18</v>
      </c>
      <c r="K4" s="110" t="s">
        <v>19</v>
      </c>
      <c r="L4" s="111" t="s">
        <v>20</v>
      </c>
      <c r="M4" s="110" t="s">
        <v>21</v>
      </c>
      <c r="N4" s="112" t="s">
        <v>22</v>
      </c>
      <c r="O4" s="113" t="s">
        <v>23</v>
      </c>
      <c r="P4" s="114" t="s">
        <v>24</v>
      </c>
      <c r="Q4" s="155"/>
      <c r="R4" s="156" t="s">
        <v>25</v>
      </c>
      <c r="S4" s="157" t="s">
        <v>26</v>
      </c>
      <c r="T4" s="158" t="s">
        <v>27</v>
      </c>
      <c r="U4" s="159" t="s">
        <v>28</v>
      </c>
      <c r="V4" s="158" t="s">
        <v>29</v>
      </c>
      <c r="W4" s="160"/>
      <c r="X4" s="161"/>
      <c r="Y4" s="177" t="s">
        <v>30</v>
      </c>
      <c r="Z4" s="177" t="s">
        <v>31</v>
      </c>
      <c r="AA4" s="177" t="s">
        <v>32</v>
      </c>
      <c r="AB4" s="178" t="s">
        <v>33</v>
      </c>
      <c r="AC4" s="179" t="s">
        <v>34</v>
      </c>
      <c r="AD4" s="180" t="s">
        <v>24</v>
      </c>
      <c r="AE4" s="181" t="s">
        <v>35</v>
      </c>
      <c r="AF4" s="182"/>
    </row>
    <row r="5" s="72" customFormat="1" ht="12.75" spans="1:32">
      <c r="A5" s="85"/>
      <c r="B5" s="86"/>
      <c r="C5" s="87">
        <v>240726000053</v>
      </c>
      <c r="D5" s="88">
        <v>45505</v>
      </c>
      <c r="E5" s="88" t="s">
        <v>112</v>
      </c>
      <c r="F5" s="86" t="s">
        <v>113</v>
      </c>
      <c r="G5" s="209" t="s">
        <v>114</v>
      </c>
      <c r="H5" s="209">
        <v>0.2452</v>
      </c>
      <c r="I5" s="209">
        <v>41</v>
      </c>
      <c r="J5" s="213">
        <v>611.38</v>
      </c>
      <c r="K5" s="214"/>
      <c r="L5" s="215"/>
      <c r="M5" s="216"/>
      <c r="N5" s="215"/>
      <c r="O5" s="209"/>
      <c r="P5" s="217">
        <v>611.38</v>
      </c>
      <c r="Q5" s="224"/>
      <c r="R5" s="224"/>
      <c r="S5" s="225">
        <v>211.410248805012</v>
      </c>
      <c r="T5" s="225"/>
      <c r="U5" s="225">
        <v>5.11650298765738</v>
      </c>
      <c r="V5" s="225"/>
      <c r="W5" s="225"/>
      <c r="X5" s="226">
        <v>216.526751792669</v>
      </c>
      <c r="Y5" s="227">
        <v>37.4089095833079</v>
      </c>
      <c r="Z5" s="227"/>
      <c r="AA5" s="227"/>
      <c r="AB5" s="227">
        <v>37.4089095833079</v>
      </c>
      <c r="AC5" s="214">
        <v>7.08</v>
      </c>
      <c r="AD5" s="225">
        <v>264.85507984982</v>
      </c>
      <c r="AE5" s="225">
        <v>481.381831642489</v>
      </c>
      <c r="AF5" s="226">
        <v>129.998168357511</v>
      </c>
    </row>
    <row r="6" s="72" customFormat="1" ht="12.75" spans="1:32">
      <c r="A6" s="85"/>
      <c r="B6" s="86"/>
      <c r="C6" s="87">
        <v>240729000013</v>
      </c>
      <c r="D6" s="88">
        <v>45506</v>
      </c>
      <c r="E6" s="88" t="s">
        <v>112</v>
      </c>
      <c r="F6" s="86" t="s">
        <v>113</v>
      </c>
      <c r="G6" s="209" t="s">
        <v>114</v>
      </c>
      <c r="H6" s="209">
        <v>0.3557</v>
      </c>
      <c r="I6" s="209">
        <v>50</v>
      </c>
      <c r="J6" s="213">
        <v>801.54</v>
      </c>
      <c r="K6" s="214"/>
      <c r="L6" s="215"/>
      <c r="M6" s="216"/>
      <c r="N6" s="215"/>
      <c r="O6" s="209"/>
      <c r="P6" s="217">
        <v>801.54</v>
      </c>
      <c r="Q6" s="224"/>
      <c r="R6" s="224"/>
      <c r="S6" s="225">
        <v>307.926351470588</v>
      </c>
      <c r="T6" s="225"/>
      <c r="U6" s="225">
        <v>10.4617647058824</v>
      </c>
      <c r="V6" s="225"/>
      <c r="W6" s="225"/>
      <c r="X6" s="226">
        <v>318.388116176471</v>
      </c>
      <c r="Y6" s="227">
        <v>52.9260153382353</v>
      </c>
      <c r="Z6" s="227"/>
      <c r="AA6" s="227">
        <v>0.478364191176471</v>
      </c>
      <c r="AB6" s="227">
        <v>53.4043795294118</v>
      </c>
      <c r="AC6" s="214">
        <v>7.15</v>
      </c>
      <c r="AD6" s="225">
        <v>381.841313635294</v>
      </c>
      <c r="AE6" s="225">
        <v>700.229429811765</v>
      </c>
      <c r="AF6" s="226">
        <v>101.310570188235</v>
      </c>
    </row>
    <row r="7" s="72" customFormat="1" ht="12.75" spans="1:34">
      <c r="A7" s="85"/>
      <c r="B7" s="86"/>
      <c r="C7" s="87">
        <v>240730000010</v>
      </c>
      <c r="D7" s="88">
        <v>45506</v>
      </c>
      <c r="E7" s="88" t="s">
        <v>112</v>
      </c>
      <c r="F7" s="86" t="s">
        <v>113</v>
      </c>
      <c r="G7" s="209" t="s">
        <v>114</v>
      </c>
      <c r="H7" s="209">
        <v>3.0014</v>
      </c>
      <c r="I7" s="209">
        <v>502</v>
      </c>
      <c r="J7" s="213">
        <v>6679.5</v>
      </c>
      <c r="K7" s="214"/>
      <c r="L7" s="215"/>
      <c r="M7" s="216"/>
      <c r="N7" s="215"/>
      <c r="O7" s="209"/>
      <c r="P7" s="217">
        <v>6679.5</v>
      </c>
      <c r="Q7" s="224"/>
      <c r="R7" s="224"/>
      <c r="S7" s="225">
        <v>2598.28549705882</v>
      </c>
      <c r="T7" s="225"/>
      <c r="U7" s="225">
        <v>88.2764705882353</v>
      </c>
      <c r="V7" s="225"/>
      <c r="W7" s="225"/>
      <c r="X7" s="226">
        <v>2686.56196764706</v>
      </c>
      <c r="Y7" s="227">
        <v>446.590223323529</v>
      </c>
      <c r="Z7" s="227"/>
      <c r="AA7" s="227">
        <v>4.03644161764706</v>
      </c>
      <c r="AB7" s="227">
        <v>450.626664941176</v>
      </c>
      <c r="AC7" s="214">
        <v>7.15</v>
      </c>
      <c r="AD7" s="225">
        <v>3221.98065432941</v>
      </c>
      <c r="AE7" s="225">
        <v>5908.54262197647</v>
      </c>
      <c r="AF7" s="226">
        <v>770.95737802353</v>
      </c>
      <c r="AG7" s="228">
        <f>SUM(AF5:AF7)</f>
        <v>1002.26611656928</v>
      </c>
      <c r="AH7" s="228">
        <f>SUM(AG7/2)</f>
        <v>501.133058284638</v>
      </c>
    </row>
    <row r="8" s="72" customFormat="1" ht="12.75" spans="1:32">
      <c r="A8" s="85"/>
      <c r="B8" s="86"/>
      <c r="C8" s="87">
        <v>240713000006</v>
      </c>
      <c r="D8" s="88">
        <v>45491</v>
      </c>
      <c r="E8" s="88" t="s">
        <v>112</v>
      </c>
      <c r="F8" s="86" t="s">
        <v>113</v>
      </c>
      <c r="G8" s="86" t="s">
        <v>115</v>
      </c>
      <c r="H8" s="86">
        <v>1.7306</v>
      </c>
      <c r="I8" s="86">
        <v>346</v>
      </c>
      <c r="J8" s="115">
        <v>5462</v>
      </c>
      <c r="K8" s="116"/>
      <c r="L8" s="117"/>
      <c r="M8" s="118"/>
      <c r="N8" s="117"/>
      <c r="O8" s="86"/>
      <c r="P8" s="119">
        <v>5462</v>
      </c>
      <c r="Q8" s="162"/>
      <c r="R8" s="162"/>
      <c r="S8" s="163">
        <v>3368.20772060686</v>
      </c>
      <c r="T8" s="121">
        <v>7.13490366977126</v>
      </c>
      <c r="U8" s="121"/>
      <c r="V8" s="121"/>
      <c r="W8" s="121"/>
      <c r="X8" s="164">
        <v>3375.34262427664</v>
      </c>
      <c r="Y8" s="183"/>
      <c r="Z8" s="183">
        <v>70.8</v>
      </c>
      <c r="AA8" s="183"/>
      <c r="AB8" s="183">
        <v>70.8</v>
      </c>
      <c r="AC8" s="116">
        <v>7.15</v>
      </c>
      <c r="AD8" s="121">
        <v>506.22</v>
      </c>
      <c r="AE8" s="121">
        <v>3881.56262427664</v>
      </c>
      <c r="AF8" s="164">
        <v>1580.43737572336</v>
      </c>
    </row>
    <row r="9" s="72" customFormat="1" ht="12.75" spans="1:32">
      <c r="A9" s="85"/>
      <c r="B9" s="86"/>
      <c r="C9" s="87">
        <v>240717000037</v>
      </c>
      <c r="D9" s="88">
        <v>45498</v>
      </c>
      <c r="E9" s="88" t="s">
        <v>112</v>
      </c>
      <c r="F9" s="86" t="s">
        <v>113</v>
      </c>
      <c r="G9" s="86" t="s">
        <v>116</v>
      </c>
      <c r="H9" s="86">
        <v>6.1861</v>
      </c>
      <c r="I9" s="86">
        <v>1004.71</v>
      </c>
      <c r="J9" s="115">
        <v>14822</v>
      </c>
      <c r="K9" s="116"/>
      <c r="L9" s="117"/>
      <c r="M9" s="118"/>
      <c r="N9" s="117"/>
      <c r="O9" s="86"/>
      <c r="P9" s="119">
        <v>14822</v>
      </c>
      <c r="Q9" s="162"/>
      <c r="R9" s="162"/>
      <c r="S9" s="121">
        <v>5333.62536758843</v>
      </c>
      <c r="T9" s="121"/>
      <c r="U9" s="121">
        <v>129.083193849703</v>
      </c>
      <c r="V9" s="121"/>
      <c r="W9" s="121"/>
      <c r="X9" s="164">
        <v>5462.70856143813</v>
      </c>
      <c r="Y9" s="183">
        <v>943.781629581162</v>
      </c>
      <c r="Z9" s="183"/>
      <c r="AA9" s="183"/>
      <c r="AB9" s="183">
        <v>943.781629581162</v>
      </c>
      <c r="AC9" s="116">
        <v>7.08</v>
      </c>
      <c r="AD9" s="121">
        <v>6681.97393743462</v>
      </c>
      <c r="AE9" s="121">
        <v>12144.6824988728</v>
      </c>
      <c r="AF9" s="164">
        <v>2677.3175011272</v>
      </c>
    </row>
    <row r="10" s="72" customFormat="1" ht="12.75" spans="1:32">
      <c r="A10" s="85"/>
      <c r="B10" s="86"/>
      <c r="C10" s="87">
        <v>240729000009</v>
      </c>
      <c r="D10" s="88">
        <v>45505</v>
      </c>
      <c r="E10" s="88" t="s">
        <v>112</v>
      </c>
      <c r="F10" s="86" t="s">
        <v>113</v>
      </c>
      <c r="G10" s="86" t="s">
        <v>117</v>
      </c>
      <c r="H10" s="86">
        <v>2.2224</v>
      </c>
      <c r="I10" s="86">
        <v>3202</v>
      </c>
      <c r="J10" s="119"/>
      <c r="K10" s="122">
        <v>2787617</v>
      </c>
      <c r="L10" s="117"/>
      <c r="M10" s="118">
        <v>1741.25950961069</v>
      </c>
      <c r="N10" s="120">
        <v>1600.9199</v>
      </c>
      <c r="O10" s="86">
        <v>7.12</v>
      </c>
      <c r="P10" s="119">
        <v>11398.549688</v>
      </c>
      <c r="Q10" s="162"/>
      <c r="R10" s="162"/>
      <c r="S10" s="121">
        <v>1916.14248345945</v>
      </c>
      <c r="T10" s="121"/>
      <c r="U10" s="121">
        <v>46.3740466548522</v>
      </c>
      <c r="V10" s="121"/>
      <c r="W10" s="121"/>
      <c r="X10" s="164">
        <v>1962.5165301143</v>
      </c>
      <c r="Y10" s="183">
        <v>339.060198441857</v>
      </c>
      <c r="Z10" s="183"/>
      <c r="AA10" s="183"/>
      <c r="AB10" s="183">
        <v>339.060198441857</v>
      </c>
      <c r="AC10" s="116">
        <v>7.08</v>
      </c>
      <c r="AD10" s="121">
        <v>2400.54620496835</v>
      </c>
      <c r="AE10" s="121">
        <v>4363.06273508265</v>
      </c>
      <c r="AF10" s="164">
        <v>7035.48695291735</v>
      </c>
    </row>
    <row r="11" s="72" customFormat="1" ht="12.75" spans="1:32">
      <c r="A11" s="85"/>
      <c r="B11" s="86"/>
      <c r="C11" s="87">
        <v>240723000028</v>
      </c>
      <c r="D11" s="88">
        <v>45506</v>
      </c>
      <c r="E11" s="88" t="s">
        <v>112</v>
      </c>
      <c r="F11" s="86" t="s">
        <v>113</v>
      </c>
      <c r="G11" s="86" t="s">
        <v>118</v>
      </c>
      <c r="H11" s="86">
        <v>0.4159</v>
      </c>
      <c r="I11" s="86">
        <v>53.8</v>
      </c>
      <c r="J11" s="119"/>
      <c r="K11" s="122">
        <v>286650</v>
      </c>
      <c r="L11" s="117"/>
      <c r="M11" s="118">
        <v>1750</v>
      </c>
      <c r="N11" s="120">
        <v>163.8</v>
      </c>
      <c r="O11" s="86">
        <v>7.12</v>
      </c>
      <c r="P11" s="119">
        <v>1166.256</v>
      </c>
      <c r="Q11" s="162"/>
      <c r="R11" s="162"/>
      <c r="S11" s="121">
        <v>360.040960294118</v>
      </c>
      <c r="T11" s="121"/>
      <c r="U11" s="121">
        <v>12.2323529411765</v>
      </c>
      <c r="V11" s="121"/>
      <c r="W11" s="121"/>
      <c r="X11" s="164">
        <v>372.273313235294</v>
      </c>
      <c r="Y11" s="183">
        <v>61.8834123676471</v>
      </c>
      <c r="Z11" s="183"/>
      <c r="AA11" s="183">
        <v>0.559324338235294</v>
      </c>
      <c r="AB11" s="183">
        <v>62.4427367058823</v>
      </c>
      <c r="AC11" s="116">
        <v>7.15</v>
      </c>
      <c r="AD11" s="121">
        <v>446.465567447059</v>
      </c>
      <c r="AE11" s="121">
        <v>818.738880682353</v>
      </c>
      <c r="AF11" s="164">
        <v>347.517119317647</v>
      </c>
    </row>
    <row r="12" s="72" customFormat="1" ht="12.75" spans="1:32">
      <c r="A12" s="85"/>
      <c r="B12" s="86"/>
      <c r="C12" s="87">
        <v>240717000037</v>
      </c>
      <c r="D12" s="88">
        <v>45498</v>
      </c>
      <c r="E12" s="88" t="s">
        <v>112</v>
      </c>
      <c r="F12" s="86" t="s">
        <v>113</v>
      </c>
      <c r="G12" s="86" t="s">
        <v>116</v>
      </c>
      <c r="H12" s="86">
        <v>8.2</v>
      </c>
      <c r="I12" s="86">
        <v>882</v>
      </c>
      <c r="J12" s="115">
        <v>19661.07</v>
      </c>
      <c r="K12" s="116"/>
      <c r="L12" s="117"/>
      <c r="M12" s="118"/>
      <c r="N12" s="117"/>
      <c r="O12" s="86"/>
      <c r="P12" s="119">
        <v>19661.07</v>
      </c>
      <c r="Q12" s="162"/>
      <c r="R12" s="162"/>
      <c r="S12" s="121">
        <v>7098.66764705882</v>
      </c>
      <c r="T12" s="121"/>
      <c r="U12" s="121">
        <v>241.176470588235</v>
      </c>
      <c r="V12" s="121"/>
      <c r="W12" s="121"/>
      <c r="X12" s="164">
        <v>7339.84411764706</v>
      </c>
      <c r="Y12" s="183">
        <v>1220.11055882353</v>
      </c>
      <c r="Z12" s="183"/>
      <c r="AA12" s="183">
        <v>11.0277941176471</v>
      </c>
      <c r="AB12" s="183">
        <v>1231.13835294118</v>
      </c>
      <c r="AC12" s="116">
        <v>7.15</v>
      </c>
      <c r="AD12" s="121">
        <v>8802.63922352941</v>
      </c>
      <c r="AE12" s="121">
        <v>16142.4833411765</v>
      </c>
      <c r="AF12" s="164">
        <v>3518.5866588235</v>
      </c>
    </row>
    <row r="13" s="72" customFormat="1" ht="12.75" spans="1:32">
      <c r="A13" s="210"/>
      <c r="B13" s="211"/>
      <c r="C13" s="87">
        <v>240805000030</v>
      </c>
      <c r="D13" s="88">
        <v>45511</v>
      </c>
      <c r="E13" s="88" t="s">
        <v>112</v>
      </c>
      <c r="F13" s="212" t="s">
        <v>113</v>
      </c>
      <c r="G13" s="212" t="s">
        <v>119</v>
      </c>
      <c r="H13" s="212">
        <v>0.4717</v>
      </c>
      <c r="I13" s="212">
        <v>63</v>
      </c>
      <c r="J13" s="218">
        <v>1994.39</v>
      </c>
      <c r="K13" s="116"/>
      <c r="L13" s="219"/>
      <c r="M13" s="118"/>
      <c r="N13" s="219"/>
      <c r="O13" s="86"/>
      <c r="P13" s="121">
        <v>1994.39</v>
      </c>
      <c r="Q13" s="165"/>
      <c r="R13" s="165"/>
      <c r="S13" s="121">
        <v>399.08768125</v>
      </c>
      <c r="T13" s="121"/>
      <c r="U13" s="121">
        <v>10.0583088235294</v>
      </c>
      <c r="V13" s="121"/>
      <c r="W13" s="121"/>
      <c r="X13" s="164">
        <v>409.145990073529</v>
      </c>
      <c r="Y13" s="184">
        <v>73.0371955882353</v>
      </c>
      <c r="Z13" s="183">
        <v>76.7</v>
      </c>
      <c r="AA13" s="183">
        <v>1.43230317647059</v>
      </c>
      <c r="AB13" s="183">
        <v>151.169498764706</v>
      </c>
      <c r="AC13" s="116">
        <v>7.09</v>
      </c>
      <c r="AD13" s="121">
        <v>1071.79174624176</v>
      </c>
      <c r="AE13" s="121">
        <v>1480.93773631529</v>
      </c>
      <c r="AF13" s="164">
        <v>513.45226368471</v>
      </c>
    </row>
    <row r="14" s="72" customFormat="1" ht="12.75" spans="1:32">
      <c r="A14" s="85"/>
      <c r="B14" s="86"/>
      <c r="C14" s="87">
        <v>240801000020</v>
      </c>
      <c r="D14" s="88">
        <v>45512</v>
      </c>
      <c r="E14" s="88" t="s">
        <v>112</v>
      </c>
      <c r="F14" s="86" t="s">
        <v>113</v>
      </c>
      <c r="G14" s="86" t="s">
        <v>116</v>
      </c>
      <c r="H14" s="86">
        <v>5.1796</v>
      </c>
      <c r="I14" s="86">
        <v>572</v>
      </c>
      <c r="J14" s="115">
        <v>12648</v>
      </c>
      <c r="K14" s="116"/>
      <c r="L14" s="117"/>
      <c r="M14" s="118"/>
      <c r="N14" s="117"/>
      <c r="O14" s="86"/>
      <c r="P14" s="121">
        <v>12648</v>
      </c>
      <c r="Q14" s="166"/>
      <c r="R14" s="166"/>
      <c r="S14" s="121">
        <v>4504.51911911765</v>
      </c>
      <c r="T14" s="121"/>
      <c r="U14" s="121">
        <v>110.447352941176</v>
      </c>
      <c r="V14" s="121"/>
      <c r="W14" s="121"/>
      <c r="X14" s="164">
        <v>4614.96647205882</v>
      </c>
      <c r="Y14" s="184">
        <v>802.000123529412</v>
      </c>
      <c r="Z14" s="183"/>
      <c r="AA14" s="183">
        <v>19.7723612941176</v>
      </c>
      <c r="AB14" s="183">
        <v>821.772484823529</v>
      </c>
      <c r="AC14" s="116">
        <v>7.09</v>
      </c>
      <c r="AD14" s="121">
        <v>5826.36691739882</v>
      </c>
      <c r="AE14" s="121">
        <v>10441.3333894576</v>
      </c>
      <c r="AF14" s="164">
        <v>2206.6666105424</v>
      </c>
    </row>
    <row r="15" s="72" customFormat="1" ht="25.5" spans="1:32">
      <c r="A15" s="85" t="s">
        <v>120</v>
      </c>
      <c r="B15" s="86" t="s">
        <v>121</v>
      </c>
      <c r="C15" s="87">
        <v>240801000020</v>
      </c>
      <c r="D15" s="88">
        <v>45512</v>
      </c>
      <c r="E15" s="88" t="s">
        <v>112</v>
      </c>
      <c r="F15" s="86" t="s">
        <v>113</v>
      </c>
      <c r="G15" s="86" t="s">
        <v>116</v>
      </c>
      <c r="H15" s="86">
        <v>5.7204</v>
      </c>
      <c r="I15" s="86">
        <v>603</v>
      </c>
      <c r="J15" s="115">
        <v>13956</v>
      </c>
      <c r="K15" s="116"/>
      <c r="L15" s="117"/>
      <c r="M15" s="118"/>
      <c r="N15" s="117"/>
      <c r="O15" s="86"/>
      <c r="P15" s="121">
        <v>13956</v>
      </c>
      <c r="Q15" s="166">
        <v>59110.83</v>
      </c>
      <c r="R15" s="167" t="s">
        <v>122</v>
      </c>
      <c r="S15" s="121">
        <v>4923.93945441176</v>
      </c>
      <c r="T15" s="121">
        <v>4.62595288235294</v>
      </c>
      <c r="U15" s="121">
        <v>84.1235294117647</v>
      </c>
      <c r="V15" s="121"/>
      <c r="W15" s="121"/>
      <c r="X15" s="164">
        <v>5012.68893670588</v>
      </c>
      <c r="Y15" s="184">
        <v>877.829029411765</v>
      </c>
      <c r="Z15" s="183"/>
      <c r="AA15" s="183"/>
      <c r="AB15" s="183">
        <v>877.829029411765</v>
      </c>
      <c r="AC15" s="116">
        <v>7.12</v>
      </c>
      <c r="AD15" s="121">
        <v>6250.14268941176</v>
      </c>
      <c r="AE15" s="121">
        <v>11262.8316261176</v>
      </c>
      <c r="AF15" s="164">
        <v>2693.1683738824</v>
      </c>
    </row>
    <row r="16" s="72" customFormat="1" ht="12.75" spans="1:32">
      <c r="A16" s="85"/>
      <c r="B16" s="86"/>
      <c r="C16" s="87">
        <v>240807000004</v>
      </c>
      <c r="D16" s="88">
        <v>45534</v>
      </c>
      <c r="E16" s="88" t="s">
        <v>112</v>
      </c>
      <c r="F16" s="86" t="s">
        <v>113</v>
      </c>
      <c r="G16" s="86" t="s">
        <v>123</v>
      </c>
      <c r="H16" s="86">
        <v>2.4662</v>
      </c>
      <c r="I16" s="86">
        <v>160</v>
      </c>
      <c r="J16" s="119"/>
      <c r="K16" s="122">
        <v>1842570</v>
      </c>
      <c r="L16" s="117"/>
      <c r="M16" s="118">
        <v>1735</v>
      </c>
      <c r="N16" s="120">
        <v>1062</v>
      </c>
      <c r="O16" s="86">
        <v>7.12</v>
      </c>
      <c r="P16" s="119">
        <v>7561.44</v>
      </c>
      <c r="Q16" s="162"/>
      <c r="R16" s="162"/>
      <c r="S16" s="121">
        <v>2087.03081691176</v>
      </c>
      <c r="T16" s="121"/>
      <c r="U16" s="121">
        <v>76.1620588235294</v>
      </c>
      <c r="V16" s="121"/>
      <c r="W16" s="121"/>
      <c r="X16" s="164">
        <v>2163.19287573529</v>
      </c>
      <c r="Y16" s="184">
        <v>377.800079411765</v>
      </c>
      <c r="Z16" s="183"/>
      <c r="AA16" s="183"/>
      <c r="AB16" s="183">
        <v>377.800079411765</v>
      </c>
      <c r="AC16" s="116">
        <v>7.07</v>
      </c>
      <c r="AD16" s="121">
        <v>2671.04656144118</v>
      </c>
      <c r="AE16" s="121">
        <v>4834.23943717647</v>
      </c>
      <c r="AF16" s="164">
        <v>2727.20056282353</v>
      </c>
    </row>
    <row r="17" s="72" customFormat="1" ht="12.75" spans="1:32">
      <c r="A17" s="85"/>
      <c r="B17" s="86"/>
      <c r="C17" s="87">
        <v>240809000034</v>
      </c>
      <c r="D17" s="88">
        <v>45534</v>
      </c>
      <c r="E17" s="88" t="s">
        <v>112</v>
      </c>
      <c r="F17" s="86" t="s">
        <v>113</v>
      </c>
      <c r="G17" s="86" t="s">
        <v>124</v>
      </c>
      <c r="H17" s="86">
        <v>0.9292</v>
      </c>
      <c r="I17" s="86">
        <v>144</v>
      </c>
      <c r="J17" s="119"/>
      <c r="K17" s="122">
        <v>548260</v>
      </c>
      <c r="L17" s="117"/>
      <c r="M17" s="118">
        <v>1735</v>
      </c>
      <c r="N17" s="120">
        <v>316</v>
      </c>
      <c r="O17" s="86">
        <v>7.12</v>
      </c>
      <c r="P17" s="119">
        <v>2249.92</v>
      </c>
      <c r="Q17" s="162"/>
      <c r="R17" s="162"/>
      <c r="S17" s="121">
        <v>786.338916176471</v>
      </c>
      <c r="T17" s="121"/>
      <c r="U17" s="121">
        <v>28.6958823529412</v>
      </c>
      <c r="V17" s="121"/>
      <c r="W17" s="121"/>
      <c r="X17" s="164">
        <v>815.034798529412</v>
      </c>
      <c r="Y17" s="184">
        <v>142.345241176471</v>
      </c>
      <c r="Z17" s="183"/>
      <c r="AA17" s="183"/>
      <c r="AB17" s="183">
        <v>142.345241176471</v>
      </c>
      <c r="AC17" s="116">
        <v>7.07</v>
      </c>
      <c r="AD17" s="121">
        <v>1006.38085511765</v>
      </c>
      <c r="AE17" s="121">
        <v>1821.41565364706</v>
      </c>
      <c r="AF17" s="164">
        <v>428.504346352941</v>
      </c>
    </row>
    <row r="18" s="72" customFormat="1" ht="12.75" spans="1:32">
      <c r="A18" s="85"/>
      <c r="B18" s="86"/>
      <c r="C18" s="87">
        <v>240818000009</v>
      </c>
      <c r="D18" s="88">
        <v>45516</v>
      </c>
      <c r="E18" s="88" t="s">
        <v>112</v>
      </c>
      <c r="F18" s="86" t="s">
        <v>113</v>
      </c>
      <c r="G18" s="86" t="s">
        <v>125</v>
      </c>
      <c r="H18" s="86">
        <v>0.1955</v>
      </c>
      <c r="I18" s="86">
        <v>39</v>
      </c>
      <c r="J18" s="115">
        <v>468</v>
      </c>
      <c r="K18" s="116"/>
      <c r="L18" s="117"/>
      <c r="M18" s="118"/>
      <c r="N18" s="117"/>
      <c r="O18" s="86"/>
      <c r="P18" s="119">
        <v>468</v>
      </c>
      <c r="Q18" s="162"/>
      <c r="R18" s="162"/>
      <c r="S18" s="121">
        <v>153.119625</v>
      </c>
      <c r="T18" s="121"/>
      <c r="U18" s="121">
        <v>3.7375</v>
      </c>
      <c r="V18" s="121"/>
      <c r="W18" s="121"/>
      <c r="X18" s="164">
        <v>156.857125</v>
      </c>
      <c r="Y18" s="183">
        <v>30.8701975</v>
      </c>
      <c r="Z18" s="183"/>
      <c r="AA18" s="183"/>
      <c r="AB18" s="183">
        <v>30.8701975</v>
      </c>
      <c r="AC18" s="116">
        <v>7.06</v>
      </c>
      <c r="AD18" s="121">
        <v>217.94359435</v>
      </c>
      <c r="AE18" s="121">
        <v>374.80071935</v>
      </c>
      <c r="AF18" s="164">
        <v>93.19928065</v>
      </c>
    </row>
    <row r="19" s="72" customFormat="1" ht="12.75" spans="1:32">
      <c r="A19" s="85"/>
      <c r="B19" s="86"/>
      <c r="C19" s="87">
        <v>240818000013</v>
      </c>
      <c r="D19" s="88">
        <v>45516</v>
      </c>
      <c r="E19" s="88" t="s">
        <v>112</v>
      </c>
      <c r="F19" s="86" t="s">
        <v>113</v>
      </c>
      <c r="G19" s="86" t="s">
        <v>126</v>
      </c>
      <c r="H19" s="86">
        <v>1.5335</v>
      </c>
      <c r="I19" s="86">
        <v>305</v>
      </c>
      <c r="J19" s="119"/>
      <c r="K19" s="122">
        <v>1228413.6</v>
      </c>
      <c r="L19" s="117"/>
      <c r="M19" s="118">
        <v>1744.98004176314</v>
      </c>
      <c r="N19" s="120">
        <v>703.97</v>
      </c>
      <c r="O19" s="86">
        <v>7.15</v>
      </c>
      <c r="P19" s="119">
        <v>5033.3855</v>
      </c>
      <c r="Q19" s="162"/>
      <c r="R19" s="162"/>
      <c r="S19" s="121">
        <v>1201.06877205882</v>
      </c>
      <c r="T19" s="121"/>
      <c r="U19" s="121">
        <v>29.3169117647059</v>
      </c>
      <c r="V19" s="121"/>
      <c r="W19" s="121"/>
      <c r="X19" s="164">
        <v>1230.38568382353</v>
      </c>
      <c r="Y19" s="183">
        <v>242.145513382353</v>
      </c>
      <c r="Z19" s="183">
        <v>248</v>
      </c>
      <c r="AA19" s="183"/>
      <c r="AB19" s="183">
        <v>490.145513382353</v>
      </c>
      <c r="AC19" s="116">
        <v>7.06</v>
      </c>
      <c r="AD19" s="121">
        <v>3460.42732447941</v>
      </c>
      <c r="AE19" s="121">
        <v>4690.81300830294</v>
      </c>
      <c r="AF19" s="164">
        <v>342.572491697059</v>
      </c>
    </row>
    <row r="20" s="72" customFormat="1" ht="12.75" spans="1:32">
      <c r="A20" s="85"/>
      <c r="B20" s="86"/>
      <c r="C20" s="87">
        <v>240816000038</v>
      </c>
      <c r="D20" s="88">
        <v>45532</v>
      </c>
      <c r="E20" s="88" t="s">
        <v>112</v>
      </c>
      <c r="F20" s="86" t="s">
        <v>113</v>
      </c>
      <c r="G20" s="86" t="s">
        <v>127</v>
      </c>
      <c r="H20" s="86">
        <v>0.1557</v>
      </c>
      <c r="I20" s="86">
        <v>40.2</v>
      </c>
      <c r="J20" s="115">
        <v>602</v>
      </c>
      <c r="K20" s="116"/>
      <c r="L20" s="117"/>
      <c r="M20" s="118"/>
      <c r="N20" s="117"/>
      <c r="O20" s="86"/>
      <c r="P20" s="119">
        <v>602</v>
      </c>
      <c r="Q20" s="162"/>
      <c r="R20" s="162"/>
      <c r="S20" s="121">
        <v>121.025838970588</v>
      </c>
      <c r="T20" s="121"/>
      <c r="U20" s="121">
        <v>3.43455882352941</v>
      </c>
      <c r="V20" s="121"/>
      <c r="W20" s="121"/>
      <c r="X20" s="164">
        <v>124.460397794118</v>
      </c>
      <c r="Y20" s="183">
        <v>24.5856253235294</v>
      </c>
      <c r="Z20" s="183">
        <v>21.12</v>
      </c>
      <c r="AA20" s="183">
        <v>0.567366220588235</v>
      </c>
      <c r="AB20" s="183">
        <v>46.2729915441176</v>
      </c>
      <c r="AC20" s="116">
        <v>7.12</v>
      </c>
      <c r="AD20" s="121">
        <v>329.463699794118</v>
      </c>
      <c r="AE20" s="121">
        <v>453.924097588235</v>
      </c>
      <c r="AF20" s="164">
        <v>148.075902411765</v>
      </c>
    </row>
    <row r="21" s="72" customFormat="1" ht="12.75" spans="1:32">
      <c r="A21" s="85"/>
      <c r="B21" s="86"/>
      <c r="C21" s="87">
        <v>240820000001</v>
      </c>
      <c r="D21" s="88">
        <v>45532</v>
      </c>
      <c r="E21" s="88" t="s">
        <v>112</v>
      </c>
      <c r="F21" s="86" t="s">
        <v>113</v>
      </c>
      <c r="G21" s="86" t="s">
        <v>116</v>
      </c>
      <c r="H21" s="86">
        <v>7.0865</v>
      </c>
      <c r="I21" s="86">
        <v>599</v>
      </c>
      <c r="J21" s="115">
        <v>17258.7</v>
      </c>
      <c r="K21" s="116"/>
      <c r="L21" s="117"/>
      <c r="M21" s="118"/>
      <c r="N21" s="117"/>
      <c r="O21" s="86"/>
      <c r="P21" s="119">
        <v>17258.7</v>
      </c>
      <c r="Q21" s="162"/>
      <c r="R21" s="162"/>
      <c r="S21" s="121">
        <v>5508.34687132353</v>
      </c>
      <c r="T21" s="121"/>
      <c r="U21" s="121">
        <v>156.319852941176</v>
      </c>
      <c r="V21" s="121">
        <v>300</v>
      </c>
      <c r="W21" s="121"/>
      <c r="X21" s="164">
        <v>5964.66672426471</v>
      </c>
      <c r="Y21" s="183">
        <v>1118.98544544118</v>
      </c>
      <c r="Z21" s="183"/>
      <c r="AA21" s="183">
        <v>25.8229975735294</v>
      </c>
      <c r="AB21" s="183">
        <v>1144.80844301471</v>
      </c>
      <c r="AC21" s="116">
        <v>7.12</v>
      </c>
      <c r="AD21" s="121">
        <v>8151.03611426471</v>
      </c>
      <c r="AE21" s="121">
        <v>14115.7028385294</v>
      </c>
      <c r="AF21" s="164">
        <v>3142.9971614706</v>
      </c>
    </row>
    <row r="22" s="72" customFormat="1" ht="12.75" spans="1:32">
      <c r="A22" s="85"/>
      <c r="B22" s="86"/>
      <c r="C22" s="87">
        <v>240826000039</v>
      </c>
      <c r="D22" s="88">
        <v>45532</v>
      </c>
      <c r="E22" s="88" t="s">
        <v>112</v>
      </c>
      <c r="F22" s="86" t="s">
        <v>113</v>
      </c>
      <c r="G22" s="86" t="s">
        <v>126</v>
      </c>
      <c r="H22" s="86">
        <v>1.823</v>
      </c>
      <c r="I22" s="86">
        <v>321</v>
      </c>
      <c r="J22" s="119"/>
      <c r="K22" s="122">
        <v>964731.6</v>
      </c>
      <c r="L22" s="117"/>
      <c r="M22" s="118">
        <v>1764.00503172033</v>
      </c>
      <c r="N22" s="120">
        <v>546.89844</v>
      </c>
      <c r="O22" s="86">
        <v>7.23</v>
      </c>
      <c r="P22" s="119">
        <v>3954.0757212</v>
      </c>
      <c r="Q22" s="162"/>
      <c r="R22" s="162"/>
      <c r="S22" s="121">
        <v>1417.02058088235</v>
      </c>
      <c r="T22" s="121"/>
      <c r="U22" s="121">
        <v>40.2132352941176</v>
      </c>
      <c r="V22" s="121"/>
      <c r="W22" s="121"/>
      <c r="X22" s="164">
        <v>1457.23381617647</v>
      </c>
      <c r="Y22" s="183">
        <v>287.858670294118</v>
      </c>
      <c r="Z22" s="183"/>
      <c r="AA22" s="183">
        <v>6.64295838235294</v>
      </c>
      <c r="AB22" s="183">
        <v>294.501628676471</v>
      </c>
      <c r="AC22" s="116">
        <v>7.12</v>
      </c>
      <c r="AD22" s="121">
        <v>2096.85159617647</v>
      </c>
      <c r="AE22" s="121">
        <v>3554.08541235294</v>
      </c>
      <c r="AF22" s="164">
        <v>399.990308847059</v>
      </c>
    </row>
    <row r="23" s="190" customFormat="1" ht="19" customHeight="1" spans="1:32">
      <c r="A23" s="85" t="s">
        <v>110</v>
      </c>
      <c r="B23" s="193"/>
      <c r="C23" s="194"/>
      <c r="D23" s="195"/>
      <c r="E23" s="196"/>
      <c r="F23" s="193"/>
      <c r="G23" s="193"/>
      <c r="H23" s="193"/>
      <c r="I23" s="201"/>
      <c r="J23" s="201"/>
      <c r="K23" s="201"/>
      <c r="L23" s="201"/>
      <c r="M23" s="202"/>
      <c r="N23" s="202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208"/>
      <c r="AC23" s="208"/>
      <c r="AD23" s="208"/>
      <c r="AE23" s="208"/>
      <c r="AF23" s="208">
        <f>SUM(AF5:AF22)</f>
        <v>28857.4390268408</v>
      </c>
    </row>
    <row r="24" s="191" customFormat="1" ht="20" customHeight="1" spans="1:32">
      <c r="A24" s="197"/>
      <c r="B24" s="197"/>
      <c r="D24" s="198"/>
      <c r="H24" s="199"/>
      <c r="I24" s="203"/>
      <c r="J24" s="204"/>
      <c r="K24" s="199"/>
      <c r="L24" s="199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AF24" s="199">
        <v>501.133058284638</v>
      </c>
    </row>
    <row r="25" s="1" customFormat="1" ht="23" customHeight="1" spans="3:32">
      <c r="C25" s="95" t="s">
        <v>60</v>
      </c>
      <c r="D25" s="95"/>
      <c r="E25" s="95"/>
      <c r="F25" s="96" t="s">
        <v>61</v>
      </c>
      <c r="G25" s="97"/>
      <c r="H25" s="97"/>
      <c r="I25" s="124"/>
      <c r="J25"/>
      <c r="K25" s="129" t="s">
        <v>128</v>
      </c>
      <c r="L25" s="129"/>
      <c r="M25" s="129"/>
      <c r="N25" s="129"/>
      <c r="O25"/>
      <c r="P25"/>
      <c r="AF25" s="66">
        <f>SUM(AF23-AF24)</f>
        <v>28356.3059685562</v>
      </c>
    </row>
    <row r="26" s="1" customFormat="1" ht="23" customHeight="1" spans="3:16">
      <c r="C26" s="95"/>
      <c r="D26" s="95"/>
      <c r="E26" s="95"/>
      <c r="F26" s="98"/>
      <c r="G26" s="99"/>
      <c r="H26" s="99"/>
      <c r="I26" s="128"/>
      <c r="J26"/>
      <c r="K26" s="220" t="s">
        <v>63</v>
      </c>
      <c r="L26" s="220" t="s">
        <v>8</v>
      </c>
      <c r="M26" s="220" t="s">
        <v>64</v>
      </c>
      <c r="N26" s="220" t="s">
        <v>88</v>
      </c>
      <c r="O26"/>
      <c r="P26"/>
    </row>
    <row r="27" s="1" customFormat="1" ht="23" customHeight="1" spans="3:16">
      <c r="C27" s="95" t="s">
        <v>65</v>
      </c>
      <c r="D27" s="95"/>
      <c r="E27" s="95"/>
      <c r="F27" s="100" t="s">
        <v>66</v>
      </c>
      <c r="G27" s="101"/>
      <c r="H27" s="101"/>
      <c r="I27" s="130"/>
      <c r="J27"/>
      <c r="K27" s="129" t="s">
        <v>67</v>
      </c>
      <c r="L27" s="131">
        <f>SUM(H5:H22)</f>
        <v>47.9186</v>
      </c>
      <c r="M27" s="132">
        <v>28356.3059685562</v>
      </c>
      <c r="N27" s="221" t="s">
        <v>129</v>
      </c>
      <c r="O27"/>
      <c r="P27"/>
    </row>
    <row r="28" s="1" customFormat="1" ht="23" customHeight="1" spans="3:16">
      <c r="C28" s="95"/>
      <c r="D28" s="95"/>
      <c r="E28" s="95"/>
      <c r="F28" s="102"/>
      <c r="G28" s="103"/>
      <c r="H28" s="103"/>
      <c r="I28" s="133"/>
      <c r="J28"/>
      <c r="K28" s="144" t="s">
        <v>72</v>
      </c>
      <c r="L28" s="144"/>
      <c r="M28" s="146">
        <v>2000</v>
      </c>
      <c r="N28" s="222"/>
      <c r="O28"/>
      <c r="P28"/>
    </row>
    <row r="29" s="1" customFormat="1" ht="23" customHeight="1" spans="3:16">
      <c r="C29" s="95" t="s">
        <v>69</v>
      </c>
      <c r="D29" s="95"/>
      <c r="E29" s="95"/>
      <c r="F29" s="100" t="s">
        <v>70</v>
      </c>
      <c r="G29" s="101"/>
      <c r="H29" s="101"/>
      <c r="I29" s="130"/>
      <c r="J29"/>
      <c r="K29" s="206" t="s">
        <v>71</v>
      </c>
      <c r="L29" s="206"/>
      <c r="M29" s="207">
        <f>SUM(M27-M28)</f>
        <v>26356.3059685562</v>
      </c>
      <c r="N29" s="222"/>
      <c r="O29"/>
      <c r="P29"/>
    </row>
    <row r="30" s="1" customFormat="1" ht="23" customHeight="1" spans="3:16">
      <c r="C30" s="95"/>
      <c r="D30" s="95"/>
      <c r="E30" s="95"/>
      <c r="F30" s="102"/>
      <c r="G30" s="103"/>
      <c r="H30" s="103"/>
      <c r="I30" s="133"/>
      <c r="J30"/>
      <c r="K30" s="129" t="s">
        <v>90</v>
      </c>
      <c r="L30" s="129"/>
      <c r="M30" s="129">
        <v>0.1</v>
      </c>
      <c r="N30" s="222"/>
      <c r="O30"/>
      <c r="P30"/>
    </row>
    <row r="31" s="1" customFormat="1" ht="23" customHeight="1" spans="5:16">
      <c r="E31"/>
      <c r="F31"/>
      <c r="G31"/>
      <c r="H31"/>
      <c r="I31"/>
      <c r="J31"/>
      <c r="K31" s="144" t="s">
        <v>74</v>
      </c>
      <c r="L31" s="144"/>
      <c r="M31" s="146">
        <f>SUM(M29*M30)</f>
        <v>2635.63059685562</v>
      </c>
      <c r="N31" s="223"/>
      <c r="O31"/>
      <c r="P31"/>
    </row>
    <row r="32" s="1" customFormat="1" ht="23" customHeight="1" spans="5:16">
      <c r="E32"/>
      <c r="F32"/>
      <c r="G32"/>
      <c r="H32"/>
      <c r="I32"/>
      <c r="J32"/>
      <c r="K32"/>
      <c r="L32"/>
      <c r="M32"/>
      <c r="O32"/>
      <c r="P32"/>
    </row>
    <row r="33" s="1" customFormat="1" ht="23" customHeight="1" spans="5:13">
      <c r="E33"/>
      <c r="F33"/>
      <c r="G33"/>
      <c r="H33"/>
      <c r="I33"/>
      <c r="J33"/>
      <c r="K33"/>
      <c r="L33"/>
      <c r="M33"/>
    </row>
    <row r="34" s="1" customFormat="1" ht="23" customHeight="1" spans="5:13">
      <c r="E34"/>
      <c r="F34"/>
      <c r="G34"/>
      <c r="H34"/>
      <c r="I34"/>
      <c r="J34"/>
      <c r="K34"/>
      <c r="L34"/>
      <c r="M34"/>
    </row>
    <row r="35" s="1" customFormat="1" ht="23" customHeight="1" spans="5:19">
      <c r="E35"/>
      <c r="F35"/>
      <c r="G35"/>
      <c r="H35"/>
      <c r="I35"/>
      <c r="J35"/>
      <c r="K35" s="200"/>
      <c r="L35" s="200"/>
      <c r="N35" s="200"/>
      <c r="O35"/>
      <c r="P35"/>
      <c r="Q35"/>
      <c r="R35"/>
      <c r="S35" s="36"/>
    </row>
    <row r="36" s="1" customFormat="1" ht="23" customHeight="1" spans="5:19">
      <c r="E36" s="200"/>
      <c r="F36" s="200"/>
      <c r="G36" s="200"/>
      <c r="H36" s="200"/>
      <c r="I36" s="200"/>
      <c r="J36" s="200"/>
      <c r="K36"/>
      <c r="L36"/>
      <c r="M36"/>
      <c r="N36"/>
      <c r="O36" s="200"/>
      <c r="P36" s="200"/>
      <c r="Q36" s="200"/>
      <c r="S36" s="36"/>
    </row>
    <row r="37" ht="25" customHeight="1"/>
  </sheetData>
  <mergeCells count="24">
    <mergeCell ref="J3:P3"/>
    <mergeCell ref="R3:V3"/>
    <mergeCell ref="Y3:AD3"/>
    <mergeCell ref="K25:N25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27:N31"/>
    <mergeCell ref="Q3:Q4"/>
    <mergeCell ref="W3:W4"/>
    <mergeCell ref="X3:X4"/>
    <mergeCell ref="AF3:AF4"/>
    <mergeCell ref="C25:E26"/>
    <mergeCell ref="F25:I26"/>
    <mergeCell ref="C27:E28"/>
    <mergeCell ref="F27:I28"/>
    <mergeCell ref="C29:E30"/>
    <mergeCell ref="F29:I30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14" sqref="M14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7.75" customWidth="1"/>
    <col min="12" max="12" width="11.75" customWidth="1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74" t="s">
        <v>0</v>
      </c>
    </row>
    <row r="2" customFormat="1" ht="6" customHeight="1" spans="1:1">
      <c r="A2" s="74"/>
    </row>
    <row r="3" s="71" customFormat="1" ht="23" customHeight="1" spans="1:32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 t="s">
        <v>6</v>
      </c>
      <c r="G3" s="80" t="s">
        <v>7</v>
      </c>
      <c r="H3" s="80" t="s">
        <v>8</v>
      </c>
      <c r="I3" s="80" t="s">
        <v>9</v>
      </c>
      <c r="J3" s="104" t="s">
        <v>10</v>
      </c>
      <c r="K3" s="105"/>
      <c r="L3" s="106"/>
      <c r="M3" s="105"/>
      <c r="N3" s="106"/>
      <c r="O3" s="107"/>
      <c r="P3" s="108"/>
      <c r="Q3" s="147" t="s">
        <v>11</v>
      </c>
      <c r="R3" s="148" t="s">
        <v>12</v>
      </c>
      <c r="S3" s="149"/>
      <c r="T3" s="150"/>
      <c r="U3" s="151"/>
      <c r="V3" s="152"/>
      <c r="W3" s="153" t="s">
        <v>13</v>
      </c>
      <c r="X3" s="154" t="s">
        <v>14</v>
      </c>
      <c r="Y3" s="173" t="s">
        <v>15</v>
      </c>
      <c r="Z3" s="173"/>
      <c r="AA3" s="173"/>
      <c r="AB3" s="173"/>
      <c r="AC3" s="174"/>
      <c r="AD3" s="173"/>
      <c r="AE3" s="175" t="s">
        <v>16</v>
      </c>
      <c r="AF3" s="176" t="s">
        <v>17</v>
      </c>
    </row>
    <row r="4" s="71" customFormat="1" ht="27" customHeight="1" spans="1:32">
      <c r="A4" s="81"/>
      <c r="B4" s="82"/>
      <c r="C4" s="77"/>
      <c r="D4" s="78"/>
      <c r="E4" s="83"/>
      <c r="F4" s="84"/>
      <c r="G4" s="84"/>
      <c r="H4" s="84"/>
      <c r="I4" s="84"/>
      <c r="J4" s="109" t="s">
        <v>18</v>
      </c>
      <c r="K4" s="110" t="s">
        <v>19</v>
      </c>
      <c r="L4" s="111" t="s">
        <v>20</v>
      </c>
      <c r="M4" s="110" t="s">
        <v>21</v>
      </c>
      <c r="N4" s="112" t="s">
        <v>22</v>
      </c>
      <c r="O4" s="113" t="s">
        <v>23</v>
      </c>
      <c r="P4" s="114" t="s">
        <v>24</v>
      </c>
      <c r="Q4" s="155"/>
      <c r="R4" s="156" t="s">
        <v>25</v>
      </c>
      <c r="S4" s="157" t="s">
        <v>26</v>
      </c>
      <c r="T4" s="158" t="s">
        <v>27</v>
      </c>
      <c r="U4" s="159" t="s">
        <v>28</v>
      </c>
      <c r="V4" s="158" t="s">
        <v>29</v>
      </c>
      <c r="W4" s="160"/>
      <c r="X4" s="161"/>
      <c r="Y4" s="177" t="s">
        <v>30</v>
      </c>
      <c r="Z4" s="177" t="s">
        <v>31</v>
      </c>
      <c r="AA4" s="177" t="s">
        <v>32</v>
      </c>
      <c r="AB4" s="178" t="s">
        <v>33</v>
      </c>
      <c r="AC4" s="179" t="s">
        <v>34</v>
      </c>
      <c r="AD4" s="180" t="s">
        <v>24</v>
      </c>
      <c r="AE4" s="181" t="s">
        <v>35</v>
      </c>
      <c r="AF4" s="182"/>
    </row>
    <row r="5" s="72" customFormat="1" ht="12.75" spans="1:32">
      <c r="A5" s="85" t="s">
        <v>130</v>
      </c>
      <c r="B5" s="86" t="s">
        <v>131</v>
      </c>
      <c r="C5" s="87">
        <v>240708000003</v>
      </c>
      <c r="D5" s="88">
        <v>45491</v>
      </c>
      <c r="E5" s="88" t="s">
        <v>132</v>
      </c>
      <c r="F5" s="86" t="s">
        <v>133</v>
      </c>
      <c r="G5" s="86" t="s">
        <v>134</v>
      </c>
      <c r="H5" s="86">
        <v>2.2272</v>
      </c>
      <c r="I5" s="86">
        <v>11222</v>
      </c>
      <c r="J5" s="119"/>
      <c r="K5" s="122">
        <v>8906452</v>
      </c>
      <c r="L5" s="117"/>
      <c r="M5" s="118">
        <v>1620.0015253361</v>
      </c>
      <c r="N5" s="120">
        <v>5497.8047</v>
      </c>
      <c r="O5" s="86">
        <v>7.12</v>
      </c>
      <c r="P5" s="119">
        <v>39144.369464</v>
      </c>
      <c r="Q5" s="166">
        <v>56612.181864</v>
      </c>
      <c r="R5" s="166" t="s">
        <v>135</v>
      </c>
      <c r="S5" s="163">
        <v>4334.72335336624</v>
      </c>
      <c r="T5" s="121">
        <v>9.18228212950107</v>
      </c>
      <c r="U5" s="121"/>
      <c r="V5" s="121">
        <v>350</v>
      </c>
      <c r="W5" s="121"/>
      <c r="X5" s="164">
        <v>4693.90563549574</v>
      </c>
      <c r="Y5" s="183"/>
      <c r="Z5" s="183"/>
      <c r="AA5" s="183">
        <v>100.29</v>
      </c>
      <c r="AB5" s="183">
        <v>100.29</v>
      </c>
      <c r="AC5" s="116">
        <v>7.15</v>
      </c>
      <c r="AD5" s="121">
        <v>717.0735</v>
      </c>
      <c r="AE5" s="121">
        <v>5410.97913549574</v>
      </c>
      <c r="AF5" s="164">
        <v>33733.3903285043</v>
      </c>
    </row>
    <row r="6" s="72" customFormat="1" ht="12.75" spans="1:32">
      <c r="A6" s="85"/>
      <c r="B6" s="86"/>
      <c r="C6" s="87">
        <v>240718000002</v>
      </c>
      <c r="D6" s="88">
        <v>45491</v>
      </c>
      <c r="E6" s="88" t="s">
        <v>132</v>
      </c>
      <c r="F6" s="86" t="s">
        <v>133</v>
      </c>
      <c r="G6" s="86" t="s">
        <v>134</v>
      </c>
      <c r="H6" s="86">
        <v>5.3938</v>
      </c>
      <c r="I6" s="86">
        <v>1414</v>
      </c>
      <c r="J6" s="119"/>
      <c r="K6" s="122">
        <v>2909624</v>
      </c>
      <c r="L6" s="117"/>
      <c r="M6" s="118">
        <v>1711.00003528291</v>
      </c>
      <c r="N6" s="120">
        <v>1700.54</v>
      </c>
      <c r="O6" s="86">
        <v>7.06</v>
      </c>
      <c r="P6" s="119">
        <v>12005.8124</v>
      </c>
      <c r="Q6" s="165"/>
      <c r="R6" s="165"/>
      <c r="S6" s="163">
        <v>10497.7688682592</v>
      </c>
      <c r="T6" s="121">
        <v>22.2375149740045</v>
      </c>
      <c r="U6" s="121"/>
      <c r="V6" s="121">
        <v>70</v>
      </c>
      <c r="W6" s="121"/>
      <c r="X6" s="164">
        <v>10590.0063832332</v>
      </c>
      <c r="Y6" s="183"/>
      <c r="Z6" s="183"/>
      <c r="AA6" s="183"/>
      <c r="AB6" s="183">
        <v>0</v>
      </c>
      <c r="AC6" s="116">
        <v>7.15</v>
      </c>
      <c r="AD6" s="121">
        <v>0</v>
      </c>
      <c r="AE6" s="121">
        <v>10590.0063832332</v>
      </c>
      <c r="AF6" s="164">
        <v>1415.80601676683</v>
      </c>
    </row>
    <row r="7" s="72" customFormat="1" ht="12.75" spans="1:32">
      <c r="A7" s="85"/>
      <c r="B7" s="86"/>
      <c r="C7" s="87">
        <v>240804000004</v>
      </c>
      <c r="D7" s="88">
        <v>45511</v>
      </c>
      <c r="E7" s="88" t="s">
        <v>132</v>
      </c>
      <c r="F7" s="86" t="s">
        <v>133</v>
      </c>
      <c r="G7" s="86" t="s">
        <v>134</v>
      </c>
      <c r="H7" s="86">
        <v>10.2324</v>
      </c>
      <c r="I7" s="86">
        <v>1319</v>
      </c>
      <c r="J7" s="119"/>
      <c r="K7" s="122">
        <v>5637625</v>
      </c>
      <c r="L7" s="117"/>
      <c r="M7" s="118">
        <v>1710.99993019579</v>
      </c>
      <c r="N7" s="120">
        <v>3294.93</v>
      </c>
      <c r="O7" s="86">
        <v>7.06</v>
      </c>
      <c r="P7" s="121">
        <v>23262.2058</v>
      </c>
      <c r="Q7" s="162"/>
      <c r="R7" s="162"/>
      <c r="S7" s="121">
        <v>8898.76466029412</v>
      </c>
      <c r="T7" s="121"/>
      <c r="U7" s="121">
        <v>218.190882352941</v>
      </c>
      <c r="V7" s="121">
        <v>150</v>
      </c>
      <c r="W7" s="121"/>
      <c r="X7" s="164">
        <v>9266.95554264706</v>
      </c>
      <c r="Y7" s="184">
        <v>1584.36675882353</v>
      </c>
      <c r="Z7" s="183"/>
      <c r="AA7" s="183">
        <v>39.0606822352941</v>
      </c>
      <c r="AB7" s="183">
        <v>1623.42744105882</v>
      </c>
      <c r="AC7" s="116">
        <v>7.09</v>
      </c>
      <c r="AD7" s="121">
        <v>11510.1005571071</v>
      </c>
      <c r="AE7" s="121">
        <v>20777.0560997541</v>
      </c>
      <c r="AF7" s="164">
        <v>2485.14970024588</v>
      </c>
    </row>
    <row r="8" s="72" customFormat="1" ht="12.75" spans="1:32">
      <c r="A8" s="85"/>
      <c r="B8" s="86"/>
      <c r="C8" s="87">
        <v>240810000008</v>
      </c>
      <c r="D8" s="88">
        <v>45534</v>
      </c>
      <c r="E8" s="88" t="s">
        <v>132</v>
      </c>
      <c r="F8" s="86" t="s">
        <v>133</v>
      </c>
      <c r="G8" s="86" t="s">
        <v>136</v>
      </c>
      <c r="H8" s="86">
        <v>7.4021</v>
      </c>
      <c r="I8" s="86">
        <v>2808</v>
      </c>
      <c r="J8" s="119"/>
      <c r="K8" s="122">
        <v>4341273</v>
      </c>
      <c r="L8" s="117"/>
      <c r="M8" s="118">
        <v>1725</v>
      </c>
      <c r="N8" s="120">
        <v>2516.68</v>
      </c>
      <c r="O8" s="86">
        <v>7.12</v>
      </c>
      <c r="P8" s="119">
        <v>17918.7616</v>
      </c>
      <c r="Q8" s="162"/>
      <c r="R8" s="162"/>
      <c r="S8" s="121">
        <v>6264.05433860294</v>
      </c>
      <c r="T8" s="121"/>
      <c r="U8" s="121">
        <v>228.594264705882</v>
      </c>
      <c r="V8" s="121"/>
      <c r="W8" s="121"/>
      <c r="X8" s="164">
        <v>6492.64860330882</v>
      </c>
      <c r="Y8" s="184">
        <v>1133.93640735294</v>
      </c>
      <c r="Z8" s="183"/>
      <c r="AA8" s="183"/>
      <c r="AB8" s="183">
        <v>1133.93640735294</v>
      </c>
      <c r="AC8" s="116">
        <v>7.07</v>
      </c>
      <c r="AD8" s="121">
        <v>8016.93039998529</v>
      </c>
      <c r="AE8" s="121">
        <v>14509.5790032941</v>
      </c>
      <c r="AF8" s="164">
        <v>3409.18259670588</v>
      </c>
    </row>
    <row r="9" s="190" customFormat="1" ht="19" customHeight="1" spans="1:32">
      <c r="A9" s="85" t="s">
        <v>110</v>
      </c>
      <c r="B9" s="193"/>
      <c r="C9" s="194"/>
      <c r="D9" s="195"/>
      <c r="E9" s="196"/>
      <c r="F9" s="193"/>
      <c r="G9" s="193"/>
      <c r="H9" s="193"/>
      <c r="I9" s="201"/>
      <c r="J9" s="201"/>
      <c r="K9" s="201"/>
      <c r="L9" s="201"/>
      <c r="M9" s="202"/>
      <c r="N9" s="202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208"/>
      <c r="AC9" s="208"/>
      <c r="AD9" s="208"/>
      <c r="AE9" s="208"/>
      <c r="AF9" s="208">
        <f>SUM(AF5:AF8)</f>
        <v>41043.5286422229</v>
      </c>
    </row>
    <row r="10" s="191" customFormat="1" ht="20" customHeight="1" spans="1:28">
      <c r="A10" s="197"/>
      <c r="B10" s="197"/>
      <c r="D10" s="198"/>
      <c r="H10" s="199"/>
      <c r="I10" s="203"/>
      <c r="J10" s="204"/>
      <c r="K10" s="199"/>
      <c r="L10" s="199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="1" customFormat="1" ht="23" customHeight="1" spans="3:28">
      <c r="C11" s="95" t="s">
        <v>60</v>
      </c>
      <c r="D11" s="95"/>
      <c r="E11" s="95"/>
      <c r="F11" s="96" t="s">
        <v>61</v>
      </c>
      <c r="G11" s="97"/>
      <c r="H11" s="97"/>
      <c r="I11" s="124"/>
      <c r="J11"/>
      <c r="K11" s="125" t="s">
        <v>137</v>
      </c>
      <c r="L11" s="126"/>
      <c r="M11" s="127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="1" customFormat="1" ht="23" customHeight="1" spans="3:28">
      <c r="C12" s="95"/>
      <c r="D12" s="95"/>
      <c r="E12" s="95"/>
      <c r="F12" s="98"/>
      <c r="G12" s="99"/>
      <c r="H12" s="99"/>
      <c r="I12" s="128"/>
      <c r="J12"/>
      <c r="K12" s="129" t="s">
        <v>63</v>
      </c>
      <c r="L12" s="129" t="s">
        <v>8</v>
      </c>
      <c r="M12" s="129" t="s">
        <v>64</v>
      </c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="1" customFormat="1" ht="23" customHeight="1" spans="3:16">
      <c r="C13" s="95" t="s">
        <v>65</v>
      </c>
      <c r="D13" s="95"/>
      <c r="E13" s="95"/>
      <c r="F13" s="100" t="s">
        <v>66</v>
      </c>
      <c r="G13" s="101"/>
      <c r="H13" s="101"/>
      <c r="I13" s="130"/>
      <c r="J13"/>
      <c r="K13" s="129" t="s">
        <v>67</v>
      </c>
      <c r="L13" s="131">
        <f>SUM(H5:H8)</f>
        <v>25.2555</v>
      </c>
      <c r="M13" s="132">
        <f>SUM(AF9)</f>
        <v>41043.5286422229</v>
      </c>
      <c r="N13"/>
      <c r="O13"/>
      <c r="P13"/>
    </row>
    <row r="14" s="1" customFormat="1" ht="23" customHeight="1" spans="3:16">
      <c r="C14" s="95"/>
      <c r="D14" s="95"/>
      <c r="E14" s="95"/>
      <c r="F14" s="102"/>
      <c r="G14" s="103"/>
      <c r="H14" s="103"/>
      <c r="I14" s="133"/>
      <c r="J14"/>
      <c r="K14" s="134" t="s">
        <v>68</v>
      </c>
      <c r="L14" s="135"/>
      <c r="M14" s="136">
        <v>6000</v>
      </c>
      <c r="N14"/>
      <c r="O14"/>
      <c r="P14"/>
    </row>
    <row r="15" s="1" customFormat="1" ht="23" customHeight="1" spans="3:16">
      <c r="C15" s="95" t="s">
        <v>69</v>
      </c>
      <c r="D15" s="95"/>
      <c r="E15" s="95"/>
      <c r="F15" s="100" t="s">
        <v>70</v>
      </c>
      <c r="G15" s="101"/>
      <c r="H15" s="101"/>
      <c r="I15" s="130"/>
      <c r="J15"/>
      <c r="K15" s="134" t="s">
        <v>71</v>
      </c>
      <c r="L15" s="135"/>
      <c r="M15" s="136">
        <f>SUM(M13-M14)</f>
        <v>35043.5286422229</v>
      </c>
      <c r="N15"/>
      <c r="O15"/>
      <c r="P15"/>
    </row>
    <row r="16" s="1" customFormat="1" ht="23" customHeight="1" spans="3:16">
      <c r="C16" s="95"/>
      <c r="D16" s="95"/>
      <c r="E16" s="95"/>
      <c r="F16" s="102"/>
      <c r="G16" s="103"/>
      <c r="H16" s="103"/>
      <c r="I16" s="133"/>
      <c r="J16"/>
      <c r="K16" s="137" t="s">
        <v>72</v>
      </c>
      <c r="L16" s="138"/>
      <c r="M16" s="139">
        <v>35000</v>
      </c>
      <c r="N16"/>
      <c r="O16"/>
      <c r="P16"/>
    </row>
    <row r="17" s="1" customFormat="1" ht="23" customHeight="1" spans="5:16">
      <c r="E17"/>
      <c r="F17"/>
      <c r="G17"/>
      <c r="H17"/>
      <c r="I17"/>
      <c r="J17"/>
      <c r="K17" s="137" t="s">
        <v>73</v>
      </c>
      <c r="L17" s="138"/>
      <c r="M17" s="137">
        <v>0.4</v>
      </c>
      <c r="N17"/>
      <c r="O17"/>
      <c r="P17"/>
    </row>
    <row r="18" s="1" customFormat="1" ht="23" customHeight="1" spans="5:16">
      <c r="E18"/>
      <c r="F18"/>
      <c r="G18"/>
      <c r="H18"/>
      <c r="I18"/>
      <c r="J18"/>
      <c r="K18" s="137" t="s">
        <v>74</v>
      </c>
      <c r="L18" s="138"/>
      <c r="M18" s="139">
        <f>SUM(M16*M17)</f>
        <v>14000</v>
      </c>
      <c r="N18"/>
      <c r="O18"/>
      <c r="P18"/>
    </row>
    <row r="19" s="1" customFormat="1" ht="23" customHeight="1" spans="5:16">
      <c r="E19"/>
      <c r="F19"/>
      <c r="G19"/>
      <c r="H19"/>
      <c r="I19"/>
      <c r="J19"/>
      <c r="K19" s="140" t="s">
        <v>75</v>
      </c>
      <c r="L19" s="141"/>
      <c r="M19" s="142">
        <f>SUM(M15-M16)</f>
        <v>43.5286422228965</v>
      </c>
      <c r="N19"/>
      <c r="O19"/>
      <c r="P19"/>
    </row>
    <row r="20" s="1" customFormat="1" ht="23" customHeight="1" spans="5:16">
      <c r="E20"/>
      <c r="F20"/>
      <c r="G20"/>
      <c r="H20"/>
      <c r="I20"/>
      <c r="J20"/>
      <c r="K20" s="140" t="s">
        <v>76</v>
      </c>
      <c r="L20" s="141"/>
      <c r="M20" s="140">
        <v>0.5</v>
      </c>
      <c r="N20"/>
      <c r="O20"/>
      <c r="P20"/>
    </row>
    <row r="21" s="1" customFormat="1" ht="23" customHeight="1" spans="5:19">
      <c r="E21"/>
      <c r="F21"/>
      <c r="G21"/>
      <c r="H21"/>
      <c r="I21"/>
      <c r="J21"/>
      <c r="K21" s="140" t="s">
        <v>74</v>
      </c>
      <c r="L21" s="141"/>
      <c r="M21" s="142">
        <f>SUM(M19*M20)</f>
        <v>21.7643211114482</v>
      </c>
      <c r="N21" s="143"/>
      <c r="O21" s="143"/>
      <c r="P21" s="143"/>
      <c r="Q21"/>
      <c r="R21"/>
      <c r="S21" s="36"/>
    </row>
    <row r="22" s="1" customFormat="1" ht="23" customHeight="1" spans="5:19">
      <c r="E22" s="200"/>
      <c r="F22" s="200"/>
      <c r="G22" s="200"/>
      <c r="H22" s="200"/>
      <c r="I22" s="200"/>
      <c r="J22" s="200"/>
      <c r="K22" s="144" t="s">
        <v>77</v>
      </c>
      <c r="L22" s="145"/>
      <c r="M22" s="146">
        <f>SUM(M18+M21)</f>
        <v>14021.7643211114</v>
      </c>
      <c r="N22"/>
      <c r="O22"/>
      <c r="P22"/>
      <c r="Q22" s="200"/>
      <c r="S22" s="36"/>
    </row>
    <row r="23" ht="25" customHeight="1" spans="11:13">
      <c r="K23" s="143"/>
      <c r="L23" s="143"/>
      <c r="M23" s="1"/>
    </row>
    <row r="24" spans="11:13">
      <c r="K24" s="143"/>
      <c r="L24" s="143"/>
      <c r="M24" s="1"/>
    </row>
  </sheetData>
  <mergeCells count="23">
    <mergeCell ref="J3:P3"/>
    <mergeCell ref="R3:V3"/>
    <mergeCell ref="Y3:AD3"/>
    <mergeCell ref="K11:M1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1:E12"/>
    <mergeCell ref="F11:I12"/>
    <mergeCell ref="C15:E16"/>
    <mergeCell ref="F15:I16"/>
    <mergeCell ref="C13:E14"/>
    <mergeCell ref="F13:I14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20" sqref="M20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3.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74" t="s">
        <v>0</v>
      </c>
    </row>
    <row r="2" customFormat="1" ht="6" customHeight="1" spans="1:1">
      <c r="A2" s="74"/>
    </row>
    <row r="3" s="71" customFormat="1" ht="23" customHeight="1" spans="1:32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 t="s">
        <v>6</v>
      </c>
      <c r="G3" s="80" t="s">
        <v>7</v>
      </c>
      <c r="H3" s="80" t="s">
        <v>8</v>
      </c>
      <c r="I3" s="80" t="s">
        <v>9</v>
      </c>
      <c r="J3" s="104" t="s">
        <v>10</v>
      </c>
      <c r="K3" s="105"/>
      <c r="L3" s="106"/>
      <c r="M3" s="105"/>
      <c r="N3" s="106"/>
      <c r="O3" s="107"/>
      <c r="P3" s="108"/>
      <c r="Q3" s="147" t="s">
        <v>11</v>
      </c>
      <c r="R3" s="148" t="s">
        <v>12</v>
      </c>
      <c r="S3" s="149"/>
      <c r="T3" s="150"/>
      <c r="U3" s="151"/>
      <c r="V3" s="152"/>
      <c r="W3" s="153" t="s">
        <v>13</v>
      </c>
      <c r="X3" s="154" t="s">
        <v>14</v>
      </c>
      <c r="Y3" s="173" t="s">
        <v>15</v>
      </c>
      <c r="Z3" s="173"/>
      <c r="AA3" s="173"/>
      <c r="AB3" s="173"/>
      <c r="AC3" s="174"/>
      <c r="AD3" s="173"/>
      <c r="AE3" s="175" t="s">
        <v>16</v>
      </c>
      <c r="AF3" s="176" t="s">
        <v>17</v>
      </c>
    </row>
    <row r="4" s="71" customFormat="1" ht="27" customHeight="1" spans="1:32">
      <c r="A4" s="81"/>
      <c r="B4" s="82"/>
      <c r="C4" s="77"/>
      <c r="D4" s="78"/>
      <c r="E4" s="83"/>
      <c r="F4" s="84"/>
      <c r="G4" s="84"/>
      <c r="H4" s="84"/>
      <c r="I4" s="84"/>
      <c r="J4" s="109" t="s">
        <v>18</v>
      </c>
      <c r="K4" s="110" t="s">
        <v>19</v>
      </c>
      <c r="L4" s="111" t="s">
        <v>20</v>
      </c>
      <c r="M4" s="110" t="s">
        <v>21</v>
      </c>
      <c r="N4" s="112" t="s">
        <v>22</v>
      </c>
      <c r="O4" s="113" t="s">
        <v>23</v>
      </c>
      <c r="P4" s="114" t="s">
        <v>24</v>
      </c>
      <c r="Q4" s="155"/>
      <c r="R4" s="156" t="s">
        <v>25</v>
      </c>
      <c r="S4" s="157" t="s">
        <v>26</v>
      </c>
      <c r="T4" s="158" t="s">
        <v>27</v>
      </c>
      <c r="U4" s="159" t="s">
        <v>28</v>
      </c>
      <c r="V4" s="158" t="s">
        <v>29</v>
      </c>
      <c r="W4" s="160"/>
      <c r="X4" s="161"/>
      <c r="Y4" s="177" t="s">
        <v>30</v>
      </c>
      <c r="Z4" s="177" t="s">
        <v>31</v>
      </c>
      <c r="AA4" s="177" t="s">
        <v>32</v>
      </c>
      <c r="AB4" s="178" t="s">
        <v>33</v>
      </c>
      <c r="AC4" s="179" t="s">
        <v>34</v>
      </c>
      <c r="AD4" s="180" t="s">
        <v>24</v>
      </c>
      <c r="AE4" s="181" t="s">
        <v>35</v>
      </c>
      <c r="AF4" s="182"/>
    </row>
    <row r="5" s="72" customFormat="1" ht="12.75" spans="1:32">
      <c r="A5" s="85"/>
      <c r="B5" s="86"/>
      <c r="C5" s="87">
        <v>240826000011</v>
      </c>
      <c r="D5" s="88">
        <v>45532</v>
      </c>
      <c r="E5" s="88" t="s">
        <v>138</v>
      </c>
      <c r="F5" s="86" t="s">
        <v>139</v>
      </c>
      <c r="G5" s="86" t="s">
        <v>140</v>
      </c>
      <c r="H5" s="86">
        <v>6.3305</v>
      </c>
      <c r="I5" s="86">
        <v>880</v>
      </c>
      <c r="J5" s="115">
        <v>10555.28</v>
      </c>
      <c r="K5" s="116"/>
      <c r="L5" s="117"/>
      <c r="M5" s="118"/>
      <c r="N5" s="117"/>
      <c r="O5" s="86"/>
      <c r="P5" s="119">
        <v>10555.28</v>
      </c>
      <c r="Q5" s="162"/>
      <c r="R5" s="162"/>
      <c r="S5" s="121">
        <v>4920.70695955882</v>
      </c>
      <c r="T5" s="121"/>
      <c r="U5" s="121">
        <v>139.643382352941</v>
      </c>
      <c r="V5" s="121"/>
      <c r="W5" s="121"/>
      <c r="X5" s="164">
        <v>5060.35034191176</v>
      </c>
      <c r="Y5" s="183">
        <v>999.610154852941</v>
      </c>
      <c r="Z5" s="183"/>
      <c r="AA5" s="183">
        <v>23.0681558088235</v>
      </c>
      <c r="AB5" s="183">
        <v>1022.67831066176</v>
      </c>
      <c r="AC5" s="116">
        <v>7.12</v>
      </c>
      <c r="AD5" s="121">
        <v>7281.46957191176</v>
      </c>
      <c r="AE5" s="121">
        <v>12341.8199138235</v>
      </c>
      <c r="AF5" s="121">
        <v>-1786.5399138235</v>
      </c>
    </row>
    <row r="6" s="72" customFormat="1" ht="12.75" spans="1:32">
      <c r="A6" s="85"/>
      <c r="B6" s="86"/>
      <c r="C6" s="87">
        <v>240826000013</v>
      </c>
      <c r="D6" s="88">
        <v>45532</v>
      </c>
      <c r="E6" s="88" t="s">
        <v>138</v>
      </c>
      <c r="F6" s="86" t="s">
        <v>139</v>
      </c>
      <c r="G6" s="86" t="s">
        <v>140</v>
      </c>
      <c r="H6" s="86">
        <v>0.699</v>
      </c>
      <c r="I6" s="86">
        <v>105</v>
      </c>
      <c r="J6" s="115">
        <v>1165.58</v>
      </c>
      <c r="K6" s="116"/>
      <c r="L6" s="117"/>
      <c r="M6" s="118"/>
      <c r="N6" s="117"/>
      <c r="O6" s="86"/>
      <c r="P6" s="119">
        <v>1165.58</v>
      </c>
      <c r="Q6" s="162"/>
      <c r="R6" s="162"/>
      <c r="S6" s="121">
        <v>543.333727941176</v>
      </c>
      <c r="T6" s="121"/>
      <c r="U6" s="121">
        <v>15.4191176470588</v>
      </c>
      <c r="V6" s="121"/>
      <c r="W6" s="121"/>
      <c r="X6" s="164">
        <v>558.752845588235</v>
      </c>
      <c r="Y6" s="183">
        <v>110.374772647059</v>
      </c>
      <c r="Z6" s="183"/>
      <c r="AA6" s="183">
        <v>2.54713544117647</v>
      </c>
      <c r="AB6" s="183">
        <v>112.921908088235</v>
      </c>
      <c r="AC6" s="116">
        <v>7.12</v>
      </c>
      <c r="AD6" s="121">
        <v>804.003985588235</v>
      </c>
      <c r="AE6" s="121">
        <v>1362.75683117647</v>
      </c>
      <c r="AF6" s="121">
        <v>-197.17683117647</v>
      </c>
    </row>
    <row r="7" s="72" customFormat="1" ht="12.75" spans="1:32">
      <c r="A7" s="85"/>
      <c r="B7" s="86"/>
      <c r="C7" s="87">
        <v>240826000015</v>
      </c>
      <c r="D7" s="88">
        <v>45532</v>
      </c>
      <c r="E7" s="88" t="s">
        <v>138</v>
      </c>
      <c r="F7" s="86" t="s">
        <v>139</v>
      </c>
      <c r="G7" s="86" t="s">
        <v>140</v>
      </c>
      <c r="H7" s="86">
        <v>0.2907</v>
      </c>
      <c r="I7" s="86">
        <v>36</v>
      </c>
      <c r="J7" s="115">
        <v>483.58</v>
      </c>
      <c r="K7" s="116"/>
      <c r="L7" s="117"/>
      <c r="M7" s="118"/>
      <c r="N7" s="117"/>
      <c r="O7" s="86"/>
      <c r="P7" s="119">
        <v>483.58</v>
      </c>
      <c r="Q7" s="162"/>
      <c r="R7" s="162"/>
      <c r="S7" s="121">
        <v>225.9615375</v>
      </c>
      <c r="T7" s="121"/>
      <c r="U7" s="121">
        <v>6.4125</v>
      </c>
      <c r="V7" s="121"/>
      <c r="W7" s="121"/>
      <c r="X7" s="164">
        <v>232.3740375</v>
      </c>
      <c r="Y7" s="183">
        <v>45.9026415</v>
      </c>
      <c r="Z7" s="183"/>
      <c r="AA7" s="183">
        <v>1.05930225</v>
      </c>
      <c r="AB7" s="183">
        <v>46.96194375</v>
      </c>
      <c r="AC7" s="116">
        <v>7.12</v>
      </c>
      <c r="AD7" s="121">
        <v>334.3690395</v>
      </c>
      <c r="AE7" s="121">
        <v>566.743077</v>
      </c>
      <c r="AF7" s="121">
        <v>-83.163077</v>
      </c>
    </row>
    <row r="8" s="72" customFormat="1" ht="12.75" spans="1:32">
      <c r="A8" s="85"/>
      <c r="B8" s="86"/>
      <c r="C8" s="87">
        <v>240826000016</v>
      </c>
      <c r="D8" s="88">
        <v>45532</v>
      </c>
      <c r="E8" s="88" t="s">
        <v>138</v>
      </c>
      <c r="F8" s="86" t="s">
        <v>139</v>
      </c>
      <c r="G8" s="86" t="s">
        <v>140</v>
      </c>
      <c r="H8" s="86">
        <v>0.5572</v>
      </c>
      <c r="I8" s="86">
        <v>42</v>
      </c>
      <c r="J8" s="115">
        <v>928.8</v>
      </c>
      <c r="K8" s="116"/>
      <c r="L8" s="117"/>
      <c r="M8" s="118"/>
      <c r="N8" s="117"/>
      <c r="O8" s="86"/>
      <c r="P8" s="119">
        <v>928.8</v>
      </c>
      <c r="Q8" s="162"/>
      <c r="R8" s="162"/>
      <c r="S8" s="121">
        <v>433.112379411765</v>
      </c>
      <c r="T8" s="121"/>
      <c r="U8" s="121">
        <v>12.2911764705882</v>
      </c>
      <c r="V8" s="121"/>
      <c r="W8" s="121"/>
      <c r="X8" s="164">
        <v>445.403555882353</v>
      </c>
      <c r="Y8" s="183">
        <v>87.9840104705882</v>
      </c>
      <c r="Z8" s="183"/>
      <c r="AA8" s="183">
        <v>2.03042041176471</v>
      </c>
      <c r="AB8" s="183">
        <v>90.0144308823529</v>
      </c>
      <c r="AC8" s="116">
        <v>7.12</v>
      </c>
      <c r="AD8" s="121">
        <v>640.902747882353</v>
      </c>
      <c r="AE8" s="121">
        <v>1086.30630376471</v>
      </c>
      <c r="AF8" s="121">
        <v>-157.50630376471</v>
      </c>
    </row>
    <row r="9" s="72" customFormat="1" ht="12.75" spans="1:32">
      <c r="A9" s="85"/>
      <c r="B9" s="86"/>
      <c r="C9" s="87">
        <v>240826000017</v>
      </c>
      <c r="D9" s="88">
        <v>45532</v>
      </c>
      <c r="E9" s="88" t="s">
        <v>138</v>
      </c>
      <c r="F9" s="86" t="s">
        <v>139</v>
      </c>
      <c r="G9" s="86" t="s">
        <v>140</v>
      </c>
      <c r="H9" s="86">
        <v>0.1598</v>
      </c>
      <c r="I9" s="86">
        <v>78</v>
      </c>
      <c r="J9" s="115">
        <v>266.44</v>
      </c>
      <c r="K9" s="116"/>
      <c r="L9" s="117"/>
      <c r="M9" s="118"/>
      <c r="N9" s="117"/>
      <c r="O9" s="86"/>
      <c r="P9" s="119">
        <v>266.44</v>
      </c>
      <c r="Q9" s="162"/>
      <c r="R9" s="162"/>
      <c r="S9" s="121">
        <v>124.212775</v>
      </c>
      <c r="T9" s="121"/>
      <c r="U9" s="121">
        <v>3.525</v>
      </c>
      <c r="V9" s="121"/>
      <c r="W9" s="121"/>
      <c r="X9" s="164">
        <v>127.737775</v>
      </c>
      <c r="Y9" s="183">
        <v>25.233031</v>
      </c>
      <c r="Z9" s="183"/>
      <c r="AA9" s="183">
        <v>0.5823065</v>
      </c>
      <c r="AB9" s="183">
        <v>25.8153375</v>
      </c>
      <c r="AC9" s="116">
        <v>7.12</v>
      </c>
      <c r="AD9" s="121">
        <v>183.805203</v>
      </c>
      <c r="AE9" s="121">
        <v>311.542978</v>
      </c>
      <c r="AF9" s="121">
        <v>-45.102978</v>
      </c>
    </row>
    <row r="10" s="72" customFormat="1" ht="12.75" spans="1:32">
      <c r="A10" s="85"/>
      <c r="B10" s="86"/>
      <c r="C10" s="87">
        <v>240826000018</v>
      </c>
      <c r="D10" s="88">
        <v>45532</v>
      </c>
      <c r="E10" s="88" t="s">
        <v>138</v>
      </c>
      <c r="F10" s="86" t="s">
        <v>139</v>
      </c>
      <c r="G10" s="86" t="s">
        <v>140</v>
      </c>
      <c r="H10" s="86">
        <v>0.141</v>
      </c>
      <c r="I10" s="86">
        <v>37</v>
      </c>
      <c r="J10" s="115">
        <v>235.26</v>
      </c>
      <c r="K10" s="116"/>
      <c r="L10" s="117"/>
      <c r="M10" s="118"/>
      <c r="N10" s="117"/>
      <c r="O10" s="86"/>
      <c r="P10" s="119">
        <v>235.26</v>
      </c>
      <c r="Q10" s="162"/>
      <c r="R10" s="162"/>
      <c r="S10" s="121">
        <v>109.599507352941</v>
      </c>
      <c r="T10" s="121"/>
      <c r="U10" s="121">
        <v>3.11029411764706</v>
      </c>
      <c r="V10" s="121"/>
      <c r="W10" s="121"/>
      <c r="X10" s="164">
        <v>112.709801470588</v>
      </c>
      <c r="Y10" s="183">
        <v>22.2644391176471</v>
      </c>
      <c r="Z10" s="183"/>
      <c r="AA10" s="183">
        <v>0.513799852941176</v>
      </c>
      <c r="AB10" s="183">
        <v>22.7782389705882</v>
      </c>
      <c r="AC10" s="116">
        <v>7.12</v>
      </c>
      <c r="AD10" s="121">
        <v>162.181061470588</v>
      </c>
      <c r="AE10" s="121">
        <v>274.890862941176</v>
      </c>
      <c r="AF10" s="121">
        <v>-39.630862941176</v>
      </c>
    </row>
    <row r="11" s="72" customFormat="1" ht="12.75" spans="1:32">
      <c r="A11" s="85"/>
      <c r="B11" s="86"/>
      <c r="C11" s="87">
        <v>240826000019</v>
      </c>
      <c r="D11" s="88">
        <v>45532</v>
      </c>
      <c r="E11" s="88" t="s">
        <v>138</v>
      </c>
      <c r="F11" s="86" t="s">
        <v>139</v>
      </c>
      <c r="G11" s="86" t="s">
        <v>140</v>
      </c>
      <c r="H11" s="86">
        <v>1.4354</v>
      </c>
      <c r="I11" s="86">
        <v>186</v>
      </c>
      <c r="J11" s="115">
        <v>2392.86</v>
      </c>
      <c r="K11" s="116"/>
      <c r="L11" s="117"/>
      <c r="M11" s="118"/>
      <c r="N11" s="117"/>
      <c r="O11" s="86"/>
      <c r="P11" s="119">
        <v>2392.86</v>
      </c>
      <c r="Q11" s="162"/>
      <c r="R11" s="162"/>
      <c r="S11" s="121">
        <v>1115.73853088235</v>
      </c>
      <c r="T11" s="121"/>
      <c r="U11" s="121">
        <v>31.6632352941176</v>
      </c>
      <c r="V11" s="121"/>
      <c r="W11" s="121"/>
      <c r="X11" s="164">
        <v>1147.40176617647</v>
      </c>
      <c r="Y11" s="183">
        <v>226.655148294118</v>
      </c>
      <c r="Z11" s="183"/>
      <c r="AA11" s="183">
        <v>5.23055538235294</v>
      </c>
      <c r="AB11" s="183">
        <v>231.885703676471</v>
      </c>
      <c r="AC11" s="116">
        <v>7.12</v>
      </c>
      <c r="AD11" s="121">
        <v>1651.02621017647</v>
      </c>
      <c r="AE11" s="121">
        <v>2798.42797635294</v>
      </c>
      <c r="AF11" s="121">
        <v>-405.56797635294</v>
      </c>
    </row>
    <row r="12" s="72" customFormat="1" ht="12.75" spans="1:32">
      <c r="A12" s="85"/>
      <c r="B12" s="86"/>
      <c r="C12" s="87">
        <v>240828000003</v>
      </c>
      <c r="D12" s="88">
        <v>45532</v>
      </c>
      <c r="E12" s="88" t="s">
        <v>138</v>
      </c>
      <c r="F12" s="86" t="s">
        <v>139</v>
      </c>
      <c r="G12" s="86" t="s">
        <v>140</v>
      </c>
      <c r="H12" s="86">
        <v>0.807</v>
      </c>
      <c r="I12" s="86">
        <v>46</v>
      </c>
      <c r="J12" s="115">
        <v>1345.67</v>
      </c>
      <c r="K12" s="116"/>
      <c r="L12" s="117"/>
      <c r="M12" s="118"/>
      <c r="N12" s="117"/>
      <c r="O12" s="86"/>
      <c r="P12" s="119">
        <v>1345.67</v>
      </c>
      <c r="Q12" s="162"/>
      <c r="R12" s="162"/>
      <c r="S12" s="121">
        <v>627.282286764706</v>
      </c>
      <c r="T12" s="121"/>
      <c r="U12" s="121">
        <v>17.8014705882353</v>
      </c>
      <c r="V12" s="121"/>
      <c r="W12" s="121"/>
      <c r="X12" s="164">
        <v>645.083757352941</v>
      </c>
      <c r="Y12" s="183">
        <v>127.428385588235</v>
      </c>
      <c r="Z12" s="183"/>
      <c r="AA12" s="183">
        <v>2.94068426470588</v>
      </c>
      <c r="AB12" s="183">
        <v>130.369069852941</v>
      </c>
      <c r="AC12" s="116">
        <v>7.12</v>
      </c>
      <c r="AD12" s="121">
        <v>928.227777352941</v>
      </c>
      <c r="AE12" s="121">
        <v>1573.31153470588</v>
      </c>
      <c r="AF12" s="121">
        <v>-227.64153470588</v>
      </c>
    </row>
    <row r="13" s="72" customFormat="1" ht="12.75" spans="1:32">
      <c r="A13" s="85"/>
      <c r="B13" s="86"/>
      <c r="C13" s="87">
        <v>240828000005</v>
      </c>
      <c r="D13" s="88">
        <v>45532</v>
      </c>
      <c r="E13" s="88" t="s">
        <v>138</v>
      </c>
      <c r="F13" s="86" t="s">
        <v>139</v>
      </c>
      <c r="G13" s="86" t="s">
        <v>140</v>
      </c>
      <c r="H13" s="86">
        <v>0.6964</v>
      </c>
      <c r="I13" s="86">
        <v>42</v>
      </c>
      <c r="J13" s="115">
        <v>1161.45</v>
      </c>
      <c r="K13" s="116"/>
      <c r="L13" s="117"/>
      <c r="M13" s="118"/>
      <c r="N13" s="117"/>
      <c r="O13" s="86"/>
      <c r="P13" s="119">
        <v>1161.45</v>
      </c>
      <c r="Q13" s="162"/>
      <c r="R13" s="162"/>
      <c r="S13" s="121">
        <v>541.312744117647</v>
      </c>
      <c r="T13" s="121"/>
      <c r="U13" s="121">
        <v>15.3617647058824</v>
      </c>
      <c r="V13" s="121"/>
      <c r="W13" s="121"/>
      <c r="X13" s="164">
        <v>556.674508823529</v>
      </c>
      <c r="Y13" s="183">
        <v>109.964222705882</v>
      </c>
      <c r="Z13" s="183"/>
      <c r="AA13" s="183">
        <v>2.53766111764706</v>
      </c>
      <c r="AB13" s="183">
        <v>112.501883823529</v>
      </c>
      <c r="AC13" s="116">
        <v>7.12</v>
      </c>
      <c r="AD13" s="121">
        <v>801.013412823529</v>
      </c>
      <c r="AE13" s="121">
        <v>1357.68792164706</v>
      </c>
      <c r="AF13" s="121">
        <v>-196.23792164706</v>
      </c>
    </row>
    <row r="14" s="72" customFormat="1" ht="12.75" spans="1:32">
      <c r="A14" s="85"/>
      <c r="B14" s="86"/>
      <c r="C14" s="87">
        <v>240828000008</v>
      </c>
      <c r="D14" s="88">
        <v>45532</v>
      </c>
      <c r="E14" s="88" t="s">
        <v>138</v>
      </c>
      <c r="F14" s="86" t="s">
        <v>139</v>
      </c>
      <c r="G14" s="86" t="s">
        <v>140</v>
      </c>
      <c r="H14" s="86">
        <v>0.0844</v>
      </c>
      <c r="I14" s="86">
        <v>25</v>
      </c>
      <c r="J14" s="115">
        <v>140.94</v>
      </c>
      <c r="K14" s="116"/>
      <c r="L14" s="117"/>
      <c r="M14" s="118"/>
      <c r="N14" s="117"/>
      <c r="O14" s="86"/>
      <c r="P14" s="119">
        <v>140.94</v>
      </c>
      <c r="Q14" s="162"/>
      <c r="R14" s="162"/>
      <c r="S14" s="121">
        <v>65.6042441176471</v>
      </c>
      <c r="T14" s="121"/>
      <c r="U14" s="121">
        <v>1.86176470588235</v>
      </c>
      <c r="V14" s="121"/>
      <c r="W14" s="121"/>
      <c r="X14" s="164">
        <v>67.4660088235294</v>
      </c>
      <c r="Y14" s="183">
        <v>13.3270827058824</v>
      </c>
      <c r="Z14" s="183"/>
      <c r="AA14" s="183">
        <v>0.307551117647059</v>
      </c>
      <c r="AB14" s="183">
        <v>13.6346338235294</v>
      </c>
      <c r="AC14" s="116">
        <v>7.12</v>
      </c>
      <c r="AD14" s="121">
        <v>97.0785928235294</v>
      </c>
      <c r="AE14" s="121">
        <v>164.544601647059</v>
      </c>
      <c r="AF14" s="121">
        <v>-23.604601647059</v>
      </c>
    </row>
    <row r="15" s="72" customFormat="1" ht="12.75" spans="1:32">
      <c r="A15" s="85"/>
      <c r="B15" s="86"/>
      <c r="C15" s="87">
        <v>240828000062</v>
      </c>
      <c r="D15" s="88">
        <v>45532</v>
      </c>
      <c r="E15" s="88" t="s">
        <v>138</v>
      </c>
      <c r="F15" s="86" t="s">
        <v>139</v>
      </c>
      <c r="G15" s="86" t="s">
        <v>140</v>
      </c>
      <c r="H15" s="86">
        <v>1.8606</v>
      </c>
      <c r="I15" s="86">
        <v>279</v>
      </c>
      <c r="J15" s="115">
        <v>6598.3</v>
      </c>
      <c r="K15" s="116"/>
      <c r="L15" s="117"/>
      <c r="M15" s="118"/>
      <c r="N15" s="117"/>
      <c r="O15" s="86"/>
      <c r="P15" s="119">
        <v>6598.3</v>
      </c>
      <c r="Q15" s="165"/>
      <c r="R15" s="165"/>
      <c r="S15" s="121">
        <v>1446.24711617647</v>
      </c>
      <c r="T15" s="121"/>
      <c r="U15" s="121">
        <v>41.0426470588235</v>
      </c>
      <c r="V15" s="121"/>
      <c r="W15" s="121"/>
      <c r="X15" s="164">
        <v>1487.28976323529</v>
      </c>
      <c r="Y15" s="183">
        <v>293.795854058823</v>
      </c>
      <c r="Z15" s="183"/>
      <c r="AA15" s="183">
        <v>6.77997167647059</v>
      </c>
      <c r="AB15" s="183">
        <v>300.575825735294</v>
      </c>
      <c r="AC15" s="116">
        <v>7.12</v>
      </c>
      <c r="AD15" s="121">
        <v>2140.09987923529</v>
      </c>
      <c r="AE15" s="121">
        <v>3627.38964247059</v>
      </c>
      <c r="AF15" s="164">
        <v>2970.91035752941</v>
      </c>
    </row>
    <row r="16" s="190" customFormat="1" ht="19" customHeight="1" spans="1:32">
      <c r="A16" s="85" t="s">
        <v>110</v>
      </c>
      <c r="B16" s="193"/>
      <c r="C16" s="194"/>
      <c r="D16" s="195"/>
      <c r="E16" s="196"/>
      <c r="F16" s="193"/>
      <c r="G16" s="193"/>
      <c r="H16" s="193"/>
      <c r="I16" s="201"/>
      <c r="J16" s="201"/>
      <c r="K16" s="201"/>
      <c r="L16" s="201"/>
      <c r="M16" s="202"/>
      <c r="N16" s="202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208"/>
      <c r="AC16" s="208"/>
      <c r="AD16" s="208"/>
      <c r="AE16" s="208"/>
      <c r="AF16" s="208">
        <f>SUM(AF5:AF15)</f>
        <v>-191.261643529385</v>
      </c>
    </row>
    <row r="17" s="191" customFormat="1" ht="20" customHeight="1" spans="1:26">
      <c r="A17" s="197"/>
      <c r="B17" s="197"/>
      <c r="D17" s="198"/>
      <c r="H17" s="199"/>
      <c r="I17" s="203"/>
      <c r="J17" s="204"/>
      <c r="K17" s="199"/>
      <c r="L17" s="199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</row>
    <row r="18" s="1" customFormat="1" ht="23" customHeight="1" spans="3:26">
      <c r="C18" s="95" t="s">
        <v>60</v>
      </c>
      <c r="D18" s="95"/>
      <c r="E18" s="95"/>
      <c r="F18" s="96" t="s">
        <v>61</v>
      </c>
      <c r="G18" s="97"/>
      <c r="H18" s="97"/>
      <c r="I18" s="124"/>
      <c r="J18"/>
      <c r="K18" s="125" t="s">
        <v>141</v>
      </c>
      <c r="L18" s="126"/>
      <c r="M18" s="127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</row>
    <row r="19" s="1" customFormat="1" ht="23" customHeight="1" spans="3:26">
      <c r="C19" s="95"/>
      <c r="D19" s="95"/>
      <c r="E19" s="95"/>
      <c r="F19" s="98"/>
      <c r="G19" s="99"/>
      <c r="H19" s="99"/>
      <c r="I19" s="128"/>
      <c r="J19"/>
      <c r="K19" s="129" t="s">
        <v>63</v>
      </c>
      <c r="L19" s="129" t="s">
        <v>8</v>
      </c>
      <c r="M19" s="129" t="s">
        <v>64</v>
      </c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</row>
    <row r="20" s="1" customFormat="1" ht="23" customHeight="1" spans="3:26">
      <c r="C20" s="95" t="s">
        <v>65</v>
      </c>
      <c r="D20" s="95"/>
      <c r="E20" s="95"/>
      <c r="F20" s="100" t="s">
        <v>66</v>
      </c>
      <c r="G20" s="101"/>
      <c r="H20" s="101"/>
      <c r="I20" s="130"/>
      <c r="J20"/>
      <c r="K20" s="129" t="s">
        <v>67</v>
      </c>
      <c r="L20" s="131">
        <f>SUM(H5:H15)</f>
        <v>13.062</v>
      </c>
      <c r="M20" s="132">
        <f>SUM(AF16)</f>
        <v>-191.261643529385</v>
      </c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="1" customFormat="1" ht="23" customHeight="1" spans="3:16">
      <c r="C21" s="95"/>
      <c r="D21" s="95"/>
      <c r="E21" s="95"/>
      <c r="F21" s="102"/>
      <c r="G21" s="103"/>
      <c r="H21" s="103"/>
      <c r="I21" s="133"/>
      <c r="J21"/>
      <c r="K21" s="144" t="s">
        <v>72</v>
      </c>
      <c r="L21" s="144"/>
      <c r="M21" s="146"/>
      <c r="N21"/>
      <c r="O21"/>
      <c r="P21"/>
    </row>
    <row r="22" s="1" customFormat="1" ht="23" customHeight="1" spans="3:16">
      <c r="C22" s="95" t="s">
        <v>69</v>
      </c>
      <c r="D22" s="95"/>
      <c r="E22" s="95"/>
      <c r="F22" s="100" t="s">
        <v>70</v>
      </c>
      <c r="G22" s="101"/>
      <c r="H22" s="101"/>
      <c r="I22" s="130"/>
      <c r="J22"/>
      <c r="K22" s="206" t="s">
        <v>71</v>
      </c>
      <c r="L22" s="206"/>
      <c r="M22" s="207"/>
      <c r="N22"/>
      <c r="O22"/>
      <c r="P22"/>
    </row>
    <row r="23" s="1" customFormat="1" ht="23" customHeight="1" spans="3:16">
      <c r="C23" s="95"/>
      <c r="D23" s="95"/>
      <c r="E23" s="95"/>
      <c r="F23" s="102"/>
      <c r="G23" s="103"/>
      <c r="H23" s="103"/>
      <c r="I23" s="133"/>
      <c r="J23"/>
      <c r="K23" s="129" t="s">
        <v>90</v>
      </c>
      <c r="L23" s="129"/>
      <c r="M23" s="129"/>
      <c r="N23"/>
      <c r="O23"/>
      <c r="P23"/>
    </row>
    <row r="24" s="1" customFormat="1" ht="23" customHeight="1" spans="5:16">
      <c r="E24"/>
      <c r="F24"/>
      <c r="G24"/>
      <c r="H24"/>
      <c r="I24"/>
      <c r="J24"/>
      <c r="K24" s="144" t="s">
        <v>74</v>
      </c>
      <c r="L24" s="144"/>
      <c r="M24" s="146"/>
      <c r="N24"/>
      <c r="O24"/>
      <c r="P24"/>
    </row>
    <row r="25" s="1" customFormat="1" ht="23" customHeight="1" spans="5:16">
      <c r="E25"/>
      <c r="F25"/>
      <c r="G25"/>
      <c r="H25"/>
      <c r="I25"/>
      <c r="J25"/>
      <c r="K25"/>
      <c r="L25"/>
      <c r="M25"/>
      <c r="N25"/>
      <c r="O25"/>
      <c r="P25"/>
    </row>
    <row r="26" s="1" customFormat="1" ht="23" customHeight="1" spans="5:14">
      <c r="E26"/>
      <c r="F26"/>
      <c r="G26"/>
      <c r="H26"/>
      <c r="I26"/>
      <c r="J26"/>
      <c r="K26" s="143"/>
      <c r="L26" s="143"/>
      <c r="M26" s="143"/>
      <c r="N26" s="143"/>
    </row>
    <row r="27" s="1" customFormat="1" ht="23" customHeight="1" spans="5:14">
      <c r="E27"/>
      <c r="F27"/>
      <c r="G27"/>
      <c r="H27"/>
      <c r="I27"/>
      <c r="J27"/>
      <c r="K27" s="143"/>
      <c r="L27" s="143"/>
      <c r="M27" s="143"/>
      <c r="N27" s="143"/>
    </row>
    <row r="28" s="1" customFormat="1" ht="23" customHeight="1" spans="5:19">
      <c r="E28"/>
      <c r="F28"/>
      <c r="G28"/>
      <c r="H28"/>
      <c r="I28"/>
      <c r="J28"/>
      <c r="K28" s="143"/>
      <c r="L28" s="143"/>
      <c r="M28" s="143"/>
      <c r="N28" s="143"/>
      <c r="O28"/>
      <c r="P28"/>
      <c r="Q28"/>
      <c r="R28"/>
      <c r="S28" s="36"/>
    </row>
    <row r="29" s="1" customFormat="1" ht="23" customHeight="1" spans="5:19">
      <c r="E29" s="200"/>
      <c r="F29" s="200"/>
      <c r="G29" s="200"/>
      <c r="H29" s="200"/>
      <c r="I29" s="200"/>
      <c r="J29" s="200"/>
      <c r="K29" s="143"/>
      <c r="L29" s="143"/>
      <c r="M29" s="143"/>
      <c r="N29" s="143"/>
      <c r="O29" s="200"/>
      <c r="P29" s="200"/>
      <c r="Q29" s="200"/>
      <c r="S29" s="36"/>
    </row>
    <row r="30" ht="25" customHeight="1"/>
  </sheetData>
  <mergeCells count="23">
    <mergeCell ref="J3:P3"/>
    <mergeCell ref="R3:V3"/>
    <mergeCell ref="Y3:AD3"/>
    <mergeCell ref="K18:M1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8:E19"/>
    <mergeCell ref="F18:I19"/>
    <mergeCell ref="C20:E21"/>
    <mergeCell ref="F20:I21"/>
    <mergeCell ref="C22:E23"/>
    <mergeCell ref="F22:I2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workbookViewId="0">
      <pane xSplit="14" ySplit="4" topLeftCell="AC5" activePane="bottomRight" state="frozen"/>
      <selection/>
      <selection pane="topRight"/>
      <selection pane="bottomLeft"/>
      <selection pane="bottomRight" activeCell="M18" sqref="M18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74" t="s">
        <v>0</v>
      </c>
    </row>
    <row r="2" customFormat="1" ht="6" customHeight="1" spans="1:1">
      <c r="A2" s="74"/>
    </row>
    <row r="3" s="71" customFormat="1" ht="23" customHeight="1" spans="1:32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 t="s">
        <v>6</v>
      </c>
      <c r="G3" s="80" t="s">
        <v>7</v>
      </c>
      <c r="H3" s="80" t="s">
        <v>8</v>
      </c>
      <c r="I3" s="80" t="s">
        <v>9</v>
      </c>
      <c r="J3" s="104" t="s">
        <v>10</v>
      </c>
      <c r="K3" s="105"/>
      <c r="L3" s="106"/>
      <c r="M3" s="105"/>
      <c r="N3" s="106"/>
      <c r="O3" s="107"/>
      <c r="P3" s="108"/>
      <c r="Q3" s="147" t="s">
        <v>11</v>
      </c>
      <c r="R3" s="148" t="s">
        <v>12</v>
      </c>
      <c r="S3" s="149"/>
      <c r="T3" s="150"/>
      <c r="U3" s="151"/>
      <c r="V3" s="152"/>
      <c r="W3" s="153" t="s">
        <v>13</v>
      </c>
      <c r="X3" s="154" t="s">
        <v>14</v>
      </c>
      <c r="Y3" s="173" t="s">
        <v>15</v>
      </c>
      <c r="Z3" s="173"/>
      <c r="AA3" s="173"/>
      <c r="AB3" s="173"/>
      <c r="AC3" s="174"/>
      <c r="AD3" s="173"/>
      <c r="AE3" s="175" t="s">
        <v>16</v>
      </c>
      <c r="AF3" s="176" t="s">
        <v>17</v>
      </c>
    </row>
    <row r="4" s="71" customFormat="1" ht="27" customHeight="1" spans="1:32">
      <c r="A4" s="81"/>
      <c r="B4" s="82"/>
      <c r="C4" s="77"/>
      <c r="D4" s="78"/>
      <c r="E4" s="83"/>
      <c r="F4" s="84"/>
      <c r="G4" s="84"/>
      <c r="H4" s="84"/>
      <c r="I4" s="84"/>
      <c r="J4" s="109" t="s">
        <v>18</v>
      </c>
      <c r="K4" s="110" t="s">
        <v>19</v>
      </c>
      <c r="L4" s="111" t="s">
        <v>20</v>
      </c>
      <c r="M4" s="110" t="s">
        <v>21</v>
      </c>
      <c r="N4" s="112" t="s">
        <v>22</v>
      </c>
      <c r="O4" s="113" t="s">
        <v>23</v>
      </c>
      <c r="P4" s="114" t="s">
        <v>24</v>
      </c>
      <c r="Q4" s="155"/>
      <c r="R4" s="156" t="s">
        <v>25</v>
      </c>
      <c r="S4" s="157" t="s">
        <v>26</v>
      </c>
      <c r="T4" s="158" t="s">
        <v>27</v>
      </c>
      <c r="U4" s="159" t="s">
        <v>28</v>
      </c>
      <c r="V4" s="158" t="s">
        <v>29</v>
      </c>
      <c r="W4" s="160"/>
      <c r="X4" s="161"/>
      <c r="Y4" s="177" t="s">
        <v>30</v>
      </c>
      <c r="Z4" s="177" t="s">
        <v>31</v>
      </c>
      <c r="AA4" s="177" t="s">
        <v>32</v>
      </c>
      <c r="AB4" s="178" t="s">
        <v>33</v>
      </c>
      <c r="AC4" s="179" t="s">
        <v>34</v>
      </c>
      <c r="AD4" s="180" t="s">
        <v>24</v>
      </c>
      <c r="AE4" s="181" t="s">
        <v>35</v>
      </c>
      <c r="AF4" s="182"/>
    </row>
    <row r="5" s="72" customFormat="1" ht="12.75" spans="1:32">
      <c r="A5" s="85"/>
      <c r="B5" s="86"/>
      <c r="C5" s="87">
        <v>240729000055</v>
      </c>
      <c r="D5" s="88">
        <v>45505</v>
      </c>
      <c r="E5" s="88" t="s">
        <v>142</v>
      </c>
      <c r="F5" s="86" t="s">
        <v>143</v>
      </c>
      <c r="G5" s="86" t="s">
        <v>144</v>
      </c>
      <c r="H5" s="86">
        <v>22.022</v>
      </c>
      <c r="I5" s="86">
        <v>12675</v>
      </c>
      <c r="J5" s="115">
        <v>54288.61</v>
      </c>
      <c r="K5" s="116"/>
      <c r="L5" s="120"/>
      <c r="M5" s="118"/>
      <c r="N5" s="120"/>
      <c r="O5" s="86"/>
      <c r="P5" s="119">
        <v>54288.61</v>
      </c>
      <c r="Q5" s="162"/>
      <c r="R5" s="162"/>
      <c r="S5" s="121">
        <v>18987.2614159216</v>
      </c>
      <c r="T5" s="121"/>
      <c r="U5" s="121">
        <v>459.525402912687</v>
      </c>
      <c r="V5" s="121"/>
      <c r="W5" s="121"/>
      <c r="X5" s="164">
        <v>19446.7868188342</v>
      </c>
      <c r="Y5" s="183">
        <v>3359.78387782874</v>
      </c>
      <c r="Z5" s="183"/>
      <c r="AA5" s="183"/>
      <c r="AB5" s="183">
        <v>3359.78387782874</v>
      </c>
      <c r="AC5" s="116">
        <v>7.08</v>
      </c>
      <c r="AD5" s="121">
        <v>23787.2698550274</v>
      </c>
      <c r="AE5" s="121">
        <v>43234.0566738617</v>
      </c>
      <c r="AF5" s="164">
        <v>11054.5533261383</v>
      </c>
    </row>
    <row r="6" s="72" customFormat="1" ht="12.75" spans="1:32">
      <c r="A6" s="85"/>
      <c r="B6" s="86"/>
      <c r="C6" s="87">
        <v>240731000038</v>
      </c>
      <c r="D6" s="88">
        <v>45506</v>
      </c>
      <c r="E6" s="88" t="s">
        <v>142</v>
      </c>
      <c r="F6" s="86" t="s">
        <v>143</v>
      </c>
      <c r="G6" s="86" t="s">
        <v>144</v>
      </c>
      <c r="H6" s="86">
        <v>3.6015</v>
      </c>
      <c r="I6" s="86">
        <v>1074</v>
      </c>
      <c r="J6" s="115">
        <v>8038.58</v>
      </c>
      <c r="K6" s="116"/>
      <c r="L6" s="117"/>
      <c r="M6" s="118"/>
      <c r="N6" s="117"/>
      <c r="O6" s="86"/>
      <c r="P6" s="119">
        <v>8038.58</v>
      </c>
      <c r="Q6" s="162"/>
      <c r="R6" s="162"/>
      <c r="S6" s="121">
        <v>3117.78677205882</v>
      </c>
      <c r="T6" s="121"/>
      <c r="U6" s="121">
        <v>105.926470588235</v>
      </c>
      <c r="V6" s="121"/>
      <c r="W6" s="121"/>
      <c r="X6" s="164">
        <v>3223.71324264706</v>
      </c>
      <c r="Y6" s="183">
        <v>535.881485073529</v>
      </c>
      <c r="Z6" s="183"/>
      <c r="AA6" s="183">
        <v>4.84348786764706</v>
      </c>
      <c r="AB6" s="183">
        <v>540.724972941176</v>
      </c>
      <c r="AC6" s="116">
        <v>7.15</v>
      </c>
      <c r="AD6" s="121">
        <v>3866.18355652941</v>
      </c>
      <c r="AE6" s="121">
        <v>7089.89679917647</v>
      </c>
      <c r="AF6" s="164">
        <v>948.68320082353</v>
      </c>
    </row>
    <row r="7" s="72" customFormat="1" ht="12.75" spans="1:32">
      <c r="A7" s="85"/>
      <c r="B7" s="86"/>
      <c r="C7" s="87">
        <v>240802000026</v>
      </c>
      <c r="D7" s="88">
        <v>45506</v>
      </c>
      <c r="E7" s="88" t="s">
        <v>142</v>
      </c>
      <c r="F7" s="86" t="s">
        <v>143</v>
      </c>
      <c r="G7" s="86" t="s">
        <v>144</v>
      </c>
      <c r="H7" s="86">
        <v>0.0391</v>
      </c>
      <c r="I7" s="86">
        <v>42.5</v>
      </c>
      <c r="J7" s="115">
        <v>98.57</v>
      </c>
      <c r="K7" s="116"/>
      <c r="L7" s="117"/>
      <c r="M7" s="118"/>
      <c r="N7" s="117"/>
      <c r="O7" s="86"/>
      <c r="P7" s="119">
        <v>98.57</v>
      </c>
      <c r="Q7" s="162"/>
      <c r="R7" s="162"/>
      <c r="S7" s="121">
        <v>33.848525</v>
      </c>
      <c r="T7" s="121"/>
      <c r="U7" s="121">
        <v>1.15</v>
      </c>
      <c r="V7" s="121"/>
      <c r="W7" s="121"/>
      <c r="X7" s="164">
        <v>34.998525</v>
      </c>
      <c r="Y7" s="183">
        <v>5.81784425</v>
      </c>
      <c r="Z7" s="183"/>
      <c r="AA7" s="183">
        <v>0.05258375</v>
      </c>
      <c r="AB7" s="183">
        <v>5.870428</v>
      </c>
      <c r="AC7" s="116">
        <v>7.15</v>
      </c>
      <c r="AD7" s="121">
        <v>41.9735602</v>
      </c>
      <c r="AE7" s="121">
        <v>76.9720852</v>
      </c>
      <c r="AF7" s="164">
        <v>21.5979148</v>
      </c>
    </row>
    <row r="8" s="72" customFormat="1" ht="12.75" spans="1:32">
      <c r="A8" s="85"/>
      <c r="B8" s="86"/>
      <c r="C8" s="87">
        <v>240808000019</v>
      </c>
      <c r="D8" s="88">
        <v>45512</v>
      </c>
      <c r="E8" s="88" t="s">
        <v>142</v>
      </c>
      <c r="F8" s="86" t="s">
        <v>145</v>
      </c>
      <c r="G8" s="86" t="s">
        <v>146</v>
      </c>
      <c r="H8" s="86">
        <v>7.4735</v>
      </c>
      <c r="I8" s="86">
        <v>1000</v>
      </c>
      <c r="J8" s="115">
        <v>16565.05</v>
      </c>
      <c r="K8" s="116"/>
      <c r="L8" s="117"/>
      <c r="M8" s="118"/>
      <c r="N8" s="117"/>
      <c r="O8" s="86"/>
      <c r="P8" s="121">
        <v>16565.05</v>
      </c>
      <c r="Q8" s="165"/>
      <c r="R8" s="165"/>
      <c r="S8" s="121">
        <v>6432.95250551471</v>
      </c>
      <c r="T8" s="121">
        <v>6.04364360294118</v>
      </c>
      <c r="U8" s="121">
        <v>109.904411764706</v>
      </c>
      <c r="V8" s="121"/>
      <c r="W8" s="121"/>
      <c r="X8" s="164">
        <v>6548.90056088235</v>
      </c>
      <c r="Y8" s="184">
        <v>1146.85253676471</v>
      </c>
      <c r="Z8" s="183"/>
      <c r="AA8" s="183"/>
      <c r="AB8" s="183">
        <v>1146.85253676471</v>
      </c>
      <c r="AC8" s="116">
        <v>7.12</v>
      </c>
      <c r="AD8" s="121">
        <v>8165.59006176471</v>
      </c>
      <c r="AE8" s="121">
        <v>14714.4906226471</v>
      </c>
      <c r="AF8" s="164">
        <v>1850.5593773529</v>
      </c>
    </row>
    <row r="9" s="72" customFormat="1" ht="12.75" spans="1:32">
      <c r="A9" s="85"/>
      <c r="B9" s="86"/>
      <c r="C9" s="87">
        <v>240812000043</v>
      </c>
      <c r="D9" s="88">
        <v>45534</v>
      </c>
      <c r="E9" s="88" t="s">
        <v>142</v>
      </c>
      <c r="F9" s="86" t="s">
        <v>145</v>
      </c>
      <c r="G9" s="86" t="s">
        <v>146</v>
      </c>
      <c r="H9" s="86">
        <v>5.313</v>
      </c>
      <c r="I9" s="86">
        <v>2925</v>
      </c>
      <c r="J9" s="115">
        <v>13463.78</v>
      </c>
      <c r="K9" s="122"/>
      <c r="L9" s="120"/>
      <c r="M9" s="118"/>
      <c r="N9" s="120"/>
      <c r="O9" s="86"/>
      <c r="P9" s="119">
        <v>13463.78</v>
      </c>
      <c r="Q9" s="165"/>
      <c r="R9" s="165"/>
      <c r="S9" s="121">
        <v>4496.14578308824</v>
      </c>
      <c r="T9" s="121"/>
      <c r="U9" s="121">
        <v>164.077941176471</v>
      </c>
      <c r="V9" s="121"/>
      <c r="W9" s="121"/>
      <c r="X9" s="164">
        <v>4660.22372426471</v>
      </c>
      <c r="Y9" s="184">
        <v>813.904720588235</v>
      </c>
      <c r="Z9" s="183"/>
      <c r="AA9" s="183"/>
      <c r="AB9" s="183">
        <v>813.904720588235</v>
      </c>
      <c r="AC9" s="116">
        <v>7.07</v>
      </c>
      <c r="AD9" s="121">
        <v>5754.30637455882</v>
      </c>
      <c r="AE9" s="121">
        <v>10414.5300988235</v>
      </c>
      <c r="AF9" s="164">
        <v>3049.2499011765</v>
      </c>
    </row>
    <row r="10" s="72" customFormat="1" ht="12.75" spans="1:32">
      <c r="A10" s="85"/>
      <c r="B10" s="86"/>
      <c r="C10" s="87">
        <v>240827000034</v>
      </c>
      <c r="D10" s="88">
        <v>45532</v>
      </c>
      <c r="E10" s="88" t="s">
        <v>142</v>
      </c>
      <c r="F10" s="86" t="s">
        <v>147</v>
      </c>
      <c r="G10" s="86" t="s">
        <v>148</v>
      </c>
      <c r="H10" s="192">
        <v>9.2</v>
      </c>
      <c r="I10" s="192">
        <v>7350</v>
      </c>
      <c r="J10" s="115">
        <v>24057.26</v>
      </c>
      <c r="K10" s="116"/>
      <c r="L10" s="117"/>
      <c r="M10" s="118"/>
      <c r="N10" s="117"/>
      <c r="O10" s="86"/>
      <c r="P10" s="119">
        <v>24057.26</v>
      </c>
      <c r="Q10" s="162"/>
      <c r="R10" s="162"/>
      <c r="S10" s="121">
        <v>7151.17352941176</v>
      </c>
      <c r="T10" s="121"/>
      <c r="U10" s="121">
        <v>202.941176470588</v>
      </c>
      <c r="V10" s="121"/>
      <c r="W10" s="121"/>
      <c r="X10" s="164">
        <v>7354.11470588235</v>
      </c>
      <c r="Y10" s="183">
        <v>1452.71517647059</v>
      </c>
      <c r="Z10" s="183"/>
      <c r="AA10" s="183">
        <v>33.5245294117647</v>
      </c>
      <c r="AB10" s="183">
        <v>1486.23970588235</v>
      </c>
      <c r="AC10" s="116">
        <v>7.12</v>
      </c>
      <c r="AD10" s="121">
        <v>10582.0267058824</v>
      </c>
      <c r="AE10" s="121">
        <v>17936.1414117647</v>
      </c>
      <c r="AF10" s="164">
        <v>6121.1185882353</v>
      </c>
    </row>
    <row r="11" s="190" customFormat="1" ht="19" customHeight="1" spans="1:32">
      <c r="A11" s="85" t="s">
        <v>110</v>
      </c>
      <c r="B11" s="193"/>
      <c r="C11" s="194"/>
      <c r="D11" s="195"/>
      <c r="E11" s="196"/>
      <c r="F11" s="193"/>
      <c r="G11" s="193"/>
      <c r="H11" s="193"/>
      <c r="I11" s="201"/>
      <c r="J11" s="201"/>
      <c r="K11" s="201"/>
      <c r="L11" s="201"/>
      <c r="M11" s="202"/>
      <c r="N11" s="202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208"/>
      <c r="AC11" s="208"/>
      <c r="AD11" s="208"/>
      <c r="AE11" s="208"/>
      <c r="AF11" s="208">
        <f>SUM(AF5:AF10)</f>
        <v>23045.7623085265</v>
      </c>
    </row>
    <row r="12" s="191" customFormat="1" ht="20" customHeight="1" spans="1:25">
      <c r="A12" s="197"/>
      <c r="B12" s="197"/>
      <c r="D12" s="198"/>
      <c r="H12" s="199"/>
      <c r="I12" s="203"/>
      <c r="J12" s="204"/>
      <c r="K12" s="199"/>
      <c r="L12" s="199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</row>
    <row r="13" s="1" customFormat="1" ht="23" customHeight="1" spans="3:16">
      <c r="C13" s="95" t="s">
        <v>60</v>
      </c>
      <c r="D13" s="95"/>
      <c r="E13" s="95"/>
      <c r="F13" s="96" t="s">
        <v>61</v>
      </c>
      <c r="G13" s="97"/>
      <c r="H13" s="97"/>
      <c r="I13" s="124"/>
      <c r="J13"/>
      <c r="K13" s="125" t="s">
        <v>149</v>
      </c>
      <c r="L13" s="126"/>
      <c r="M13" s="127"/>
      <c r="N13"/>
      <c r="O13"/>
      <c r="P13"/>
    </row>
    <row r="14" s="1" customFormat="1" ht="23" customHeight="1" spans="3:16">
      <c r="C14" s="95"/>
      <c r="D14" s="95"/>
      <c r="E14" s="95"/>
      <c r="F14" s="98"/>
      <c r="G14" s="99"/>
      <c r="H14" s="99"/>
      <c r="I14" s="128"/>
      <c r="J14"/>
      <c r="K14" s="129" t="s">
        <v>63</v>
      </c>
      <c r="L14" s="129" t="s">
        <v>8</v>
      </c>
      <c r="M14" s="129" t="s">
        <v>64</v>
      </c>
      <c r="N14"/>
      <c r="O14"/>
      <c r="P14"/>
    </row>
    <row r="15" s="1" customFormat="1" ht="23" customHeight="1" spans="3:16">
      <c r="C15" s="95" t="s">
        <v>65</v>
      </c>
      <c r="D15" s="95"/>
      <c r="E15" s="95"/>
      <c r="F15" s="100" t="s">
        <v>66</v>
      </c>
      <c r="G15" s="101"/>
      <c r="H15" s="101"/>
      <c r="I15" s="130"/>
      <c r="J15"/>
      <c r="K15" s="129" t="s">
        <v>67</v>
      </c>
      <c r="L15" s="131">
        <f>SUM(H5:H10)</f>
        <v>47.6491</v>
      </c>
      <c r="M15" s="132">
        <f>SUM(AF11)</f>
        <v>23045.7623085265</v>
      </c>
      <c r="N15"/>
      <c r="O15"/>
      <c r="P15"/>
    </row>
    <row r="16" s="1" customFormat="1" ht="23" customHeight="1" spans="3:16">
      <c r="C16" s="95"/>
      <c r="D16" s="95"/>
      <c r="E16" s="95"/>
      <c r="F16" s="102"/>
      <c r="G16" s="103"/>
      <c r="H16" s="103"/>
      <c r="I16" s="133"/>
      <c r="J16"/>
      <c r="K16" s="206" t="s">
        <v>71</v>
      </c>
      <c r="L16" s="206"/>
      <c r="M16" s="207">
        <f>SUM(M15:M15)</f>
        <v>23045.7623085265</v>
      </c>
      <c r="N16"/>
      <c r="O16"/>
      <c r="P16"/>
    </row>
    <row r="17" s="1" customFormat="1" ht="23" customHeight="1" spans="3:16">
      <c r="C17" s="95" t="s">
        <v>69</v>
      </c>
      <c r="D17" s="95"/>
      <c r="E17" s="95"/>
      <c r="F17" s="100" t="s">
        <v>70</v>
      </c>
      <c r="G17" s="101"/>
      <c r="H17" s="101"/>
      <c r="I17" s="130"/>
      <c r="J17"/>
      <c r="K17" s="129" t="s">
        <v>90</v>
      </c>
      <c r="L17" s="129"/>
      <c r="M17" s="129">
        <v>0.4</v>
      </c>
      <c r="N17"/>
      <c r="O17"/>
      <c r="P17"/>
    </row>
    <row r="18" s="1" customFormat="1" ht="23" customHeight="1" spans="3:16">
      <c r="C18" s="95"/>
      <c r="D18" s="95"/>
      <c r="E18" s="95"/>
      <c r="F18" s="102"/>
      <c r="G18" s="103"/>
      <c r="H18" s="103"/>
      <c r="I18" s="133"/>
      <c r="J18"/>
      <c r="K18" s="144" t="s">
        <v>74</v>
      </c>
      <c r="L18" s="144"/>
      <c r="M18" s="146">
        <f>SUM(M16*M17)</f>
        <v>9218.3049234106</v>
      </c>
      <c r="N18"/>
      <c r="O18"/>
      <c r="P18"/>
    </row>
    <row r="19" s="1" customFormat="1" ht="23" customHeight="1" spans="5:16">
      <c r="E19"/>
      <c r="F19"/>
      <c r="G19"/>
      <c r="H19"/>
      <c r="I19"/>
      <c r="J19"/>
      <c r="K19" s="200"/>
      <c r="L19" s="200"/>
      <c r="M19" s="200"/>
      <c r="N19"/>
      <c r="O19"/>
      <c r="P19"/>
    </row>
    <row r="20" s="1" customFormat="1" ht="23" customHeight="1" spans="5:16">
      <c r="E20"/>
      <c r="F20"/>
      <c r="G20"/>
      <c r="H20"/>
      <c r="I20"/>
      <c r="J20"/>
      <c r="K20"/>
      <c r="L20"/>
      <c r="M20"/>
      <c r="N20"/>
      <c r="O20"/>
      <c r="P20"/>
    </row>
    <row r="21" s="1" customFormat="1" ht="23" customHeight="1" spans="5:13">
      <c r="E21"/>
      <c r="F21"/>
      <c r="G21"/>
      <c r="H21"/>
      <c r="I21"/>
      <c r="J21"/>
      <c r="K21"/>
      <c r="L21"/>
      <c r="M21"/>
    </row>
    <row r="22" s="1" customFormat="1" ht="23" customHeight="1" spans="5:13">
      <c r="E22"/>
      <c r="F22"/>
      <c r="G22"/>
      <c r="H22"/>
      <c r="I22"/>
      <c r="J22"/>
      <c r="K22"/>
      <c r="L22"/>
      <c r="M22"/>
    </row>
    <row r="23" s="1" customFormat="1" ht="23" customHeight="1" spans="5:19">
      <c r="E23"/>
      <c r="F23"/>
      <c r="G23"/>
      <c r="H23"/>
      <c r="I23"/>
      <c r="J23"/>
      <c r="K23"/>
      <c r="L23"/>
      <c r="M23"/>
      <c r="O23"/>
      <c r="P23"/>
      <c r="Q23"/>
      <c r="R23"/>
      <c r="S23" s="36"/>
    </row>
    <row r="24" s="1" customFormat="1" ht="23" customHeight="1" spans="5:19">
      <c r="E24" s="200"/>
      <c r="F24" s="200"/>
      <c r="G24" s="200"/>
      <c r="H24" s="200"/>
      <c r="I24" s="200"/>
      <c r="J24" s="200"/>
      <c r="K24" s="200"/>
      <c r="L24" s="200"/>
      <c r="N24" s="200"/>
      <c r="O24" s="200"/>
      <c r="P24" s="200"/>
      <c r="Q24" s="200"/>
      <c r="S24" s="36"/>
    </row>
    <row r="25" ht="25" customHeight="1"/>
  </sheetData>
  <mergeCells count="23">
    <mergeCell ref="J3:P3"/>
    <mergeCell ref="R3:V3"/>
    <mergeCell ref="Y3:AD3"/>
    <mergeCell ref="K13:M1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5:E16"/>
    <mergeCell ref="F15:I16"/>
    <mergeCell ref="C13:E14"/>
    <mergeCell ref="F13:I14"/>
    <mergeCell ref="C17:E18"/>
    <mergeCell ref="F17:I18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3"/>
  <sheetViews>
    <sheetView workbookViewId="0">
      <pane xSplit="14" ySplit="4" topLeftCell="O40" activePane="bottomRight" state="frozen"/>
      <selection/>
      <selection pane="topRight"/>
      <selection pane="bottomLeft"/>
      <selection pane="bottomRight" activeCell="M61" sqref="M61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74" t="s">
        <v>0</v>
      </c>
    </row>
    <row r="2" customFormat="1" ht="6" customHeight="1" spans="1:1">
      <c r="A2" s="74"/>
    </row>
    <row r="3" s="71" customFormat="1" ht="23" customHeight="1" spans="1:32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 t="s">
        <v>6</v>
      </c>
      <c r="G3" s="80" t="s">
        <v>7</v>
      </c>
      <c r="H3" s="80" t="s">
        <v>8</v>
      </c>
      <c r="I3" s="80" t="s">
        <v>9</v>
      </c>
      <c r="J3" s="104" t="s">
        <v>10</v>
      </c>
      <c r="K3" s="105"/>
      <c r="L3" s="106"/>
      <c r="M3" s="105"/>
      <c r="N3" s="106"/>
      <c r="O3" s="107"/>
      <c r="P3" s="108"/>
      <c r="Q3" s="147" t="s">
        <v>11</v>
      </c>
      <c r="R3" s="148" t="s">
        <v>12</v>
      </c>
      <c r="S3" s="149"/>
      <c r="T3" s="150"/>
      <c r="U3" s="151"/>
      <c r="V3" s="152"/>
      <c r="W3" s="153" t="s">
        <v>13</v>
      </c>
      <c r="X3" s="154" t="s">
        <v>14</v>
      </c>
      <c r="Y3" s="173" t="s">
        <v>15</v>
      </c>
      <c r="Z3" s="173"/>
      <c r="AA3" s="173"/>
      <c r="AB3" s="173"/>
      <c r="AC3" s="174"/>
      <c r="AD3" s="173"/>
      <c r="AE3" s="175" t="s">
        <v>16</v>
      </c>
      <c r="AF3" s="176" t="s">
        <v>17</v>
      </c>
    </row>
    <row r="4" s="71" customFormat="1" ht="27" customHeight="1" spans="1:32">
      <c r="A4" s="81"/>
      <c r="B4" s="82"/>
      <c r="C4" s="77"/>
      <c r="D4" s="78"/>
      <c r="E4" s="83"/>
      <c r="F4" s="84"/>
      <c r="G4" s="84"/>
      <c r="H4" s="84"/>
      <c r="I4" s="84"/>
      <c r="J4" s="109" t="s">
        <v>18</v>
      </c>
      <c r="K4" s="110" t="s">
        <v>19</v>
      </c>
      <c r="L4" s="111" t="s">
        <v>20</v>
      </c>
      <c r="M4" s="110" t="s">
        <v>21</v>
      </c>
      <c r="N4" s="112" t="s">
        <v>22</v>
      </c>
      <c r="O4" s="113" t="s">
        <v>23</v>
      </c>
      <c r="P4" s="114" t="s">
        <v>24</v>
      </c>
      <c r="Q4" s="155"/>
      <c r="R4" s="156" t="s">
        <v>25</v>
      </c>
      <c r="S4" s="157" t="s">
        <v>26</v>
      </c>
      <c r="T4" s="158" t="s">
        <v>27</v>
      </c>
      <c r="U4" s="159" t="s">
        <v>28</v>
      </c>
      <c r="V4" s="158" t="s">
        <v>29</v>
      </c>
      <c r="W4" s="160"/>
      <c r="X4" s="161"/>
      <c r="Y4" s="177" t="s">
        <v>30</v>
      </c>
      <c r="Z4" s="177" t="s">
        <v>31</v>
      </c>
      <c r="AA4" s="177" t="s">
        <v>32</v>
      </c>
      <c r="AB4" s="178" t="s">
        <v>33</v>
      </c>
      <c r="AC4" s="179" t="s">
        <v>34</v>
      </c>
      <c r="AD4" s="180" t="s">
        <v>24</v>
      </c>
      <c r="AE4" s="181" t="s">
        <v>35</v>
      </c>
      <c r="AF4" s="182"/>
    </row>
    <row r="5" s="72" customFormat="1" ht="12.75" spans="1:32">
      <c r="A5" s="85"/>
      <c r="B5" s="86"/>
      <c r="C5" s="87">
        <v>240715000049</v>
      </c>
      <c r="D5" s="88">
        <v>45490</v>
      </c>
      <c r="E5" s="88" t="s">
        <v>145</v>
      </c>
      <c r="F5" s="86" t="s">
        <v>145</v>
      </c>
      <c r="G5" s="86" t="s">
        <v>140</v>
      </c>
      <c r="H5" s="86">
        <v>0.4043</v>
      </c>
      <c r="I5" s="86">
        <v>55</v>
      </c>
      <c r="J5" s="115">
        <v>923.29</v>
      </c>
      <c r="K5" s="116"/>
      <c r="L5" s="117"/>
      <c r="M5" s="118"/>
      <c r="N5" s="117"/>
      <c r="O5" s="86"/>
      <c r="P5" s="119">
        <v>923.29</v>
      </c>
      <c r="Q5" s="162"/>
      <c r="R5" s="162"/>
      <c r="S5" s="163">
        <v>786.875292639175</v>
      </c>
      <c r="T5" s="121">
        <v>1.6668447669528</v>
      </c>
      <c r="U5" s="121"/>
      <c r="V5" s="121"/>
      <c r="W5" s="121"/>
      <c r="X5" s="164">
        <v>788.542137406127</v>
      </c>
      <c r="Y5" s="183"/>
      <c r="Z5" s="183"/>
      <c r="AA5" s="183"/>
      <c r="AB5" s="183">
        <v>0</v>
      </c>
      <c r="AC5" s="116">
        <v>7.15</v>
      </c>
      <c r="AD5" s="121">
        <v>0</v>
      </c>
      <c r="AE5" s="121">
        <v>788.542137406127</v>
      </c>
      <c r="AF5" s="164">
        <v>134.747862593873</v>
      </c>
    </row>
    <row r="6" s="72" customFormat="1" ht="12.75" spans="1:32">
      <c r="A6" s="85"/>
      <c r="B6" s="86"/>
      <c r="C6" s="87">
        <v>240724000023</v>
      </c>
      <c r="D6" s="88">
        <v>45505</v>
      </c>
      <c r="E6" s="88" t="s">
        <v>145</v>
      </c>
      <c r="F6" s="86" t="s">
        <v>145</v>
      </c>
      <c r="G6" s="86" t="s">
        <v>140</v>
      </c>
      <c r="H6" s="86">
        <v>0.158</v>
      </c>
      <c r="I6" s="86">
        <v>156</v>
      </c>
      <c r="J6" s="115">
        <v>337.92</v>
      </c>
      <c r="K6" s="116"/>
      <c r="L6" s="117"/>
      <c r="M6" s="118"/>
      <c r="N6" s="117"/>
      <c r="O6" s="86"/>
      <c r="P6" s="119">
        <v>337.92</v>
      </c>
      <c r="Q6" s="162"/>
      <c r="R6" s="162"/>
      <c r="S6" s="121">
        <v>136.226832427373</v>
      </c>
      <c r="T6" s="121"/>
      <c r="U6" s="121">
        <v>3.29693096268297</v>
      </c>
      <c r="V6" s="121"/>
      <c r="W6" s="121"/>
      <c r="X6" s="164">
        <v>139.523763390056</v>
      </c>
      <c r="Y6" s="183">
        <v>24.1052516890809</v>
      </c>
      <c r="Z6" s="183"/>
      <c r="AA6" s="183"/>
      <c r="AB6" s="183">
        <v>24.1052516890809</v>
      </c>
      <c r="AC6" s="116">
        <v>7.08</v>
      </c>
      <c r="AD6" s="121">
        <v>170.665181958693</v>
      </c>
      <c r="AE6" s="121">
        <v>310.188945348749</v>
      </c>
      <c r="AF6" s="164">
        <v>27.731054651251</v>
      </c>
    </row>
    <row r="7" s="72" customFormat="1" ht="12.75" spans="1:32">
      <c r="A7" s="85"/>
      <c r="B7" s="86"/>
      <c r="C7" s="87">
        <v>240727000003</v>
      </c>
      <c r="D7" s="88">
        <v>45505</v>
      </c>
      <c r="E7" s="88" t="s">
        <v>145</v>
      </c>
      <c r="F7" s="86" t="s">
        <v>145</v>
      </c>
      <c r="G7" s="86" t="s">
        <v>150</v>
      </c>
      <c r="H7" s="86">
        <v>4.7589</v>
      </c>
      <c r="I7" s="86">
        <v>760</v>
      </c>
      <c r="J7" s="115">
        <v>17244.43</v>
      </c>
      <c r="K7" s="116"/>
      <c r="L7" s="117"/>
      <c r="M7" s="118"/>
      <c r="N7" s="117"/>
      <c r="O7" s="86"/>
      <c r="P7" s="119">
        <v>17244.43</v>
      </c>
      <c r="Q7" s="162"/>
      <c r="R7" s="162"/>
      <c r="S7" s="121">
        <v>4103.10046100395</v>
      </c>
      <c r="T7" s="121"/>
      <c r="U7" s="121">
        <v>99.3023085969114</v>
      </c>
      <c r="V7" s="121"/>
      <c r="W7" s="121"/>
      <c r="X7" s="164">
        <v>4202.40276960087</v>
      </c>
      <c r="Y7" s="183">
        <v>726.041026982071</v>
      </c>
      <c r="Z7" s="183">
        <v>678.47</v>
      </c>
      <c r="AA7" s="183"/>
      <c r="AB7" s="183">
        <v>1404.51102698207</v>
      </c>
      <c r="AC7" s="116">
        <v>7.08</v>
      </c>
      <c r="AD7" s="121">
        <v>9943.93807103306</v>
      </c>
      <c r="AE7" s="121">
        <v>14146.3408406339</v>
      </c>
      <c r="AF7" s="164">
        <v>3098.0891593661</v>
      </c>
    </row>
    <row r="8" s="72" customFormat="1" ht="12.75" spans="1:32">
      <c r="A8" s="85"/>
      <c r="B8" s="86"/>
      <c r="C8" s="87">
        <v>240730000017</v>
      </c>
      <c r="D8" s="88">
        <v>45505</v>
      </c>
      <c r="E8" s="88" t="s">
        <v>145</v>
      </c>
      <c r="F8" s="86" t="s">
        <v>145</v>
      </c>
      <c r="G8" s="86" t="s">
        <v>151</v>
      </c>
      <c r="H8" s="86">
        <v>0.2622</v>
      </c>
      <c r="I8" s="86">
        <v>392</v>
      </c>
      <c r="J8" s="115">
        <v>1290.24</v>
      </c>
      <c r="K8" s="116"/>
      <c r="L8" s="117"/>
      <c r="M8" s="118"/>
      <c r="N8" s="117"/>
      <c r="O8" s="86"/>
      <c r="P8" s="119">
        <v>1290.24</v>
      </c>
      <c r="Q8" s="162"/>
      <c r="R8" s="162"/>
      <c r="S8" s="121">
        <v>226.067566218083</v>
      </c>
      <c r="T8" s="121"/>
      <c r="U8" s="121">
        <v>5.47123606592073</v>
      </c>
      <c r="V8" s="121"/>
      <c r="W8" s="121"/>
      <c r="X8" s="164">
        <v>231.538802284004</v>
      </c>
      <c r="Y8" s="183">
        <v>40.0025126131457</v>
      </c>
      <c r="Z8" s="183"/>
      <c r="AA8" s="183"/>
      <c r="AB8" s="183">
        <v>40.0025126131457</v>
      </c>
      <c r="AC8" s="116">
        <v>7.08</v>
      </c>
      <c r="AD8" s="121">
        <v>283.217789301071</v>
      </c>
      <c r="AE8" s="121">
        <v>514.756591585076</v>
      </c>
      <c r="AF8" s="164">
        <v>775.483408414924</v>
      </c>
    </row>
    <row r="9" s="72" customFormat="1" ht="12.75" spans="1:32">
      <c r="A9" s="85"/>
      <c r="B9" s="86"/>
      <c r="C9" s="87">
        <v>240801000003</v>
      </c>
      <c r="D9" s="88">
        <v>45505</v>
      </c>
      <c r="E9" s="88" t="s">
        <v>145</v>
      </c>
      <c r="F9" s="86" t="s">
        <v>145</v>
      </c>
      <c r="G9" s="86" t="s">
        <v>140</v>
      </c>
      <c r="H9" s="86">
        <v>2.1</v>
      </c>
      <c r="I9" s="86">
        <v>352</v>
      </c>
      <c r="J9" s="115">
        <v>4491.38</v>
      </c>
      <c r="K9" s="116"/>
      <c r="L9" s="117"/>
      <c r="M9" s="118"/>
      <c r="N9" s="117"/>
      <c r="O9" s="86"/>
      <c r="P9" s="119">
        <v>4491.38</v>
      </c>
      <c r="Q9" s="162"/>
      <c r="R9" s="162"/>
      <c r="S9" s="121">
        <v>1810.60979808534</v>
      </c>
      <c r="T9" s="121"/>
      <c r="U9" s="121">
        <v>43.819968491356</v>
      </c>
      <c r="V9" s="121"/>
      <c r="W9" s="121"/>
      <c r="X9" s="164">
        <v>1854.42976657669</v>
      </c>
      <c r="Y9" s="183">
        <v>320.386256627025</v>
      </c>
      <c r="Z9" s="183"/>
      <c r="AA9" s="183"/>
      <c r="AB9" s="183">
        <v>320.386256627025</v>
      </c>
      <c r="AC9" s="116">
        <v>7.08</v>
      </c>
      <c r="AD9" s="121">
        <v>2268.33469691934</v>
      </c>
      <c r="AE9" s="121">
        <v>4122.76446349603</v>
      </c>
      <c r="AF9" s="164">
        <v>368.61553650397</v>
      </c>
    </row>
    <row r="10" s="72" customFormat="1" ht="12.75" spans="1:32">
      <c r="A10" s="85"/>
      <c r="B10" s="86"/>
      <c r="C10" s="87">
        <v>240801000001</v>
      </c>
      <c r="D10" s="88">
        <v>45506</v>
      </c>
      <c r="E10" s="88" t="s">
        <v>145</v>
      </c>
      <c r="F10" s="86" t="s">
        <v>145</v>
      </c>
      <c r="G10" s="86" t="s">
        <v>152</v>
      </c>
      <c r="H10" s="86">
        <v>28.4144</v>
      </c>
      <c r="I10" s="86">
        <v>2700</v>
      </c>
      <c r="J10" s="115">
        <v>48216.84</v>
      </c>
      <c r="K10" s="116"/>
      <c r="L10" s="117"/>
      <c r="M10" s="118"/>
      <c r="N10" s="120"/>
      <c r="O10" s="86"/>
      <c r="P10" s="119">
        <v>48216.84</v>
      </c>
      <c r="Q10" s="162"/>
      <c r="R10" s="162"/>
      <c r="S10" s="121">
        <v>24498.7576412933</v>
      </c>
      <c r="T10" s="121"/>
      <c r="U10" s="121">
        <v>592.913387000374</v>
      </c>
      <c r="V10" s="121"/>
      <c r="W10" s="121"/>
      <c r="X10" s="164">
        <v>25091.6710282937</v>
      </c>
      <c r="Y10" s="183">
        <v>4335.0396430014</v>
      </c>
      <c r="Z10" s="183"/>
      <c r="AA10" s="183"/>
      <c r="AB10" s="183">
        <v>4335.0396430014</v>
      </c>
      <c r="AC10" s="116">
        <v>7.08</v>
      </c>
      <c r="AD10" s="121">
        <v>30692.0806724499</v>
      </c>
      <c r="AE10" s="121">
        <v>55783.7517007436</v>
      </c>
      <c r="AF10" s="121">
        <v>-7566.91170074361</v>
      </c>
    </row>
    <row r="11" s="72" customFormat="1" ht="12.75" spans="1:32">
      <c r="A11" s="85"/>
      <c r="B11" s="86"/>
      <c r="C11" s="87">
        <v>240801000004</v>
      </c>
      <c r="D11" s="88">
        <v>45505</v>
      </c>
      <c r="E11" s="88" t="s">
        <v>145</v>
      </c>
      <c r="F11" s="86" t="s">
        <v>145</v>
      </c>
      <c r="G11" s="86" t="s">
        <v>140</v>
      </c>
      <c r="H11" s="86">
        <v>0.1758</v>
      </c>
      <c r="I11" s="86">
        <v>34</v>
      </c>
      <c r="J11" s="115">
        <v>375.99</v>
      </c>
      <c r="K11" s="116"/>
      <c r="L11" s="117"/>
      <c r="M11" s="118"/>
      <c r="N11" s="117"/>
      <c r="O11" s="86"/>
      <c r="P11" s="119">
        <v>375.99</v>
      </c>
      <c r="Q11" s="165"/>
      <c r="R11" s="165"/>
      <c r="S11" s="121">
        <v>151.573905954001</v>
      </c>
      <c r="T11" s="121"/>
      <c r="U11" s="121">
        <v>3.66835736227637</v>
      </c>
      <c r="V11" s="121"/>
      <c r="W11" s="121"/>
      <c r="X11" s="164">
        <v>155.242263316277</v>
      </c>
      <c r="Y11" s="183">
        <v>26.8209066262052</v>
      </c>
      <c r="Z11" s="183"/>
      <c r="AA11" s="183"/>
      <c r="AB11" s="183">
        <v>26.8209066262052</v>
      </c>
      <c r="AC11" s="116">
        <v>7.08</v>
      </c>
      <c r="AD11" s="121">
        <v>189.892018913533</v>
      </c>
      <c r="AE11" s="121">
        <v>345.13428222981</v>
      </c>
      <c r="AF11" s="164">
        <v>30.85571777019</v>
      </c>
    </row>
    <row r="12" s="72" customFormat="1" ht="25.5" spans="1:32">
      <c r="A12" s="85" t="s">
        <v>153</v>
      </c>
      <c r="B12" s="86" t="s">
        <v>154</v>
      </c>
      <c r="C12" s="87">
        <v>240707000004</v>
      </c>
      <c r="D12" s="88">
        <v>45506</v>
      </c>
      <c r="E12" s="88" t="s">
        <v>145</v>
      </c>
      <c r="F12" s="86" t="s">
        <v>145</v>
      </c>
      <c r="G12" s="86" t="s">
        <v>155</v>
      </c>
      <c r="H12" s="86">
        <v>9.3447</v>
      </c>
      <c r="I12" s="86">
        <v>5042.5</v>
      </c>
      <c r="J12" s="115">
        <v>28642.1</v>
      </c>
      <c r="K12" s="116"/>
      <c r="L12" s="117"/>
      <c r="M12" s="118"/>
      <c r="N12" s="117"/>
      <c r="O12" s="86"/>
      <c r="P12" s="119">
        <v>28642.1</v>
      </c>
      <c r="Q12" s="166">
        <v>116130.274</v>
      </c>
      <c r="R12" s="167" t="s">
        <v>156</v>
      </c>
      <c r="S12" s="121">
        <v>8089.62433676471</v>
      </c>
      <c r="T12" s="121"/>
      <c r="U12" s="121">
        <v>274.844117647059</v>
      </c>
      <c r="V12" s="121"/>
      <c r="W12" s="121"/>
      <c r="X12" s="164">
        <v>8364.46845441177</v>
      </c>
      <c r="Y12" s="183">
        <v>1390.43501695588</v>
      </c>
      <c r="Z12" s="183">
        <v>88.5</v>
      </c>
      <c r="AA12" s="183">
        <v>12.5672472794118</v>
      </c>
      <c r="AB12" s="183">
        <v>1491.50226423529</v>
      </c>
      <c r="AC12" s="116">
        <v>7.15</v>
      </c>
      <c r="AD12" s="121">
        <v>10664.2411892823</v>
      </c>
      <c r="AE12" s="121">
        <v>19028.7096436941</v>
      </c>
      <c r="AF12" s="164">
        <v>9613.3903563059</v>
      </c>
    </row>
    <row r="13" s="72" customFormat="1" ht="12.75" spans="1:32">
      <c r="A13" s="85"/>
      <c r="B13" s="86"/>
      <c r="C13" s="87">
        <v>240719000020</v>
      </c>
      <c r="D13" s="88">
        <v>45506</v>
      </c>
      <c r="E13" s="88" t="s">
        <v>145</v>
      </c>
      <c r="F13" s="86" t="s">
        <v>145</v>
      </c>
      <c r="G13" s="86" t="s">
        <v>157</v>
      </c>
      <c r="H13" s="86">
        <v>0.645</v>
      </c>
      <c r="I13" s="86">
        <v>148</v>
      </c>
      <c r="J13" s="115">
        <v>2922.21</v>
      </c>
      <c r="K13" s="116"/>
      <c r="L13" s="117"/>
      <c r="M13" s="118"/>
      <c r="N13" s="117"/>
      <c r="O13" s="86"/>
      <c r="P13" s="119">
        <v>2922.21</v>
      </c>
      <c r="Q13" s="162"/>
      <c r="R13" s="162"/>
      <c r="S13" s="121">
        <v>558.37080882353</v>
      </c>
      <c r="T13" s="121"/>
      <c r="U13" s="121">
        <v>18.9705882352941</v>
      </c>
      <c r="V13" s="121"/>
      <c r="W13" s="121"/>
      <c r="X13" s="164">
        <v>577.341397058824</v>
      </c>
      <c r="Y13" s="183">
        <v>95.9721110294118</v>
      </c>
      <c r="Z13" s="183">
        <v>160.91</v>
      </c>
      <c r="AA13" s="183">
        <v>0.867430147058824</v>
      </c>
      <c r="AB13" s="183">
        <v>257.749541176471</v>
      </c>
      <c r="AC13" s="116">
        <v>7.15</v>
      </c>
      <c r="AD13" s="121">
        <v>1842.90921941176</v>
      </c>
      <c r="AE13" s="121">
        <v>2420.25061647059</v>
      </c>
      <c r="AF13" s="164">
        <v>501.95938352941</v>
      </c>
    </row>
    <row r="14" s="72" customFormat="1" ht="12.75" spans="1:32">
      <c r="A14" s="85"/>
      <c r="B14" s="86"/>
      <c r="C14" s="87">
        <v>240801000001</v>
      </c>
      <c r="D14" s="88">
        <v>45506</v>
      </c>
      <c r="E14" s="88" t="s">
        <v>145</v>
      </c>
      <c r="F14" s="86" t="s">
        <v>145</v>
      </c>
      <c r="G14" s="86" t="s">
        <v>152</v>
      </c>
      <c r="H14" s="86">
        <v>32.88</v>
      </c>
      <c r="I14" s="86">
        <v>4188</v>
      </c>
      <c r="J14" s="115">
        <v>51584.98</v>
      </c>
      <c r="K14" s="116"/>
      <c r="L14" s="117"/>
      <c r="M14" s="118"/>
      <c r="N14" s="120"/>
      <c r="O14" s="86"/>
      <c r="P14" s="119">
        <v>51584.98</v>
      </c>
      <c r="Q14" s="162"/>
      <c r="R14" s="162"/>
      <c r="S14" s="121">
        <v>28463.9258823529</v>
      </c>
      <c r="T14" s="121"/>
      <c r="U14" s="121">
        <v>967.058823529412</v>
      </c>
      <c r="V14" s="121"/>
      <c r="W14" s="121"/>
      <c r="X14" s="164">
        <v>29430.9847058824</v>
      </c>
      <c r="Y14" s="183">
        <v>4892.34575294118</v>
      </c>
      <c r="Z14" s="183"/>
      <c r="AA14" s="183">
        <v>44.2187647058824</v>
      </c>
      <c r="AB14" s="183">
        <v>4936.56451764706</v>
      </c>
      <c r="AC14" s="116">
        <v>7.15</v>
      </c>
      <c r="AD14" s="121">
        <v>35296.4363011765</v>
      </c>
      <c r="AE14" s="121">
        <v>64727.4210070588</v>
      </c>
      <c r="AF14" s="121">
        <v>-13142.4410070588</v>
      </c>
    </row>
    <row r="15" s="72" customFormat="1" ht="12.75" spans="1:32">
      <c r="A15" s="85"/>
      <c r="B15" s="86"/>
      <c r="C15" s="87">
        <v>240728000003</v>
      </c>
      <c r="D15" s="88">
        <v>45506</v>
      </c>
      <c r="E15" s="88" t="s">
        <v>145</v>
      </c>
      <c r="F15" s="86" t="s">
        <v>145</v>
      </c>
      <c r="G15" s="86" t="s">
        <v>150</v>
      </c>
      <c r="H15" s="86">
        <v>0.2595</v>
      </c>
      <c r="I15" s="86">
        <v>100</v>
      </c>
      <c r="J15" s="115">
        <v>699</v>
      </c>
      <c r="K15" s="116"/>
      <c r="L15" s="117"/>
      <c r="M15" s="118"/>
      <c r="N15" s="117"/>
      <c r="O15" s="86"/>
      <c r="P15" s="119">
        <v>699</v>
      </c>
      <c r="Q15" s="162"/>
      <c r="R15" s="162"/>
      <c r="S15" s="121">
        <v>224.646860294118</v>
      </c>
      <c r="T15" s="121"/>
      <c r="U15" s="121">
        <v>7.63235294117647</v>
      </c>
      <c r="V15" s="121"/>
      <c r="W15" s="121"/>
      <c r="X15" s="164">
        <v>232.279213235294</v>
      </c>
      <c r="Y15" s="183">
        <v>38.6120353676471</v>
      </c>
      <c r="Z15" s="183"/>
      <c r="AA15" s="183">
        <v>0.348989338235294</v>
      </c>
      <c r="AB15" s="183">
        <v>38.9610247058824</v>
      </c>
      <c r="AC15" s="116">
        <v>7.15</v>
      </c>
      <c r="AD15" s="121">
        <v>278.571326647059</v>
      </c>
      <c r="AE15" s="121">
        <v>510.850539882353</v>
      </c>
      <c r="AF15" s="164">
        <v>188.149460117647</v>
      </c>
    </row>
    <row r="16" s="72" customFormat="1" ht="12.75" spans="1:32">
      <c r="A16" s="85"/>
      <c r="B16" s="86"/>
      <c r="C16" s="87">
        <v>240802000022</v>
      </c>
      <c r="D16" s="88">
        <v>45506</v>
      </c>
      <c r="E16" s="88" t="s">
        <v>145</v>
      </c>
      <c r="F16" s="86" t="s">
        <v>145</v>
      </c>
      <c r="G16" s="86" t="s">
        <v>155</v>
      </c>
      <c r="H16" s="89">
        <v>0.02</v>
      </c>
      <c r="I16" s="89">
        <v>5.5</v>
      </c>
      <c r="J16" s="115">
        <v>61.48</v>
      </c>
      <c r="K16" s="116"/>
      <c r="L16" s="117"/>
      <c r="M16" s="118"/>
      <c r="N16" s="117"/>
      <c r="O16" s="86"/>
      <c r="P16" s="119">
        <v>61.48</v>
      </c>
      <c r="Q16" s="162"/>
      <c r="R16" s="162"/>
      <c r="S16" s="121">
        <v>17.3138235294118</v>
      </c>
      <c r="T16" s="121"/>
      <c r="U16" s="121">
        <v>0.588235294117647</v>
      </c>
      <c r="V16" s="121"/>
      <c r="W16" s="121"/>
      <c r="X16" s="164">
        <v>17.9020588235294</v>
      </c>
      <c r="Y16" s="183">
        <v>2.97587941176471</v>
      </c>
      <c r="Z16" s="183"/>
      <c r="AA16" s="183">
        <v>0.0268970588235294</v>
      </c>
      <c r="AB16" s="183">
        <v>3.00277647058824</v>
      </c>
      <c r="AC16" s="116">
        <v>7.15</v>
      </c>
      <c r="AD16" s="121">
        <v>21.4698517647059</v>
      </c>
      <c r="AE16" s="121">
        <v>39.3719105882353</v>
      </c>
      <c r="AF16" s="164">
        <v>22.1080894117647</v>
      </c>
    </row>
    <row r="17" s="72" customFormat="1" ht="12.75" spans="1:32">
      <c r="A17" s="85"/>
      <c r="B17" s="86"/>
      <c r="C17" s="87">
        <v>240802000029</v>
      </c>
      <c r="D17" s="88">
        <v>45506</v>
      </c>
      <c r="E17" s="88" t="s">
        <v>145</v>
      </c>
      <c r="F17" s="86" t="s">
        <v>145</v>
      </c>
      <c r="G17" s="86" t="s">
        <v>140</v>
      </c>
      <c r="H17" s="86">
        <v>1.5074</v>
      </c>
      <c r="I17" s="86">
        <v>207</v>
      </c>
      <c r="J17" s="115">
        <v>2677.5</v>
      </c>
      <c r="K17" s="116"/>
      <c r="L17" s="117"/>
      <c r="M17" s="118"/>
      <c r="N17" s="117"/>
      <c r="O17" s="86"/>
      <c r="P17" s="119">
        <v>2677.5</v>
      </c>
      <c r="Q17" s="165"/>
      <c r="R17" s="165"/>
      <c r="S17" s="121">
        <v>1304.94287941176</v>
      </c>
      <c r="T17" s="121"/>
      <c r="U17" s="121">
        <v>44.3352941176471</v>
      </c>
      <c r="V17" s="121"/>
      <c r="W17" s="121"/>
      <c r="X17" s="164">
        <v>1349.27817352941</v>
      </c>
      <c r="Y17" s="183">
        <v>224.292031264706</v>
      </c>
      <c r="Z17" s="183"/>
      <c r="AA17" s="183">
        <v>2.02723132352941</v>
      </c>
      <c r="AB17" s="183">
        <v>226.319262588235</v>
      </c>
      <c r="AC17" s="116">
        <v>7.15</v>
      </c>
      <c r="AD17" s="121">
        <v>1618.18272750588</v>
      </c>
      <c r="AE17" s="121">
        <v>2967.46090103529</v>
      </c>
      <c r="AF17" s="121">
        <v>-289.96090103529</v>
      </c>
    </row>
    <row r="18" s="72" customFormat="1" ht="12.75" spans="1:32">
      <c r="A18" s="85"/>
      <c r="B18" s="86"/>
      <c r="C18" s="87">
        <v>240806000035</v>
      </c>
      <c r="D18" s="88">
        <v>45511</v>
      </c>
      <c r="E18" s="88" t="s">
        <v>145</v>
      </c>
      <c r="F18" s="86" t="s">
        <v>145</v>
      </c>
      <c r="G18" s="86" t="s">
        <v>152</v>
      </c>
      <c r="H18" s="86">
        <v>34.38</v>
      </c>
      <c r="I18" s="86">
        <v>4304</v>
      </c>
      <c r="J18" s="115">
        <v>59321.31</v>
      </c>
      <c r="K18" s="116"/>
      <c r="L18" s="117"/>
      <c r="M18" s="118"/>
      <c r="N18" s="120"/>
      <c r="O18" s="86"/>
      <c r="P18" s="121">
        <v>59321.31</v>
      </c>
      <c r="Q18" s="165"/>
      <c r="R18" s="165"/>
      <c r="S18" s="121">
        <v>29087.62875</v>
      </c>
      <c r="T18" s="121"/>
      <c r="U18" s="121">
        <v>733.102941176471</v>
      </c>
      <c r="V18" s="121"/>
      <c r="W18" s="121"/>
      <c r="X18" s="164">
        <v>29820.7316911765</v>
      </c>
      <c r="Y18" s="184">
        <v>5323.33852941177</v>
      </c>
      <c r="Z18" s="183"/>
      <c r="AA18" s="183">
        <v>104.393858823529</v>
      </c>
      <c r="AB18" s="183">
        <v>5427.7323882353</v>
      </c>
      <c r="AC18" s="116">
        <v>7.09</v>
      </c>
      <c r="AD18" s="121">
        <v>38482.6226325883</v>
      </c>
      <c r="AE18" s="121">
        <v>68303.3543237648</v>
      </c>
      <c r="AF18" s="121">
        <v>-8982.0443237648</v>
      </c>
    </row>
    <row r="19" s="72" customFormat="1" ht="12.75" spans="1:32">
      <c r="A19" s="85"/>
      <c r="B19" s="86"/>
      <c r="C19" s="87">
        <v>240728000003</v>
      </c>
      <c r="D19" s="88">
        <v>45506</v>
      </c>
      <c r="E19" s="88" t="s">
        <v>145</v>
      </c>
      <c r="F19" s="86" t="s">
        <v>145</v>
      </c>
      <c r="G19" s="86" t="s">
        <v>150</v>
      </c>
      <c r="H19" s="86">
        <v>0.29</v>
      </c>
      <c r="I19" s="86">
        <v>135</v>
      </c>
      <c r="J19" s="115">
        <v>782</v>
      </c>
      <c r="K19" s="116"/>
      <c r="L19" s="117"/>
      <c r="M19" s="118"/>
      <c r="N19" s="117"/>
      <c r="O19" s="86"/>
      <c r="P19" s="119">
        <v>782</v>
      </c>
      <c r="Q19" s="162"/>
      <c r="R19" s="162"/>
      <c r="S19" s="121">
        <v>252.202977941176</v>
      </c>
      <c r="T19" s="121"/>
      <c r="U19" s="121">
        <v>6.18382352941176</v>
      </c>
      <c r="V19" s="121"/>
      <c r="W19" s="121"/>
      <c r="X19" s="164">
        <v>258.386801470588</v>
      </c>
      <c r="Y19" s="184">
        <v>44.9030882352941</v>
      </c>
      <c r="Z19" s="183"/>
      <c r="AA19" s="183">
        <v>1.10703235294118</v>
      </c>
      <c r="AB19" s="183">
        <v>46.0101205882353</v>
      </c>
      <c r="AC19" s="116">
        <v>7.09</v>
      </c>
      <c r="AD19" s="121">
        <v>326.211754970588</v>
      </c>
      <c r="AE19" s="121">
        <v>584.598556441176</v>
      </c>
      <c r="AF19" s="164">
        <v>197.401443558824</v>
      </c>
    </row>
    <row r="20" s="72" customFormat="1" ht="12.75" spans="1:32">
      <c r="A20" s="85"/>
      <c r="B20" s="86"/>
      <c r="C20" s="87">
        <v>240806000035</v>
      </c>
      <c r="D20" s="88">
        <v>45511</v>
      </c>
      <c r="E20" s="88" t="s">
        <v>145</v>
      </c>
      <c r="F20" s="86" t="s">
        <v>145</v>
      </c>
      <c r="G20" s="86" t="s">
        <v>152</v>
      </c>
      <c r="H20" s="86">
        <v>38.42</v>
      </c>
      <c r="I20" s="86">
        <v>4700</v>
      </c>
      <c r="J20" s="115">
        <v>66566.11</v>
      </c>
      <c r="K20" s="116"/>
      <c r="L20" s="117"/>
      <c r="M20" s="118"/>
      <c r="N20" s="120"/>
      <c r="O20" s="86"/>
      <c r="P20" s="121">
        <v>66566.11</v>
      </c>
      <c r="Q20" s="165"/>
      <c r="R20" s="165"/>
      <c r="S20" s="121">
        <v>33412.54625</v>
      </c>
      <c r="T20" s="121"/>
      <c r="U20" s="121">
        <v>819.25</v>
      </c>
      <c r="V20" s="121"/>
      <c r="W20" s="121"/>
      <c r="X20" s="164">
        <v>34231.79625</v>
      </c>
      <c r="Y20" s="184">
        <v>5948.885</v>
      </c>
      <c r="Z20" s="183"/>
      <c r="AA20" s="183">
        <v>146.6627</v>
      </c>
      <c r="AB20" s="183">
        <v>6095.5477</v>
      </c>
      <c r="AC20" s="116">
        <v>7.09</v>
      </c>
      <c r="AD20" s="121">
        <v>43217.433193</v>
      </c>
      <c r="AE20" s="121">
        <v>77449.229443</v>
      </c>
      <c r="AF20" s="121">
        <v>-10883.119443</v>
      </c>
    </row>
    <row r="21" s="72" customFormat="1" ht="12.75" spans="1:32">
      <c r="A21" s="85"/>
      <c r="B21" s="86"/>
      <c r="C21" s="87">
        <v>240803000005</v>
      </c>
      <c r="D21" s="88">
        <v>45512</v>
      </c>
      <c r="E21" s="88" t="s">
        <v>145</v>
      </c>
      <c r="F21" s="86" t="s">
        <v>145</v>
      </c>
      <c r="G21" s="86" t="s">
        <v>158</v>
      </c>
      <c r="H21" s="86">
        <v>2.6248</v>
      </c>
      <c r="I21" s="86">
        <v>630</v>
      </c>
      <c r="J21" s="115">
        <v>6236.5</v>
      </c>
      <c r="K21" s="116"/>
      <c r="L21" s="117"/>
      <c r="M21" s="118"/>
      <c r="N21" s="117"/>
      <c r="O21" s="86"/>
      <c r="P21" s="121">
        <v>6236.5</v>
      </c>
      <c r="Q21" s="162"/>
      <c r="R21" s="162"/>
      <c r="S21" s="121">
        <v>2259.34485</v>
      </c>
      <c r="T21" s="121">
        <v>2.122614</v>
      </c>
      <c r="U21" s="121">
        <v>38.6</v>
      </c>
      <c r="V21" s="121"/>
      <c r="W21" s="121"/>
      <c r="X21" s="164">
        <v>2300.067464</v>
      </c>
      <c r="Y21" s="184">
        <v>402.791</v>
      </c>
      <c r="Z21" s="183"/>
      <c r="AA21" s="183"/>
      <c r="AB21" s="183">
        <v>402.791</v>
      </c>
      <c r="AC21" s="116">
        <v>7.12</v>
      </c>
      <c r="AD21" s="121">
        <v>2867.87192</v>
      </c>
      <c r="AE21" s="121">
        <v>5167.939384</v>
      </c>
      <c r="AF21" s="164">
        <v>1068.560616</v>
      </c>
    </row>
    <row r="22" s="72" customFormat="1" ht="12.75" spans="1:32">
      <c r="A22" s="85"/>
      <c r="B22" s="86"/>
      <c r="C22" s="87">
        <v>240807000012</v>
      </c>
      <c r="D22" s="88">
        <v>45512</v>
      </c>
      <c r="E22" s="88" t="s">
        <v>145</v>
      </c>
      <c r="F22" s="86" t="s">
        <v>145</v>
      </c>
      <c r="G22" s="86" t="s">
        <v>140</v>
      </c>
      <c r="H22" s="86">
        <v>3.79</v>
      </c>
      <c r="I22" s="86">
        <v>780</v>
      </c>
      <c r="J22" s="115">
        <v>7638.75</v>
      </c>
      <c r="K22" s="116"/>
      <c r="L22" s="117"/>
      <c r="M22" s="118"/>
      <c r="N22" s="117"/>
      <c r="O22" s="86"/>
      <c r="P22" s="119">
        <v>7638.75</v>
      </c>
      <c r="Q22" s="162"/>
      <c r="R22" s="162"/>
      <c r="S22" s="121">
        <v>3262.31216911765</v>
      </c>
      <c r="T22" s="121">
        <v>3.06488382352941</v>
      </c>
      <c r="U22" s="121">
        <v>55.7352941176471</v>
      </c>
      <c r="V22" s="121"/>
      <c r="W22" s="121"/>
      <c r="X22" s="164">
        <v>3321.11234705882</v>
      </c>
      <c r="Y22" s="184">
        <v>581.597794117647</v>
      </c>
      <c r="Z22" s="183"/>
      <c r="AA22" s="183"/>
      <c r="AB22" s="183">
        <v>581.597794117647</v>
      </c>
      <c r="AC22" s="116">
        <v>7.12</v>
      </c>
      <c r="AD22" s="121">
        <v>4140.97629411765</v>
      </c>
      <c r="AE22" s="121">
        <v>7462.08864117647</v>
      </c>
      <c r="AF22" s="164">
        <v>176.66135882353</v>
      </c>
    </row>
    <row r="23" s="72" customFormat="1" ht="12.75" spans="1:32">
      <c r="A23" s="85"/>
      <c r="B23" s="86"/>
      <c r="C23" s="87">
        <v>240808000010</v>
      </c>
      <c r="D23" s="88">
        <v>45512</v>
      </c>
      <c r="E23" s="88" t="s">
        <v>145</v>
      </c>
      <c r="F23" s="86" t="s">
        <v>145</v>
      </c>
      <c r="G23" s="86" t="s">
        <v>152</v>
      </c>
      <c r="H23" s="86">
        <v>9.8</v>
      </c>
      <c r="I23" s="86">
        <v>1059</v>
      </c>
      <c r="J23" s="115">
        <v>15645.79</v>
      </c>
      <c r="K23" s="116"/>
      <c r="L23" s="117"/>
      <c r="M23" s="118"/>
      <c r="N23" s="120"/>
      <c r="O23" s="86"/>
      <c r="P23" s="121">
        <v>15645.79</v>
      </c>
      <c r="Q23" s="162"/>
      <c r="R23" s="162"/>
      <c r="S23" s="121">
        <v>8435.53014705882</v>
      </c>
      <c r="T23" s="121">
        <v>7.92502941176471</v>
      </c>
      <c r="U23" s="121">
        <v>144.117647058824</v>
      </c>
      <c r="V23" s="121"/>
      <c r="W23" s="121"/>
      <c r="X23" s="164">
        <v>8587.57282352941</v>
      </c>
      <c r="Y23" s="184">
        <v>1503.86764705882</v>
      </c>
      <c r="Z23" s="183"/>
      <c r="AA23" s="183"/>
      <c r="AB23" s="183">
        <v>1503.86764705882</v>
      </c>
      <c r="AC23" s="116">
        <v>7.12</v>
      </c>
      <c r="AD23" s="121">
        <v>10707.5376470588</v>
      </c>
      <c r="AE23" s="121">
        <v>19295.1104705882</v>
      </c>
      <c r="AF23" s="121">
        <v>-3649.3204705882</v>
      </c>
    </row>
    <row r="24" s="72" customFormat="1" ht="12.75" spans="1:32">
      <c r="A24" s="85"/>
      <c r="B24" s="86"/>
      <c r="C24" s="87">
        <v>240728000003</v>
      </c>
      <c r="D24" s="88">
        <v>45506</v>
      </c>
      <c r="E24" s="88" t="s">
        <v>145</v>
      </c>
      <c r="F24" s="86" t="s">
        <v>145</v>
      </c>
      <c r="G24" s="86" t="s">
        <v>150</v>
      </c>
      <c r="H24" s="86">
        <v>0.632</v>
      </c>
      <c r="I24" s="86">
        <v>166</v>
      </c>
      <c r="J24" s="115">
        <v>1705</v>
      </c>
      <c r="K24" s="116"/>
      <c r="L24" s="117"/>
      <c r="M24" s="118"/>
      <c r="N24" s="117"/>
      <c r="O24" s="86"/>
      <c r="P24" s="119">
        <v>1705</v>
      </c>
      <c r="Q24" s="162"/>
      <c r="R24" s="162"/>
      <c r="S24" s="121">
        <v>544.005617647059</v>
      </c>
      <c r="T24" s="121">
        <v>0.511083529411765</v>
      </c>
      <c r="U24" s="121">
        <v>9.29411764705882</v>
      </c>
      <c r="V24" s="121"/>
      <c r="W24" s="121"/>
      <c r="X24" s="164">
        <v>553.810818823529</v>
      </c>
      <c r="Y24" s="184">
        <v>96.9841176470588</v>
      </c>
      <c r="Z24" s="183"/>
      <c r="AA24" s="183"/>
      <c r="AB24" s="183">
        <v>96.9841176470588</v>
      </c>
      <c r="AC24" s="116">
        <v>7.12</v>
      </c>
      <c r="AD24" s="121">
        <v>690.526917647059</v>
      </c>
      <c r="AE24" s="121">
        <v>1244.33773647059</v>
      </c>
      <c r="AF24" s="164">
        <v>460.66226352941</v>
      </c>
    </row>
    <row r="25" s="72" customFormat="1" ht="12.75" spans="1:32">
      <c r="A25" s="85"/>
      <c r="B25" s="86"/>
      <c r="C25" s="87">
        <v>240613000018</v>
      </c>
      <c r="D25" s="88">
        <v>45506</v>
      </c>
      <c r="E25" s="88" t="s">
        <v>145</v>
      </c>
      <c r="F25" s="86" t="s">
        <v>145</v>
      </c>
      <c r="G25" s="86" t="s">
        <v>159</v>
      </c>
      <c r="H25" s="86">
        <v>1.6564</v>
      </c>
      <c r="I25" s="86">
        <v>313</v>
      </c>
      <c r="J25" s="115">
        <v>3117</v>
      </c>
      <c r="K25" s="116"/>
      <c r="L25" s="117"/>
      <c r="M25" s="118"/>
      <c r="N25" s="117"/>
      <c r="O25" s="86"/>
      <c r="P25" s="119">
        <v>3117</v>
      </c>
      <c r="Q25" s="162"/>
      <c r="R25" s="162"/>
      <c r="S25" s="121">
        <v>1425.77674852941</v>
      </c>
      <c r="T25" s="121">
        <v>1.33949170588235</v>
      </c>
      <c r="U25" s="121">
        <v>24.3588235294118</v>
      </c>
      <c r="V25" s="121"/>
      <c r="W25" s="121"/>
      <c r="X25" s="164">
        <v>1451.47506376471</v>
      </c>
      <c r="Y25" s="184">
        <v>254.184323529412</v>
      </c>
      <c r="Z25" s="183"/>
      <c r="AA25" s="183"/>
      <c r="AB25" s="183">
        <v>254.184323529412</v>
      </c>
      <c r="AC25" s="116">
        <v>7.12</v>
      </c>
      <c r="AD25" s="121">
        <v>1809.79238352941</v>
      </c>
      <c r="AE25" s="121">
        <v>3261.26744729412</v>
      </c>
      <c r="AF25" s="121">
        <v>-144.26744729412</v>
      </c>
    </row>
    <row r="26" s="72" customFormat="1" ht="12.75" spans="1:32">
      <c r="A26" s="85"/>
      <c r="B26" s="86"/>
      <c r="C26" s="87">
        <v>240808000011</v>
      </c>
      <c r="D26" s="88">
        <v>45534</v>
      </c>
      <c r="E26" s="88" t="s">
        <v>145</v>
      </c>
      <c r="F26" s="86" t="s">
        <v>145</v>
      </c>
      <c r="G26" s="86" t="s">
        <v>140</v>
      </c>
      <c r="H26" s="86">
        <v>0.6332</v>
      </c>
      <c r="I26" s="86">
        <v>114</v>
      </c>
      <c r="J26" s="115">
        <v>1276.22</v>
      </c>
      <c r="K26" s="116"/>
      <c r="L26" s="117"/>
      <c r="M26" s="118"/>
      <c r="N26" s="117"/>
      <c r="O26" s="86"/>
      <c r="P26" s="119">
        <v>1276.22</v>
      </c>
      <c r="Q26" s="168"/>
      <c r="R26" s="168"/>
      <c r="S26" s="121">
        <v>545.038539705882</v>
      </c>
      <c r="T26" s="121">
        <v>0.512053941176471</v>
      </c>
      <c r="U26" s="121">
        <v>9.31176470588235</v>
      </c>
      <c r="V26" s="121"/>
      <c r="W26" s="121"/>
      <c r="X26" s="164">
        <v>554.862358352941</v>
      </c>
      <c r="Y26" s="184">
        <v>97.1682647058824</v>
      </c>
      <c r="Z26" s="183"/>
      <c r="AA26" s="183"/>
      <c r="AB26" s="183">
        <v>97.1682647058824</v>
      </c>
      <c r="AC26" s="116">
        <v>7.12</v>
      </c>
      <c r="AD26" s="121">
        <v>691.838044705882</v>
      </c>
      <c r="AE26" s="121">
        <v>1246.70040305882</v>
      </c>
      <c r="AF26" s="164">
        <v>29.51959694118</v>
      </c>
    </row>
    <row r="27" s="72" customFormat="1" ht="12.75" spans="1:32">
      <c r="A27" s="85"/>
      <c r="B27" s="86"/>
      <c r="C27" s="87">
        <v>240808000011</v>
      </c>
      <c r="D27" s="88">
        <v>45534</v>
      </c>
      <c r="E27" s="88" t="s">
        <v>145</v>
      </c>
      <c r="F27" s="86" t="s">
        <v>145</v>
      </c>
      <c r="G27" s="86" t="s">
        <v>140</v>
      </c>
      <c r="H27" s="86">
        <v>1.8652</v>
      </c>
      <c r="I27" s="86">
        <v>420</v>
      </c>
      <c r="J27" s="115">
        <v>3624.06</v>
      </c>
      <c r="K27" s="116"/>
      <c r="L27" s="117"/>
      <c r="M27" s="118"/>
      <c r="N27" s="117"/>
      <c r="O27" s="86"/>
      <c r="P27" s="119">
        <v>3624.06</v>
      </c>
      <c r="Q27" s="162"/>
      <c r="R27" s="162"/>
      <c r="S27" s="121">
        <v>1578.43235735294</v>
      </c>
      <c r="T27" s="121"/>
      <c r="U27" s="121">
        <v>57.6017647058824</v>
      </c>
      <c r="V27" s="121"/>
      <c r="W27" s="121"/>
      <c r="X27" s="164">
        <v>1636.03412205882</v>
      </c>
      <c r="Y27" s="184">
        <v>285.732182352941</v>
      </c>
      <c r="Z27" s="183"/>
      <c r="AA27" s="183"/>
      <c r="AB27" s="183">
        <v>285.732182352941</v>
      </c>
      <c r="AC27" s="116">
        <v>7.07</v>
      </c>
      <c r="AD27" s="121">
        <v>2020.12652923529</v>
      </c>
      <c r="AE27" s="121">
        <v>3656.16065129412</v>
      </c>
      <c r="AF27" s="121">
        <v>-32.1006512941199</v>
      </c>
    </row>
    <row r="28" s="72" customFormat="1" ht="12.75" spans="1:32">
      <c r="A28" s="85"/>
      <c r="B28" s="86"/>
      <c r="C28" s="87">
        <v>240728000003</v>
      </c>
      <c r="D28" s="88">
        <v>45506</v>
      </c>
      <c r="E28" s="88" t="s">
        <v>145</v>
      </c>
      <c r="F28" s="86" t="s">
        <v>145</v>
      </c>
      <c r="G28" s="86" t="s">
        <v>150</v>
      </c>
      <c r="H28" s="86">
        <v>0.354</v>
      </c>
      <c r="I28" s="86">
        <v>131</v>
      </c>
      <c r="J28" s="115">
        <v>954</v>
      </c>
      <c r="K28" s="116"/>
      <c r="L28" s="117"/>
      <c r="M28" s="118"/>
      <c r="N28" s="117"/>
      <c r="O28" s="86"/>
      <c r="P28" s="119">
        <v>954</v>
      </c>
      <c r="Q28" s="162"/>
      <c r="R28" s="162"/>
      <c r="S28" s="121">
        <v>299.573801470588</v>
      </c>
      <c r="T28" s="121"/>
      <c r="U28" s="121">
        <v>10.9323529411765</v>
      </c>
      <c r="V28" s="121"/>
      <c r="W28" s="121"/>
      <c r="X28" s="164">
        <v>310.506154411765</v>
      </c>
      <c r="Y28" s="184">
        <v>54.2296764705882</v>
      </c>
      <c r="Z28" s="183"/>
      <c r="AA28" s="183"/>
      <c r="AB28" s="183">
        <v>54.2296764705882</v>
      </c>
      <c r="AC28" s="116">
        <v>7.07</v>
      </c>
      <c r="AD28" s="121">
        <v>383.403812647059</v>
      </c>
      <c r="AE28" s="121">
        <v>693.909967058824</v>
      </c>
      <c r="AF28" s="164">
        <v>260.090032941176</v>
      </c>
    </row>
    <row r="29" s="72" customFormat="1" ht="12.75" spans="1:32">
      <c r="A29" s="85"/>
      <c r="B29" s="86"/>
      <c r="C29" s="87">
        <v>240809000022</v>
      </c>
      <c r="D29" s="88">
        <v>45534</v>
      </c>
      <c r="E29" s="88" t="s">
        <v>145</v>
      </c>
      <c r="F29" s="86" t="s">
        <v>145</v>
      </c>
      <c r="G29" s="86" t="s">
        <v>160</v>
      </c>
      <c r="H29" s="86">
        <v>8.119</v>
      </c>
      <c r="I29" s="86">
        <v>5120</v>
      </c>
      <c r="J29" s="115">
        <v>22858.98</v>
      </c>
      <c r="K29" s="116"/>
      <c r="L29" s="117"/>
      <c r="M29" s="118"/>
      <c r="N29" s="117"/>
      <c r="O29" s="86"/>
      <c r="P29" s="119">
        <v>22858.98</v>
      </c>
      <c r="Q29" s="162"/>
      <c r="R29" s="162"/>
      <c r="S29" s="121">
        <v>6870.73359926471</v>
      </c>
      <c r="T29" s="121"/>
      <c r="U29" s="121">
        <v>250.733823529412</v>
      </c>
      <c r="V29" s="121"/>
      <c r="W29" s="121">
        <v>1000</v>
      </c>
      <c r="X29" s="164">
        <v>8121.46742279412</v>
      </c>
      <c r="Y29" s="184">
        <v>1243.75916176471</v>
      </c>
      <c r="Z29" s="183"/>
      <c r="AA29" s="183"/>
      <c r="AB29" s="183">
        <v>1243.75916176471</v>
      </c>
      <c r="AC29" s="116">
        <v>7.07</v>
      </c>
      <c r="AD29" s="121">
        <v>8793.37727367647</v>
      </c>
      <c r="AE29" s="121">
        <v>16914.8446964706</v>
      </c>
      <c r="AF29" s="164">
        <v>5944.1353035294</v>
      </c>
    </row>
    <row r="30" s="72" customFormat="1" ht="12.75" spans="1:32">
      <c r="A30" s="85"/>
      <c r="B30" s="86"/>
      <c r="C30" s="87">
        <v>240813000001</v>
      </c>
      <c r="D30" s="88">
        <v>45534</v>
      </c>
      <c r="E30" s="88" t="s">
        <v>145</v>
      </c>
      <c r="F30" s="86" t="s">
        <v>145</v>
      </c>
      <c r="G30" s="86" t="s">
        <v>152</v>
      </c>
      <c r="H30" s="86">
        <v>33.04</v>
      </c>
      <c r="I30" s="86">
        <v>4133</v>
      </c>
      <c r="J30" s="115">
        <v>53646.12</v>
      </c>
      <c r="K30" s="116"/>
      <c r="L30" s="117"/>
      <c r="M30" s="118"/>
      <c r="N30" s="120"/>
      <c r="O30" s="86"/>
      <c r="P30" s="119">
        <v>53646.12</v>
      </c>
      <c r="Q30" s="162"/>
      <c r="R30" s="162"/>
      <c r="S30" s="121">
        <v>27960.2214705882</v>
      </c>
      <c r="T30" s="121"/>
      <c r="U30" s="121">
        <v>1020.35294117647</v>
      </c>
      <c r="V30" s="121"/>
      <c r="W30" s="121"/>
      <c r="X30" s="164">
        <v>28980.5744117647</v>
      </c>
      <c r="Y30" s="184">
        <v>5061.43647058824</v>
      </c>
      <c r="Z30" s="183"/>
      <c r="AA30" s="183"/>
      <c r="AB30" s="183">
        <v>5061.43647058824</v>
      </c>
      <c r="AC30" s="116">
        <v>7.07</v>
      </c>
      <c r="AD30" s="121">
        <v>35784.3558470588</v>
      </c>
      <c r="AE30" s="121">
        <v>64764.9302588235</v>
      </c>
      <c r="AF30" s="121">
        <v>-11118.8102588235</v>
      </c>
    </row>
    <row r="31" s="72" customFormat="1" ht="12.75" spans="1:32">
      <c r="A31" s="85"/>
      <c r="B31" s="86"/>
      <c r="C31" s="87">
        <v>240813000002</v>
      </c>
      <c r="D31" s="88">
        <v>45534</v>
      </c>
      <c r="E31" s="88" t="s">
        <v>145</v>
      </c>
      <c r="F31" s="86" t="s">
        <v>145</v>
      </c>
      <c r="G31" s="86" t="s">
        <v>152</v>
      </c>
      <c r="H31" s="86">
        <v>1.14</v>
      </c>
      <c r="I31" s="86">
        <v>155</v>
      </c>
      <c r="J31" s="115">
        <v>1853.23</v>
      </c>
      <c r="K31" s="116"/>
      <c r="L31" s="117"/>
      <c r="M31" s="118"/>
      <c r="N31" s="120"/>
      <c r="O31" s="86"/>
      <c r="P31" s="119">
        <v>1853.23</v>
      </c>
      <c r="Q31" s="165"/>
      <c r="R31" s="165"/>
      <c r="S31" s="121">
        <v>964.729191176471</v>
      </c>
      <c r="T31" s="121"/>
      <c r="U31" s="121">
        <v>35.2058823529412</v>
      </c>
      <c r="V31" s="121"/>
      <c r="W31" s="121"/>
      <c r="X31" s="164">
        <v>999.935073529412</v>
      </c>
      <c r="Y31" s="184">
        <v>174.637941176471</v>
      </c>
      <c r="Z31" s="183"/>
      <c r="AA31" s="183"/>
      <c r="AB31" s="183">
        <v>174.637941176471</v>
      </c>
      <c r="AC31" s="116">
        <v>7.07</v>
      </c>
      <c r="AD31" s="121">
        <v>1234.69024411765</v>
      </c>
      <c r="AE31" s="121">
        <v>2234.62531764706</v>
      </c>
      <c r="AF31" s="121">
        <v>-381.39531764706</v>
      </c>
    </row>
    <row r="32" s="72" customFormat="1" ht="12.75" spans="1:32">
      <c r="A32" s="85"/>
      <c r="B32" s="86"/>
      <c r="C32" s="87">
        <v>240812000053</v>
      </c>
      <c r="D32" s="88">
        <v>45534</v>
      </c>
      <c r="E32" s="88" t="s">
        <v>145</v>
      </c>
      <c r="F32" s="86" t="s">
        <v>145</v>
      </c>
      <c r="G32" s="86" t="s">
        <v>140</v>
      </c>
      <c r="H32" s="86">
        <v>1.748</v>
      </c>
      <c r="I32" s="86">
        <v>203</v>
      </c>
      <c r="J32" s="115">
        <v>3548.44</v>
      </c>
      <c r="K32" s="116"/>
      <c r="L32" s="117"/>
      <c r="M32" s="118"/>
      <c r="N32" s="117"/>
      <c r="O32" s="86"/>
      <c r="P32" s="119">
        <v>3548.44</v>
      </c>
      <c r="Q32" s="162"/>
      <c r="R32" s="162"/>
      <c r="S32" s="121">
        <v>1472.05377941176</v>
      </c>
      <c r="T32" s="121"/>
      <c r="U32" s="121">
        <v>35.9882352941177</v>
      </c>
      <c r="V32" s="121"/>
      <c r="W32" s="121"/>
      <c r="X32" s="164">
        <v>1508.04201470588</v>
      </c>
      <c r="Y32" s="184">
        <v>265.490352941176</v>
      </c>
      <c r="Z32" s="183"/>
      <c r="AA32" s="183">
        <v>7.12361411764706</v>
      </c>
      <c r="AB32" s="183">
        <v>272.613967058824</v>
      </c>
      <c r="AC32" s="116">
        <v>7.06</v>
      </c>
      <c r="AD32" s="121">
        <v>1924.65460743529</v>
      </c>
      <c r="AE32" s="121">
        <v>3432.69662214118</v>
      </c>
      <c r="AF32" s="164">
        <v>115.74337785882</v>
      </c>
    </row>
    <row r="33" s="72" customFormat="1" ht="12.75" spans="1:32">
      <c r="A33" s="85"/>
      <c r="B33" s="86"/>
      <c r="C33" s="87">
        <v>240812000054</v>
      </c>
      <c r="D33" s="88">
        <v>45534</v>
      </c>
      <c r="E33" s="88" t="s">
        <v>145</v>
      </c>
      <c r="F33" s="86" t="s">
        <v>145</v>
      </c>
      <c r="G33" s="86" t="s">
        <v>140</v>
      </c>
      <c r="H33" s="86">
        <v>0.2239</v>
      </c>
      <c r="I33" s="86">
        <v>43</v>
      </c>
      <c r="J33" s="115">
        <v>454.5</v>
      </c>
      <c r="K33" s="116"/>
      <c r="L33" s="117"/>
      <c r="M33" s="118"/>
      <c r="N33" s="117"/>
      <c r="O33" s="86"/>
      <c r="P33" s="119">
        <v>454.5</v>
      </c>
      <c r="Q33" s="162"/>
      <c r="R33" s="162"/>
      <c r="S33" s="121">
        <v>188.554256985294</v>
      </c>
      <c r="T33" s="121"/>
      <c r="U33" s="121">
        <v>4.60970588235294</v>
      </c>
      <c r="V33" s="121"/>
      <c r="W33" s="121"/>
      <c r="X33" s="164">
        <v>193.163962867647</v>
      </c>
      <c r="Y33" s="184">
        <v>34.0064588235294</v>
      </c>
      <c r="Z33" s="183"/>
      <c r="AA33" s="183">
        <v>0.912458352941176</v>
      </c>
      <c r="AB33" s="183">
        <v>34.9189171764706</v>
      </c>
      <c r="AC33" s="116">
        <v>7.06</v>
      </c>
      <c r="AD33" s="121">
        <v>246.527555265882</v>
      </c>
      <c r="AE33" s="121">
        <v>439.691518133529</v>
      </c>
      <c r="AF33" s="164">
        <v>14.808481866471</v>
      </c>
    </row>
    <row r="34" s="72" customFormat="1" ht="12.75" spans="1:32">
      <c r="A34" s="85"/>
      <c r="B34" s="86"/>
      <c r="C34" s="87">
        <v>240812000055</v>
      </c>
      <c r="D34" s="88">
        <v>45534</v>
      </c>
      <c r="E34" s="88" t="s">
        <v>145</v>
      </c>
      <c r="F34" s="86" t="s">
        <v>145</v>
      </c>
      <c r="G34" s="86" t="s">
        <v>140</v>
      </c>
      <c r="H34" s="86">
        <v>0.1922</v>
      </c>
      <c r="I34" s="86">
        <v>29</v>
      </c>
      <c r="J34" s="115">
        <v>390.2</v>
      </c>
      <c r="K34" s="116"/>
      <c r="L34" s="117"/>
      <c r="M34" s="118"/>
      <c r="N34" s="117"/>
      <c r="O34" s="86"/>
      <c r="P34" s="119">
        <v>390.2</v>
      </c>
      <c r="Q34" s="162"/>
      <c r="R34" s="162"/>
      <c r="S34" s="121">
        <v>161.858544852941</v>
      </c>
      <c r="T34" s="121"/>
      <c r="U34" s="121">
        <v>3.95705882352941</v>
      </c>
      <c r="V34" s="121"/>
      <c r="W34" s="121"/>
      <c r="X34" s="164">
        <v>165.815603676471</v>
      </c>
      <c r="Y34" s="184">
        <v>29.1917882352941</v>
      </c>
      <c r="Z34" s="183"/>
      <c r="AA34" s="183">
        <v>0.783271529411765</v>
      </c>
      <c r="AB34" s="183">
        <v>29.9750597647059</v>
      </c>
      <c r="AC34" s="116">
        <v>7.06</v>
      </c>
      <c r="AD34" s="121">
        <v>211.623921938824</v>
      </c>
      <c r="AE34" s="121">
        <v>377.439525615294</v>
      </c>
      <c r="AF34" s="164">
        <v>12.760474384706</v>
      </c>
    </row>
    <row r="35" s="72" customFormat="1" ht="12.75" spans="1:32">
      <c r="A35" s="85"/>
      <c r="B35" s="86"/>
      <c r="C35" s="87">
        <v>240812000056</v>
      </c>
      <c r="D35" s="88">
        <v>45534</v>
      </c>
      <c r="E35" s="88" t="s">
        <v>145</v>
      </c>
      <c r="F35" s="86" t="s">
        <v>145</v>
      </c>
      <c r="G35" s="86" t="s">
        <v>140</v>
      </c>
      <c r="H35" s="86">
        <v>0.1689</v>
      </c>
      <c r="I35" s="86">
        <v>34</v>
      </c>
      <c r="J35" s="115">
        <v>342.85</v>
      </c>
      <c r="K35" s="116"/>
      <c r="L35" s="117"/>
      <c r="M35" s="118"/>
      <c r="N35" s="117"/>
      <c r="O35" s="86"/>
      <c r="P35" s="119">
        <v>342.85</v>
      </c>
      <c r="Q35" s="162"/>
      <c r="R35" s="162"/>
      <c r="S35" s="121">
        <v>142.236775367647</v>
      </c>
      <c r="T35" s="121"/>
      <c r="U35" s="121">
        <v>3.47735294117647</v>
      </c>
      <c r="V35" s="121"/>
      <c r="W35" s="121"/>
      <c r="X35" s="164">
        <v>145.714128308824</v>
      </c>
      <c r="Y35" s="184">
        <v>25.6529294117647</v>
      </c>
      <c r="Z35" s="183"/>
      <c r="AA35" s="183">
        <v>0.688317176470588</v>
      </c>
      <c r="AB35" s="183">
        <v>26.3412465882353</v>
      </c>
      <c r="AC35" s="116">
        <v>7.06</v>
      </c>
      <c r="AD35" s="121">
        <v>185.969200912941</v>
      </c>
      <c r="AE35" s="121">
        <v>331.683329221765</v>
      </c>
      <c r="AF35" s="164">
        <v>11.166670778235</v>
      </c>
    </row>
    <row r="36" s="72" customFormat="1" ht="12.75" spans="1:32">
      <c r="A36" s="85"/>
      <c r="B36" s="86"/>
      <c r="C36" s="87">
        <v>240813000001</v>
      </c>
      <c r="D36" s="88">
        <v>45534</v>
      </c>
      <c r="E36" s="88" t="s">
        <v>145</v>
      </c>
      <c r="F36" s="86" t="s">
        <v>145</v>
      </c>
      <c r="G36" s="86" t="s">
        <v>152</v>
      </c>
      <c r="H36" s="86">
        <v>1.98</v>
      </c>
      <c r="I36" s="86">
        <v>736</v>
      </c>
      <c r="J36" s="115">
        <v>3388.18</v>
      </c>
      <c r="K36" s="116"/>
      <c r="L36" s="117"/>
      <c r="M36" s="118"/>
      <c r="N36" s="120"/>
      <c r="O36" s="86"/>
      <c r="P36" s="119">
        <v>3388.18</v>
      </c>
      <c r="Q36" s="162"/>
      <c r="R36" s="162"/>
      <c r="S36" s="121">
        <v>1667.42933823529</v>
      </c>
      <c r="T36" s="121"/>
      <c r="U36" s="121">
        <v>40.7647058823529</v>
      </c>
      <c r="V36" s="121"/>
      <c r="W36" s="121"/>
      <c r="X36" s="164">
        <v>1708.19404411765</v>
      </c>
      <c r="Y36" s="184">
        <v>300.727058823529</v>
      </c>
      <c r="Z36" s="183"/>
      <c r="AA36" s="183">
        <v>8.06908235294118</v>
      </c>
      <c r="AB36" s="183">
        <v>308.796141176471</v>
      </c>
      <c r="AC36" s="116">
        <v>7.06</v>
      </c>
      <c r="AD36" s="121">
        <v>2180.10075670588</v>
      </c>
      <c r="AE36" s="121">
        <v>3888.29480082353</v>
      </c>
      <c r="AF36" s="121">
        <v>-500.11480082353</v>
      </c>
    </row>
    <row r="37" s="72" customFormat="1" ht="12.75" spans="1:32">
      <c r="A37" s="85"/>
      <c r="B37" s="86"/>
      <c r="C37" s="87">
        <v>240613000018</v>
      </c>
      <c r="D37" s="88">
        <v>45506</v>
      </c>
      <c r="E37" s="88" t="s">
        <v>145</v>
      </c>
      <c r="F37" s="86" t="s">
        <v>145</v>
      </c>
      <c r="G37" s="86" t="s">
        <v>159</v>
      </c>
      <c r="H37" s="86">
        <v>1.087</v>
      </c>
      <c r="I37" s="86">
        <v>234</v>
      </c>
      <c r="J37" s="115">
        <v>2370</v>
      </c>
      <c r="K37" s="116"/>
      <c r="L37" s="117"/>
      <c r="M37" s="118"/>
      <c r="N37" s="117"/>
      <c r="O37" s="86"/>
      <c r="P37" s="119">
        <v>2370</v>
      </c>
      <c r="Q37" s="162"/>
      <c r="R37" s="162"/>
      <c r="S37" s="121">
        <v>915.401863970588</v>
      </c>
      <c r="T37" s="121"/>
      <c r="U37" s="121">
        <v>22.3794117647059</v>
      </c>
      <c r="V37" s="121"/>
      <c r="W37" s="121"/>
      <c r="X37" s="164">
        <v>937.781275735294</v>
      </c>
      <c r="Y37" s="184">
        <v>165.096117647059</v>
      </c>
      <c r="Z37" s="183"/>
      <c r="AA37" s="183">
        <v>4.42984470588235</v>
      </c>
      <c r="AB37" s="183">
        <v>169.525962352941</v>
      </c>
      <c r="AC37" s="116">
        <v>7.06</v>
      </c>
      <c r="AD37" s="121">
        <v>1196.85329421176</v>
      </c>
      <c r="AE37" s="121">
        <v>2134.63456994706</v>
      </c>
      <c r="AF37" s="164">
        <v>235.36543005294</v>
      </c>
    </row>
    <row r="38" s="72" customFormat="1" ht="12.75" spans="1:32">
      <c r="A38" s="85"/>
      <c r="B38" s="86"/>
      <c r="C38" s="87">
        <v>240813000002</v>
      </c>
      <c r="D38" s="88">
        <v>45534</v>
      </c>
      <c r="E38" s="88" t="s">
        <v>145</v>
      </c>
      <c r="F38" s="86" t="s">
        <v>145</v>
      </c>
      <c r="G38" s="86" t="s">
        <v>152</v>
      </c>
      <c r="H38" s="86">
        <v>32.97</v>
      </c>
      <c r="I38" s="86">
        <v>3574</v>
      </c>
      <c r="J38" s="115">
        <v>56418.26</v>
      </c>
      <c r="K38" s="116"/>
      <c r="L38" s="117"/>
      <c r="M38" s="118"/>
      <c r="N38" s="120"/>
      <c r="O38" s="86"/>
      <c r="P38" s="119">
        <v>56418.26</v>
      </c>
      <c r="Q38" s="165"/>
      <c r="R38" s="165"/>
      <c r="S38" s="121">
        <v>27765.2248897059</v>
      </c>
      <c r="T38" s="121"/>
      <c r="U38" s="121">
        <v>678.794117647059</v>
      </c>
      <c r="V38" s="121"/>
      <c r="W38" s="121"/>
      <c r="X38" s="164">
        <v>28444.0190073529</v>
      </c>
      <c r="Y38" s="184">
        <v>5007.56117647059</v>
      </c>
      <c r="Z38" s="183"/>
      <c r="AA38" s="183">
        <v>134.362447058824</v>
      </c>
      <c r="AB38" s="183">
        <v>5141.92362352941</v>
      </c>
      <c r="AC38" s="116">
        <v>7.06</v>
      </c>
      <c r="AD38" s="121">
        <v>36301.9807821176</v>
      </c>
      <c r="AE38" s="121">
        <v>64745.9997894706</v>
      </c>
      <c r="AF38" s="121">
        <v>-8327.7397894706</v>
      </c>
    </row>
    <row r="39" s="72" customFormat="1" ht="12.75" spans="1:32">
      <c r="A39" s="85" t="s">
        <v>161</v>
      </c>
      <c r="B39" s="86" t="s">
        <v>162</v>
      </c>
      <c r="C39" s="87">
        <v>240812000027</v>
      </c>
      <c r="D39" s="88">
        <v>45498</v>
      </c>
      <c r="E39" s="88" t="s">
        <v>145</v>
      </c>
      <c r="F39" s="86" t="s">
        <v>145</v>
      </c>
      <c r="G39" s="86" t="s">
        <v>163</v>
      </c>
      <c r="H39" s="86">
        <v>68</v>
      </c>
      <c r="I39" s="86">
        <v>21890</v>
      </c>
      <c r="J39" s="115">
        <v>68172</v>
      </c>
      <c r="K39" s="122">
        <v>21300000</v>
      </c>
      <c r="L39" s="117"/>
      <c r="M39" s="118">
        <v>1694.55792325164</v>
      </c>
      <c r="N39" s="120">
        <v>12569.65</v>
      </c>
      <c r="O39" s="86">
        <v>7.15</v>
      </c>
      <c r="P39" s="123">
        <v>158044.9975</v>
      </c>
      <c r="Q39" s="169">
        <v>158044.9975</v>
      </c>
      <c r="R39" s="169" t="s">
        <v>164</v>
      </c>
      <c r="S39" s="169">
        <v>61677</v>
      </c>
      <c r="T39" s="169"/>
      <c r="U39" s="121"/>
      <c r="V39" s="169"/>
      <c r="W39" s="169"/>
      <c r="X39" s="164">
        <v>61677</v>
      </c>
      <c r="Y39" s="184">
        <v>0</v>
      </c>
      <c r="Z39" s="185"/>
      <c r="AA39" s="185"/>
      <c r="AB39" s="183">
        <v>0</v>
      </c>
      <c r="AC39" s="186">
        <v>7.15</v>
      </c>
      <c r="AD39" s="121">
        <v>0</v>
      </c>
      <c r="AE39" s="121">
        <v>61677</v>
      </c>
      <c r="AF39" s="164">
        <v>96367.9975</v>
      </c>
    </row>
    <row r="40" s="72" customFormat="1" ht="12.75" spans="1:32">
      <c r="A40" s="85"/>
      <c r="B40" s="86"/>
      <c r="C40" s="87">
        <v>240613000018</v>
      </c>
      <c r="D40" s="88">
        <v>45506</v>
      </c>
      <c r="E40" s="88" t="s">
        <v>145</v>
      </c>
      <c r="F40" s="86" t="s">
        <v>145</v>
      </c>
      <c r="G40" s="86" t="s">
        <v>159</v>
      </c>
      <c r="H40" s="86">
        <v>0.044</v>
      </c>
      <c r="I40" s="86">
        <v>28</v>
      </c>
      <c r="J40" s="115">
        <v>96</v>
      </c>
      <c r="K40" s="116"/>
      <c r="L40" s="117"/>
      <c r="M40" s="118"/>
      <c r="N40" s="117"/>
      <c r="O40" s="86"/>
      <c r="P40" s="119">
        <v>96</v>
      </c>
      <c r="Q40" s="162"/>
      <c r="R40" s="162"/>
      <c r="S40" s="121">
        <v>34.4617058823529</v>
      </c>
      <c r="T40" s="121"/>
      <c r="U40" s="121">
        <v>0.841176470588235</v>
      </c>
      <c r="V40" s="121"/>
      <c r="W40" s="121"/>
      <c r="X40" s="164">
        <v>35.3028823529412</v>
      </c>
      <c r="Y40" s="183">
        <v>6.94776823529412</v>
      </c>
      <c r="Z40" s="183"/>
      <c r="AA40" s="183"/>
      <c r="AB40" s="183">
        <v>6.94776823529412</v>
      </c>
      <c r="AC40" s="116">
        <v>7.06</v>
      </c>
      <c r="AD40" s="121">
        <v>49.0512437411765</v>
      </c>
      <c r="AE40" s="121">
        <v>84.3541260941176</v>
      </c>
      <c r="AF40" s="164">
        <v>11.6458739058824</v>
      </c>
    </row>
    <row r="41" s="72" customFormat="1" ht="12.75" spans="1:32">
      <c r="A41" s="85"/>
      <c r="B41" s="86"/>
      <c r="C41" s="87">
        <v>240728000003</v>
      </c>
      <c r="D41" s="88">
        <v>45506</v>
      </c>
      <c r="E41" s="88" t="s">
        <v>145</v>
      </c>
      <c r="F41" s="86" t="s">
        <v>145</v>
      </c>
      <c r="G41" s="86" t="s">
        <v>150</v>
      </c>
      <c r="H41" s="86">
        <v>0.236</v>
      </c>
      <c r="I41" s="86">
        <v>94</v>
      </c>
      <c r="J41" s="115">
        <v>636</v>
      </c>
      <c r="K41" s="116"/>
      <c r="L41" s="117"/>
      <c r="M41" s="118"/>
      <c r="N41" s="117"/>
      <c r="O41" s="86"/>
      <c r="P41" s="119">
        <v>636</v>
      </c>
      <c r="Q41" s="162"/>
      <c r="R41" s="162"/>
      <c r="S41" s="121">
        <v>184.840058823529</v>
      </c>
      <c r="T41" s="121"/>
      <c r="U41" s="121">
        <v>4.51176470588235</v>
      </c>
      <c r="V41" s="121"/>
      <c r="W41" s="121"/>
      <c r="X41" s="164">
        <v>189.351823529412</v>
      </c>
      <c r="Y41" s="183">
        <v>37.2653023529412</v>
      </c>
      <c r="Z41" s="183"/>
      <c r="AA41" s="183"/>
      <c r="AB41" s="183">
        <v>37.2653023529412</v>
      </c>
      <c r="AC41" s="116">
        <v>7.06</v>
      </c>
      <c r="AD41" s="121">
        <v>263.093034611765</v>
      </c>
      <c r="AE41" s="121">
        <v>452.444858141176</v>
      </c>
      <c r="AF41" s="164">
        <v>183.555141858824</v>
      </c>
    </row>
    <row r="42" s="72" customFormat="1" ht="12.75" spans="1:32">
      <c r="A42" s="85"/>
      <c r="B42" s="86"/>
      <c r="C42" s="87">
        <v>240811000012</v>
      </c>
      <c r="D42" s="88">
        <v>45516</v>
      </c>
      <c r="E42" s="88" t="s">
        <v>145</v>
      </c>
      <c r="F42" s="86" t="s">
        <v>145</v>
      </c>
      <c r="G42" s="86" t="s">
        <v>165</v>
      </c>
      <c r="H42" s="86">
        <v>1.4797</v>
      </c>
      <c r="I42" s="86">
        <v>153.4</v>
      </c>
      <c r="J42" s="115">
        <v>3842.88</v>
      </c>
      <c r="K42" s="116"/>
      <c r="L42" s="117"/>
      <c r="M42" s="118"/>
      <c r="N42" s="117"/>
      <c r="O42" s="86"/>
      <c r="P42" s="119">
        <v>3842.88</v>
      </c>
      <c r="Q42" s="162"/>
      <c r="R42" s="162"/>
      <c r="S42" s="121">
        <v>1158.93150441176</v>
      </c>
      <c r="T42" s="121"/>
      <c r="U42" s="121">
        <v>28.2883823529412</v>
      </c>
      <c r="V42" s="121"/>
      <c r="W42" s="121"/>
      <c r="X42" s="164">
        <v>1187.21988676471</v>
      </c>
      <c r="Y42" s="183">
        <v>233.650287676471</v>
      </c>
      <c r="Z42" s="183">
        <v>8.85</v>
      </c>
      <c r="AA42" s="183"/>
      <c r="AB42" s="183">
        <v>242.500287676471</v>
      </c>
      <c r="AC42" s="116">
        <v>7.06</v>
      </c>
      <c r="AD42" s="121">
        <v>1712.05203099588</v>
      </c>
      <c r="AE42" s="121">
        <v>2899.27191776059</v>
      </c>
      <c r="AF42" s="164">
        <v>943.60808223941</v>
      </c>
    </row>
    <row r="43" s="72" customFormat="1" ht="12.75" spans="1:32">
      <c r="A43" s="85"/>
      <c r="B43" s="86"/>
      <c r="C43" s="87">
        <v>240821000040</v>
      </c>
      <c r="D43" s="88">
        <v>45516</v>
      </c>
      <c r="E43" s="88" t="s">
        <v>145</v>
      </c>
      <c r="F43" s="86" t="s">
        <v>145</v>
      </c>
      <c r="G43" s="86" t="s">
        <v>152</v>
      </c>
      <c r="H43" s="86">
        <v>17.568</v>
      </c>
      <c r="I43" s="86">
        <v>2034</v>
      </c>
      <c r="J43" s="115">
        <v>28822.6</v>
      </c>
      <c r="K43" s="116"/>
      <c r="L43" s="117"/>
      <c r="M43" s="118"/>
      <c r="N43" s="120"/>
      <c r="O43" s="86"/>
      <c r="P43" s="119">
        <v>28822.6</v>
      </c>
      <c r="Q43" s="165"/>
      <c r="R43" s="165"/>
      <c r="S43" s="121">
        <v>13759.6192941176</v>
      </c>
      <c r="T43" s="121"/>
      <c r="U43" s="121">
        <v>335.858823529412</v>
      </c>
      <c r="V43" s="121"/>
      <c r="W43" s="121"/>
      <c r="X43" s="164">
        <v>14095.4781176471</v>
      </c>
      <c r="Y43" s="183">
        <v>2774.05437176471</v>
      </c>
      <c r="Z43" s="183"/>
      <c r="AA43" s="183"/>
      <c r="AB43" s="183">
        <v>2774.05437176471</v>
      </c>
      <c r="AC43" s="116">
        <v>7.06</v>
      </c>
      <c r="AD43" s="121">
        <v>19584.8238646588</v>
      </c>
      <c r="AE43" s="121">
        <v>33680.3019823059</v>
      </c>
      <c r="AF43" s="121">
        <v>-4857.7019823059</v>
      </c>
    </row>
    <row r="44" s="72" customFormat="1" ht="63.75" spans="1:32">
      <c r="A44" s="85" t="s">
        <v>166</v>
      </c>
      <c r="B44" s="86" t="s">
        <v>167</v>
      </c>
      <c r="C44" s="87">
        <v>240613000018</v>
      </c>
      <c r="D44" s="88">
        <v>45532</v>
      </c>
      <c r="E44" s="88" t="s">
        <v>145</v>
      </c>
      <c r="F44" s="86" t="s">
        <v>145</v>
      </c>
      <c r="G44" s="86" t="s">
        <v>159</v>
      </c>
      <c r="H44" s="86">
        <v>21.6755</v>
      </c>
      <c r="I44" s="86">
        <v>6691</v>
      </c>
      <c r="J44" s="115">
        <v>46755</v>
      </c>
      <c r="K44" s="116"/>
      <c r="L44" s="117"/>
      <c r="M44" s="118"/>
      <c r="N44" s="117"/>
      <c r="O44" s="86"/>
      <c r="P44" s="119">
        <v>46755</v>
      </c>
      <c r="Q44" s="166">
        <v>111385.7061212</v>
      </c>
      <c r="R44" s="167" t="s">
        <v>168</v>
      </c>
      <c r="S44" s="121">
        <v>16848.3980257353</v>
      </c>
      <c r="T44" s="121"/>
      <c r="U44" s="121">
        <v>478.136029411765</v>
      </c>
      <c r="V44" s="121">
        <v>420</v>
      </c>
      <c r="W44" s="121"/>
      <c r="X44" s="164">
        <v>17746.5340551471</v>
      </c>
      <c r="Y44" s="183">
        <v>3422.64432691176</v>
      </c>
      <c r="Z44" s="183"/>
      <c r="AA44" s="183">
        <v>78.9848844852941</v>
      </c>
      <c r="AB44" s="183">
        <v>3501.62921139706</v>
      </c>
      <c r="AC44" s="116">
        <v>7.12</v>
      </c>
      <c r="AD44" s="121">
        <v>24931.5999851471</v>
      </c>
      <c r="AE44" s="121">
        <v>42678.1340402941</v>
      </c>
      <c r="AF44" s="164">
        <v>4076.8659597059</v>
      </c>
    </row>
    <row r="45" s="72" customFormat="1" ht="12.75" spans="1:32">
      <c r="A45" s="85"/>
      <c r="B45" s="86"/>
      <c r="C45" s="87">
        <v>240807000019</v>
      </c>
      <c r="D45" s="88">
        <v>45506</v>
      </c>
      <c r="E45" s="88" t="s">
        <v>145</v>
      </c>
      <c r="F45" s="86" t="s">
        <v>145</v>
      </c>
      <c r="G45" s="86" t="s">
        <v>150</v>
      </c>
      <c r="H45" s="86">
        <v>7.5437</v>
      </c>
      <c r="I45" s="86">
        <v>1504</v>
      </c>
      <c r="J45" s="115">
        <v>17283</v>
      </c>
      <c r="K45" s="116"/>
      <c r="L45" s="117"/>
      <c r="M45" s="118"/>
      <c r="N45" s="117"/>
      <c r="O45" s="86"/>
      <c r="P45" s="119">
        <v>17283</v>
      </c>
      <c r="Q45" s="162"/>
      <c r="R45" s="162"/>
      <c r="S45" s="121">
        <v>5863.72910367647</v>
      </c>
      <c r="T45" s="121"/>
      <c r="U45" s="121">
        <v>166.405147058824</v>
      </c>
      <c r="V45" s="121"/>
      <c r="W45" s="121"/>
      <c r="X45" s="164">
        <v>6030.13425073529</v>
      </c>
      <c r="Y45" s="183">
        <v>1191.17907355882</v>
      </c>
      <c r="Z45" s="183"/>
      <c r="AA45" s="183">
        <v>27.4890209264706</v>
      </c>
      <c r="AB45" s="183">
        <v>1218.66809448529</v>
      </c>
      <c r="AC45" s="116">
        <v>7.12</v>
      </c>
      <c r="AD45" s="121">
        <v>8676.91683273529</v>
      </c>
      <c r="AE45" s="121">
        <v>14707.0510834706</v>
      </c>
      <c r="AF45" s="164">
        <v>2575.9489165294</v>
      </c>
    </row>
    <row r="46" s="72" customFormat="1" ht="12.75" spans="1:32">
      <c r="A46" s="85"/>
      <c r="B46" s="86"/>
      <c r="C46" s="87">
        <v>240728000003</v>
      </c>
      <c r="D46" s="88">
        <v>45506</v>
      </c>
      <c r="E46" s="88" t="s">
        <v>145</v>
      </c>
      <c r="F46" s="86" t="s">
        <v>145</v>
      </c>
      <c r="G46" s="86" t="s">
        <v>150</v>
      </c>
      <c r="H46" s="86">
        <v>0.193</v>
      </c>
      <c r="I46" s="86">
        <v>47</v>
      </c>
      <c r="J46" s="115">
        <v>520</v>
      </c>
      <c r="K46" s="116"/>
      <c r="L46" s="117"/>
      <c r="M46" s="118"/>
      <c r="N46" s="117"/>
      <c r="O46" s="86"/>
      <c r="P46" s="119">
        <v>520</v>
      </c>
      <c r="Q46" s="162"/>
      <c r="R46" s="162"/>
      <c r="S46" s="121">
        <v>150.019183823529</v>
      </c>
      <c r="T46" s="121"/>
      <c r="U46" s="121">
        <v>4.25735294117647</v>
      </c>
      <c r="V46" s="121"/>
      <c r="W46" s="121"/>
      <c r="X46" s="164">
        <v>154.276536764706</v>
      </c>
      <c r="Y46" s="183">
        <v>30.4754379411765</v>
      </c>
      <c r="Z46" s="183"/>
      <c r="AA46" s="183">
        <v>0.703286323529412</v>
      </c>
      <c r="AB46" s="183">
        <v>31.1787242647059</v>
      </c>
      <c r="AC46" s="116">
        <v>7.12</v>
      </c>
      <c r="AD46" s="121">
        <v>221.992516764706</v>
      </c>
      <c r="AE46" s="121">
        <v>376.269053529412</v>
      </c>
      <c r="AF46" s="164">
        <v>143.730946470588</v>
      </c>
    </row>
    <row r="47" s="72" customFormat="1" ht="12.75" spans="1:32">
      <c r="A47" s="85"/>
      <c r="B47" s="86"/>
      <c r="C47" s="87">
        <v>240828000002</v>
      </c>
      <c r="D47" s="88">
        <v>45532</v>
      </c>
      <c r="E47" s="88" t="s">
        <v>145</v>
      </c>
      <c r="F47" s="86" t="s">
        <v>145</v>
      </c>
      <c r="G47" s="86" t="s">
        <v>152</v>
      </c>
      <c r="H47" s="86">
        <v>17.63</v>
      </c>
      <c r="I47" s="86">
        <v>2193</v>
      </c>
      <c r="J47" s="115">
        <v>25894.59</v>
      </c>
      <c r="K47" s="116"/>
      <c r="L47" s="117"/>
      <c r="M47" s="118"/>
      <c r="N47" s="120"/>
      <c r="O47" s="86"/>
      <c r="P47" s="119">
        <v>25894.59</v>
      </c>
      <c r="Q47" s="162"/>
      <c r="R47" s="162"/>
      <c r="S47" s="121">
        <v>13703.8249264706</v>
      </c>
      <c r="T47" s="121"/>
      <c r="U47" s="121">
        <v>388.897058823529</v>
      </c>
      <c r="V47" s="121"/>
      <c r="W47" s="121"/>
      <c r="X47" s="164">
        <v>14092.7219852941</v>
      </c>
      <c r="Y47" s="183">
        <v>2783.84440882353</v>
      </c>
      <c r="Z47" s="183"/>
      <c r="AA47" s="183">
        <v>64.2432014705882</v>
      </c>
      <c r="AB47" s="183">
        <v>2848.08761029412</v>
      </c>
      <c r="AC47" s="116">
        <v>7.12</v>
      </c>
      <c r="AD47" s="121">
        <v>20278.3837852941</v>
      </c>
      <c r="AE47" s="121">
        <v>34371.1057705882</v>
      </c>
      <c r="AF47" s="121">
        <v>-8476.5157705882</v>
      </c>
    </row>
    <row r="48" customFormat="1" spans="1:32">
      <c r="A48" s="90" t="s">
        <v>110</v>
      </c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170"/>
      <c r="T48" s="91"/>
      <c r="U48" s="91"/>
      <c r="V48" s="171"/>
      <c r="W48" s="172"/>
      <c r="X48" s="172"/>
      <c r="Y48" s="172"/>
      <c r="Z48" s="172"/>
      <c r="AA48" s="187"/>
      <c r="AB48" s="188"/>
      <c r="AC48" s="188"/>
      <c r="AD48" s="188"/>
      <c r="AE48" s="188"/>
      <c r="AF48" s="188">
        <f>SUM(AF5:AF47)</f>
        <v>49238.913635202</v>
      </c>
    </row>
    <row r="49" s="73" customFormat="1" ht="26" customHeight="1" spans="1:25">
      <c r="A49" s="92"/>
      <c r="B49" s="93"/>
      <c r="D49" s="94"/>
      <c r="E49" s="94"/>
      <c r="Y49" s="189"/>
    </row>
    <row r="50" s="1" customFormat="1" ht="23" customHeight="1" spans="3:16">
      <c r="C50" s="95" t="s">
        <v>60</v>
      </c>
      <c r="D50" s="95"/>
      <c r="E50" s="95"/>
      <c r="F50" s="96" t="s">
        <v>61</v>
      </c>
      <c r="G50" s="97"/>
      <c r="H50" s="97"/>
      <c r="I50" s="124"/>
      <c r="J50"/>
      <c r="K50" s="125" t="s">
        <v>169</v>
      </c>
      <c r="L50" s="126"/>
      <c r="M50" s="127"/>
      <c r="N50" s="73"/>
      <c r="O50"/>
      <c r="P50"/>
    </row>
    <row r="51" s="1" customFormat="1" ht="23" customHeight="1" spans="3:16">
      <c r="C51" s="95"/>
      <c r="D51" s="95"/>
      <c r="E51" s="95"/>
      <c r="F51" s="98"/>
      <c r="G51" s="99"/>
      <c r="H51" s="99"/>
      <c r="I51" s="128"/>
      <c r="J51"/>
      <c r="K51" s="129" t="s">
        <v>63</v>
      </c>
      <c r="L51" s="129" t="s">
        <v>8</v>
      </c>
      <c r="M51" s="129" t="s">
        <v>64</v>
      </c>
      <c r="N51"/>
      <c r="O51"/>
      <c r="P51"/>
    </row>
    <row r="52" s="1" customFormat="1" ht="23" customHeight="1" spans="3:16">
      <c r="C52" s="95" t="s">
        <v>65</v>
      </c>
      <c r="D52" s="95"/>
      <c r="E52" s="95"/>
      <c r="F52" s="100" t="s">
        <v>66</v>
      </c>
      <c r="G52" s="101"/>
      <c r="H52" s="101"/>
      <c r="I52" s="130"/>
      <c r="J52"/>
      <c r="K52" s="129" t="s">
        <v>67</v>
      </c>
      <c r="L52" s="131">
        <f>SUM(H5:H47)</f>
        <v>390.4147</v>
      </c>
      <c r="M52" s="132">
        <f>SUM(AF48)</f>
        <v>49238.913635202</v>
      </c>
      <c r="N52"/>
      <c r="O52"/>
      <c r="P52"/>
    </row>
    <row r="53" s="1" customFormat="1" ht="23" customHeight="1" spans="3:16">
      <c r="C53" s="95"/>
      <c r="D53" s="95"/>
      <c r="E53" s="95"/>
      <c r="F53" s="102"/>
      <c r="G53" s="103"/>
      <c r="H53" s="103"/>
      <c r="I53" s="133"/>
      <c r="J53"/>
      <c r="K53" s="134" t="s">
        <v>68</v>
      </c>
      <c r="L53" s="135"/>
      <c r="M53" s="136">
        <v>6000</v>
      </c>
      <c r="N53"/>
      <c r="O53"/>
      <c r="P53"/>
    </row>
    <row r="54" s="1" customFormat="1" ht="23" customHeight="1" spans="3:16">
      <c r="C54" s="95" t="s">
        <v>69</v>
      </c>
      <c r="D54" s="95"/>
      <c r="E54" s="95"/>
      <c r="F54" s="100" t="s">
        <v>70</v>
      </c>
      <c r="G54" s="101"/>
      <c r="H54" s="101"/>
      <c r="I54" s="130"/>
      <c r="J54"/>
      <c r="K54" s="134" t="s">
        <v>71</v>
      </c>
      <c r="L54" s="135"/>
      <c r="M54" s="136">
        <f>SUM(M52-M53)</f>
        <v>43238.913635202</v>
      </c>
      <c r="N54"/>
      <c r="O54"/>
      <c r="P54"/>
    </row>
    <row r="55" s="1" customFormat="1" ht="23" customHeight="1" spans="3:16">
      <c r="C55" s="95"/>
      <c r="D55" s="95"/>
      <c r="E55" s="95"/>
      <c r="F55" s="102"/>
      <c r="G55" s="103"/>
      <c r="H55" s="103"/>
      <c r="I55" s="133"/>
      <c r="J55"/>
      <c r="K55" s="137" t="s">
        <v>72</v>
      </c>
      <c r="L55" s="138"/>
      <c r="M55" s="139">
        <v>35000</v>
      </c>
      <c r="N55"/>
      <c r="O55"/>
      <c r="P55"/>
    </row>
    <row r="56" s="1" customFormat="1" ht="23" customHeight="1" spans="5:16">
      <c r="E56"/>
      <c r="F56"/>
      <c r="G56"/>
      <c r="H56"/>
      <c r="I56"/>
      <c r="J56"/>
      <c r="K56" s="137" t="s">
        <v>73</v>
      </c>
      <c r="L56" s="138"/>
      <c r="M56" s="137">
        <v>0.4</v>
      </c>
      <c r="N56"/>
      <c r="O56"/>
      <c r="P56"/>
    </row>
    <row r="57" s="1" customFormat="1" ht="23" customHeight="1" spans="5:16">
      <c r="E57"/>
      <c r="F57"/>
      <c r="G57"/>
      <c r="H57"/>
      <c r="I57"/>
      <c r="J57"/>
      <c r="K57" s="137" t="s">
        <v>74</v>
      </c>
      <c r="L57" s="138"/>
      <c r="M57" s="139">
        <f>SUM(M55*M56)</f>
        <v>14000</v>
      </c>
      <c r="N57"/>
      <c r="O57"/>
      <c r="P57"/>
    </row>
    <row r="58" s="1" customFormat="1" ht="23" customHeight="1" spans="5:16">
      <c r="E58"/>
      <c r="F58"/>
      <c r="G58"/>
      <c r="H58"/>
      <c r="I58"/>
      <c r="J58"/>
      <c r="K58" s="140" t="s">
        <v>75</v>
      </c>
      <c r="L58" s="141"/>
      <c r="M58" s="142">
        <f>SUM(M54-M55)</f>
        <v>8238.913635202</v>
      </c>
      <c r="N58"/>
      <c r="O58"/>
      <c r="P58"/>
    </row>
    <row r="59" s="1" customFormat="1" ht="23" customHeight="1" spans="5:16">
      <c r="E59"/>
      <c r="F59"/>
      <c r="G59"/>
      <c r="H59"/>
      <c r="I59"/>
      <c r="J59"/>
      <c r="K59" s="140" t="s">
        <v>76</v>
      </c>
      <c r="L59" s="141"/>
      <c r="M59" s="140">
        <v>0.5</v>
      </c>
      <c r="N59"/>
      <c r="O59"/>
      <c r="P59"/>
    </row>
    <row r="60" s="1" customFormat="1" ht="23" customHeight="1" spans="5:19">
      <c r="E60"/>
      <c r="F60"/>
      <c r="G60"/>
      <c r="H60"/>
      <c r="I60"/>
      <c r="J60"/>
      <c r="K60" s="140" t="s">
        <v>74</v>
      </c>
      <c r="L60" s="141"/>
      <c r="M60" s="142">
        <f>SUM(M58*M59)</f>
        <v>4119.456817601</v>
      </c>
      <c r="N60" s="143"/>
      <c r="O60" s="143"/>
      <c r="P60" s="143"/>
      <c r="Q60"/>
      <c r="R60"/>
      <c r="S60" s="36"/>
    </row>
    <row r="61" s="1" customFormat="1" ht="23" customHeight="1" spans="5:19">
      <c r="E61"/>
      <c r="F61"/>
      <c r="G61"/>
      <c r="H61"/>
      <c r="I61"/>
      <c r="J61"/>
      <c r="K61" s="144" t="s">
        <v>77</v>
      </c>
      <c r="L61" s="145"/>
      <c r="M61" s="146">
        <f>SUM(M57+M60)</f>
        <v>18119.456817601</v>
      </c>
      <c r="N61"/>
      <c r="O61"/>
      <c r="P61"/>
      <c r="Q61"/>
      <c r="S61" s="36"/>
    </row>
    <row r="62" ht="22" customHeight="1" spans="11:13">
      <c r="K62" s="143"/>
      <c r="L62" s="143"/>
      <c r="M62" s="1"/>
    </row>
    <row r="63" ht="22" customHeight="1" spans="11:13">
      <c r="K63" s="143"/>
      <c r="L63" s="143"/>
      <c r="M63" s="1"/>
    </row>
  </sheetData>
  <mergeCells count="23">
    <mergeCell ref="J3:P3"/>
    <mergeCell ref="R3:V3"/>
    <mergeCell ref="Y3:AD3"/>
    <mergeCell ref="K50:M50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50:E51"/>
    <mergeCell ref="C52:E53"/>
    <mergeCell ref="F52:I53"/>
    <mergeCell ref="C54:E55"/>
    <mergeCell ref="F54:I55"/>
    <mergeCell ref="F50:I51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workbookViewId="0">
      <selection activeCell="G6" sqref="G6"/>
    </sheetView>
  </sheetViews>
  <sheetFormatPr defaultColWidth="11" defaultRowHeight="33" customHeight="1"/>
  <cols>
    <col min="1" max="1" width="16.25" style="9" customWidth="1"/>
    <col min="2" max="2" width="12.5" style="4" customWidth="1"/>
    <col min="3" max="3" width="9.5" style="4" customWidth="1"/>
    <col min="4" max="4" width="10.25" style="10" customWidth="1"/>
    <col min="5" max="5" width="15.6583333333333" style="10" customWidth="1"/>
    <col min="6" max="6" width="11.875" style="11" customWidth="1"/>
    <col min="7" max="7" width="6.375" style="12" customWidth="1"/>
    <col min="8" max="8" width="14.625" style="4" customWidth="1"/>
    <col min="9" max="10" width="11" style="4" customWidth="1"/>
    <col min="11" max="11" width="6.375" style="4" customWidth="1"/>
    <col min="12" max="12" width="11" style="4" customWidth="1"/>
    <col min="13" max="13" width="15.5" style="4" customWidth="1"/>
    <col min="14" max="14" width="28.75" style="4" customWidth="1"/>
    <col min="15" max="15" width="4.62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38" customHeight="1" spans="1:14">
      <c r="A3" s="15" t="s">
        <v>171</v>
      </c>
      <c r="B3" s="16" t="s">
        <v>172</v>
      </c>
      <c r="C3" s="17" t="s">
        <v>173</v>
      </c>
      <c r="D3" s="18" t="s">
        <v>174</v>
      </c>
      <c r="E3" s="18"/>
      <c r="F3" s="18"/>
      <c r="G3" s="18"/>
      <c r="H3" s="18"/>
      <c r="I3" s="41" t="s">
        <v>175</v>
      </c>
      <c r="J3" s="42"/>
      <c r="K3" s="43"/>
      <c r="L3" s="44"/>
      <c r="M3" s="45" t="s">
        <v>176</v>
      </c>
      <c r="N3" s="16" t="s">
        <v>88</v>
      </c>
    </row>
    <row r="4" s="2" customFormat="1" ht="38" customHeight="1" spans="1:14">
      <c r="A4" s="19"/>
      <c r="B4" s="16"/>
      <c r="C4" s="20"/>
      <c r="D4" s="21" t="s">
        <v>72</v>
      </c>
      <c r="E4" s="22" t="s">
        <v>71</v>
      </c>
      <c r="F4" s="22" t="s">
        <v>71</v>
      </c>
      <c r="G4" s="23" t="s">
        <v>177</v>
      </c>
      <c r="H4" s="24" t="s">
        <v>74</v>
      </c>
      <c r="I4" s="46" t="s">
        <v>72</v>
      </c>
      <c r="J4" s="47" t="s">
        <v>71</v>
      </c>
      <c r="K4" s="48" t="s">
        <v>178</v>
      </c>
      <c r="L4" s="49" t="s">
        <v>74</v>
      </c>
      <c r="M4" s="50"/>
      <c r="N4" s="16"/>
    </row>
    <row r="5" s="3" customFormat="1" ht="26" customHeight="1" spans="1:14">
      <c r="A5" s="16" t="s">
        <v>179</v>
      </c>
      <c r="B5" s="25">
        <f>SUM(黄颖!M33)</f>
        <v>51035.4445028074</v>
      </c>
      <c r="C5" s="26">
        <f>SUM(黄颖!L33)</f>
        <v>106.0053</v>
      </c>
      <c r="D5" s="68">
        <v>6000</v>
      </c>
      <c r="E5" s="28">
        <f>SUM(B5-D5)</f>
        <v>45035.4445028074</v>
      </c>
      <c r="F5" s="28">
        <v>35000</v>
      </c>
      <c r="G5" s="29">
        <v>0.4</v>
      </c>
      <c r="H5" s="28">
        <f>SUM(F5*G5)</f>
        <v>14000</v>
      </c>
      <c r="I5" s="51">
        <v>35000</v>
      </c>
      <c r="J5" s="51">
        <f>SUM(E5-I5)</f>
        <v>10035.4445028074</v>
      </c>
      <c r="K5" s="52">
        <v>0.5</v>
      </c>
      <c r="L5" s="53">
        <f>SUM(J5*K5)</f>
        <v>5017.7222514037</v>
      </c>
      <c r="M5" s="54">
        <f>SUM(H5+L5)</f>
        <v>19017.7222514037</v>
      </c>
      <c r="N5" s="55"/>
    </row>
    <row r="6" s="5" customFormat="1" spans="1:14">
      <c r="A6" s="31" t="s">
        <v>180</v>
      </c>
      <c r="B6" s="32">
        <f>SUM(三凤!M18)</f>
        <v>15800.3140086038</v>
      </c>
      <c r="C6" s="33">
        <f>SUM(三凤!L18)</f>
        <v>26.0705</v>
      </c>
      <c r="D6" s="34">
        <v>2000</v>
      </c>
      <c r="E6" s="28">
        <f>SUM(B6-D6)</f>
        <v>13800.3140086038</v>
      </c>
      <c r="F6" s="28"/>
      <c r="G6" s="29">
        <v>0.15</v>
      </c>
      <c r="H6" s="28">
        <f>SUM(E6*G6)</f>
        <v>2070.04710129057</v>
      </c>
      <c r="I6" s="59"/>
      <c r="J6" s="59"/>
      <c r="K6" s="52"/>
      <c r="L6" s="52"/>
      <c r="M6" s="54">
        <f>SUM(H6+L6)</f>
        <v>2070.04710129057</v>
      </c>
      <c r="N6" s="60" t="s">
        <v>181</v>
      </c>
    </row>
    <row r="7" s="6" customFormat="1" ht="26" customHeight="1" spans="1:14">
      <c r="A7" s="16" t="s">
        <v>93</v>
      </c>
      <c r="B7" s="25">
        <f>SUM(吕沛霖!M27)</f>
        <v>16852.5204865423</v>
      </c>
      <c r="C7" s="26">
        <f>SUM(吕沛霖!L27)</f>
        <v>86.6326</v>
      </c>
      <c r="D7" s="35">
        <v>8595.80555559102</v>
      </c>
      <c r="E7" s="28">
        <f>SUM(B7-D7)</f>
        <v>8256.71493095128</v>
      </c>
      <c r="F7" s="28"/>
      <c r="G7" s="29">
        <v>0.4</v>
      </c>
      <c r="H7" s="28">
        <f>SUM(E7*G7)</f>
        <v>3302.68597238051</v>
      </c>
      <c r="I7" s="51"/>
      <c r="J7" s="51"/>
      <c r="K7" s="52"/>
      <c r="L7" s="53"/>
      <c r="M7" s="54">
        <f>SUM(H7+L7)</f>
        <v>3302.68597238051</v>
      </c>
      <c r="N7" s="61"/>
    </row>
    <row r="8" s="3" customFormat="1" spans="1:14">
      <c r="A8" s="16" t="s">
        <v>112</v>
      </c>
      <c r="B8" s="25">
        <f>SUM(朱小飞!M27)</f>
        <v>28356.3059685562</v>
      </c>
      <c r="C8" s="26">
        <f>SUM(朱小飞!L27)</f>
        <v>47.9186</v>
      </c>
      <c r="D8" s="28">
        <v>2000</v>
      </c>
      <c r="E8" s="28">
        <f>SUM(B8-D8)</f>
        <v>26356.3059685562</v>
      </c>
      <c r="F8" s="28"/>
      <c r="G8" s="29">
        <v>0.15</v>
      </c>
      <c r="H8" s="28">
        <f>SUM(E8*G8)</f>
        <v>3953.44589528343</v>
      </c>
      <c r="I8" s="51"/>
      <c r="J8" s="59"/>
      <c r="K8" s="59"/>
      <c r="L8" s="51"/>
      <c r="M8" s="54">
        <f>SUM(H8+L8)</f>
        <v>3953.44589528343</v>
      </c>
      <c r="N8" s="60" t="s">
        <v>182</v>
      </c>
    </row>
    <row r="9" s="6" customFormat="1" ht="26" customHeight="1" spans="1:14">
      <c r="A9" s="16" t="s">
        <v>142</v>
      </c>
      <c r="B9" s="25">
        <f>SUM(陆总!M15)</f>
        <v>23045.7623085265</v>
      </c>
      <c r="C9" s="26">
        <f>SUM(陆总!L15)</f>
        <v>47.6491</v>
      </c>
      <c r="D9" s="28"/>
      <c r="E9" s="28"/>
      <c r="F9" s="28"/>
      <c r="G9" s="29">
        <v>0.4</v>
      </c>
      <c r="H9" s="28">
        <f>SUM(B9*G9)</f>
        <v>9218.3049234106</v>
      </c>
      <c r="I9" s="51"/>
      <c r="J9" s="59"/>
      <c r="K9" s="59"/>
      <c r="L9" s="59"/>
      <c r="M9" s="54">
        <f>SUM(H9+L9)</f>
        <v>9218.3049234106</v>
      </c>
      <c r="N9" s="61"/>
    </row>
    <row r="10" s="6" customFormat="1" ht="56" customHeight="1" spans="1:21">
      <c r="A10" s="16" t="s">
        <v>132</v>
      </c>
      <c r="B10" s="25">
        <f>SUM(罗伟健!M13)</f>
        <v>41043.5286422229</v>
      </c>
      <c r="C10" s="26">
        <f>SUM(罗伟健!L13)</f>
        <v>25.2555</v>
      </c>
      <c r="D10" s="28"/>
      <c r="E10" s="28"/>
      <c r="F10" s="28"/>
      <c r="G10" s="29"/>
      <c r="H10" s="28"/>
      <c r="I10" s="51"/>
      <c r="J10" s="51"/>
      <c r="K10" s="52"/>
      <c r="L10" s="53"/>
      <c r="M10" s="54">
        <v>5119.95</v>
      </c>
      <c r="N10" s="69" t="s">
        <v>183</v>
      </c>
      <c r="U10" s="3"/>
    </row>
    <row r="11" s="6" customFormat="1" ht="26" customHeight="1" spans="1:21">
      <c r="A11" s="16" t="s">
        <v>138</v>
      </c>
      <c r="B11" s="25">
        <f>SUM(罗珮文!M20)</f>
        <v>-191.261643529385</v>
      </c>
      <c r="C11" s="26">
        <f>SUM(罗珮文!M20)</f>
        <v>-191.261643529385</v>
      </c>
      <c r="D11" s="28"/>
      <c r="E11" s="28"/>
      <c r="F11" s="28"/>
      <c r="G11" s="29"/>
      <c r="H11" s="28"/>
      <c r="I11" s="51"/>
      <c r="J11" s="51"/>
      <c r="K11" s="52"/>
      <c r="L11" s="53"/>
      <c r="M11" s="54"/>
      <c r="N11" s="61"/>
      <c r="U11" s="3"/>
    </row>
    <row r="12" s="3" customFormat="1" ht="26" customHeight="1" spans="1:14">
      <c r="A12" s="16" t="s">
        <v>184</v>
      </c>
      <c r="B12" s="25">
        <f>SUM(浦生!M52)</f>
        <v>49238.913635202</v>
      </c>
      <c r="C12" s="26">
        <f>SUM(浦生!L52)</f>
        <v>390.4147</v>
      </c>
      <c r="D12" s="28">
        <v>6000</v>
      </c>
      <c r="E12" s="28">
        <f>SUM(B12-D12)</f>
        <v>43238.913635202</v>
      </c>
      <c r="F12" s="28">
        <v>35000</v>
      </c>
      <c r="G12" s="29">
        <v>0.4</v>
      </c>
      <c r="H12" s="28">
        <f>SUM(F12*G12)</f>
        <v>14000</v>
      </c>
      <c r="I12" s="51">
        <v>35000</v>
      </c>
      <c r="J12" s="51">
        <f>SUM(E12-I12)</f>
        <v>8238.913635202</v>
      </c>
      <c r="K12" s="52">
        <v>0.5</v>
      </c>
      <c r="L12" s="53">
        <f>SUM(J12*K12)</f>
        <v>4119.456817601</v>
      </c>
      <c r="M12" s="54">
        <f>SUM(H12+L12)</f>
        <v>18119.456817601</v>
      </c>
      <c r="N12" s="70"/>
    </row>
    <row r="13" s="2" customFormat="1" ht="42" customHeight="1" spans="1:14">
      <c r="A13" s="16" t="s">
        <v>110</v>
      </c>
      <c r="B13" s="25">
        <f>SUM(B5:B12)</f>
        <v>225181.527908932</v>
      </c>
      <c r="C13" s="26">
        <f>SUM(C5:C12)</f>
        <v>538.684656470615</v>
      </c>
      <c r="D13" s="28"/>
      <c r="E13" s="28"/>
      <c r="F13" s="28"/>
      <c r="G13" s="29"/>
      <c r="H13" s="29"/>
      <c r="I13" s="59"/>
      <c r="J13" s="59"/>
      <c r="K13" s="62"/>
      <c r="L13" s="47"/>
      <c r="M13" s="63">
        <f>SUM(M5:M12)</f>
        <v>60801.6129613698</v>
      </c>
      <c r="N13" s="64"/>
    </row>
    <row r="14" s="1" customFormat="1" ht="9" customHeight="1" spans="1:13">
      <c r="A14" s="9"/>
      <c r="G14" s="36"/>
      <c r="H14" s="36"/>
      <c r="I14" s="36"/>
      <c r="J14" s="36"/>
      <c r="K14" s="65"/>
      <c r="L14" s="11"/>
      <c r="M14" s="66"/>
    </row>
    <row r="15" s="7" customFormat="1" ht="41" customHeight="1" spans="1:13">
      <c r="A15" s="7" t="s">
        <v>185</v>
      </c>
      <c r="G15" s="37"/>
      <c r="H15" s="37"/>
      <c r="I15" s="37"/>
      <c r="J15" s="37" t="s">
        <v>186</v>
      </c>
      <c r="K15" s="37"/>
      <c r="M15" s="67"/>
    </row>
    <row r="16" s="8" customFormat="1" ht="41" customHeight="1" spans="1:13">
      <c r="A16" s="38"/>
      <c r="G16" s="39"/>
      <c r="H16" s="39"/>
      <c r="I16" s="39"/>
      <c r="J16" s="39"/>
      <c r="K16" s="39"/>
      <c r="M16" s="40"/>
    </row>
    <row r="17" s="4" customFormat="1" ht="57" customHeight="1" spans="1:14">
      <c r="A17" s="9"/>
      <c r="G17" s="30"/>
      <c r="H17" s="30"/>
      <c r="I17" s="30"/>
      <c r="J17" s="30"/>
      <c r="L17" s="8"/>
      <c r="M17" s="40"/>
      <c r="N17" s="8"/>
    </row>
    <row r="18" s="4" customFormat="1" ht="42" customHeight="1" spans="1:14">
      <c r="A18" s="9"/>
      <c r="G18" s="30"/>
      <c r="H18" s="30"/>
      <c r="I18" s="30"/>
      <c r="J18" s="30"/>
      <c r="L18" s="8"/>
      <c r="M18" s="40"/>
      <c r="N18" s="8"/>
    </row>
    <row r="19" s="4" customFormat="1" customHeight="1" spans="1:14">
      <c r="A19" s="9"/>
      <c r="G19" s="30"/>
      <c r="H19" s="30"/>
      <c r="I19" s="30"/>
      <c r="J19" s="30"/>
      <c r="K19" s="39"/>
      <c r="L19" s="8"/>
      <c r="M19" s="40"/>
      <c r="N19" s="8"/>
    </row>
    <row r="20" customHeight="1" spans="4:5">
      <c r="D20" s="8"/>
      <c r="E20" s="40"/>
    </row>
    <row r="21" customHeight="1" spans="4:5">
      <c r="D21" s="8"/>
      <c r="E21" s="40"/>
    </row>
    <row r="22" customHeight="1" spans="4:18">
      <c r="D22" s="8"/>
      <c r="E22" s="40"/>
      <c r="N22" s="3"/>
      <c r="O22" s="3"/>
      <c r="P22" s="3"/>
      <c r="Q22" s="3"/>
      <c r="R22" s="3"/>
    </row>
    <row r="23" customHeight="1" spans="4:18">
      <c r="D23" s="8"/>
      <c r="E23" s="40"/>
      <c r="Q23" s="3"/>
      <c r="R23" s="3"/>
    </row>
    <row r="24" customHeight="1" spans="4:18">
      <c r="D24" s="8"/>
      <c r="E24" s="40"/>
      <c r="Q24" s="3"/>
      <c r="R24" s="3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275" right="0.156944444444444" top="1.29861111111111" bottom="1" header="0.5" footer="0.5"/>
  <pageSetup paperSize="9" scale="95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workbookViewId="0">
      <selection activeCell="M7" sqref="M7"/>
    </sheetView>
  </sheetViews>
  <sheetFormatPr defaultColWidth="11" defaultRowHeight="33" customHeight="1"/>
  <cols>
    <col min="1" max="1" width="14.6583333333333" style="9" customWidth="1"/>
    <col min="2" max="2" width="12.5" style="4" customWidth="1"/>
    <col min="3" max="3" width="9.5" style="4" customWidth="1"/>
    <col min="4" max="4" width="11.6833333333333" style="10" customWidth="1"/>
    <col min="5" max="5" width="15.6583333333333" style="10" customWidth="1"/>
    <col min="6" max="6" width="11.875" style="11" customWidth="1"/>
    <col min="7" max="7" width="7.48333333333333" style="12" customWidth="1"/>
    <col min="8" max="8" width="14.625" style="4" customWidth="1"/>
    <col min="9" max="9" width="11" style="4" customWidth="1"/>
    <col min="10" max="10" width="11.475" style="4" customWidth="1"/>
    <col min="11" max="11" width="7.65833333333333" style="4" customWidth="1"/>
    <col min="12" max="12" width="11" style="4" customWidth="1"/>
    <col min="13" max="13" width="17.4083333333333" style="4" customWidth="1"/>
    <col min="14" max="14" width="31.6083333333333" style="4" customWidth="1"/>
    <col min="15" max="15" width="4.62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38" customHeight="1" spans="1:14">
      <c r="A3" s="15" t="s">
        <v>171</v>
      </c>
      <c r="B3" s="16" t="s">
        <v>172</v>
      </c>
      <c r="C3" s="17" t="s">
        <v>173</v>
      </c>
      <c r="D3" s="18" t="s">
        <v>174</v>
      </c>
      <c r="E3" s="18"/>
      <c r="F3" s="18"/>
      <c r="G3" s="18"/>
      <c r="H3" s="18"/>
      <c r="I3" s="41" t="s">
        <v>175</v>
      </c>
      <c r="J3" s="42"/>
      <c r="K3" s="43"/>
      <c r="L3" s="44"/>
      <c r="M3" s="45" t="s">
        <v>176</v>
      </c>
      <c r="N3" s="16" t="s">
        <v>88</v>
      </c>
    </row>
    <row r="4" s="2" customFormat="1" ht="38" customHeight="1" spans="1:14">
      <c r="A4" s="19"/>
      <c r="B4" s="16"/>
      <c r="C4" s="20"/>
      <c r="D4" s="21" t="s">
        <v>72</v>
      </c>
      <c r="E4" s="22" t="s">
        <v>71</v>
      </c>
      <c r="F4" s="22" t="s">
        <v>71</v>
      </c>
      <c r="G4" s="23" t="s">
        <v>177</v>
      </c>
      <c r="H4" s="24" t="s">
        <v>74</v>
      </c>
      <c r="I4" s="46" t="s">
        <v>72</v>
      </c>
      <c r="J4" s="47" t="s">
        <v>71</v>
      </c>
      <c r="K4" s="48" t="s">
        <v>178</v>
      </c>
      <c r="L4" s="49" t="s">
        <v>74</v>
      </c>
      <c r="M4" s="50"/>
      <c r="N4" s="16"/>
    </row>
    <row r="5" s="3" customFormat="1" ht="36" customHeight="1" spans="1:14">
      <c r="A5" s="16" t="s">
        <v>179</v>
      </c>
      <c r="B5" s="25">
        <f>SUM(黄颖!M33)</f>
        <v>51035.4445028074</v>
      </c>
      <c r="C5" s="26">
        <f>SUM(黄颖!L33)</f>
        <v>106.0053</v>
      </c>
      <c r="D5" s="27">
        <v>6000</v>
      </c>
      <c r="E5" s="28">
        <f>SUM(B5-D5)</f>
        <v>45035.4445028074</v>
      </c>
      <c r="F5" s="28">
        <v>35000</v>
      </c>
      <c r="G5" s="29">
        <v>0.4</v>
      </c>
      <c r="H5" s="28">
        <f>SUM(F5*G5)</f>
        <v>14000</v>
      </c>
      <c r="I5" s="51">
        <v>35000</v>
      </c>
      <c r="J5" s="51">
        <f>SUM(E5-I5)</f>
        <v>10035.4445028074</v>
      </c>
      <c r="K5" s="52">
        <v>0.5</v>
      </c>
      <c r="L5" s="53">
        <f>SUM(J5*K5)</f>
        <v>5017.7222514037</v>
      </c>
      <c r="M5" s="54">
        <f>SUM(H5+L5)</f>
        <v>19017.7222514037</v>
      </c>
      <c r="N5" s="55"/>
    </row>
    <row r="6" s="4" customFormat="1" ht="57" customHeight="1" spans="1:14">
      <c r="A6" s="9"/>
      <c r="B6" s="4"/>
      <c r="C6" s="30"/>
      <c r="D6" s="4"/>
      <c r="E6" s="4"/>
      <c r="F6" s="4"/>
      <c r="G6" s="30"/>
      <c r="H6" s="4"/>
      <c r="I6" s="4"/>
      <c r="J6" s="4"/>
      <c r="K6" s="56"/>
      <c r="L6" s="57" t="s">
        <v>187</v>
      </c>
      <c r="M6" s="58"/>
      <c r="N6" s="58"/>
    </row>
    <row r="7" s="5" customFormat="1" spans="1:14">
      <c r="A7" s="31" t="s">
        <v>180</v>
      </c>
      <c r="B7" s="32">
        <f>SUM(三凤!M18)</f>
        <v>15800.3140086038</v>
      </c>
      <c r="C7" s="33">
        <f>SUM(三凤!L18)</f>
        <v>26.0705</v>
      </c>
      <c r="D7" s="34">
        <v>2000</v>
      </c>
      <c r="E7" s="28">
        <f>SUM(B7-D7)</f>
        <v>13800.3140086038</v>
      </c>
      <c r="F7" s="28"/>
      <c r="G7" s="29">
        <v>0.15</v>
      </c>
      <c r="H7" s="28">
        <f>SUM(E7*G7)</f>
        <v>2070.04710129057</v>
      </c>
      <c r="I7" s="59"/>
      <c r="J7" s="59"/>
      <c r="K7" s="52"/>
      <c r="L7" s="52"/>
      <c r="M7" s="54">
        <f>SUM(H7+L7)</f>
        <v>2070.04710129057</v>
      </c>
      <c r="N7" s="60" t="s">
        <v>181</v>
      </c>
    </row>
    <row r="8" s="4" customFormat="1" ht="57" customHeight="1" spans="1:14">
      <c r="A8" s="9"/>
      <c r="B8" s="4"/>
      <c r="C8" s="30"/>
      <c r="D8" s="4"/>
      <c r="E8" s="4"/>
      <c r="F8" s="4"/>
      <c r="G8" s="30"/>
      <c r="H8" s="4"/>
      <c r="I8" s="4"/>
      <c r="J8" s="4"/>
      <c r="K8" s="56"/>
      <c r="L8" s="57" t="s">
        <v>187</v>
      </c>
      <c r="M8" s="58"/>
      <c r="N8" s="58"/>
    </row>
    <row r="9" s="3" customFormat="1" spans="1:14">
      <c r="A9" s="16" t="s">
        <v>112</v>
      </c>
      <c r="B9" s="25">
        <f>SUM(朱小飞!M27)</f>
        <v>28356.3059685562</v>
      </c>
      <c r="C9" s="26">
        <f>SUM(朱小飞!L27)</f>
        <v>47.9186</v>
      </c>
      <c r="D9" s="28">
        <v>2000</v>
      </c>
      <c r="E9" s="28">
        <f>SUM(B9-D9)</f>
        <v>26356.3059685562</v>
      </c>
      <c r="F9" s="28"/>
      <c r="G9" s="29">
        <v>0.15</v>
      </c>
      <c r="H9" s="28">
        <f>SUM(E9*G9)</f>
        <v>3953.44589528343</v>
      </c>
      <c r="I9" s="51"/>
      <c r="J9" s="59"/>
      <c r="K9" s="59"/>
      <c r="L9" s="51"/>
      <c r="M9" s="54">
        <f>SUM(H9+L9)</f>
        <v>3953.44589528343</v>
      </c>
      <c r="N9" s="60" t="s">
        <v>182</v>
      </c>
    </row>
    <row r="10" s="4" customFormat="1" ht="57" customHeight="1" spans="1:14">
      <c r="A10" s="9"/>
      <c r="B10" s="4"/>
      <c r="C10" s="30"/>
      <c r="D10" s="4"/>
      <c r="E10" s="4"/>
      <c r="F10" s="4"/>
      <c r="G10" s="30"/>
      <c r="H10" s="4"/>
      <c r="I10" s="4"/>
      <c r="J10" s="4"/>
      <c r="K10" s="56"/>
      <c r="L10" s="57" t="s">
        <v>187</v>
      </c>
      <c r="M10" s="58"/>
      <c r="N10" s="58"/>
    </row>
    <row r="11" s="6" customFormat="1" ht="26" customHeight="1" spans="1:14">
      <c r="A11" s="16" t="s">
        <v>93</v>
      </c>
      <c r="B11" s="25">
        <f>SUM(吕沛霖!M27)</f>
        <v>16852.5204865423</v>
      </c>
      <c r="C11" s="26">
        <f>SUM(吕沛霖!L27)</f>
        <v>86.6326</v>
      </c>
      <c r="D11" s="35">
        <v>8595.80555559102</v>
      </c>
      <c r="E11" s="28">
        <f>SUM(B11-D11)</f>
        <v>8256.71493095128</v>
      </c>
      <c r="F11" s="28"/>
      <c r="G11" s="29">
        <v>0.4</v>
      </c>
      <c r="H11" s="28">
        <f>SUM(E11*G11)</f>
        <v>3302.68597238051</v>
      </c>
      <c r="I11" s="51"/>
      <c r="J11" s="51"/>
      <c r="K11" s="52"/>
      <c r="L11" s="53"/>
      <c r="M11" s="54">
        <f>SUM(H11+L11)</f>
        <v>3302.68597238051</v>
      </c>
      <c r="N11" s="61"/>
    </row>
    <row r="12" s="4" customFormat="1" ht="57" customHeight="1" spans="1:14">
      <c r="A12" s="9"/>
      <c r="B12" s="4"/>
      <c r="C12" s="30"/>
      <c r="D12" s="4"/>
      <c r="E12" s="4"/>
      <c r="F12" s="4"/>
      <c r="G12" s="30"/>
      <c r="H12" s="4"/>
      <c r="I12" s="4"/>
      <c r="J12" s="4"/>
      <c r="K12" s="56"/>
      <c r="L12" s="57" t="s">
        <v>187</v>
      </c>
      <c r="M12" s="58"/>
      <c r="N12" s="58"/>
    </row>
    <row r="13" s="2" customFormat="1" ht="42" customHeight="1" spans="1:14">
      <c r="A13" s="16" t="s">
        <v>110</v>
      </c>
      <c r="B13" s="25">
        <f>SUM(B5:B9)</f>
        <v>95192.0644799674</v>
      </c>
      <c r="C13" s="26">
        <f>SUM(C5:C9)</f>
        <v>179.9944</v>
      </c>
      <c r="D13" s="28"/>
      <c r="E13" s="28"/>
      <c r="F13" s="28"/>
      <c r="G13" s="29"/>
      <c r="H13" s="29"/>
      <c r="I13" s="59"/>
      <c r="J13" s="59"/>
      <c r="K13" s="62"/>
      <c r="L13" s="47"/>
      <c r="M13" s="63">
        <f>SUM(M5:M12)</f>
        <v>28343.9012203582</v>
      </c>
      <c r="N13" s="64"/>
    </row>
    <row r="14" s="1" customFormat="1" ht="9" customHeight="1" spans="1:13">
      <c r="A14" s="9"/>
      <c r="G14" s="36"/>
      <c r="H14" s="36"/>
      <c r="I14" s="36"/>
      <c r="J14" s="36"/>
      <c r="K14" s="65"/>
      <c r="L14" s="11"/>
      <c r="M14" s="66"/>
    </row>
    <row r="15" s="7" customFormat="1" ht="41" customHeight="1" spans="1:13">
      <c r="A15" s="7" t="s">
        <v>185</v>
      </c>
      <c r="G15" s="37"/>
      <c r="H15" s="37"/>
      <c r="I15" s="37"/>
      <c r="J15" s="37" t="s">
        <v>186</v>
      </c>
      <c r="K15" s="37"/>
      <c r="M15" s="67"/>
    </row>
    <row r="16" s="8" customFormat="1" ht="41" customHeight="1" spans="1:13">
      <c r="A16" s="38"/>
      <c r="G16" s="39"/>
      <c r="H16" s="39"/>
      <c r="I16" s="39"/>
      <c r="J16" s="39"/>
      <c r="K16" s="39"/>
      <c r="M16" s="40"/>
    </row>
    <row r="17" s="4" customFormat="1" ht="57" customHeight="1" spans="1:14">
      <c r="A17" s="9"/>
      <c r="G17" s="30"/>
      <c r="H17" s="30"/>
      <c r="I17" s="30"/>
      <c r="J17" s="30"/>
      <c r="L17" s="8"/>
      <c r="M17" s="40"/>
      <c r="N17" s="8"/>
    </row>
    <row r="18" s="4" customFormat="1" ht="42" customHeight="1" spans="1:14">
      <c r="A18" s="9"/>
      <c r="G18" s="30"/>
      <c r="H18" s="30"/>
      <c r="I18" s="30"/>
      <c r="J18" s="30"/>
      <c r="L18" s="8"/>
      <c r="M18" s="40"/>
      <c r="N18" s="8"/>
    </row>
    <row r="19" s="4" customFormat="1" customHeight="1" spans="1:14">
      <c r="A19" s="9"/>
      <c r="G19" s="30"/>
      <c r="H19" s="30"/>
      <c r="I19" s="30"/>
      <c r="J19" s="30"/>
      <c r="K19" s="39"/>
      <c r="L19" s="8"/>
      <c r="M19" s="40"/>
      <c r="N19" s="8"/>
    </row>
    <row r="20" customHeight="1" spans="4:5">
      <c r="D20" s="8"/>
      <c r="E20" s="40"/>
    </row>
    <row r="21" customHeight="1" spans="4:5">
      <c r="D21" s="8"/>
      <c r="E21" s="40"/>
    </row>
    <row r="22" customHeight="1" spans="4:18">
      <c r="D22" s="8"/>
      <c r="E22" s="40"/>
      <c r="N22" s="3"/>
      <c r="O22" s="3"/>
      <c r="P22" s="3"/>
      <c r="Q22" s="3"/>
      <c r="R22" s="3"/>
    </row>
    <row r="23" customHeight="1" spans="4:18">
      <c r="D23" s="8"/>
      <c r="E23" s="40"/>
      <c r="Q23" s="3"/>
      <c r="R23" s="3"/>
    </row>
    <row r="24" customHeight="1" spans="4:18">
      <c r="D24" s="8"/>
      <c r="E24" s="40"/>
      <c r="Q24" s="3"/>
      <c r="R24" s="3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550694444444444" right="0.156944444444444" top="1.10208333333333" bottom="0.590277777777778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黄颖</vt:lpstr>
      <vt:lpstr>三凤</vt:lpstr>
      <vt:lpstr>吕沛霖</vt:lpstr>
      <vt:lpstr>朱小飞</vt:lpstr>
      <vt:lpstr>罗伟健</vt:lpstr>
      <vt:lpstr>罗珮文</vt:lpstr>
      <vt:lpstr>陆总</vt:lpstr>
      <vt:lpstr>浦生</vt:lpstr>
      <vt:lpstr>提成总表</vt:lpstr>
      <vt:lpstr>黄颖 陈三凤 朱小飞 吕沛霖 2025年10月份发放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