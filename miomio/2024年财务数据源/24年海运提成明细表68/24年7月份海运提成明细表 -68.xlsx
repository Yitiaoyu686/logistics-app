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0"/>
  </bookViews>
  <sheets>
    <sheet name="黄颖" sheetId="1" r:id="rId1"/>
    <sheet name="三凤" sheetId="7" r:id="rId2"/>
    <sheet name="朱小飞" sheetId="4" r:id="rId3"/>
    <sheet name="吕沛霖" sheetId="3" r:id="rId4"/>
    <sheet name="罗伟健" sheetId="15" r:id="rId5"/>
    <sheet name="苏慧琪" sheetId="16" r:id="rId6"/>
    <sheet name="陆总" sheetId="14" r:id="rId7"/>
    <sheet name="浦生" sheetId="5" r:id="rId8"/>
    <sheet name="无人" sheetId="17" r:id="rId9"/>
    <sheet name="提成总表" sheetId="9" r:id="rId10"/>
    <sheet name="黄颖 陈三凤 朱小飞 吕沛霖 2025年10月份发放" sheetId="18" r:id="rId11"/>
  </sheets>
  <definedNames>
    <definedName name="_xlnm._FilterDatabase" localSheetId="0" hidden="1">黄颖!$A$3:$AB$20</definedName>
    <definedName name="_xlnm._FilterDatabase" localSheetId="3" hidden="1">吕沛霖!$A$2:$AB$22</definedName>
    <definedName name="_xlnm._FilterDatabase" localSheetId="1" hidden="1">三凤!#REF!</definedName>
    <definedName name="_xlnm.Print_Area" localSheetId="9">提成总表!$A$1:$M$19</definedName>
    <definedName name="_xlnm.Print_Area" localSheetId="10">'黄颖 陈三凤 朱小飞 吕沛霖 2025年10月份发放'!$A$1:$M$18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N5" authorId="0">
      <text>
        <r>
          <rPr>
            <sz val="9"/>
            <rFont val="宋体"/>
            <charset val="134"/>
          </rPr>
          <t xml:space="preserve">预付10001.88转到位USD1377.66
</t>
        </r>
      </text>
    </comment>
    <comment ref="J6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J8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9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到付USD5888.25转预付43280.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T13" authorId="0">
      <text>
        <r>
          <rPr>
            <sz val="9"/>
            <rFont val="宋体"/>
            <charset val="134"/>
          </rPr>
          <t xml:space="preserve">吊车和提货费用
</t>
        </r>
      </text>
    </comment>
    <comment ref="J14" authorId="0">
      <text>
        <r>
          <rPr>
            <sz val="9"/>
            <rFont val="宋体"/>
            <charset val="134"/>
          </rPr>
          <t xml:space="preserve">到付USD992.38转预付7303.
</t>
        </r>
      </text>
    </comment>
    <comment ref="J15" authorId="0">
      <text>
        <r>
          <rPr>
            <sz val="9"/>
            <rFont val="宋体"/>
            <charset val="134"/>
          </rPr>
          <t>到付USD86.7转预付630.</t>
        </r>
      </text>
    </comment>
    <comment ref="J17" authorId="0">
      <text>
        <r>
          <rPr>
            <b/>
            <sz val="9"/>
            <rFont val="宋体"/>
            <charset val="134"/>
          </rPr>
          <t>3到付USD82.52转预付606.5.</t>
        </r>
        <r>
          <rPr>
            <sz val="9"/>
            <rFont val="宋体"/>
            <charset val="134"/>
          </rPr>
          <t xml:space="preserve">
</t>
        </r>
      </text>
    </comment>
    <comment ref="J18" authorId="0">
      <text>
        <r>
          <rPr>
            <sz val="9"/>
            <rFont val="宋体"/>
            <charset val="134"/>
          </rPr>
          <t xml:space="preserve">到付USD340.14转预付2500.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到付USD120.69转预付894.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到付USD227.56转预付1662.94
</t>
        </r>
      </text>
    </comment>
    <comment ref="J6" authorId="0">
      <text>
        <r>
          <rPr>
            <sz val="9"/>
            <rFont val="宋体"/>
            <charset val="134"/>
          </rPr>
          <t xml:space="preserve">到付USD321.79转预付2361.55.
</t>
        </r>
      </text>
    </comment>
    <comment ref="J7" authorId="0">
      <text>
        <r>
          <rPr>
            <sz val="9"/>
            <rFont val="宋体"/>
            <charset val="134"/>
          </rPr>
          <t xml:space="preserve">到付USD829.91转预付6070.88.
</t>
        </r>
      </text>
    </comment>
    <comment ref="J8" authorId="0">
      <text>
        <r>
          <rPr>
            <sz val="9"/>
            <rFont val="宋体"/>
            <charset val="134"/>
          </rPr>
          <t xml:space="preserve">到付USD1829.05转预付13360.1
</t>
        </r>
      </text>
    </comment>
    <comment ref="J9" authorId="0">
      <text>
        <r>
          <rPr>
            <sz val="9"/>
            <rFont val="宋体"/>
            <charset val="134"/>
          </rPr>
          <t xml:space="preserve">到付USD587.35转预付4300.07.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到付USD120.43转预付880.38.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到付USD84.73转预付660.29.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到付USD1041.85转预付7525.12.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到付USD5079.32转预付36825.07.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N8" authorId="0">
      <text>
        <r>
          <rPr>
            <sz val="9"/>
            <rFont val="宋体"/>
            <charset val="134"/>
          </rPr>
          <t xml:space="preserve">预付4396.92转到付USD605.63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到付USD160转预付1117.2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到付USD544转预付3916.8 按7.2.
</t>
        </r>
      </text>
    </comment>
    <comment ref="J6" authorId="0">
      <text>
        <r>
          <rPr>
            <sz val="9"/>
            <rFont val="宋体"/>
            <charset val="134"/>
          </rPr>
          <t xml:space="preserve">到付USD2721.6转预付19595.52.
</t>
        </r>
      </text>
    </comment>
    <comment ref="J7" authorId="0">
      <text>
        <r>
          <rPr>
            <sz val="9"/>
            <rFont val="宋体"/>
            <charset val="134"/>
          </rPr>
          <t xml:space="preserve">到付USD4078.77转预付29367.14
</t>
        </r>
      </text>
    </comment>
    <comment ref="J8" authorId="0">
      <text>
        <r>
          <rPr>
            <sz val="9"/>
            <rFont val="宋体"/>
            <charset val="134"/>
          </rPr>
          <t xml:space="preserve">到付USD7952.75转预付57259.8.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到付USD261.2转预付1893.7.
</t>
        </r>
      </text>
    </comment>
    <comment ref="J7" authorId="0">
      <text>
        <r>
          <rPr>
            <sz val="9"/>
            <rFont val="宋体"/>
            <charset val="134"/>
          </rPr>
          <t xml:space="preserve">到付USD533.15转预付3294.7
</t>
        </r>
      </text>
    </comment>
    <comment ref="J8" authorId="0">
      <text>
        <r>
          <rPr>
            <sz val="9"/>
            <rFont val="宋体"/>
            <charset val="134"/>
          </rPr>
          <t xml:space="preserve">到付USD421.08转预付2989.7
</t>
        </r>
      </text>
    </comment>
    <comment ref="J9" authorId="0">
      <text>
        <r>
          <rPr>
            <sz val="9"/>
            <rFont val="宋体"/>
            <charset val="134"/>
          </rPr>
          <t xml:space="preserve">到付USD10589.98转预付74014.5
</t>
        </r>
      </text>
    </comment>
    <comment ref="J10" authorId="0">
      <text>
        <r>
          <rPr>
            <sz val="9"/>
            <rFont val="宋体"/>
            <charset val="134"/>
          </rPr>
          <t xml:space="preserve">到付USD8948.81转预付63805.02
</t>
        </r>
      </text>
    </comment>
    <comment ref="J11" authorId="0">
      <text>
        <r>
          <rPr>
            <sz val="9"/>
            <rFont val="宋体"/>
            <charset val="134"/>
          </rPr>
          <t xml:space="preserve">到付USD14.76转预付106.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到付USD1951.3转预付13912.77
</t>
        </r>
      </text>
    </comment>
    <comment ref="J14" authorId="0">
      <text>
        <r>
          <rPr>
            <sz val="9"/>
            <rFont val="宋体"/>
            <charset val="134"/>
          </rPr>
          <t xml:space="preserve">到付USD7293.91转预付52005.58
</t>
        </r>
      </text>
    </comment>
    <comment ref="J15" authorId="0">
      <text>
        <r>
          <rPr>
            <sz val="9"/>
            <rFont val="宋体"/>
            <charset val="134"/>
          </rPr>
          <t xml:space="preserve">到付USD4560.69转预付32609.
</t>
        </r>
      </text>
    </comment>
    <comment ref="W15" authorId="0">
      <text>
        <r>
          <rPr>
            <sz val="9"/>
            <rFont val="宋体"/>
            <charset val="134"/>
          </rPr>
          <t xml:space="preserve">叉车费
</t>
        </r>
      </text>
    </comment>
    <comment ref="J17" authorId="0">
      <text>
        <r>
          <rPr>
            <sz val="9"/>
            <rFont val="宋体"/>
            <charset val="134"/>
          </rPr>
          <t xml:space="preserve">到付USD45.9转预付330.48.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到付USD8768.55转预付62519.76
</t>
        </r>
      </text>
    </comment>
    <comment ref="J20" authorId="0">
      <text>
        <r>
          <rPr>
            <sz val="9"/>
            <rFont val="宋体"/>
            <charset val="134"/>
          </rPr>
          <t xml:space="preserve">到付USD3475.38转预付24968.54.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到付USD1524.87转预付10979.06
</t>
        </r>
      </text>
    </comment>
    <comment ref="J22" authorId="0">
      <text>
        <r>
          <rPr>
            <sz val="9"/>
            <rFont val="宋体"/>
            <charset val="134"/>
          </rPr>
          <t xml:space="preserve">到付USD5890转预付41995.7
</t>
        </r>
      </text>
    </comment>
    <comment ref="J23" authorId="0">
      <text>
        <r>
          <rPr>
            <sz val="9"/>
            <rFont val="宋体"/>
            <charset val="134"/>
          </rPr>
          <t xml:space="preserve">到付USD1703.6转预付12265.92
</t>
        </r>
      </text>
    </comment>
    <comment ref="J24" authorId="0">
      <text>
        <r>
          <rPr>
            <sz val="9"/>
            <rFont val="宋体"/>
            <charset val="134"/>
          </rPr>
          <t xml:space="preserve">到付USD177.86转预付1280.59.
</t>
        </r>
      </text>
    </comment>
    <comment ref="J25" authorId="0">
      <text>
        <r>
          <rPr>
            <sz val="9"/>
            <rFont val="宋体"/>
            <charset val="134"/>
          </rPr>
          <t xml:space="preserve">到付USD4800.1转预付34224.71
</t>
        </r>
      </text>
    </comment>
    <comment ref="J26" authorId="0">
      <text>
        <r>
          <rPr>
            <sz val="9"/>
            <rFont val="宋体"/>
            <charset val="134"/>
          </rPr>
          <t xml:space="preserve">到付USD185.39转预付1334.81.
</t>
        </r>
      </text>
    </comment>
    <comment ref="J27" authorId="0">
      <text>
        <r>
          <rPr>
            <sz val="9"/>
            <rFont val="宋体"/>
            <charset val="134"/>
          </rPr>
          <t xml:space="preserve">到付USD63.9转预付460.08
</t>
        </r>
      </text>
    </comment>
    <comment ref="J28" authorId="0">
      <text>
        <r>
          <rPr>
            <sz val="9"/>
            <rFont val="宋体"/>
            <charset val="134"/>
          </rPr>
          <t xml:space="preserve">到付USD859.24转预付6208.07
</t>
        </r>
      </text>
    </comment>
    <comment ref="J29" authorId="0">
      <text>
        <r>
          <rPr>
            <sz val="9"/>
            <rFont val="宋体"/>
            <charset val="134"/>
          </rPr>
          <t xml:space="preserve">到付USD877.5转预付6294.95.
</t>
        </r>
      </text>
    </comment>
    <comment ref="J30" authorId="0">
      <text>
        <r>
          <rPr>
            <sz val="9"/>
            <rFont val="宋体"/>
            <charset val="134"/>
          </rPr>
          <t xml:space="preserve">到付USD111.33转预付807.14
</t>
        </r>
      </text>
    </comment>
  </commentList>
</comments>
</file>

<file path=xl/sharedStrings.xml><?xml version="1.0" encoding="utf-8"?>
<sst xmlns="http://schemas.openxmlformats.org/spreadsheetml/2006/main" count="771" uniqueCount="149">
  <si>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</si>
  <si>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</si>
  <si>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</si>
  <si>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</si>
  <si>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</si>
  <si>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</si>
  <si>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</si>
  <si>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</si>
  <si>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</si>
  <si>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</si>
  <si>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</si>
  <si>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</si>
  <si>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</si>
  <si>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</si>
  <si>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</si>
  <si>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</si>
  <si>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</si>
  <si>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</si>
  <si>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</si>
  <si>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</si>
  <si>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</si>
  <si>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</si>
  <si>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</si>
  <si>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</si>
  <si>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</si>
  <si>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</si>
  <si>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</si>
  <si>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</si>
  <si>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</si>
  <si>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</si>
  <si>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</si>
  <si>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</si>
  <si>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</si>
  <si>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</si>
  <si>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</si>
  <si>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</si>
  <si>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JOB070344</t>
  </si>
  <si>
    <t>COLL004043</t>
  </si>
  <si>
    <t>黄颖</t>
  </si>
  <si>
    <t>ying</t>
  </si>
  <si>
    <t>baikaibo</t>
  </si>
  <si>
    <t>华茂青松=60177 
赛捷=1300</t>
  </si>
  <si>
    <t>Sunday Adelena</t>
  </si>
  <si>
    <t>Huangpu</t>
  </si>
  <si>
    <t>JOB070370</t>
  </si>
  <si>
    <t>COLL004070</t>
  </si>
  <si>
    <t>华茂青松=60177 
赛捷=2300</t>
  </si>
  <si>
    <t>liangyu</t>
  </si>
  <si>
    <t>Nura</t>
  </si>
  <si>
    <t>chuks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</si>
  <si>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</si>
  <si>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</si>
  <si>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</si>
  <si>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</si>
  <si>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</si>
  <si>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</si>
  <si>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</si>
  <si>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</si>
  <si>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</si>
  <si>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任务</t>
  </si>
  <si>
    <t>基本任务：3.5万以上</t>
  </si>
  <si>
    <t>按50%提成</t>
  </si>
  <si>
    <t>提成计数</t>
  </si>
  <si>
    <t>基数</t>
  </si>
  <si>
    <t>提成计数40%</t>
  </si>
  <si>
    <t>提成金额</t>
  </si>
  <si>
    <t>实提成计数</t>
  </si>
  <si>
    <t>提成点数50%</t>
  </si>
  <si>
    <t>合计提成金额</t>
  </si>
  <si>
    <t>Bella</t>
  </si>
  <si>
    <t>Bella Chan</t>
  </si>
  <si>
    <t>James</t>
  </si>
  <si>
    <t>zhong zi xin</t>
  </si>
  <si>
    <t>三凤 提成</t>
  </si>
  <si>
    <t>备注</t>
  </si>
  <si>
    <t>总利润减james
利润的
一半186.8</t>
  </si>
  <si>
    <t>提成点数</t>
  </si>
  <si>
    <t>朱小飞</t>
  </si>
  <si>
    <t>Isabel Zhu</t>
  </si>
  <si>
    <t>Halifa Success</t>
  </si>
  <si>
    <t>Wang Hui Feng</t>
  </si>
  <si>
    <t>Lilon</t>
  </si>
  <si>
    <t>Victor Nnamdi</t>
  </si>
  <si>
    <t>Mr Michael</t>
  </si>
  <si>
    <t>合计</t>
  </si>
  <si>
    <t>朱小飞 提成</t>
  </si>
  <si>
    <t>总利润减Halifa
利润的
一半1888.28</t>
  </si>
  <si>
    <t>吕沛霖</t>
  </si>
  <si>
    <t>喵喵速运-Layne</t>
  </si>
  <si>
    <t>YA</t>
  </si>
  <si>
    <t>Jinggang Pan</t>
  </si>
  <si>
    <t>KE ZONG</t>
  </si>
  <si>
    <t>JOB070349</t>
  </si>
  <si>
    <t>COLL004049</t>
  </si>
  <si>
    <t>华茂青松=60177
赛捷=800</t>
  </si>
  <si>
    <t>Candice Ding</t>
  </si>
  <si>
    <t>吕沛霖 提成</t>
  </si>
  <si>
    <t>下个月基数为</t>
  </si>
  <si>
    <t>罗伟健</t>
  </si>
  <si>
    <t>MailMail速运-演员</t>
  </si>
  <si>
    <t>zeng hai</t>
  </si>
  <si>
    <t>罗伟健 提成</t>
  </si>
  <si>
    <t>JOB070375</t>
  </si>
  <si>
    <t>COLL004074</t>
  </si>
  <si>
    <t>苏慧琪</t>
  </si>
  <si>
    <t>Danny</t>
  </si>
  <si>
    <t>Austin Efe</t>
  </si>
  <si>
    <t>苏慧琪 提成</t>
  </si>
  <si>
    <t>陆总</t>
  </si>
  <si>
    <t>喵喵速运-江</t>
  </si>
  <si>
    <t>LUZHILONG</t>
  </si>
  <si>
    <t>陆总 提成</t>
  </si>
  <si>
    <t>Sam.Pao</t>
  </si>
  <si>
    <t>TOLUBOD MOVERS</t>
  </si>
  <si>
    <t>JunYue hotel</t>
  </si>
  <si>
    <t>Mr. Jiang</t>
  </si>
  <si>
    <t>LuZhiLong</t>
  </si>
  <si>
    <t>SKY JET</t>
  </si>
  <si>
    <t>MaiKaiNian</t>
  </si>
  <si>
    <t>JOB070360</t>
  </si>
  <si>
    <t>COLL004060</t>
  </si>
  <si>
    <t>Joshua</t>
  </si>
  <si>
    <t>华茂青松=60177 
赛捷=1500</t>
  </si>
  <si>
    <t>Ikenna</t>
  </si>
  <si>
    <t>Yusky</t>
  </si>
  <si>
    <t>浦生 提成</t>
  </si>
  <si>
    <t>无人</t>
  </si>
  <si>
    <t>Mailmail Abv sales person 1</t>
  </si>
  <si>
    <t>Adams</t>
  </si>
  <si>
    <t>无人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</si>
  <si>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7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</si>
  <si>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</si>
  <si>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</si>
  <si>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</si>
  <si>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</si>
  <si>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</si>
  <si>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</si>
  <si>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</si>
  <si>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</si>
  <si>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</si>
  <si>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</si>
  <si>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小飞6-7月份原方案10%
（减james利润的一半186.8）</t>
  </si>
  <si>
    <t>小飞6-7月份原方案10%
（Halifa利润的一半1888.28）</t>
  </si>
  <si>
    <t>空运毛利4210.15加海运3605.09=7815.24，不达标</t>
  </si>
  <si>
    <t>不够基数，下个月基本数为8595.81</t>
  </si>
  <si>
    <t>浦海森</t>
  </si>
  <si>
    <t>领款人：</t>
  </si>
  <si>
    <t>日期：</t>
  </si>
  <si>
    <t>确认人：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</si>
</sst>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_ "/>
    <numFmt numFmtId="183" formatCode="&quot;US$&quot;#,##0.00;\-&quot;US$&quot;#,##0.00"/>
    <numFmt numFmtId="184" formatCode="_ * #,##0.00_ ;_ * \-#,##0.00_ ;_ * &quot;-&quot;_ ;_ @_ "/>
    <numFmt numFmtId="185" formatCode="0.0000_ "/>
  </numFmts>
  <fonts count="5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1"/>
      <color theme="5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theme="1"/>
      <name val="宋体"/>
      <charset val="134"/>
    </font>
    <font>
      <b/>
      <sz val="1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19" applyNumberFormat="0" applyAlignment="0" applyProtection="0">
      <alignment vertical="center"/>
    </xf>
    <xf numFmtId="0" fontId="40" fillId="14" borderId="20" applyNumberFormat="0" applyAlignment="0" applyProtection="0">
      <alignment vertical="center"/>
    </xf>
    <xf numFmtId="0" fontId="41" fillId="14" borderId="19" applyNumberFormat="0" applyAlignment="0" applyProtection="0">
      <alignment vertical="center"/>
    </xf>
    <xf numFmtId="0" fontId="42" fillId="15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>
      <alignment vertical="center"/>
    </xf>
    <xf numFmtId="0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176" fontId="2" fillId="3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2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180" fontId="19" fillId="6" borderId="14" xfId="1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176" fontId="15" fillId="5" borderId="6" xfId="0" applyNumberFormat="1" applyFont="1" applyFill="1" applyBorder="1" applyAlignment="1">
      <alignment horizontal="center" vertical="center"/>
    </xf>
    <xf numFmtId="182" fontId="15" fillId="5" borderId="7" xfId="0" applyNumberFormat="1" applyFont="1" applyFill="1" applyBorder="1" applyAlignment="1">
      <alignment horizontal="center" vertical="center"/>
    </xf>
    <xf numFmtId="183" fontId="15" fillId="5" borderId="7" xfId="0" applyNumberFormat="1" applyFont="1" applyFill="1" applyBorder="1" applyAlignment="1">
      <alignment horizontal="center" vertical="center"/>
    </xf>
    <xf numFmtId="0" fontId="15" fillId="5" borderId="7" xfId="0" applyNumberFormat="1" applyFont="1" applyFill="1" applyBorder="1" applyAlignment="1">
      <alignment horizontal="center" vertical="center"/>
    </xf>
    <xf numFmtId="176" fontId="22" fillId="0" borderId="5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2" fontId="23" fillId="5" borderId="2" xfId="0" applyNumberFormat="1" applyFont="1" applyFill="1" applyBorder="1" applyAlignment="1">
      <alignment horizontal="center" vertical="center" wrapText="1"/>
    </xf>
    <xf numFmtId="183" fontId="23" fillId="5" borderId="2" xfId="0" applyNumberFormat="1" applyFont="1" applyFill="1" applyBorder="1" applyAlignment="1">
      <alignment horizontal="center" vertical="center" wrapText="1"/>
    </xf>
    <xf numFmtId="183" fontId="17" fillId="5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Fill="1" applyBorder="1" applyAlignment="1">
      <alignment horizontal="right" vertical="center"/>
    </xf>
    <xf numFmtId="181" fontId="20" fillId="0" borderId="2" xfId="0" applyNumberFormat="1" applyFont="1" applyFill="1" applyBorder="1" applyAlignment="1">
      <alignment vertical="center"/>
    </xf>
    <xf numFmtId="176" fontId="20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vertical="center"/>
    </xf>
    <xf numFmtId="183" fontId="20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horizontal="center" vertical="center"/>
    </xf>
    <xf numFmtId="183" fontId="26" fillId="0" borderId="2" xfId="0" applyNumberFormat="1" applyFont="1" applyFill="1" applyBorder="1" applyAlignment="1">
      <alignment vertical="center"/>
    </xf>
    <xf numFmtId="0" fontId="0" fillId="3" borderId="10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176" fontId="17" fillId="9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17" fillId="0" borderId="7" xfId="0" applyNumberFormat="1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176" fontId="24" fillId="0" borderId="8" xfId="0" applyNumberFormat="1" applyFont="1" applyFill="1" applyBorder="1" applyAlignment="1">
      <alignment horizontal="center" vertical="center" wrapText="1"/>
    </xf>
    <xf numFmtId="7" fontId="27" fillId="5" borderId="3" xfId="0" applyNumberFormat="1" applyFont="1" applyFill="1" applyBorder="1" applyAlignment="1">
      <alignment horizontal="center" vertical="center" wrapText="1"/>
    </xf>
    <xf numFmtId="176" fontId="15" fillId="3" borderId="14" xfId="0" applyNumberFormat="1" applyFont="1" applyFill="1" applyBorder="1" applyAlignment="1">
      <alignment horizontal="center" vertical="center"/>
    </xf>
    <xf numFmtId="184" fontId="28" fillId="9" borderId="2" xfId="4" applyNumberFormat="1" applyFont="1" applyFill="1" applyBorder="1" applyAlignment="1">
      <alignment horizontal="center" vertical="center"/>
    </xf>
    <xf numFmtId="176" fontId="25" fillId="9" borderId="2" xfId="4" applyNumberFormat="1" applyFont="1" applyFill="1" applyBorder="1" applyAlignment="1">
      <alignment horizontal="center" vertical="center"/>
    </xf>
    <xf numFmtId="184" fontId="25" fillId="0" borderId="2" xfId="4" applyNumberFormat="1" applyFont="1" applyFill="1" applyBorder="1" applyAlignment="1">
      <alignment horizontal="center" vertical="center"/>
    </xf>
    <xf numFmtId="176" fontId="25" fillId="0" borderId="2" xfId="4" applyNumberFormat="1" applyFont="1" applyFill="1" applyBorder="1" applyAlignment="1">
      <alignment horizontal="center" vertical="center"/>
    </xf>
    <xf numFmtId="176" fontId="24" fillId="0" borderId="15" xfId="0" applyNumberFormat="1" applyFont="1" applyFill="1" applyBorder="1" applyAlignment="1">
      <alignment horizontal="center" vertical="center" wrapText="1"/>
    </xf>
    <xf numFmtId="7" fontId="27" fillId="5" borderId="14" xfId="0" applyNumberFormat="1" applyFont="1" applyFill="1" applyBorder="1" applyAlignment="1">
      <alignment horizontal="center" vertical="center" wrapText="1"/>
    </xf>
    <xf numFmtId="176" fontId="21" fillId="0" borderId="1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/>
    </xf>
    <xf numFmtId="7" fontId="21" fillId="0" borderId="2" xfId="0" applyNumberFormat="1" applyFont="1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3" fontId="24" fillId="5" borderId="2" xfId="0" applyNumberFormat="1" applyFont="1" applyFill="1" applyBorder="1" applyAlignment="1">
      <alignment horizontal="center" vertical="center"/>
    </xf>
    <xf numFmtId="182" fontId="24" fillId="5" borderId="2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176" fontId="15" fillId="7" borderId="3" xfId="0" applyNumberFormat="1" applyFont="1" applyFill="1" applyBorder="1" applyAlignment="1">
      <alignment horizontal="center" vertical="center"/>
    </xf>
    <xf numFmtId="183" fontId="29" fillId="5" borderId="2" xfId="0" applyNumberFormat="1" applyFont="1" applyFill="1" applyBorder="1" applyAlignment="1">
      <alignment vertical="center" wrapText="1"/>
    </xf>
    <xf numFmtId="183" fontId="24" fillId="5" borderId="2" xfId="0" applyNumberFormat="1" applyFont="1" applyFill="1" applyBorder="1" applyAlignment="1">
      <alignment horizontal="right" vertical="center"/>
    </xf>
    <xf numFmtId="182" fontId="27" fillId="5" borderId="2" xfId="0" applyNumberFormat="1" applyFont="1" applyFill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3" borderId="2" xfId="0" applyNumberFormat="1" applyFont="1" applyFill="1" applyBorder="1" applyAlignment="1">
      <alignment horizontal="center" vertical="center"/>
    </xf>
    <xf numFmtId="176" fontId="15" fillId="7" borderId="4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vertical="center"/>
    </xf>
    <xf numFmtId="182" fontId="21" fillId="0" borderId="2" xfId="0" applyNumberFormat="1" applyFont="1" applyFill="1" applyBorder="1" applyAlignment="1">
      <alignment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vertical="center"/>
    </xf>
    <xf numFmtId="176" fontId="26" fillId="0" borderId="2" xfId="0" applyNumberFormat="1" applyFont="1" applyFill="1" applyBorder="1" applyAlignment="1">
      <alignment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 wrapText="1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9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2" xfId="0" applyNumberFormat="1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30" fillId="7" borderId="2" xfId="0" applyFont="1" applyFill="1" applyBorder="1" applyAlignment="1">
      <alignment horizontal="center" vertical="center"/>
    </xf>
    <xf numFmtId="176" fontId="30" fillId="7" borderId="2" xfId="0" applyNumberFormat="1" applyFont="1" applyFill="1" applyBorder="1" applyAlignment="1">
      <alignment horizontal="center" vertical="center"/>
    </xf>
    <xf numFmtId="176" fontId="16" fillId="0" borderId="2" xfId="0" applyNumberFormat="1" applyFont="1" applyBorder="1">
      <alignment vertical="center"/>
    </xf>
    <xf numFmtId="0" fontId="20" fillId="5" borderId="2" xfId="0" applyFont="1" applyFill="1" applyBorder="1" applyAlignment="1">
      <alignment vertical="center"/>
    </xf>
    <xf numFmtId="185" fontId="20" fillId="0" borderId="2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1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16" fillId="0" borderId="0" xfId="0" applyNumberFormat="1" applyFont="1" applyFill="1" applyBorder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76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176" fontId="0" fillId="11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7"/>
  <sheetViews>
    <sheetView workbookViewId="0">
      <pane xSplit="14" ySplit="4" topLeftCell="O10" activePane="bottomRight" state="frozen"/>
      <selection/>
      <selection pane="topRight"/>
      <selection pane="bottomLeft"/>
      <selection pane="bottomRight" activeCell="M33" sqref="M33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4" customWidth="1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25.5" spans="1:32">
      <c r="A5" s="100" t="s">
        <v>36</v>
      </c>
      <c r="B5" s="101" t="s">
        <v>37</v>
      </c>
      <c r="C5" s="102">
        <v>240624000034</v>
      </c>
      <c r="D5" s="103">
        <v>45477</v>
      </c>
      <c r="E5" s="103" t="s">
        <v>38</v>
      </c>
      <c r="F5" s="101" t="s">
        <v>39</v>
      </c>
      <c r="G5" s="101" t="s">
        <v>40</v>
      </c>
      <c r="H5" s="101">
        <v>3.024</v>
      </c>
      <c r="I5" s="123">
        <v>2000</v>
      </c>
      <c r="J5" s="124"/>
      <c r="K5" s="125">
        <v>2320436</v>
      </c>
      <c r="L5" s="126"/>
      <c r="M5" s="127">
        <v>1651.86155445136</v>
      </c>
      <c r="N5" s="128">
        <v>1404.74</v>
      </c>
      <c r="O5" s="101">
        <v>7.12</v>
      </c>
      <c r="P5" s="124">
        <v>10001.7488</v>
      </c>
      <c r="Q5" s="181">
        <v>63897.48236</v>
      </c>
      <c r="R5" s="182" t="s">
        <v>41</v>
      </c>
      <c r="S5" s="158">
        <v>2733.91835294118</v>
      </c>
      <c r="T5" s="158"/>
      <c r="U5" s="158">
        <v>55.5882352941177</v>
      </c>
      <c r="V5" s="158"/>
      <c r="W5" s="158"/>
      <c r="X5" s="159">
        <v>2789.50658823529</v>
      </c>
      <c r="Y5" s="173">
        <v>473.178176470588</v>
      </c>
      <c r="Z5" s="173">
        <v>5.49</v>
      </c>
      <c r="AA5" s="173"/>
      <c r="AB5" s="173">
        <v>478.668176470588</v>
      </c>
      <c r="AC5" s="174">
        <v>7.1</v>
      </c>
      <c r="AD5" s="158">
        <v>3398.54405294118</v>
      </c>
      <c r="AE5" s="158">
        <v>6188.05064117647</v>
      </c>
      <c r="AF5" s="158">
        <v>3813.69815882353</v>
      </c>
    </row>
    <row r="6" s="87" customFormat="1" ht="12.75" spans="1:32">
      <c r="A6" s="100"/>
      <c r="B6" s="101"/>
      <c r="C6" s="102">
        <v>240624000036</v>
      </c>
      <c r="D6" s="103">
        <v>45478</v>
      </c>
      <c r="E6" s="103" t="s">
        <v>38</v>
      </c>
      <c r="F6" s="101" t="s">
        <v>39</v>
      </c>
      <c r="G6" s="101" t="s">
        <v>42</v>
      </c>
      <c r="H6" s="101">
        <v>10.2263</v>
      </c>
      <c r="I6" s="123">
        <v>7008</v>
      </c>
      <c r="J6" s="179">
        <v>26828</v>
      </c>
      <c r="K6" s="174"/>
      <c r="L6" s="126"/>
      <c r="M6" s="127"/>
      <c r="N6" s="126"/>
      <c r="O6" s="101"/>
      <c r="P6" s="124">
        <v>26828</v>
      </c>
      <c r="Q6" s="157"/>
      <c r="R6" s="157"/>
      <c r="S6" s="158">
        <v>9245.32713382353</v>
      </c>
      <c r="T6" s="158"/>
      <c r="U6" s="158">
        <v>187.983455882353</v>
      </c>
      <c r="V6" s="158">
        <v>120</v>
      </c>
      <c r="W6" s="158"/>
      <c r="X6" s="159">
        <v>9553.31058970588</v>
      </c>
      <c r="Y6" s="173">
        <v>1600.15277316176</v>
      </c>
      <c r="Z6" s="173"/>
      <c r="AA6" s="173"/>
      <c r="AB6" s="173">
        <v>1600.15277316176</v>
      </c>
      <c r="AC6" s="174">
        <v>7.1</v>
      </c>
      <c r="AD6" s="158">
        <v>11361.0846894485</v>
      </c>
      <c r="AE6" s="158">
        <v>20914.3952791544</v>
      </c>
      <c r="AF6" s="158">
        <v>5913.6047208456</v>
      </c>
    </row>
    <row r="7" s="87" customFormat="1" ht="12.75" spans="1:32">
      <c r="A7" s="100"/>
      <c r="B7" s="101"/>
      <c r="C7" s="102">
        <v>240628000020</v>
      </c>
      <c r="D7" s="103">
        <v>45477</v>
      </c>
      <c r="E7" s="103" t="s">
        <v>38</v>
      </c>
      <c r="F7" s="101" t="s">
        <v>39</v>
      </c>
      <c r="G7" s="101" t="s">
        <v>40</v>
      </c>
      <c r="H7" s="101">
        <v>0.472</v>
      </c>
      <c r="I7" s="123">
        <v>420</v>
      </c>
      <c r="J7" s="124"/>
      <c r="K7" s="125">
        <v>439900</v>
      </c>
      <c r="L7" s="126"/>
      <c r="M7" s="127">
        <v>1705.03875968992</v>
      </c>
      <c r="N7" s="128">
        <v>258</v>
      </c>
      <c r="O7" s="101">
        <v>7.12</v>
      </c>
      <c r="P7" s="124">
        <v>1836.96</v>
      </c>
      <c r="Q7" s="157"/>
      <c r="R7" s="157"/>
      <c r="S7" s="158">
        <v>426.722705882353</v>
      </c>
      <c r="T7" s="158"/>
      <c r="U7" s="158">
        <v>8.67647058823529</v>
      </c>
      <c r="V7" s="158"/>
      <c r="W7" s="158"/>
      <c r="X7" s="159">
        <v>435.399176470588</v>
      </c>
      <c r="Y7" s="173">
        <v>73.8558529411765</v>
      </c>
      <c r="Z7" s="173"/>
      <c r="AA7" s="173"/>
      <c r="AB7" s="173">
        <v>73.8558529411765</v>
      </c>
      <c r="AC7" s="174">
        <v>7.1</v>
      </c>
      <c r="AD7" s="158">
        <v>524.376555882353</v>
      </c>
      <c r="AE7" s="158">
        <v>959.775732352941</v>
      </c>
      <c r="AF7" s="158">
        <v>877.184267647059</v>
      </c>
    </row>
    <row r="8" s="87" customFormat="1" ht="12.75" spans="1:32">
      <c r="A8" s="100"/>
      <c r="B8" s="101"/>
      <c r="C8" s="102">
        <v>240617000035</v>
      </c>
      <c r="D8" s="103">
        <v>45490</v>
      </c>
      <c r="E8" s="103" t="s">
        <v>38</v>
      </c>
      <c r="F8" s="101" t="s">
        <v>39</v>
      </c>
      <c r="G8" s="101" t="s">
        <v>43</v>
      </c>
      <c r="H8" s="101">
        <v>0.0887</v>
      </c>
      <c r="I8" s="123">
        <v>106</v>
      </c>
      <c r="J8" s="179">
        <v>332</v>
      </c>
      <c r="K8" s="174"/>
      <c r="L8" s="126"/>
      <c r="M8" s="127"/>
      <c r="N8" s="126"/>
      <c r="O8" s="101"/>
      <c r="P8" s="124">
        <v>332</v>
      </c>
      <c r="Q8" s="181"/>
      <c r="R8" s="181"/>
      <c r="S8" s="158">
        <v>80.1913220588235</v>
      </c>
      <c r="T8" s="158"/>
      <c r="U8" s="158">
        <v>1.63051470588235</v>
      </c>
      <c r="V8" s="158"/>
      <c r="W8" s="158"/>
      <c r="X8" s="159">
        <v>81.8218367647059</v>
      </c>
      <c r="Y8" s="173">
        <v>13.8792672794118</v>
      </c>
      <c r="Z8" s="173"/>
      <c r="AA8" s="173"/>
      <c r="AB8" s="173">
        <v>13.8792672794118</v>
      </c>
      <c r="AC8" s="174">
        <v>7.1</v>
      </c>
      <c r="AD8" s="158">
        <v>98.5427976838235</v>
      </c>
      <c r="AE8" s="158">
        <v>180.364634448529</v>
      </c>
      <c r="AF8" s="158">
        <v>151.635365551471</v>
      </c>
    </row>
    <row r="9" s="87" customFormat="1" ht="12.75" spans="1:32">
      <c r="A9" s="100"/>
      <c r="B9" s="101"/>
      <c r="C9" s="102">
        <v>240624000036</v>
      </c>
      <c r="D9" s="103">
        <v>45478</v>
      </c>
      <c r="E9" s="103" t="s">
        <v>38</v>
      </c>
      <c r="F9" s="101" t="s">
        <v>39</v>
      </c>
      <c r="G9" s="101" t="s">
        <v>42</v>
      </c>
      <c r="H9" s="101">
        <v>1.1026</v>
      </c>
      <c r="I9" s="101">
        <v>1089</v>
      </c>
      <c r="J9" s="179">
        <v>2892</v>
      </c>
      <c r="K9" s="174"/>
      <c r="L9" s="126"/>
      <c r="M9" s="127"/>
      <c r="N9" s="126"/>
      <c r="O9" s="101"/>
      <c r="P9" s="124">
        <v>2892</v>
      </c>
      <c r="Q9" s="157"/>
      <c r="R9" s="157"/>
      <c r="S9" s="158">
        <v>988.724120588235</v>
      </c>
      <c r="T9" s="158">
        <v>2.03689135294118</v>
      </c>
      <c r="U9" s="158">
        <v>18.6469117647059</v>
      </c>
      <c r="V9" s="158">
        <v>120</v>
      </c>
      <c r="W9" s="158"/>
      <c r="X9" s="159">
        <v>1129.40792370588</v>
      </c>
      <c r="Y9" s="173">
        <v>171.5397515</v>
      </c>
      <c r="Z9" s="173"/>
      <c r="AA9" s="173">
        <v>0.939317911764706</v>
      </c>
      <c r="AB9" s="173">
        <v>172.479069411765</v>
      </c>
      <c r="AC9" s="174">
        <v>7.1</v>
      </c>
      <c r="AD9" s="158">
        <v>1224.60139282353</v>
      </c>
      <c r="AE9" s="158">
        <v>2354.00931652941</v>
      </c>
      <c r="AF9" s="158">
        <v>537.99068347059</v>
      </c>
    </row>
    <row r="10" s="87" customFormat="1" ht="12.75" spans="1:32">
      <c r="A10" s="100"/>
      <c r="B10" s="101"/>
      <c r="C10" s="102">
        <v>240624000037</v>
      </c>
      <c r="D10" s="103">
        <v>45478</v>
      </c>
      <c r="E10" s="103" t="s">
        <v>38</v>
      </c>
      <c r="F10" s="101" t="s">
        <v>39</v>
      </c>
      <c r="G10" s="101" t="s">
        <v>42</v>
      </c>
      <c r="H10" s="101">
        <v>14.6754</v>
      </c>
      <c r="I10" s="101">
        <v>11776.5</v>
      </c>
      <c r="J10" s="179">
        <v>43280</v>
      </c>
      <c r="K10" s="174"/>
      <c r="L10" s="126"/>
      <c r="M10" s="127"/>
      <c r="N10" s="126"/>
      <c r="O10" s="101"/>
      <c r="P10" s="124">
        <v>43280</v>
      </c>
      <c r="Q10" s="157"/>
      <c r="R10" s="157"/>
      <c r="S10" s="158">
        <v>13159.7333205882</v>
      </c>
      <c r="T10" s="158">
        <v>27.1106433529412</v>
      </c>
      <c r="U10" s="158">
        <v>248.186911764706</v>
      </c>
      <c r="V10" s="158"/>
      <c r="W10" s="158"/>
      <c r="X10" s="159">
        <v>13435.0308757059</v>
      </c>
      <c r="Y10" s="173">
        <v>2283.1620435</v>
      </c>
      <c r="Z10" s="173"/>
      <c r="AA10" s="173">
        <v>12.5021459117647</v>
      </c>
      <c r="AB10" s="173">
        <v>2295.66418941176</v>
      </c>
      <c r="AC10" s="174">
        <v>7.1</v>
      </c>
      <c r="AD10" s="158">
        <v>16299.2157448235</v>
      </c>
      <c r="AE10" s="158">
        <v>29734.2466205294</v>
      </c>
      <c r="AF10" s="158">
        <v>13545.7533794706</v>
      </c>
    </row>
    <row r="11" s="87" customFormat="1" ht="12.75" spans="1:32">
      <c r="A11" s="100"/>
      <c r="B11" s="101"/>
      <c r="C11" s="102">
        <v>240617000035</v>
      </c>
      <c r="D11" s="103">
        <v>45490</v>
      </c>
      <c r="E11" s="103" t="s">
        <v>38</v>
      </c>
      <c r="F11" s="101" t="s">
        <v>39</v>
      </c>
      <c r="G11" s="101" t="s">
        <v>43</v>
      </c>
      <c r="H11" s="101">
        <v>1.6952</v>
      </c>
      <c r="I11" s="101">
        <v>322.7</v>
      </c>
      <c r="J11" s="179">
        <v>6330</v>
      </c>
      <c r="K11" s="174"/>
      <c r="L11" s="126"/>
      <c r="M11" s="127"/>
      <c r="N11" s="126"/>
      <c r="O11" s="101"/>
      <c r="P11" s="124">
        <v>6330</v>
      </c>
      <c r="Q11" s="181"/>
      <c r="R11" s="181"/>
      <c r="S11" s="158">
        <v>1520.12074117647</v>
      </c>
      <c r="T11" s="158">
        <v>3.13163270588235</v>
      </c>
      <c r="U11" s="158">
        <v>28.6688235294118</v>
      </c>
      <c r="V11" s="158"/>
      <c r="W11" s="158"/>
      <c r="X11" s="159">
        <v>1551.92119741176</v>
      </c>
      <c r="Y11" s="173">
        <v>263.734978</v>
      </c>
      <c r="Z11" s="173"/>
      <c r="AA11" s="173">
        <v>1.44416082352941</v>
      </c>
      <c r="AB11" s="173">
        <v>265.179138823529</v>
      </c>
      <c r="AC11" s="174">
        <v>7.1</v>
      </c>
      <c r="AD11" s="158">
        <v>1882.77188564706</v>
      </c>
      <c r="AE11" s="158">
        <v>3434.69308305882</v>
      </c>
      <c r="AF11" s="158">
        <v>2895.30691694118</v>
      </c>
    </row>
    <row r="12" s="87" customFormat="1" ht="12.75" spans="1:32">
      <c r="A12" s="100"/>
      <c r="B12" s="101"/>
      <c r="C12" s="102">
        <v>240617000035</v>
      </c>
      <c r="D12" s="103">
        <v>45490</v>
      </c>
      <c r="E12" s="103" t="s">
        <v>38</v>
      </c>
      <c r="F12" s="101" t="s">
        <v>39</v>
      </c>
      <c r="G12" s="101" t="s">
        <v>43</v>
      </c>
      <c r="H12" s="101">
        <v>12.8123</v>
      </c>
      <c r="I12" s="101">
        <v>5331.1</v>
      </c>
      <c r="J12" s="179">
        <v>47840</v>
      </c>
      <c r="K12" s="174"/>
      <c r="L12" s="126"/>
      <c r="M12" s="127"/>
      <c r="N12" s="126"/>
      <c r="O12" s="101"/>
      <c r="P12" s="124">
        <v>47840</v>
      </c>
      <c r="Q12" s="181"/>
      <c r="R12" s="181"/>
      <c r="S12" s="158">
        <v>11620.9445161765</v>
      </c>
      <c r="T12" s="158"/>
      <c r="U12" s="158">
        <v>414.515588235294</v>
      </c>
      <c r="V12" s="158"/>
      <c r="W12" s="158"/>
      <c r="X12" s="159">
        <v>12035.4601044118</v>
      </c>
      <c r="Y12" s="173">
        <v>1928.62609819118</v>
      </c>
      <c r="Z12" s="173"/>
      <c r="AA12" s="173">
        <v>14.6738518235294</v>
      </c>
      <c r="AB12" s="173">
        <v>1943.29995001471</v>
      </c>
      <c r="AC12" s="174">
        <v>7.12</v>
      </c>
      <c r="AD12" s="158">
        <v>13836.2956441047</v>
      </c>
      <c r="AE12" s="158">
        <v>25871.7557485165</v>
      </c>
      <c r="AF12" s="158">
        <v>21968.2442514835</v>
      </c>
    </row>
    <row r="13" s="87" customFormat="1" ht="25.5" spans="1:32">
      <c r="A13" s="100" t="s">
        <v>44</v>
      </c>
      <c r="B13" s="101" t="s">
        <v>45</v>
      </c>
      <c r="C13" s="102">
        <v>240617000035</v>
      </c>
      <c r="D13" s="103">
        <v>45490</v>
      </c>
      <c r="E13" s="103" t="s">
        <v>38</v>
      </c>
      <c r="F13" s="101" t="s">
        <v>39</v>
      </c>
      <c r="G13" s="101" t="s">
        <v>43</v>
      </c>
      <c r="H13" s="101">
        <v>4.9371</v>
      </c>
      <c r="I13" s="101">
        <v>11872</v>
      </c>
      <c r="J13" s="179">
        <v>18452</v>
      </c>
      <c r="K13" s="174"/>
      <c r="L13" s="126"/>
      <c r="M13" s="127"/>
      <c r="N13" s="126"/>
      <c r="O13" s="101"/>
      <c r="P13" s="124">
        <v>18452</v>
      </c>
      <c r="Q13" s="181">
        <v>36956.949839</v>
      </c>
      <c r="R13" s="182" t="s">
        <v>46</v>
      </c>
      <c r="S13" s="158">
        <v>4536.10583382353</v>
      </c>
      <c r="T13" s="158">
        <v>770</v>
      </c>
      <c r="U13" s="158">
        <v>174.250588235294</v>
      </c>
      <c r="V13" s="158"/>
      <c r="W13" s="158">
        <v>2630</v>
      </c>
      <c r="X13" s="159">
        <v>8110.35642205882</v>
      </c>
      <c r="Y13" s="173">
        <v>743.178032779412</v>
      </c>
      <c r="Z13" s="173">
        <v>471.98</v>
      </c>
      <c r="AA13" s="173">
        <v>2.57019617647059</v>
      </c>
      <c r="AB13" s="173">
        <v>1217.72822895588</v>
      </c>
      <c r="AC13" s="174">
        <v>7.26</v>
      </c>
      <c r="AD13" s="158">
        <v>8840.70694221971</v>
      </c>
      <c r="AE13" s="158">
        <v>16951.0633642785</v>
      </c>
      <c r="AF13" s="158">
        <v>1500.93663572147</v>
      </c>
    </row>
    <row r="14" s="87" customFormat="1" ht="12.75" spans="1:32">
      <c r="A14" s="100"/>
      <c r="B14" s="101"/>
      <c r="C14" s="102">
        <v>240702000004</v>
      </c>
      <c r="D14" s="103">
        <v>45490</v>
      </c>
      <c r="E14" s="103" t="s">
        <v>38</v>
      </c>
      <c r="F14" s="101" t="s">
        <v>39</v>
      </c>
      <c r="G14" s="101" t="s">
        <v>47</v>
      </c>
      <c r="H14" s="101">
        <v>1.9054</v>
      </c>
      <c r="I14" s="101">
        <v>586.7</v>
      </c>
      <c r="J14" s="179">
        <v>7303</v>
      </c>
      <c r="K14" s="174"/>
      <c r="L14" s="126"/>
      <c r="M14" s="127"/>
      <c r="N14" s="126"/>
      <c r="O14" s="101"/>
      <c r="P14" s="124">
        <v>7303</v>
      </c>
      <c r="Q14" s="157"/>
      <c r="R14" s="157"/>
      <c r="S14" s="158">
        <v>1750.64229117647</v>
      </c>
      <c r="T14" s="158"/>
      <c r="U14" s="158">
        <v>67.2494117647059</v>
      </c>
      <c r="V14" s="158"/>
      <c r="W14" s="158"/>
      <c r="X14" s="159">
        <v>1817.89170294118</v>
      </c>
      <c r="Y14" s="173">
        <v>286.818460970588</v>
      </c>
      <c r="Z14" s="173"/>
      <c r="AA14" s="173">
        <v>0.991928823529412</v>
      </c>
      <c r="AB14" s="173">
        <v>287.810389794118</v>
      </c>
      <c r="AC14" s="174">
        <v>7.26</v>
      </c>
      <c r="AD14" s="158">
        <v>2089.50342990529</v>
      </c>
      <c r="AE14" s="158">
        <v>3907.39513284647</v>
      </c>
      <c r="AF14" s="158">
        <v>3395.60486715353</v>
      </c>
    </row>
    <row r="15" s="87" customFormat="1" ht="12.75" spans="1:32">
      <c r="A15" s="100"/>
      <c r="B15" s="101"/>
      <c r="C15" s="102">
        <v>240716000022</v>
      </c>
      <c r="D15" s="103">
        <v>45498</v>
      </c>
      <c r="E15" s="103" t="s">
        <v>38</v>
      </c>
      <c r="F15" s="101" t="s">
        <v>39</v>
      </c>
      <c r="G15" s="101" t="s">
        <v>43</v>
      </c>
      <c r="H15" s="101">
        <v>0.0648</v>
      </c>
      <c r="I15" s="101">
        <v>67.5</v>
      </c>
      <c r="J15" s="179">
        <v>630</v>
      </c>
      <c r="K15" s="174"/>
      <c r="L15" s="126"/>
      <c r="M15" s="127"/>
      <c r="N15" s="126"/>
      <c r="O15" s="101"/>
      <c r="P15" s="124">
        <v>630</v>
      </c>
      <c r="Q15" s="157"/>
      <c r="R15" s="157"/>
      <c r="S15" s="158">
        <v>58.5839647058824</v>
      </c>
      <c r="T15" s="158">
        <v>0.571764705882353</v>
      </c>
      <c r="U15" s="158">
        <v>1.09588235294118</v>
      </c>
      <c r="V15" s="158"/>
      <c r="W15" s="158"/>
      <c r="X15" s="159">
        <v>60.2516117647059</v>
      </c>
      <c r="Y15" s="173">
        <v>10.0157262352941</v>
      </c>
      <c r="Z15" s="173">
        <v>30.54</v>
      </c>
      <c r="AA15" s="173">
        <v>0.0337341176470588</v>
      </c>
      <c r="AB15" s="173">
        <v>40.5894603529412</v>
      </c>
      <c r="AC15" s="174">
        <v>7.06</v>
      </c>
      <c r="AD15" s="158">
        <v>286.561590091765</v>
      </c>
      <c r="AE15" s="158">
        <v>346.813201856471</v>
      </c>
      <c r="AF15" s="158">
        <v>283.186798143529</v>
      </c>
    </row>
    <row r="16" s="87" customFormat="1" ht="12.75" spans="1:32">
      <c r="A16" s="100"/>
      <c r="B16" s="101"/>
      <c r="C16" s="102">
        <v>240717000017</v>
      </c>
      <c r="D16" s="103">
        <v>45498</v>
      </c>
      <c r="E16" s="103" t="s">
        <v>38</v>
      </c>
      <c r="F16" s="101" t="s">
        <v>39</v>
      </c>
      <c r="G16" s="101" t="s">
        <v>48</v>
      </c>
      <c r="H16" s="101">
        <v>0.6221</v>
      </c>
      <c r="I16" s="101">
        <v>294</v>
      </c>
      <c r="J16" s="179">
        <v>1390</v>
      </c>
      <c r="K16" s="174"/>
      <c r="L16" s="126"/>
      <c r="M16" s="127"/>
      <c r="N16" s="126"/>
      <c r="O16" s="101"/>
      <c r="P16" s="124">
        <v>1390</v>
      </c>
      <c r="Q16" s="157"/>
      <c r="R16" s="157"/>
      <c r="S16" s="158">
        <v>562.424142647059</v>
      </c>
      <c r="T16" s="158">
        <v>5.48911764705882</v>
      </c>
      <c r="U16" s="158">
        <v>10.5208088235294</v>
      </c>
      <c r="V16" s="158"/>
      <c r="W16" s="158"/>
      <c r="X16" s="159">
        <v>578.434069117647</v>
      </c>
      <c r="Y16" s="173">
        <v>96.1540631323529</v>
      </c>
      <c r="Z16" s="173"/>
      <c r="AA16" s="173">
        <v>0.323857941176471</v>
      </c>
      <c r="AB16" s="173">
        <v>96.4779210735294</v>
      </c>
      <c r="AC16" s="174">
        <v>7.06</v>
      </c>
      <c r="AD16" s="158">
        <v>681.134122779118</v>
      </c>
      <c r="AE16" s="158">
        <v>1259.56819189676</v>
      </c>
      <c r="AF16" s="158">
        <v>130.431808103235</v>
      </c>
    </row>
    <row r="17" s="87" customFormat="1" ht="12.75" spans="1:32">
      <c r="A17" s="100"/>
      <c r="B17" s="101"/>
      <c r="C17" s="102">
        <v>240718000030</v>
      </c>
      <c r="D17" s="103">
        <v>45498</v>
      </c>
      <c r="E17" s="103" t="s">
        <v>38</v>
      </c>
      <c r="F17" s="101" t="s">
        <v>39</v>
      </c>
      <c r="G17" s="101" t="s">
        <v>47</v>
      </c>
      <c r="H17" s="101">
        <v>0.2438</v>
      </c>
      <c r="I17" s="101">
        <v>26.5</v>
      </c>
      <c r="J17" s="179">
        <v>606.5</v>
      </c>
      <c r="K17" s="174"/>
      <c r="L17" s="126"/>
      <c r="M17" s="127"/>
      <c r="N17" s="126"/>
      <c r="O17" s="101"/>
      <c r="P17" s="124">
        <v>606.5</v>
      </c>
      <c r="Q17" s="157"/>
      <c r="R17" s="157"/>
      <c r="S17" s="158">
        <v>220.413126470588</v>
      </c>
      <c r="T17" s="158">
        <v>2.15117647058824</v>
      </c>
      <c r="U17" s="158">
        <v>4.12308823529412</v>
      </c>
      <c r="V17" s="158"/>
      <c r="W17" s="158"/>
      <c r="X17" s="159">
        <v>226.687391176471</v>
      </c>
      <c r="Y17" s="173">
        <v>37.6826243235294</v>
      </c>
      <c r="Z17" s="173"/>
      <c r="AA17" s="173">
        <v>0.126919411764706</v>
      </c>
      <c r="AB17" s="173">
        <v>37.8095437352941</v>
      </c>
      <c r="AC17" s="174">
        <v>7.06</v>
      </c>
      <c r="AD17" s="158">
        <v>266.935378771176</v>
      </c>
      <c r="AE17" s="158">
        <v>493.622769947647</v>
      </c>
      <c r="AF17" s="158">
        <v>112.877230052353</v>
      </c>
    </row>
    <row r="18" s="87" customFormat="1" ht="12.75" spans="1:32">
      <c r="A18" s="100"/>
      <c r="B18" s="101"/>
      <c r="C18" s="102">
        <v>240719000002</v>
      </c>
      <c r="D18" s="103">
        <v>45498</v>
      </c>
      <c r="E18" s="103" t="s">
        <v>38</v>
      </c>
      <c r="F18" s="101" t="s">
        <v>39</v>
      </c>
      <c r="G18" s="101" t="s">
        <v>49</v>
      </c>
      <c r="H18" s="101">
        <v>0.8911</v>
      </c>
      <c r="I18" s="101">
        <v>332</v>
      </c>
      <c r="J18" s="179">
        <v>2500</v>
      </c>
      <c r="K18" s="174"/>
      <c r="L18" s="126"/>
      <c r="M18" s="127"/>
      <c r="N18" s="126"/>
      <c r="O18" s="101"/>
      <c r="P18" s="124">
        <v>2500</v>
      </c>
      <c r="Q18" s="157"/>
      <c r="R18" s="157"/>
      <c r="S18" s="158">
        <v>805.619922058824</v>
      </c>
      <c r="T18" s="158">
        <v>7.86264705882353</v>
      </c>
      <c r="U18" s="158">
        <v>15.0700735294118</v>
      </c>
      <c r="V18" s="158"/>
      <c r="W18" s="158"/>
      <c r="X18" s="159">
        <v>828.552642647059</v>
      </c>
      <c r="Y18" s="173">
        <v>137.731692102941</v>
      </c>
      <c r="Z18" s="173">
        <v>41.3</v>
      </c>
      <c r="AA18" s="173">
        <v>0.463896176470588</v>
      </c>
      <c r="AB18" s="173">
        <v>179.495588279412</v>
      </c>
      <c r="AC18" s="174">
        <v>7.06</v>
      </c>
      <c r="AD18" s="158">
        <v>1267.23885325265</v>
      </c>
      <c r="AE18" s="158">
        <v>2095.79149589971</v>
      </c>
      <c r="AF18" s="158">
        <v>404.20850410029</v>
      </c>
    </row>
    <row r="19" s="87" customFormat="1" ht="12.75" spans="1:32">
      <c r="A19" s="100"/>
      <c r="B19" s="101"/>
      <c r="C19" s="102">
        <v>240724000014</v>
      </c>
      <c r="D19" s="103">
        <v>45498</v>
      </c>
      <c r="E19" s="103" t="s">
        <v>38</v>
      </c>
      <c r="F19" s="101" t="s">
        <v>39</v>
      </c>
      <c r="G19" s="101" t="s">
        <v>43</v>
      </c>
      <c r="H19" s="101">
        <v>0.2732</v>
      </c>
      <c r="I19" s="101">
        <v>264</v>
      </c>
      <c r="J19" s="179">
        <v>894</v>
      </c>
      <c r="K19" s="174"/>
      <c r="L19" s="126"/>
      <c r="M19" s="127"/>
      <c r="N19" s="126"/>
      <c r="O19" s="101"/>
      <c r="P19" s="124">
        <v>894</v>
      </c>
      <c r="Q19" s="157"/>
      <c r="R19" s="157"/>
      <c r="S19" s="158">
        <v>246.992888235294</v>
      </c>
      <c r="T19" s="158">
        <v>2.41058823529412</v>
      </c>
      <c r="U19" s="158">
        <v>4.62029411764706</v>
      </c>
      <c r="V19" s="158"/>
      <c r="W19" s="158"/>
      <c r="X19" s="159">
        <v>254.023770588235</v>
      </c>
      <c r="Y19" s="173">
        <v>42.2267964117647</v>
      </c>
      <c r="Z19" s="173"/>
      <c r="AA19" s="173">
        <v>0.142224705882353</v>
      </c>
      <c r="AB19" s="173">
        <v>42.3690211176471</v>
      </c>
      <c r="AC19" s="174">
        <v>7.06</v>
      </c>
      <c r="AD19" s="158">
        <v>299.125289090588</v>
      </c>
      <c r="AE19" s="158">
        <v>553.149059678824</v>
      </c>
      <c r="AF19" s="158">
        <v>340.850940321176</v>
      </c>
    </row>
    <row r="20" spans="1:32">
      <c r="A20" s="211" t="s">
        <v>50</v>
      </c>
      <c r="B20" s="21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76"/>
      <c r="AC20" s="176"/>
      <c r="AD20" s="176"/>
      <c r="AE20" s="176"/>
      <c r="AF20" s="176">
        <f>SUM(AF5:AF19)</f>
        <v>55871.5145278291</v>
      </c>
    </row>
    <row r="21" s="184" customFormat="1" ht="20" customHeight="1" spans="1:25">
      <c r="A21" s="1"/>
      <c r="B21" s="1"/>
      <c r="D21" s="190"/>
      <c r="E21" s="190"/>
      <c r="F21" s="213"/>
      <c r="G21" s="213"/>
      <c r="H21" s="213"/>
      <c r="I21" s="141"/>
      <c r="J21" s="141"/>
      <c r="K21" s="141"/>
      <c r="L21" s="141"/>
      <c r="M21" s="191"/>
      <c r="N21" s="141"/>
      <c r="O21" s="141"/>
      <c r="P21" s="141"/>
      <c r="Q21" s="141"/>
      <c r="R21" s="191"/>
      <c r="S21" s="191"/>
      <c r="T21" s="191"/>
      <c r="U21" s="191"/>
      <c r="V21" s="191"/>
      <c r="W21" s="191"/>
      <c r="X21" s="191"/>
      <c r="Y21" s="191"/>
    </row>
    <row r="22" s="1" customFormat="1" ht="23" customHeight="1" spans="3:16">
      <c r="C22" s="72" t="s">
        <v>51</v>
      </c>
      <c r="D22" s="72"/>
      <c r="E22" s="72"/>
      <c r="F22" s="108" t="s">
        <v>52</v>
      </c>
      <c r="G22" s="109"/>
      <c r="H22" s="109"/>
      <c r="I22" s="129"/>
      <c r="J22"/>
      <c r="K22" s="134" t="s">
        <v>53</v>
      </c>
      <c r="L22" s="134"/>
      <c r="M22" s="134"/>
      <c r="N22"/>
      <c r="O22"/>
      <c r="P22"/>
    </row>
    <row r="23" s="1" customFormat="1" ht="23" customHeight="1" spans="3:16">
      <c r="C23" s="72"/>
      <c r="D23" s="72"/>
      <c r="E23" s="72"/>
      <c r="F23" s="110"/>
      <c r="G23" s="111"/>
      <c r="H23" s="111"/>
      <c r="I23" s="133"/>
      <c r="J23"/>
      <c r="K23" s="134" t="s">
        <v>54</v>
      </c>
      <c r="L23" s="134" t="s">
        <v>8</v>
      </c>
      <c r="M23" s="134" t="s">
        <v>55</v>
      </c>
      <c r="N23"/>
      <c r="O23"/>
      <c r="P23"/>
    </row>
    <row r="24" s="1" customFormat="1" ht="23" customHeight="1" spans="3:16">
      <c r="C24" s="72" t="s">
        <v>56</v>
      </c>
      <c r="D24" s="72"/>
      <c r="E24" s="72"/>
      <c r="F24" s="79" t="s">
        <v>57</v>
      </c>
      <c r="G24" s="80"/>
      <c r="H24" s="80"/>
      <c r="I24" s="81"/>
      <c r="J24"/>
      <c r="K24" s="134" t="s">
        <v>58</v>
      </c>
      <c r="L24" s="135">
        <f>SUM(H5:H19)</f>
        <v>53.034</v>
      </c>
      <c r="M24" s="136">
        <f>SUM(AF20)</f>
        <v>55871.5145278291</v>
      </c>
      <c r="N24"/>
      <c r="O24"/>
      <c r="P24"/>
    </row>
    <row r="25" s="1" customFormat="1" ht="23" customHeight="1" spans="3:16">
      <c r="C25" s="72"/>
      <c r="D25" s="72"/>
      <c r="E25" s="72"/>
      <c r="F25" s="82"/>
      <c r="G25" s="83"/>
      <c r="H25" s="83"/>
      <c r="I25" s="84"/>
      <c r="J25"/>
      <c r="K25" s="216" t="s">
        <v>59</v>
      </c>
      <c r="L25" s="217"/>
      <c r="M25" s="218">
        <v>6000</v>
      </c>
      <c r="N25"/>
      <c r="O25"/>
      <c r="P25"/>
    </row>
    <row r="26" s="1" customFormat="1" ht="23" customHeight="1" spans="3:16">
      <c r="C26" s="72" t="s">
        <v>60</v>
      </c>
      <c r="D26" s="72"/>
      <c r="E26" s="72"/>
      <c r="F26" s="79" t="s">
        <v>61</v>
      </c>
      <c r="G26" s="80"/>
      <c r="H26" s="80"/>
      <c r="I26" s="81"/>
      <c r="J26"/>
      <c r="K26" s="216" t="s">
        <v>62</v>
      </c>
      <c r="L26" s="217"/>
      <c r="M26" s="218">
        <f>SUM(M24-M25)</f>
        <v>49871.5145278291</v>
      </c>
      <c r="N26"/>
      <c r="O26"/>
      <c r="P26"/>
    </row>
    <row r="27" s="1" customFormat="1" ht="23" customHeight="1" spans="3:16">
      <c r="C27" s="72"/>
      <c r="D27" s="72"/>
      <c r="E27" s="72"/>
      <c r="F27" s="82"/>
      <c r="G27" s="83"/>
      <c r="H27" s="83"/>
      <c r="I27" s="84"/>
      <c r="J27"/>
      <c r="K27" s="219" t="s">
        <v>63</v>
      </c>
      <c r="L27" s="220"/>
      <c r="M27" s="221">
        <v>35000</v>
      </c>
      <c r="N27"/>
      <c r="O27"/>
      <c r="P27"/>
    </row>
    <row r="28" s="1" customFormat="1" ht="23" customHeight="1" spans="3:16">
      <c r="C28" s="214"/>
      <c r="D28" s="214"/>
      <c r="E28" s="214"/>
      <c r="F28" s="215"/>
      <c r="G28" s="215"/>
      <c r="H28" s="215"/>
      <c r="I28" s="215"/>
      <c r="J28"/>
      <c r="K28" s="219" t="s">
        <v>64</v>
      </c>
      <c r="L28" s="220"/>
      <c r="M28" s="219">
        <v>0.4</v>
      </c>
      <c r="N28"/>
      <c r="O28"/>
      <c r="P28"/>
    </row>
    <row r="29" s="1" customFormat="1" ht="23" customHeight="1" spans="3:16">
      <c r="C29" s="214"/>
      <c r="D29" s="214"/>
      <c r="E29" s="214"/>
      <c r="F29" s="215"/>
      <c r="G29" s="215"/>
      <c r="H29" s="215"/>
      <c r="I29" s="215"/>
      <c r="J29"/>
      <c r="K29" s="219" t="s">
        <v>65</v>
      </c>
      <c r="L29" s="220"/>
      <c r="M29" s="221">
        <f>SUM(M27*M28)</f>
        <v>14000</v>
      </c>
      <c r="N29"/>
      <c r="O29"/>
      <c r="P29"/>
    </row>
    <row r="30" s="1" customFormat="1" ht="23" customHeight="1" spans="5:16">
      <c r="E30"/>
      <c r="F30"/>
      <c r="G30"/>
      <c r="H30"/>
      <c r="I30"/>
      <c r="J30"/>
      <c r="K30" s="222" t="s">
        <v>66</v>
      </c>
      <c r="L30" s="223"/>
      <c r="M30" s="224">
        <f>SUM(M26-M27)</f>
        <v>14871.5145278291</v>
      </c>
      <c r="N30"/>
      <c r="O30"/>
      <c r="P30"/>
    </row>
    <row r="31" s="1" customFormat="1" ht="23" customHeight="1" spans="5:16">
      <c r="E31"/>
      <c r="F31"/>
      <c r="G31"/>
      <c r="H31"/>
      <c r="I31"/>
      <c r="J31"/>
      <c r="K31" s="222" t="s">
        <v>67</v>
      </c>
      <c r="L31" s="223"/>
      <c r="M31" s="222">
        <v>0.5</v>
      </c>
      <c r="N31"/>
      <c r="O31"/>
      <c r="P31"/>
    </row>
    <row r="32" s="1" customFormat="1" ht="23" customHeight="1" spans="5:17">
      <c r="E32"/>
      <c r="F32" s="213"/>
      <c r="G32" s="213"/>
      <c r="H32" s="213"/>
      <c r="I32" s="141"/>
      <c r="J32" s="141"/>
      <c r="K32" s="222" t="s">
        <v>65</v>
      </c>
      <c r="L32" s="223"/>
      <c r="M32" s="224">
        <f>SUM(M30*M31)</f>
        <v>7435.75726391455</v>
      </c>
      <c r="N32" s="141"/>
      <c r="O32" s="141"/>
      <c r="P32" s="141"/>
      <c r="Q32" s="141"/>
    </row>
    <row r="33" s="1" customFormat="1" ht="23" customHeight="1" spans="5:17">
      <c r="E33"/>
      <c r="F33" s="213"/>
      <c r="G33" s="213"/>
      <c r="H33" s="213"/>
      <c r="I33" s="141"/>
      <c r="J33" s="141"/>
      <c r="K33" s="137" t="s">
        <v>68</v>
      </c>
      <c r="L33" s="225"/>
      <c r="M33" s="138">
        <f>SUM(M29+M32)</f>
        <v>21435.7572639146</v>
      </c>
      <c r="N33"/>
      <c r="O33"/>
      <c r="P33"/>
      <c r="Q33"/>
    </row>
    <row r="34" s="1" customFormat="1" ht="23" customHeight="1" spans="5:19">
      <c r="E34"/>
      <c r="F34" s="213"/>
      <c r="G34" s="213"/>
      <c r="H34" s="213"/>
      <c r="I34" s="141"/>
      <c r="J34" s="141"/>
      <c r="K34" s="141"/>
      <c r="L34" s="141"/>
      <c r="N34"/>
      <c r="O34"/>
      <c r="P34"/>
      <c r="Q34"/>
      <c r="S34" s="38"/>
    </row>
    <row r="35" ht="25" customHeight="1" spans="6:13">
      <c r="F35" s="213"/>
      <c r="G35" s="213"/>
      <c r="H35" s="213"/>
      <c r="I35" s="141"/>
      <c r="J35" s="141"/>
      <c r="K35" s="141"/>
      <c r="L35" s="141"/>
      <c r="M35" s="1"/>
    </row>
    <row r="36" spans="6:16">
      <c r="F36" s="213"/>
      <c r="G36" s="213"/>
      <c r="H36" s="213"/>
      <c r="I36" s="141"/>
      <c r="J36" s="141"/>
      <c r="K36" s="141"/>
      <c r="L36" s="141"/>
      <c r="M36" s="1"/>
      <c r="N36" s="1"/>
      <c r="O36" s="1"/>
      <c r="P36" s="1"/>
    </row>
    <row r="37" spans="6:12">
      <c r="F37" s="213"/>
      <c r="G37" s="213"/>
      <c r="H37" s="213"/>
      <c r="I37" s="141"/>
      <c r="J37" s="141"/>
      <c r="K37" s="141"/>
      <c r="L37" s="141"/>
    </row>
  </sheetData>
  <autoFilter xmlns:etc="http://www.wps.cn/officeDocument/2017/etCustomData" ref="A3:AB20" etc:filterBottomFollowUsedRange="0">
    <extLst/>
  </autoFilter>
  <mergeCells count="24">
    <mergeCell ref="J3:P3"/>
    <mergeCell ref="R3:V3"/>
    <mergeCell ref="Y3:AD3"/>
    <mergeCell ref="A20:B20"/>
    <mergeCell ref="K22:M2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22:E23"/>
    <mergeCell ref="C24:E25"/>
    <mergeCell ref="F24:I25"/>
    <mergeCell ref="C26:E27"/>
    <mergeCell ref="F26:I27"/>
    <mergeCell ref="F22:I23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"/>
  <sheetViews>
    <sheetView workbookViewId="0">
      <pane xSplit="15" ySplit="3" topLeftCell="P4" activePane="bottomRight" state="frozen"/>
      <selection/>
      <selection pane="topRight"/>
      <selection pane="bottomLeft"/>
      <selection pane="bottomRight" activeCell="M13" sqref="M13"/>
    </sheetView>
  </sheetViews>
  <sheetFormatPr defaultColWidth="9" defaultRowHeight="13.5"/>
  <cols>
    <col min="3" max="3" width="13.125" customWidth="1"/>
    <col min="4" max="4" width="12.125"/>
    <col min="6" max="6" width="11.125"/>
    <col min="8" max="8" width="10.125"/>
    <col min="9" max="9" width="11.125"/>
    <col min="10" max="10" width="11.25"/>
    <col min="11" max="11" width="10"/>
    <col min="12" max="12" width="9" customWidth="1"/>
    <col min="13" max="13" width="14.5" customWidth="1"/>
    <col min="14" max="14" width="10.25" customWidth="1"/>
    <col min="15" max="15" width="13.625"/>
    <col min="16" max="17" width="12.875"/>
    <col min="18" max="18" width="12.5" customWidth="1"/>
    <col min="19" max="19" width="10.1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10.125"/>
    <col min="31" max="31" width="13.625"/>
    <col min="32" max="32" width="12.625"/>
  </cols>
  <sheetData>
    <row r="1" customFormat="1" ht="27" customHeight="1" spans="1:25">
      <c r="A1" s="69" t="s">
        <v>0</v>
      </c>
      <c r="T1" s="4"/>
      <c r="U1" s="4"/>
      <c r="V1" s="4"/>
      <c r="W1" s="4"/>
      <c r="X1" s="4"/>
      <c r="Y1" s="4"/>
    </row>
    <row r="2" s="86" customFormat="1" ht="23" customHeight="1" spans="1:32">
      <c r="A2" s="90" t="s">
        <v>1</v>
      </c>
      <c r="B2" s="91" t="s">
        <v>2</v>
      </c>
      <c r="C2" s="92" t="s">
        <v>3</v>
      </c>
      <c r="D2" s="93" t="s">
        <v>4</v>
      </c>
      <c r="E2" s="94" t="s">
        <v>5</v>
      </c>
      <c r="F2" s="95" t="s">
        <v>6</v>
      </c>
      <c r="G2" s="95" t="s">
        <v>7</v>
      </c>
      <c r="H2" s="95" t="s">
        <v>8</v>
      </c>
      <c r="I2" s="95" t="s">
        <v>9</v>
      </c>
      <c r="J2" s="112" t="s">
        <v>10</v>
      </c>
      <c r="K2" s="113"/>
      <c r="L2" s="114"/>
      <c r="M2" s="113"/>
      <c r="N2" s="114"/>
      <c r="O2" s="115"/>
      <c r="P2" s="116"/>
      <c r="Q2" s="142" t="s">
        <v>11</v>
      </c>
      <c r="R2" s="143" t="s">
        <v>12</v>
      </c>
      <c r="S2" s="144"/>
      <c r="T2" s="145"/>
      <c r="U2" s="146"/>
      <c r="V2" s="147"/>
      <c r="W2" s="148" t="s">
        <v>13</v>
      </c>
      <c r="X2" s="149" t="s">
        <v>14</v>
      </c>
      <c r="Y2" s="163" t="s">
        <v>15</v>
      </c>
      <c r="Z2" s="163"/>
      <c r="AA2" s="163"/>
      <c r="AB2" s="163"/>
      <c r="AC2" s="164"/>
      <c r="AD2" s="163"/>
      <c r="AE2" s="165" t="s">
        <v>16</v>
      </c>
      <c r="AF2" s="166" t="s">
        <v>17</v>
      </c>
    </row>
    <row r="3" s="86" customFormat="1" ht="27" customHeight="1" spans="1:32">
      <c r="A3" s="96"/>
      <c r="B3" s="97"/>
      <c r="C3" s="92"/>
      <c r="D3" s="93"/>
      <c r="E3" s="98"/>
      <c r="F3" s="99"/>
      <c r="G3" s="99"/>
      <c r="H3" s="99"/>
      <c r="I3" s="99"/>
      <c r="J3" s="117" t="s">
        <v>18</v>
      </c>
      <c r="K3" s="118" t="s">
        <v>19</v>
      </c>
      <c r="L3" s="119" t="s">
        <v>20</v>
      </c>
      <c r="M3" s="118" t="s">
        <v>21</v>
      </c>
      <c r="N3" s="120" t="s">
        <v>22</v>
      </c>
      <c r="O3" s="121" t="s">
        <v>23</v>
      </c>
      <c r="P3" s="122" t="s">
        <v>24</v>
      </c>
      <c r="Q3" s="150"/>
      <c r="R3" s="151" t="s">
        <v>25</v>
      </c>
      <c r="S3" s="152" t="s">
        <v>26</v>
      </c>
      <c r="T3" s="153" t="s">
        <v>27</v>
      </c>
      <c r="U3" s="154" t="s">
        <v>28</v>
      </c>
      <c r="V3" s="153" t="s">
        <v>29</v>
      </c>
      <c r="W3" s="155"/>
      <c r="X3" s="156"/>
      <c r="Y3" s="167" t="s">
        <v>30</v>
      </c>
      <c r="Z3" s="167" t="s">
        <v>31</v>
      </c>
      <c r="AA3" s="167" t="s">
        <v>32</v>
      </c>
      <c r="AB3" s="168" t="s">
        <v>33</v>
      </c>
      <c r="AC3" s="169" t="s">
        <v>34</v>
      </c>
      <c r="AD3" s="170" t="s">
        <v>24</v>
      </c>
      <c r="AE3" s="171" t="s">
        <v>35</v>
      </c>
      <c r="AF3" s="172"/>
    </row>
    <row r="4" s="87" customFormat="1" ht="12.75" spans="1:32">
      <c r="A4" s="100"/>
      <c r="B4" s="101"/>
      <c r="C4" s="102">
        <v>240711000027</v>
      </c>
      <c r="D4" s="103">
        <v>45490</v>
      </c>
      <c r="E4" s="103" t="s">
        <v>69</v>
      </c>
      <c r="F4" s="101" t="s">
        <v>70</v>
      </c>
      <c r="G4" s="101" t="s">
        <v>71</v>
      </c>
      <c r="H4" s="101">
        <v>0.8466</v>
      </c>
      <c r="I4" s="101">
        <v>370</v>
      </c>
      <c r="J4" s="124"/>
      <c r="K4" s="174"/>
      <c r="L4" s="128">
        <v>296.31</v>
      </c>
      <c r="M4" s="127">
        <v>0</v>
      </c>
      <c r="N4" s="128">
        <v>296.31006</v>
      </c>
      <c r="O4" s="101">
        <v>7.12</v>
      </c>
      <c r="P4" s="124">
        <v>2109.7276272</v>
      </c>
      <c r="Q4" s="157"/>
      <c r="R4" s="157"/>
      <c r="S4" s="158">
        <v>777.83865</v>
      </c>
      <c r="T4" s="158"/>
      <c r="U4" s="158">
        <v>29.88</v>
      </c>
      <c r="V4" s="158"/>
      <c r="W4" s="158"/>
      <c r="X4" s="159">
        <v>807.71865</v>
      </c>
      <c r="Y4" s="173">
        <v>127.4380755</v>
      </c>
      <c r="Z4" s="173"/>
      <c r="AA4" s="173">
        <v>0.44073</v>
      </c>
      <c r="AB4" s="173">
        <v>127.8788055</v>
      </c>
      <c r="AC4" s="174">
        <v>7.26</v>
      </c>
      <c r="AD4" s="158">
        <v>928.40012793</v>
      </c>
      <c r="AE4" s="158">
        <v>1736.11877793</v>
      </c>
      <c r="AF4" s="158">
        <v>373.60884927</v>
      </c>
    </row>
    <row r="5" s="87" customFormat="1" ht="12.75" spans="1:32">
      <c r="A5" s="100"/>
      <c r="B5" s="101"/>
      <c r="C5" s="102">
        <v>240724000026</v>
      </c>
      <c r="D5" s="103">
        <v>45498</v>
      </c>
      <c r="E5" s="103" t="s">
        <v>69</v>
      </c>
      <c r="F5" s="101" t="s">
        <v>70</v>
      </c>
      <c r="G5" s="101" t="s">
        <v>72</v>
      </c>
      <c r="H5" s="101">
        <v>15.7603</v>
      </c>
      <c r="I5" s="101">
        <v>8373</v>
      </c>
      <c r="J5" s="124"/>
      <c r="K5" s="125">
        <v>8696280.67</v>
      </c>
      <c r="L5" s="126"/>
      <c r="M5" s="127">
        <v>1710.99730255107</v>
      </c>
      <c r="N5" s="128">
        <v>5082.58</v>
      </c>
      <c r="O5" s="101">
        <v>7.12</v>
      </c>
      <c r="P5" s="124">
        <v>36187.9696</v>
      </c>
      <c r="Q5" s="157"/>
      <c r="R5" s="157"/>
      <c r="S5" s="158">
        <v>14248.4700455882</v>
      </c>
      <c r="T5" s="158">
        <v>139.061470588235</v>
      </c>
      <c r="U5" s="158">
        <v>266.534485294118</v>
      </c>
      <c r="V5" s="158"/>
      <c r="W5" s="158"/>
      <c r="X5" s="159">
        <v>14654.0660014706</v>
      </c>
      <c r="Y5" s="173">
        <v>2435.96991027941</v>
      </c>
      <c r="Z5" s="173">
        <v>217.7</v>
      </c>
      <c r="AA5" s="173">
        <v>8.20462676470588</v>
      </c>
      <c r="AB5" s="173">
        <v>2661.87453704412</v>
      </c>
      <c r="AC5" s="174">
        <v>7.06</v>
      </c>
      <c r="AD5" s="158">
        <v>18792.8342315315</v>
      </c>
      <c r="AE5" s="158">
        <v>33446.9002330021</v>
      </c>
      <c r="AF5" s="158">
        <v>2741.06936699794</v>
      </c>
    </row>
    <row r="6" customFormat="1" spans="1:32">
      <c r="A6" s="211" t="s">
        <v>50</v>
      </c>
      <c r="B6" s="21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76"/>
      <c r="AC6" s="176"/>
      <c r="AD6" s="176"/>
      <c r="AE6" s="176"/>
      <c r="AF6" s="176">
        <f>SUM(AF4:AF5)</f>
        <v>3114.67821626794</v>
      </c>
    </row>
    <row r="7" s="184" customFormat="1" ht="22" customHeight="1" spans="1:32">
      <c r="A7" s="1"/>
      <c r="B7" s="1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7"/>
      <c r="T7" s="197"/>
      <c r="U7" s="197"/>
      <c r="V7" s="197"/>
      <c r="W7" s="197"/>
      <c r="X7" s="197"/>
      <c r="Y7" s="197"/>
      <c r="AF7" s="191">
        <f>SUM(AF4/2)</f>
        <v>186.804424635</v>
      </c>
    </row>
    <row r="8" s="1" customFormat="1" ht="23" customHeight="1" spans="3:32">
      <c r="C8" s="72" t="s">
        <v>51</v>
      </c>
      <c r="D8" s="72"/>
      <c r="E8" s="72"/>
      <c r="F8" s="108" t="s">
        <v>52</v>
      </c>
      <c r="G8" s="109"/>
      <c r="H8" s="109"/>
      <c r="I8" s="129"/>
      <c r="J8"/>
      <c r="K8" s="134" t="s">
        <v>73</v>
      </c>
      <c r="L8" s="134"/>
      <c r="M8" s="134"/>
      <c r="N8" s="134"/>
      <c r="O8"/>
      <c r="P8"/>
      <c r="AF8" s="66">
        <f>SUM(AF6-AF7)</f>
        <v>2927.87379163294</v>
      </c>
    </row>
    <row r="9" s="1" customFormat="1" ht="23" customHeight="1" spans="3:16">
      <c r="C9" s="72"/>
      <c r="D9" s="72"/>
      <c r="E9" s="72"/>
      <c r="F9" s="110"/>
      <c r="G9" s="111"/>
      <c r="H9" s="111"/>
      <c r="I9" s="133"/>
      <c r="J9"/>
      <c r="K9" s="206" t="s">
        <v>54</v>
      </c>
      <c r="L9" s="206" t="s">
        <v>8</v>
      </c>
      <c r="M9" s="206" t="s">
        <v>55</v>
      </c>
      <c r="N9" s="206" t="s">
        <v>74</v>
      </c>
      <c r="O9"/>
      <c r="P9"/>
    </row>
    <row r="10" s="1" customFormat="1" ht="23" customHeight="1" spans="3:16">
      <c r="C10" s="72" t="s">
        <v>56</v>
      </c>
      <c r="D10" s="72"/>
      <c r="E10" s="72"/>
      <c r="F10" s="79" t="s">
        <v>57</v>
      </c>
      <c r="G10" s="80"/>
      <c r="H10" s="80"/>
      <c r="I10" s="81"/>
      <c r="J10"/>
      <c r="K10" s="134" t="s">
        <v>58</v>
      </c>
      <c r="L10" s="135">
        <f>SUM(H2:H5)</f>
        <v>16.6069</v>
      </c>
      <c r="M10" s="136">
        <v>2927.87379163294</v>
      </c>
      <c r="N10" s="207" t="s">
        <v>75</v>
      </c>
      <c r="O10"/>
      <c r="P10"/>
    </row>
    <row r="11" s="1" customFormat="1" ht="23" customHeight="1" spans="3:16">
      <c r="C11" s="72"/>
      <c r="D11" s="72"/>
      <c r="E11" s="72"/>
      <c r="F11" s="82"/>
      <c r="G11" s="83"/>
      <c r="H11" s="83"/>
      <c r="I11" s="84"/>
      <c r="J11"/>
      <c r="K11" s="137" t="s">
        <v>63</v>
      </c>
      <c r="L11" s="137"/>
      <c r="M11" s="138"/>
      <c r="N11" s="208"/>
      <c r="O11"/>
      <c r="P11"/>
    </row>
    <row r="12" s="1" customFormat="1" ht="23" customHeight="1" spans="3:16">
      <c r="C12" s="72" t="s">
        <v>60</v>
      </c>
      <c r="D12" s="72"/>
      <c r="E12" s="72"/>
      <c r="F12" s="79" t="s">
        <v>61</v>
      </c>
      <c r="G12" s="80"/>
      <c r="H12" s="80"/>
      <c r="I12" s="81"/>
      <c r="J12"/>
      <c r="K12" s="139" t="s">
        <v>62</v>
      </c>
      <c r="L12" s="139"/>
      <c r="M12" s="140"/>
      <c r="N12" s="208"/>
      <c r="O12"/>
      <c r="P12"/>
    </row>
    <row r="13" s="1" customFormat="1" ht="23" customHeight="1" spans="3:16">
      <c r="C13" s="72"/>
      <c r="D13" s="72"/>
      <c r="E13" s="72"/>
      <c r="F13" s="82"/>
      <c r="G13" s="83"/>
      <c r="H13" s="83"/>
      <c r="I13" s="84"/>
      <c r="J13"/>
      <c r="K13" s="134" t="s">
        <v>76</v>
      </c>
      <c r="L13" s="134"/>
      <c r="M13" s="134">
        <v>0.1</v>
      </c>
      <c r="N13" s="208"/>
      <c r="O13"/>
      <c r="P13"/>
    </row>
    <row r="14" s="1" customFormat="1" ht="23" customHeight="1" spans="5:16">
      <c r="E14"/>
      <c r="F14"/>
      <c r="G14"/>
      <c r="H14"/>
      <c r="I14"/>
      <c r="J14"/>
      <c r="K14" s="137" t="s">
        <v>65</v>
      </c>
      <c r="L14" s="137"/>
      <c r="M14" s="138">
        <f>SUM(M10*M13)</f>
        <v>292.787379163294</v>
      </c>
      <c r="N14" s="209"/>
      <c r="O14"/>
      <c r="P14"/>
    </row>
    <row r="15" s="1" customFormat="1" ht="23" customHeight="1" spans="5:16">
      <c r="E15"/>
      <c r="F15"/>
      <c r="G15"/>
      <c r="H15"/>
      <c r="I15"/>
      <c r="J15"/>
      <c r="K15"/>
      <c r="L15"/>
      <c r="M15"/>
      <c r="N15"/>
      <c r="O15"/>
      <c r="P15"/>
    </row>
    <row r="16" s="1" customFormat="1" ht="23" customHeight="1" spans="5:15">
      <c r="E16"/>
      <c r="F16"/>
      <c r="G16"/>
      <c r="H16"/>
      <c r="I16"/>
      <c r="J16"/>
      <c r="K16" s="141"/>
      <c r="L16" s="141"/>
      <c r="M16" s="141"/>
      <c r="N16" s="141"/>
      <c r="O16" s="141"/>
    </row>
    <row r="17" s="1" customFormat="1" ht="23" customHeight="1" spans="5:13">
      <c r="E17"/>
      <c r="F17"/>
      <c r="G17"/>
      <c r="H17"/>
      <c r="I17"/>
      <c r="J17"/>
      <c r="K17"/>
      <c r="L17"/>
      <c r="M17"/>
    </row>
    <row r="18" s="1" customFormat="1" ht="23" customHeight="1" spans="5:19">
      <c r="E18"/>
      <c r="F18"/>
      <c r="G18"/>
      <c r="H18"/>
      <c r="I18"/>
      <c r="J18"/>
      <c r="K18"/>
      <c r="L18"/>
      <c r="M18"/>
      <c r="O18"/>
      <c r="P18"/>
      <c r="Q18"/>
      <c r="R18"/>
      <c r="S18" s="38"/>
    </row>
    <row r="19" ht="21" customHeight="1"/>
    <row r="20" ht="21" customHeight="1"/>
  </sheetData>
  <mergeCells count="25">
    <mergeCell ref="J2:P2"/>
    <mergeCell ref="R2:V2"/>
    <mergeCell ref="Y2:AD2"/>
    <mergeCell ref="A6:B6"/>
    <mergeCell ref="K8:N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0:N14"/>
    <mergeCell ref="Q2:Q3"/>
    <mergeCell ref="W2:W3"/>
    <mergeCell ref="X2:X3"/>
    <mergeCell ref="AF2:AF3"/>
    <mergeCell ref="C10:E11"/>
    <mergeCell ref="C12:E13"/>
    <mergeCell ref="F12:I13"/>
    <mergeCell ref="F10:I11"/>
    <mergeCell ref="C8:E9"/>
    <mergeCell ref="F8:I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0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24" sqref="M24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3.6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3.625"/>
    <col min="33" max="34" width="9.625"/>
  </cols>
  <sheetData>
    <row r="1" customFormat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12.75" spans="1:32">
      <c r="A5" s="100"/>
      <c r="B5" s="101"/>
      <c r="C5" s="102">
        <v>240628000036</v>
      </c>
      <c r="D5" s="103">
        <v>45477</v>
      </c>
      <c r="E5" s="103" t="s">
        <v>77</v>
      </c>
      <c r="F5" s="101" t="s">
        <v>78</v>
      </c>
      <c r="G5" s="204" t="s">
        <v>79</v>
      </c>
      <c r="H5" s="101">
        <v>0.6693</v>
      </c>
      <c r="I5" s="123">
        <v>116.5</v>
      </c>
      <c r="J5" s="179">
        <v>1662.94</v>
      </c>
      <c r="K5" s="174"/>
      <c r="L5" s="126"/>
      <c r="M5" s="127"/>
      <c r="N5" s="126"/>
      <c r="O5" s="101"/>
      <c r="P5" s="124">
        <v>1662.94</v>
      </c>
      <c r="Q5" s="157"/>
      <c r="R5" s="157"/>
      <c r="S5" s="158">
        <v>605.096413235294</v>
      </c>
      <c r="T5" s="158"/>
      <c r="U5" s="158">
        <v>12.3033088235294</v>
      </c>
      <c r="V5" s="158"/>
      <c r="W5" s="158"/>
      <c r="X5" s="159">
        <v>617.399722058824</v>
      </c>
      <c r="Y5" s="173">
        <v>104.728225367647</v>
      </c>
      <c r="Z5" s="173"/>
      <c r="AA5" s="173"/>
      <c r="AB5" s="173">
        <v>104.728225367647</v>
      </c>
      <c r="AC5" s="174">
        <v>7.1</v>
      </c>
      <c r="AD5" s="158">
        <v>743.570400110294</v>
      </c>
      <c r="AE5" s="158">
        <v>1360.97012216912</v>
      </c>
      <c r="AF5" s="158">
        <v>301.96987783088</v>
      </c>
    </row>
    <row r="6" s="87" customFormat="1" ht="12.75" spans="1:32">
      <c r="A6" s="100"/>
      <c r="B6" s="101"/>
      <c r="C6" s="102">
        <v>240702000007</v>
      </c>
      <c r="D6" s="103">
        <v>45477</v>
      </c>
      <c r="E6" s="103" t="s">
        <v>77</v>
      </c>
      <c r="F6" s="101" t="s">
        <v>78</v>
      </c>
      <c r="G6" s="204" t="s">
        <v>79</v>
      </c>
      <c r="H6" s="101">
        <v>0.8928</v>
      </c>
      <c r="I6" s="123">
        <v>218</v>
      </c>
      <c r="J6" s="179">
        <v>2361.55</v>
      </c>
      <c r="K6" s="174"/>
      <c r="L6" s="126"/>
      <c r="M6" s="127"/>
      <c r="N6" s="126"/>
      <c r="O6" s="101"/>
      <c r="P6" s="124">
        <v>2361.55</v>
      </c>
      <c r="Q6" s="157"/>
      <c r="R6" s="157"/>
      <c r="S6" s="158">
        <v>807.156847058824</v>
      </c>
      <c r="T6" s="158"/>
      <c r="U6" s="158">
        <v>16.4117647058824</v>
      </c>
      <c r="V6" s="158"/>
      <c r="W6" s="158">
        <v>292</v>
      </c>
      <c r="X6" s="159">
        <v>1115.56861176471</v>
      </c>
      <c r="Y6" s="173">
        <v>139.700223529412</v>
      </c>
      <c r="Z6" s="173"/>
      <c r="AA6" s="173"/>
      <c r="AB6" s="173">
        <v>139.700223529412</v>
      </c>
      <c r="AC6" s="174">
        <v>7.1</v>
      </c>
      <c r="AD6" s="158">
        <v>991.871587058823</v>
      </c>
      <c r="AE6" s="158">
        <v>2107.44019882353</v>
      </c>
      <c r="AF6" s="158">
        <v>254.10980117647</v>
      </c>
    </row>
    <row r="7" s="87" customFormat="1" ht="12.75" spans="1:32">
      <c r="A7" s="100"/>
      <c r="B7" s="101"/>
      <c r="C7" s="102">
        <v>240702000008</v>
      </c>
      <c r="D7" s="103">
        <v>45477</v>
      </c>
      <c r="E7" s="103" t="s">
        <v>77</v>
      </c>
      <c r="F7" s="101" t="s">
        <v>78</v>
      </c>
      <c r="G7" s="204" t="s">
        <v>79</v>
      </c>
      <c r="H7" s="205">
        <v>2.232</v>
      </c>
      <c r="I7" s="123">
        <v>1028</v>
      </c>
      <c r="J7" s="179">
        <v>6070.88</v>
      </c>
      <c r="K7" s="174"/>
      <c r="L7" s="126"/>
      <c r="M7" s="127"/>
      <c r="N7" s="126"/>
      <c r="O7" s="101"/>
      <c r="P7" s="124">
        <v>6070.88</v>
      </c>
      <c r="Q7" s="157"/>
      <c r="R7" s="157"/>
      <c r="S7" s="158">
        <v>2017.89211764706</v>
      </c>
      <c r="T7" s="158">
        <v>215</v>
      </c>
      <c r="U7" s="158">
        <v>41.0294117647059</v>
      </c>
      <c r="V7" s="158"/>
      <c r="W7" s="158">
        <v>420</v>
      </c>
      <c r="X7" s="159">
        <v>2693.92152941177</v>
      </c>
      <c r="Y7" s="173">
        <v>349.250558823529</v>
      </c>
      <c r="Z7" s="173"/>
      <c r="AA7" s="173"/>
      <c r="AB7" s="173">
        <v>349.250558823529</v>
      </c>
      <c r="AC7" s="174">
        <v>7.1</v>
      </c>
      <c r="AD7" s="158">
        <v>2479.67896764706</v>
      </c>
      <c r="AE7" s="158">
        <v>5173.60049705882</v>
      </c>
      <c r="AF7" s="158">
        <v>897.27950294118</v>
      </c>
    </row>
    <row r="8" s="87" customFormat="1" ht="12.75" spans="1:32">
      <c r="A8" s="100"/>
      <c r="B8" s="101"/>
      <c r="C8" s="102">
        <v>240702000009</v>
      </c>
      <c r="D8" s="103">
        <v>45477</v>
      </c>
      <c r="E8" s="103" t="s">
        <v>77</v>
      </c>
      <c r="F8" s="101" t="s">
        <v>78</v>
      </c>
      <c r="G8" s="204" t="s">
        <v>79</v>
      </c>
      <c r="H8" s="101">
        <v>5.8065</v>
      </c>
      <c r="I8" s="123">
        <v>650</v>
      </c>
      <c r="J8" s="179">
        <v>13360.1</v>
      </c>
      <c r="K8" s="174"/>
      <c r="L8" s="126"/>
      <c r="M8" s="127"/>
      <c r="N8" s="126"/>
      <c r="O8" s="101"/>
      <c r="P8" s="124">
        <v>13360.1</v>
      </c>
      <c r="Q8" s="157"/>
      <c r="R8" s="157"/>
      <c r="S8" s="158">
        <v>5249.50294852941</v>
      </c>
      <c r="T8" s="158"/>
      <c r="U8" s="158">
        <v>106.737132352941</v>
      </c>
      <c r="V8" s="158"/>
      <c r="W8" s="158"/>
      <c r="X8" s="159">
        <v>5356.24008088235</v>
      </c>
      <c r="Y8" s="173">
        <v>908.567818014706</v>
      </c>
      <c r="Z8" s="173"/>
      <c r="AA8" s="173"/>
      <c r="AB8" s="173">
        <v>908.567818014706</v>
      </c>
      <c r="AC8" s="174">
        <v>7.1</v>
      </c>
      <c r="AD8" s="158">
        <v>6450.83150790441</v>
      </c>
      <c r="AE8" s="158">
        <v>11807.0715887868</v>
      </c>
      <c r="AF8" s="158">
        <v>1553.0284112132</v>
      </c>
    </row>
    <row r="9" s="87" customFormat="1" ht="12.75" spans="1:32">
      <c r="A9" s="100"/>
      <c r="B9" s="101"/>
      <c r="C9" s="102">
        <v>240719000036</v>
      </c>
      <c r="D9" s="103">
        <v>45498</v>
      </c>
      <c r="E9" s="103" t="s">
        <v>77</v>
      </c>
      <c r="F9" s="101" t="s">
        <v>78</v>
      </c>
      <c r="G9" s="204" t="s">
        <v>79</v>
      </c>
      <c r="H9" s="101">
        <v>1.8646</v>
      </c>
      <c r="I9" s="101">
        <v>213</v>
      </c>
      <c r="J9" s="179">
        <v>4300.07</v>
      </c>
      <c r="K9" s="174"/>
      <c r="L9" s="126"/>
      <c r="M9" s="127"/>
      <c r="N9" s="126"/>
      <c r="O9" s="101"/>
      <c r="P9" s="124">
        <v>4300.07</v>
      </c>
      <c r="Q9" s="157"/>
      <c r="R9" s="157"/>
      <c r="S9" s="158">
        <v>1685.73550294118</v>
      </c>
      <c r="T9" s="158">
        <v>16.4523529411765</v>
      </c>
      <c r="U9" s="158">
        <v>31.5336764705882</v>
      </c>
      <c r="V9" s="158"/>
      <c r="W9" s="158"/>
      <c r="X9" s="159">
        <v>1733.72153235294</v>
      </c>
      <c r="Y9" s="173">
        <v>288.199431147059</v>
      </c>
      <c r="Z9" s="173"/>
      <c r="AA9" s="173">
        <v>0.970688823529412</v>
      </c>
      <c r="AB9" s="173">
        <v>289.170119970588</v>
      </c>
      <c r="AC9" s="174">
        <v>7.06</v>
      </c>
      <c r="AD9" s="158">
        <v>2041.54104699235</v>
      </c>
      <c r="AE9" s="158">
        <v>3775.26257934529</v>
      </c>
      <c r="AF9" s="158">
        <v>524.80742065471</v>
      </c>
    </row>
    <row r="10" s="87" customFormat="1" ht="12.75" spans="1:32">
      <c r="A10" s="100"/>
      <c r="B10" s="101"/>
      <c r="C10" s="102">
        <v>240720000015</v>
      </c>
      <c r="D10" s="103">
        <v>45498</v>
      </c>
      <c r="E10" s="103" t="s">
        <v>77</v>
      </c>
      <c r="F10" s="101" t="s">
        <v>78</v>
      </c>
      <c r="G10" s="204" t="s">
        <v>79</v>
      </c>
      <c r="H10" s="101">
        <v>0.3673</v>
      </c>
      <c r="I10" s="101">
        <v>57</v>
      </c>
      <c r="J10" s="179">
        <v>880.38</v>
      </c>
      <c r="K10" s="174"/>
      <c r="L10" s="126"/>
      <c r="M10" s="127"/>
      <c r="N10" s="126"/>
      <c r="O10" s="101"/>
      <c r="P10" s="124">
        <v>880.38</v>
      </c>
      <c r="Q10" s="157"/>
      <c r="R10" s="157"/>
      <c r="S10" s="158">
        <v>332.066207352941</v>
      </c>
      <c r="T10" s="158">
        <v>3.24088235294118</v>
      </c>
      <c r="U10" s="158">
        <v>6.21169117647059</v>
      </c>
      <c r="V10" s="158"/>
      <c r="W10" s="158"/>
      <c r="X10" s="159">
        <v>341.518780882353</v>
      </c>
      <c r="Y10" s="173">
        <v>56.7712383676471</v>
      </c>
      <c r="Z10" s="173"/>
      <c r="AA10" s="173">
        <v>0.191212058823529</v>
      </c>
      <c r="AB10" s="173">
        <v>56.9624504264706</v>
      </c>
      <c r="AC10" s="174">
        <v>7.06</v>
      </c>
      <c r="AD10" s="158">
        <v>402.154900010882</v>
      </c>
      <c r="AE10" s="158">
        <v>743.673680893235</v>
      </c>
      <c r="AF10" s="158">
        <v>136.706319106765</v>
      </c>
    </row>
    <row r="11" s="87" customFormat="1" ht="12.75" spans="1:34">
      <c r="A11" s="100"/>
      <c r="B11" s="101"/>
      <c r="C11" s="102">
        <v>240715000001</v>
      </c>
      <c r="D11" s="103">
        <v>45490</v>
      </c>
      <c r="E11" s="103" t="s">
        <v>77</v>
      </c>
      <c r="F11" s="101" t="s">
        <v>78</v>
      </c>
      <c r="G11" s="204" t="s">
        <v>79</v>
      </c>
      <c r="H11" s="101">
        <v>0.269</v>
      </c>
      <c r="I11" s="101">
        <v>184</v>
      </c>
      <c r="J11" s="179">
        <v>660.29</v>
      </c>
      <c r="K11" s="174"/>
      <c r="L11" s="126"/>
      <c r="M11" s="127"/>
      <c r="N11" s="126"/>
      <c r="O11" s="101"/>
      <c r="P11" s="124">
        <v>660.29</v>
      </c>
      <c r="Q11" s="157"/>
      <c r="R11" s="157"/>
      <c r="S11" s="158">
        <v>247.151661764706</v>
      </c>
      <c r="T11" s="158"/>
      <c r="U11" s="158">
        <v>9.49411764705883</v>
      </c>
      <c r="V11" s="158"/>
      <c r="W11" s="158"/>
      <c r="X11" s="159">
        <v>256.645779411765</v>
      </c>
      <c r="Y11" s="173">
        <v>40.4923722058824</v>
      </c>
      <c r="Z11" s="173"/>
      <c r="AA11" s="173">
        <v>0.140038235294118</v>
      </c>
      <c r="AB11" s="173">
        <v>40.6324104411765</v>
      </c>
      <c r="AC11" s="174">
        <v>7.26</v>
      </c>
      <c r="AD11" s="158">
        <v>294.991299802941</v>
      </c>
      <c r="AE11" s="158">
        <v>551.637079214706</v>
      </c>
      <c r="AF11" s="158">
        <v>108.652920785294</v>
      </c>
      <c r="AG11" s="210">
        <f>SUM(AF5:AF11)</f>
        <v>3776.5542537085</v>
      </c>
      <c r="AH11" s="210">
        <f>SUM(AG11/2)</f>
        <v>1888.27712685425</v>
      </c>
    </row>
    <row r="12" s="87" customFormat="1" ht="12.75" spans="1:32">
      <c r="A12" s="100"/>
      <c r="B12" s="101"/>
      <c r="C12" s="102">
        <v>240628000031</v>
      </c>
      <c r="D12" s="103">
        <v>45477</v>
      </c>
      <c r="E12" s="103" t="s">
        <v>77</v>
      </c>
      <c r="F12" s="101" t="s">
        <v>78</v>
      </c>
      <c r="G12" s="101" t="s">
        <v>80</v>
      </c>
      <c r="H12" s="101">
        <v>1.7537</v>
      </c>
      <c r="I12" s="123">
        <v>2930</v>
      </c>
      <c r="J12" s="124"/>
      <c r="K12" s="125">
        <v>2405060</v>
      </c>
      <c r="L12" s="126"/>
      <c r="M12" s="127">
        <v>1640</v>
      </c>
      <c r="N12" s="128">
        <v>1466.5</v>
      </c>
      <c r="O12" s="101">
        <v>7.12</v>
      </c>
      <c r="P12" s="124">
        <v>10441.48</v>
      </c>
      <c r="Q12" s="157"/>
      <c r="R12" s="157"/>
      <c r="S12" s="158">
        <v>1585.47374852941</v>
      </c>
      <c r="T12" s="158"/>
      <c r="U12" s="158">
        <v>32.2371323529412</v>
      </c>
      <c r="V12" s="158"/>
      <c r="W12" s="158"/>
      <c r="X12" s="159">
        <v>1617.71088088235</v>
      </c>
      <c r="Y12" s="173">
        <v>274.408918014706</v>
      </c>
      <c r="Z12" s="173"/>
      <c r="AA12" s="173"/>
      <c r="AB12" s="173">
        <v>274.408918014706</v>
      </c>
      <c r="AC12" s="174">
        <v>7.1</v>
      </c>
      <c r="AD12" s="158">
        <v>1948.30331790441</v>
      </c>
      <c r="AE12" s="158">
        <v>3566.01419878676</v>
      </c>
      <c r="AF12" s="158">
        <v>6875.46580121323</v>
      </c>
    </row>
    <row r="13" s="87" customFormat="1" ht="12.75" spans="1:32">
      <c r="A13" s="100"/>
      <c r="B13" s="101"/>
      <c r="C13" s="102">
        <v>240703000022</v>
      </c>
      <c r="D13" s="103">
        <v>45477</v>
      </c>
      <c r="E13" s="103" t="s">
        <v>77</v>
      </c>
      <c r="F13" s="101" t="s">
        <v>78</v>
      </c>
      <c r="G13" s="101" t="s">
        <v>81</v>
      </c>
      <c r="H13" s="101">
        <v>2.6714</v>
      </c>
      <c r="I13" s="123">
        <v>1555</v>
      </c>
      <c r="J13" s="179">
        <v>7525.12</v>
      </c>
      <c r="K13" s="174"/>
      <c r="L13" s="126"/>
      <c r="M13" s="127"/>
      <c r="N13" s="126"/>
      <c r="O13" s="101"/>
      <c r="P13" s="124">
        <v>7525.12</v>
      </c>
      <c r="Q13" s="157"/>
      <c r="R13" s="157"/>
      <c r="S13" s="158">
        <v>2415.14202647059</v>
      </c>
      <c r="T13" s="158"/>
      <c r="U13" s="158">
        <v>49.1066176470588</v>
      </c>
      <c r="V13" s="158"/>
      <c r="W13" s="158"/>
      <c r="X13" s="159">
        <v>2464.24864411765</v>
      </c>
      <c r="Y13" s="173">
        <v>418.005350735294</v>
      </c>
      <c r="Z13" s="173"/>
      <c r="AA13" s="173"/>
      <c r="AB13" s="173">
        <v>418.005350735294</v>
      </c>
      <c r="AC13" s="174">
        <v>7.1</v>
      </c>
      <c r="AD13" s="158">
        <v>2967.83799022059</v>
      </c>
      <c r="AE13" s="158">
        <v>5432.08663433824</v>
      </c>
      <c r="AF13" s="158">
        <v>2093.03336566176</v>
      </c>
    </row>
    <row r="14" s="87" customFormat="1" ht="12.75" spans="1:32">
      <c r="A14" s="100"/>
      <c r="B14" s="101"/>
      <c r="C14" s="102">
        <v>240716000001</v>
      </c>
      <c r="D14" s="103">
        <v>45490</v>
      </c>
      <c r="E14" s="103" t="s">
        <v>77</v>
      </c>
      <c r="F14" s="101" t="s">
        <v>78</v>
      </c>
      <c r="G14" s="101" t="s">
        <v>82</v>
      </c>
      <c r="H14" s="101">
        <v>0.9605</v>
      </c>
      <c r="I14" s="101">
        <v>145</v>
      </c>
      <c r="J14" s="124"/>
      <c r="K14" s="125">
        <v>591555</v>
      </c>
      <c r="L14" s="126"/>
      <c r="M14" s="127">
        <v>1710.78416529723</v>
      </c>
      <c r="N14" s="128">
        <v>345.78003</v>
      </c>
      <c r="O14" s="101">
        <v>7.06</v>
      </c>
      <c r="P14" s="124">
        <v>2441.2070118</v>
      </c>
      <c r="Q14" s="157"/>
      <c r="R14" s="157"/>
      <c r="S14" s="158">
        <v>882.487625</v>
      </c>
      <c r="T14" s="158"/>
      <c r="U14" s="158">
        <v>33.9</v>
      </c>
      <c r="V14" s="158"/>
      <c r="W14" s="158"/>
      <c r="X14" s="159">
        <v>916.387625</v>
      </c>
      <c r="Y14" s="173">
        <v>144.58335875</v>
      </c>
      <c r="Z14" s="173"/>
      <c r="AA14" s="173">
        <v>0.500025</v>
      </c>
      <c r="AB14" s="173">
        <v>145.08338375</v>
      </c>
      <c r="AC14" s="174">
        <v>7.26</v>
      </c>
      <c r="AD14" s="158">
        <v>1053.305366025</v>
      </c>
      <c r="AE14" s="158">
        <v>1969.692991025</v>
      </c>
      <c r="AF14" s="158">
        <v>471.514020775</v>
      </c>
    </row>
    <row r="15" s="87" customFormat="1" ht="12.75" spans="1:32">
      <c r="A15" s="100"/>
      <c r="B15" s="101"/>
      <c r="C15" s="102">
        <v>240717000037</v>
      </c>
      <c r="D15" s="103">
        <v>45498</v>
      </c>
      <c r="E15" s="103" t="s">
        <v>77</v>
      </c>
      <c r="F15" s="101" t="s">
        <v>78</v>
      </c>
      <c r="G15" s="101" t="s">
        <v>83</v>
      </c>
      <c r="H15" s="101">
        <v>0.9774</v>
      </c>
      <c r="I15" s="101">
        <v>169.65</v>
      </c>
      <c r="J15" s="179">
        <v>2342</v>
      </c>
      <c r="K15" s="174"/>
      <c r="L15" s="126"/>
      <c r="M15" s="127"/>
      <c r="N15" s="126"/>
      <c r="O15" s="101"/>
      <c r="P15" s="124">
        <v>2342</v>
      </c>
      <c r="Q15" s="157"/>
      <c r="R15" s="157"/>
      <c r="S15" s="158">
        <v>883.641467647059</v>
      </c>
      <c r="T15" s="158">
        <v>8.62411764705882</v>
      </c>
      <c r="U15" s="158">
        <v>16.5295588235294</v>
      </c>
      <c r="V15" s="158"/>
      <c r="W15" s="158">
        <v>52</v>
      </c>
      <c r="X15" s="159">
        <v>960.795144117647</v>
      </c>
      <c r="Y15" s="173">
        <v>151.070537382353</v>
      </c>
      <c r="Z15" s="173"/>
      <c r="AA15" s="173">
        <v>0.508822941176471</v>
      </c>
      <c r="AB15" s="173">
        <v>151.579360323529</v>
      </c>
      <c r="AC15" s="174">
        <v>7.06</v>
      </c>
      <c r="AD15" s="158">
        <v>1070.15028388412</v>
      </c>
      <c r="AE15" s="158">
        <v>2030.94542800176</v>
      </c>
      <c r="AF15" s="158">
        <v>311.05457199824</v>
      </c>
    </row>
    <row r="16" s="183" customFormat="1" ht="19" customHeight="1" spans="1:32">
      <c r="A16" s="100" t="s">
        <v>84</v>
      </c>
      <c r="B16" s="185"/>
      <c r="C16" s="186"/>
      <c r="D16" s="187"/>
      <c r="E16" s="188"/>
      <c r="F16" s="185"/>
      <c r="G16" s="185"/>
      <c r="H16" s="185"/>
      <c r="I16" s="193"/>
      <c r="J16" s="193"/>
      <c r="K16" s="193"/>
      <c r="L16" s="193"/>
      <c r="M16" s="194"/>
      <c r="N16" s="19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98"/>
      <c r="AC16" s="198"/>
      <c r="AD16" s="198"/>
      <c r="AE16" s="198"/>
      <c r="AF16" s="198">
        <f>SUM(AF5:AF15)</f>
        <v>13527.6220133567</v>
      </c>
    </row>
    <row r="17" s="184" customFormat="1" ht="20" customHeight="1" spans="1:32">
      <c r="A17" s="189"/>
      <c r="B17" s="189"/>
      <c r="D17" s="190"/>
      <c r="H17" s="191"/>
      <c r="I17" s="195"/>
      <c r="J17" s="196"/>
      <c r="K17" s="191"/>
      <c r="L17" s="191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AF17" s="191">
        <v>1888.27712685425</v>
      </c>
    </row>
    <row r="18" s="1" customFormat="1" ht="23" customHeight="1" spans="3:32">
      <c r="C18" s="72" t="s">
        <v>51</v>
      </c>
      <c r="D18" s="72"/>
      <c r="E18" s="72"/>
      <c r="F18" s="108" t="s">
        <v>52</v>
      </c>
      <c r="G18" s="109"/>
      <c r="H18" s="109"/>
      <c r="I18" s="129"/>
      <c r="J18"/>
      <c r="K18" s="134" t="s">
        <v>85</v>
      </c>
      <c r="L18" s="134"/>
      <c r="M18" s="134"/>
      <c r="N18" s="134"/>
      <c r="O18"/>
      <c r="P18"/>
      <c r="AF18" s="66">
        <f>SUM(AF16-AF17)</f>
        <v>11639.3448865025</v>
      </c>
    </row>
    <row r="19" s="1" customFormat="1" ht="23" customHeight="1" spans="3:16">
      <c r="C19" s="72"/>
      <c r="D19" s="72"/>
      <c r="E19" s="72"/>
      <c r="F19" s="110"/>
      <c r="G19" s="111"/>
      <c r="H19" s="111"/>
      <c r="I19" s="133"/>
      <c r="J19"/>
      <c r="K19" s="206" t="s">
        <v>54</v>
      </c>
      <c r="L19" s="206" t="s">
        <v>8</v>
      </c>
      <c r="M19" s="206" t="s">
        <v>55</v>
      </c>
      <c r="N19" s="206" t="s">
        <v>74</v>
      </c>
      <c r="O19"/>
      <c r="P19"/>
    </row>
    <row r="20" s="1" customFormat="1" ht="23" customHeight="1" spans="3:16">
      <c r="C20" s="72" t="s">
        <v>56</v>
      </c>
      <c r="D20" s="72"/>
      <c r="E20" s="72"/>
      <c r="F20" s="79" t="s">
        <v>57</v>
      </c>
      <c r="G20" s="80"/>
      <c r="H20" s="80"/>
      <c r="I20" s="81"/>
      <c r="J20"/>
      <c r="K20" s="134" t="s">
        <v>58</v>
      </c>
      <c r="L20" s="135">
        <f>SUM(H5:H10)</f>
        <v>11.8325</v>
      </c>
      <c r="M20" s="136">
        <v>11639.3448865025</v>
      </c>
      <c r="N20" s="207" t="s">
        <v>86</v>
      </c>
      <c r="O20"/>
      <c r="P20"/>
    </row>
    <row r="21" s="1" customFormat="1" ht="23" customHeight="1" spans="3:16">
      <c r="C21" s="72"/>
      <c r="D21" s="72"/>
      <c r="E21" s="72"/>
      <c r="F21" s="82"/>
      <c r="G21" s="83"/>
      <c r="H21" s="83"/>
      <c r="I21" s="84"/>
      <c r="J21"/>
      <c r="K21" s="137" t="s">
        <v>63</v>
      </c>
      <c r="L21" s="137"/>
      <c r="M21" s="138"/>
      <c r="N21" s="208"/>
      <c r="O21"/>
      <c r="P21"/>
    </row>
    <row r="22" s="1" customFormat="1" ht="23" customHeight="1" spans="3:16">
      <c r="C22" s="72" t="s">
        <v>60</v>
      </c>
      <c r="D22" s="72"/>
      <c r="E22" s="72"/>
      <c r="F22" s="79" t="s">
        <v>61</v>
      </c>
      <c r="G22" s="80"/>
      <c r="H22" s="80"/>
      <c r="I22" s="81"/>
      <c r="J22"/>
      <c r="K22" s="139" t="s">
        <v>62</v>
      </c>
      <c r="L22" s="139"/>
      <c r="M22" s="140"/>
      <c r="N22" s="208"/>
      <c r="O22"/>
      <c r="P22"/>
    </row>
    <row r="23" s="1" customFormat="1" ht="23" customHeight="1" spans="3:16">
      <c r="C23" s="72"/>
      <c r="D23" s="72"/>
      <c r="E23" s="72"/>
      <c r="F23" s="82"/>
      <c r="G23" s="83"/>
      <c r="H23" s="83"/>
      <c r="I23" s="84"/>
      <c r="J23"/>
      <c r="K23" s="134" t="s">
        <v>76</v>
      </c>
      <c r="L23" s="134"/>
      <c r="M23" s="134">
        <v>0.1</v>
      </c>
      <c r="N23" s="208"/>
      <c r="O23"/>
      <c r="P23"/>
    </row>
    <row r="24" s="1" customFormat="1" ht="23" customHeight="1" spans="5:16">
      <c r="E24"/>
      <c r="F24"/>
      <c r="G24"/>
      <c r="H24"/>
      <c r="I24"/>
      <c r="J24"/>
      <c r="K24" s="137" t="s">
        <v>65</v>
      </c>
      <c r="L24" s="137"/>
      <c r="M24" s="138">
        <f>SUM(M20*M23)</f>
        <v>1163.93448865025</v>
      </c>
      <c r="N24" s="209"/>
      <c r="O24"/>
      <c r="P24"/>
    </row>
    <row r="25" s="1" customFormat="1" ht="23" customHeight="1" spans="5:16">
      <c r="E25"/>
      <c r="F25"/>
      <c r="G25"/>
      <c r="H25"/>
      <c r="I25"/>
      <c r="J25"/>
      <c r="K25"/>
      <c r="L25"/>
      <c r="M25"/>
      <c r="O25"/>
      <c r="P25"/>
    </row>
    <row r="26" s="1" customFormat="1" ht="23" customHeight="1" spans="5:13">
      <c r="E26"/>
      <c r="F26"/>
      <c r="G26"/>
      <c r="H26"/>
      <c r="I26"/>
      <c r="J26"/>
      <c r="K26"/>
      <c r="L26"/>
      <c r="M26"/>
    </row>
    <row r="27" s="1" customFormat="1" ht="23" customHeight="1" spans="5:13">
      <c r="E27"/>
      <c r="F27"/>
      <c r="G27"/>
      <c r="H27"/>
      <c r="I27"/>
      <c r="J27"/>
      <c r="K27"/>
      <c r="L27"/>
      <c r="M27"/>
    </row>
    <row r="28" s="1" customFormat="1" ht="23" customHeight="1" spans="5:19">
      <c r="E28"/>
      <c r="F28"/>
      <c r="G28"/>
      <c r="H28"/>
      <c r="I28"/>
      <c r="J28"/>
      <c r="K28" s="192"/>
      <c r="L28" s="192"/>
      <c r="N28" s="192"/>
      <c r="O28"/>
      <c r="P28"/>
      <c r="Q28"/>
      <c r="R28"/>
      <c r="S28" s="38"/>
    </row>
    <row r="29" s="1" customFormat="1" ht="23" customHeight="1" spans="5:19">
      <c r="E29" s="192"/>
      <c r="F29" s="192"/>
      <c r="G29" s="192"/>
      <c r="H29" s="192"/>
      <c r="I29" s="192"/>
      <c r="J29" s="192"/>
      <c r="K29"/>
      <c r="L29"/>
      <c r="M29"/>
      <c r="N29"/>
      <c r="O29" s="192"/>
      <c r="P29" s="192"/>
      <c r="Q29" s="192"/>
      <c r="S29" s="38"/>
    </row>
    <row r="30" ht="25" customHeight="1"/>
  </sheetData>
  <mergeCells count="24">
    <mergeCell ref="J3:P3"/>
    <mergeCell ref="R3:V3"/>
    <mergeCell ref="Y3:AD3"/>
    <mergeCell ref="K18:N1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20:N24"/>
    <mergeCell ref="Q3:Q4"/>
    <mergeCell ref="W3:W4"/>
    <mergeCell ref="X3:X4"/>
    <mergeCell ref="AF3:AF4"/>
    <mergeCell ref="C18:E19"/>
    <mergeCell ref="F18:I19"/>
    <mergeCell ref="C20:E21"/>
    <mergeCell ref="F20:I21"/>
    <mergeCell ref="C22:E23"/>
    <mergeCell ref="F22:I23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pane xSplit="14" ySplit="3" topLeftCell="O4" activePane="bottomRight" state="frozen"/>
      <selection/>
      <selection pane="topRight"/>
      <selection pane="bottomLeft"/>
      <selection pane="bottomRight" activeCell="M15" sqref="M15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10"/>
    <col min="12" max="13" width="13.625"/>
    <col min="14" max="14" width="11.375"/>
    <col min="15" max="16" width="14.75"/>
    <col min="17" max="17" width="10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125"/>
  </cols>
  <sheetData>
    <row r="1" customFormat="1" ht="24" customHeight="1" spans="1:1">
      <c r="A1" s="89" t="s">
        <v>0</v>
      </c>
    </row>
    <row r="2" s="86" customFormat="1" ht="23" customHeight="1" spans="1:32">
      <c r="A2" s="90" t="s">
        <v>1</v>
      </c>
      <c r="B2" s="91" t="s">
        <v>2</v>
      </c>
      <c r="C2" s="92" t="s">
        <v>3</v>
      </c>
      <c r="D2" s="93" t="s">
        <v>4</v>
      </c>
      <c r="E2" s="94" t="s">
        <v>5</v>
      </c>
      <c r="F2" s="95" t="s">
        <v>6</v>
      </c>
      <c r="G2" s="95" t="s">
        <v>7</v>
      </c>
      <c r="H2" s="95" t="s">
        <v>8</v>
      </c>
      <c r="I2" s="95" t="s">
        <v>9</v>
      </c>
      <c r="J2" s="112" t="s">
        <v>10</v>
      </c>
      <c r="K2" s="113"/>
      <c r="L2" s="114"/>
      <c r="M2" s="113"/>
      <c r="N2" s="114"/>
      <c r="O2" s="115"/>
      <c r="P2" s="116"/>
      <c r="Q2" s="142" t="s">
        <v>11</v>
      </c>
      <c r="R2" s="143" t="s">
        <v>12</v>
      </c>
      <c r="S2" s="144"/>
      <c r="T2" s="145"/>
      <c r="U2" s="146"/>
      <c r="V2" s="147"/>
      <c r="W2" s="148" t="s">
        <v>13</v>
      </c>
      <c r="X2" s="149" t="s">
        <v>14</v>
      </c>
      <c r="Y2" s="163" t="s">
        <v>15</v>
      </c>
      <c r="Z2" s="163"/>
      <c r="AA2" s="163"/>
      <c r="AB2" s="163"/>
      <c r="AC2" s="164"/>
      <c r="AD2" s="163"/>
      <c r="AE2" s="165" t="s">
        <v>16</v>
      </c>
      <c r="AF2" s="166" t="s">
        <v>17</v>
      </c>
    </row>
    <row r="3" s="86" customFormat="1" ht="27" customHeight="1" spans="1:32">
      <c r="A3" s="96"/>
      <c r="B3" s="97"/>
      <c r="C3" s="92"/>
      <c r="D3" s="93"/>
      <c r="E3" s="98"/>
      <c r="F3" s="99"/>
      <c r="G3" s="99"/>
      <c r="H3" s="99"/>
      <c r="I3" s="99"/>
      <c r="J3" s="117" t="s">
        <v>18</v>
      </c>
      <c r="K3" s="118" t="s">
        <v>19</v>
      </c>
      <c r="L3" s="119" t="s">
        <v>20</v>
      </c>
      <c r="M3" s="118" t="s">
        <v>21</v>
      </c>
      <c r="N3" s="120" t="s">
        <v>22</v>
      </c>
      <c r="O3" s="121" t="s">
        <v>23</v>
      </c>
      <c r="P3" s="122" t="s">
        <v>24</v>
      </c>
      <c r="Q3" s="150"/>
      <c r="R3" s="151" t="s">
        <v>25</v>
      </c>
      <c r="S3" s="152" t="s">
        <v>26</v>
      </c>
      <c r="T3" s="153" t="s">
        <v>27</v>
      </c>
      <c r="U3" s="154" t="s">
        <v>28</v>
      </c>
      <c r="V3" s="153" t="s">
        <v>29</v>
      </c>
      <c r="W3" s="155"/>
      <c r="X3" s="156"/>
      <c r="Y3" s="167" t="s">
        <v>30</v>
      </c>
      <c r="Z3" s="167" t="s">
        <v>31</v>
      </c>
      <c r="AA3" s="167" t="s">
        <v>32</v>
      </c>
      <c r="AB3" s="168" t="s">
        <v>33</v>
      </c>
      <c r="AC3" s="169" t="s">
        <v>34</v>
      </c>
      <c r="AD3" s="170" t="s">
        <v>24</v>
      </c>
      <c r="AE3" s="171" t="s">
        <v>35</v>
      </c>
      <c r="AF3" s="172"/>
    </row>
    <row r="4" s="87" customFormat="1" ht="12.75" spans="1:32">
      <c r="A4" s="100"/>
      <c r="B4" s="101"/>
      <c r="C4" s="102">
        <v>240701000015</v>
      </c>
      <c r="D4" s="103">
        <v>45477</v>
      </c>
      <c r="E4" s="103" t="s">
        <v>87</v>
      </c>
      <c r="F4" s="101" t="s">
        <v>88</v>
      </c>
      <c r="G4" s="101" t="s">
        <v>89</v>
      </c>
      <c r="H4" s="101">
        <v>0.3978</v>
      </c>
      <c r="I4" s="123">
        <v>49.5</v>
      </c>
      <c r="J4" s="179">
        <v>1385.08</v>
      </c>
      <c r="K4" s="174"/>
      <c r="L4" s="126"/>
      <c r="M4" s="127"/>
      <c r="N4" s="126"/>
      <c r="O4" s="101"/>
      <c r="P4" s="124">
        <v>1385.08</v>
      </c>
      <c r="Q4" s="157"/>
      <c r="R4" s="157"/>
      <c r="S4" s="158">
        <v>359.64045</v>
      </c>
      <c r="T4" s="158"/>
      <c r="U4" s="158">
        <v>7.3125</v>
      </c>
      <c r="V4" s="158"/>
      <c r="W4" s="158"/>
      <c r="X4" s="159">
        <v>366.95295</v>
      </c>
      <c r="Y4" s="173">
        <v>62.2454625</v>
      </c>
      <c r="Z4" s="173">
        <v>41.46</v>
      </c>
      <c r="AA4" s="173"/>
      <c r="AB4" s="173">
        <v>103.7054625</v>
      </c>
      <c r="AC4" s="174">
        <v>7.1</v>
      </c>
      <c r="AD4" s="158">
        <v>736.30878375</v>
      </c>
      <c r="AE4" s="158">
        <v>1103.26173375</v>
      </c>
      <c r="AF4" s="158">
        <v>281.81826625</v>
      </c>
    </row>
    <row r="5" s="87" customFormat="1" ht="12.75" spans="1:32">
      <c r="A5" s="100"/>
      <c r="B5" s="101"/>
      <c r="C5" s="102">
        <v>240701000020</v>
      </c>
      <c r="D5" s="103">
        <v>45477</v>
      </c>
      <c r="E5" s="103" t="s">
        <v>87</v>
      </c>
      <c r="F5" s="101" t="s">
        <v>88</v>
      </c>
      <c r="G5" s="101" t="s">
        <v>90</v>
      </c>
      <c r="H5" s="101">
        <v>0.5519</v>
      </c>
      <c r="I5" s="123">
        <v>82</v>
      </c>
      <c r="J5" s="179">
        <v>1460.33</v>
      </c>
      <c r="K5" s="174"/>
      <c r="L5" s="126"/>
      <c r="M5" s="127"/>
      <c r="N5" s="126"/>
      <c r="O5" s="101"/>
      <c r="P5" s="124">
        <v>1460.33</v>
      </c>
      <c r="Q5" s="157"/>
      <c r="R5" s="157"/>
      <c r="S5" s="158">
        <v>498.958180882353</v>
      </c>
      <c r="T5" s="158"/>
      <c r="U5" s="158">
        <v>10.1452205882353</v>
      </c>
      <c r="V5" s="158"/>
      <c r="W5" s="158"/>
      <c r="X5" s="159">
        <v>509.103401470588</v>
      </c>
      <c r="Y5" s="173">
        <v>86.3581466911765</v>
      </c>
      <c r="Z5" s="173"/>
      <c r="AA5" s="173"/>
      <c r="AB5" s="173">
        <v>86.3581466911765</v>
      </c>
      <c r="AC5" s="174">
        <v>7.1</v>
      </c>
      <c r="AD5" s="158">
        <v>613.142841507353</v>
      </c>
      <c r="AE5" s="158">
        <v>1122.24624297794</v>
      </c>
      <c r="AF5" s="158">
        <v>338.083757022059</v>
      </c>
    </row>
    <row r="6" s="87" customFormat="1" ht="12.75" spans="1:32">
      <c r="A6" s="100"/>
      <c r="B6" s="101"/>
      <c r="C6" s="102">
        <v>240607000053</v>
      </c>
      <c r="D6" s="103">
        <v>45478</v>
      </c>
      <c r="E6" s="103" t="s">
        <v>87</v>
      </c>
      <c r="F6" s="101" t="s">
        <v>88</v>
      </c>
      <c r="G6" s="101" t="s">
        <v>91</v>
      </c>
      <c r="H6" s="101">
        <v>1.3088</v>
      </c>
      <c r="I6" s="123">
        <v>352</v>
      </c>
      <c r="J6" s="179">
        <v>3425</v>
      </c>
      <c r="K6" s="174"/>
      <c r="L6" s="126"/>
      <c r="M6" s="127"/>
      <c r="N6" s="126"/>
      <c r="O6" s="101"/>
      <c r="P6" s="124">
        <v>3425</v>
      </c>
      <c r="Q6" s="181"/>
      <c r="R6" s="181"/>
      <c r="S6" s="158">
        <v>1183.25143529412</v>
      </c>
      <c r="T6" s="158"/>
      <c r="U6" s="158">
        <v>24.0588235294118</v>
      </c>
      <c r="V6" s="158"/>
      <c r="W6" s="158"/>
      <c r="X6" s="159">
        <v>1207.31025882353</v>
      </c>
      <c r="Y6" s="173">
        <v>204.793517647059</v>
      </c>
      <c r="Z6" s="173"/>
      <c r="AA6" s="173"/>
      <c r="AB6" s="173">
        <v>204.793517647059</v>
      </c>
      <c r="AC6" s="174">
        <v>7.1</v>
      </c>
      <c r="AD6" s="158">
        <v>1454.03397529412</v>
      </c>
      <c r="AE6" s="158">
        <v>2661.34423411765</v>
      </c>
      <c r="AF6" s="158">
        <v>763.655765882353</v>
      </c>
    </row>
    <row r="7" s="87" customFormat="1" ht="25.5" spans="1:32">
      <c r="A7" s="100" t="s">
        <v>92</v>
      </c>
      <c r="B7" s="101" t="s">
        <v>93</v>
      </c>
      <c r="C7" s="102">
        <v>240607000053</v>
      </c>
      <c r="D7" s="103">
        <v>45478</v>
      </c>
      <c r="E7" s="103" t="s">
        <v>87</v>
      </c>
      <c r="F7" s="101" t="s">
        <v>88</v>
      </c>
      <c r="G7" s="101" t="s">
        <v>91</v>
      </c>
      <c r="H7" s="101">
        <v>1.3459</v>
      </c>
      <c r="I7" s="101">
        <v>622</v>
      </c>
      <c r="J7" s="179">
        <v>3524.24</v>
      </c>
      <c r="K7" s="174"/>
      <c r="L7" s="126"/>
      <c r="M7" s="127"/>
      <c r="N7" s="126"/>
      <c r="O7" s="101"/>
      <c r="P7" s="124">
        <v>3524.24</v>
      </c>
      <c r="Q7" s="181">
        <v>9854.24</v>
      </c>
      <c r="R7" s="182" t="s">
        <v>94</v>
      </c>
      <c r="S7" s="158">
        <v>1206.89623970588</v>
      </c>
      <c r="T7" s="158">
        <v>2.48635232352941</v>
      </c>
      <c r="U7" s="158">
        <v>22.7615441176471</v>
      </c>
      <c r="V7" s="158">
        <v>120</v>
      </c>
      <c r="W7" s="158"/>
      <c r="X7" s="159">
        <v>1352.14413614706</v>
      </c>
      <c r="Y7" s="173">
        <v>209.39175725</v>
      </c>
      <c r="Z7" s="173"/>
      <c r="AA7" s="173">
        <v>1.14658804411765</v>
      </c>
      <c r="AB7" s="173">
        <v>210.538345294118</v>
      </c>
      <c r="AC7" s="174">
        <v>7.1</v>
      </c>
      <c r="AD7" s="158">
        <v>1494.82225158824</v>
      </c>
      <c r="AE7" s="158">
        <v>2846.96638773529</v>
      </c>
      <c r="AF7" s="158">
        <v>677.273612264706</v>
      </c>
    </row>
    <row r="8" s="87" customFormat="1" ht="12.75" spans="1:32">
      <c r="A8" s="100"/>
      <c r="B8" s="101"/>
      <c r="C8" s="102">
        <v>240708000040</v>
      </c>
      <c r="D8" s="103">
        <v>45490</v>
      </c>
      <c r="E8" s="103" t="s">
        <v>87</v>
      </c>
      <c r="F8" s="101" t="s">
        <v>88</v>
      </c>
      <c r="G8" s="101" t="s">
        <v>95</v>
      </c>
      <c r="H8" s="101">
        <v>0.6334</v>
      </c>
      <c r="I8" s="101">
        <v>1195</v>
      </c>
      <c r="J8" s="124"/>
      <c r="K8" s="125">
        <v>1077245.4</v>
      </c>
      <c r="L8" s="126"/>
      <c r="M8" s="127">
        <v>1744.41396508728</v>
      </c>
      <c r="N8" s="128">
        <v>617.54</v>
      </c>
      <c r="O8" s="101">
        <v>7.12</v>
      </c>
      <c r="P8" s="124">
        <v>4396.8848</v>
      </c>
      <c r="Q8" s="157"/>
      <c r="R8" s="157"/>
      <c r="S8" s="158">
        <v>581.954879411765</v>
      </c>
      <c r="T8" s="158"/>
      <c r="U8" s="158">
        <v>22.3552941176471</v>
      </c>
      <c r="V8" s="158"/>
      <c r="W8" s="158"/>
      <c r="X8" s="159">
        <v>604.310173529412</v>
      </c>
      <c r="Y8" s="173">
        <v>95.3452362647059</v>
      </c>
      <c r="Z8" s="173">
        <v>59</v>
      </c>
      <c r="AA8" s="173">
        <v>0.329740588235294</v>
      </c>
      <c r="AB8" s="173">
        <v>154.674976852941</v>
      </c>
      <c r="AC8" s="174">
        <v>7.26</v>
      </c>
      <c r="AD8" s="158">
        <v>1122.94033195235</v>
      </c>
      <c r="AE8" s="158">
        <v>1727.25050548176</v>
      </c>
      <c r="AF8" s="158">
        <v>2669.63429451824</v>
      </c>
    </row>
    <row r="9" ht="28" customHeight="1" spans="1:32">
      <c r="A9" s="199" t="s">
        <v>84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3"/>
      <c r="Z9" s="203"/>
      <c r="AA9" s="203"/>
      <c r="AB9" s="203"/>
      <c r="AC9" s="203"/>
      <c r="AD9" s="203"/>
      <c r="AE9" s="203"/>
      <c r="AF9" s="203">
        <f>SUM(AF4:AF8)</f>
        <v>4730.46569593736</v>
      </c>
    </row>
    <row r="12" s="1" customFormat="1" ht="23" customHeight="1" spans="3:16">
      <c r="C12" s="72" t="s">
        <v>51</v>
      </c>
      <c r="D12" s="72"/>
      <c r="E12" s="72"/>
      <c r="F12" s="108" t="s">
        <v>52</v>
      </c>
      <c r="G12" s="109"/>
      <c r="H12" s="109"/>
      <c r="I12" s="129"/>
      <c r="J12"/>
      <c r="K12" s="130" t="s">
        <v>96</v>
      </c>
      <c r="L12" s="131"/>
      <c r="M12" s="132"/>
      <c r="N12"/>
      <c r="O12"/>
      <c r="P12"/>
    </row>
    <row r="13" s="1" customFormat="1" ht="23" customHeight="1" spans="3:16">
      <c r="C13" s="72"/>
      <c r="D13" s="72"/>
      <c r="E13" s="72"/>
      <c r="F13" s="110"/>
      <c r="G13" s="111"/>
      <c r="H13" s="111"/>
      <c r="I13" s="133"/>
      <c r="J13"/>
      <c r="K13" s="134" t="s">
        <v>54</v>
      </c>
      <c r="L13" s="134" t="s">
        <v>8</v>
      </c>
      <c r="M13" s="134" t="s">
        <v>55</v>
      </c>
      <c r="N13"/>
      <c r="O13"/>
      <c r="P13"/>
    </row>
    <row r="14" s="1" customFormat="1" ht="23" customHeight="1" spans="3:16">
      <c r="C14" s="72" t="s">
        <v>56</v>
      </c>
      <c r="D14" s="72"/>
      <c r="E14" s="72"/>
      <c r="F14" s="79" t="s">
        <v>57</v>
      </c>
      <c r="G14" s="80"/>
      <c r="H14" s="80"/>
      <c r="I14" s="81"/>
      <c r="J14"/>
      <c r="K14" s="134" t="s">
        <v>58</v>
      </c>
      <c r="L14" s="135">
        <f>SUM(H4:H8)</f>
        <v>4.2378</v>
      </c>
      <c r="M14" s="136">
        <f>SUM(AF9)</f>
        <v>4730.46569593736</v>
      </c>
      <c r="N14"/>
      <c r="O14"/>
      <c r="P14"/>
    </row>
    <row r="15" s="1" customFormat="1" ht="23" customHeight="1" spans="3:16">
      <c r="C15" s="72"/>
      <c r="D15" s="72"/>
      <c r="E15" s="72"/>
      <c r="F15" s="82"/>
      <c r="G15" s="83"/>
      <c r="H15" s="83"/>
      <c r="I15" s="84"/>
      <c r="J15"/>
      <c r="K15" s="137" t="s">
        <v>63</v>
      </c>
      <c r="L15" s="137"/>
      <c r="M15" s="138">
        <v>6663.13562576419</v>
      </c>
      <c r="N15"/>
      <c r="O15"/>
      <c r="P15"/>
    </row>
    <row r="16" s="1" customFormat="1" ht="23" customHeight="1" spans="3:16">
      <c r="C16" s="72" t="s">
        <v>60</v>
      </c>
      <c r="D16" s="72"/>
      <c r="E16" s="72"/>
      <c r="F16" s="79" t="s">
        <v>61</v>
      </c>
      <c r="G16" s="80"/>
      <c r="H16" s="80"/>
      <c r="I16" s="81"/>
      <c r="J16"/>
      <c r="K16" s="139" t="s">
        <v>62</v>
      </c>
      <c r="L16" s="139"/>
      <c r="M16" s="140">
        <f>SUM(M14-M15)</f>
        <v>-1932.66992982683</v>
      </c>
      <c r="N16"/>
      <c r="O16"/>
      <c r="P16"/>
    </row>
    <row r="17" s="1" customFormat="1" ht="23" customHeight="1" spans="3:16">
      <c r="C17" s="72"/>
      <c r="D17" s="72"/>
      <c r="E17" s="72"/>
      <c r="F17" s="82"/>
      <c r="G17" s="83"/>
      <c r="H17" s="83"/>
      <c r="I17" s="84"/>
      <c r="J17"/>
      <c r="K17" s="134" t="s">
        <v>76</v>
      </c>
      <c r="L17" s="134"/>
      <c r="M17" s="134"/>
      <c r="N17"/>
      <c r="O17"/>
      <c r="P17"/>
    </row>
    <row r="18" s="1" customFormat="1" ht="23" customHeight="1" spans="5:16">
      <c r="E18"/>
      <c r="F18"/>
      <c r="G18"/>
      <c r="H18"/>
      <c r="I18"/>
      <c r="J18"/>
      <c r="K18" s="137" t="s">
        <v>65</v>
      </c>
      <c r="L18" s="201" t="s">
        <v>97</v>
      </c>
      <c r="M18" s="202">
        <f>SUM(M15-M16)</f>
        <v>8595.80555559102</v>
      </c>
      <c r="N18"/>
      <c r="O18"/>
      <c r="P18"/>
    </row>
    <row r="19" s="1" customFormat="1" ht="23" customHeight="1" spans="5:16">
      <c r="E19"/>
      <c r="F19"/>
      <c r="G19"/>
      <c r="H19"/>
      <c r="I19"/>
      <c r="J19"/>
      <c r="K19"/>
      <c r="L19"/>
      <c r="M19"/>
      <c r="N19"/>
      <c r="O19"/>
      <c r="P19"/>
    </row>
    <row r="20" s="1" customFormat="1" ht="23" customHeight="1" spans="5:14">
      <c r="E20"/>
      <c r="F20"/>
      <c r="G20"/>
      <c r="H20"/>
      <c r="I20"/>
      <c r="J20"/>
      <c r="K20" s="141"/>
      <c r="L20" s="141"/>
      <c r="M20" s="141"/>
      <c r="N20" s="141"/>
    </row>
    <row r="21" s="1" customFormat="1" ht="23" customHeight="1" spans="5:14">
      <c r="E21"/>
      <c r="F21"/>
      <c r="G21"/>
      <c r="H21"/>
      <c r="I21"/>
      <c r="J21"/>
      <c r="K21" s="141"/>
      <c r="L21" s="141"/>
      <c r="N21"/>
    </row>
    <row r="22" s="1" customFormat="1" ht="23" customHeight="1" spans="5:19">
      <c r="E22"/>
      <c r="F22"/>
      <c r="G22"/>
      <c r="H22"/>
      <c r="I22"/>
      <c r="J22"/>
      <c r="K22" s="141"/>
      <c r="L22" s="141"/>
      <c r="N22"/>
      <c r="O22"/>
      <c r="P22"/>
      <c r="Q22"/>
      <c r="R22"/>
      <c r="S22" s="38"/>
    </row>
    <row r="23" ht="28" customHeight="1"/>
  </sheetData>
  <autoFilter xmlns:etc="http://www.wps.cn/officeDocument/2017/etCustomData" ref="A2:AB22" etc:filterBottomFollowUsedRange="0">
    <extLst/>
  </autoFilter>
  <mergeCells count="23">
    <mergeCell ref="J2:P2"/>
    <mergeCell ref="R2:V2"/>
    <mergeCell ref="Y2:AD2"/>
    <mergeCell ref="K12:M1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14:E15"/>
    <mergeCell ref="F14:I15"/>
    <mergeCell ref="C16:E17"/>
    <mergeCell ref="F16:I17"/>
    <mergeCell ref="C12:E13"/>
    <mergeCell ref="F12:I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35" customHeight="1" spans="1:32">
      <c r="A5" s="100"/>
      <c r="B5" s="101"/>
      <c r="C5" s="102">
        <v>240724000017</v>
      </c>
      <c r="D5" s="103">
        <v>45498</v>
      </c>
      <c r="E5" s="103" t="s">
        <v>98</v>
      </c>
      <c r="F5" s="101" t="s">
        <v>99</v>
      </c>
      <c r="G5" s="101" t="s">
        <v>100</v>
      </c>
      <c r="H5" s="101">
        <v>0.2991</v>
      </c>
      <c r="I5" s="101">
        <v>1311</v>
      </c>
      <c r="J5" s="124"/>
      <c r="K5" s="125">
        <v>1137000</v>
      </c>
      <c r="L5" s="126"/>
      <c r="M5" s="127">
        <f>SUM(K5/N5)</f>
        <v>1689.70129291128</v>
      </c>
      <c r="N5" s="128">
        <v>672.9</v>
      </c>
      <c r="O5" s="101">
        <v>7.06</v>
      </c>
      <c r="P5" s="124">
        <f>SUM(N5*O5)</f>
        <v>4750.674</v>
      </c>
      <c r="Q5" s="157"/>
      <c r="R5" s="157"/>
      <c r="S5" s="158">
        <f>SUM(61477/68)*H5</f>
        <v>270.408392647059</v>
      </c>
      <c r="T5" s="158">
        <f>SUM(600/68)*H5</f>
        <v>2.63911764705882</v>
      </c>
      <c r="U5" s="158">
        <f>SUM(1150/68)*H5</f>
        <v>5.05830882352941</v>
      </c>
      <c r="V5" s="158">
        <v>210</v>
      </c>
      <c r="W5" s="158">
        <v>330</v>
      </c>
      <c r="X5" s="159">
        <f>SUM(S5:W5)</f>
        <v>818.105819117647</v>
      </c>
      <c r="Y5" s="173">
        <f>SUM(10510.33/68)*H5</f>
        <v>46.2299956323529</v>
      </c>
      <c r="Z5" s="173"/>
      <c r="AA5" s="173">
        <f>SUM(35.4/68)*H5</f>
        <v>0.155707941176471</v>
      </c>
      <c r="AB5" s="173">
        <f>SUM(Y5:AA5)</f>
        <v>46.3857035735294</v>
      </c>
      <c r="AC5" s="174">
        <v>7.06</v>
      </c>
      <c r="AD5" s="158">
        <f>SUM(AB5*AC5)</f>
        <v>327.483067229118</v>
      </c>
      <c r="AE5" s="158">
        <f>SUM(X5+AD5)</f>
        <v>1145.58888634676</v>
      </c>
      <c r="AF5" s="158">
        <f>SUM(P5-AE5)</f>
        <v>3605.08511365324</v>
      </c>
    </row>
    <row r="6" s="183" customFormat="1" ht="19" customHeight="1" spans="1:32">
      <c r="A6" s="100" t="s">
        <v>84</v>
      </c>
      <c r="B6" s="185"/>
      <c r="C6" s="186"/>
      <c r="D6" s="187"/>
      <c r="E6" s="188"/>
      <c r="F6" s="185"/>
      <c r="G6" s="185"/>
      <c r="H6" s="185"/>
      <c r="I6" s="193"/>
      <c r="J6" s="193"/>
      <c r="K6" s="193"/>
      <c r="L6" s="193"/>
      <c r="M6" s="194"/>
      <c r="N6" s="19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98"/>
      <c r="AC6" s="198"/>
      <c r="AD6" s="198"/>
      <c r="AE6" s="198"/>
      <c r="AF6" s="198">
        <f>SUM(AF5:AF5)</f>
        <v>3605.08511365324</v>
      </c>
    </row>
    <row r="7" s="184" customFormat="1" ht="20" customHeight="1" spans="1:25">
      <c r="A7" s="189"/>
      <c r="B7" s="189"/>
      <c r="D7" s="190"/>
      <c r="H7" s="191"/>
      <c r="I7" s="195"/>
      <c r="J7" s="196"/>
      <c r="K7" s="191"/>
      <c r="L7" s="191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</row>
    <row r="8" s="1" customFormat="1" ht="23" customHeight="1" spans="3:16">
      <c r="C8" s="72" t="s">
        <v>51</v>
      </c>
      <c r="D8" s="72"/>
      <c r="E8" s="72"/>
      <c r="F8" s="108" t="s">
        <v>52</v>
      </c>
      <c r="G8" s="109"/>
      <c r="H8" s="109"/>
      <c r="I8" s="129"/>
      <c r="J8"/>
      <c r="K8" s="130" t="s">
        <v>101</v>
      </c>
      <c r="L8" s="131"/>
      <c r="M8" s="132"/>
      <c r="N8"/>
      <c r="O8"/>
      <c r="P8"/>
    </row>
    <row r="9" s="1" customFormat="1" ht="23" customHeight="1" spans="3:16">
      <c r="C9" s="72"/>
      <c r="D9" s="72"/>
      <c r="E9" s="72"/>
      <c r="F9" s="110"/>
      <c r="G9" s="111"/>
      <c r="H9" s="111"/>
      <c r="I9" s="133"/>
      <c r="J9"/>
      <c r="K9" s="134" t="s">
        <v>54</v>
      </c>
      <c r="L9" s="134" t="s">
        <v>8</v>
      </c>
      <c r="M9" s="134" t="s">
        <v>55</v>
      </c>
      <c r="N9"/>
      <c r="O9"/>
      <c r="P9"/>
    </row>
    <row r="10" s="1" customFormat="1" ht="23" customHeight="1" spans="3:16">
      <c r="C10" s="72" t="s">
        <v>56</v>
      </c>
      <c r="D10" s="72"/>
      <c r="E10" s="72"/>
      <c r="F10" s="79" t="s">
        <v>57</v>
      </c>
      <c r="G10" s="80"/>
      <c r="H10" s="80"/>
      <c r="I10" s="81"/>
      <c r="J10"/>
      <c r="K10" s="134" t="s">
        <v>58</v>
      </c>
      <c r="L10" s="135">
        <f>SUM(H5)</f>
        <v>0.2991</v>
      </c>
      <c r="M10" s="136">
        <f>SUM(AF5)</f>
        <v>3605.08511365324</v>
      </c>
      <c r="N10"/>
      <c r="O10"/>
      <c r="P10"/>
    </row>
    <row r="11" s="1" customFormat="1" ht="23" customHeight="1" spans="3:16">
      <c r="C11" s="72"/>
      <c r="D11" s="72"/>
      <c r="E11" s="72"/>
      <c r="F11" s="82"/>
      <c r="G11" s="83"/>
      <c r="H11" s="83"/>
      <c r="I11" s="84"/>
      <c r="J11"/>
      <c r="K11" s="137" t="s">
        <v>63</v>
      </c>
      <c r="L11" s="137"/>
      <c r="M11" s="138">
        <v>6000</v>
      </c>
      <c r="N11"/>
      <c r="O11"/>
      <c r="P11"/>
    </row>
    <row r="12" s="1" customFormat="1" ht="23" customHeight="1" spans="3:16">
      <c r="C12" s="72" t="s">
        <v>60</v>
      </c>
      <c r="D12" s="72"/>
      <c r="E12" s="72"/>
      <c r="F12" s="79" t="s">
        <v>61</v>
      </c>
      <c r="G12" s="80"/>
      <c r="H12" s="80"/>
      <c r="I12" s="81"/>
      <c r="J12"/>
      <c r="K12" s="139" t="s">
        <v>62</v>
      </c>
      <c r="L12" s="139"/>
      <c r="M12" s="140">
        <f>SUM(M10-M11)</f>
        <v>-2394.91488634676</v>
      </c>
      <c r="N12"/>
      <c r="O12"/>
      <c r="P12"/>
    </row>
    <row r="13" s="1" customFormat="1" ht="23" customHeight="1" spans="3:16">
      <c r="C13" s="72"/>
      <c r="D13" s="72"/>
      <c r="E13" s="72"/>
      <c r="F13" s="82"/>
      <c r="G13" s="83"/>
      <c r="H13" s="83"/>
      <c r="I13" s="84"/>
      <c r="J13"/>
      <c r="K13" s="134" t="s">
        <v>76</v>
      </c>
      <c r="L13" s="134"/>
      <c r="M13" s="134"/>
      <c r="N13"/>
      <c r="O13"/>
      <c r="P13"/>
    </row>
    <row r="14" s="1" customFormat="1" ht="23" customHeight="1" spans="5:16">
      <c r="E14"/>
      <c r="F14"/>
      <c r="G14"/>
      <c r="H14"/>
      <c r="I14"/>
      <c r="J14"/>
      <c r="K14" s="137" t="s">
        <v>65</v>
      </c>
      <c r="L14" s="137"/>
      <c r="M14" s="138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/>
      <c r="L15"/>
      <c r="M15"/>
      <c r="N15"/>
      <c r="O15"/>
      <c r="P15"/>
    </row>
    <row r="16" s="1" customFormat="1" ht="23" customHeight="1" spans="5:14">
      <c r="E16"/>
      <c r="F16"/>
      <c r="G16"/>
      <c r="H16"/>
      <c r="I16"/>
      <c r="J16"/>
      <c r="K16" s="141"/>
      <c r="L16" s="141"/>
      <c r="M16" s="141"/>
      <c r="N16" s="141"/>
    </row>
    <row r="17" s="1" customFormat="1" ht="23" customHeight="1" spans="5:14">
      <c r="E17"/>
      <c r="F17"/>
      <c r="G17"/>
      <c r="H17"/>
      <c r="I17"/>
      <c r="J17"/>
      <c r="K17" s="141"/>
      <c r="L17" s="141"/>
      <c r="M17" s="141"/>
      <c r="N17" s="141"/>
    </row>
    <row r="18" s="1" customFormat="1" ht="23" customHeight="1" spans="5:19">
      <c r="E18"/>
      <c r="F18"/>
      <c r="G18"/>
      <c r="H18"/>
      <c r="I18"/>
      <c r="J18"/>
      <c r="K18" s="141"/>
      <c r="L18" s="141"/>
      <c r="M18" s="141"/>
      <c r="N18" s="141"/>
      <c r="O18"/>
      <c r="P18"/>
      <c r="Q18"/>
      <c r="R18"/>
      <c r="S18" s="38"/>
    </row>
    <row r="19" s="1" customFormat="1" ht="23" customHeight="1" spans="5:19">
      <c r="E19" s="192"/>
      <c r="F19" s="192"/>
      <c r="G19" s="192"/>
      <c r="H19" s="192"/>
      <c r="I19" s="192"/>
      <c r="J19" s="192"/>
      <c r="K19" s="141"/>
      <c r="L19" s="141"/>
      <c r="M19" s="141"/>
      <c r="N19" s="141"/>
      <c r="O19" s="192"/>
      <c r="P19" s="192"/>
      <c r="Q19" s="192"/>
      <c r="S19" s="38"/>
    </row>
    <row r="20" ht="25" customHeight="1" spans="11:14">
      <c r="K20" s="141"/>
      <c r="L20" s="141"/>
      <c r="M20" s="141"/>
      <c r="N20" s="141"/>
    </row>
    <row r="21" spans="11:14">
      <c r="K21" s="141"/>
      <c r="L21" s="141"/>
      <c r="M21" s="141"/>
      <c r="N21" s="141"/>
    </row>
    <row r="22" spans="11:14">
      <c r="K22" s="141"/>
      <c r="L22" s="141"/>
      <c r="M22" s="141"/>
      <c r="N22" s="141"/>
    </row>
  </sheetData>
  <mergeCells count="23">
    <mergeCell ref="J3:P3"/>
    <mergeCell ref="R3:V3"/>
    <mergeCell ref="Y3:AD3"/>
    <mergeCell ref="K8:M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8:E9"/>
    <mergeCell ref="F8:I9"/>
    <mergeCell ref="C10:E11"/>
    <mergeCell ref="F10:I11"/>
    <mergeCell ref="C12:E13"/>
    <mergeCell ref="F12:I1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3.6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25.5" spans="1:32">
      <c r="A5" s="100" t="s">
        <v>102</v>
      </c>
      <c r="B5" s="101" t="s">
        <v>103</v>
      </c>
      <c r="C5" s="102">
        <v>240715000042</v>
      </c>
      <c r="D5" s="103">
        <v>45498</v>
      </c>
      <c r="E5" s="103" t="s">
        <v>104</v>
      </c>
      <c r="F5" s="101" t="s">
        <v>105</v>
      </c>
      <c r="G5" s="101" t="s">
        <v>106</v>
      </c>
      <c r="H5" s="101">
        <v>0.3636</v>
      </c>
      <c r="I5" s="101">
        <v>253.4</v>
      </c>
      <c r="J5" s="179">
        <v>1117.2</v>
      </c>
      <c r="K5" s="174"/>
      <c r="L5" s="126"/>
      <c r="M5" s="127"/>
      <c r="N5" s="126"/>
      <c r="O5" s="101"/>
      <c r="P5" s="124">
        <v>1117.2</v>
      </c>
      <c r="Q5" s="181">
        <v>44075.8436</v>
      </c>
      <c r="R5" s="182" t="s">
        <v>41</v>
      </c>
      <c r="S5" s="158">
        <v>328.721135294118</v>
      </c>
      <c r="T5" s="158">
        <v>3.20823529411765</v>
      </c>
      <c r="U5" s="158">
        <v>6.14911764705882</v>
      </c>
      <c r="V5" s="158"/>
      <c r="W5" s="158"/>
      <c r="X5" s="159">
        <v>338.078488235294</v>
      </c>
      <c r="Y5" s="173">
        <v>56.1993527647059</v>
      </c>
      <c r="Z5" s="173"/>
      <c r="AA5" s="173">
        <v>0.189285882352941</v>
      </c>
      <c r="AB5" s="173">
        <v>56.3886386470588</v>
      </c>
      <c r="AC5" s="174">
        <v>7.06</v>
      </c>
      <c r="AD5" s="158">
        <v>398.103788848235</v>
      </c>
      <c r="AE5" s="158">
        <v>736.182277083529</v>
      </c>
      <c r="AF5" s="158">
        <v>381.017722916471</v>
      </c>
    </row>
    <row r="6" s="183" customFormat="1" ht="19" customHeight="1" spans="1:32">
      <c r="A6" s="100" t="s">
        <v>84</v>
      </c>
      <c r="B6" s="185"/>
      <c r="C6" s="186"/>
      <c r="D6" s="187"/>
      <c r="E6" s="188"/>
      <c r="F6" s="185"/>
      <c r="G6" s="185"/>
      <c r="H6" s="185"/>
      <c r="I6" s="193"/>
      <c r="J6" s="193"/>
      <c r="K6" s="193"/>
      <c r="L6" s="193"/>
      <c r="M6" s="194"/>
      <c r="N6" s="19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98"/>
      <c r="AC6" s="198"/>
      <c r="AD6" s="198"/>
      <c r="AE6" s="198"/>
      <c r="AF6" s="198">
        <f>SUM(AF5:AF5)</f>
        <v>381.017722916471</v>
      </c>
    </row>
    <row r="7" s="184" customFormat="1" ht="20" customHeight="1" spans="1:25">
      <c r="A7" s="189"/>
      <c r="B7" s="189"/>
      <c r="D7" s="190"/>
      <c r="H7" s="191"/>
      <c r="I7" s="195"/>
      <c r="J7" s="196"/>
      <c r="K7" s="191"/>
      <c r="L7" s="191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</row>
    <row r="8" s="1" customFormat="1" ht="23" customHeight="1" spans="3:16">
      <c r="C8" s="72" t="s">
        <v>51</v>
      </c>
      <c r="D8" s="72"/>
      <c r="E8" s="72"/>
      <c r="F8" s="108" t="s">
        <v>52</v>
      </c>
      <c r="G8" s="109"/>
      <c r="H8" s="109"/>
      <c r="I8" s="129"/>
      <c r="J8"/>
      <c r="K8" s="130" t="s">
        <v>107</v>
      </c>
      <c r="L8" s="131"/>
      <c r="M8" s="132"/>
      <c r="N8" s="197"/>
      <c r="O8"/>
      <c r="P8"/>
    </row>
    <row r="9" s="1" customFormat="1" ht="23" customHeight="1" spans="3:16">
      <c r="C9" s="72"/>
      <c r="D9" s="72"/>
      <c r="E9" s="72"/>
      <c r="F9" s="110"/>
      <c r="G9" s="111"/>
      <c r="H9" s="111"/>
      <c r="I9" s="133"/>
      <c r="J9"/>
      <c r="K9" s="134" t="s">
        <v>54</v>
      </c>
      <c r="L9" s="134" t="s">
        <v>8</v>
      </c>
      <c r="M9" s="134" t="s">
        <v>55</v>
      </c>
      <c r="N9" s="197"/>
      <c r="O9"/>
      <c r="P9"/>
    </row>
    <row r="10" s="1" customFormat="1" ht="23" customHeight="1" spans="3:16">
      <c r="C10" s="72" t="s">
        <v>56</v>
      </c>
      <c r="D10" s="72"/>
      <c r="E10" s="72"/>
      <c r="F10" s="79" t="s">
        <v>57</v>
      </c>
      <c r="G10" s="80"/>
      <c r="H10" s="80"/>
      <c r="I10" s="81"/>
      <c r="J10"/>
      <c r="K10" s="134" t="s">
        <v>58</v>
      </c>
      <c r="L10" s="135">
        <f>SUM(H5)</f>
        <v>0.3636</v>
      </c>
      <c r="M10" s="136">
        <f>SUM(AF5)</f>
        <v>381.017722916471</v>
      </c>
      <c r="N10"/>
      <c r="O10"/>
      <c r="P10"/>
    </row>
    <row r="11" s="1" customFormat="1" ht="23" customHeight="1" spans="3:16">
      <c r="C11" s="72"/>
      <c r="D11" s="72"/>
      <c r="E11" s="72"/>
      <c r="F11" s="82"/>
      <c r="G11" s="83"/>
      <c r="H11" s="83"/>
      <c r="I11" s="84"/>
      <c r="J11"/>
      <c r="K11" s="137" t="s">
        <v>63</v>
      </c>
      <c r="L11" s="137"/>
      <c r="M11" s="138">
        <v>6000</v>
      </c>
      <c r="N11"/>
      <c r="O11"/>
      <c r="P11"/>
    </row>
    <row r="12" s="1" customFormat="1" ht="23" customHeight="1" spans="3:16">
      <c r="C12" s="72" t="s">
        <v>60</v>
      </c>
      <c r="D12" s="72"/>
      <c r="E12" s="72"/>
      <c r="F12" s="79" t="s">
        <v>61</v>
      </c>
      <c r="G12" s="80"/>
      <c r="H12" s="80"/>
      <c r="I12" s="81"/>
      <c r="J12"/>
      <c r="K12" s="139" t="s">
        <v>62</v>
      </c>
      <c r="L12" s="139"/>
      <c r="M12" s="140">
        <f>SUM(M10-M11)</f>
        <v>-5618.98227708353</v>
      </c>
      <c r="N12"/>
      <c r="O12"/>
      <c r="P12"/>
    </row>
    <row r="13" s="1" customFormat="1" ht="23" customHeight="1" spans="3:16">
      <c r="C13" s="72"/>
      <c r="D13" s="72"/>
      <c r="E13" s="72"/>
      <c r="F13" s="82"/>
      <c r="G13" s="83"/>
      <c r="H13" s="83"/>
      <c r="I13" s="84"/>
      <c r="J13"/>
      <c r="K13" s="134" t="s">
        <v>76</v>
      </c>
      <c r="L13" s="134"/>
      <c r="M13" s="134"/>
      <c r="N13"/>
      <c r="O13"/>
      <c r="P13"/>
    </row>
    <row r="14" s="1" customFormat="1" ht="23" customHeight="1" spans="5:16">
      <c r="E14"/>
      <c r="F14"/>
      <c r="G14"/>
      <c r="H14"/>
      <c r="I14"/>
      <c r="J14"/>
      <c r="K14" s="137" t="s">
        <v>65</v>
      </c>
      <c r="L14" s="137"/>
      <c r="M14" s="138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/>
      <c r="L15"/>
      <c r="M15"/>
      <c r="N15"/>
      <c r="O15"/>
      <c r="P15"/>
    </row>
    <row r="16" s="1" customFormat="1" ht="23" customHeight="1" spans="5:14">
      <c r="E16"/>
      <c r="F16"/>
      <c r="G16"/>
      <c r="H16"/>
      <c r="I16"/>
      <c r="J16"/>
      <c r="K16" s="141"/>
      <c r="L16" s="141"/>
      <c r="M16" s="141"/>
      <c r="N16" s="141"/>
    </row>
    <row r="17" s="1" customFormat="1" ht="23" customHeight="1" spans="5:14">
      <c r="E17"/>
      <c r="F17"/>
      <c r="G17"/>
      <c r="H17"/>
      <c r="I17"/>
      <c r="J17"/>
      <c r="K17" s="141"/>
      <c r="L17" s="141"/>
      <c r="M17" s="141"/>
      <c r="N17" s="141"/>
    </row>
    <row r="18" s="1" customFormat="1" ht="23" customHeight="1" spans="5:19">
      <c r="E18"/>
      <c r="F18"/>
      <c r="G18"/>
      <c r="H18"/>
      <c r="I18"/>
      <c r="J18"/>
      <c r="K18" s="141"/>
      <c r="L18" s="141"/>
      <c r="M18" s="141"/>
      <c r="N18" s="141"/>
      <c r="O18"/>
      <c r="P18"/>
      <c r="Q18"/>
      <c r="R18"/>
      <c r="S18" s="38"/>
    </row>
    <row r="19" s="1" customFormat="1" ht="23" customHeight="1" spans="5:19">
      <c r="E19" s="192"/>
      <c r="F19" s="192"/>
      <c r="G19" s="192"/>
      <c r="H19" s="192"/>
      <c r="I19" s="192"/>
      <c r="J19" s="192"/>
      <c r="K19" s="141"/>
      <c r="L19" s="141"/>
      <c r="M19" s="141"/>
      <c r="N19" s="141"/>
      <c r="O19" s="192"/>
      <c r="P19" s="192"/>
      <c r="Q19" s="192"/>
      <c r="S19" s="38"/>
    </row>
    <row r="20" customFormat="1" ht="25" customHeight="1" spans="11:14">
      <c r="K20" s="141"/>
      <c r="L20" s="141"/>
      <c r="M20" s="141"/>
      <c r="N20" s="141"/>
    </row>
    <row r="21" spans="11:14">
      <c r="K21" s="141"/>
      <c r="L21" s="141"/>
      <c r="M21" s="141"/>
      <c r="N21" s="141"/>
    </row>
  </sheetData>
  <mergeCells count="23">
    <mergeCell ref="J3:P3"/>
    <mergeCell ref="R3:V3"/>
    <mergeCell ref="Y3:AD3"/>
    <mergeCell ref="K8:M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8:E9"/>
    <mergeCell ref="F8:I9"/>
    <mergeCell ref="C10:E11"/>
    <mergeCell ref="F10:I11"/>
    <mergeCell ref="C12:E13"/>
    <mergeCell ref="F12:I13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pane xSplit="14" ySplit="4" topLeftCell="O5" activePane="bottomRight" state="frozen"/>
      <selection/>
      <selection pane="topRight"/>
      <selection pane="bottomLeft"/>
      <selection pane="bottomRight" activeCell="M16" sqref="M16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3.6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12.75" spans="1:32">
      <c r="A5" s="100"/>
      <c r="B5" s="101"/>
      <c r="C5" s="102">
        <v>240708000038</v>
      </c>
      <c r="D5" s="103">
        <v>45482</v>
      </c>
      <c r="E5" s="103" t="s">
        <v>108</v>
      </c>
      <c r="F5" s="101" t="s">
        <v>109</v>
      </c>
      <c r="G5" s="101" t="s">
        <v>110</v>
      </c>
      <c r="H5" s="101">
        <v>1.6</v>
      </c>
      <c r="I5" s="101">
        <v>1009</v>
      </c>
      <c r="J5" s="179">
        <v>3916.8</v>
      </c>
      <c r="K5" s="174"/>
      <c r="L5" s="126"/>
      <c r="M5" s="127"/>
      <c r="N5" s="126"/>
      <c r="O5" s="101"/>
      <c r="P5" s="124">
        <v>3916.8</v>
      </c>
      <c r="Q5" s="157"/>
      <c r="R5" s="157"/>
      <c r="S5" s="158">
        <v>1451.22352941176</v>
      </c>
      <c r="T5" s="158"/>
      <c r="U5" s="158">
        <v>51.7647058823529</v>
      </c>
      <c r="V5" s="158"/>
      <c r="W5" s="158"/>
      <c r="X5" s="159">
        <v>1502.98823529412</v>
      </c>
      <c r="Y5" s="173">
        <v>240.846823529412</v>
      </c>
      <c r="Z5" s="173"/>
      <c r="AA5" s="173">
        <v>1.83247058823529</v>
      </c>
      <c r="AB5" s="173">
        <v>242.679294117647</v>
      </c>
      <c r="AC5" s="174">
        <v>7.12</v>
      </c>
      <c r="AD5" s="158">
        <v>1727.87657411765</v>
      </c>
      <c r="AE5" s="158">
        <v>3230.86480941176</v>
      </c>
      <c r="AF5" s="158">
        <v>685.93519058824</v>
      </c>
    </row>
    <row r="6" s="87" customFormat="1" ht="12.75" spans="1:32">
      <c r="A6" s="100"/>
      <c r="B6" s="101"/>
      <c r="C6" s="102">
        <v>240715000029</v>
      </c>
      <c r="D6" s="103">
        <v>45490</v>
      </c>
      <c r="E6" s="103" t="s">
        <v>108</v>
      </c>
      <c r="F6" s="101" t="s">
        <v>109</v>
      </c>
      <c r="G6" s="101" t="s">
        <v>110</v>
      </c>
      <c r="H6" s="101">
        <v>7.56</v>
      </c>
      <c r="I6" s="101">
        <v>5200</v>
      </c>
      <c r="J6" s="179">
        <v>19595.52</v>
      </c>
      <c r="K6" s="174"/>
      <c r="L6" s="126"/>
      <c r="M6" s="127"/>
      <c r="N6" s="126"/>
      <c r="O6" s="101"/>
      <c r="P6" s="124">
        <v>19595.52</v>
      </c>
      <c r="Q6" s="157"/>
      <c r="R6" s="157"/>
      <c r="S6" s="158">
        <v>6945.97235294118</v>
      </c>
      <c r="T6" s="158"/>
      <c r="U6" s="158">
        <v>266.823529411765</v>
      </c>
      <c r="V6" s="158"/>
      <c r="W6" s="158"/>
      <c r="X6" s="159">
        <v>7212.79588235294</v>
      </c>
      <c r="Y6" s="173">
        <v>1138.00124117647</v>
      </c>
      <c r="Z6" s="173"/>
      <c r="AA6" s="173">
        <v>3.93564705882353</v>
      </c>
      <c r="AB6" s="173">
        <v>1141.93688823529</v>
      </c>
      <c r="AC6" s="174">
        <v>7.26</v>
      </c>
      <c r="AD6" s="158">
        <v>8290.46180858824</v>
      </c>
      <c r="AE6" s="158">
        <v>15503.2576909412</v>
      </c>
      <c r="AF6" s="158">
        <v>4092.2623090588</v>
      </c>
    </row>
    <row r="7" s="87" customFormat="1" ht="12.75" spans="1:32">
      <c r="A7" s="100"/>
      <c r="B7" s="101"/>
      <c r="C7" s="102">
        <v>240716000007</v>
      </c>
      <c r="D7" s="103">
        <v>45490</v>
      </c>
      <c r="E7" s="103" t="s">
        <v>108</v>
      </c>
      <c r="F7" s="101" t="s">
        <v>109</v>
      </c>
      <c r="G7" s="101" t="s">
        <v>110</v>
      </c>
      <c r="H7" s="101">
        <v>12.4652</v>
      </c>
      <c r="I7" s="101">
        <v>1110</v>
      </c>
      <c r="J7" s="179">
        <v>29367.14</v>
      </c>
      <c r="K7" s="174"/>
      <c r="L7" s="126"/>
      <c r="M7" s="127"/>
      <c r="N7" s="126"/>
      <c r="O7" s="101"/>
      <c r="P7" s="124">
        <v>29367.14</v>
      </c>
      <c r="Q7" s="157"/>
      <c r="R7" s="157"/>
      <c r="S7" s="158">
        <v>11452.7691235294</v>
      </c>
      <c r="T7" s="158"/>
      <c r="U7" s="158">
        <v>439.948235294118</v>
      </c>
      <c r="V7" s="158">
        <v>200</v>
      </c>
      <c r="W7" s="158"/>
      <c r="X7" s="159">
        <v>12092.7173588235</v>
      </c>
      <c r="Y7" s="173">
        <v>1876.37739041176</v>
      </c>
      <c r="Z7" s="173"/>
      <c r="AA7" s="173">
        <v>6.48923647058823</v>
      </c>
      <c r="AB7" s="173">
        <v>1882.86662688235</v>
      </c>
      <c r="AC7" s="174">
        <v>7.26</v>
      </c>
      <c r="AD7" s="158">
        <v>13669.6117111659</v>
      </c>
      <c r="AE7" s="158">
        <v>25762.3290699894</v>
      </c>
      <c r="AF7" s="158">
        <v>3604.8109300106</v>
      </c>
    </row>
    <row r="8" s="87" customFormat="1" ht="12.75" spans="1:32">
      <c r="A8" s="100"/>
      <c r="B8" s="101"/>
      <c r="C8" s="102">
        <v>240724000025</v>
      </c>
      <c r="D8" s="103">
        <v>45498</v>
      </c>
      <c r="E8" s="103" t="s">
        <v>108</v>
      </c>
      <c r="F8" s="101" t="s">
        <v>109</v>
      </c>
      <c r="G8" s="101" t="s">
        <v>110</v>
      </c>
      <c r="H8" s="101">
        <v>24.4728</v>
      </c>
      <c r="I8" s="101">
        <v>3060</v>
      </c>
      <c r="J8" s="179">
        <v>57259.8</v>
      </c>
      <c r="K8" s="174"/>
      <c r="L8" s="126"/>
      <c r="M8" s="127"/>
      <c r="N8" s="126"/>
      <c r="O8" s="101"/>
      <c r="P8" s="124">
        <v>57259.8</v>
      </c>
      <c r="Q8" s="157"/>
      <c r="R8" s="157"/>
      <c r="S8" s="158">
        <v>22125.2106705882</v>
      </c>
      <c r="T8" s="158">
        <v>215.936470588235</v>
      </c>
      <c r="U8" s="158">
        <v>413.878235294118</v>
      </c>
      <c r="V8" s="158"/>
      <c r="W8" s="158"/>
      <c r="X8" s="159">
        <v>22755.0253764706</v>
      </c>
      <c r="Y8" s="173">
        <v>3782.60594152941</v>
      </c>
      <c r="Z8" s="173"/>
      <c r="AA8" s="173">
        <v>12.7402517647059</v>
      </c>
      <c r="AB8" s="173">
        <v>3795.34619329412</v>
      </c>
      <c r="AC8" s="174">
        <v>7.06</v>
      </c>
      <c r="AD8" s="158">
        <v>26795.1441246565</v>
      </c>
      <c r="AE8" s="158">
        <v>49550.1695011271</v>
      </c>
      <c r="AF8" s="158">
        <v>7709.6304988729</v>
      </c>
    </row>
    <row r="9" s="183" customFormat="1" ht="19" customHeight="1" spans="1:32">
      <c r="A9" s="100" t="s">
        <v>84</v>
      </c>
      <c r="B9" s="185"/>
      <c r="C9" s="186"/>
      <c r="D9" s="187"/>
      <c r="E9" s="188"/>
      <c r="F9" s="185"/>
      <c r="G9" s="185"/>
      <c r="H9" s="185"/>
      <c r="I9" s="193"/>
      <c r="J9" s="193"/>
      <c r="K9" s="193"/>
      <c r="L9" s="193"/>
      <c r="M9" s="194"/>
      <c r="N9" s="19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98"/>
      <c r="AC9" s="198"/>
      <c r="AD9" s="198"/>
      <c r="AE9" s="198"/>
      <c r="AF9" s="198">
        <f>SUM(AF5:AF8)</f>
        <v>16092.6389285305</v>
      </c>
    </row>
    <row r="10" s="184" customFormat="1" ht="20" customHeight="1" spans="1:25">
      <c r="A10" s="189"/>
      <c r="B10" s="189"/>
      <c r="D10" s="190"/>
      <c r="H10" s="191"/>
      <c r="I10" s="195"/>
      <c r="J10" s="196"/>
      <c r="K10" s="191"/>
      <c r="L10" s="191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</row>
    <row r="11" s="1" customFormat="1" ht="23" customHeight="1" spans="3:16">
      <c r="C11" s="72" t="s">
        <v>51</v>
      </c>
      <c r="D11" s="72"/>
      <c r="E11" s="72"/>
      <c r="F11" s="108" t="s">
        <v>52</v>
      </c>
      <c r="G11" s="109"/>
      <c r="H11" s="109"/>
      <c r="I11" s="129"/>
      <c r="J11"/>
      <c r="K11" s="130" t="s">
        <v>111</v>
      </c>
      <c r="L11" s="131"/>
      <c r="M11" s="132"/>
      <c r="N11"/>
      <c r="O11"/>
      <c r="P11"/>
    </row>
    <row r="12" s="1" customFormat="1" ht="23" customHeight="1" spans="3:16">
      <c r="C12" s="72"/>
      <c r="D12" s="72"/>
      <c r="E12" s="72"/>
      <c r="F12" s="110"/>
      <c r="G12" s="111"/>
      <c r="H12" s="111"/>
      <c r="I12" s="133"/>
      <c r="J12"/>
      <c r="K12" s="134" t="s">
        <v>54</v>
      </c>
      <c r="L12" s="134" t="s">
        <v>8</v>
      </c>
      <c r="M12" s="134" t="s">
        <v>55</v>
      </c>
      <c r="N12"/>
      <c r="O12"/>
      <c r="P12"/>
    </row>
    <row r="13" s="1" customFormat="1" ht="23" customHeight="1" spans="3:16">
      <c r="C13" s="72" t="s">
        <v>56</v>
      </c>
      <c r="D13" s="72"/>
      <c r="E13" s="72"/>
      <c r="F13" s="79" t="s">
        <v>57</v>
      </c>
      <c r="G13" s="80"/>
      <c r="H13" s="80"/>
      <c r="I13" s="81"/>
      <c r="J13"/>
      <c r="K13" s="134" t="s">
        <v>58</v>
      </c>
      <c r="L13" s="135">
        <f>SUM(H5:H8)</f>
        <v>46.098</v>
      </c>
      <c r="M13" s="136">
        <f>SUM(AF9)</f>
        <v>16092.6389285305</v>
      </c>
      <c r="N13"/>
      <c r="O13"/>
      <c r="P13"/>
    </row>
    <row r="14" s="1" customFormat="1" ht="23" customHeight="1" spans="3:16">
      <c r="C14" s="72"/>
      <c r="D14" s="72"/>
      <c r="E14" s="72"/>
      <c r="F14" s="82"/>
      <c r="G14" s="83"/>
      <c r="H14" s="83"/>
      <c r="I14" s="84"/>
      <c r="J14"/>
      <c r="K14" s="139" t="s">
        <v>62</v>
      </c>
      <c r="L14" s="139"/>
      <c r="M14" s="140">
        <f>SUM(M13:M13)</f>
        <v>16092.6389285305</v>
      </c>
      <c r="N14"/>
      <c r="O14"/>
      <c r="P14"/>
    </row>
    <row r="15" s="1" customFormat="1" ht="23" customHeight="1" spans="3:16">
      <c r="C15" s="72" t="s">
        <v>60</v>
      </c>
      <c r="D15" s="72"/>
      <c r="E15" s="72"/>
      <c r="F15" s="79" t="s">
        <v>61</v>
      </c>
      <c r="G15" s="80"/>
      <c r="H15" s="80"/>
      <c r="I15" s="81"/>
      <c r="J15"/>
      <c r="K15" s="134" t="s">
        <v>76</v>
      </c>
      <c r="L15" s="134"/>
      <c r="M15" s="134">
        <v>0.4</v>
      </c>
      <c r="N15"/>
      <c r="O15"/>
      <c r="P15"/>
    </row>
    <row r="16" s="1" customFormat="1" ht="23" customHeight="1" spans="3:16">
      <c r="C16" s="72"/>
      <c r="D16" s="72"/>
      <c r="E16" s="72"/>
      <c r="F16" s="82"/>
      <c r="G16" s="83"/>
      <c r="H16" s="83"/>
      <c r="I16" s="84"/>
      <c r="J16"/>
      <c r="K16" s="137" t="s">
        <v>65</v>
      </c>
      <c r="L16" s="137"/>
      <c r="M16" s="138">
        <f>SUM(M14*M15)</f>
        <v>6437.0555714122</v>
      </c>
      <c r="N16"/>
      <c r="O16"/>
      <c r="P16"/>
    </row>
    <row r="17" s="1" customFormat="1" ht="23" customHeight="1" spans="5:16">
      <c r="E17"/>
      <c r="F17"/>
      <c r="G17"/>
      <c r="H17"/>
      <c r="I17"/>
      <c r="J17"/>
      <c r="K17" s="192"/>
      <c r="L17" s="192"/>
      <c r="M17" s="192"/>
      <c r="N17"/>
      <c r="O17"/>
      <c r="P17"/>
    </row>
    <row r="18" s="1" customFormat="1" ht="23" customHeight="1" spans="5:16">
      <c r="E18"/>
      <c r="F18"/>
      <c r="G18"/>
      <c r="H18"/>
      <c r="I18"/>
      <c r="J18"/>
      <c r="K18"/>
      <c r="L18"/>
      <c r="M18"/>
      <c r="N18"/>
      <c r="O18"/>
      <c r="P18"/>
    </row>
    <row r="19" s="1" customFormat="1" ht="23" customHeight="1" spans="5:14">
      <c r="E19"/>
      <c r="F19"/>
      <c r="G19"/>
      <c r="H19"/>
      <c r="I19"/>
      <c r="J19"/>
      <c r="K19" s="141"/>
      <c r="L19" s="141"/>
      <c r="M19" s="141"/>
      <c r="N19" s="141"/>
    </row>
    <row r="20" s="1" customFormat="1" ht="23" customHeight="1" spans="5:14">
      <c r="E20"/>
      <c r="F20"/>
      <c r="G20"/>
      <c r="H20"/>
      <c r="I20"/>
      <c r="J20"/>
      <c r="K20" s="141"/>
      <c r="L20" s="141"/>
      <c r="N20"/>
    </row>
    <row r="21" s="1" customFormat="1" ht="23" customHeight="1" spans="5:19">
      <c r="E21"/>
      <c r="F21"/>
      <c r="G21"/>
      <c r="H21"/>
      <c r="I21"/>
      <c r="J21"/>
      <c r="K21" s="141"/>
      <c r="L21" s="141"/>
      <c r="N21"/>
      <c r="O21"/>
      <c r="P21"/>
      <c r="Q21"/>
      <c r="R21"/>
      <c r="S21" s="38"/>
    </row>
    <row r="22" s="1" customFormat="1" ht="23" customHeight="1" spans="5:19">
      <c r="E22" s="192"/>
      <c r="F22" s="192"/>
      <c r="G22" s="192"/>
      <c r="H22" s="192"/>
      <c r="I22" s="192"/>
      <c r="J22" s="192"/>
      <c r="K22" s="141"/>
      <c r="L22" s="141"/>
      <c r="N22"/>
      <c r="O22" s="192"/>
      <c r="P22" s="192"/>
      <c r="Q22" s="192"/>
      <c r="S22" s="38"/>
    </row>
    <row r="23" ht="25" customHeight="1" spans="11:14">
      <c r="K23" s="141"/>
      <c r="L23" s="141"/>
      <c r="M23" s="1"/>
      <c r="N23" s="1"/>
    </row>
  </sheetData>
  <mergeCells count="23">
    <mergeCell ref="J3:P3"/>
    <mergeCell ref="R3:V3"/>
    <mergeCell ref="Y3:AD3"/>
    <mergeCell ref="K11:M1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1:E12"/>
    <mergeCell ref="F11:I12"/>
    <mergeCell ref="C13:E14"/>
    <mergeCell ref="F13:I14"/>
    <mergeCell ref="C15:E16"/>
    <mergeCell ref="F15:I16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6"/>
  <sheetViews>
    <sheetView workbookViewId="0">
      <pane xSplit="14" ySplit="4" topLeftCell="O16" activePane="bottomRight" state="frozen"/>
      <selection/>
      <selection pane="topRight"/>
      <selection pane="bottomLeft"/>
      <selection pane="bottomRight" activeCell="M37" sqref="M37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0.125"/>
    <col min="12" max="12" width="15.875"/>
    <col min="13" max="13" width="17.25"/>
    <col min="14" max="14" width="10.37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12.75" spans="1:32">
      <c r="A5" s="100"/>
      <c r="B5" s="101"/>
      <c r="C5" s="102">
        <v>240624000056</v>
      </c>
      <c r="D5" s="103">
        <v>45477</v>
      </c>
      <c r="E5" s="103" t="s">
        <v>112</v>
      </c>
      <c r="F5" s="101" t="s">
        <v>112</v>
      </c>
      <c r="G5" s="101" t="s">
        <v>113</v>
      </c>
      <c r="H5" s="101">
        <v>0.509</v>
      </c>
      <c r="I5" s="123">
        <v>207</v>
      </c>
      <c r="J5" s="179">
        <v>1893.7</v>
      </c>
      <c r="K5" s="174"/>
      <c r="L5" s="126"/>
      <c r="M5" s="127"/>
      <c r="N5" s="126"/>
      <c r="O5" s="101"/>
      <c r="P5" s="124">
        <v>1893.7</v>
      </c>
      <c r="Q5" s="157"/>
      <c r="R5" s="157"/>
      <c r="S5" s="158">
        <v>460.173426470588</v>
      </c>
      <c r="T5" s="158"/>
      <c r="U5" s="158">
        <v>9.35661764705882</v>
      </c>
      <c r="V5" s="158">
        <v>270</v>
      </c>
      <c r="W5" s="158"/>
      <c r="X5" s="159">
        <v>739.530044117647</v>
      </c>
      <c r="Y5" s="173">
        <v>79.6454007352941</v>
      </c>
      <c r="Z5" s="173"/>
      <c r="AA5" s="173"/>
      <c r="AB5" s="173">
        <v>79.6454007352941</v>
      </c>
      <c r="AC5" s="174">
        <v>7.1</v>
      </c>
      <c r="AD5" s="158">
        <v>565.482345220588</v>
      </c>
      <c r="AE5" s="158">
        <v>1305.01238933824</v>
      </c>
      <c r="AF5" s="158">
        <v>588.68761066176</v>
      </c>
    </row>
    <row r="6" s="87" customFormat="1" ht="12.75" spans="1:32">
      <c r="A6" s="100"/>
      <c r="B6" s="101"/>
      <c r="C6" s="102">
        <v>240626000044</v>
      </c>
      <c r="D6" s="103">
        <v>45477</v>
      </c>
      <c r="E6" s="103" t="s">
        <v>112</v>
      </c>
      <c r="F6" s="101" t="s">
        <v>112</v>
      </c>
      <c r="G6" s="101" t="s">
        <v>114</v>
      </c>
      <c r="H6" s="101">
        <v>0.6356</v>
      </c>
      <c r="I6" s="123">
        <v>450</v>
      </c>
      <c r="J6" s="179">
        <v>1714.8</v>
      </c>
      <c r="K6" s="174"/>
      <c r="L6" s="126"/>
      <c r="M6" s="127"/>
      <c r="N6" s="126"/>
      <c r="O6" s="101"/>
      <c r="P6" s="124">
        <v>1714.8</v>
      </c>
      <c r="Q6" s="157"/>
      <c r="R6" s="157"/>
      <c r="S6" s="158">
        <v>574.629135294118</v>
      </c>
      <c r="T6" s="158"/>
      <c r="U6" s="158">
        <v>11.6838235294118</v>
      </c>
      <c r="V6" s="158"/>
      <c r="W6" s="158"/>
      <c r="X6" s="159">
        <v>586.312958823529</v>
      </c>
      <c r="Y6" s="173">
        <v>99.4550426470588</v>
      </c>
      <c r="Z6" s="173"/>
      <c r="AA6" s="173"/>
      <c r="AB6" s="173">
        <v>99.4550426470588</v>
      </c>
      <c r="AC6" s="174">
        <v>7.1</v>
      </c>
      <c r="AD6" s="158">
        <v>706.130802794118</v>
      </c>
      <c r="AE6" s="158">
        <v>1292.44376161765</v>
      </c>
      <c r="AF6" s="158">
        <v>422.356238382353</v>
      </c>
    </row>
    <row r="7" s="87" customFormat="1" ht="12.75" spans="1:32">
      <c r="A7" s="100"/>
      <c r="B7" s="101"/>
      <c r="C7" s="102">
        <v>240703000028</v>
      </c>
      <c r="D7" s="103">
        <v>45477</v>
      </c>
      <c r="E7" s="103" t="s">
        <v>112</v>
      </c>
      <c r="F7" s="101" t="s">
        <v>112</v>
      </c>
      <c r="G7" s="101" t="s">
        <v>115</v>
      </c>
      <c r="H7" s="101">
        <v>0.9089</v>
      </c>
      <c r="I7" s="123">
        <v>232</v>
      </c>
      <c r="J7" s="179">
        <v>3294.7</v>
      </c>
      <c r="K7" s="174"/>
      <c r="L7" s="126"/>
      <c r="M7" s="127"/>
      <c r="N7" s="126"/>
      <c r="O7" s="101"/>
      <c r="P7" s="124">
        <v>3294.7</v>
      </c>
      <c r="Q7" s="157"/>
      <c r="R7" s="157"/>
      <c r="S7" s="158">
        <v>821.712430882353</v>
      </c>
      <c r="T7" s="158"/>
      <c r="U7" s="158">
        <v>16.7077205882353</v>
      </c>
      <c r="V7" s="158"/>
      <c r="W7" s="158"/>
      <c r="X7" s="159">
        <v>838.420151470588</v>
      </c>
      <c r="Y7" s="173">
        <v>142.219459191176</v>
      </c>
      <c r="Z7" s="173"/>
      <c r="AA7" s="173"/>
      <c r="AB7" s="173">
        <v>142.219459191176</v>
      </c>
      <c r="AC7" s="174">
        <v>7.1</v>
      </c>
      <c r="AD7" s="158">
        <v>1009.75816025735</v>
      </c>
      <c r="AE7" s="158">
        <v>1848.17831172794</v>
      </c>
      <c r="AF7" s="158">
        <v>1446.52168827206</v>
      </c>
    </row>
    <row r="8" s="87" customFormat="1" ht="12.75" spans="1:32">
      <c r="A8" s="100"/>
      <c r="B8" s="101"/>
      <c r="C8" s="102">
        <v>240703000030</v>
      </c>
      <c r="D8" s="103">
        <v>45477</v>
      </c>
      <c r="E8" s="103" t="s">
        <v>112</v>
      </c>
      <c r="F8" s="101" t="s">
        <v>112</v>
      </c>
      <c r="G8" s="101" t="s">
        <v>114</v>
      </c>
      <c r="H8" s="101">
        <v>1.1081</v>
      </c>
      <c r="I8" s="123">
        <v>861</v>
      </c>
      <c r="J8" s="179">
        <v>2989.7</v>
      </c>
      <c r="K8" s="174"/>
      <c r="L8" s="126"/>
      <c r="M8" s="127"/>
      <c r="N8" s="126"/>
      <c r="O8" s="101"/>
      <c r="P8" s="124">
        <v>2989.7</v>
      </c>
      <c r="Q8" s="180"/>
      <c r="R8" s="180"/>
      <c r="S8" s="158">
        <v>1001.80387794118</v>
      </c>
      <c r="T8" s="158"/>
      <c r="U8" s="158">
        <v>20.3694852941176</v>
      </c>
      <c r="V8" s="158"/>
      <c r="W8" s="158"/>
      <c r="X8" s="159">
        <v>1022.17336323529</v>
      </c>
      <c r="Y8" s="173">
        <v>173.389132720588</v>
      </c>
      <c r="Z8" s="173"/>
      <c r="AA8" s="173"/>
      <c r="AB8" s="173">
        <v>173.389132720588</v>
      </c>
      <c r="AC8" s="174">
        <v>7.1</v>
      </c>
      <c r="AD8" s="158">
        <v>1231.06284231618</v>
      </c>
      <c r="AE8" s="158">
        <v>2253.23620555147</v>
      </c>
      <c r="AF8" s="158">
        <v>736.46379444853</v>
      </c>
    </row>
    <row r="9" s="87" customFormat="1" ht="12.75" spans="1:32">
      <c r="A9" s="100"/>
      <c r="B9" s="101"/>
      <c r="C9" s="102">
        <v>240704000029</v>
      </c>
      <c r="D9" s="103">
        <v>45482</v>
      </c>
      <c r="E9" s="103" t="s">
        <v>112</v>
      </c>
      <c r="F9" s="101" t="s">
        <v>112</v>
      </c>
      <c r="G9" s="101" t="s">
        <v>116</v>
      </c>
      <c r="H9" s="101">
        <v>0.7168</v>
      </c>
      <c r="I9" s="123">
        <v>230</v>
      </c>
      <c r="J9" s="179">
        <v>1792</v>
      </c>
      <c r="K9" s="174"/>
      <c r="L9" s="126"/>
      <c r="M9" s="127"/>
      <c r="N9" s="126"/>
      <c r="O9" s="101"/>
      <c r="P9" s="124">
        <v>1792</v>
      </c>
      <c r="Q9" s="157"/>
      <c r="R9" s="157"/>
      <c r="S9" s="158">
        <v>648.039905882353</v>
      </c>
      <c r="T9" s="158"/>
      <c r="U9" s="158">
        <v>13.1764705882353</v>
      </c>
      <c r="V9" s="158"/>
      <c r="W9" s="158"/>
      <c r="X9" s="159">
        <v>661.216376470588</v>
      </c>
      <c r="Y9" s="173">
        <v>112.160752941176</v>
      </c>
      <c r="Z9" s="173"/>
      <c r="AA9" s="173"/>
      <c r="AB9" s="173">
        <v>112.160752941176</v>
      </c>
      <c r="AC9" s="174">
        <v>7.1</v>
      </c>
      <c r="AD9" s="158">
        <v>796.341345882353</v>
      </c>
      <c r="AE9" s="158">
        <v>1457.55772235294</v>
      </c>
      <c r="AF9" s="158">
        <v>334.44227764706</v>
      </c>
    </row>
    <row r="10" s="87" customFormat="1" ht="12.75" spans="1:32">
      <c r="A10" s="100"/>
      <c r="B10" s="101"/>
      <c r="C10" s="102">
        <v>240703000031</v>
      </c>
      <c r="D10" s="103">
        <v>45478</v>
      </c>
      <c r="E10" s="103" t="s">
        <v>112</v>
      </c>
      <c r="F10" s="101" t="s">
        <v>112</v>
      </c>
      <c r="G10" s="101" t="s">
        <v>117</v>
      </c>
      <c r="H10" s="101">
        <v>36.23</v>
      </c>
      <c r="I10" s="123">
        <v>4650</v>
      </c>
      <c r="J10" s="179">
        <v>63805.02</v>
      </c>
      <c r="K10" s="174"/>
      <c r="L10" s="126"/>
      <c r="M10" s="127"/>
      <c r="N10" s="128"/>
      <c r="O10" s="101"/>
      <c r="P10" s="124">
        <v>63805.02</v>
      </c>
      <c r="Q10" s="157"/>
      <c r="R10" s="157"/>
      <c r="S10" s="158">
        <v>32754.5839705882</v>
      </c>
      <c r="T10" s="158"/>
      <c r="U10" s="158">
        <v>665.992647058824</v>
      </c>
      <c r="V10" s="158"/>
      <c r="W10" s="158"/>
      <c r="X10" s="159">
        <v>33420.5766176471</v>
      </c>
      <c r="Y10" s="173">
        <v>5669.06261029412</v>
      </c>
      <c r="Z10" s="173"/>
      <c r="AA10" s="173"/>
      <c r="AB10" s="173">
        <v>5669.06261029412</v>
      </c>
      <c r="AC10" s="174">
        <v>7.1</v>
      </c>
      <c r="AD10" s="158">
        <v>40250.3445330882</v>
      </c>
      <c r="AE10" s="158">
        <v>73670.9211507353</v>
      </c>
      <c r="AF10" s="158">
        <v>-9865.90115073531</v>
      </c>
    </row>
    <row r="11" s="87" customFormat="1" ht="12.75" spans="1:32">
      <c r="A11" s="100"/>
      <c r="B11" s="101"/>
      <c r="C11" s="102">
        <v>240704000018</v>
      </c>
      <c r="D11" s="103">
        <v>45477</v>
      </c>
      <c r="E11" s="103" t="s">
        <v>112</v>
      </c>
      <c r="F11" s="101" t="s">
        <v>112</v>
      </c>
      <c r="G11" s="101" t="s">
        <v>118</v>
      </c>
      <c r="H11" s="101">
        <v>0.0287</v>
      </c>
      <c r="I11" s="123">
        <v>25</v>
      </c>
      <c r="J11" s="179">
        <v>106</v>
      </c>
      <c r="K11" s="174"/>
      <c r="L11" s="126"/>
      <c r="M11" s="127"/>
      <c r="N11" s="126"/>
      <c r="O11" s="101"/>
      <c r="P11" s="124">
        <v>106</v>
      </c>
      <c r="Q11" s="180"/>
      <c r="R11" s="180"/>
      <c r="S11" s="158">
        <v>25.9469102941176</v>
      </c>
      <c r="T11" s="158"/>
      <c r="U11" s="158">
        <v>0.527573529411765</v>
      </c>
      <c r="V11" s="158"/>
      <c r="W11" s="158"/>
      <c r="X11" s="159">
        <v>26.4744838235294</v>
      </c>
      <c r="Y11" s="173">
        <v>4.49081139705882</v>
      </c>
      <c r="Z11" s="173"/>
      <c r="AA11" s="173"/>
      <c r="AB11" s="173">
        <v>4.49081139705882</v>
      </c>
      <c r="AC11" s="174">
        <v>7.1</v>
      </c>
      <c r="AD11" s="158">
        <v>31.8847609191176</v>
      </c>
      <c r="AE11" s="158">
        <v>58.359244742647</v>
      </c>
      <c r="AF11" s="158">
        <v>47.640755257353</v>
      </c>
    </row>
    <row r="12" s="87" customFormat="1" ht="12.75" spans="1:32">
      <c r="A12" s="100"/>
      <c r="B12" s="101"/>
      <c r="C12" s="102">
        <v>240704000029</v>
      </c>
      <c r="D12" s="103">
        <v>45482</v>
      </c>
      <c r="E12" s="103" t="s">
        <v>112</v>
      </c>
      <c r="F12" s="101" t="s">
        <v>112</v>
      </c>
      <c r="G12" s="101" t="s">
        <v>116</v>
      </c>
      <c r="H12" s="101">
        <v>13.9646</v>
      </c>
      <c r="I12" s="101">
        <v>3568</v>
      </c>
      <c r="J12" s="179">
        <v>34908</v>
      </c>
      <c r="K12" s="174"/>
      <c r="L12" s="126"/>
      <c r="M12" s="127"/>
      <c r="N12" s="126"/>
      <c r="O12" s="101"/>
      <c r="P12" s="124">
        <v>34908</v>
      </c>
      <c r="Q12" s="157"/>
      <c r="R12" s="157"/>
      <c r="S12" s="158">
        <v>12522.3443264706</v>
      </c>
      <c r="T12" s="158">
        <v>25.7975448823529</v>
      </c>
      <c r="U12" s="158">
        <v>236.166029411765</v>
      </c>
      <c r="V12" s="158"/>
      <c r="W12" s="158"/>
      <c r="X12" s="159">
        <v>12784.3079007647</v>
      </c>
      <c r="Y12" s="173">
        <v>2172.5775565</v>
      </c>
      <c r="Z12" s="173"/>
      <c r="AA12" s="173">
        <v>11.8966070294118</v>
      </c>
      <c r="AB12" s="173">
        <v>2184.47416352941</v>
      </c>
      <c r="AC12" s="174">
        <v>7.1</v>
      </c>
      <c r="AD12" s="158">
        <v>15509.7665610588</v>
      </c>
      <c r="AE12" s="158">
        <v>28294.0744618235</v>
      </c>
      <c r="AF12" s="158">
        <v>6613.9255381765</v>
      </c>
    </row>
    <row r="13" s="87" customFormat="1" ht="12.75" spans="1:32">
      <c r="A13" s="100"/>
      <c r="B13" s="101"/>
      <c r="C13" s="102">
        <v>240703000031</v>
      </c>
      <c r="D13" s="103">
        <v>45478</v>
      </c>
      <c r="E13" s="103" t="s">
        <v>112</v>
      </c>
      <c r="F13" s="101" t="s">
        <v>112</v>
      </c>
      <c r="G13" s="101" t="s">
        <v>117</v>
      </c>
      <c r="H13" s="101">
        <v>7.89</v>
      </c>
      <c r="I13" s="101">
        <v>615</v>
      </c>
      <c r="J13" s="179">
        <v>13912.77</v>
      </c>
      <c r="K13" s="174"/>
      <c r="L13" s="126"/>
      <c r="M13" s="127"/>
      <c r="N13" s="128"/>
      <c r="O13" s="101"/>
      <c r="P13" s="124">
        <v>13912.77</v>
      </c>
      <c r="Q13" s="157"/>
      <c r="R13" s="157"/>
      <c r="S13" s="158">
        <v>7075.12544117647</v>
      </c>
      <c r="T13" s="158">
        <v>14.5756147058824</v>
      </c>
      <c r="U13" s="158">
        <v>133.433823529412</v>
      </c>
      <c r="V13" s="158"/>
      <c r="W13" s="158"/>
      <c r="X13" s="159">
        <v>7223.13487941176</v>
      </c>
      <c r="Y13" s="173">
        <v>1227.506475</v>
      </c>
      <c r="Z13" s="173"/>
      <c r="AA13" s="173">
        <v>6.72158382352941</v>
      </c>
      <c r="AB13" s="173">
        <v>1234.22805882353</v>
      </c>
      <c r="AC13" s="174">
        <v>7.1</v>
      </c>
      <c r="AD13" s="158">
        <v>8763.01921764706</v>
      </c>
      <c r="AE13" s="158">
        <v>15986.1540970588</v>
      </c>
      <c r="AF13" s="158">
        <v>-2073.3840970588</v>
      </c>
    </row>
    <row r="14" s="87" customFormat="1" ht="12.75" spans="1:32">
      <c r="A14" s="100"/>
      <c r="B14" s="101"/>
      <c r="C14" s="102">
        <v>240705000003</v>
      </c>
      <c r="D14" s="103">
        <v>45478</v>
      </c>
      <c r="E14" s="103" t="s">
        <v>112</v>
      </c>
      <c r="F14" s="101" t="s">
        <v>112</v>
      </c>
      <c r="G14" s="101" t="s">
        <v>117</v>
      </c>
      <c r="H14" s="101">
        <v>29.53</v>
      </c>
      <c r="I14" s="101">
        <v>3724</v>
      </c>
      <c r="J14" s="179">
        <v>52005.58</v>
      </c>
      <c r="K14" s="174"/>
      <c r="L14" s="126"/>
      <c r="M14" s="127"/>
      <c r="N14" s="128"/>
      <c r="O14" s="101"/>
      <c r="P14" s="124">
        <v>52005.58</v>
      </c>
      <c r="Q14" s="180"/>
      <c r="R14" s="180"/>
      <c r="S14" s="158">
        <v>26480.1589705882</v>
      </c>
      <c r="T14" s="158">
        <v>54.5523323529412</v>
      </c>
      <c r="U14" s="158">
        <v>499.404411764706</v>
      </c>
      <c r="V14" s="158"/>
      <c r="W14" s="158"/>
      <c r="X14" s="159">
        <v>27034.1157147059</v>
      </c>
      <c r="Y14" s="173">
        <v>4594.203575</v>
      </c>
      <c r="Z14" s="173"/>
      <c r="AA14" s="173">
        <v>25.1569544117647</v>
      </c>
      <c r="AB14" s="173">
        <v>4619.36052941177</v>
      </c>
      <c r="AC14" s="174">
        <v>7.1</v>
      </c>
      <c r="AD14" s="158">
        <v>32797.4597588235</v>
      </c>
      <c r="AE14" s="158">
        <v>59831.5754735294</v>
      </c>
      <c r="AF14" s="158">
        <v>-7825.9954735294</v>
      </c>
    </row>
    <row r="15" s="87" customFormat="1" ht="25.5" spans="1:32">
      <c r="A15" s="100" t="s">
        <v>119</v>
      </c>
      <c r="B15" s="101" t="s">
        <v>120</v>
      </c>
      <c r="C15" s="102">
        <v>240618000026</v>
      </c>
      <c r="D15" s="103">
        <v>45482</v>
      </c>
      <c r="E15" s="103" t="s">
        <v>112</v>
      </c>
      <c r="F15" s="101" t="s">
        <v>112</v>
      </c>
      <c r="G15" s="101" t="s">
        <v>121</v>
      </c>
      <c r="H15" s="101">
        <v>9.0048</v>
      </c>
      <c r="I15" s="101">
        <v>5844</v>
      </c>
      <c r="J15" s="179">
        <v>32609</v>
      </c>
      <c r="K15" s="174"/>
      <c r="L15" s="126"/>
      <c r="M15" s="127"/>
      <c r="N15" s="126"/>
      <c r="O15" s="101"/>
      <c r="P15" s="124">
        <v>32609</v>
      </c>
      <c r="Q15" s="181">
        <v>180613.74</v>
      </c>
      <c r="R15" s="182" t="s">
        <v>122</v>
      </c>
      <c r="S15" s="158">
        <v>8167.48602352941</v>
      </c>
      <c r="T15" s="158"/>
      <c r="U15" s="158">
        <v>291.331764705882</v>
      </c>
      <c r="V15" s="158">
        <v>120</v>
      </c>
      <c r="W15" s="158">
        <v>1600</v>
      </c>
      <c r="X15" s="159">
        <v>10178.8177882353</v>
      </c>
      <c r="Y15" s="173">
        <v>1355.48592282353</v>
      </c>
      <c r="Z15" s="173">
        <v>513.28</v>
      </c>
      <c r="AA15" s="173">
        <v>10.3131444705882</v>
      </c>
      <c r="AB15" s="173">
        <v>1879.07906729412</v>
      </c>
      <c r="AC15" s="174">
        <v>7.12</v>
      </c>
      <c r="AD15" s="158">
        <v>13379.0429591341</v>
      </c>
      <c r="AE15" s="158">
        <v>23557.8607473694</v>
      </c>
      <c r="AF15" s="158">
        <v>9051.13925263059</v>
      </c>
    </row>
    <row r="16" s="87" customFormat="1" ht="12.75" spans="1:32">
      <c r="A16" s="100"/>
      <c r="B16" s="101"/>
      <c r="C16" s="102">
        <v>240704000029</v>
      </c>
      <c r="D16" s="103">
        <v>45482</v>
      </c>
      <c r="E16" s="103" t="s">
        <v>112</v>
      </c>
      <c r="F16" s="101" t="s">
        <v>112</v>
      </c>
      <c r="G16" s="101" t="s">
        <v>116</v>
      </c>
      <c r="H16" s="101">
        <v>14.9276</v>
      </c>
      <c r="I16" s="101">
        <v>11064</v>
      </c>
      <c r="J16" s="179">
        <v>37314.5</v>
      </c>
      <c r="K16" s="174"/>
      <c r="L16" s="126"/>
      <c r="M16" s="127"/>
      <c r="N16" s="126"/>
      <c r="O16" s="101"/>
      <c r="P16" s="124">
        <v>37314.5</v>
      </c>
      <c r="Q16" s="157"/>
      <c r="R16" s="157"/>
      <c r="S16" s="158">
        <v>13539.5527235294</v>
      </c>
      <c r="T16" s="158"/>
      <c r="U16" s="158">
        <v>482.951764705882</v>
      </c>
      <c r="V16" s="158"/>
      <c r="W16" s="158"/>
      <c r="X16" s="159">
        <v>14022.5044882353</v>
      </c>
      <c r="Y16" s="173">
        <v>2247.04065182353</v>
      </c>
      <c r="Z16" s="173"/>
      <c r="AA16" s="173">
        <v>17.0964924705882</v>
      </c>
      <c r="AB16" s="173">
        <v>2264.13714429412</v>
      </c>
      <c r="AC16" s="174">
        <v>7.12</v>
      </c>
      <c r="AD16" s="158">
        <v>16120.6564673741</v>
      </c>
      <c r="AE16" s="158">
        <v>30143.1609556094</v>
      </c>
      <c r="AF16" s="158">
        <v>7171.3390443906</v>
      </c>
    </row>
    <row r="17" s="87" customFormat="1" ht="12.75" spans="1:32">
      <c r="A17" s="100"/>
      <c r="B17" s="101"/>
      <c r="C17" s="102">
        <v>240707000003</v>
      </c>
      <c r="D17" s="103">
        <v>45482</v>
      </c>
      <c r="E17" s="103" t="s">
        <v>112</v>
      </c>
      <c r="F17" s="101" t="s">
        <v>112</v>
      </c>
      <c r="G17" s="101" t="s">
        <v>116</v>
      </c>
      <c r="H17" s="101">
        <v>0.1208</v>
      </c>
      <c r="I17" s="101">
        <v>69</v>
      </c>
      <c r="J17" s="179">
        <v>330.48</v>
      </c>
      <c r="K17" s="174"/>
      <c r="L17" s="126"/>
      <c r="M17" s="127"/>
      <c r="N17" s="126"/>
      <c r="O17" s="101"/>
      <c r="P17" s="124">
        <v>330.48</v>
      </c>
      <c r="Q17" s="157"/>
      <c r="R17" s="157"/>
      <c r="S17" s="158">
        <v>109.567376470588</v>
      </c>
      <c r="T17" s="158"/>
      <c r="U17" s="158">
        <v>3.90823529411765</v>
      </c>
      <c r="V17" s="158"/>
      <c r="W17" s="158"/>
      <c r="X17" s="159">
        <v>113.475611764706</v>
      </c>
      <c r="Y17" s="173">
        <v>18.1839351764706</v>
      </c>
      <c r="Z17" s="173"/>
      <c r="AA17" s="173">
        <v>0.138351529411765</v>
      </c>
      <c r="AB17" s="173">
        <v>18.3222867058824</v>
      </c>
      <c r="AC17" s="174">
        <v>7.12</v>
      </c>
      <c r="AD17" s="158">
        <v>130.454681345882</v>
      </c>
      <c r="AE17" s="158">
        <v>243.930293110588</v>
      </c>
      <c r="AF17" s="158">
        <v>86.549706889412</v>
      </c>
    </row>
    <row r="18" s="87" customFormat="1" ht="12.75" spans="1:32">
      <c r="A18" s="100"/>
      <c r="B18" s="101"/>
      <c r="C18" s="102">
        <v>240708000062</v>
      </c>
      <c r="D18" s="103">
        <v>45482</v>
      </c>
      <c r="E18" s="103" t="s">
        <v>112</v>
      </c>
      <c r="F18" s="101" t="s">
        <v>112</v>
      </c>
      <c r="G18" s="101" t="s">
        <v>117</v>
      </c>
      <c r="H18" s="101">
        <v>35.79</v>
      </c>
      <c r="I18" s="101">
        <v>4290.5</v>
      </c>
      <c r="J18" s="179">
        <v>62519.76</v>
      </c>
      <c r="K18" s="174"/>
      <c r="L18" s="126"/>
      <c r="M18" s="127"/>
      <c r="N18" s="128"/>
      <c r="O18" s="101"/>
      <c r="P18" s="124">
        <v>62519.76</v>
      </c>
      <c r="Q18" s="180"/>
      <c r="R18" s="180"/>
      <c r="S18" s="158">
        <v>32462.0563235294</v>
      </c>
      <c r="T18" s="158"/>
      <c r="U18" s="158">
        <v>1157.91176470588</v>
      </c>
      <c r="V18" s="158"/>
      <c r="W18" s="158"/>
      <c r="X18" s="159">
        <v>33619.9680882353</v>
      </c>
      <c r="Y18" s="173">
        <v>5387.44238382353</v>
      </c>
      <c r="Z18" s="173"/>
      <c r="AA18" s="173">
        <v>40.9900764705882</v>
      </c>
      <c r="AB18" s="173">
        <v>5428.43246029412</v>
      </c>
      <c r="AC18" s="174">
        <v>7.12</v>
      </c>
      <c r="AD18" s="158">
        <v>38650.4391172941</v>
      </c>
      <c r="AE18" s="158">
        <v>72270.4072055294</v>
      </c>
      <c r="AF18" s="158">
        <v>-9750.64720552939</v>
      </c>
    </row>
    <row r="19" s="87" customFormat="1" ht="12.75" spans="1:32">
      <c r="A19" s="100"/>
      <c r="B19" s="101"/>
      <c r="C19" s="102">
        <v>240702000027</v>
      </c>
      <c r="D19" s="103">
        <v>45490</v>
      </c>
      <c r="E19" s="103" t="s">
        <v>112</v>
      </c>
      <c r="F19" s="101" t="s">
        <v>112</v>
      </c>
      <c r="G19" s="101" t="s">
        <v>123</v>
      </c>
      <c r="H19" s="101">
        <v>0.9364</v>
      </c>
      <c r="I19" s="101">
        <v>230</v>
      </c>
      <c r="J19" s="124"/>
      <c r="K19" s="125">
        <v>539654</v>
      </c>
      <c r="L19" s="126"/>
      <c r="M19" s="127">
        <v>1694.99968590992</v>
      </c>
      <c r="N19" s="128">
        <v>318.38</v>
      </c>
      <c r="O19" s="101">
        <v>7.08</v>
      </c>
      <c r="P19" s="124">
        <v>2254.1304</v>
      </c>
      <c r="Q19" s="157"/>
      <c r="R19" s="157"/>
      <c r="S19" s="158">
        <v>860.345041176471</v>
      </c>
      <c r="T19" s="158"/>
      <c r="U19" s="158">
        <v>33.0494117647059</v>
      </c>
      <c r="V19" s="158"/>
      <c r="W19" s="158"/>
      <c r="X19" s="159">
        <v>893.394452941176</v>
      </c>
      <c r="Y19" s="173">
        <v>140.955603470588</v>
      </c>
      <c r="Z19" s="173"/>
      <c r="AA19" s="173">
        <v>0.487478823529412</v>
      </c>
      <c r="AB19" s="173">
        <v>141.443082294118</v>
      </c>
      <c r="AC19" s="174">
        <v>7.26</v>
      </c>
      <c r="AD19" s="158">
        <v>1026.87677745529</v>
      </c>
      <c r="AE19" s="158">
        <v>1920.27123039647</v>
      </c>
      <c r="AF19" s="158">
        <v>333.85916960353</v>
      </c>
    </row>
    <row r="20" s="87" customFormat="1" ht="12.75" spans="1:32">
      <c r="A20" s="100"/>
      <c r="B20" s="101"/>
      <c r="C20" s="102">
        <v>240715000048</v>
      </c>
      <c r="D20" s="103">
        <v>45490</v>
      </c>
      <c r="E20" s="103" t="s">
        <v>112</v>
      </c>
      <c r="F20" s="101" t="s">
        <v>112</v>
      </c>
      <c r="G20" s="101" t="s">
        <v>124</v>
      </c>
      <c r="H20" s="101">
        <v>11.5846</v>
      </c>
      <c r="I20" s="101">
        <v>2575.5</v>
      </c>
      <c r="J20" s="179">
        <v>24968.54</v>
      </c>
      <c r="K20" s="174"/>
      <c r="L20" s="126"/>
      <c r="M20" s="127"/>
      <c r="N20" s="126"/>
      <c r="O20" s="101"/>
      <c r="P20" s="124">
        <v>24968.54</v>
      </c>
      <c r="Q20" s="157"/>
      <c r="R20" s="157"/>
      <c r="S20" s="158">
        <v>10643.6919735294</v>
      </c>
      <c r="T20" s="158"/>
      <c r="U20" s="158">
        <v>408.868235294118</v>
      </c>
      <c r="V20" s="158"/>
      <c r="W20" s="158"/>
      <c r="X20" s="159">
        <v>11052.5602088235</v>
      </c>
      <c r="Y20" s="173">
        <v>1743.82131991176</v>
      </c>
      <c r="Z20" s="173"/>
      <c r="AA20" s="173">
        <v>6.03080647058823</v>
      </c>
      <c r="AB20" s="173">
        <v>1749.85212638235</v>
      </c>
      <c r="AC20" s="174">
        <v>7.26</v>
      </c>
      <c r="AD20" s="158">
        <v>12703.9264375359</v>
      </c>
      <c r="AE20" s="158">
        <v>23756.4866463594</v>
      </c>
      <c r="AF20" s="158">
        <v>1212.0533536406</v>
      </c>
    </row>
    <row r="21" s="87" customFormat="1" ht="12.75" spans="1:32">
      <c r="A21" s="100"/>
      <c r="B21" s="101"/>
      <c r="C21" s="102">
        <v>240715000049</v>
      </c>
      <c r="D21" s="103">
        <v>45490</v>
      </c>
      <c r="E21" s="103" t="s">
        <v>112</v>
      </c>
      <c r="F21" s="101" t="s">
        <v>112</v>
      </c>
      <c r="G21" s="101" t="s">
        <v>124</v>
      </c>
      <c r="H21" s="101">
        <v>5.0829</v>
      </c>
      <c r="I21" s="101">
        <v>911</v>
      </c>
      <c r="J21" s="179">
        <v>10979.06</v>
      </c>
      <c r="K21" s="174"/>
      <c r="L21" s="126"/>
      <c r="M21" s="127"/>
      <c r="N21" s="126"/>
      <c r="O21" s="101"/>
      <c r="P21" s="124">
        <v>10979.06</v>
      </c>
      <c r="Q21" s="157"/>
      <c r="R21" s="157"/>
      <c r="S21" s="158">
        <v>4670.06387205882</v>
      </c>
      <c r="T21" s="158"/>
      <c r="U21" s="158">
        <v>179.396470588235</v>
      </c>
      <c r="V21" s="158"/>
      <c r="W21" s="158"/>
      <c r="X21" s="159">
        <v>4849.46034264706</v>
      </c>
      <c r="Y21" s="173">
        <v>765.125199573529</v>
      </c>
      <c r="Z21" s="173"/>
      <c r="AA21" s="173">
        <v>2.64609794117647</v>
      </c>
      <c r="AB21" s="173">
        <v>767.771297514706</v>
      </c>
      <c r="AC21" s="174">
        <v>7.26</v>
      </c>
      <c r="AD21" s="158">
        <v>5574.01961995676</v>
      </c>
      <c r="AE21" s="158">
        <v>10423.4799626038</v>
      </c>
      <c r="AF21" s="158">
        <v>555.580037396199</v>
      </c>
    </row>
    <row r="22" s="87" customFormat="1" ht="12.75" spans="1:32">
      <c r="A22" s="100"/>
      <c r="B22" s="101"/>
      <c r="C22" s="102">
        <v>240716000037</v>
      </c>
      <c r="D22" s="103">
        <v>45490</v>
      </c>
      <c r="E22" s="103" t="s">
        <v>112</v>
      </c>
      <c r="F22" s="101" t="s">
        <v>112</v>
      </c>
      <c r="G22" s="101" t="s">
        <v>117</v>
      </c>
      <c r="H22" s="101">
        <v>23.75</v>
      </c>
      <c r="I22" s="101">
        <v>3022</v>
      </c>
      <c r="J22" s="179">
        <v>41995.7</v>
      </c>
      <c r="K22" s="174"/>
      <c r="L22" s="126"/>
      <c r="M22" s="127"/>
      <c r="N22" s="128"/>
      <c r="O22" s="101"/>
      <c r="P22" s="124">
        <v>41995.7</v>
      </c>
      <c r="Q22" s="180"/>
      <c r="R22" s="180"/>
      <c r="S22" s="158">
        <v>21821.0110294118</v>
      </c>
      <c r="T22" s="158"/>
      <c r="U22" s="158">
        <v>838.235294117647</v>
      </c>
      <c r="V22" s="158"/>
      <c r="W22" s="158"/>
      <c r="X22" s="159">
        <v>22659.2463235294</v>
      </c>
      <c r="Y22" s="173">
        <v>3575.07003676471</v>
      </c>
      <c r="Z22" s="173"/>
      <c r="AA22" s="173">
        <v>12.3639705882353</v>
      </c>
      <c r="AB22" s="173">
        <v>3587.43400735294</v>
      </c>
      <c r="AC22" s="174">
        <v>7.26</v>
      </c>
      <c r="AD22" s="158">
        <v>26044.7708933824</v>
      </c>
      <c r="AE22" s="158">
        <v>48704.0172169118</v>
      </c>
      <c r="AF22" s="158">
        <v>-6708.3172169118</v>
      </c>
    </row>
    <row r="23" s="87" customFormat="1" ht="12.75" spans="1:32">
      <c r="A23" s="100"/>
      <c r="B23" s="101"/>
      <c r="C23" s="102">
        <v>240724000022</v>
      </c>
      <c r="D23" s="103">
        <v>45498</v>
      </c>
      <c r="E23" s="103" t="s">
        <v>112</v>
      </c>
      <c r="F23" s="101" t="s">
        <v>112</v>
      </c>
      <c r="G23" s="101" t="s">
        <v>124</v>
      </c>
      <c r="H23" s="101">
        <v>6.0843</v>
      </c>
      <c r="I23" s="101">
        <v>633</v>
      </c>
      <c r="J23" s="179">
        <v>12265.92</v>
      </c>
      <c r="K23" s="174"/>
      <c r="L23" s="126"/>
      <c r="M23" s="127"/>
      <c r="N23" s="126"/>
      <c r="O23" s="101"/>
      <c r="P23" s="124">
        <v>12265.92</v>
      </c>
      <c r="Q23" s="157"/>
      <c r="R23" s="157"/>
      <c r="S23" s="158">
        <v>5500.654575</v>
      </c>
      <c r="T23" s="158">
        <v>53.685</v>
      </c>
      <c r="U23" s="158">
        <v>102.89625</v>
      </c>
      <c r="V23" s="158"/>
      <c r="W23" s="158"/>
      <c r="X23" s="159">
        <v>5657.235825</v>
      </c>
      <c r="Y23" s="173">
        <v>940.41177675</v>
      </c>
      <c r="Z23" s="173"/>
      <c r="AA23" s="173">
        <v>3.167415</v>
      </c>
      <c r="AB23" s="173">
        <v>943.57919175</v>
      </c>
      <c r="AC23" s="174">
        <v>7.06</v>
      </c>
      <c r="AD23" s="158">
        <v>6661.669093755</v>
      </c>
      <c r="AE23" s="158">
        <v>12318.904918755</v>
      </c>
      <c r="AF23" s="158">
        <v>-52.9849187550008</v>
      </c>
    </row>
    <row r="24" s="87" customFormat="1" ht="12.75" spans="1:32">
      <c r="A24" s="100"/>
      <c r="B24" s="101"/>
      <c r="C24" s="102">
        <v>240724000024</v>
      </c>
      <c r="D24" s="103">
        <v>45498</v>
      </c>
      <c r="E24" s="103" t="s">
        <v>112</v>
      </c>
      <c r="F24" s="101" t="s">
        <v>112</v>
      </c>
      <c r="G24" s="101" t="s">
        <v>124</v>
      </c>
      <c r="H24" s="101">
        <v>0.6352</v>
      </c>
      <c r="I24" s="101">
        <v>38</v>
      </c>
      <c r="J24" s="179">
        <v>1280.59</v>
      </c>
      <c r="K24" s="174"/>
      <c r="L24" s="126"/>
      <c r="M24" s="127"/>
      <c r="N24" s="126"/>
      <c r="O24" s="101"/>
      <c r="P24" s="124">
        <v>1280.59</v>
      </c>
      <c r="Q24" s="157"/>
      <c r="R24" s="157"/>
      <c r="S24" s="158">
        <v>574.267505882353</v>
      </c>
      <c r="T24" s="158">
        <v>5.60470588235294</v>
      </c>
      <c r="U24" s="158">
        <v>10.7423529411765</v>
      </c>
      <c r="V24" s="158"/>
      <c r="W24" s="158"/>
      <c r="X24" s="159">
        <v>590.614564705882</v>
      </c>
      <c r="Y24" s="173">
        <v>98.1788472941176</v>
      </c>
      <c r="Z24" s="173"/>
      <c r="AA24" s="173">
        <v>0.330677647058823</v>
      </c>
      <c r="AB24" s="173">
        <v>98.5095249411765</v>
      </c>
      <c r="AC24" s="174">
        <v>7.06</v>
      </c>
      <c r="AD24" s="158">
        <v>695.477246084706</v>
      </c>
      <c r="AE24" s="158">
        <v>1286.09181079059</v>
      </c>
      <c r="AF24" s="158">
        <v>-5.50181079059007</v>
      </c>
    </row>
    <row r="25" s="87" customFormat="1" ht="12.75" spans="1:32">
      <c r="A25" s="100"/>
      <c r="B25" s="101"/>
      <c r="C25" s="102">
        <v>240724000044</v>
      </c>
      <c r="D25" s="103">
        <v>45498</v>
      </c>
      <c r="E25" s="103" t="s">
        <v>112</v>
      </c>
      <c r="F25" s="101" t="s">
        <v>112</v>
      </c>
      <c r="G25" s="101" t="s">
        <v>117</v>
      </c>
      <c r="H25" s="101">
        <v>20.87</v>
      </c>
      <c r="I25" s="101">
        <v>2559.5</v>
      </c>
      <c r="J25" s="179">
        <v>34224.71</v>
      </c>
      <c r="K25" s="174"/>
      <c r="L25" s="126"/>
      <c r="M25" s="127"/>
      <c r="N25" s="128"/>
      <c r="O25" s="101"/>
      <c r="P25" s="124">
        <v>34224.71</v>
      </c>
      <c r="Q25" s="157"/>
      <c r="R25" s="157"/>
      <c r="S25" s="158">
        <v>18868.0145588235</v>
      </c>
      <c r="T25" s="158">
        <v>184.147058823529</v>
      </c>
      <c r="U25" s="158">
        <v>352.948529411765</v>
      </c>
      <c r="V25" s="158"/>
      <c r="W25" s="158"/>
      <c r="X25" s="159">
        <v>19405.1101470588</v>
      </c>
      <c r="Y25" s="173">
        <v>3225.74392794118</v>
      </c>
      <c r="Z25" s="173"/>
      <c r="AA25" s="173">
        <v>10.8646764705882</v>
      </c>
      <c r="AB25" s="173">
        <v>3236.60860441176</v>
      </c>
      <c r="AC25" s="174">
        <v>7.06</v>
      </c>
      <c r="AD25" s="158">
        <v>22850.4567471471</v>
      </c>
      <c r="AE25" s="158">
        <v>42255.5668942059</v>
      </c>
      <c r="AF25" s="158">
        <v>-8030.8568942059</v>
      </c>
    </row>
    <row r="26" s="87" customFormat="1" ht="12.75" spans="1:32">
      <c r="A26" s="100"/>
      <c r="B26" s="101"/>
      <c r="C26" s="102">
        <v>240724000046</v>
      </c>
      <c r="D26" s="103">
        <v>45498</v>
      </c>
      <c r="E26" s="103" t="s">
        <v>112</v>
      </c>
      <c r="F26" s="101" t="s">
        <v>112</v>
      </c>
      <c r="G26" s="101" t="s">
        <v>124</v>
      </c>
      <c r="H26" s="101">
        <v>0.6621</v>
      </c>
      <c r="I26" s="101">
        <v>270</v>
      </c>
      <c r="J26" s="179">
        <v>1334.81</v>
      </c>
      <c r="K26" s="174"/>
      <c r="L26" s="126"/>
      <c r="M26" s="127"/>
      <c r="N26" s="126"/>
      <c r="O26" s="101"/>
      <c r="P26" s="124">
        <v>1334.81</v>
      </c>
      <c r="Q26" s="157"/>
      <c r="R26" s="157"/>
      <c r="S26" s="158">
        <v>598.587083823529</v>
      </c>
      <c r="T26" s="158">
        <v>5.84205882352941</v>
      </c>
      <c r="U26" s="158">
        <v>11.1972794117647</v>
      </c>
      <c r="V26" s="158"/>
      <c r="W26" s="158"/>
      <c r="X26" s="159">
        <v>615.626422058824</v>
      </c>
      <c r="Y26" s="173">
        <v>102.336610191176</v>
      </c>
      <c r="Z26" s="173"/>
      <c r="AA26" s="173">
        <v>0.344681470588235</v>
      </c>
      <c r="AB26" s="173">
        <v>102.681291661765</v>
      </c>
      <c r="AC26" s="174">
        <v>7.06</v>
      </c>
      <c r="AD26" s="158">
        <v>724.929919132059</v>
      </c>
      <c r="AE26" s="158">
        <v>1340.55634119088</v>
      </c>
      <c r="AF26" s="158">
        <v>-5.74634119088</v>
      </c>
    </row>
    <row r="27" s="87" customFormat="1" ht="12.75" spans="1:32">
      <c r="A27" s="100"/>
      <c r="B27" s="101"/>
      <c r="C27" s="102">
        <v>240724000047</v>
      </c>
      <c r="D27" s="103">
        <v>45498</v>
      </c>
      <c r="E27" s="103" t="s">
        <v>112</v>
      </c>
      <c r="F27" s="101" t="s">
        <v>112</v>
      </c>
      <c r="G27" s="101" t="s">
        <v>124</v>
      </c>
      <c r="H27" s="101">
        <v>0.2282</v>
      </c>
      <c r="I27" s="101">
        <v>54</v>
      </c>
      <c r="J27" s="179">
        <v>460.08</v>
      </c>
      <c r="K27" s="174"/>
      <c r="L27" s="126"/>
      <c r="M27" s="127"/>
      <c r="N27" s="126"/>
      <c r="O27" s="101"/>
      <c r="P27" s="124">
        <v>460.08</v>
      </c>
      <c r="Q27" s="157"/>
      <c r="R27" s="157"/>
      <c r="S27" s="158">
        <v>206.309579411765</v>
      </c>
      <c r="T27" s="158">
        <v>2.01352941176471</v>
      </c>
      <c r="U27" s="158">
        <v>3.85926470588235</v>
      </c>
      <c r="V27" s="158"/>
      <c r="W27" s="158"/>
      <c r="X27" s="159">
        <v>212.182373529412</v>
      </c>
      <c r="Y27" s="173">
        <v>35.2714309705882</v>
      </c>
      <c r="Z27" s="173"/>
      <c r="AA27" s="173">
        <v>0.118798235294118</v>
      </c>
      <c r="AB27" s="173">
        <v>35.3902292058823</v>
      </c>
      <c r="AC27" s="174">
        <v>7.06</v>
      </c>
      <c r="AD27" s="158">
        <v>249.855018193529</v>
      </c>
      <c r="AE27" s="158">
        <v>462.037391722941</v>
      </c>
      <c r="AF27" s="158">
        <v>-1.957391722941</v>
      </c>
    </row>
    <row r="28" s="87" customFormat="1" ht="12.75" spans="1:32">
      <c r="A28" s="100"/>
      <c r="B28" s="101"/>
      <c r="C28" s="102">
        <v>240724000048</v>
      </c>
      <c r="D28" s="103">
        <v>45498</v>
      </c>
      <c r="E28" s="103" t="s">
        <v>112</v>
      </c>
      <c r="F28" s="101" t="s">
        <v>112</v>
      </c>
      <c r="G28" s="101" t="s">
        <v>124</v>
      </c>
      <c r="H28" s="101">
        <v>3.0687</v>
      </c>
      <c r="I28" s="101">
        <v>528</v>
      </c>
      <c r="J28" s="179">
        <v>6208.07</v>
      </c>
      <c r="K28" s="174"/>
      <c r="L28" s="126"/>
      <c r="M28" s="127"/>
      <c r="N28" s="126"/>
      <c r="O28" s="101"/>
      <c r="P28" s="124">
        <v>6208.07</v>
      </c>
      <c r="Q28" s="157"/>
      <c r="R28" s="157"/>
      <c r="S28" s="158">
        <v>2774.33043970588</v>
      </c>
      <c r="T28" s="158">
        <v>27.0767647058824</v>
      </c>
      <c r="U28" s="158">
        <v>51.8971323529412</v>
      </c>
      <c r="V28" s="158"/>
      <c r="W28" s="158"/>
      <c r="X28" s="159">
        <v>2853.30433676471</v>
      </c>
      <c r="Y28" s="173">
        <v>474.309553985294</v>
      </c>
      <c r="Z28" s="173"/>
      <c r="AA28" s="173">
        <v>1.59752911764706</v>
      </c>
      <c r="AB28" s="173">
        <v>475.907083102941</v>
      </c>
      <c r="AC28" s="174">
        <v>7.06</v>
      </c>
      <c r="AD28" s="158">
        <v>3359.90400670676</v>
      </c>
      <c r="AE28" s="158">
        <v>6213.20834347147</v>
      </c>
      <c r="AF28" s="158">
        <v>-5.13834347146985</v>
      </c>
    </row>
    <row r="29" s="87" customFormat="1" ht="12.75" spans="1:32">
      <c r="A29" s="100"/>
      <c r="B29" s="101"/>
      <c r="C29" s="102">
        <v>240724000054</v>
      </c>
      <c r="D29" s="103">
        <v>45498</v>
      </c>
      <c r="E29" s="103" t="s">
        <v>112</v>
      </c>
      <c r="F29" s="101" t="s">
        <v>112</v>
      </c>
      <c r="G29" s="101" t="s">
        <v>116</v>
      </c>
      <c r="H29" s="178">
        <v>2.7</v>
      </c>
      <c r="I29" s="178">
        <v>992.8</v>
      </c>
      <c r="J29" s="179">
        <v>6294.95</v>
      </c>
      <c r="K29" s="174"/>
      <c r="L29" s="126"/>
      <c r="M29" s="127"/>
      <c r="N29" s="126"/>
      <c r="O29" s="101"/>
      <c r="P29" s="124">
        <v>6294.95</v>
      </c>
      <c r="Q29" s="157"/>
      <c r="R29" s="157"/>
      <c r="S29" s="158">
        <v>2440.99852941177</v>
      </c>
      <c r="T29" s="158">
        <v>23.8235294117647</v>
      </c>
      <c r="U29" s="158">
        <v>45.6617647058824</v>
      </c>
      <c r="V29" s="158"/>
      <c r="W29" s="158"/>
      <c r="X29" s="159">
        <v>2510.48382352941</v>
      </c>
      <c r="Y29" s="173">
        <v>417.321926470588</v>
      </c>
      <c r="Z29" s="173"/>
      <c r="AA29" s="173">
        <v>1.40558823529412</v>
      </c>
      <c r="AB29" s="173">
        <v>418.727514705882</v>
      </c>
      <c r="AC29" s="174">
        <v>7.06</v>
      </c>
      <c r="AD29" s="158">
        <v>2956.21625382353</v>
      </c>
      <c r="AE29" s="158">
        <v>5466.70007735294</v>
      </c>
      <c r="AF29" s="158">
        <v>828.24992264706</v>
      </c>
    </row>
    <row r="30" s="87" customFormat="1" ht="12.75" spans="1:32">
      <c r="A30" s="100"/>
      <c r="B30" s="101"/>
      <c r="C30" s="102">
        <v>240725000032</v>
      </c>
      <c r="D30" s="103">
        <v>45498</v>
      </c>
      <c r="E30" s="103" t="s">
        <v>112</v>
      </c>
      <c r="F30" s="101" t="s">
        <v>112</v>
      </c>
      <c r="G30" s="101" t="s">
        <v>124</v>
      </c>
      <c r="H30" s="101">
        <v>0.3976</v>
      </c>
      <c r="I30" s="101">
        <v>178</v>
      </c>
      <c r="J30" s="179">
        <v>807.14</v>
      </c>
      <c r="K30" s="174"/>
      <c r="L30" s="126"/>
      <c r="M30" s="127"/>
      <c r="N30" s="126"/>
      <c r="O30" s="101"/>
      <c r="P30" s="124">
        <v>807.14</v>
      </c>
      <c r="Q30" s="180"/>
      <c r="R30" s="180"/>
      <c r="S30" s="158">
        <v>359.459635294118</v>
      </c>
      <c r="T30" s="158">
        <v>3.50823529411765</v>
      </c>
      <c r="U30" s="158">
        <v>6.72411764705882</v>
      </c>
      <c r="V30" s="158"/>
      <c r="W30" s="158"/>
      <c r="X30" s="159">
        <v>369.691988235294</v>
      </c>
      <c r="Y30" s="173">
        <v>61.4545177647059</v>
      </c>
      <c r="Z30" s="173"/>
      <c r="AA30" s="173">
        <v>0.206985882352941</v>
      </c>
      <c r="AB30" s="173">
        <v>61.6615036470588</v>
      </c>
      <c r="AC30" s="174">
        <v>7.06</v>
      </c>
      <c r="AD30" s="158">
        <v>435.330215748235</v>
      </c>
      <c r="AE30" s="158">
        <v>805.022203983529</v>
      </c>
      <c r="AF30" s="158">
        <v>2.11779601647095</v>
      </c>
    </row>
    <row r="31" customFormat="1" spans="1:32">
      <c r="A31" s="85" t="s">
        <v>84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60"/>
      <c r="T31" s="104"/>
      <c r="U31" s="104"/>
      <c r="V31" s="161"/>
      <c r="W31" s="162"/>
      <c r="X31" s="162"/>
      <c r="Y31" s="162"/>
      <c r="Z31" s="162"/>
      <c r="AA31" s="175"/>
      <c r="AB31" s="176"/>
      <c r="AC31" s="176"/>
      <c r="AD31" s="176"/>
      <c r="AE31" s="176"/>
      <c r="AF31" s="176">
        <f>SUM(AF5:AF30)</f>
        <v>-14895.5046578414</v>
      </c>
    </row>
    <row r="32" s="88" customFormat="1" ht="26" customHeight="1" spans="1:25">
      <c r="A32" s="105"/>
      <c r="B32" s="106"/>
      <c r="D32" s="107"/>
      <c r="E32" s="107"/>
      <c r="Y32" s="177"/>
    </row>
    <row r="33" s="1" customFormat="1" ht="23" customHeight="1" spans="3:16">
      <c r="C33" s="72" t="s">
        <v>51</v>
      </c>
      <c r="D33" s="72"/>
      <c r="E33" s="72"/>
      <c r="F33" s="108" t="s">
        <v>52</v>
      </c>
      <c r="G33" s="109"/>
      <c r="H33" s="109"/>
      <c r="I33" s="129"/>
      <c r="J33"/>
      <c r="K33" s="130" t="s">
        <v>125</v>
      </c>
      <c r="L33" s="131"/>
      <c r="M33" s="132"/>
      <c r="N33" s="88"/>
      <c r="O33"/>
      <c r="P33"/>
    </row>
    <row r="34" s="1" customFormat="1" ht="23" customHeight="1" spans="3:16">
      <c r="C34" s="72"/>
      <c r="D34" s="72"/>
      <c r="E34" s="72"/>
      <c r="F34" s="110"/>
      <c r="G34" s="111"/>
      <c r="H34" s="111"/>
      <c r="I34" s="133"/>
      <c r="J34"/>
      <c r="K34" s="134" t="s">
        <v>54</v>
      </c>
      <c r="L34" s="134" t="s">
        <v>8</v>
      </c>
      <c r="M34" s="134" t="s">
        <v>55</v>
      </c>
      <c r="N34" s="88"/>
      <c r="O34"/>
      <c r="P34"/>
    </row>
    <row r="35" s="1" customFormat="1" ht="23" customHeight="1" spans="3:16">
      <c r="C35" s="72" t="s">
        <v>56</v>
      </c>
      <c r="D35" s="72"/>
      <c r="E35" s="72"/>
      <c r="F35" s="79" t="s">
        <v>57</v>
      </c>
      <c r="G35" s="80"/>
      <c r="H35" s="80"/>
      <c r="I35" s="81"/>
      <c r="J35"/>
      <c r="K35" s="134" t="s">
        <v>58</v>
      </c>
      <c r="L35" s="135">
        <f>SUM(H5:H30)</f>
        <v>227.3649</v>
      </c>
      <c r="M35" s="136">
        <f>SUM(AF31)</f>
        <v>-14895.5046578414</v>
      </c>
      <c r="N35" s="88"/>
      <c r="O35"/>
      <c r="P35"/>
    </row>
    <row r="36" s="1" customFormat="1" ht="23" customHeight="1" spans="3:16">
      <c r="C36" s="72"/>
      <c r="D36" s="72"/>
      <c r="E36" s="72"/>
      <c r="F36" s="82"/>
      <c r="G36" s="83"/>
      <c r="H36" s="83"/>
      <c r="I36" s="84"/>
      <c r="J36"/>
      <c r="K36" s="137" t="s">
        <v>63</v>
      </c>
      <c r="L36" s="137"/>
      <c r="M36" s="138">
        <v>6000</v>
      </c>
      <c r="N36"/>
      <c r="O36"/>
      <c r="P36"/>
    </row>
    <row r="37" s="1" customFormat="1" ht="23" customHeight="1" spans="3:16">
      <c r="C37" s="72" t="s">
        <v>60</v>
      </c>
      <c r="D37" s="72"/>
      <c r="E37" s="72"/>
      <c r="F37" s="79" t="s">
        <v>61</v>
      </c>
      <c r="G37" s="80"/>
      <c r="H37" s="80"/>
      <c r="I37" s="81"/>
      <c r="J37"/>
      <c r="K37" s="139" t="s">
        <v>62</v>
      </c>
      <c r="L37" s="139"/>
      <c r="M37" s="140">
        <f>SUM(M35-M36)</f>
        <v>-20895.5046578414</v>
      </c>
      <c r="N37"/>
      <c r="O37"/>
      <c r="P37"/>
    </row>
    <row r="38" s="1" customFormat="1" ht="23" customHeight="1" spans="3:16">
      <c r="C38" s="72"/>
      <c r="D38" s="72"/>
      <c r="E38" s="72"/>
      <c r="F38" s="82"/>
      <c r="G38" s="83"/>
      <c r="H38" s="83"/>
      <c r="I38" s="84"/>
      <c r="J38"/>
      <c r="K38" s="134" t="s">
        <v>76</v>
      </c>
      <c r="L38" s="134"/>
      <c r="M38" s="134"/>
      <c r="N38"/>
      <c r="O38"/>
      <c r="P38"/>
    </row>
    <row r="39" s="1" customFormat="1" ht="23" customHeight="1" spans="5:16">
      <c r="E39"/>
      <c r="F39"/>
      <c r="G39"/>
      <c r="H39"/>
      <c r="I39"/>
      <c r="J39"/>
      <c r="K39" s="137" t="s">
        <v>65</v>
      </c>
      <c r="L39" s="137"/>
      <c r="M39" s="138"/>
      <c r="N39"/>
      <c r="O39"/>
      <c r="P39"/>
    </row>
    <row r="40" s="1" customFormat="1" ht="23" customHeight="1" spans="5:16">
      <c r="E40"/>
      <c r="F40"/>
      <c r="G40"/>
      <c r="H40"/>
      <c r="I40"/>
      <c r="J40"/>
      <c r="K40"/>
      <c r="L40"/>
      <c r="M40"/>
      <c r="N40"/>
      <c r="O40"/>
      <c r="P40"/>
    </row>
    <row r="41" s="1" customFormat="1" ht="23" customHeight="1" spans="5:14">
      <c r="E41"/>
      <c r="F41"/>
      <c r="G41"/>
      <c r="H41"/>
      <c r="I41"/>
      <c r="J41"/>
      <c r="K41" s="141"/>
      <c r="L41" s="141"/>
      <c r="M41" s="141"/>
      <c r="N41" s="141"/>
    </row>
    <row r="42" s="1" customFormat="1" ht="23" customHeight="1" spans="5:14">
      <c r="E42"/>
      <c r="F42"/>
      <c r="G42"/>
      <c r="H42"/>
      <c r="I42"/>
      <c r="J42"/>
      <c r="K42" s="141"/>
      <c r="L42" s="141"/>
      <c r="N42"/>
    </row>
    <row r="43" s="1" customFormat="1" ht="23" customHeight="1" spans="5:19">
      <c r="E43"/>
      <c r="F43"/>
      <c r="G43"/>
      <c r="H43"/>
      <c r="I43"/>
      <c r="J43"/>
      <c r="K43" s="141"/>
      <c r="L43" s="141"/>
      <c r="N43"/>
      <c r="O43"/>
      <c r="P43"/>
      <c r="Q43"/>
      <c r="R43"/>
      <c r="S43" s="38"/>
    </row>
    <row r="44" s="1" customFormat="1" ht="23" customHeight="1" spans="5:19">
      <c r="E44"/>
      <c r="F44"/>
      <c r="G44"/>
      <c r="H44"/>
      <c r="I44"/>
      <c r="J44"/>
      <c r="K44"/>
      <c r="L44"/>
      <c r="N44"/>
      <c r="O44"/>
      <c r="P44"/>
      <c r="Q44"/>
      <c r="S44" s="38"/>
    </row>
    <row r="45" ht="22" customHeight="1"/>
    <row r="46" ht="22" customHeight="1"/>
  </sheetData>
  <mergeCells count="23">
    <mergeCell ref="J3:P3"/>
    <mergeCell ref="R3:V3"/>
    <mergeCell ref="Y3:AD3"/>
    <mergeCell ref="K33:M3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3:E34"/>
    <mergeCell ref="C35:E36"/>
    <mergeCell ref="F35:I36"/>
    <mergeCell ref="C37:E38"/>
    <mergeCell ref="F37:I38"/>
    <mergeCell ref="F33:I34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workbookViewId="0">
      <selection activeCell="M12" sqref="M12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0.125"/>
    <col min="12" max="12" width="15.875"/>
    <col min="13" max="13" width="17.25"/>
    <col min="14" max="14" width="10.37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1" width="14.75"/>
    <col min="32" max="32" width="13.625"/>
  </cols>
  <sheetData>
    <row r="1" customFormat="1" ht="24" customHeight="1" spans="1:1">
      <c r="A1" s="89" t="s">
        <v>0</v>
      </c>
    </row>
    <row r="2" customFormat="1" ht="6" customHeight="1" spans="1:1">
      <c r="A2" s="89"/>
    </row>
    <row r="3" s="86" customFormat="1" ht="23" customHeight="1" spans="1:32">
      <c r="A3" s="90" t="s">
        <v>1</v>
      </c>
      <c r="B3" s="91" t="s">
        <v>2</v>
      </c>
      <c r="C3" s="92" t="s">
        <v>3</v>
      </c>
      <c r="D3" s="93" t="s">
        <v>4</v>
      </c>
      <c r="E3" s="94" t="s">
        <v>5</v>
      </c>
      <c r="F3" s="95" t="s">
        <v>6</v>
      </c>
      <c r="G3" s="95" t="s">
        <v>7</v>
      </c>
      <c r="H3" s="95" t="s">
        <v>8</v>
      </c>
      <c r="I3" s="95" t="s">
        <v>9</v>
      </c>
      <c r="J3" s="112" t="s">
        <v>10</v>
      </c>
      <c r="K3" s="113"/>
      <c r="L3" s="114"/>
      <c r="M3" s="113"/>
      <c r="N3" s="114"/>
      <c r="O3" s="115"/>
      <c r="P3" s="116"/>
      <c r="Q3" s="142" t="s">
        <v>11</v>
      </c>
      <c r="R3" s="143" t="s">
        <v>12</v>
      </c>
      <c r="S3" s="144"/>
      <c r="T3" s="145"/>
      <c r="U3" s="146"/>
      <c r="V3" s="147"/>
      <c r="W3" s="148" t="s">
        <v>13</v>
      </c>
      <c r="X3" s="149" t="s">
        <v>14</v>
      </c>
      <c r="Y3" s="163" t="s">
        <v>15</v>
      </c>
      <c r="Z3" s="163"/>
      <c r="AA3" s="163"/>
      <c r="AB3" s="163"/>
      <c r="AC3" s="164"/>
      <c r="AD3" s="163"/>
      <c r="AE3" s="165" t="s">
        <v>16</v>
      </c>
      <c r="AF3" s="166" t="s">
        <v>17</v>
      </c>
    </row>
    <row r="4" s="86" customFormat="1" ht="27" customHeight="1" spans="1:32">
      <c r="A4" s="96"/>
      <c r="B4" s="97"/>
      <c r="C4" s="92"/>
      <c r="D4" s="93"/>
      <c r="E4" s="98"/>
      <c r="F4" s="99"/>
      <c r="G4" s="99"/>
      <c r="H4" s="99"/>
      <c r="I4" s="99"/>
      <c r="J4" s="117" t="s">
        <v>18</v>
      </c>
      <c r="K4" s="118" t="s">
        <v>19</v>
      </c>
      <c r="L4" s="119" t="s">
        <v>20</v>
      </c>
      <c r="M4" s="118" t="s">
        <v>21</v>
      </c>
      <c r="N4" s="120" t="s">
        <v>22</v>
      </c>
      <c r="O4" s="121" t="s">
        <v>23</v>
      </c>
      <c r="P4" s="122" t="s">
        <v>24</v>
      </c>
      <c r="Q4" s="150"/>
      <c r="R4" s="151" t="s">
        <v>25</v>
      </c>
      <c r="S4" s="152" t="s">
        <v>26</v>
      </c>
      <c r="T4" s="153" t="s">
        <v>27</v>
      </c>
      <c r="U4" s="154" t="s">
        <v>28</v>
      </c>
      <c r="V4" s="153" t="s">
        <v>29</v>
      </c>
      <c r="W4" s="155"/>
      <c r="X4" s="156"/>
      <c r="Y4" s="167" t="s">
        <v>30</v>
      </c>
      <c r="Z4" s="167" t="s">
        <v>31</v>
      </c>
      <c r="AA4" s="167" t="s">
        <v>32</v>
      </c>
      <c r="AB4" s="168" t="s">
        <v>33</v>
      </c>
      <c r="AC4" s="169" t="s">
        <v>34</v>
      </c>
      <c r="AD4" s="170" t="s">
        <v>24</v>
      </c>
      <c r="AE4" s="171" t="s">
        <v>35</v>
      </c>
      <c r="AF4" s="172"/>
    </row>
    <row r="5" s="87" customFormat="1" ht="12.75" spans="1:32">
      <c r="A5" s="100"/>
      <c r="B5" s="101"/>
      <c r="C5" s="102">
        <v>240701000054</v>
      </c>
      <c r="D5" s="103">
        <v>45477</v>
      </c>
      <c r="E5" s="103" t="s">
        <v>126</v>
      </c>
      <c r="F5" s="101" t="s">
        <v>127</v>
      </c>
      <c r="G5" s="101" t="s">
        <v>128</v>
      </c>
      <c r="H5" s="101">
        <v>2.5358</v>
      </c>
      <c r="I5" s="123">
        <v>1140</v>
      </c>
      <c r="J5" s="124"/>
      <c r="K5" s="125">
        <v>1490760</v>
      </c>
      <c r="L5" s="126"/>
      <c r="M5" s="127">
        <v>1639.99909791029</v>
      </c>
      <c r="N5" s="128">
        <v>909.0005</v>
      </c>
      <c r="O5" s="101">
        <v>7.12</v>
      </c>
      <c r="P5" s="124">
        <v>6472.08356</v>
      </c>
      <c r="Q5" s="157"/>
      <c r="R5" s="157"/>
      <c r="S5" s="158">
        <v>2292.54965588235</v>
      </c>
      <c r="T5" s="158"/>
      <c r="U5" s="158">
        <v>46.6139705882353</v>
      </c>
      <c r="V5" s="158">
        <v>120</v>
      </c>
      <c r="W5" s="158"/>
      <c r="X5" s="159">
        <v>2459.16362647059</v>
      </c>
      <c r="Y5" s="173">
        <v>396.787440441176</v>
      </c>
      <c r="Z5" s="173"/>
      <c r="AA5" s="173"/>
      <c r="AB5" s="173">
        <v>396.787440441176</v>
      </c>
      <c r="AC5" s="174">
        <v>7.1</v>
      </c>
      <c r="AD5" s="158">
        <v>2817.19082713235</v>
      </c>
      <c r="AE5" s="158">
        <v>5276.35445360294</v>
      </c>
      <c r="AF5" s="158">
        <v>1195.72910639706</v>
      </c>
    </row>
    <row r="6" customFormat="1" spans="1:32">
      <c r="A6" s="85" t="s">
        <v>84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60"/>
      <c r="T6" s="104"/>
      <c r="U6" s="104"/>
      <c r="V6" s="161"/>
      <c r="W6" s="162"/>
      <c r="X6" s="162"/>
      <c r="Y6" s="162"/>
      <c r="Z6" s="162"/>
      <c r="AA6" s="175"/>
      <c r="AB6" s="176"/>
      <c r="AC6" s="176"/>
      <c r="AD6" s="176"/>
      <c r="AE6" s="176"/>
      <c r="AF6" s="176">
        <f>SUM(AF5:AF5)</f>
        <v>1195.72910639706</v>
      </c>
    </row>
    <row r="7" s="88" customFormat="1" ht="26" customHeight="1" spans="1:25">
      <c r="A7" s="105"/>
      <c r="B7" s="106"/>
      <c r="D7" s="107"/>
      <c r="E7" s="107"/>
      <c r="Y7" s="177"/>
    </row>
    <row r="8" s="1" customFormat="1" ht="23" customHeight="1" spans="3:16">
      <c r="C8" s="72" t="s">
        <v>51</v>
      </c>
      <c r="D8" s="72"/>
      <c r="E8" s="72"/>
      <c r="F8" s="108" t="s">
        <v>52</v>
      </c>
      <c r="G8" s="109"/>
      <c r="H8" s="109"/>
      <c r="I8" s="129"/>
      <c r="J8"/>
      <c r="K8" s="130" t="s">
        <v>129</v>
      </c>
      <c r="L8" s="131"/>
      <c r="M8" s="132"/>
      <c r="N8" s="88"/>
      <c r="O8"/>
      <c r="P8"/>
    </row>
    <row r="9" s="1" customFormat="1" ht="23" customHeight="1" spans="3:16">
      <c r="C9" s="72"/>
      <c r="D9" s="72"/>
      <c r="E9" s="72"/>
      <c r="F9" s="110"/>
      <c r="G9" s="111"/>
      <c r="H9" s="111"/>
      <c r="I9" s="133"/>
      <c r="J9"/>
      <c r="K9" s="134" t="s">
        <v>54</v>
      </c>
      <c r="L9" s="134" t="s">
        <v>8</v>
      </c>
      <c r="M9" s="134" t="s">
        <v>55</v>
      </c>
      <c r="N9" s="88"/>
      <c r="O9"/>
      <c r="P9"/>
    </row>
    <row r="10" s="1" customFormat="1" ht="23" customHeight="1" spans="3:16">
      <c r="C10" s="72" t="s">
        <v>56</v>
      </c>
      <c r="D10" s="72"/>
      <c r="E10" s="72"/>
      <c r="F10" s="79" t="s">
        <v>57</v>
      </c>
      <c r="G10" s="80"/>
      <c r="H10" s="80"/>
      <c r="I10" s="81"/>
      <c r="J10"/>
      <c r="K10" s="134" t="s">
        <v>58</v>
      </c>
      <c r="L10" s="135">
        <f>SUM(H5)</f>
        <v>2.5358</v>
      </c>
      <c r="M10" s="136">
        <f>SUM(AF6)</f>
        <v>1195.72910639706</v>
      </c>
      <c r="N10" s="88"/>
      <c r="O10"/>
      <c r="P10"/>
    </row>
    <row r="11" s="1" customFormat="1" ht="23" customHeight="1" spans="3:16">
      <c r="C11" s="72"/>
      <c r="D11" s="72"/>
      <c r="E11" s="72"/>
      <c r="F11" s="82"/>
      <c r="G11" s="83"/>
      <c r="H11" s="83"/>
      <c r="I11" s="84"/>
      <c r="J11"/>
      <c r="K11" s="137" t="s">
        <v>63</v>
      </c>
      <c r="L11" s="137"/>
      <c r="M11" s="138">
        <v>6000</v>
      </c>
      <c r="N11"/>
      <c r="O11"/>
      <c r="P11"/>
    </row>
    <row r="12" s="1" customFormat="1" ht="23" customHeight="1" spans="3:16">
      <c r="C12" s="72" t="s">
        <v>60</v>
      </c>
      <c r="D12" s="72"/>
      <c r="E12" s="72"/>
      <c r="F12" s="79" t="s">
        <v>61</v>
      </c>
      <c r="G12" s="80"/>
      <c r="H12" s="80"/>
      <c r="I12" s="81"/>
      <c r="J12"/>
      <c r="K12" s="139" t="s">
        <v>62</v>
      </c>
      <c r="L12" s="139"/>
      <c r="M12" s="140">
        <f>SUM(M10-M11)</f>
        <v>-4804.27089360294</v>
      </c>
      <c r="N12"/>
      <c r="O12"/>
      <c r="P12"/>
    </row>
    <row r="13" s="1" customFormat="1" ht="23" customHeight="1" spans="3:16">
      <c r="C13" s="72"/>
      <c r="D13" s="72"/>
      <c r="E13" s="72"/>
      <c r="F13" s="82"/>
      <c r="G13" s="83"/>
      <c r="H13" s="83"/>
      <c r="I13" s="84"/>
      <c r="J13"/>
      <c r="K13" s="134" t="s">
        <v>76</v>
      </c>
      <c r="L13" s="134"/>
      <c r="M13" s="134"/>
      <c r="N13"/>
      <c r="O13"/>
      <c r="P13"/>
    </row>
    <row r="14" s="1" customFormat="1" ht="23" customHeight="1" spans="5:16">
      <c r="E14"/>
      <c r="F14"/>
      <c r="G14"/>
      <c r="H14"/>
      <c r="I14"/>
      <c r="J14"/>
      <c r="K14" s="137" t="s">
        <v>65</v>
      </c>
      <c r="L14" s="137"/>
      <c r="M14" s="138"/>
      <c r="N14"/>
      <c r="O14"/>
      <c r="P14"/>
    </row>
    <row r="15" s="1" customFormat="1" ht="23" customHeight="1" spans="5:16">
      <c r="E15"/>
      <c r="F15"/>
      <c r="G15"/>
      <c r="H15"/>
      <c r="I15"/>
      <c r="J15"/>
      <c r="K15"/>
      <c r="L15"/>
      <c r="M15"/>
      <c r="N15"/>
      <c r="O15"/>
      <c r="P15"/>
    </row>
    <row r="16" s="1" customFormat="1" ht="23" customHeight="1" spans="5:14">
      <c r="E16"/>
      <c r="F16"/>
      <c r="G16"/>
      <c r="H16"/>
      <c r="I16"/>
      <c r="J16"/>
      <c r="K16" s="141"/>
      <c r="L16" s="141"/>
      <c r="M16" s="141"/>
      <c r="N16" s="141"/>
    </row>
    <row r="17" s="1" customFormat="1" ht="23" customHeight="1" spans="5:14">
      <c r="E17"/>
      <c r="F17"/>
      <c r="G17"/>
      <c r="H17"/>
      <c r="I17"/>
      <c r="J17"/>
      <c r="K17" s="141"/>
      <c r="L17" s="141"/>
      <c r="N17"/>
    </row>
    <row r="18" s="1" customFormat="1" ht="23" customHeight="1" spans="5:19">
      <c r="E18"/>
      <c r="F18"/>
      <c r="G18"/>
      <c r="H18"/>
      <c r="I18"/>
      <c r="J18"/>
      <c r="K18" s="141"/>
      <c r="L18" s="141"/>
      <c r="N18"/>
      <c r="O18"/>
      <c r="P18"/>
      <c r="Q18"/>
      <c r="R18"/>
      <c r="S18" s="38"/>
    </row>
    <row r="19" s="1" customFormat="1" ht="23" customHeight="1" spans="5:19">
      <c r="E19"/>
      <c r="F19"/>
      <c r="G19"/>
      <c r="H19"/>
      <c r="I19"/>
      <c r="J19"/>
      <c r="K19"/>
      <c r="L19"/>
      <c r="N19"/>
      <c r="O19"/>
      <c r="P19"/>
      <c r="Q19"/>
      <c r="S19" s="38"/>
    </row>
    <row r="20" customFormat="1" ht="22" customHeight="1"/>
    <row r="21" customFormat="1" ht="22" customHeight="1"/>
  </sheetData>
  <mergeCells count="23">
    <mergeCell ref="J3:P3"/>
    <mergeCell ref="R3:V3"/>
    <mergeCell ref="Y3:AD3"/>
    <mergeCell ref="K8:M8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8:E9"/>
    <mergeCell ref="F8:I9"/>
    <mergeCell ref="C10:E11"/>
    <mergeCell ref="F10:I11"/>
    <mergeCell ref="C12:E13"/>
    <mergeCell ref="F12:I1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workbookViewId="0">
      <selection activeCell="H19" sqref="H19"/>
    </sheetView>
  </sheetViews>
  <sheetFormatPr defaultColWidth="11" defaultRowHeight="33" customHeight="1"/>
  <cols>
    <col min="1" max="1" width="13.125" style="9" customWidth="1"/>
    <col min="2" max="2" width="12" style="4" customWidth="1"/>
    <col min="3" max="3" width="8.125" style="10" customWidth="1"/>
    <col min="4" max="4" width="10.25" style="4" customWidth="1"/>
    <col min="5" max="5" width="12" style="4" customWidth="1"/>
    <col min="6" max="6" width="11.375" style="4" customWidth="1"/>
    <col min="7" max="7" width="8.125" style="10" customWidth="1"/>
    <col min="8" max="8" width="11.375" style="10" customWidth="1"/>
    <col min="9" max="9" width="12" style="10" customWidth="1"/>
    <col min="10" max="10" width="11.375" style="10" customWidth="1"/>
    <col min="11" max="11" width="6.875" style="11" customWidth="1"/>
    <col min="12" max="12" width="11.25" style="12" customWidth="1"/>
    <col min="13" max="13" width="15.625" style="13" customWidth="1"/>
    <col min="14" max="14" width="30.25" style="4" customWidth="1"/>
    <col min="15" max="19" width="11" style="4" customWidth="1"/>
    <col min="20" max="20" width="13.375" style="4" customWidth="1"/>
    <col min="21" max="16365" width="11" style="4" customWidth="1"/>
    <col min="16366" max="16384" width="11" style="4"/>
  </cols>
  <sheetData>
    <row r="1" s="1" customFormat="1" customHeight="1" spans="1:14">
      <c r="A1" s="14" t="s">
        <v>130</v>
      </c>
      <c r="B1" s="14"/>
      <c r="C1" s="15"/>
      <c r="D1" s="14"/>
      <c r="E1" s="14"/>
      <c r="F1" s="14"/>
      <c r="G1" s="15"/>
      <c r="H1" s="15"/>
      <c r="I1" s="15"/>
      <c r="J1" s="15"/>
      <c r="K1" s="15"/>
      <c r="L1" s="14"/>
      <c r="M1" s="14"/>
      <c r="N1" s="14"/>
    </row>
    <row r="2" s="1" customFormat="1" ht="6" customHeight="1" spans="1:13">
      <c r="A2" s="16"/>
      <c r="B2" s="16"/>
      <c r="C2" s="17"/>
      <c r="D2" s="16"/>
      <c r="E2" s="16"/>
      <c r="F2" s="16"/>
      <c r="G2" s="17"/>
      <c r="H2" s="17"/>
      <c r="I2" s="17"/>
      <c r="J2" s="17"/>
      <c r="K2" s="17"/>
      <c r="L2" s="16"/>
      <c r="M2" s="16"/>
    </row>
    <row r="3" s="1" customFormat="1" ht="40" customHeight="1" spans="1:20">
      <c r="A3" s="18" t="s">
        <v>131</v>
      </c>
      <c r="B3" s="19" t="s">
        <v>132</v>
      </c>
      <c r="C3" s="20" t="s">
        <v>133</v>
      </c>
      <c r="D3" s="21" t="s">
        <v>134</v>
      </c>
      <c r="E3" s="21"/>
      <c r="F3" s="21"/>
      <c r="G3" s="21"/>
      <c r="H3" s="21"/>
      <c r="I3" s="42" t="s">
        <v>135</v>
      </c>
      <c r="J3" s="43"/>
      <c r="K3" s="44"/>
      <c r="L3" s="45"/>
      <c r="M3" s="46" t="s">
        <v>136</v>
      </c>
      <c r="N3" s="19" t="s">
        <v>74</v>
      </c>
      <c r="P3" s="72" t="s">
        <v>51</v>
      </c>
      <c r="Q3" s="72"/>
      <c r="R3" s="78" t="s">
        <v>52</v>
      </c>
      <c r="S3" s="78"/>
      <c r="T3" s="78"/>
    </row>
    <row r="4" s="2" customFormat="1" ht="55" customHeight="1" spans="1:20">
      <c r="A4" s="22"/>
      <c r="B4" s="19"/>
      <c r="C4" s="23"/>
      <c r="D4" s="24" t="s">
        <v>63</v>
      </c>
      <c r="E4" s="25" t="s">
        <v>62</v>
      </c>
      <c r="F4" s="25" t="s">
        <v>62</v>
      </c>
      <c r="G4" s="26" t="s">
        <v>137</v>
      </c>
      <c r="H4" s="27" t="s">
        <v>65</v>
      </c>
      <c r="I4" s="47" t="s">
        <v>63</v>
      </c>
      <c r="J4" s="48" t="s">
        <v>62</v>
      </c>
      <c r="K4" s="49" t="s">
        <v>138</v>
      </c>
      <c r="L4" s="50" t="s">
        <v>65</v>
      </c>
      <c r="M4" s="51"/>
      <c r="N4" s="19"/>
      <c r="P4" s="72"/>
      <c r="Q4" s="72"/>
      <c r="R4" s="78"/>
      <c r="S4" s="78"/>
      <c r="T4" s="78"/>
    </row>
    <row r="5" s="3" customFormat="1" ht="26" customHeight="1" spans="1:20">
      <c r="A5" s="19" t="s">
        <v>139</v>
      </c>
      <c r="B5" s="28">
        <f>SUM(黄颖!M24)</f>
        <v>55871.5145278291</v>
      </c>
      <c r="C5" s="29">
        <f>SUM(黄颖!L24)</f>
        <v>53.034</v>
      </c>
      <c r="D5" s="70">
        <v>6000</v>
      </c>
      <c r="E5" s="31">
        <f>SUM(B5-D5)</f>
        <v>49871.5145278291</v>
      </c>
      <c r="F5" s="31">
        <v>35000</v>
      </c>
      <c r="G5" s="32">
        <v>0.4</v>
      </c>
      <c r="H5" s="31">
        <f>SUM(F5*G5)</f>
        <v>14000</v>
      </c>
      <c r="I5" s="52">
        <v>35000</v>
      </c>
      <c r="J5" s="52">
        <f>SUM(E5-I5)</f>
        <v>14871.5145278291</v>
      </c>
      <c r="K5" s="53">
        <v>0.5</v>
      </c>
      <c r="L5" s="54">
        <f>SUM(J5*K5)</f>
        <v>7435.75726391455</v>
      </c>
      <c r="M5" s="55">
        <f>SUM(H5+L5)</f>
        <v>21435.7572639146</v>
      </c>
      <c r="N5" s="56"/>
      <c r="P5" s="72" t="s">
        <v>56</v>
      </c>
      <c r="Q5" s="72"/>
      <c r="R5" s="79" t="s">
        <v>57</v>
      </c>
      <c r="S5" s="80"/>
      <c r="T5" s="81"/>
    </row>
    <row r="6" s="5" customFormat="1" spans="1:20">
      <c r="A6" s="33" t="s">
        <v>140</v>
      </c>
      <c r="B6" s="34">
        <f>SUM(三凤!M10)</f>
        <v>2927.87379163294</v>
      </c>
      <c r="C6" s="35">
        <f>SUM(三凤!L10)</f>
        <v>16.6069</v>
      </c>
      <c r="D6" s="36"/>
      <c r="E6" s="31">
        <f>SUM(B6-D6)</f>
        <v>2927.87379163294</v>
      </c>
      <c r="F6" s="31"/>
      <c r="G6" s="32">
        <v>0.1</v>
      </c>
      <c r="H6" s="31">
        <f>SUM(E6*G6)</f>
        <v>292.787379163294</v>
      </c>
      <c r="I6" s="59"/>
      <c r="J6" s="59"/>
      <c r="K6" s="53"/>
      <c r="L6" s="53"/>
      <c r="M6" s="55">
        <f>SUM(H6+L6)</f>
        <v>292.787379163294</v>
      </c>
      <c r="N6" s="60" t="s">
        <v>141</v>
      </c>
      <c r="P6" s="72"/>
      <c r="Q6" s="72"/>
      <c r="R6" s="82"/>
      <c r="S6" s="83"/>
      <c r="T6" s="84"/>
    </row>
    <row r="7" s="3" customFormat="1" spans="1:20">
      <c r="A7" s="19" t="s">
        <v>77</v>
      </c>
      <c r="B7" s="28">
        <f>SUM(朱小飞!M20)</f>
        <v>11639.3448865025</v>
      </c>
      <c r="C7" s="29">
        <f>SUM(朱小飞!L20)</f>
        <v>11.8325</v>
      </c>
      <c r="D7" s="37"/>
      <c r="E7" s="31">
        <f>SUM(B7-D7)</f>
        <v>11639.3448865025</v>
      </c>
      <c r="F7" s="31"/>
      <c r="G7" s="32">
        <v>0.1</v>
      </c>
      <c r="H7" s="31">
        <f>SUM(E7*G7)</f>
        <v>1163.93448865025</v>
      </c>
      <c r="I7" s="52"/>
      <c r="J7" s="59"/>
      <c r="K7" s="59"/>
      <c r="L7" s="52"/>
      <c r="M7" s="55">
        <f>SUM(H7+L7)</f>
        <v>1163.93448865025</v>
      </c>
      <c r="N7" s="60" t="s">
        <v>142</v>
      </c>
      <c r="P7" s="72" t="s">
        <v>60</v>
      </c>
      <c r="Q7" s="72"/>
      <c r="R7" s="79" t="s">
        <v>61</v>
      </c>
      <c r="S7" s="80"/>
      <c r="T7" s="81"/>
    </row>
    <row r="8" s="6" customFormat="1" ht="26" customHeight="1" spans="1:20">
      <c r="A8" s="19" t="s">
        <v>108</v>
      </c>
      <c r="B8" s="28">
        <f>SUM(陆总!M13)</f>
        <v>16092.6389285305</v>
      </c>
      <c r="C8" s="29">
        <f>SUM(陆总!L13)</f>
        <v>46.098</v>
      </c>
      <c r="D8" s="37"/>
      <c r="E8" s="31"/>
      <c r="F8" s="31"/>
      <c r="G8" s="32">
        <v>0.4</v>
      </c>
      <c r="H8" s="31">
        <f>SUM(B8*G8)</f>
        <v>6437.0555714122</v>
      </c>
      <c r="I8" s="52"/>
      <c r="J8" s="59"/>
      <c r="K8" s="59"/>
      <c r="L8" s="59"/>
      <c r="M8" s="55">
        <f>SUM(H8+L8)</f>
        <v>6437.0555714122</v>
      </c>
      <c r="N8" s="73"/>
      <c r="P8" s="72"/>
      <c r="Q8" s="72"/>
      <c r="R8" s="82"/>
      <c r="S8" s="83"/>
      <c r="T8" s="84"/>
    </row>
    <row r="9" s="6" customFormat="1" ht="36" customHeight="1" spans="1:21">
      <c r="A9" s="19" t="s">
        <v>98</v>
      </c>
      <c r="B9" s="28">
        <f>SUM(罗伟健!M10)</f>
        <v>3605.08511365324</v>
      </c>
      <c r="C9" s="29">
        <f>SUM(罗伟健!L10)</f>
        <v>0.2991</v>
      </c>
      <c r="D9" s="37"/>
      <c r="E9" s="31"/>
      <c r="F9" s="31"/>
      <c r="G9" s="32"/>
      <c r="H9" s="32"/>
      <c r="I9" s="59"/>
      <c r="J9" s="59"/>
      <c r="K9" s="59"/>
      <c r="L9" s="59"/>
      <c r="M9" s="55">
        <v>7815.24</v>
      </c>
      <c r="N9" s="73" t="s">
        <v>143</v>
      </c>
      <c r="P9" s="3"/>
      <c r="Q9" s="3"/>
      <c r="R9" s="3"/>
      <c r="S9" s="3"/>
      <c r="T9" s="3"/>
      <c r="U9" s="3"/>
    </row>
    <row r="10" s="6" customFormat="1" ht="26" customHeight="1" spans="1:14">
      <c r="A10" s="19" t="s">
        <v>87</v>
      </c>
      <c r="B10" s="28">
        <f>SUM(吕沛霖!M14)</f>
        <v>4730.46569593736</v>
      </c>
      <c r="C10" s="29">
        <f>SUM(吕沛霖!L14)</f>
        <v>4.2378</v>
      </c>
      <c r="D10" s="37">
        <v>6663.13562576419</v>
      </c>
      <c r="E10" s="31">
        <f>SUM(B10-D10)</f>
        <v>-1932.66992982683</v>
      </c>
      <c r="F10" s="31"/>
      <c r="G10" s="32"/>
      <c r="H10" s="32"/>
      <c r="I10" s="59"/>
      <c r="J10" s="59"/>
      <c r="K10" s="59"/>
      <c r="L10" s="59"/>
      <c r="M10" s="55"/>
      <c r="N10" s="61" t="s">
        <v>144</v>
      </c>
    </row>
    <row r="11" s="6" customFormat="1" ht="26" customHeight="1" spans="1:21">
      <c r="A11" s="19" t="s">
        <v>104</v>
      </c>
      <c r="B11" s="28">
        <f>SUM(苏慧琪!M10)</f>
        <v>381.017722916471</v>
      </c>
      <c r="C11" s="29">
        <f>SUM(苏慧琪!L10)</f>
        <v>0.3636</v>
      </c>
      <c r="D11" s="37"/>
      <c r="E11" s="31"/>
      <c r="F11" s="31"/>
      <c r="G11" s="32"/>
      <c r="H11" s="32"/>
      <c r="I11" s="59"/>
      <c r="J11" s="59"/>
      <c r="K11" s="59"/>
      <c r="L11" s="59"/>
      <c r="M11" s="55"/>
      <c r="N11" s="73"/>
      <c r="P11" s="3"/>
      <c r="Q11" s="3"/>
      <c r="R11" s="3"/>
      <c r="S11" s="3"/>
      <c r="T11" s="3"/>
      <c r="U11" s="3"/>
    </row>
    <row r="12" s="3" customFormat="1" ht="26" customHeight="1" spans="1:18">
      <c r="A12" s="19" t="s">
        <v>145</v>
      </c>
      <c r="B12" s="28">
        <f>SUM(浦生!M35)</f>
        <v>-14895.5046578414</v>
      </c>
      <c r="C12" s="29">
        <f>SUM(浦生!L35)</f>
        <v>227.3649</v>
      </c>
      <c r="D12" s="37">
        <v>6000</v>
      </c>
      <c r="E12" s="31">
        <f>SUM(B12-D12)</f>
        <v>-20895.5046578414</v>
      </c>
      <c r="F12" s="31"/>
      <c r="G12" s="32"/>
      <c r="H12" s="32"/>
      <c r="I12" s="59"/>
      <c r="J12" s="59"/>
      <c r="K12" s="74"/>
      <c r="L12" s="59"/>
      <c r="M12" s="55"/>
      <c r="N12" s="75"/>
      <c r="P12" s="76" t="s">
        <v>146</v>
      </c>
      <c r="Q12" s="85"/>
      <c r="R12" s="85"/>
    </row>
    <row r="13" s="3" customFormat="1" ht="26" customHeight="1" spans="1:18">
      <c r="A13" s="19" t="s">
        <v>126</v>
      </c>
      <c r="B13" s="28">
        <f>SUM(无人!M10)</f>
        <v>1195.72910639706</v>
      </c>
      <c r="C13" s="29">
        <f>SUM(无人!L10)</f>
        <v>2.5358</v>
      </c>
      <c r="D13" s="31"/>
      <c r="E13" s="31"/>
      <c r="F13" s="31"/>
      <c r="G13" s="32"/>
      <c r="H13" s="32"/>
      <c r="I13" s="59"/>
      <c r="J13" s="59"/>
      <c r="K13" s="74"/>
      <c r="L13" s="59"/>
      <c r="M13" s="55"/>
      <c r="N13" s="75"/>
      <c r="P13" s="76" t="s">
        <v>147</v>
      </c>
      <c r="Q13" s="85"/>
      <c r="R13" s="85"/>
    </row>
    <row r="14" s="2" customFormat="1" ht="36" customHeight="1" spans="1:14">
      <c r="A14" s="19" t="s">
        <v>84</v>
      </c>
      <c r="B14" s="28">
        <f>SUM(B5:B13)</f>
        <v>81548.1651155578</v>
      </c>
      <c r="C14" s="29">
        <f>SUM(C5:C13)</f>
        <v>362.3726</v>
      </c>
      <c r="D14" s="31"/>
      <c r="E14" s="31"/>
      <c r="F14" s="31"/>
      <c r="G14" s="32"/>
      <c r="H14" s="32"/>
      <c r="I14" s="59"/>
      <c r="J14" s="59"/>
      <c r="K14" s="62"/>
      <c r="L14" s="48"/>
      <c r="M14" s="63">
        <f>SUM(M5:M10)</f>
        <v>37144.7747031403</v>
      </c>
      <c r="N14" s="64"/>
    </row>
    <row r="15" s="1" customFormat="1" ht="9" customHeight="1" spans="1:13">
      <c r="A15" s="9"/>
      <c r="C15" s="38"/>
      <c r="G15" s="38"/>
      <c r="H15" s="38"/>
      <c r="I15" s="38"/>
      <c r="J15" s="38"/>
      <c r="K15" s="65"/>
      <c r="L15" s="12"/>
      <c r="M15" s="66"/>
    </row>
    <row r="16" s="69" customFormat="1" ht="41" customHeight="1" spans="1:13">
      <c r="A16" s="69" t="s">
        <v>148</v>
      </c>
      <c r="C16" s="71"/>
      <c r="G16" s="71"/>
      <c r="H16" s="71"/>
      <c r="I16" s="71"/>
      <c r="J16" s="71" t="s">
        <v>147</v>
      </c>
      <c r="K16" s="71"/>
      <c r="M16" s="77"/>
    </row>
    <row r="17" s="8" customFormat="1" ht="41" customHeight="1" spans="1:13">
      <c r="A17" s="40"/>
      <c r="C17" s="41"/>
      <c r="G17" s="41"/>
      <c r="H17" s="41"/>
      <c r="I17" s="41"/>
      <c r="J17" s="41"/>
      <c r="K17" s="41"/>
      <c r="M17" s="68"/>
    </row>
    <row r="18" ht="57" customHeight="1"/>
    <row r="19" ht="42" customHeight="1"/>
    <row r="20" customHeight="1" spans="11:11">
      <c r="K20" s="41"/>
    </row>
    <row r="21" customHeight="1" spans="11:11">
      <c r="K21" s="41"/>
    </row>
    <row r="22" customHeight="1" spans="11:11">
      <c r="K22" s="41"/>
    </row>
    <row r="23" customHeight="1" spans="11:11">
      <c r="K23" s="41"/>
    </row>
    <row r="24" customHeight="1" spans="11:11">
      <c r="K24" s="41"/>
    </row>
    <row r="25" customHeight="1" spans="11:11">
      <c r="K25" s="41"/>
    </row>
    <row r="26" customHeight="1" spans="11:11">
      <c r="K26" s="41"/>
    </row>
    <row r="27" customHeight="1" spans="11:11">
      <c r="K27" s="41"/>
    </row>
  </sheetData>
  <mergeCells count="16">
    <mergeCell ref="A1:N1"/>
    <mergeCell ref="D3:H3"/>
    <mergeCell ref="I3:L3"/>
    <mergeCell ref="Q12:R12"/>
    <mergeCell ref="Q13:R13"/>
    <mergeCell ref="A3:A4"/>
    <mergeCell ref="B3:B4"/>
    <mergeCell ref="C3:C4"/>
    <mergeCell ref="M3:M4"/>
    <mergeCell ref="N3:N4"/>
    <mergeCell ref="R3:T4"/>
    <mergeCell ref="R5:T6"/>
    <mergeCell ref="R7:T8"/>
    <mergeCell ref="P3:Q4"/>
    <mergeCell ref="P5:Q6"/>
    <mergeCell ref="P7:Q8"/>
  </mergeCells>
  <pageMargins left="0.275" right="0.156944444444444" top="1.29861111111111" bottom="1" header="0.5" footer="0.5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M11" sqref="M11"/>
    </sheetView>
  </sheetViews>
  <sheetFormatPr defaultColWidth="11" defaultRowHeight="33" customHeight="1"/>
  <cols>
    <col min="1" max="1" width="13.125" style="9" customWidth="1"/>
    <col min="2" max="2" width="12" style="4" customWidth="1"/>
    <col min="3" max="3" width="8.125" style="10" customWidth="1"/>
    <col min="4" max="4" width="14.3833333333333" style="4" customWidth="1"/>
    <col min="5" max="5" width="14.5416666666667" style="4" customWidth="1"/>
    <col min="6" max="6" width="13.7583333333333" style="4" customWidth="1"/>
    <col min="7" max="7" width="10.0333333333333" style="10" customWidth="1"/>
    <col min="8" max="8" width="13.4416666666667" style="10" customWidth="1"/>
    <col min="9" max="9" width="13.9083333333333" style="10" customWidth="1"/>
    <col min="10" max="10" width="11.375" style="10" customWidth="1"/>
    <col min="11" max="11" width="10.6916666666667" style="11" customWidth="1"/>
    <col min="12" max="12" width="14.1083333333333" style="12" customWidth="1"/>
    <col min="13" max="13" width="20.2333333333333" style="13" customWidth="1"/>
    <col min="14" max="14" width="30.25" style="4" customWidth="1"/>
    <col min="15" max="19" width="11" style="4" customWidth="1"/>
    <col min="20" max="20" width="13.375" style="4" customWidth="1"/>
    <col min="21" max="16365" width="11" style="4" customWidth="1"/>
    <col min="16366" max="16384" width="11" style="4"/>
  </cols>
  <sheetData>
    <row r="1" s="1" customFormat="1" customHeight="1" spans="1:14">
      <c r="A1" s="14" t="s">
        <v>130</v>
      </c>
      <c r="B1" s="14"/>
      <c r="C1" s="15"/>
      <c r="D1" s="14"/>
      <c r="E1" s="14"/>
      <c r="F1" s="14"/>
      <c r="G1" s="15"/>
      <c r="H1" s="15"/>
      <c r="I1" s="15"/>
      <c r="J1" s="15"/>
      <c r="K1" s="15"/>
      <c r="L1" s="14"/>
      <c r="M1" s="14"/>
      <c r="N1" s="14"/>
    </row>
    <row r="2" s="1" customFormat="1" ht="6" customHeight="1" spans="1:13">
      <c r="A2" s="16"/>
      <c r="B2" s="16"/>
      <c r="C2" s="17"/>
      <c r="D2" s="16"/>
      <c r="E2" s="16"/>
      <c r="F2" s="16"/>
      <c r="G2" s="17"/>
      <c r="H2" s="17"/>
      <c r="I2" s="17"/>
      <c r="J2" s="17"/>
      <c r="K2" s="17"/>
      <c r="L2" s="16"/>
      <c r="M2" s="16"/>
    </row>
    <row r="3" s="1" customFormat="1" ht="40" customHeight="1" spans="1:14">
      <c r="A3" s="18" t="s">
        <v>131</v>
      </c>
      <c r="B3" s="19" t="s">
        <v>132</v>
      </c>
      <c r="C3" s="20" t="s">
        <v>133</v>
      </c>
      <c r="D3" s="21" t="s">
        <v>134</v>
      </c>
      <c r="E3" s="21"/>
      <c r="F3" s="21"/>
      <c r="G3" s="21"/>
      <c r="H3" s="21"/>
      <c r="I3" s="42" t="s">
        <v>135</v>
      </c>
      <c r="J3" s="43"/>
      <c r="K3" s="44"/>
      <c r="L3" s="45"/>
      <c r="M3" s="46" t="s">
        <v>136</v>
      </c>
      <c r="N3" s="19" t="s">
        <v>74</v>
      </c>
    </row>
    <row r="4" s="2" customFormat="1" ht="55" customHeight="1" spans="1:14">
      <c r="A4" s="22"/>
      <c r="B4" s="19"/>
      <c r="C4" s="23"/>
      <c r="D4" s="24" t="s">
        <v>63</v>
      </c>
      <c r="E4" s="25" t="s">
        <v>62</v>
      </c>
      <c r="F4" s="25" t="s">
        <v>62</v>
      </c>
      <c r="G4" s="26" t="s">
        <v>137</v>
      </c>
      <c r="H4" s="27" t="s">
        <v>65</v>
      </c>
      <c r="I4" s="47" t="s">
        <v>63</v>
      </c>
      <c r="J4" s="48" t="s">
        <v>62</v>
      </c>
      <c r="K4" s="49" t="s">
        <v>138</v>
      </c>
      <c r="L4" s="50" t="s">
        <v>65</v>
      </c>
      <c r="M4" s="51"/>
      <c r="N4" s="19"/>
    </row>
    <row r="5" s="3" customFormat="1" ht="36" customHeight="1" spans="1:14">
      <c r="A5" s="19" t="s">
        <v>139</v>
      </c>
      <c r="B5" s="28">
        <f>SUM(黄颖!M24)</f>
        <v>55871.5145278291</v>
      </c>
      <c r="C5" s="29">
        <f>SUM(黄颖!L24)</f>
        <v>53.034</v>
      </c>
      <c r="D5" s="30">
        <v>6000</v>
      </c>
      <c r="E5" s="31">
        <f>SUM(B5-D5)</f>
        <v>49871.5145278291</v>
      </c>
      <c r="F5" s="31">
        <v>35000</v>
      </c>
      <c r="G5" s="32">
        <v>0.4</v>
      </c>
      <c r="H5" s="31">
        <f>SUM(F5*G5)</f>
        <v>14000</v>
      </c>
      <c r="I5" s="52">
        <v>35000</v>
      </c>
      <c r="J5" s="52">
        <f>SUM(E5-I5)</f>
        <v>14871.5145278291</v>
      </c>
      <c r="K5" s="53">
        <v>0.5</v>
      </c>
      <c r="L5" s="54">
        <f>SUM(J5*K5)</f>
        <v>7435.75726391455</v>
      </c>
      <c r="M5" s="55">
        <f>SUM(H5+L5)</f>
        <v>21435.7572639146</v>
      </c>
      <c r="N5" s="56"/>
    </row>
    <row r="6" s="4" customFormat="1" ht="57" customHeight="1" spans="1:14">
      <c r="A6" s="9"/>
      <c r="B6" s="4"/>
      <c r="C6" s="10"/>
      <c r="D6" s="4"/>
      <c r="E6" s="4"/>
      <c r="F6" s="4"/>
      <c r="G6" s="10"/>
      <c r="H6" s="4"/>
      <c r="I6" s="4"/>
      <c r="J6" s="4"/>
      <c r="K6" s="11"/>
      <c r="L6" s="57" t="s">
        <v>146</v>
      </c>
      <c r="M6" s="58"/>
      <c r="N6" s="58"/>
    </row>
    <row r="7" s="5" customFormat="1" spans="1:14">
      <c r="A7" s="33" t="s">
        <v>140</v>
      </c>
      <c r="B7" s="34">
        <f>SUM(三凤!M10)</f>
        <v>2927.87379163294</v>
      </c>
      <c r="C7" s="35">
        <f>SUM(三凤!L10)</f>
        <v>16.6069</v>
      </c>
      <c r="D7" s="36"/>
      <c r="E7" s="31">
        <f>SUM(B7-D7)</f>
        <v>2927.87379163294</v>
      </c>
      <c r="F7" s="31"/>
      <c r="G7" s="32">
        <v>0.1</v>
      </c>
      <c r="H7" s="31">
        <f>SUM(E7*G7)</f>
        <v>292.787379163294</v>
      </c>
      <c r="I7" s="59"/>
      <c r="J7" s="59"/>
      <c r="K7" s="53"/>
      <c r="L7" s="53"/>
      <c r="M7" s="55">
        <f>SUM(H7+L7)</f>
        <v>292.787379163294</v>
      </c>
      <c r="N7" s="60" t="s">
        <v>141</v>
      </c>
    </row>
    <row r="8" s="4" customFormat="1" ht="57" customHeight="1" spans="1:14">
      <c r="A8" s="9"/>
      <c r="B8" s="4"/>
      <c r="C8" s="10"/>
      <c r="D8" s="4"/>
      <c r="E8" s="4"/>
      <c r="F8" s="4"/>
      <c r="G8" s="10"/>
      <c r="H8" s="4"/>
      <c r="I8" s="4"/>
      <c r="J8" s="4"/>
      <c r="K8" s="11"/>
      <c r="L8" s="57" t="s">
        <v>146</v>
      </c>
      <c r="M8" s="58"/>
      <c r="N8" s="58"/>
    </row>
    <row r="9" s="3" customFormat="1" spans="1:14">
      <c r="A9" s="19" t="s">
        <v>77</v>
      </c>
      <c r="B9" s="28">
        <f>SUM(朱小飞!M20)</f>
        <v>11639.3448865025</v>
      </c>
      <c r="C9" s="29">
        <f>SUM(朱小飞!L20)</f>
        <v>11.8325</v>
      </c>
      <c r="D9" s="37"/>
      <c r="E9" s="31">
        <f>SUM(B9-D9)</f>
        <v>11639.3448865025</v>
      </c>
      <c r="F9" s="31"/>
      <c r="G9" s="32">
        <v>0.1</v>
      </c>
      <c r="H9" s="31">
        <f>SUM(E9*G9)</f>
        <v>1163.93448865025</v>
      </c>
      <c r="I9" s="52"/>
      <c r="J9" s="59"/>
      <c r="K9" s="59"/>
      <c r="L9" s="52"/>
      <c r="M9" s="55">
        <f>SUM(H9+L9)</f>
        <v>1163.93448865025</v>
      </c>
      <c r="N9" s="60" t="s">
        <v>142</v>
      </c>
    </row>
    <row r="10" s="4" customFormat="1" ht="57" customHeight="1" spans="1:14">
      <c r="A10" s="9"/>
      <c r="B10" s="4"/>
      <c r="C10" s="10"/>
      <c r="D10" s="4"/>
      <c r="E10" s="4"/>
      <c r="F10" s="4"/>
      <c r="G10" s="10"/>
      <c r="H10" s="4"/>
      <c r="I10" s="4"/>
      <c r="J10" s="4"/>
      <c r="K10" s="11"/>
      <c r="L10" s="57" t="s">
        <v>146</v>
      </c>
      <c r="M10" s="58"/>
      <c r="N10" s="58"/>
    </row>
    <row r="11" s="6" customFormat="1" ht="26" customHeight="1" spans="1:14">
      <c r="A11" s="19" t="s">
        <v>87</v>
      </c>
      <c r="B11" s="28">
        <f>SUM(吕沛霖!M14)</f>
        <v>4730.46569593736</v>
      </c>
      <c r="C11" s="29">
        <f>SUM(吕沛霖!L14)</f>
        <v>4.2378</v>
      </c>
      <c r="D11" s="37">
        <v>6663.13562576419</v>
      </c>
      <c r="E11" s="31">
        <f>SUM(B11-D11)</f>
        <v>-1932.66992982683</v>
      </c>
      <c r="F11" s="31"/>
      <c r="G11" s="32"/>
      <c r="H11" s="32"/>
      <c r="I11" s="59"/>
      <c r="J11" s="59"/>
      <c r="K11" s="59"/>
      <c r="L11" s="59"/>
      <c r="M11" s="55"/>
      <c r="N11" s="61" t="s">
        <v>144</v>
      </c>
    </row>
    <row r="12" s="4" customFormat="1" ht="57" customHeight="1" spans="1:12">
      <c r="A12" s="9"/>
      <c r="B12" s="4"/>
      <c r="C12" s="10"/>
      <c r="D12" s="4"/>
      <c r="E12" s="4"/>
      <c r="F12" s="4"/>
      <c r="G12" s="10"/>
      <c r="H12" s="4"/>
      <c r="I12" s="4"/>
      <c r="J12" s="4"/>
      <c r="K12" s="11"/>
      <c r="L12" s="57" t="s">
        <v>148</v>
      </c>
    </row>
    <row r="13" s="2" customFormat="1" ht="36" customHeight="1" spans="1:18">
      <c r="A13" s="19" t="s">
        <v>84</v>
      </c>
      <c r="B13" s="28">
        <f>SUM(B5:B11)</f>
        <v>75169.1989019019</v>
      </c>
      <c r="C13" s="29">
        <f>SUM(C5:C11)</f>
        <v>85.7112</v>
      </c>
      <c r="D13" s="31"/>
      <c r="E13" s="31"/>
      <c r="F13" s="31"/>
      <c r="G13" s="32"/>
      <c r="H13" s="32"/>
      <c r="I13" s="59"/>
      <c r="J13" s="59"/>
      <c r="K13" s="62"/>
      <c r="L13" s="48"/>
      <c r="M13" s="63">
        <f>SUM(M5:M11)</f>
        <v>22892.4791317281</v>
      </c>
      <c r="N13" s="64"/>
      <c r="P13" s="6"/>
      <c r="Q13" s="6"/>
      <c r="R13" s="6"/>
    </row>
    <row r="14" s="1" customFormat="1" ht="9" customHeight="1" spans="1:18">
      <c r="A14" s="9"/>
      <c r="C14" s="38"/>
      <c r="G14" s="38"/>
      <c r="H14" s="38"/>
      <c r="I14" s="38"/>
      <c r="J14" s="38"/>
      <c r="K14" s="65"/>
      <c r="L14" s="12"/>
      <c r="M14" s="66"/>
      <c r="P14" s="6"/>
      <c r="Q14" s="6"/>
      <c r="R14" s="6"/>
    </row>
    <row r="15" s="7" customFormat="1" ht="41" customHeight="1" spans="1:13">
      <c r="A15" s="7" t="s">
        <v>148</v>
      </c>
      <c r="C15" s="39"/>
      <c r="G15" s="39"/>
      <c r="H15" s="39"/>
      <c r="I15" s="39"/>
      <c r="J15" s="39" t="s">
        <v>147</v>
      </c>
      <c r="K15" s="39"/>
      <c r="M15" s="67"/>
    </row>
    <row r="16" s="8" customFormat="1" ht="41" customHeight="1" spans="1:13">
      <c r="A16" s="40"/>
      <c r="C16" s="41"/>
      <c r="G16" s="41"/>
      <c r="H16" s="41"/>
      <c r="I16" s="41"/>
      <c r="J16" s="41"/>
      <c r="K16" s="41"/>
      <c r="M16" s="68"/>
    </row>
    <row r="17" ht="57" customHeight="1"/>
    <row r="18" ht="42" customHeight="1"/>
    <row r="19" customHeight="1" spans="11:11">
      <c r="K19" s="41"/>
    </row>
    <row r="20" customHeight="1" spans="11:11">
      <c r="K20" s="41"/>
    </row>
    <row r="21" customHeight="1" spans="11:11">
      <c r="K21" s="41"/>
    </row>
    <row r="22" customHeight="1" spans="11:11">
      <c r="K22" s="41"/>
    </row>
    <row r="23" customHeight="1" spans="11:11">
      <c r="K23" s="41"/>
    </row>
    <row r="24" customHeight="1" spans="11:11">
      <c r="K24" s="41"/>
    </row>
    <row r="25" customHeight="1" spans="11:11">
      <c r="K25" s="41"/>
    </row>
    <row r="26" customHeight="1" spans="11:11">
      <c r="K26" s="41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865972222222222" right="0.156944444444444" top="0.708333333333333" bottom="0.354166666666667" header="0.5" footer="0.156944444444444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黄颖</vt:lpstr>
      <vt:lpstr>三凤</vt:lpstr>
      <vt:lpstr>朱小飞</vt:lpstr>
      <vt:lpstr>吕沛霖</vt:lpstr>
      <vt:lpstr>罗伟健</vt:lpstr>
      <vt:lpstr>苏慧琪</vt:lpstr>
      <vt:lpstr>陆总</vt:lpstr>
      <vt:lpstr>浦生</vt:lpstr>
      <vt:lpstr>无人</vt:lpstr>
      <vt:lpstr>提成总表</vt:lpstr>
      <vt:lpstr>黄颖 陈三凤 朱小飞 吕沛霖 2025年10月份发放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2025-10-20T08:48:38Z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