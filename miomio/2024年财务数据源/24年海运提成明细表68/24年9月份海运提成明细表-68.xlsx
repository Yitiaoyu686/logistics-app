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30" windowHeight="12975" activeTab="10"/>
  </bookViews>
  <sheets>
    <sheet name="黄颖" sheetId="1" r:id="rId1"/>
    <sheet name="三凤" sheetId="7" r:id="rId2"/>
    <sheet name="朱小飞" sheetId="4" r:id="rId3"/>
    <sheet name="吕沛霖" sheetId="3" r:id="rId4"/>
    <sheet name="罗伟健" sheetId="15" r:id="rId5"/>
    <sheet name="罗珮文" sheetId="16" r:id="rId6"/>
    <sheet name="陆总" sheetId="14" r:id="rId7"/>
    <sheet name="浦生" sheetId="5" r:id="rId8"/>
    <sheet name="无人" sheetId="17" r:id="rId9"/>
    <sheet name="提成总表" sheetId="9" r:id="rId10"/>
    <sheet name="黄颖 陈三凤 朱小飞 吕沛霖 2025年10月份发放" sheetId="18" r:id="rId11"/>
  </sheets>
  <definedNames>
    <definedName name="_xlnm._FilterDatabase" localSheetId="0" hidden="1">黄颖!$A$3:$AB$27</definedName>
    <definedName name="_xlnm._FilterDatabase" localSheetId="3" hidden="1">吕沛霖!$A$2:$AB$27</definedName>
    <definedName name="_xlnm._FilterDatabase" localSheetId="1" hidden="1">三凤!#REF!</definedName>
    <definedName name="_xlnm.Print_Area" localSheetId="9">提成总表!$A$1:$G$18</definedName>
    <definedName name="_xlnm.Print_Area" localSheetId="10">'黄颖 陈三凤 朱小飞 吕沛霖 2025年10月份发放'!$A$1:$N$15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J6" authorId="0">
      <text>
        <r>
          <rPr>
            <sz val="9"/>
            <rFont val="宋体"/>
            <charset val="134"/>
          </rPr>
          <t xml:space="preserve">到付USD946.34转预付7000.
</t>
        </r>
      </text>
    </comment>
    <comment ref="J8" authorId="0">
      <text>
        <r>
          <rPr>
            <sz val="9"/>
            <rFont val="宋体"/>
            <charset val="134"/>
          </rPr>
          <t xml:space="preserve">到付USD779.75转预付5623.
</t>
        </r>
      </text>
    </comment>
    <comment ref="J9" authorId="0">
      <text>
        <r>
          <rPr>
            <sz val="9"/>
            <rFont val="宋体"/>
            <charset val="134"/>
          </rPr>
          <t>到付USD729.16转预付5265.</t>
        </r>
      </text>
    </comment>
    <comment ref="J11" authorId="0">
      <text>
        <r>
          <rPr>
            <b/>
            <sz val="9"/>
            <rFont val="宋体"/>
            <charset val="134"/>
          </rPr>
          <t>1/11国内收美金</t>
        </r>
        <r>
          <rPr>
            <sz val="9"/>
            <rFont val="宋体"/>
            <charset val="134"/>
          </rPr>
          <t xml:space="preserve">
</t>
        </r>
      </text>
    </comment>
    <comment ref="J12" authorId="0">
      <text>
        <r>
          <rPr>
            <sz val="9"/>
            <rFont val="宋体"/>
            <charset val="134"/>
          </rPr>
          <t xml:space="preserve">到付USD702.96转预付5181.75.
</t>
        </r>
      </text>
    </comment>
    <comment ref="J14" authorId="0">
      <text>
        <r>
          <rPr>
            <sz val="9"/>
            <rFont val="宋体"/>
            <charset val="134"/>
          </rPr>
          <t xml:space="preserve">到付USD290.44转预付2095.0
</t>
        </r>
      </text>
    </comment>
    <comment ref="J15" authorId="0">
      <text>
        <r>
          <rPr>
            <b/>
            <sz val="9"/>
            <rFont val="宋体"/>
            <charset val="134"/>
          </rPr>
          <t>1/11国内收美金</t>
        </r>
        <r>
          <rPr>
            <sz val="9"/>
            <rFont val="宋体"/>
            <charset val="134"/>
          </rPr>
          <t xml:space="preserve">
</t>
        </r>
      </text>
    </comment>
    <comment ref="J16" authorId="0">
      <text>
        <r>
          <rPr>
            <sz val="9"/>
            <rFont val="宋体"/>
            <charset val="134"/>
          </rPr>
          <t xml:space="preserve">到付USD163.8l专预付1212.75.
</t>
        </r>
      </text>
    </comment>
    <comment ref="J17" authorId="0">
      <text>
        <r>
          <rPr>
            <sz val="9"/>
            <rFont val="宋体"/>
            <charset val="134"/>
          </rPr>
          <t xml:space="preserve">到付USD369.82转预付2649.
</t>
        </r>
      </text>
    </comment>
    <comment ref="J18" authorId="0">
      <text>
        <r>
          <rPr>
            <b/>
            <sz val="9"/>
            <rFont val="宋体"/>
            <charset val="134"/>
          </rPr>
          <t>1/11国内收美金</t>
        </r>
        <r>
          <rPr>
            <sz val="9"/>
            <rFont val="宋体"/>
            <charset val="134"/>
          </rPr>
          <t xml:space="preserve">
</t>
        </r>
      </text>
    </comment>
    <comment ref="J19" authorId="0">
      <text>
        <r>
          <rPr>
            <sz val="9"/>
            <rFont val="宋体"/>
            <charset val="134"/>
          </rPr>
          <t xml:space="preserve">到付USD189.72转预付1411.2
</t>
        </r>
      </text>
    </comment>
    <comment ref="J20" authorId="0">
      <text>
        <r>
          <rPr>
            <sz val="9"/>
            <rFont val="宋体"/>
            <charset val="134"/>
          </rPr>
          <t>到付USD678.67转预付4987.5</t>
        </r>
      </text>
    </comment>
    <comment ref="J21" authorId="0">
      <text>
        <r>
          <rPr>
            <sz val="9"/>
            <rFont val="宋体"/>
            <charset val="134"/>
          </rPr>
          <t xml:space="preserve">到付USD2030.89转预付14536.83
</t>
        </r>
      </text>
    </comment>
    <comment ref="J22" authorId="0">
      <text>
        <r>
          <rPr>
            <sz val="9"/>
            <rFont val="宋体"/>
            <charset val="134"/>
          </rPr>
          <t>到付USD3639.38转预付
26386.</t>
        </r>
      </text>
    </comment>
    <comment ref="J23" authorId="0">
      <text>
        <r>
          <rPr>
            <sz val="9"/>
            <rFont val="宋体"/>
            <charset val="134"/>
          </rPr>
          <t xml:space="preserve">到付USD2030.89转预付14536.83
</t>
        </r>
      </text>
    </comment>
    <comment ref="J26" authorId="0">
      <text>
        <r>
          <rPr>
            <sz val="9"/>
            <rFont val="宋体"/>
            <charset val="134"/>
          </rPr>
          <t xml:space="preserve">到付USD2476.52转预付17401.3
</t>
        </r>
      </text>
    </comment>
  </commentList>
</comments>
</file>

<file path=xl/comments2.xml><?xml version="1.0" encoding="utf-8"?>
<comments xmlns="http://schemas.openxmlformats.org/spreadsheetml/2006/main">
  <authors>
    <author>30993</author>
  </authors>
  <commentList>
    <comment ref="J7" authorId="0">
      <text>
        <r>
          <rPr>
            <sz val="9"/>
            <rFont val="宋体"/>
            <charset val="134"/>
          </rPr>
          <t xml:space="preserve">到付USD125.12转预付907.12.
</t>
        </r>
      </text>
    </comment>
  </commentList>
</comments>
</file>

<file path=xl/comments3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到付USD124.05转预付959.18.
</t>
        </r>
      </text>
    </comment>
    <comment ref="J6" authorId="0">
      <text>
        <r>
          <rPr>
            <sz val="9"/>
            <rFont val="宋体"/>
            <charset val="134"/>
          </rPr>
          <t xml:space="preserve">到付USD10.36转预付221.13.
</t>
        </r>
      </text>
    </comment>
  </commentList>
</comments>
</file>

<file path=xl/comments4.xml><?xml version="1.0" encoding="utf-8"?>
<comments xmlns="http://schemas.openxmlformats.org/spreadsheetml/2006/main">
  <authors>
    <author>30993</author>
  </authors>
  <commentList>
    <comment ref="J4" authorId="0">
      <text>
        <r>
          <rPr>
            <sz val="9"/>
            <rFont val="宋体"/>
            <charset val="134"/>
          </rPr>
          <t xml:space="preserve">到付USD171.21转到付USD1258.39.
</t>
        </r>
      </text>
    </comment>
  </commentList>
</comments>
</file>

<file path=xl/comments5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到付USD259.86转预付1871.
</t>
        </r>
      </text>
    </comment>
    <comment ref="J8" authorId="0">
      <text>
        <r>
          <rPr>
            <sz val="9"/>
            <rFont val="宋体"/>
            <charset val="134"/>
          </rPr>
          <t xml:space="preserve">到付USD1013.74转预付7297
</t>
        </r>
      </text>
    </comment>
  </commentList>
</comments>
</file>

<file path=xl/comments6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 USD131.46转预付959.66
</t>
        </r>
      </text>
    </comment>
    <comment ref="J6" authorId="0">
      <text>
        <r>
          <rPr>
            <sz val="9"/>
            <rFont val="宋体"/>
            <charset val="134"/>
          </rPr>
          <t xml:space="preserve">到付US1257.09转预付9176.76
</t>
        </r>
      </text>
    </comment>
    <comment ref="J7" authorId="0">
      <text>
        <r>
          <rPr>
            <sz val="9"/>
            <rFont val="宋体"/>
            <charset val="134"/>
          </rPr>
          <t>到付USD73.57转预付573.06</t>
        </r>
      </text>
    </comment>
    <comment ref="J8" authorId="0">
      <text>
        <r>
          <rPr>
            <sz val="9"/>
            <rFont val="宋体"/>
            <charset val="134"/>
          </rPr>
          <t xml:space="preserve">到付USD1984转预付14483.2
</t>
        </r>
      </text>
    </comment>
    <comment ref="J9" authorId="0">
      <text>
        <r>
          <rPr>
            <sz val="9"/>
            <rFont val="宋体"/>
            <charset val="134"/>
          </rPr>
          <t xml:space="preserve">到付USD94.1转预付686.93
</t>
        </r>
      </text>
    </comment>
    <comment ref="J10" authorId="0">
      <text>
        <r>
          <rPr>
            <sz val="9"/>
            <rFont val="宋体"/>
            <charset val="134"/>
          </rPr>
          <t xml:space="preserve">到付USD214.2转预付1563.66
</t>
        </r>
      </text>
    </comment>
    <comment ref="J11" authorId="0">
      <text>
        <r>
          <rPr>
            <sz val="9"/>
            <rFont val="宋体"/>
            <charset val="134"/>
          </rPr>
          <t xml:space="preserve">到付USD28.87转预付204.4
</t>
        </r>
      </text>
    </comment>
    <comment ref="J12" authorId="0">
      <text>
        <r>
          <rPr>
            <sz val="9"/>
            <rFont val="宋体"/>
            <charset val="134"/>
          </rPr>
          <t xml:space="preserve">到付USD2146转预付15665.8
</t>
        </r>
      </text>
    </comment>
    <comment ref="J13" authorId="0">
      <text>
        <r>
          <rPr>
            <sz val="9"/>
            <rFont val="宋体"/>
            <charset val="134"/>
          </rPr>
          <t xml:space="preserve">到付USD2231.19转预付16287.69
</t>
        </r>
      </text>
    </comment>
    <comment ref="J14" authorId="0">
      <text>
        <r>
          <rPr>
            <sz val="9"/>
            <rFont val="宋体"/>
            <charset val="134"/>
          </rPr>
          <t xml:space="preserve">到付USD868转预付6336.4
</t>
        </r>
      </text>
    </comment>
    <comment ref="J15" authorId="0">
      <text>
        <r>
          <rPr>
            <sz val="9"/>
            <rFont val="宋体"/>
            <charset val="134"/>
          </rPr>
          <t xml:space="preserve">到付USD1458转预付10643.4
</t>
        </r>
      </text>
    </comment>
    <comment ref="J16" authorId="0">
      <text>
        <r>
          <rPr>
            <sz val="9"/>
            <rFont val="宋体"/>
            <charset val="134"/>
          </rPr>
          <t xml:space="preserve">到付USD1074转预付7840.2
</t>
        </r>
      </text>
    </comment>
    <comment ref="J17" authorId="0">
      <text>
        <r>
          <rPr>
            <sz val="9"/>
            <rFont val="宋体"/>
            <charset val="134"/>
          </rPr>
          <t xml:space="preserve">到付USD821.74转预付5998.7
</t>
        </r>
      </text>
    </comment>
    <comment ref="J18" authorId="0">
      <text>
        <r>
          <rPr>
            <sz val="9"/>
            <rFont val="宋体"/>
            <charset val="134"/>
          </rPr>
          <t xml:space="preserve">到付USD2538转预付18527.4
</t>
        </r>
      </text>
    </comment>
  </commentList>
</comments>
</file>

<file path=xl/comments7.xml><?xml version="1.0" encoding="utf-8"?>
<comments xmlns="http://schemas.openxmlformats.org/spreadsheetml/2006/main">
  <authors>
    <author>30993</author>
  </authors>
  <commentList>
    <comment ref="J7" authorId="0">
      <text>
        <r>
          <rPr>
            <sz val="9"/>
            <rFont val="宋体"/>
            <charset val="134"/>
          </rPr>
          <t xml:space="preserve">到付USD46.37转预付333.6
</t>
        </r>
      </text>
    </comment>
    <comment ref="J8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J9" authorId="0">
      <text>
        <r>
          <rPr>
            <sz val="9"/>
            <rFont val="宋体"/>
            <charset val="134"/>
          </rPr>
          <t xml:space="preserve">到付USD3600.45转预付25671.21.
</t>
        </r>
      </text>
    </comment>
    <comment ref="J10" authorId="0">
      <text>
        <r>
          <rPr>
            <sz val="9"/>
            <rFont val="宋体"/>
            <charset val="134"/>
          </rPr>
          <t xml:space="preserve">到付USD2362.5转预付16844.63
</t>
        </r>
      </text>
    </comment>
    <comment ref="J11" authorId="0">
      <text>
        <r>
          <rPr>
            <sz val="9"/>
            <rFont val="宋体"/>
            <charset val="134"/>
          </rPr>
          <t xml:space="preserve">到付USD87.52转预付630.11
</t>
        </r>
      </text>
    </comment>
    <comment ref="J12" authorId="0">
      <text>
        <r>
          <rPr>
            <sz val="9"/>
            <rFont val="宋体"/>
            <charset val="134"/>
          </rPr>
          <t xml:space="preserve">到付USD7635.22转预付65182.
</t>
        </r>
      </text>
    </comment>
    <comment ref="J13" authorId="0">
      <text>
        <r>
          <rPr>
            <sz val="9"/>
            <rFont val="宋体"/>
            <charset val="134"/>
          </rPr>
          <t xml:space="preserve">到付USD5075.66转预付36542.3
</t>
        </r>
      </text>
    </comment>
    <comment ref="J14" authorId="0">
      <text>
        <r>
          <rPr>
            <sz val="9"/>
            <rFont val="宋体"/>
            <charset val="134"/>
          </rPr>
          <t xml:space="preserve">到付USD6904.08转预付48967.52
</t>
        </r>
      </text>
    </comment>
    <comment ref="J15" authorId="0">
      <text>
        <r>
          <rPr>
            <sz val="9"/>
            <rFont val="宋体"/>
            <charset val="134"/>
          </rPr>
          <t xml:space="preserve">到付USD1814转预付13067.
</t>
        </r>
      </text>
    </comment>
    <comment ref="J17" authorId="0">
      <text>
        <r>
          <rPr>
            <sz val="9"/>
            <rFont val="宋体"/>
            <charset val="134"/>
          </rPr>
          <t xml:space="preserve">到付USD5075.66转预付36542.3
</t>
        </r>
      </text>
    </comment>
    <comment ref="J18" authorId="0">
      <text>
        <r>
          <rPr>
            <sz val="9"/>
            <rFont val="宋体"/>
            <charset val="134"/>
          </rPr>
          <t>到付USD78转预付569.4.</t>
        </r>
      </text>
    </comment>
    <comment ref="J19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J22" authorId="0">
      <text>
        <r>
          <rPr>
            <sz val="9"/>
            <rFont val="宋体"/>
            <charset val="134"/>
          </rPr>
          <t xml:space="preserve">到付USD369.7转预付2643.36
</t>
        </r>
      </text>
    </comment>
    <comment ref="J25" authorId="0">
      <text>
        <r>
          <rPr>
            <sz val="9"/>
            <rFont val="宋体"/>
            <charset val="134"/>
          </rPr>
          <t xml:space="preserve">到付USD5075.66转预付36542.3
</t>
        </r>
      </text>
    </comment>
    <comment ref="J26" authorId="0">
      <text>
        <r>
          <rPr>
            <sz val="9"/>
            <rFont val="宋体"/>
            <charset val="134"/>
          </rPr>
          <t xml:space="preserve">到付USD3018.86转预付21916.92.
</t>
        </r>
      </text>
    </comment>
    <comment ref="J27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J35" authorId="0">
      <text>
        <r>
          <rPr>
            <sz val="9"/>
            <rFont val="宋体"/>
            <charset val="134"/>
          </rPr>
          <t xml:space="preserve">到付USD1404.12转预付10109.64.
</t>
        </r>
      </text>
    </comment>
  </commentList>
</comments>
</file>

<file path=xl/sharedStrings.xml><?xml version="1.0" encoding="utf-8"?>
<sst xmlns="http://schemas.openxmlformats.org/spreadsheetml/2006/main" count="899" uniqueCount="186">
  <si>
    <t>LOS毛利表</t>
  </si>
  <si>
    <t>JOB</t>
  </si>
  <si>
    <t>集装编号 </t>
  </si>
  <si>
    <t>运单编号 </t>
  </si>
  <si>
    <t>日期</t>
  </si>
  <si>
    <t>业务</t>
  </si>
  <si>
    <t>发货人 </t>
  </si>
  <si>
    <t>收货人 </t>
  </si>
  <si>
    <t>计费体积</t>
  </si>
  <si>
    <t>计费重量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</si>
  <si>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</si>
  <si>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</si>
  <si>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</si>
  <si>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</si>
  <si>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</si>
  <si>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</si>
  <si>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</si>
  <si>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</si>
  <si>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</si>
  <si>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LOS
Income(NGN)收到(奈拉)</t>
  </si>
  <si>
    <t>LOS
收到USD</t>
  </si>
  <si>
    <t>美元汇率
dollar currency rate</t>
  </si>
  <si>
    <t>应收
到付款USD</t>
  </si>
  <si>
    <t>汇率</t>
  </si>
  <si>
    <t>人民币</t>
  </si>
  <si>
    <t>代理商</t>
  </si>
  <si>
    <t>运费+出口报关费</t>
  </si>
  <si>
    <t>提货费</t>
  </si>
  <si>
    <t>装卸费</t>
  </si>
  <si>
    <t>包装费</t>
  </si>
  <si>
    <t>进口报关费</t>
  </si>
  <si>
    <t>到门配送费</t>
  </si>
  <si>
    <t>转运费</t>
  </si>
  <si>
    <t>目的港支出</t>
  </si>
  <si>
    <r>
      <rPr>
        <b/>
        <sz val="10"/>
        <color theme="1"/>
        <rFont val="Microsoft JhengHei"/>
        <charset val="134"/>
      </rPr>
      <t>汇</t>
    </r>
    <r>
      <rPr>
        <b/>
        <sz val="10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</si>
  <si>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</si>
  <si>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黄颖</t>
  </si>
  <si>
    <t>ying</t>
  </si>
  <si>
    <t>zhounengquan</t>
  </si>
  <si>
    <t>Ms PEJU</t>
  </si>
  <si>
    <t>Bruce</t>
  </si>
  <si>
    <t>Sunday Adelena</t>
  </si>
  <si>
    <t>Sanusi samad</t>
  </si>
  <si>
    <t>JOB090375</t>
  </si>
  <si>
    <t>COLL004167</t>
  </si>
  <si>
    <t>卓志=41025        赛捷=2800 
拖车费=1670
杂费=61
过磅费=67</t>
  </si>
  <si>
    <t>jiangnan</t>
  </si>
  <si>
    <t>makus</t>
  </si>
  <si>
    <t>Nura</t>
  </si>
  <si>
    <t>JOB090388</t>
  </si>
  <si>
    <t>COLL004181</t>
  </si>
  <si>
    <t>登凯=38533
赛捷=1620
拖车费=1670
杂费=61
过磅费=59</t>
  </si>
  <si>
    <t>合     计</t>
  </si>
  <si>
    <t>基本任务：小于6千</t>
  </si>
  <si>
    <t>不够基本任务6千，
公司将根据空运提成里抽出补足基数</t>
  </si>
  <si>
    <t>黄颖 提成</t>
  </si>
  <si>
    <t>名称</t>
  </si>
  <si>
    <t>毛利</t>
  </si>
  <si>
    <t>基本任务：6千-3.5万</t>
  </si>
  <si>
    <t>按40%提成</t>
  </si>
  <si>
    <t>LOS</t>
  </si>
  <si>
    <t>基数</t>
  </si>
  <si>
    <t>基本任务：3.5万以上</t>
  </si>
  <si>
    <t>按50%提成</t>
  </si>
  <si>
    <t>提成计数</t>
  </si>
  <si>
    <t>提成点数</t>
  </si>
  <si>
    <t>提成金额</t>
  </si>
  <si>
    <t>Bella</t>
  </si>
  <si>
    <t>Bella Chan</t>
  </si>
  <si>
    <t>zhong zi xin</t>
  </si>
  <si>
    <t>new hope 边鹏飞</t>
  </si>
  <si>
    <t>Shuaibu musa</t>
  </si>
  <si>
    <t>JOB100351</t>
  </si>
  <si>
    <t>COLL004217</t>
  </si>
  <si>
    <t>Yang Bo</t>
  </si>
  <si>
    <t>到付</t>
  </si>
  <si>
    <t>鼎程=245686.66  鼎程出口=750</t>
  </si>
  <si>
    <t>三凤 提成</t>
  </si>
  <si>
    <t>备注</t>
  </si>
  <si>
    <t>总利润减zhong zi xin
利润的
一半2216.79</t>
  </si>
  <si>
    <t>朱小飞</t>
  </si>
  <si>
    <t>Isabel Zhu</t>
  </si>
  <si>
    <t>Halifa Success</t>
  </si>
  <si>
    <t>Mr Qiu</t>
  </si>
  <si>
    <t>Victor Nnamdi</t>
  </si>
  <si>
    <t>Lin Bao Zhen</t>
  </si>
  <si>
    <t>Gbenga</t>
  </si>
  <si>
    <t>合计</t>
  </si>
  <si>
    <t>朱小飞 提成</t>
  </si>
  <si>
    <t>总利润减Halifa
利润的
一半161.39</t>
  </si>
  <si>
    <t>吕沛霖</t>
  </si>
  <si>
    <t>喵喵速运-Layne</t>
  </si>
  <si>
    <t>SHAEK</t>
  </si>
  <si>
    <t>JOB090351</t>
  </si>
  <si>
    <t>COLL004143</t>
  </si>
  <si>
    <t>ABDUL</t>
  </si>
  <si>
    <t>登凯=44776
赛捷=1750 
拖车费=2270
杂费=1388 
过磅费=65</t>
  </si>
  <si>
    <t>WEI PING</t>
  </si>
  <si>
    <t>Hu Hai Liang</t>
  </si>
  <si>
    <t>Mr.Wang</t>
  </si>
  <si>
    <t>JOB090366</t>
  </si>
  <si>
    <t>COLL004158</t>
  </si>
  <si>
    <t>Candice Ding</t>
  </si>
  <si>
    <t>赛捷</t>
  </si>
  <si>
    <t>FRANK</t>
  </si>
  <si>
    <t>WYLB</t>
  </si>
  <si>
    <t>吕沛霖 提成</t>
  </si>
  <si>
    <t>罗伟健</t>
  </si>
  <si>
    <t>MailMail速运-演员</t>
  </si>
  <si>
    <t>Harvey Wang</t>
  </si>
  <si>
    <t>Mr.Joseph Ezekiel</t>
  </si>
  <si>
    <t>Mr.Ahamed Tijani Danmallam</t>
  </si>
  <si>
    <t>罗伟健 提成</t>
  </si>
  <si>
    <t>罗珮文</t>
  </si>
  <si>
    <t>Shirley</t>
  </si>
  <si>
    <t>Yusky</t>
  </si>
  <si>
    <t>罗珮文 提成</t>
  </si>
  <si>
    <t>陆总</t>
  </si>
  <si>
    <t>陆梓龙</t>
  </si>
  <si>
    <t>luk</t>
  </si>
  <si>
    <t>xiantian</t>
  </si>
  <si>
    <t>WANG</t>
  </si>
  <si>
    <t>jizong</t>
  </si>
  <si>
    <t>JOB090387</t>
  </si>
  <si>
    <t>COLL004180</t>
  </si>
  <si>
    <t xml:space="preserve">登凯=39969.7
赛捷=2800 </t>
  </si>
  <si>
    <t>WDG</t>
  </si>
  <si>
    <t>陆总 提成</t>
  </si>
  <si>
    <t>JOB090350</t>
  </si>
  <si>
    <t>COLL004142</t>
  </si>
  <si>
    <t>Sam.Pao</t>
  </si>
  <si>
    <t>Nick Wang</t>
  </si>
  <si>
    <t>登凯=48459
赛捷=1120 
拖车费=1670
杂费=81 
过磅费=61</t>
  </si>
  <si>
    <t>Adesoye</t>
  </si>
  <si>
    <t>ERICA</t>
  </si>
  <si>
    <t>SKY JET</t>
  </si>
  <si>
    <t>MaiKaiNian</t>
  </si>
  <si>
    <t>AiGeLi</t>
  </si>
  <si>
    <t>JunYue hotel</t>
  </si>
  <si>
    <t>JOB090364</t>
  </si>
  <si>
    <t>COLL004256</t>
  </si>
  <si>
    <t>ShanShan</t>
  </si>
  <si>
    <t>登凯=41647
赛捷=1280 
拖车费=1670
杂费=73
过磅费=68</t>
  </si>
  <si>
    <t>LuZhiLong</t>
  </si>
  <si>
    <t>JOB090367</t>
  </si>
  <si>
    <t>COLL004161</t>
  </si>
  <si>
    <t>Mr. Jason</t>
  </si>
  <si>
    <t>只清关</t>
  </si>
  <si>
    <t>JOB090368</t>
  </si>
  <si>
    <t>COLL004162</t>
  </si>
  <si>
    <t>ChenGaoHong</t>
  </si>
  <si>
    <t>Mr Liu</t>
  </si>
  <si>
    <t>FEMEB NIGERIA LIMITED</t>
  </si>
  <si>
    <t>JOB110331</t>
  </si>
  <si>
    <t>COLL004224</t>
  </si>
  <si>
    <t>登凯=41647
陆总=2000 
拖车费=1670
杂费=101
过磅费=58</t>
  </si>
  <si>
    <t>浦生 提成</t>
  </si>
  <si>
    <t>任务</t>
  </si>
  <si>
    <t>提成计数40%</t>
  </si>
  <si>
    <t>实提成计数</t>
  </si>
  <si>
    <t>提成点数50%</t>
  </si>
  <si>
    <t>合计提成金额</t>
  </si>
  <si>
    <t>无人</t>
  </si>
  <si>
    <t>dejare James</t>
  </si>
  <si>
    <t>James</t>
  </si>
  <si>
    <t>Mailmail Abv sales person 1</t>
  </si>
  <si>
    <t>Ugochukwu</t>
  </si>
  <si>
    <t>无人 提成</t>
  </si>
  <si>
    <r>
      <rPr>
        <b/>
        <sz val="18"/>
        <color theme="1"/>
        <rFont val="Tahoma"/>
        <charset val="134"/>
      </rPr>
      <t>24</t>
    </r>
    <r>
      <rPr>
        <b/>
        <sz val="18"/>
        <color theme="1"/>
        <rFont val="宋体"/>
        <charset val="134"/>
      </rPr>
      <t>年</t>
    </r>
    <r>
      <rPr>
        <b/>
        <sz val="18"/>
        <color theme="1"/>
        <rFont val="Tahoma"/>
        <charset val="134"/>
      </rPr>
      <t>9</t>
    </r>
    <r>
      <rPr>
        <b/>
        <sz val="18"/>
        <color theme="1"/>
        <rFont val="宋体"/>
        <charset val="134"/>
      </rPr>
      <t>月份业务员提成总表</t>
    </r>
    <r>
      <rPr>
        <b/>
        <sz val="18"/>
        <color theme="1"/>
        <rFont val="Tahoma"/>
        <charset val="134"/>
      </rPr>
      <t>-</t>
    </r>
    <r>
      <rPr>
        <b/>
        <sz val="18"/>
        <color theme="1"/>
        <rFont val="宋体"/>
        <charset val="134"/>
      </rPr>
      <t>68³</t>
    </r>
  </si>
  <si>
    <t xml:space="preserve">           名称
姓名</t>
  </si>
  <si>
    <t>LOS毛利</t>
  </si>
  <si>
    <t>计费体积
立方</t>
  </si>
  <si>
    <r>
      <rPr>
        <sz val="18"/>
        <color theme="1"/>
        <rFont val="Tahoma"/>
        <charset val="134"/>
      </rPr>
      <t>6</t>
    </r>
    <r>
      <rPr>
        <sz val="18"/>
        <color theme="1"/>
        <rFont val="宋体"/>
        <charset val="134"/>
      </rPr>
      <t>千</t>
    </r>
    <r>
      <rPr>
        <sz val="18"/>
        <color theme="1"/>
        <rFont val="Tahoma"/>
        <charset val="134"/>
      </rPr>
      <t>-3.5</t>
    </r>
    <r>
      <rPr>
        <sz val="18"/>
        <color theme="1"/>
        <rFont val="宋体"/>
        <charset val="134"/>
      </rPr>
      <t>万</t>
    </r>
  </si>
  <si>
    <r>
      <rPr>
        <sz val="18"/>
        <color theme="1"/>
        <rFont val="Tahoma"/>
        <charset val="134"/>
      </rPr>
      <t>3.5</t>
    </r>
    <r>
      <rPr>
        <sz val="18"/>
        <color theme="1"/>
        <rFont val="宋体"/>
        <charset val="134"/>
      </rPr>
      <t>万以上</t>
    </r>
  </si>
  <si>
    <t>合计
提成金额</t>
  </si>
  <si>
    <t>提成点
数40%</t>
  </si>
  <si>
    <t>提成点
数50%</t>
  </si>
  <si>
    <t>黄  颖</t>
  </si>
  <si>
    <t>陈三凤</t>
  </si>
  <si>
    <t>小飞8-9月份原方案10%
（zhong zi xin利润的一半2216.79）</t>
  </si>
  <si>
    <t>小飞8-9月份原方案10%
（Halifa利润的一半161.39）</t>
  </si>
  <si>
    <t>浦海森</t>
  </si>
  <si>
    <t>领款人：</t>
  </si>
  <si>
    <t>空运毛利￥4399.01加海运=8944.86-15000，不达标</t>
  </si>
  <si>
    <t>日期：</t>
  </si>
  <si>
    <t>确认人：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</si>
</sst>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0.00_ &quot;³&quot;"/>
    <numFmt numFmtId="178" formatCode="&quot;JOB&quot;000000"/>
    <numFmt numFmtId="179" formatCode="000000"/>
    <numFmt numFmtId="180" formatCode="m&quot;月&quot;d&quot;日&quot;;@"/>
    <numFmt numFmtId="181" formatCode="0_ "/>
    <numFmt numFmtId="182" formatCode="0.00_ "/>
    <numFmt numFmtId="183" formatCode="&quot;US$&quot;#,##0.00;\-&quot;US$&quot;#,##0.00"/>
    <numFmt numFmtId="184" formatCode="_ * #,##0.00_ ;_ * \-#,##0.00_ ;_ * &quot;-&quot;_ ;_ @_ "/>
    <numFmt numFmtId="185" formatCode="0.0000_ "/>
    <numFmt numFmtId="186" formatCode="0.00&quot;³&quot;"/>
    <numFmt numFmtId="187" formatCode="&quot;US$&quot;#,##0.00_);[Red]\(&quot;US$&quot;#,##0.00\)"/>
  </numFmts>
  <fonts count="57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8"/>
      <color theme="1"/>
      <name val="Tahoma"/>
      <charset val="134"/>
    </font>
    <font>
      <sz val="18"/>
      <color theme="1"/>
      <name val="Tahoma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2"/>
      <name val="微软雅黑"/>
      <charset val="134"/>
    </font>
    <font>
      <b/>
      <sz val="11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sz val="10"/>
      <color rgb="FFFF0000"/>
      <name val="微软雅黑"/>
      <charset val="134"/>
    </font>
    <font>
      <sz val="12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sz val="9"/>
      <name val="宋体"/>
      <charset val="134"/>
    </font>
    <font>
      <sz val="9"/>
      <name val="Microsoft JhengHei"/>
      <charset val="134"/>
    </font>
    <font>
      <sz val="9"/>
      <color theme="1"/>
      <name val="Microsoft JhengHei"/>
      <charset val="134"/>
    </font>
    <font>
      <b/>
      <sz val="10"/>
      <name val="宋体"/>
      <charset val="134"/>
      <scheme val="minor"/>
    </font>
    <font>
      <b/>
      <sz val="9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9"/>
      <color rgb="FFFF0000"/>
      <name val="Microsoft JhengHei"/>
      <charset val="134"/>
    </font>
    <font>
      <b/>
      <sz val="10"/>
      <color theme="1"/>
      <name val="Microsoft JhengHei"/>
      <charset val="134"/>
    </font>
    <font>
      <b/>
      <sz val="9"/>
      <name val="宋体"/>
      <charset val="134"/>
    </font>
    <font>
      <b/>
      <sz val="10"/>
      <color theme="1"/>
      <name val="宋体"/>
      <charset val="134"/>
    </font>
    <font>
      <sz val="9"/>
      <color rgb="FF393939"/>
      <name val="Microsoft JhengHei"/>
      <charset val="134"/>
    </font>
    <font>
      <sz val="9"/>
      <color rgb="FF000000"/>
      <name val="Microsoft JhengHei"/>
      <charset val="134"/>
    </font>
    <font>
      <sz val="9"/>
      <color rgb="FFFFFFFF"/>
      <name val="Microsoft JhengHei"/>
      <charset val="134"/>
    </font>
    <font>
      <sz val="9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1"/>
      <name val="宋体"/>
      <charset val="134"/>
    </font>
    <font>
      <sz val="18"/>
      <color theme="1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12" borderId="16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7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3" borderId="19" applyNumberFormat="0" applyAlignment="0" applyProtection="0">
      <alignment vertical="center"/>
    </xf>
    <xf numFmtId="0" fontId="43" fillId="14" borderId="20" applyNumberFormat="0" applyAlignment="0" applyProtection="0">
      <alignment vertical="center"/>
    </xf>
    <xf numFmtId="0" fontId="44" fillId="14" borderId="19" applyNumberFormat="0" applyAlignment="0" applyProtection="0">
      <alignment vertical="center"/>
    </xf>
    <xf numFmtId="0" fontId="45" fillId="15" borderId="21" applyNumberFormat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1" fillId="42" borderId="0" applyNumberFormat="0" applyBorder="0" applyAlignment="0" applyProtection="0">
      <alignment vertical="center"/>
    </xf>
  </cellStyleXfs>
  <cellXfs count="25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176" fontId="5" fillId="0" borderId="0" xfId="0" applyNumberFormat="1" applyFont="1" applyFill="1">
      <alignment vertical="center"/>
    </xf>
    <xf numFmtId="0" fontId="5" fillId="0" borderId="0" xfId="0" applyNumberFormat="1" applyFont="1" applyFill="1" applyAlignment="1">
      <alignment horizontal="center" vertical="center"/>
    </xf>
    <xf numFmtId="176" fontId="0" fillId="0" borderId="0" xfId="0" applyNumberFormat="1" applyFill="1">
      <alignment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8" fillId="2" borderId="3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4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9" fillId="3" borderId="2" xfId="0" applyNumberFormat="1" applyFont="1" applyFill="1" applyBorder="1" applyAlignment="1">
      <alignment horizontal="center" vertical="center" wrapText="1"/>
    </xf>
    <xf numFmtId="176" fontId="10" fillId="3" borderId="2" xfId="0" applyNumberFormat="1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177" fontId="2" fillId="2" borderId="2" xfId="0" applyNumberFormat="1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vertical="center"/>
    </xf>
    <xf numFmtId="176" fontId="2" fillId="3" borderId="2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0" fillId="0" borderId="0" xfId="0" applyNumberFormat="1" applyFill="1">
      <alignment vertical="center"/>
    </xf>
    <xf numFmtId="0" fontId="10" fillId="2" borderId="2" xfId="0" applyFont="1" applyFill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  <xf numFmtId="0" fontId="0" fillId="0" borderId="0" xfId="0" applyNumberFormat="1" applyFill="1" applyAlignment="1">
      <alignment vertical="center"/>
    </xf>
    <xf numFmtId="0" fontId="4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NumberFormat="1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6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176" fontId="10" fillId="5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9" fillId="4" borderId="2" xfId="0" applyNumberFormat="1" applyFont="1" applyFill="1" applyBorder="1" applyAlignment="1">
      <alignment horizontal="center" vertical="center" wrapText="1"/>
    </xf>
    <xf numFmtId="176" fontId="10" fillId="4" borderId="2" xfId="0" applyNumberFormat="1" applyFont="1" applyFill="1" applyBorder="1" applyAlignment="1">
      <alignment horizontal="center" vertical="center"/>
    </xf>
    <xf numFmtId="176" fontId="10" fillId="5" borderId="2" xfId="0" applyNumberFormat="1" applyFont="1" applyFill="1" applyBorder="1" applyAlignment="1">
      <alignment horizontal="center" vertical="center"/>
    </xf>
    <xf numFmtId="176" fontId="2" fillId="4" borderId="2" xfId="0" applyNumberFormat="1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176" fontId="3" fillId="4" borderId="2" xfId="0" applyNumberFormat="1" applyFont="1" applyFill="1" applyBorder="1" applyAlignment="1">
      <alignment horizontal="center" vertical="center"/>
    </xf>
    <xf numFmtId="176" fontId="11" fillId="5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0" fontId="1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" fillId="4" borderId="2" xfId="0" applyNumberFormat="1" applyFont="1" applyFill="1" applyBorder="1" applyAlignment="1">
      <alignment horizontal="center" vertical="center"/>
    </xf>
    <xf numFmtId="176" fontId="1" fillId="5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5" fillId="0" borderId="0" xfId="0" applyNumberFormat="1" applyFont="1" applyFill="1" applyAlignment="1">
      <alignment vertical="center"/>
    </xf>
    <xf numFmtId="176" fontId="0" fillId="0" borderId="0" xfId="0" applyNumberFormat="1" applyFill="1" applyAlignment="1">
      <alignment vertical="center"/>
    </xf>
    <xf numFmtId="176" fontId="4" fillId="0" borderId="0" xfId="0" applyNumberFormat="1" applyFont="1" applyFill="1" applyAlignment="1">
      <alignment vertical="center"/>
    </xf>
    <xf numFmtId="0" fontId="12" fillId="0" borderId="0" xfId="0" applyFont="1" applyFill="1" applyAlignment="1">
      <alignment vertical="center"/>
    </xf>
    <xf numFmtId="176" fontId="2" fillId="3" borderId="0" xfId="0" applyNumberFormat="1" applyFont="1" applyFill="1" applyAlignment="1">
      <alignment vertical="center"/>
    </xf>
    <xf numFmtId="0" fontId="12" fillId="0" borderId="0" xfId="0" applyNumberFormat="1" applyFont="1" applyFill="1" applyAlignment="1">
      <alignment vertical="center"/>
    </xf>
    <xf numFmtId="0" fontId="0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12" fillId="0" borderId="2" xfId="0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vertical="center"/>
    </xf>
    <xf numFmtId="176" fontId="12" fillId="0" borderId="0" xfId="0" applyNumberFormat="1" applyFont="1" applyFill="1" applyAlignment="1">
      <alignment vertical="center"/>
    </xf>
    <xf numFmtId="0" fontId="0" fillId="3" borderId="2" xfId="0" applyFont="1" applyFill="1" applyBorder="1" applyAlignment="1">
      <alignment horizontal="left" vertical="center" wrapText="1"/>
    </xf>
    <xf numFmtId="0" fontId="14" fillId="3" borderId="8" xfId="0" applyFont="1" applyFill="1" applyBorder="1" applyAlignment="1">
      <alignment horizontal="left" vertical="center"/>
    </xf>
    <xf numFmtId="0" fontId="14" fillId="3" borderId="9" xfId="0" applyFont="1" applyFill="1" applyBorder="1" applyAlignment="1">
      <alignment horizontal="left" vertical="center"/>
    </xf>
    <xf numFmtId="0" fontId="14" fillId="3" borderId="10" xfId="0" applyFont="1" applyFill="1" applyBorder="1" applyAlignment="1">
      <alignment horizontal="left" vertical="center"/>
    </xf>
    <xf numFmtId="0" fontId="14" fillId="3" borderId="11" xfId="0" applyFont="1" applyFill="1" applyBorder="1" applyAlignment="1">
      <alignment horizontal="left" vertical="center"/>
    </xf>
    <xf numFmtId="0" fontId="14" fillId="3" borderId="12" xfId="0" applyFont="1" applyFill="1" applyBorder="1" applyAlignment="1">
      <alignment horizontal="left" vertical="center"/>
    </xf>
    <xf numFmtId="0" fontId="14" fillId="3" borderId="13" xfId="0" applyFont="1" applyFill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15" fillId="0" borderId="0" xfId="0" applyFont="1">
      <alignment vertical="center"/>
    </xf>
    <xf numFmtId="0" fontId="16" fillId="0" borderId="0" xfId="0" applyFont="1" applyFill="1" applyBorder="1" applyAlignment="1">
      <alignment vertical="center"/>
    </xf>
    <xf numFmtId="0" fontId="16" fillId="0" borderId="0" xfId="0" applyFont="1" applyFill="1" applyBorder="1">
      <alignment vertical="center"/>
    </xf>
    <xf numFmtId="0" fontId="12" fillId="0" borderId="0" xfId="0" applyFont="1">
      <alignment vertical="center"/>
    </xf>
    <xf numFmtId="178" fontId="17" fillId="0" borderId="3" xfId="0" applyNumberFormat="1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179" fontId="18" fillId="6" borderId="2" xfId="1" applyNumberFormat="1" applyFont="1" applyFill="1" applyBorder="1" applyAlignment="1">
      <alignment horizontal="center" vertical="center"/>
    </xf>
    <xf numFmtId="180" fontId="19" fillId="6" borderId="2" xfId="1" applyNumberFormat="1" applyFont="1" applyFill="1" applyBorder="1" applyAlignment="1">
      <alignment horizontal="center" vertical="center"/>
    </xf>
    <xf numFmtId="180" fontId="19" fillId="6" borderId="3" xfId="1" applyNumberFormat="1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178" fontId="17" fillId="0" borderId="14" xfId="0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180" fontId="19" fillId="6" borderId="14" xfId="1" applyNumberFormat="1" applyFont="1" applyFill="1" applyBorder="1" applyAlignment="1">
      <alignment horizontal="center" vertical="center"/>
    </xf>
    <xf numFmtId="0" fontId="17" fillId="6" borderId="14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vertical="center"/>
    </xf>
    <xf numFmtId="181" fontId="21" fillId="0" borderId="2" xfId="0" applyNumberFormat="1" applyFont="1" applyFill="1" applyBorder="1" applyAlignment="1">
      <alignment vertical="center"/>
    </xf>
    <xf numFmtId="58" fontId="21" fillId="0" borderId="2" xfId="0" applyNumberFormat="1" applyFon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178" fontId="16" fillId="0" borderId="0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180" fontId="16" fillId="0" borderId="0" xfId="0" applyNumberFormat="1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left" vertical="center" wrapText="1"/>
    </xf>
    <xf numFmtId="0" fontId="0" fillId="3" borderId="9" xfId="0" applyFont="1" applyFill="1" applyBorder="1" applyAlignment="1">
      <alignment horizontal="left" vertical="center" wrapText="1"/>
    </xf>
    <xf numFmtId="0" fontId="0" fillId="3" borderId="11" xfId="0" applyFont="1" applyFill="1" applyBorder="1" applyAlignment="1">
      <alignment horizontal="left" vertical="center" wrapText="1"/>
    </xf>
    <xf numFmtId="0" fontId="0" fillId="3" borderId="12" xfId="0" applyFont="1" applyFill="1" applyBorder="1" applyAlignment="1">
      <alignment horizontal="left" vertical="center" wrapText="1"/>
    </xf>
    <xf numFmtId="176" fontId="15" fillId="5" borderId="5" xfId="0" applyNumberFormat="1" applyFont="1" applyFill="1" applyBorder="1" applyAlignment="1">
      <alignment horizontal="center" vertical="center"/>
    </xf>
    <xf numFmtId="182" fontId="15" fillId="5" borderId="6" xfId="0" applyNumberFormat="1" applyFont="1" applyFill="1" applyBorder="1" applyAlignment="1">
      <alignment horizontal="center" vertical="center"/>
    </xf>
    <xf numFmtId="183" fontId="15" fillId="5" borderId="6" xfId="0" applyNumberFormat="1" applyFont="1" applyFill="1" applyBorder="1" applyAlignment="1">
      <alignment horizontal="center" vertical="center"/>
    </xf>
    <xf numFmtId="0" fontId="15" fillId="5" borderId="6" xfId="0" applyNumberFormat="1" applyFont="1" applyFill="1" applyBorder="1" applyAlignment="1">
      <alignment horizontal="center" vertical="center"/>
    </xf>
    <xf numFmtId="176" fontId="22" fillId="0" borderId="7" xfId="0" applyNumberFormat="1" applyFont="1" applyFill="1" applyBorder="1" applyAlignment="1">
      <alignment horizontal="right" vertical="center"/>
    </xf>
    <xf numFmtId="176" fontId="17" fillId="5" borderId="2" xfId="0" applyNumberFormat="1" applyFont="1" applyFill="1" applyBorder="1" applyAlignment="1">
      <alignment horizontal="right" vertical="center"/>
    </xf>
    <xf numFmtId="182" fontId="23" fillId="5" borderId="2" xfId="0" applyNumberFormat="1" applyFont="1" applyFill="1" applyBorder="1" applyAlignment="1">
      <alignment horizontal="center" vertical="center" wrapText="1"/>
    </xf>
    <xf numFmtId="183" fontId="23" fillId="5" borderId="2" xfId="0" applyNumberFormat="1" applyFont="1" applyFill="1" applyBorder="1" applyAlignment="1">
      <alignment horizontal="center" vertical="center" wrapText="1"/>
    </xf>
    <xf numFmtId="183" fontId="17" fillId="5" borderId="2" xfId="0" applyNumberFormat="1" applyFont="1" applyFill="1" applyBorder="1" applyAlignment="1">
      <alignment horizontal="center" vertical="center" wrapText="1"/>
    </xf>
    <xf numFmtId="0" fontId="24" fillId="5" borderId="2" xfId="0" applyNumberFormat="1" applyFont="1" applyFill="1" applyBorder="1" applyAlignment="1">
      <alignment horizontal="center" vertical="center"/>
    </xf>
    <xf numFmtId="176" fontId="25" fillId="0" borderId="2" xfId="0" applyNumberFormat="1" applyFont="1" applyFill="1" applyBorder="1" applyAlignment="1">
      <alignment horizontal="right" vertical="center"/>
    </xf>
    <xf numFmtId="176" fontId="20" fillId="0" borderId="2" xfId="0" applyNumberFormat="1" applyFont="1" applyFill="1" applyBorder="1" applyAlignment="1">
      <alignment vertical="center"/>
    </xf>
    <xf numFmtId="182" fontId="21" fillId="0" borderId="2" xfId="0" applyNumberFormat="1" applyFont="1" applyFill="1" applyBorder="1" applyAlignment="1">
      <alignment vertical="center"/>
    </xf>
    <xf numFmtId="183" fontId="26" fillId="0" borderId="2" xfId="0" applyNumberFormat="1" applyFont="1" applyFill="1" applyBorder="1" applyAlignment="1">
      <alignment vertical="center"/>
    </xf>
    <xf numFmtId="182" fontId="26" fillId="0" borderId="2" xfId="0" applyNumberFormat="1" applyFont="1" applyFill="1" applyBorder="1" applyAlignment="1">
      <alignment horizontal="center" vertical="center"/>
    </xf>
    <xf numFmtId="182" fontId="26" fillId="0" borderId="2" xfId="0" applyNumberFormat="1" applyFont="1" applyFill="1" applyBorder="1" applyAlignment="1">
      <alignment vertical="center"/>
    </xf>
    <xf numFmtId="183" fontId="20" fillId="0" borderId="2" xfId="0" applyNumberFormat="1" applyFont="1" applyFill="1" applyBorder="1" applyAlignment="1">
      <alignment vertical="center"/>
    </xf>
    <xf numFmtId="0" fontId="0" fillId="3" borderId="10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3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/>
    </xf>
    <xf numFmtId="177" fontId="0" fillId="3" borderId="2" xfId="0" applyNumberFormat="1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76" fontId="0" fillId="7" borderId="2" xfId="0" applyNumberForma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176" fontId="0" fillId="8" borderId="2" xfId="0" applyNumberFormat="1" applyFill="1" applyBorder="1" applyAlignment="1">
      <alignment horizontal="center" vertical="center"/>
    </xf>
    <xf numFmtId="176" fontId="16" fillId="0" borderId="0" xfId="0" applyNumberFormat="1" applyFont="1" applyBorder="1" applyAlignment="1">
      <alignment horizontal="center" vertical="center"/>
    </xf>
    <xf numFmtId="176" fontId="15" fillId="3" borderId="3" xfId="0" applyNumberFormat="1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176" fontId="17" fillId="9" borderId="6" xfId="0" applyNumberFormat="1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176" fontId="17" fillId="0" borderId="6" xfId="0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176" fontId="24" fillId="0" borderId="8" xfId="0" applyNumberFormat="1" applyFont="1" applyFill="1" applyBorder="1" applyAlignment="1">
      <alignment horizontal="center" vertical="center" wrapText="1"/>
    </xf>
    <xf numFmtId="7" fontId="27" fillId="5" borderId="3" xfId="0" applyNumberFormat="1" applyFont="1" applyFill="1" applyBorder="1" applyAlignment="1">
      <alignment horizontal="center" vertical="center" wrapText="1"/>
    </xf>
    <xf numFmtId="176" fontId="15" fillId="3" borderId="14" xfId="0" applyNumberFormat="1" applyFont="1" applyFill="1" applyBorder="1" applyAlignment="1">
      <alignment horizontal="center" vertical="center"/>
    </xf>
    <xf numFmtId="184" fontId="28" fillId="9" borderId="2" xfId="4" applyNumberFormat="1" applyFont="1" applyFill="1" applyBorder="1" applyAlignment="1">
      <alignment horizontal="center" vertical="center"/>
    </xf>
    <xf numFmtId="176" fontId="25" fillId="9" borderId="2" xfId="4" applyNumberFormat="1" applyFont="1" applyFill="1" applyBorder="1" applyAlignment="1">
      <alignment horizontal="center" vertical="center"/>
    </xf>
    <xf numFmtId="184" fontId="25" fillId="0" borderId="2" xfId="4" applyNumberFormat="1" applyFont="1" applyFill="1" applyBorder="1" applyAlignment="1">
      <alignment horizontal="center" vertical="center"/>
    </xf>
    <xf numFmtId="176" fontId="25" fillId="0" borderId="2" xfId="4" applyNumberFormat="1" applyFont="1" applyFill="1" applyBorder="1" applyAlignment="1">
      <alignment horizontal="center" vertical="center"/>
    </xf>
    <xf numFmtId="176" fontId="24" fillId="0" borderId="15" xfId="0" applyNumberFormat="1" applyFont="1" applyFill="1" applyBorder="1" applyAlignment="1">
      <alignment horizontal="center" vertical="center" wrapText="1"/>
    </xf>
    <xf numFmtId="7" fontId="27" fillId="5" borderId="14" xfId="0" applyNumberFormat="1" applyFont="1" applyFill="1" applyBorder="1" applyAlignment="1">
      <alignment horizontal="center" vertical="center" wrapText="1"/>
    </xf>
    <xf numFmtId="176" fontId="21" fillId="0" borderId="14" xfId="0" applyNumberFormat="1" applyFont="1" applyFill="1" applyBorder="1" applyAlignment="1">
      <alignment horizontal="center" vertical="center"/>
    </xf>
    <xf numFmtId="176" fontId="21" fillId="0" borderId="2" xfId="0" applyNumberFormat="1" applyFont="1" applyFill="1" applyBorder="1" applyAlignment="1">
      <alignment vertical="center"/>
    </xf>
    <xf numFmtId="7" fontId="21" fillId="0" borderId="2" xfId="0" applyNumberFormat="1" applyFont="1" applyFill="1" applyBorder="1" applyAlignment="1">
      <alignment vertical="center"/>
    </xf>
    <xf numFmtId="176" fontId="21" fillId="0" borderId="14" xfId="0" applyNumberFormat="1" applyFon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vertical="center"/>
    </xf>
    <xf numFmtId="176" fontId="0" fillId="0" borderId="2" xfId="0" applyNumberFormat="1" applyFill="1" applyBorder="1" applyAlignment="1">
      <alignment vertical="center"/>
    </xf>
    <xf numFmtId="0" fontId="0" fillId="0" borderId="2" xfId="0" applyBorder="1">
      <alignment vertical="center"/>
    </xf>
    <xf numFmtId="183" fontId="24" fillId="5" borderId="2" xfId="0" applyNumberFormat="1" applyFont="1" applyFill="1" applyBorder="1" applyAlignment="1">
      <alignment horizontal="center" vertical="center"/>
    </xf>
    <xf numFmtId="182" fontId="24" fillId="5" borderId="2" xfId="0" applyNumberFormat="1" applyFont="1" applyFill="1" applyBorder="1" applyAlignment="1">
      <alignment horizontal="center" vertical="center"/>
    </xf>
    <xf numFmtId="176" fontId="24" fillId="3" borderId="3" xfId="0" applyNumberFormat="1" applyFont="1" applyFill="1" applyBorder="1" applyAlignment="1">
      <alignment horizontal="center" vertical="center"/>
    </xf>
    <xf numFmtId="176" fontId="15" fillId="7" borderId="3" xfId="0" applyNumberFormat="1" applyFont="1" applyFill="1" applyBorder="1" applyAlignment="1">
      <alignment horizontal="center" vertical="center"/>
    </xf>
    <xf numFmtId="183" fontId="29" fillId="5" borderId="2" xfId="0" applyNumberFormat="1" applyFont="1" applyFill="1" applyBorder="1" applyAlignment="1">
      <alignment vertical="center" wrapText="1"/>
    </xf>
    <xf numFmtId="183" fontId="24" fillId="5" borderId="2" xfId="0" applyNumberFormat="1" applyFont="1" applyFill="1" applyBorder="1" applyAlignment="1">
      <alignment horizontal="right" vertical="center"/>
    </xf>
    <xf numFmtId="182" fontId="27" fillId="5" borderId="2" xfId="0" applyNumberFormat="1" applyFont="1" applyFill="1" applyBorder="1" applyAlignment="1">
      <alignment horizontal="center" vertical="center"/>
    </xf>
    <xf numFmtId="176" fontId="24" fillId="5" borderId="2" xfId="0" applyNumberFormat="1" applyFont="1" applyFill="1" applyBorder="1" applyAlignment="1">
      <alignment horizontal="center" vertical="center"/>
    </xf>
    <xf numFmtId="176" fontId="24" fillId="3" borderId="2" xfId="0" applyNumberFormat="1" applyFont="1" applyFill="1" applyBorder="1" applyAlignment="1">
      <alignment horizontal="center" vertical="center"/>
    </xf>
    <xf numFmtId="176" fontId="15" fillId="7" borderId="4" xfId="0" applyNumberFormat="1" applyFont="1" applyFill="1" applyBorder="1" applyAlignment="1">
      <alignment horizontal="center" vertical="center"/>
    </xf>
    <xf numFmtId="183" fontId="21" fillId="0" borderId="2" xfId="0" applyNumberFormat="1" applyFont="1" applyFill="1" applyBorder="1" applyAlignment="1">
      <alignment vertical="center"/>
    </xf>
    <xf numFmtId="176" fontId="5" fillId="0" borderId="2" xfId="0" applyNumberFormat="1" applyFont="1" applyBorder="1">
      <alignment vertical="center"/>
    </xf>
    <xf numFmtId="176" fontId="0" fillId="0" borderId="2" xfId="0" applyNumberFormat="1" applyBorder="1">
      <alignment vertical="center"/>
    </xf>
    <xf numFmtId="58" fontId="16" fillId="0" borderId="2" xfId="0" applyNumberFormat="1" applyFont="1" applyFill="1" applyBorder="1" applyAlignment="1">
      <alignment vertical="center"/>
    </xf>
    <xf numFmtId="181" fontId="20" fillId="0" borderId="2" xfId="0" applyNumberFormat="1" applyFont="1" applyFill="1" applyBorder="1" applyAlignment="1">
      <alignment horizontal="center" vertical="center"/>
    </xf>
    <xf numFmtId="181" fontId="20" fillId="0" borderId="2" xfId="0" applyNumberFormat="1" applyFont="1" applyFill="1" applyBorder="1" applyAlignment="1">
      <alignment vertical="center"/>
    </xf>
    <xf numFmtId="0" fontId="20" fillId="0" borderId="14" xfId="0" applyFont="1" applyFill="1" applyBorder="1" applyAlignment="1">
      <alignment horizontal="center" vertical="center"/>
    </xf>
    <xf numFmtId="185" fontId="20" fillId="0" borderId="2" xfId="0" applyNumberFormat="1" applyFont="1" applyFill="1" applyBorder="1" applyAlignment="1">
      <alignment vertical="center"/>
    </xf>
    <xf numFmtId="0" fontId="30" fillId="0" borderId="2" xfId="0" applyFont="1" applyFill="1" applyBorder="1" applyAlignment="1">
      <alignment horizontal="center" vertical="center"/>
    </xf>
    <xf numFmtId="0" fontId="30" fillId="0" borderId="2" xfId="0" applyFont="1" applyFill="1" applyBorder="1" applyAlignment="1">
      <alignment vertical="center"/>
    </xf>
    <xf numFmtId="0" fontId="31" fillId="0" borderId="2" xfId="0" applyFont="1" applyFill="1" applyBorder="1" applyAlignment="1">
      <alignment vertical="center"/>
    </xf>
    <xf numFmtId="176" fontId="26" fillId="0" borderId="2" xfId="0" applyNumberFormat="1" applyFont="1" applyFill="1" applyBorder="1" applyAlignment="1">
      <alignment vertical="center"/>
    </xf>
    <xf numFmtId="183" fontId="16" fillId="0" borderId="2" xfId="0" applyNumberFormat="1" applyFont="1" applyFill="1" applyBorder="1" applyAlignment="1">
      <alignment vertical="center"/>
    </xf>
    <xf numFmtId="182" fontId="16" fillId="0" borderId="2" xfId="0" applyNumberFormat="1" applyFont="1" applyFill="1" applyBorder="1" applyAlignment="1">
      <alignment vertical="center"/>
    </xf>
    <xf numFmtId="182" fontId="26" fillId="0" borderId="0" xfId="0" applyNumberFormat="1" applyFont="1" applyFill="1" applyBorder="1" applyAlignment="1">
      <alignment vertical="center"/>
    </xf>
    <xf numFmtId="183" fontId="32" fillId="0" borderId="2" xfId="0" applyNumberFormat="1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176" fontId="0" fillId="2" borderId="2" xfId="0" applyNumberForma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2" xfId="0" applyFill="1" applyBorder="1" applyAlignment="1">
      <alignment vertical="center"/>
    </xf>
    <xf numFmtId="176" fontId="0" fillId="10" borderId="2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2" xfId="0" applyFill="1" applyBorder="1" applyAlignment="1">
      <alignment vertical="center"/>
    </xf>
    <xf numFmtId="176" fontId="0" fillId="11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vertical="center"/>
    </xf>
    <xf numFmtId="176" fontId="21" fillId="0" borderId="3" xfId="0" applyNumberFormat="1" applyFont="1" applyFill="1" applyBorder="1" applyAlignment="1">
      <alignment horizontal="center" vertical="center"/>
    </xf>
    <xf numFmtId="176" fontId="21" fillId="0" borderId="3" xfId="0" applyNumberFormat="1" applyFont="1" applyFill="1" applyBorder="1" applyAlignment="1">
      <alignment horizontal="center" vertical="center" wrapText="1"/>
    </xf>
    <xf numFmtId="176" fontId="21" fillId="0" borderId="4" xfId="0" applyNumberFormat="1" applyFont="1" applyFill="1" applyBorder="1" applyAlignment="1">
      <alignment horizontal="center" vertical="center"/>
    </xf>
    <xf numFmtId="176" fontId="21" fillId="0" borderId="2" xfId="0" applyNumberFormat="1" applyFont="1" applyFill="1" applyBorder="1" applyAlignment="1">
      <alignment vertical="center" wrapText="1"/>
    </xf>
    <xf numFmtId="176" fontId="16" fillId="0" borderId="0" xfId="0" applyNumberFormat="1" applyFont="1" applyFill="1" applyBorder="1" applyAlignment="1">
      <alignment horizontal="center" vertical="center"/>
    </xf>
    <xf numFmtId="0" fontId="16" fillId="0" borderId="0" xfId="0" applyFont="1" applyFill="1">
      <alignment vertical="center"/>
    </xf>
    <xf numFmtId="0" fontId="16" fillId="0" borderId="0" xfId="0" applyFont="1" applyAlignment="1">
      <alignment horizontal="center" vertical="center"/>
    </xf>
    <xf numFmtId="0" fontId="26" fillId="0" borderId="2" xfId="0" applyFont="1" applyFill="1" applyBorder="1" applyAlignment="1">
      <alignment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2" xfId="0" applyFont="1" applyFill="1" applyBorder="1">
      <alignment vertical="center"/>
    </xf>
    <xf numFmtId="181" fontId="16" fillId="0" borderId="2" xfId="0" applyNumberFormat="1" applyFont="1" applyFill="1" applyBorder="1">
      <alignment vertical="center"/>
    </xf>
    <xf numFmtId="58" fontId="16" fillId="0" borderId="2" xfId="0" applyNumberFormat="1" applyFont="1" applyFill="1" applyBorder="1" applyAlignment="1">
      <alignment horizontal="center" vertical="center"/>
    </xf>
    <xf numFmtId="58" fontId="16" fillId="0" borderId="2" xfId="0" applyNumberFormat="1" applyFont="1" applyFill="1" applyBorder="1">
      <alignment vertical="center"/>
    </xf>
    <xf numFmtId="0" fontId="16" fillId="9" borderId="0" xfId="0" applyFont="1" applyFill="1" applyAlignment="1">
      <alignment horizontal="center" vertical="center"/>
    </xf>
    <xf numFmtId="181" fontId="16" fillId="0" borderId="0" xfId="0" applyNumberFormat="1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0" fontId="16" fillId="0" borderId="0" xfId="0" applyFont="1" applyFill="1" applyAlignment="1">
      <alignment vertical="center"/>
    </xf>
    <xf numFmtId="176" fontId="20" fillId="0" borderId="2" xfId="0" applyNumberFormat="1" applyFont="1" applyFill="1" applyBorder="1">
      <alignment vertical="center"/>
    </xf>
    <xf numFmtId="176" fontId="20" fillId="0" borderId="2" xfId="0" applyNumberFormat="1" applyFont="1" applyFill="1" applyBorder="1" applyAlignment="1">
      <alignment horizontal="center" vertical="center"/>
    </xf>
    <xf numFmtId="183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21" fillId="0" borderId="4" xfId="0" applyNumberFormat="1" applyFont="1" applyFill="1" applyBorder="1" applyAlignment="1">
      <alignment horizontal="center" vertical="center" wrapText="1"/>
    </xf>
    <xf numFmtId="176" fontId="5" fillId="0" borderId="2" xfId="0" applyNumberFormat="1" applyFont="1" applyFill="1" applyBorder="1">
      <alignment vertical="center"/>
    </xf>
    <xf numFmtId="0" fontId="20" fillId="0" borderId="4" xfId="0" applyFont="1" applyFill="1" applyBorder="1" applyAlignment="1">
      <alignment horizontal="center" vertical="center"/>
    </xf>
    <xf numFmtId="186" fontId="0" fillId="0" borderId="2" xfId="0" applyNumberFormat="1" applyBorder="1">
      <alignment vertical="center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>
      <alignment vertical="center"/>
    </xf>
    <xf numFmtId="182" fontId="33" fillId="0" borderId="2" xfId="0" applyNumberFormat="1" applyFont="1" applyFill="1" applyBorder="1" applyAlignment="1">
      <alignment vertical="center"/>
    </xf>
    <xf numFmtId="176" fontId="16" fillId="0" borderId="2" xfId="0" applyNumberFormat="1" applyFont="1" applyBorder="1">
      <alignment vertical="center"/>
    </xf>
    <xf numFmtId="0" fontId="20" fillId="8" borderId="2" xfId="0" applyFont="1" applyFill="1" applyBorder="1" applyAlignment="1">
      <alignment vertical="center"/>
    </xf>
    <xf numFmtId="176" fontId="26" fillId="8" borderId="2" xfId="0" applyNumberFormat="1" applyFont="1" applyFill="1" applyBorder="1" applyAlignment="1">
      <alignment vertical="center"/>
    </xf>
    <xf numFmtId="182" fontId="21" fillId="8" borderId="2" xfId="0" applyNumberFormat="1" applyFont="1" applyFill="1" applyBorder="1" applyAlignment="1">
      <alignment vertical="center"/>
    </xf>
    <xf numFmtId="183" fontId="20" fillId="8" borderId="2" xfId="0" applyNumberFormat="1" applyFont="1" applyFill="1" applyBorder="1" applyAlignment="1">
      <alignment vertical="center"/>
    </xf>
    <xf numFmtId="182" fontId="26" fillId="8" borderId="2" xfId="0" applyNumberFormat="1" applyFont="1" applyFill="1" applyBorder="1" applyAlignment="1">
      <alignment horizontal="center" vertical="center"/>
    </xf>
    <xf numFmtId="176" fontId="20" fillId="8" borderId="2" xfId="0" applyNumberFormat="1" applyFont="1" applyFill="1" applyBorder="1" applyAlignment="1">
      <alignment vertical="center"/>
    </xf>
    <xf numFmtId="0" fontId="0" fillId="3" borderId="4" xfId="0" applyFill="1" applyBorder="1" applyAlignment="1">
      <alignment horizontal="center" vertical="center"/>
    </xf>
    <xf numFmtId="176" fontId="0" fillId="3" borderId="3" xfId="0" applyNumberFormat="1" applyFill="1" applyBorder="1" applyAlignment="1">
      <alignment horizontal="center" vertical="center" wrapText="1"/>
    </xf>
    <xf numFmtId="176" fontId="0" fillId="3" borderId="14" xfId="0" applyNumberFormat="1" applyFill="1" applyBorder="1" applyAlignment="1">
      <alignment horizontal="center" vertical="center" wrapText="1"/>
    </xf>
    <xf numFmtId="176" fontId="0" fillId="3" borderId="4" xfId="0" applyNumberFormat="1" applyFill="1" applyBorder="1" applyAlignment="1">
      <alignment horizontal="center" vertical="center" wrapText="1"/>
    </xf>
    <xf numFmtId="176" fontId="21" fillId="8" borderId="14" xfId="0" applyNumberFormat="1" applyFont="1" applyFill="1" applyBorder="1" applyAlignment="1">
      <alignment horizontal="center" vertical="center"/>
    </xf>
    <xf numFmtId="176" fontId="21" fillId="8" borderId="2" xfId="0" applyNumberFormat="1" applyFont="1" applyFill="1" applyBorder="1" applyAlignment="1">
      <alignment vertical="center"/>
    </xf>
    <xf numFmtId="7" fontId="21" fillId="8" borderId="2" xfId="0" applyNumberFormat="1" applyFont="1" applyFill="1" applyBorder="1" applyAlignment="1">
      <alignment vertical="center"/>
    </xf>
    <xf numFmtId="176" fontId="21" fillId="8" borderId="14" xfId="0" applyNumberFormat="1" applyFont="1" applyFill="1" applyBorder="1" applyAlignment="1">
      <alignment horizontal="center" vertical="center" wrapText="1"/>
    </xf>
    <xf numFmtId="183" fontId="21" fillId="8" borderId="2" xfId="0" applyNumberFormat="1" applyFont="1" applyFill="1" applyBorder="1" applyAlignment="1">
      <alignment vertical="center"/>
    </xf>
    <xf numFmtId="176" fontId="16" fillId="0" borderId="0" xfId="0" applyNumberFormat="1" applyFont="1" applyFill="1" applyBorder="1" applyAlignment="1">
      <alignment vertical="center"/>
    </xf>
    <xf numFmtId="178" fontId="16" fillId="0" borderId="2" xfId="0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182" fontId="26" fillId="8" borderId="2" xfId="0" applyNumberFormat="1" applyFont="1" applyFill="1" applyBorder="1" applyAlignment="1">
      <alignment vertical="center"/>
    </xf>
    <xf numFmtId="183" fontId="26" fillId="8" borderId="2" xfId="0" applyNumberFormat="1" applyFont="1" applyFill="1" applyBorder="1" applyAlignment="1">
      <alignment vertical="center"/>
    </xf>
    <xf numFmtId="0" fontId="16" fillId="0" borderId="0" xfId="0" applyFont="1" applyBorder="1" applyAlignment="1">
      <alignment horizontal="center" vertical="center"/>
    </xf>
    <xf numFmtId="176" fontId="26" fillId="0" borderId="0" xfId="0" applyNumberFormat="1" applyFont="1" applyFill="1" applyBorder="1" applyAlignment="1">
      <alignment vertical="center"/>
    </xf>
    <xf numFmtId="187" fontId="20" fillId="0" borderId="2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7"/>
  <sheetViews>
    <sheetView workbookViewId="0">
      <pane xSplit="14" ySplit="4" topLeftCell="AC22" activePane="bottomRight" state="frozen"/>
      <selection/>
      <selection pane="topRight"/>
      <selection pane="bottomLeft"/>
      <selection pane="bottomRight" activeCell="M35" sqref="M35"/>
    </sheetView>
  </sheetViews>
  <sheetFormatPr defaultColWidth="9" defaultRowHeight="13.5"/>
  <cols>
    <col min="2" max="2" width="10.375" customWidth="1"/>
    <col min="3" max="3" width="13.125" customWidth="1"/>
    <col min="4" max="4" width="7.375" customWidth="1"/>
    <col min="6" max="6" width="11.125"/>
    <col min="7" max="7" width="5.75" customWidth="1"/>
    <col min="8" max="8" width="10.125"/>
    <col min="9" max="9" width="11.25"/>
    <col min="10" max="10" width="10.25" customWidth="1"/>
    <col min="11" max="11" width="10.125"/>
    <col min="12" max="12" width="11.25"/>
    <col min="13" max="13" width="15.125" customWidth="1"/>
    <col min="14" max="14" width="12.5" customWidth="1"/>
    <col min="15" max="15" width="15.625" customWidth="1"/>
    <col min="16" max="17" width="14.75"/>
    <col min="18" max="18" width="12.5" customWidth="1"/>
    <col min="19" max="19" width="10.25"/>
    <col min="20" max="20" width="11.125"/>
    <col min="21" max="21" width="10.25"/>
    <col min="22" max="22" width="12.5"/>
    <col min="23" max="23" width="10.75"/>
    <col min="24" max="24" width="12.25" customWidth="1"/>
    <col min="25" max="25" width="12.5"/>
    <col min="26" max="26" width="11.125"/>
    <col min="27" max="27" width="13.625"/>
    <col min="28" max="28" width="14.75"/>
    <col min="29" max="29" width="10.125"/>
    <col min="30" max="30" width="11.125"/>
    <col min="31" max="31" width="14.75"/>
    <col min="32" max="32" width="13.625"/>
  </cols>
  <sheetData>
    <row r="1" ht="24" customHeight="1" spans="1:1">
      <c r="A1" s="86" t="s">
        <v>0</v>
      </c>
    </row>
    <row r="2" customFormat="1" ht="6" customHeight="1" spans="1:1">
      <c r="A2" s="86"/>
    </row>
    <row r="3" s="83" customFormat="1" ht="23" customHeight="1" spans="1:32">
      <c r="A3" s="87" t="s">
        <v>1</v>
      </c>
      <c r="B3" s="88" t="s">
        <v>2</v>
      </c>
      <c r="C3" s="89" t="s">
        <v>3</v>
      </c>
      <c r="D3" s="90" t="s">
        <v>4</v>
      </c>
      <c r="E3" s="91" t="s">
        <v>5</v>
      </c>
      <c r="F3" s="92" t="s">
        <v>6</v>
      </c>
      <c r="G3" s="92" t="s">
        <v>7</v>
      </c>
      <c r="H3" s="92" t="s">
        <v>8</v>
      </c>
      <c r="I3" s="92" t="s">
        <v>9</v>
      </c>
      <c r="J3" s="109" t="s">
        <v>10</v>
      </c>
      <c r="K3" s="110"/>
      <c r="L3" s="111"/>
      <c r="M3" s="110"/>
      <c r="N3" s="111"/>
      <c r="O3" s="112"/>
      <c r="P3" s="113"/>
      <c r="Q3" s="139" t="s">
        <v>11</v>
      </c>
      <c r="R3" s="140" t="s">
        <v>12</v>
      </c>
      <c r="S3" s="141"/>
      <c r="T3" s="142"/>
      <c r="U3" s="143"/>
      <c r="V3" s="144"/>
      <c r="W3" s="145" t="s">
        <v>13</v>
      </c>
      <c r="X3" s="146" t="s">
        <v>14</v>
      </c>
      <c r="Y3" s="161" t="s">
        <v>15</v>
      </c>
      <c r="Z3" s="161"/>
      <c r="AA3" s="161"/>
      <c r="AB3" s="161"/>
      <c r="AC3" s="162"/>
      <c r="AD3" s="161"/>
      <c r="AE3" s="163" t="s">
        <v>16</v>
      </c>
      <c r="AF3" s="164" t="s">
        <v>17</v>
      </c>
    </row>
    <row r="4" s="83" customFormat="1" ht="27" customHeight="1" spans="1:32">
      <c r="A4" s="93"/>
      <c r="B4" s="94"/>
      <c r="C4" s="89"/>
      <c r="D4" s="90"/>
      <c r="E4" s="95"/>
      <c r="F4" s="96"/>
      <c r="G4" s="96"/>
      <c r="H4" s="96"/>
      <c r="I4" s="96"/>
      <c r="J4" s="114" t="s">
        <v>18</v>
      </c>
      <c r="K4" s="115" t="s">
        <v>19</v>
      </c>
      <c r="L4" s="116" t="s">
        <v>20</v>
      </c>
      <c r="M4" s="115" t="s">
        <v>21</v>
      </c>
      <c r="N4" s="117" t="s">
        <v>22</v>
      </c>
      <c r="O4" s="118" t="s">
        <v>23</v>
      </c>
      <c r="P4" s="119" t="s">
        <v>24</v>
      </c>
      <c r="Q4" s="147"/>
      <c r="R4" s="148" t="s">
        <v>25</v>
      </c>
      <c r="S4" s="149" t="s">
        <v>26</v>
      </c>
      <c r="T4" s="150" t="s">
        <v>27</v>
      </c>
      <c r="U4" s="151" t="s">
        <v>28</v>
      </c>
      <c r="V4" s="150" t="s">
        <v>29</v>
      </c>
      <c r="W4" s="152"/>
      <c r="X4" s="153"/>
      <c r="Y4" s="165" t="s">
        <v>30</v>
      </c>
      <c r="Z4" s="165" t="s">
        <v>31</v>
      </c>
      <c r="AA4" s="165" t="s">
        <v>32</v>
      </c>
      <c r="AB4" s="166" t="s">
        <v>33</v>
      </c>
      <c r="AC4" s="167" t="s">
        <v>34</v>
      </c>
      <c r="AD4" s="168" t="s">
        <v>24</v>
      </c>
      <c r="AE4" s="169" t="s">
        <v>35</v>
      </c>
      <c r="AF4" s="170"/>
    </row>
    <row r="5" s="84" customFormat="1" ht="12.75" spans="1:32">
      <c r="A5" s="97"/>
      <c r="B5" s="98"/>
      <c r="C5" s="99">
        <v>240904000027</v>
      </c>
      <c r="D5" s="100">
        <v>45539</v>
      </c>
      <c r="E5" s="100" t="s">
        <v>36</v>
      </c>
      <c r="F5" s="98" t="s">
        <v>37</v>
      </c>
      <c r="G5" s="98" t="s">
        <v>38</v>
      </c>
      <c r="H5" s="98">
        <v>0.057</v>
      </c>
      <c r="I5" s="98">
        <v>22</v>
      </c>
      <c r="J5" s="120"/>
      <c r="K5" s="124">
        <v>55920</v>
      </c>
      <c r="L5" s="125"/>
      <c r="M5" s="123">
        <v>1679.27927927928</v>
      </c>
      <c r="N5" s="122">
        <v>33.3</v>
      </c>
      <c r="O5" s="98">
        <v>7.12</v>
      </c>
      <c r="P5" s="120">
        <v>237.1</v>
      </c>
      <c r="Q5" s="199"/>
      <c r="R5" s="199"/>
      <c r="S5" s="155">
        <v>43.07775</v>
      </c>
      <c r="T5" s="155"/>
      <c r="U5" s="155">
        <v>1.21544117647059</v>
      </c>
      <c r="V5" s="155"/>
      <c r="W5" s="155"/>
      <c r="X5" s="156">
        <v>44.2931911764706</v>
      </c>
      <c r="Y5" s="171">
        <v>9.00051794117647</v>
      </c>
      <c r="Z5" s="171">
        <v>7.02</v>
      </c>
      <c r="AA5" s="171"/>
      <c r="AB5" s="171">
        <v>16.0205179411765</v>
      </c>
      <c r="AC5" s="121">
        <v>7.12</v>
      </c>
      <c r="AD5" s="155">
        <v>114.066087741176</v>
      </c>
      <c r="AE5" s="155">
        <v>158.359278917647</v>
      </c>
      <c r="AF5" s="155">
        <v>78.7407210823529</v>
      </c>
    </row>
    <row r="6" s="84" customFormat="1" ht="12.75" spans="1:32">
      <c r="A6" s="97"/>
      <c r="B6" s="98"/>
      <c r="C6" s="99">
        <v>240902000015</v>
      </c>
      <c r="D6" s="100">
        <v>45547</v>
      </c>
      <c r="E6" s="100" t="s">
        <v>36</v>
      </c>
      <c r="F6" s="98" t="s">
        <v>37</v>
      </c>
      <c r="G6" s="98" t="s">
        <v>39</v>
      </c>
      <c r="H6" s="98">
        <v>3.028</v>
      </c>
      <c r="I6" s="98">
        <v>338</v>
      </c>
      <c r="J6" s="182">
        <v>7000</v>
      </c>
      <c r="K6" s="121"/>
      <c r="L6" s="125"/>
      <c r="M6" s="123"/>
      <c r="N6" s="125"/>
      <c r="O6" s="98"/>
      <c r="P6" s="120">
        <v>7000</v>
      </c>
      <c r="Q6" s="154"/>
      <c r="R6" s="154"/>
      <c r="S6" s="155">
        <v>1992.15682352941</v>
      </c>
      <c r="T6" s="155"/>
      <c r="U6" s="155">
        <v>57.8882352941176</v>
      </c>
      <c r="V6" s="155"/>
      <c r="W6" s="155"/>
      <c r="X6" s="156">
        <v>2050.04505882353</v>
      </c>
      <c r="Y6" s="171">
        <v>478.132777647059</v>
      </c>
      <c r="Z6" s="171"/>
      <c r="AA6" s="171"/>
      <c r="AB6" s="171">
        <v>478.132777647059</v>
      </c>
      <c r="AC6" s="121">
        <v>7.12</v>
      </c>
      <c r="AD6" s="155">
        <v>3404.30537684706</v>
      </c>
      <c r="AE6" s="155">
        <v>5454.35043567059</v>
      </c>
      <c r="AF6" s="155">
        <v>1545.64956432941</v>
      </c>
    </row>
    <row r="7" s="84" customFormat="1" ht="12.75" spans="1:32">
      <c r="A7" s="97"/>
      <c r="B7" s="98"/>
      <c r="C7" s="99">
        <v>240904000027</v>
      </c>
      <c r="D7" s="100">
        <v>45547</v>
      </c>
      <c r="E7" s="100" t="s">
        <v>36</v>
      </c>
      <c r="F7" s="98" t="s">
        <v>37</v>
      </c>
      <c r="G7" s="98" t="s">
        <v>38</v>
      </c>
      <c r="H7" s="98">
        <v>0.0074</v>
      </c>
      <c r="I7" s="98">
        <v>6</v>
      </c>
      <c r="J7" s="120"/>
      <c r="K7" s="124">
        <v>7260</v>
      </c>
      <c r="L7" s="125"/>
      <c r="M7" s="123">
        <v>2261.68224299065</v>
      </c>
      <c r="N7" s="122">
        <v>3.21</v>
      </c>
      <c r="O7" s="98">
        <v>7.12</v>
      </c>
      <c r="P7" s="120">
        <v>22.9</v>
      </c>
      <c r="Q7" s="154"/>
      <c r="R7" s="154"/>
      <c r="S7" s="155">
        <v>4.86854705882353</v>
      </c>
      <c r="T7" s="155"/>
      <c r="U7" s="155">
        <v>0.141470588235294</v>
      </c>
      <c r="V7" s="155"/>
      <c r="W7" s="155"/>
      <c r="X7" s="156">
        <v>5.01001764705882</v>
      </c>
      <c r="Y7" s="171">
        <v>1.16848829411765</v>
      </c>
      <c r="Z7" s="171"/>
      <c r="AA7" s="171"/>
      <c r="AB7" s="171">
        <v>1.16848829411765</v>
      </c>
      <c r="AC7" s="121">
        <v>7.12</v>
      </c>
      <c r="AD7" s="155">
        <v>8.31963665411765</v>
      </c>
      <c r="AE7" s="155">
        <v>13.3296543011765</v>
      </c>
      <c r="AF7" s="155">
        <v>9.57034569882353</v>
      </c>
    </row>
    <row r="8" s="84" customFormat="1" ht="12.75" spans="1:32">
      <c r="A8" s="97"/>
      <c r="B8" s="98"/>
      <c r="C8" s="99">
        <v>240904000032</v>
      </c>
      <c r="D8" s="100">
        <v>45547</v>
      </c>
      <c r="E8" s="100" t="s">
        <v>36</v>
      </c>
      <c r="F8" s="98" t="s">
        <v>37</v>
      </c>
      <c r="G8" s="98" t="s">
        <v>40</v>
      </c>
      <c r="H8" s="98">
        <v>2.736</v>
      </c>
      <c r="I8" s="98">
        <v>1216</v>
      </c>
      <c r="J8" s="182">
        <v>5623</v>
      </c>
      <c r="K8" s="121"/>
      <c r="L8" s="125"/>
      <c r="M8" s="123"/>
      <c r="N8" s="125"/>
      <c r="O8" s="98"/>
      <c r="P8" s="120">
        <v>5623</v>
      </c>
      <c r="Q8" s="154"/>
      <c r="R8" s="154"/>
      <c r="S8" s="155">
        <v>1800.04658823529</v>
      </c>
      <c r="T8" s="155"/>
      <c r="U8" s="155">
        <v>52.3058823529412</v>
      </c>
      <c r="V8" s="155"/>
      <c r="W8" s="155"/>
      <c r="X8" s="156">
        <v>1852.35247058824</v>
      </c>
      <c r="Y8" s="171">
        <v>432.024861176471</v>
      </c>
      <c r="Z8" s="171"/>
      <c r="AA8" s="171"/>
      <c r="AB8" s="171">
        <v>432.024861176471</v>
      </c>
      <c r="AC8" s="121">
        <v>7.12</v>
      </c>
      <c r="AD8" s="155">
        <v>3076.01701157647</v>
      </c>
      <c r="AE8" s="155">
        <v>4928.36948216471</v>
      </c>
      <c r="AF8" s="155">
        <v>694.63051783529</v>
      </c>
    </row>
    <row r="9" s="84" customFormat="1" ht="12.75" spans="1:32">
      <c r="A9" s="97"/>
      <c r="B9" s="98"/>
      <c r="C9" s="99">
        <v>240905000028</v>
      </c>
      <c r="D9" s="100">
        <v>45547</v>
      </c>
      <c r="E9" s="100" t="s">
        <v>36</v>
      </c>
      <c r="F9" s="98" t="s">
        <v>37</v>
      </c>
      <c r="G9" s="98" t="s">
        <v>40</v>
      </c>
      <c r="H9" s="98">
        <v>2.499</v>
      </c>
      <c r="I9" s="98">
        <v>970</v>
      </c>
      <c r="J9" s="182">
        <v>5265</v>
      </c>
      <c r="K9" s="121"/>
      <c r="L9" s="125"/>
      <c r="M9" s="123"/>
      <c r="N9" s="125"/>
      <c r="O9" s="98"/>
      <c r="P9" s="120">
        <v>5265</v>
      </c>
      <c r="Q9" s="154"/>
      <c r="R9" s="154"/>
      <c r="S9" s="155">
        <v>1644.1215</v>
      </c>
      <c r="T9" s="155"/>
      <c r="U9" s="155">
        <v>47.775</v>
      </c>
      <c r="V9" s="155"/>
      <c r="W9" s="155"/>
      <c r="X9" s="156">
        <v>1691.8965</v>
      </c>
      <c r="Y9" s="171">
        <v>394.601655</v>
      </c>
      <c r="Z9" s="171"/>
      <c r="AA9" s="171"/>
      <c r="AB9" s="171">
        <v>394.601655</v>
      </c>
      <c r="AC9" s="121">
        <v>7.12</v>
      </c>
      <c r="AD9" s="155">
        <v>2809.5637836</v>
      </c>
      <c r="AE9" s="155">
        <v>4501.4602836</v>
      </c>
      <c r="AF9" s="155">
        <v>763.5397164</v>
      </c>
    </row>
    <row r="10" s="84" customFormat="1" ht="12.75" spans="1:32">
      <c r="A10" s="97"/>
      <c r="B10" s="98"/>
      <c r="C10" s="99">
        <v>240905000029</v>
      </c>
      <c r="D10" s="100">
        <v>45547</v>
      </c>
      <c r="E10" s="100" t="s">
        <v>36</v>
      </c>
      <c r="F10" s="98" t="s">
        <v>37</v>
      </c>
      <c r="G10" s="98" t="s">
        <v>38</v>
      </c>
      <c r="H10" s="98">
        <v>0.0359</v>
      </c>
      <c r="I10" s="98">
        <v>12</v>
      </c>
      <c r="J10" s="120"/>
      <c r="K10" s="124">
        <v>63180</v>
      </c>
      <c r="L10" s="125"/>
      <c r="M10" s="123">
        <v>1730.48479868529</v>
      </c>
      <c r="N10" s="122">
        <v>36.51</v>
      </c>
      <c r="O10" s="98">
        <v>7.12</v>
      </c>
      <c r="P10" s="120">
        <v>259.9512</v>
      </c>
      <c r="Q10" s="154"/>
      <c r="R10" s="154"/>
      <c r="S10" s="155">
        <v>23.6190323529412</v>
      </c>
      <c r="T10" s="155"/>
      <c r="U10" s="155">
        <v>0.686323529411765</v>
      </c>
      <c r="V10" s="155"/>
      <c r="W10" s="155"/>
      <c r="X10" s="156">
        <v>24.3053558823529</v>
      </c>
      <c r="Y10" s="171">
        <v>5.66874726470588</v>
      </c>
      <c r="Z10" s="171">
        <v>7.06</v>
      </c>
      <c r="AA10" s="171"/>
      <c r="AB10" s="171">
        <v>12.7287472647059</v>
      </c>
      <c r="AC10" s="121">
        <v>7.12</v>
      </c>
      <c r="AD10" s="155">
        <v>90.6286805247059</v>
      </c>
      <c r="AE10" s="155">
        <v>114.934036407059</v>
      </c>
      <c r="AF10" s="155">
        <v>145.017163592941</v>
      </c>
    </row>
    <row r="11" s="84" customFormat="1" ht="12.75" spans="1:32">
      <c r="A11" s="97"/>
      <c r="B11" s="98"/>
      <c r="C11" s="99">
        <v>240816000024</v>
      </c>
      <c r="D11" s="100">
        <v>45554</v>
      </c>
      <c r="E11" s="100" t="s">
        <v>36</v>
      </c>
      <c r="F11" s="98" t="s">
        <v>37</v>
      </c>
      <c r="G11" s="98" t="s">
        <v>41</v>
      </c>
      <c r="H11" s="98">
        <v>22.5</v>
      </c>
      <c r="I11" s="98">
        <v>11357</v>
      </c>
      <c r="J11" s="182">
        <v>51447.45</v>
      </c>
      <c r="K11" s="121"/>
      <c r="L11" s="122"/>
      <c r="M11" s="123"/>
      <c r="N11" s="122"/>
      <c r="O11" s="98"/>
      <c r="P11" s="120">
        <v>51447.45</v>
      </c>
      <c r="Q11" s="197"/>
      <c r="R11" s="197"/>
      <c r="S11" s="155">
        <v>14803.0147058824</v>
      </c>
      <c r="T11" s="155"/>
      <c r="U11" s="155">
        <v>430.147058823529</v>
      </c>
      <c r="V11" s="155"/>
      <c r="W11" s="155"/>
      <c r="X11" s="156">
        <v>15233.1617647059</v>
      </c>
      <c r="Y11" s="171">
        <v>3552.83602941176</v>
      </c>
      <c r="Z11" s="171"/>
      <c r="AA11" s="171"/>
      <c r="AB11" s="171">
        <v>3552.83602941176</v>
      </c>
      <c r="AC11" s="121">
        <v>7.12</v>
      </c>
      <c r="AD11" s="155">
        <v>25296.1925294118</v>
      </c>
      <c r="AE11" s="155">
        <v>40529.3542941176</v>
      </c>
      <c r="AF11" s="155">
        <v>10918.0957058824</v>
      </c>
    </row>
    <row r="12" s="84" customFormat="1" ht="12.75" spans="1:32">
      <c r="A12" s="97"/>
      <c r="B12" s="98"/>
      <c r="C12" s="99">
        <v>240906000035</v>
      </c>
      <c r="D12" s="100">
        <v>45547</v>
      </c>
      <c r="E12" s="100" t="s">
        <v>36</v>
      </c>
      <c r="F12" s="98" t="s">
        <v>37</v>
      </c>
      <c r="G12" s="98" t="s">
        <v>42</v>
      </c>
      <c r="H12" s="98">
        <v>2.343</v>
      </c>
      <c r="I12" s="98">
        <v>480</v>
      </c>
      <c r="J12" s="182">
        <v>5181.75</v>
      </c>
      <c r="K12" s="121"/>
      <c r="L12" s="125"/>
      <c r="M12" s="123"/>
      <c r="N12" s="125"/>
      <c r="O12" s="98"/>
      <c r="P12" s="120">
        <v>5181.75</v>
      </c>
      <c r="Q12" s="154"/>
      <c r="R12" s="154"/>
      <c r="S12" s="155">
        <v>1541.48726470588</v>
      </c>
      <c r="T12" s="155"/>
      <c r="U12" s="155">
        <v>44.7926470588235</v>
      </c>
      <c r="V12" s="155"/>
      <c r="W12" s="155"/>
      <c r="X12" s="156">
        <v>1586.27991176471</v>
      </c>
      <c r="Y12" s="171">
        <v>369.968658529412</v>
      </c>
      <c r="Z12" s="171"/>
      <c r="AA12" s="171"/>
      <c r="AB12" s="171">
        <v>369.968658529412</v>
      </c>
      <c r="AC12" s="121">
        <v>7.12</v>
      </c>
      <c r="AD12" s="155">
        <v>2634.17684872941</v>
      </c>
      <c r="AE12" s="155">
        <v>4220.45676049412</v>
      </c>
      <c r="AF12" s="155">
        <v>961.29323950588</v>
      </c>
    </row>
    <row r="13" s="84" customFormat="1" ht="12.75" spans="1:32">
      <c r="A13" s="97"/>
      <c r="B13" s="98"/>
      <c r="C13" s="99">
        <v>240909000047</v>
      </c>
      <c r="D13" s="100">
        <v>45547</v>
      </c>
      <c r="E13" s="100" t="s">
        <v>36</v>
      </c>
      <c r="F13" s="98" t="s">
        <v>37</v>
      </c>
      <c r="G13" s="98" t="s">
        <v>40</v>
      </c>
      <c r="H13" s="98">
        <v>2.709</v>
      </c>
      <c r="I13" s="98">
        <v>1034</v>
      </c>
      <c r="J13" s="182">
        <v>5562</v>
      </c>
      <c r="K13" s="121"/>
      <c r="L13" s="125"/>
      <c r="M13" s="123"/>
      <c r="N13" s="125"/>
      <c r="O13" s="98"/>
      <c r="P13" s="120">
        <v>5562</v>
      </c>
      <c r="Q13" s="154"/>
      <c r="R13" s="154"/>
      <c r="S13" s="155">
        <v>1782.28297058824</v>
      </c>
      <c r="T13" s="155"/>
      <c r="U13" s="155">
        <v>51.7897058823529</v>
      </c>
      <c r="V13" s="155"/>
      <c r="W13" s="155"/>
      <c r="X13" s="156">
        <v>1834.07267647059</v>
      </c>
      <c r="Y13" s="171">
        <v>427.761457941176</v>
      </c>
      <c r="Z13" s="171"/>
      <c r="AA13" s="171"/>
      <c r="AB13" s="171">
        <v>427.761457941176</v>
      </c>
      <c r="AC13" s="121">
        <v>7.12</v>
      </c>
      <c r="AD13" s="155">
        <v>3045.66158054118</v>
      </c>
      <c r="AE13" s="155">
        <v>4879.73425701176</v>
      </c>
      <c r="AF13" s="155">
        <v>682.265742988236</v>
      </c>
    </row>
    <row r="14" s="84" customFormat="1" ht="12.75" spans="1:32">
      <c r="A14" s="97"/>
      <c r="B14" s="98"/>
      <c r="C14" s="99">
        <v>240911000011</v>
      </c>
      <c r="D14" s="100">
        <v>45547</v>
      </c>
      <c r="E14" s="100" t="s">
        <v>36</v>
      </c>
      <c r="F14" s="98" t="s">
        <v>37</v>
      </c>
      <c r="G14" s="98" t="s">
        <v>40</v>
      </c>
      <c r="H14" s="98">
        <v>1.019</v>
      </c>
      <c r="I14" s="98">
        <v>374</v>
      </c>
      <c r="J14" s="182">
        <v>2095</v>
      </c>
      <c r="K14" s="121"/>
      <c r="L14" s="125"/>
      <c r="M14" s="123"/>
      <c r="N14" s="125"/>
      <c r="O14" s="98"/>
      <c r="P14" s="120">
        <v>2095</v>
      </c>
      <c r="Q14" s="154"/>
      <c r="R14" s="154"/>
      <c r="S14" s="155">
        <v>670.412088235294</v>
      </c>
      <c r="T14" s="155"/>
      <c r="U14" s="155">
        <v>19.4808823529412</v>
      </c>
      <c r="V14" s="155"/>
      <c r="W14" s="155"/>
      <c r="X14" s="156">
        <v>689.892970588235</v>
      </c>
      <c r="Y14" s="171">
        <v>160.903996176471</v>
      </c>
      <c r="Z14" s="171"/>
      <c r="AA14" s="171"/>
      <c r="AB14" s="171">
        <v>160.903996176471</v>
      </c>
      <c r="AC14" s="121">
        <v>7.12</v>
      </c>
      <c r="AD14" s="155">
        <v>1145.63645277647</v>
      </c>
      <c r="AE14" s="155">
        <v>1835.52942336471</v>
      </c>
      <c r="AF14" s="155">
        <v>259.47057663529</v>
      </c>
    </row>
    <row r="15" s="84" customFormat="1" ht="63.75" spans="1:32">
      <c r="A15" s="97" t="s">
        <v>43</v>
      </c>
      <c r="B15" s="98" t="s">
        <v>44</v>
      </c>
      <c r="C15" s="99">
        <v>240816000024</v>
      </c>
      <c r="D15" s="100">
        <v>45554</v>
      </c>
      <c r="E15" s="100" t="s">
        <v>36</v>
      </c>
      <c r="F15" s="98" t="s">
        <v>37</v>
      </c>
      <c r="G15" s="98" t="s">
        <v>41</v>
      </c>
      <c r="H15" s="98">
        <v>4.5226</v>
      </c>
      <c r="I15" s="98">
        <v>5204</v>
      </c>
      <c r="J15" s="182">
        <v>10335.77</v>
      </c>
      <c r="K15" s="121"/>
      <c r="L15" s="122"/>
      <c r="M15" s="123"/>
      <c r="N15" s="122"/>
      <c r="O15" s="98"/>
      <c r="P15" s="120">
        <v>10335.77</v>
      </c>
      <c r="Q15" s="197">
        <v>67001.27616548</v>
      </c>
      <c r="R15" s="198" t="s">
        <v>45</v>
      </c>
      <c r="S15" s="155">
        <v>3034.33205588235</v>
      </c>
      <c r="T15" s="155"/>
      <c r="U15" s="155">
        <v>106.414117647059</v>
      </c>
      <c r="V15" s="155"/>
      <c r="W15" s="155"/>
      <c r="X15" s="156">
        <v>3140.74617352941</v>
      </c>
      <c r="Y15" s="171">
        <v>714.135832294117</v>
      </c>
      <c r="Z15" s="171"/>
      <c r="AA15" s="171">
        <v>3.53161852941176</v>
      </c>
      <c r="AB15" s="171">
        <v>717.667450823529</v>
      </c>
      <c r="AC15" s="121">
        <v>7.18</v>
      </c>
      <c r="AD15" s="155">
        <v>5152.85229691294</v>
      </c>
      <c r="AE15" s="155">
        <v>8293.59847044235</v>
      </c>
      <c r="AF15" s="155">
        <v>2042.17152955765</v>
      </c>
    </row>
    <row r="16" s="84" customFormat="1" ht="12.75" spans="1:32">
      <c r="A16" s="97"/>
      <c r="B16" s="98"/>
      <c r="C16" s="99">
        <v>240911000014</v>
      </c>
      <c r="D16" s="100">
        <v>45554</v>
      </c>
      <c r="E16" s="100" t="s">
        <v>36</v>
      </c>
      <c r="F16" s="98" t="s">
        <v>37</v>
      </c>
      <c r="G16" s="98" t="s">
        <v>46</v>
      </c>
      <c r="H16" s="98">
        <v>0.546</v>
      </c>
      <c r="I16" s="98">
        <v>153</v>
      </c>
      <c r="J16" s="182">
        <v>1212.75</v>
      </c>
      <c r="K16" s="121"/>
      <c r="L16" s="125"/>
      <c r="M16" s="123"/>
      <c r="N16" s="125"/>
      <c r="O16" s="98"/>
      <c r="P16" s="120">
        <v>1212.75</v>
      </c>
      <c r="Q16" s="154"/>
      <c r="R16" s="157"/>
      <c r="S16" s="155">
        <v>366.325852941176</v>
      </c>
      <c r="T16" s="155"/>
      <c r="U16" s="155">
        <v>12.8470588235294</v>
      </c>
      <c r="V16" s="155"/>
      <c r="W16" s="155"/>
      <c r="X16" s="156">
        <v>379.172911764706</v>
      </c>
      <c r="Y16" s="171">
        <v>86.2154876470588</v>
      </c>
      <c r="Z16" s="171"/>
      <c r="AA16" s="171">
        <v>0.426361764705882</v>
      </c>
      <c r="AB16" s="171">
        <v>86.6418494117647</v>
      </c>
      <c r="AC16" s="121">
        <v>7.18</v>
      </c>
      <c r="AD16" s="155">
        <v>622.088478776471</v>
      </c>
      <c r="AE16" s="155">
        <v>1001.26139054118</v>
      </c>
      <c r="AF16" s="155">
        <v>211.48860945882</v>
      </c>
    </row>
    <row r="17" s="84" customFormat="1" ht="12.75" spans="1:32">
      <c r="A17" s="97"/>
      <c r="B17" s="98"/>
      <c r="C17" s="99">
        <v>240912000029</v>
      </c>
      <c r="D17" s="100">
        <v>45554</v>
      </c>
      <c r="E17" s="100" t="s">
        <v>36</v>
      </c>
      <c r="F17" s="98" t="s">
        <v>37</v>
      </c>
      <c r="G17" s="98" t="s">
        <v>40</v>
      </c>
      <c r="H17" s="98">
        <v>1.2975</v>
      </c>
      <c r="I17" s="98">
        <v>506</v>
      </c>
      <c r="J17" s="182">
        <v>2649</v>
      </c>
      <c r="K17" s="121"/>
      <c r="L17" s="125"/>
      <c r="M17" s="123"/>
      <c r="N17" s="125"/>
      <c r="O17" s="98"/>
      <c r="P17" s="120">
        <v>2649</v>
      </c>
      <c r="Q17" s="154"/>
      <c r="R17" s="157"/>
      <c r="S17" s="155">
        <v>870.527095588235</v>
      </c>
      <c r="T17" s="155"/>
      <c r="U17" s="155">
        <v>30.5294117647059</v>
      </c>
      <c r="V17" s="155"/>
      <c r="W17" s="155"/>
      <c r="X17" s="156">
        <v>901.056507352941</v>
      </c>
      <c r="Y17" s="171">
        <v>204.880211029412</v>
      </c>
      <c r="Z17" s="171"/>
      <c r="AA17" s="171">
        <v>1.01319485294118</v>
      </c>
      <c r="AB17" s="171">
        <v>205.893405882353</v>
      </c>
      <c r="AC17" s="121">
        <v>7.18</v>
      </c>
      <c r="AD17" s="155">
        <v>1478.31465423529</v>
      </c>
      <c r="AE17" s="155">
        <v>2379.37116158824</v>
      </c>
      <c r="AF17" s="155">
        <v>269.62883841176</v>
      </c>
    </row>
    <row r="18" s="84" customFormat="1" ht="12.75" spans="1:32">
      <c r="A18" s="97"/>
      <c r="B18" s="98"/>
      <c r="C18" s="99">
        <v>240912000039</v>
      </c>
      <c r="D18" s="100">
        <v>45554</v>
      </c>
      <c r="E18" s="100" t="s">
        <v>36</v>
      </c>
      <c r="F18" s="98" t="s">
        <v>37</v>
      </c>
      <c r="G18" s="98" t="s">
        <v>41</v>
      </c>
      <c r="H18" s="98">
        <v>2.7009</v>
      </c>
      <c r="I18" s="98">
        <v>1774</v>
      </c>
      <c r="J18" s="182">
        <v>5427.88</v>
      </c>
      <c r="K18" s="121"/>
      <c r="L18" s="122"/>
      <c r="M18" s="123"/>
      <c r="N18" s="122"/>
      <c r="O18" s="98"/>
      <c r="P18" s="120">
        <v>5427.88</v>
      </c>
      <c r="Q18" s="154"/>
      <c r="R18" s="157"/>
      <c r="S18" s="155">
        <v>1812.10530441176</v>
      </c>
      <c r="T18" s="155"/>
      <c r="U18" s="155">
        <v>63.5505882352941</v>
      </c>
      <c r="V18" s="155"/>
      <c r="W18" s="155"/>
      <c r="X18" s="156">
        <v>1875.65589264706</v>
      </c>
      <c r="Y18" s="171">
        <v>426.482436970588</v>
      </c>
      <c r="Z18" s="171"/>
      <c r="AA18" s="171">
        <v>2.10908514705882</v>
      </c>
      <c r="AB18" s="171">
        <v>428.591522117647</v>
      </c>
      <c r="AC18" s="121">
        <v>7.18</v>
      </c>
      <c r="AD18" s="155">
        <v>3077.2871288047</v>
      </c>
      <c r="AE18" s="155">
        <v>4952.94302145176</v>
      </c>
      <c r="AF18" s="155">
        <v>474.93697854824</v>
      </c>
    </row>
    <row r="19" s="84" customFormat="1" ht="12.75" spans="1:32">
      <c r="A19" s="97"/>
      <c r="B19" s="98"/>
      <c r="C19" s="99">
        <v>240913000030</v>
      </c>
      <c r="D19" s="100">
        <v>45554</v>
      </c>
      <c r="E19" s="100" t="s">
        <v>36</v>
      </c>
      <c r="F19" s="98" t="s">
        <v>37</v>
      </c>
      <c r="G19" s="98" t="s">
        <v>46</v>
      </c>
      <c r="H19" s="98">
        <v>0.6324</v>
      </c>
      <c r="I19" s="98">
        <v>181</v>
      </c>
      <c r="J19" s="182">
        <v>1411.2</v>
      </c>
      <c r="K19" s="121"/>
      <c r="L19" s="125"/>
      <c r="M19" s="123"/>
      <c r="N19" s="125"/>
      <c r="O19" s="98"/>
      <c r="P19" s="120">
        <v>1411.2</v>
      </c>
      <c r="Q19" s="154"/>
      <c r="R19" s="157"/>
      <c r="S19" s="155">
        <v>424.2939</v>
      </c>
      <c r="T19" s="155"/>
      <c r="U19" s="155">
        <v>14.88</v>
      </c>
      <c r="V19" s="155"/>
      <c r="W19" s="155"/>
      <c r="X19" s="156">
        <v>439.1739</v>
      </c>
      <c r="Y19" s="171">
        <v>99.858378</v>
      </c>
      <c r="Z19" s="171"/>
      <c r="AA19" s="171">
        <v>0.49383</v>
      </c>
      <c r="AB19" s="171">
        <v>100.352208</v>
      </c>
      <c r="AC19" s="121">
        <v>7.18</v>
      </c>
      <c r="AD19" s="155">
        <v>720.52885344</v>
      </c>
      <c r="AE19" s="155">
        <v>1159.70275344</v>
      </c>
      <c r="AF19" s="155">
        <v>251.49724656</v>
      </c>
    </row>
    <row r="20" s="84" customFormat="1" ht="12.75" spans="1:32">
      <c r="A20" s="97"/>
      <c r="B20" s="98"/>
      <c r="C20" s="99">
        <v>240917000017</v>
      </c>
      <c r="D20" s="100">
        <v>45554</v>
      </c>
      <c r="E20" s="100" t="s">
        <v>36</v>
      </c>
      <c r="F20" s="98" t="s">
        <v>37</v>
      </c>
      <c r="G20" s="98" t="s">
        <v>47</v>
      </c>
      <c r="H20" s="98">
        <v>1.7265</v>
      </c>
      <c r="I20" s="98">
        <v>349</v>
      </c>
      <c r="J20" s="182">
        <v>4987.5</v>
      </c>
      <c r="K20" s="121"/>
      <c r="L20" s="125"/>
      <c r="M20" s="123"/>
      <c r="N20" s="125"/>
      <c r="O20" s="98"/>
      <c r="P20" s="120">
        <v>4987.5</v>
      </c>
      <c r="Q20" s="154"/>
      <c r="R20" s="157"/>
      <c r="S20" s="155">
        <v>1158.35455147059</v>
      </c>
      <c r="T20" s="155"/>
      <c r="U20" s="155">
        <v>40.6235294117647</v>
      </c>
      <c r="V20" s="155"/>
      <c r="W20" s="155"/>
      <c r="X20" s="156">
        <v>1198.97808088235</v>
      </c>
      <c r="Y20" s="171">
        <v>272.620951323529</v>
      </c>
      <c r="Z20" s="171"/>
      <c r="AA20" s="171">
        <v>1.34819338235294</v>
      </c>
      <c r="AB20" s="171">
        <v>273.969144705882</v>
      </c>
      <c r="AC20" s="121">
        <v>7.18</v>
      </c>
      <c r="AD20" s="155">
        <v>1967.09845898823</v>
      </c>
      <c r="AE20" s="155">
        <v>3166.07653987059</v>
      </c>
      <c r="AF20" s="155">
        <v>1821.42346012941</v>
      </c>
    </row>
    <row r="21" s="84" customFormat="1" ht="12.75" spans="1:32">
      <c r="A21" s="97"/>
      <c r="B21" s="98"/>
      <c r="C21" s="99">
        <v>240910000011</v>
      </c>
      <c r="D21" s="100">
        <v>45559</v>
      </c>
      <c r="E21" s="100" t="s">
        <v>36</v>
      </c>
      <c r="F21" s="98" t="s">
        <v>37</v>
      </c>
      <c r="G21" s="98" t="s">
        <v>41</v>
      </c>
      <c r="H21" s="98">
        <v>4.9278</v>
      </c>
      <c r="I21" s="98">
        <v>2354</v>
      </c>
      <c r="J21" s="182">
        <v>10516</v>
      </c>
      <c r="K21" s="121"/>
      <c r="L21" s="125"/>
      <c r="M21" s="123"/>
      <c r="N21" s="125"/>
      <c r="O21" s="98"/>
      <c r="P21" s="120">
        <v>10516</v>
      </c>
      <c r="Q21" s="154"/>
      <c r="R21" s="157"/>
      <c r="S21" s="155">
        <v>3306.19146176471</v>
      </c>
      <c r="T21" s="155"/>
      <c r="U21" s="155">
        <v>115.948235294118</v>
      </c>
      <c r="V21" s="155">
        <v>400</v>
      </c>
      <c r="W21" s="155"/>
      <c r="X21" s="156">
        <v>3822.13969705882</v>
      </c>
      <c r="Y21" s="171">
        <v>778.118461588235</v>
      </c>
      <c r="Z21" s="171"/>
      <c r="AA21" s="171">
        <v>3.84803205882353</v>
      </c>
      <c r="AB21" s="171">
        <v>781.966493647059</v>
      </c>
      <c r="AC21" s="121">
        <v>7.18</v>
      </c>
      <c r="AD21" s="155">
        <v>5614.51942438588</v>
      </c>
      <c r="AE21" s="155">
        <v>9436.65912144471</v>
      </c>
      <c r="AF21" s="155">
        <v>1079.34087855529</v>
      </c>
    </row>
    <row r="22" s="84" customFormat="1" ht="12.75" spans="1:32">
      <c r="A22" s="97"/>
      <c r="B22" s="98"/>
      <c r="C22" s="99">
        <v>240912000038</v>
      </c>
      <c r="D22" s="100">
        <v>45559</v>
      </c>
      <c r="E22" s="100" t="s">
        <v>36</v>
      </c>
      <c r="F22" s="98" t="s">
        <v>37</v>
      </c>
      <c r="G22" s="98" t="s">
        <v>48</v>
      </c>
      <c r="H22" s="98">
        <v>6.5307</v>
      </c>
      <c r="I22" s="98">
        <v>1272</v>
      </c>
      <c r="J22" s="182">
        <v>13726</v>
      </c>
      <c r="K22" s="121"/>
      <c r="L22" s="125"/>
      <c r="M22" s="123"/>
      <c r="N22" s="125"/>
      <c r="O22" s="98"/>
      <c r="P22" s="120">
        <v>13726</v>
      </c>
      <c r="Q22" s="154"/>
      <c r="R22" s="157"/>
      <c r="S22" s="155">
        <v>4381.61950147059</v>
      </c>
      <c r="T22" s="155"/>
      <c r="U22" s="155">
        <v>153.663529411765</v>
      </c>
      <c r="V22" s="155"/>
      <c r="W22" s="155"/>
      <c r="X22" s="156">
        <v>4535.28303088235</v>
      </c>
      <c r="Y22" s="171">
        <v>1031.22250032353</v>
      </c>
      <c r="Z22" s="171"/>
      <c r="AA22" s="171">
        <v>5.09970838235294</v>
      </c>
      <c r="AB22" s="171">
        <v>1036.32220870588</v>
      </c>
      <c r="AC22" s="121">
        <v>7.18</v>
      </c>
      <c r="AD22" s="155">
        <v>7440.79345850823</v>
      </c>
      <c r="AE22" s="155">
        <v>11976.0764893906</v>
      </c>
      <c r="AF22" s="155">
        <v>1749.9235106094</v>
      </c>
    </row>
    <row r="23" s="84" customFormat="1" ht="12.75" spans="1:32">
      <c r="A23" s="177"/>
      <c r="B23" s="177"/>
      <c r="C23" s="99">
        <v>240910000011</v>
      </c>
      <c r="D23" s="100">
        <v>45559</v>
      </c>
      <c r="E23" s="100" t="s">
        <v>36</v>
      </c>
      <c r="F23" s="98" t="s">
        <v>37</v>
      </c>
      <c r="G23" s="98" t="s">
        <v>41</v>
      </c>
      <c r="H23" s="98">
        <v>1.8876</v>
      </c>
      <c r="I23" s="98">
        <v>1002</v>
      </c>
      <c r="J23" s="182">
        <v>4020.83</v>
      </c>
      <c r="K23" s="121"/>
      <c r="L23" s="125"/>
      <c r="M23" s="123"/>
      <c r="N23" s="125"/>
      <c r="O23" s="98"/>
      <c r="P23" s="120">
        <v>4020.83</v>
      </c>
      <c r="Q23" s="154"/>
      <c r="R23" s="157"/>
      <c r="S23" s="155">
        <v>1187.23655470588</v>
      </c>
      <c r="T23" s="155"/>
      <c r="U23" s="155">
        <v>41.6382352941176</v>
      </c>
      <c r="V23" s="155"/>
      <c r="W23" s="155"/>
      <c r="X23" s="156">
        <v>1228.87479</v>
      </c>
      <c r="Y23" s="171">
        <v>298.059257294118</v>
      </c>
      <c r="Z23" s="171"/>
      <c r="AA23" s="171">
        <v>1.47399352941176</v>
      </c>
      <c r="AB23" s="171">
        <v>299.533250823529</v>
      </c>
      <c r="AC23" s="121">
        <v>7.18</v>
      </c>
      <c r="AD23" s="155">
        <v>2150.64874091294</v>
      </c>
      <c r="AE23" s="155">
        <v>3379.52353091294</v>
      </c>
      <c r="AF23" s="155">
        <v>641.30646908706</v>
      </c>
    </row>
    <row r="24" s="84" customFormat="1" ht="63.75" spans="1:32">
      <c r="A24" s="97" t="s">
        <v>49</v>
      </c>
      <c r="B24" s="98" t="s">
        <v>50</v>
      </c>
      <c r="C24" s="99">
        <v>240912000038</v>
      </c>
      <c r="D24" s="100">
        <v>45560</v>
      </c>
      <c r="E24" s="100" t="s">
        <v>36</v>
      </c>
      <c r="F24" s="98" t="s">
        <v>37</v>
      </c>
      <c r="G24" s="98" t="s">
        <v>48</v>
      </c>
      <c r="H24" s="98">
        <v>6.0188</v>
      </c>
      <c r="I24" s="98">
        <v>1018</v>
      </c>
      <c r="J24" s="182">
        <v>12660</v>
      </c>
      <c r="K24" s="121"/>
      <c r="L24" s="125"/>
      <c r="M24" s="123"/>
      <c r="N24" s="125"/>
      <c r="O24" s="98"/>
      <c r="P24" s="120">
        <v>12660</v>
      </c>
      <c r="Q24" s="197">
        <v>62687.4434</v>
      </c>
      <c r="R24" s="198" t="s">
        <v>51</v>
      </c>
      <c r="S24" s="155">
        <v>3712.44894705882</v>
      </c>
      <c r="T24" s="155"/>
      <c r="U24" s="155">
        <v>115.065294117647</v>
      </c>
      <c r="V24" s="155"/>
      <c r="W24" s="155"/>
      <c r="X24" s="156">
        <v>3827.51424117647</v>
      </c>
      <c r="Y24" s="171">
        <v>950.391533058823</v>
      </c>
      <c r="Z24" s="171"/>
      <c r="AA24" s="171">
        <v>4.69997470588235</v>
      </c>
      <c r="AB24" s="171">
        <v>955.091507764706</v>
      </c>
      <c r="AC24" s="121">
        <v>7.18</v>
      </c>
      <c r="AD24" s="155">
        <v>6857.55702575059</v>
      </c>
      <c r="AE24" s="155">
        <v>10685.0712669271</v>
      </c>
      <c r="AF24" s="155">
        <v>1974.9287330729</v>
      </c>
    </row>
    <row r="25" s="84" customFormat="1" ht="12.75" spans="1:32">
      <c r="A25" s="97"/>
      <c r="B25" s="98"/>
      <c r="C25" s="99">
        <v>240914000053</v>
      </c>
      <c r="D25" s="100">
        <v>45560</v>
      </c>
      <c r="E25" s="100" t="s">
        <v>36</v>
      </c>
      <c r="F25" s="98" t="s">
        <v>37</v>
      </c>
      <c r="G25" s="98" t="s">
        <v>48</v>
      </c>
      <c r="H25" s="98">
        <v>0.3137</v>
      </c>
      <c r="I25" s="98">
        <v>144.5</v>
      </c>
      <c r="J25" s="248">
        <v>672.8</v>
      </c>
      <c r="K25" s="121"/>
      <c r="L25" s="125"/>
      <c r="M25" s="123"/>
      <c r="N25" s="249"/>
      <c r="O25" s="98"/>
      <c r="P25" s="120">
        <v>672.8</v>
      </c>
      <c r="Q25" s="197"/>
      <c r="R25" s="198"/>
      <c r="S25" s="155">
        <v>193.492927941176</v>
      </c>
      <c r="T25" s="155"/>
      <c r="U25" s="155">
        <v>5.99720588235294</v>
      </c>
      <c r="V25" s="155"/>
      <c r="W25" s="155"/>
      <c r="X25" s="156">
        <v>199.490133823529</v>
      </c>
      <c r="Y25" s="171">
        <v>49.5344294411765</v>
      </c>
      <c r="Z25" s="171"/>
      <c r="AA25" s="171">
        <v>0.244962794117647</v>
      </c>
      <c r="AB25" s="171">
        <v>49.7793922352941</v>
      </c>
      <c r="AC25" s="121">
        <v>7.18</v>
      </c>
      <c r="AD25" s="155">
        <v>357.416036249412</v>
      </c>
      <c r="AE25" s="155">
        <v>556.906170072941</v>
      </c>
      <c r="AF25" s="155">
        <v>115.893829927059</v>
      </c>
    </row>
    <row r="26" s="84" customFormat="1" ht="12.75" spans="1:32">
      <c r="A26" s="97"/>
      <c r="B26" s="98"/>
      <c r="C26" s="99">
        <v>240923000035</v>
      </c>
      <c r="D26" s="100">
        <v>45547</v>
      </c>
      <c r="E26" s="100" t="s">
        <v>36</v>
      </c>
      <c r="F26" s="98" t="s">
        <v>37</v>
      </c>
      <c r="G26" s="98" t="s">
        <v>40</v>
      </c>
      <c r="H26" s="98">
        <v>0.7148</v>
      </c>
      <c r="I26" s="98">
        <v>310</v>
      </c>
      <c r="J26" s="182">
        <v>1406</v>
      </c>
      <c r="K26" s="121"/>
      <c r="L26" s="125"/>
      <c r="M26" s="123"/>
      <c r="N26" s="171"/>
      <c r="O26" s="98"/>
      <c r="P26" s="120">
        <v>1406</v>
      </c>
      <c r="Q26" s="154"/>
      <c r="R26" s="154"/>
      <c r="S26" s="155">
        <v>440.894947058824</v>
      </c>
      <c r="T26" s="155"/>
      <c r="U26" s="155">
        <v>13.6652941176471</v>
      </c>
      <c r="V26" s="155"/>
      <c r="W26" s="155"/>
      <c r="X26" s="156">
        <v>454.560241176471</v>
      </c>
      <c r="Y26" s="171">
        <v>112.869653058824</v>
      </c>
      <c r="Z26" s="171"/>
      <c r="AA26" s="171">
        <v>0.558174705882353</v>
      </c>
      <c r="AB26" s="171">
        <v>113.427827764706</v>
      </c>
      <c r="AC26" s="121">
        <v>7.18</v>
      </c>
      <c r="AD26" s="155">
        <v>814.411803350588</v>
      </c>
      <c r="AE26" s="155">
        <v>1268.97204452706</v>
      </c>
      <c r="AF26" s="155">
        <v>137.02795547294</v>
      </c>
    </row>
    <row r="27" spans="1:32">
      <c r="A27" s="243" t="s">
        <v>52</v>
      </c>
      <c r="B27" s="244"/>
      <c r="C27" s="160"/>
      <c r="D27" s="160"/>
      <c r="E27" s="160"/>
      <c r="F27" s="160"/>
      <c r="G27" s="160"/>
      <c r="H27" s="222">
        <f>SUM(H5:H26)</f>
        <v>68.7536</v>
      </c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73"/>
      <c r="AC27" s="173"/>
      <c r="AD27" s="173"/>
      <c r="AE27" s="173"/>
      <c r="AF27" s="173">
        <f>SUM(AF5:AF26)</f>
        <v>26827.8413333411</v>
      </c>
    </row>
    <row r="28" s="203" customFormat="1" ht="20" customHeight="1" spans="1:28">
      <c r="A28" s="1"/>
      <c r="B28" s="1"/>
      <c r="D28" s="211"/>
      <c r="E28" s="211"/>
      <c r="F28" s="247"/>
      <c r="G28" s="247"/>
      <c r="H28" s="247"/>
      <c r="I28" s="138"/>
      <c r="J28" s="138"/>
      <c r="K28" s="138"/>
      <c r="L28" s="138"/>
      <c r="M28" s="212"/>
      <c r="N2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</row>
    <row r="29" s="1" customFormat="1" ht="23" customHeight="1" spans="3:20">
      <c r="C29" s="70" t="s">
        <v>53</v>
      </c>
      <c r="D29" s="70"/>
      <c r="E29" s="70"/>
      <c r="F29" s="105" t="s">
        <v>54</v>
      </c>
      <c r="G29" s="106"/>
      <c r="H29" s="106"/>
      <c r="I29" s="126"/>
      <c r="J29"/>
      <c r="K29" s="131" t="s">
        <v>55</v>
      </c>
      <c r="L29" s="131"/>
      <c r="M29" s="131"/>
      <c r="N29"/>
      <c r="O29"/>
      <c r="P29"/>
      <c r="Q29"/>
      <c r="R29"/>
      <c r="S29"/>
      <c r="T29"/>
    </row>
    <row r="30" s="1" customFormat="1" ht="23" customHeight="1" spans="3:20">
      <c r="C30" s="70"/>
      <c r="D30" s="70"/>
      <c r="E30" s="70"/>
      <c r="F30" s="107"/>
      <c r="G30" s="108"/>
      <c r="H30" s="108"/>
      <c r="I30" s="130"/>
      <c r="J30"/>
      <c r="K30" s="131" t="s">
        <v>56</v>
      </c>
      <c r="L30" s="131" t="s">
        <v>8</v>
      </c>
      <c r="M30" s="131" t="s">
        <v>57</v>
      </c>
      <c r="N30"/>
      <c r="O30"/>
      <c r="P30"/>
      <c r="Q30"/>
      <c r="R30"/>
      <c r="S30"/>
      <c r="T30"/>
    </row>
    <row r="31" s="1" customFormat="1" ht="23" customHeight="1" spans="3:20">
      <c r="C31" s="70" t="s">
        <v>58</v>
      </c>
      <c r="D31" s="70"/>
      <c r="E31" s="70"/>
      <c r="F31" s="76" t="s">
        <v>59</v>
      </c>
      <c r="G31" s="77"/>
      <c r="H31" s="77"/>
      <c r="I31" s="78"/>
      <c r="J31"/>
      <c r="K31" s="131" t="s">
        <v>60</v>
      </c>
      <c r="L31" s="132">
        <f>SUM(H27)</f>
        <v>68.7536</v>
      </c>
      <c r="M31" s="133">
        <f>SUM(AF27)</f>
        <v>26827.8413333411</v>
      </c>
      <c r="N31"/>
      <c r="O31"/>
      <c r="P31"/>
      <c r="Q31"/>
      <c r="R31"/>
      <c r="S31"/>
      <c r="T31"/>
    </row>
    <row r="32" s="1" customFormat="1" ht="23" customHeight="1" spans="3:20">
      <c r="C32" s="70"/>
      <c r="D32" s="70"/>
      <c r="E32" s="70"/>
      <c r="F32" s="79"/>
      <c r="G32" s="80"/>
      <c r="H32" s="80"/>
      <c r="I32" s="81"/>
      <c r="J32"/>
      <c r="K32" s="134" t="s">
        <v>61</v>
      </c>
      <c r="L32" s="134"/>
      <c r="M32" s="135">
        <v>6000</v>
      </c>
      <c r="N32"/>
      <c r="O32"/>
      <c r="P32"/>
      <c r="Q32"/>
      <c r="R32"/>
      <c r="S32"/>
      <c r="T32"/>
    </row>
    <row r="33" s="1" customFormat="1" ht="23" customHeight="1" spans="3:20">
      <c r="C33" s="70" t="s">
        <v>62</v>
      </c>
      <c r="D33" s="70"/>
      <c r="E33" s="70"/>
      <c r="F33" s="76" t="s">
        <v>63</v>
      </c>
      <c r="G33" s="77"/>
      <c r="H33" s="77"/>
      <c r="I33" s="78"/>
      <c r="J33"/>
      <c r="K33" s="136" t="s">
        <v>64</v>
      </c>
      <c r="L33" s="136"/>
      <c r="M33" s="137">
        <f>SUM(M31-M32)</f>
        <v>20827.8413333411</v>
      </c>
      <c r="N33"/>
      <c r="O33"/>
      <c r="P33"/>
      <c r="Q33"/>
      <c r="R33"/>
      <c r="S33"/>
      <c r="T33"/>
    </row>
    <row r="34" s="1" customFormat="1" ht="23" customHeight="1" spans="3:20">
      <c r="C34" s="70"/>
      <c r="D34" s="70"/>
      <c r="E34" s="70"/>
      <c r="F34" s="79"/>
      <c r="G34" s="80"/>
      <c r="H34" s="80"/>
      <c r="I34" s="81"/>
      <c r="J34"/>
      <c r="K34" s="131" t="s">
        <v>65</v>
      </c>
      <c r="L34" s="131"/>
      <c r="M34" s="131">
        <v>0.4</v>
      </c>
      <c r="N34"/>
      <c r="O34"/>
      <c r="P34"/>
      <c r="Q34"/>
      <c r="R34"/>
      <c r="S34"/>
      <c r="T34"/>
    </row>
    <row r="35" s="1" customFormat="1" ht="39" customHeight="1" spans="5:20">
      <c r="E35"/>
      <c r="F35" s="247"/>
      <c r="G35" s="247"/>
      <c r="H35" s="247"/>
      <c r="I35" s="138"/>
      <c r="J35" s="138"/>
      <c r="K35" s="134" t="s">
        <v>66</v>
      </c>
      <c r="L35" s="134"/>
      <c r="M35" s="135">
        <f>SUM(M33*M34)</f>
        <v>8331.13653333644</v>
      </c>
      <c r="N35"/>
      <c r="O35"/>
      <c r="P35"/>
      <c r="Q35"/>
      <c r="R35"/>
      <c r="S35"/>
      <c r="T35"/>
    </row>
    <row r="37" spans="11:14">
      <c r="K37" s="138"/>
      <c r="L37" s="138"/>
      <c r="M37" s="138"/>
      <c r="N37" s="138"/>
    </row>
  </sheetData>
  <autoFilter xmlns:etc="http://www.wps.cn/officeDocument/2017/etCustomData" ref="A3:AB27" etc:filterBottomFollowUsedRange="0">
    <extLst/>
  </autoFilter>
  <mergeCells count="24">
    <mergeCell ref="J3:P3"/>
    <mergeCell ref="R3:V3"/>
    <mergeCell ref="Y3:AD3"/>
    <mergeCell ref="A27:B27"/>
    <mergeCell ref="K29:M29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29:E30"/>
    <mergeCell ref="C31:E32"/>
    <mergeCell ref="F31:I32"/>
    <mergeCell ref="C33:E34"/>
    <mergeCell ref="F33:I34"/>
    <mergeCell ref="F29:I30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3"/>
  <sheetViews>
    <sheetView workbookViewId="0">
      <pane xSplit="15" ySplit="3" topLeftCell="AC4" activePane="bottomRight" state="frozen"/>
      <selection/>
      <selection pane="topRight"/>
      <selection pane="bottomLeft"/>
      <selection pane="bottomRight" activeCell="M17" sqref="M17"/>
    </sheetView>
  </sheetViews>
  <sheetFormatPr defaultColWidth="9" defaultRowHeight="13.5"/>
  <cols>
    <col min="3" max="3" width="13.125" customWidth="1"/>
    <col min="4" max="4" width="12.125"/>
    <col min="6" max="6" width="11.125"/>
    <col min="8" max="8" width="10.125"/>
    <col min="9" max="9" width="11.125"/>
    <col min="10" max="10" width="11.25"/>
    <col min="11" max="11" width="11"/>
    <col min="12" max="12" width="10.5" customWidth="1"/>
    <col min="13" max="13" width="14.5" customWidth="1"/>
    <col min="14" max="14" width="10.25" customWidth="1"/>
    <col min="15" max="15" width="13.625"/>
    <col min="16" max="17" width="12.875"/>
    <col min="18" max="18" width="12.5" customWidth="1"/>
    <col min="19" max="19" width="11.125"/>
    <col min="20" max="20" width="12" style="4"/>
    <col min="21" max="21" width="10.25" style="4"/>
    <col min="22" max="22" width="12.5" style="4"/>
    <col min="23" max="23" width="10.125" style="4"/>
    <col min="24" max="24" width="12" style="4"/>
    <col min="25" max="25" width="12.625" style="4"/>
    <col min="26" max="26" width="10.125"/>
    <col min="27" max="28" width="13.625"/>
    <col min="30" max="30" width="11.125"/>
    <col min="31" max="32" width="13.625"/>
    <col min="33" max="33" width="9.625"/>
  </cols>
  <sheetData>
    <row r="1" customFormat="1" ht="27" customHeight="1" spans="1:25">
      <c r="A1" s="67" t="s">
        <v>0</v>
      </c>
      <c r="T1" s="4"/>
      <c r="U1" s="4"/>
      <c r="V1" s="4"/>
      <c r="W1" s="4"/>
      <c r="X1" s="4"/>
      <c r="Y1" s="4"/>
    </row>
    <row r="2" s="83" customFormat="1" ht="23" customHeight="1" spans="1:32">
      <c r="A2" s="87" t="s">
        <v>1</v>
      </c>
      <c r="B2" s="88" t="s">
        <v>2</v>
      </c>
      <c r="C2" s="89" t="s">
        <v>3</v>
      </c>
      <c r="D2" s="90" t="s">
        <v>4</v>
      </c>
      <c r="E2" s="91" t="s">
        <v>5</v>
      </c>
      <c r="F2" s="92" t="s">
        <v>6</v>
      </c>
      <c r="G2" s="92" t="s">
        <v>7</v>
      </c>
      <c r="H2" s="92" t="s">
        <v>8</v>
      </c>
      <c r="I2" s="92" t="s">
        <v>9</v>
      </c>
      <c r="J2" s="109" t="s">
        <v>10</v>
      </c>
      <c r="K2" s="110"/>
      <c r="L2" s="111"/>
      <c r="M2" s="110"/>
      <c r="N2" s="111"/>
      <c r="O2" s="112"/>
      <c r="P2" s="113"/>
      <c r="Q2" s="139" t="s">
        <v>11</v>
      </c>
      <c r="R2" s="140" t="s">
        <v>12</v>
      </c>
      <c r="S2" s="141"/>
      <c r="T2" s="142"/>
      <c r="U2" s="143"/>
      <c r="V2" s="144"/>
      <c r="W2" s="145" t="s">
        <v>13</v>
      </c>
      <c r="X2" s="146" t="s">
        <v>14</v>
      </c>
      <c r="Y2" s="161" t="s">
        <v>15</v>
      </c>
      <c r="Z2" s="161"/>
      <c r="AA2" s="161"/>
      <c r="AB2" s="161"/>
      <c r="AC2" s="162"/>
      <c r="AD2" s="161"/>
      <c r="AE2" s="163" t="s">
        <v>16</v>
      </c>
      <c r="AF2" s="164" t="s">
        <v>17</v>
      </c>
    </row>
    <row r="3" s="83" customFormat="1" ht="27" customHeight="1" spans="1:32">
      <c r="A3" s="93"/>
      <c r="B3" s="94"/>
      <c r="C3" s="89"/>
      <c r="D3" s="90"/>
      <c r="E3" s="95"/>
      <c r="F3" s="96"/>
      <c r="G3" s="96"/>
      <c r="H3" s="96"/>
      <c r="I3" s="96"/>
      <c r="J3" s="114" t="s">
        <v>18</v>
      </c>
      <c r="K3" s="115" t="s">
        <v>19</v>
      </c>
      <c r="L3" s="116" t="s">
        <v>20</v>
      </c>
      <c r="M3" s="115" t="s">
        <v>21</v>
      </c>
      <c r="N3" s="117" t="s">
        <v>22</v>
      </c>
      <c r="O3" s="118" t="s">
        <v>23</v>
      </c>
      <c r="P3" s="119" t="s">
        <v>24</v>
      </c>
      <c r="Q3" s="147"/>
      <c r="R3" s="148" t="s">
        <v>25</v>
      </c>
      <c r="S3" s="149" t="s">
        <v>26</v>
      </c>
      <c r="T3" s="150" t="s">
        <v>27</v>
      </c>
      <c r="U3" s="151" t="s">
        <v>28</v>
      </c>
      <c r="V3" s="150" t="s">
        <v>29</v>
      </c>
      <c r="W3" s="152"/>
      <c r="X3" s="153"/>
      <c r="Y3" s="165" t="s">
        <v>30</v>
      </c>
      <c r="Z3" s="165" t="s">
        <v>31</v>
      </c>
      <c r="AA3" s="165" t="s">
        <v>32</v>
      </c>
      <c r="AB3" s="166" t="s">
        <v>33</v>
      </c>
      <c r="AC3" s="167" t="s">
        <v>34</v>
      </c>
      <c r="AD3" s="168" t="s">
        <v>24</v>
      </c>
      <c r="AE3" s="169" t="s">
        <v>35</v>
      </c>
      <c r="AF3" s="170"/>
    </row>
    <row r="4" s="84" customFormat="1" ht="12.75" spans="1:32">
      <c r="A4" s="97"/>
      <c r="B4" s="98"/>
      <c r="C4" s="99">
        <v>240828000064</v>
      </c>
      <c r="D4" s="100">
        <v>45539</v>
      </c>
      <c r="E4" s="100" t="s">
        <v>67</v>
      </c>
      <c r="F4" s="98" t="s">
        <v>68</v>
      </c>
      <c r="G4" s="227" t="s">
        <v>69</v>
      </c>
      <c r="H4" s="227">
        <v>2.368</v>
      </c>
      <c r="I4" s="227">
        <v>2617</v>
      </c>
      <c r="J4" s="232"/>
      <c r="K4" s="245">
        <v>2020000</v>
      </c>
      <c r="L4" s="230"/>
      <c r="M4" s="231">
        <v>1688.52202079306</v>
      </c>
      <c r="N4" s="246">
        <v>1196.3125</v>
      </c>
      <c r="O4" s="227">
        <v>7.23</v>
      </c>
      <c r="P4" s="232">
        <v>8649.339375</v>
      </c>
      <c r="Q4" s="237"/>
      <c r="R4" s="237"/>
      <c r="S4" s="238">
        <v>1789.616</v>
      </c>
      <c r="T4" s="238"/>
      <c r="U4" s="238">
        <v>50.4941176470588</v>
      </c>
      <c r="V4" s="238"/>
      <c r="W4" s="238"/>
      <c r="X4" s="239">
        <v>1840.11011764706</v>
      </c>
      <c r="Y4" s="241">
        <v>373.916254117647</v>
      </c>
      <c r="Z4" s="241">
        <v>70.8</v>
      </c>
      <c r="AA4" s="241"/>
      <c r="AB4" s="241">
        <v>444.716254117647</v>
      </c>
      <c r="AC4" s="229">
        <v>7.12</v>
      </c>
      <c r="AD4" s="238">
        <v>3166.37972931765</v>
      </c>
      <c r="AE4" s="238">
        <v>5006.48984696471</v>
      </c>
      <c r="AF4" s="238">
        <v>3642.84952803529</v>
      </c>
    </row>
    <row r="5" s="84" customFormat="1" ht="12.75" spans="1:33">
      <c r="A5" s="97"/>
      <c r="B5" s="98"/>
      <c r="C5" s="99">
        <v>240812000057</v>
      </c>
      <c r="D5" s="174">
        <v>45518</v>
      </c>
      <c r="E5" s="100" t="s">
        <v>67</v>
      </c>
      <c r="F5" s="98" t="s">
        <v>68</v>
      </c>
      <c r="G5" s="227" t="s">
        <v>69</v>
      </c>
      <c r="H5" s="227">
        <v>2.0765</v>
      </c>
      <c r="I5" s="227">
        <v>1506</v>
      </c>
      <c r="J5" s="232"/>
      <c r="K5" s="245">
        <v>1325000</v>
      </c>
      <c r="L5" s="230"/>
      <c r="M5" s="231">
        <v>1924.58541815562</v>
      </c>
      <c r="N5" s="246">
        <v>688.45996</v>
      </c>
      <c r="O5" s="227">
        <v>7.12</v>
      </c>
      <c r="P5" s="232">
        <v>4901.8349152</v>
      </c>
      <c r="Q5" s="237"/>
      <c r="R5" s="237"/>
      <c r="S5" s="232">
        <v>3933.97829977019</v>
      </c>
      <c r="T5" s="238">
        <v>66.2044581300924</v>
      </c>
      <c r="U5" s="238"/>
      <c r="V5" s="238"/>
      <c r="W5" s="238"/>
      <c r="X5" s="239">
        <v>4000.18275790028</v>
      </c>
      <c r="Y5" s="241"/>
      <c r="Z5" s="241"/>
      <c r="AA5" s="241">
        <v>15.5797385799021</v>
      </c>
      <c r="AB5" s="241">
        <v>15.5797385799021</v>
      </c>
      <c r="AC5" s="229">
        <v>7.12</v>
      </c>
      <c r="AD5" s="238">
        <v>110.927738688903</v>
      </c>
      <c r="AE5" s="238">
        <v>4111.11049658919</v>
      </c>
      <c r="AF5" s="238">
        <v>790.724418610815</v>
      </c>
      <c r="AG5" s="242">
        <f>SUM(AF4:AF5)</f>
        <v>4433.5739466461</v>
      </c>
    </row>
    <row r="6" s="84" customFormat="1" ht="12.75" spans="1:33">
      <c r="A6" s="97"/>
      <c r="B6" s="98"/>
      <c r="C6" s="99">
        <v>240827000016</v>
      </c>
      <c r="D6" s="100">
        <v>45539</v>
      </c>
      <c r="E6" s="100" t="s">
        <v>67</v>
      </c>
      <c r="F6" s="98" t="s">
        <v>68</v>
      </c>
      <c r="G6" s="98" t="s">
        <v>70</v>
      </c>
      <c r="H6" s="98">
        <v>0.2537</v>
      </c>
      <c r="I6" s="98">
        <v>138</v>
      </c>
      <c r="J6" s="120"/>
      <c r="K6" s="124">
        <v>202127.5</v>
      </c>
      <c r="L6" s="125"/>
      <c r="M6" s="123">
        <v>1735</v>
      </c>
      <c r="N6" s="122">
        <v>116.5</v>
      </c>
      <c r="O6" s="98">
        <v>7.12</v>
      </c>
      <c r="P6" s="120">
        <v>829.48</v>
      </c>
      <c r="Q6" s="154"/>
      <c r="R6" s="154"/>
      <c r="S6" s="155">
        <v>191.733775</v>
      </c>
      <c r="T6" s="155"/>
      <c r="U6" s="155">
        <v>5.40977941176471</v>
      </c>
      <c r="V6" s="155"/>
      <c r="W6" s="155">
        <v>240</v>
      </c>
      <c r="X6" s="156">
        <v>437.143554411765</v>
      </c>
      <c r="Y6" s="171">
        <v>40.0602000294118</v>
      </c>
      <c r="Z6" s="171"/>
      <c r="AA6" s="171"/>
      <c r="AB6" s="171">
        <v>40.0602000294118</v>
      </c>
      <c r="AC6" s="121">
        <v>7.12</v>
      </c>
      <c r="AD6" s="155">
        <v>285.228624209412</v>
      </c>
      <c r="AE6" s="155">
        <v>722.372178621176</v>
      </c>
      <c r="AF6" s="155">
        <v>107.107821378824</v>
      </c>
      <c r="AG6" s="242">
        <f>SUM(AG5/2)</f>
        <v>2216.78697332305</v>
      </c>
    </row>
    <row r="7" s="84" customFormat="1" ht="12.75" spans="1:32">
      <c r="A7" s="97"/>
      <c r="B7" s="98"/>
      <c r="C7" s="99">
        <v>240914000051</v>
      </c>
      <c r="D7" s="100">
        <v>45554</v>
      </c>
      <c r="E7" s="100" t="s">
        <v>67</v>
      </c>
      <c r="F7" s="98" t="s">
        <v>68</v>
      </c>
      <c r="G7" s="98" t="s">
        <v>71</v>
      </c>
      <c r="H7" s="98">
        <v>0.3911</v>
      </c>
      <c r="I7" s="98">
        <v>120</v>
      </c>
      <c r="J7" s="182">
        <v>907.12</v>
      </c>
      <c r="K7" s="121"/>
      <c r="L7" s="125"/>
      <c r="M7" s="123"/>
      <c r="N7" s="125"/>
      <c r="O7" s="98"/>
      <c r="P7" s="120">
        <v>907.12</v>
      </c>
      <c r="Q7" s="154"/>
      <c r="R7" s="157"/>
      <c r="S7" s="155">
        <v>262.399342647059</v>
      </c>
      <c r="T7" s="155"/>
      <c r="U7" s="155">
        <v>9.20235294117647</v>
      </c>
      <c r="V7" s="155"/>
      <c r="W7" s="155"/>
      <c r="X7" s="156">
        <v>271.601695588235</v>
      </c>
      <c r="Y7" s="171">
        <v>61.7561853823529</v>
      </c>
      <c r="Z7" s="171"/>
      <c r="AA7" s="171">
        <v>0.305403088235294</v>
      </c>
      <c r="AB7" s="171">
        <v>62.0615884705882</v>
      </c>
      <c r="AC7" s="121">
        <v>7.18</v>
      </c>
      <c r="AD7" s="155">
        <v>445.602205218823</v>
      </c>
      <c r="AE7" s="155">
        <v>717.203900807059</v>
      </c>
      <c r="AF7" s="155">
        <v>189.916099192941</v>
      </c>
    </row>
    <row r="8" s="84" customFormat="1" ht="25.5" spans="1:32">
      <c r="A8" s="179" t="s">
        <v>72</v>
      </c>
      <c r="B8" s="180" t="s">
        <v>73</v>
      </c>
      <c r="C8" s="99">
        <v>241015000029</v>
      </c>
      <c r="D8" s="100">
        <v>45547</v>
      </c>
      <c r="E8" s="100" t="s">
        <v>67</v>
      </c>
      <c r="F8" s="180" t="s">
        <v>68</v>
      </c>
      <c r="G8" s="180" t="s">
        <v>74</v>
      </c>
      <c r="H8" s="180">
        <v>181.1178</v>
      </c>
      <c r="I8" s="180"/>
      <c r="J8" s="182">
        <v>257973.5</v>
      </c>
      <c r="K8" s="124">
        <v>60800000</v>
      </c>
      <c r="L8" s="186" t="s">
        <v>75</v>
      </c>
      <c r="M8" s="123">
        <v>1770.00012809211</v>
      </c>
      <c r="N8" s="122">
        <v>34350.28</v>
      </c>
      <c r="O8" s="98">
        <v>7.12</v>
      </c>
      <c r="P8" s="120">
        <v>502547.4936</v>
      </c>
      <c r="Q8" s="155">
        <v>502547.4936</v>
      </c>
      <c r="R8" s="200" t="s">
        <v>76</v>
      </c>
      <c r="S8" s="155">
        <v>246436.66</v>
      </c>
      <c r="T8" s="155"/>
      <c r="U8" s="155"/>
      <c r="V8" s="155"/>
      <c r="W8" s="155"/>
      <c r="X8" s="155">
        <v>246436.66</v>
      </c>
      <c r="Y8" s="171">
        <v>31498.56</v>
      </c>
      <c r="Z8" s="171"/>
      <c r="AA8" s="171"/>
      <c r="AB8" s="171">
        <v>31498.56</v>
      </c>
      <c r="AC8" s="121">
        <v>7.12</v>
      </c>
      <c r="AD8" s="155">
        <v>224269.7472</v>
      </c>
      <c r="AE8" s="155">
        <v>470706.4072</v>
      </c>
      <c r="AF8" s="155">
        <v>31841.0864</v>
      </c>
    </row>
    <row r="9" customFormat="1" spans="1:32">
      <c r="A9" s="243" t="s">
        <v>52</v>
      </c>
      <c r="B9" s="244"/>
      <c r="C9" s="160"/>
      <c r="D9" s="160"/>
      <c r="E9" s="160"/>
      <c r="F9" s="160"/>
      <c r="G9" s="160"/>
      <c r="H9" s="222">
        <f>SUM(H4:H8)</f>
        <v>186.2071</v>
      </c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173"/>
      <c r="AC9" s="173"/>
      <c r="AD9" s="173"/>
      <c r="AE9" s="173"/>
      <c r="AF9" s="173">
        <f>SUM(AF4:AF8)</f>
        <v>36571.6842672179</v>
      </c>
    </row>
    <row r="10" s="203" customFormat="1" ht="22" customHeight="1" spans="1:32">
      <c r="A10" s="1"/>
      <c r="B10" s="1"/>
      <c r="D10" s="211"/>
      <c r="E10" s="211"/>
      <c r="F10" s="211"/>
      <c r="G10" s="211"/>
      <c r="H10" s="211"/>
      <c r="I10" s="211"/>
      <c r="J10" s="211"/>
      <c r="K10" s="211"/>
      <c r="L10" s="211"/>
      <c r="M10" s="211"/>
      <c r="N10" s="211"/>
      <c r="O10" s="211"/>
      <c r="P10" s="211"/>
      <c r="Q10" s="211"/>
      <c r="R10" s="211"/>
      <c r="S10" s="218"/>
      <c r="T10" s="218"/>
      <c r="U10" s="218"/>
      <c r="V10" s="218"/>
      <c r="W10" s="218"/>
      <c r="X10" s="218"/>
      <c r="Y10" s="218"/>
      <c r="AF10" s="212">
        <v>2216.78697332305</v>
      </c>
    </row>
    <row r="11" s="1" customFormat="1" ht="23" customHeight="1" spans="3:32">
      <c r="C11" s="70" t="s">
        <v>53</v>
      </c>
      <c r="D11" s="70"/>
      <c r="E11" s="70"/>
      <c r="F11" s="105" t="s">
        <v>54</v>
      </c>
      <c r="G11" s="106"/>
      <c r="H11" s="106"/>
      <c r="I11" s="126"/>
      <c r="J11"/>
      <c r="K11" s="131" t="s">
        <v>77</v>
      </c>
      <c r="L11" s="131"/>
      <c r="M11" s="131"/>
      <c r="N11" s="131"/>
      <c r="O11"/>
      <c r="P11"/>
      <c r="AF11" s="1">
        <f>SUM(AF9-AF10)</f>
        <v>34354.8972938948</v>
      </c>
    </row>
    <row r="12" s="1" customFormat="1" ht="23" customHeight="1" spans="3:16">
      <c r="C12" s="70"/>
      <c r="D12" s="70"/>
      <c r="E12" s="70"/>
      <c r="F12" s="107"/>
      <c r="G12" s="108"/>
      <c r="H12" s="108"/>
      <c r="I12" s="130"/>
      <c r="J12"/>
      <c r="K12" s="233" t="s">
        <v>56</v>
      </c>
      <c r="L12" s="233" t="s">
        <v>8</v>
      </c>
      <c r="M12" s="233" t="s">
        <v>57</v>
      </c>
      <c r="N12" s="233" t="s">
        <v>78</v>
      </c>
      <c r="O12"/>
      <c r="P12"/>
    </row>
    <row r="13" s="1" customFormat="1" ht="23" customHeight="1" spans="3:16">
      <c r="C13" s="70" t="s">
        <v>58</v>
      </c>
      <c r="D13" s="70"/>
      <c r="E13" s="70"/>
      <c r="F13" s="76" t="s">
        <v>59</v>
      </c>
      <c r="G13" s="77"/>
      <c r="H13" s="77"/>
      <c r="I13" s="78"/>
      <c r="J13"/>
      <c r="K13" s="131" t="s">
        <v>60</v>
      </c>
      <c r="L13" s="132">
        <f>SUM(H9)</f>
        <v>186.2071</v>
      </c>
      <c r="M13" s="133">
        <v>34354.9</v>
      </c>
      <c r="N13" s="234" t="s">
        <v>79</v>
      </c>
      <c r="O13"/>
      <c r="P13"/>
    </row>
    <row r="14" s="1" customFormat="1" ht="23" customHeight="1" spans="3:16">
      <c r="C14" s="70"/>
      <c r="D14" s="70"/>
      <c r="E14" s="70"/>
      <c r="F14" s="79"/>
      <c r="G14" s="80"/>
      <c r="H14" s="80"/>
      <c r="I14" s="81"/>
      <c r="J14"/>
      <c r="K14" s="134" t="s">
        <v>61</v>
      </c>
      <c r="L14" s="134"/>
      <c r="M14" s="135">
        <v>2000</v>
      </c>
      <c r="N14" s="235"/>
      <c r="O14"/>
      <c r="P14"/>
    </row>
    <row r="15" s="1" customFormat="1" ht="23" customHeight="1" spans="3:16">
      <c r="C15" s="70" t="s">
        <v>62</v>
      </c>
      <c r="D15" s="70"/>
      <c r="E15" s="70"/>
      <c r="F15" s="76" t="s">
        <v>63</v>
      </c>
      <c r="G15" s="77"/>
      <c r="H15" s="77"/>
      <c r="I15" s="78"/>
      <c r="J15"/>
      <c r="K15" s="136" t="s">
        <v>64</v>
      </c>
      <c r="L15" s="136"/>
      <c r="M15" s="137">
        <f>SUM(M13-M14)</f>
        <v>32354.9</v>
      </c>
      <c r="N15" s="235"/>
      <c r="O15"/>
      <c r="P15"/>
    </row>
    <row r="16" s="1" customFormat="1" ht="23" customHeight="1" spans="3:16">
      <c r="C16" s="70"/>
      <c r="D16" s="70"/>
      <c r="E16" s="70"/>
      <c r="F16" s="79"/>
      <c r="G16" s="80"/>
      <c r="H16" s="80"/>
      <c r="I16" s="81"/>
      <c r="J16"/>
      <c r="K16" s="131" t="s">
        <v>65</v>
      </c>
      <c r="L16" s="131"/>
      <c r="M16" s="131">
        <v>0.1</v>
      </c>
      <c r="N16" s="235"/>
      <c r="O16"/>
      <c r="P16"/>
    </row>
    <row r="17" s="1" customFormat="1" ht="23" customHeight="1" spans="5:16">
      <c r="E17"/>
      <c r="F17"/>
      <c r="G17"/>
      <c r="H17"/>
      <c r="I17"/>
      <c r="J17"/>
      <c r="K17" s="134" t="s">
        <v>66</v>
      </c>
      <c r="L17" s="134"/>
      <c r="M17" s="135">
        <f>SUM(M15*M16)</f>
        <v>3235.49</v>
      </c>
      <c r="N17" s="236"/>
      <c r="O17"/>
      <c r="P17"/>
    </row>
    <row r="18" s="1" customFormat="1" ht="23" customHeight="1" spans="5:16">
      <c r="E18"/>
      <c r="F18"/>
      <c r="G18"/>
      <c r="H18"/>
      <c r="I18"/>
      <c r="J18"/>
      <c r="K18"/>
      <c r="L18"/>
      <c r="M18"/>
      <c r="N18"/>
      <c r="O18"/>
      <c r="P18"/>
    </row>
    <row r="19" s="1" customFormat="1" ht="23" customHeight="1" spans="5:13">
      <c r="E19"/>
      <c r="F19"/>
      <c r="G19"/>
      <c r="H19"/>
      <c r="I19"/>
      <c r="J19"/>
      <c r="K19"/>
      <c r="L19"/>
      <c r="M19"/>
    </row>
    <row r="20" s="1" customFormat="1" ht="23" customHeight="1" spans="5:13">
      <c r="E20"/>
      <c r="F20"/>
      <c r="G20"/>
      <c r="H20"/>
      <c r="I20"/>
      <c r="J20"/>
      <c r="K20"/>
      <c r="L20"/>
      <c r="M20"/>
    </row>
    <row r="21" s="1" customFormat="1" ht="23" customHeight="1" spans="5:19">
      <c r="E21"/>
      <c r="F21"/>
      <c r="G21"/>
      <c r="H21"/>
      <c r="I21"/>
      <c r="J21"/>
      <c r="K21"/>
      <c r="L21"/>
      <c r="M21"/>
      <c r="O21"/>
      <c r="P21"/>
      <c r="Q21"/>
      <c r="R21"/>
      <c r="S21" s="35"/>
    </row>
    <row r="22" ht="21" customHeight="1"/>
    <row r="23" ht="21" customHeight="1"/>
  </sheetData>
  <mergeCells count="25">
    <mergeCell ref="J2:P2"/>
    <mergeCell ref="R2:V2"/>
    <mergeCell ref="Y2:AD2"/>
    <mergeCell ref="A9:B9"/>
    <mergeCell ref="K11:N1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N13:N17"/>
    <mergeCell ref="Q2:Q3"/>
    <mergeCell ref="W2:W3"/>
    <mergeCell ref="X2:X3"/>
    <mergeCell ref="AF2:AF3"/>
    <mergeCell ref="C15:E16"/>
    <mergeCell ref="F15:I16"/>
    <mergeCell ref="C13:E14"/>
    <mergeCell ref="F13:I14"/>
    <mergeCell ref="C11:E12"/>
    <mergeCell ref="F11:I12"/>
  </mergeCells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6"/>
  <sheetViews>
    <sheetView workbookViewId="0">
      <pane xSplit="15" ySplit="4" topLeftCell="AF5" activePane="bottomRight" state="frozen"/>
      <selection/>
      <selection pane="topRight"/>
      <selection pane="bottomLeft"/>
      <selection pane="bottomRight" activeCell="M20" sqref="M20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1.125"/>
    <col min="10" max="10" width="10.375"/>
    <col min="11" max="11" width="10.125"/>
    <col min="12" max="12" width="11.125"/>
    <col min="13" max="13" width="15.125" customWidth="1"/>
    <col min="14" max="14" width="11.375" customWidth="1"/>
    <col min="15" max="16" width="14.75"/>
    <col min="17" max="17" width="11"/>
    <col min="18" max="18" width="12.5" customWidth="1"/>
    <col min="19" max="19" width="11"/>
    <col min="20" max="20" width="11.125"/>
    <col min="21" max="21" width="12.625"/>
    <col min="22" max="22" width="12.5"/>
    <col min="23" max="23" width="11"/>
    <col min="24" max="24" width="10.375"/>
    <col min="25" max="25" width="12"/>
    <col min="26" max="26" width="9.25"/>
    <col min="27" max="27" width="12.5"/>
    <col min="28" max="28" width="13.625"/>
    <col min="29" max="29" width="9.25"/>
    <col min="30" max="30" width="10.125"/>
    <col min="31" max="31" width="12"/>
    <col min="32" max="32" width="12.625"/>
    <col min="33" max="33" width="9.625"/>
  </cols>
  <sheetData>
    <row r="1" customFormat="1" ht="24" customHeight="1" spans="1:1">
      <c r="A1" s="86" t="s">
        <v>0</v>
      </c>
    </row>
    <row r="2" customFormat="1" ht="6" customHeight="1" spans="1:1">
      <c r="A2" s="86"/>
    </row>
    <row r="3" s="83" customFormat="1" ht="23" customHeight="1" spans="1:32">
      <c r="A3" s="87" t="s">
        <v>1</v>
      </c>
      <c r="B3" s="88" t="s">
        <v>2</v>
      </c>
      <c r="C3" s="89" t="s">
        <v>3</v>
      </c>
      <c r="D3" s="90" t="s">
        <v>4</v>
      </c>
      <c r="E3" s="91" t="s">
        <v>5</v>
      </c>
      <c r="F3" s="92" t="s">
        <v>6</v>
      </c>
      <c r="G3" s="92" t="s">
        <v>7</v>
      </c>
      <c r="H3" s="92" t="s">
        <v>8</v>
      </c>
      <c r="I3" s="92" t="s">
        <v>9</v>
      </c>
      <c r="J3" s="109" t="s">
        <v>10</v>
      </c>
      <c r="K3" s="110"/>
      <c r="L3" s="111"/>
      <c r="M3" s="110"/>
      <c r="N3" s="111"/>
      <c r="O3" s="112"/>
      <c r="P3" s="113"/>
      <c r="Q3" s="139" t="s">
        <v>11</v>
      </c>
      <c r="R3" s="140" t="s">
        <v>12</v>
      </c>
      <c r="S3" s="141"/>
      <c r="T3" s="142"/>
      <c r="U3" s="143"/>
      <c r="V3" s="144"/>
      <c r="W3" s="145" t="s">
        <v>13</v>
      </c>
      <c r="X3" s="146" t="s">
        <v>14</v>
      </c>
      <c r="Y3" s="161" t="s">
        <v>15</v>
      </c>
      <c r="Z3" s="161"/>
      <c r="AA3" s="161"/>
      <c r="AB3" s="161"/>
      <c r="AC3" s="162"/>
      <c r="AD3" s="161"/>
      <c r="AE3" s="163" t="s">
        <v>16</v>
      </c>
      <c r="AF3" s="164" t="s">
        <v>17</v>
      </c>
    </row>
    <row r="4" s="83" customFormat="1" ht="27" customHeight="1" spans="1:32">
      <c r="A4" s="93"/>
      <c r="B4" s="94"/>
      <c r="C4" s="89"/>
      <c r="D4" s="90"/>
      <c r="E4" s="95"/>
      <c r="F4" s="96"/>
      <c r="G4" s="96"/>
      <c r="H4" s="96"/>
      <c r="I4" s="96"/>
      <c r="J4" s="114" t="s">
        <v>18</v>
      </c>
      <c r="K4" s="115" t="s">
        <v>19</v>
      </c>
      <c r="L4" s="116" t="s">
        <v>20</v>
      </c>
      <c r="M4" s="115" t="s">
        <v>21</v>
      </c>
      <c r="N4" s="117" t="s">
        <v>22</v>
      </c>
      <c r="O4" s="118" t="s">
        <v>23</v>
      </c>
      <c r="P4" s="119" t="s">
        <v>24</v>
      </c>
      <c r="Q4" s="147"/>
      <c r="R4" s="148" t="s">
        <v>25</v>
      </c>
      <c r="S4" s="149" t="s">
        <v>26</v>
      </c>
      <c r="T4" s="150" t="s">
        <v>27</v>
      </c>
      <c r="U4" s="151" t="s">
        <v>28</v>
      </c>
      <c r="V4" s="150" t="s">
        <v>29</v>
      </c>
      <c r="W4" s="152"/>
      <c r="X4" s="153"/>
      <c r="Y4" s="165" t="s">
        <v>30</v>
      </c>
      <c r="Z4" s="165" t="s">
        <v>31</v>
      </c>
      <c r="AA4" s="165" t="s">
        <v>32</v>
      </c>
      <c r="AB4" s="166" t="s">
        <v>33</v>
      </c>
      <c r="AC4" s="167" t="s">
        <v>34</v>
      </c>
      <c r="AD4" s="168" t="s">
        <v>24</v>
      </c>
      <c r="AE4" s="169" t="s">
        <v>35</v>
      </c>
      <c r="AF4" s="170"/>
    </row>
    <row r="5" s="84" customFormat="1" ht="12.75" spans="1:32">
      <c r="A5" s="97"/>
      <c r="B5" s="98"/>
      <c r="C5" s="99">
        <v>240903000015</v>
      </c>
      <c r="D5" s="100">
        <v>45539</v>
      </c>
      <c r="E5" s="100" t="s">
        <v>80</v>
      </c>
      <c r="F5" s="98" t="s">
        <v>81</v>
      </c>
      <c r="G5" s="227" t="s">
        <v>82</v>
      </c>
      <c r="H5" s="227">
        <v>0.42</v>
      </c>
      <c r="I5" s="227">
        <v>62</v>
      </c>
      <c r="J5" s="228">
        <v>959.18</v>
      </c>
      <c r="K5" s="229"/>
      <c r="L5" s="230"/>
      <c r="M5" s="231"/>
      <c r="N5" s="230"/>
      <c r="O5" s="227"/>
      <c r="P5" s="232">
        <v>959.18</v>
      </c>
      <c r="Q5" s="237"/>
      <c r="R5" s="237"/>
      <c r="S5" s="238">
        <v>310.361470588235</v>
      </c>
      <c r="T5" s="238">
        <v>0.7203</v>
      </c>
      <c r="U5" s="238">
        <v>10.8088235294118</v>
      </c>
      <c r="V5" s="238"/>
      <c r="W5" s="238"/>
      <c r="X5" s="239">
        <v>321.890594117647</v>
      </c>
      <c r="Y5" s="241">
        <v>66.3196058823529</v>
      </c>
      <c r="Z5" s="241"/>
      <c r="AA5" s="241">
        <v>0.437294117647059</v>
      </c>
      <c r="AB5" s="241">
        <v>66.7569</v>
      </c>
      <c r="AC5" s="229">
        <v>7.12</v>
      </c>
      <c r="AD5" s="238">
        <v>475.309128</v>
      </c>
      <c r="AE5" s="238">
        <v>797.199722117647</v>
      </c>
      <c r="AF5" s="238">
        <v>161.980277882353</v>
      </c>
    </row>
    <row r="6" s="84" customFormat="1" ht="12.75" spans="1:33">
      <c r="A6" s="97"/>
      <c r="B6" s="98"/>
      <c r="C6" s="99">
        <v>240912000025</v>
      </c>
      <c r="D6" s="100">
        <v>45554</v>
      </c>
      <c r="E6" s="100" t="s">
        <v>80</v>
      </c>
      <c r="F6" s="98" t="s">
        <v>81</v>
      </c>
      <c r="G6" s="227" t="s">
        <v>82</v>
      </c>
      <c r="H6" s="227">
        <v>0.0329</v>
      </c>
      <c r="I6" s="227">
        <v>7.28</v>
      </c>
      <c r="J6" s="228">
        <v>221.13</v>
      </c>
      <c r="K6" s="229"/>
      <c r="L6" s="230"/>
      <c r="M6" s="231"/>
      <c r="N6" s="230"/>
      <c r="O6" s="227"/>
      <c r="P6" s="232">
        <v>221.13</v>
      </c>
      <c r="Q6" s="237"/>
      <c r="R6" s="240"/>
      <c r="S6" s="238">
        <v>22.0734808823529</v>
      </c>
      <c r="T6" s="238"/>
      <c r="U6" s="238">
        <v>0.774117647058824</v>
      </c>
      <c r="V6" s="238"/>
      <c r="W6" s="238"/>
      <c r="X6" s="239">
        <v>22.8475985294118</v>
      </c>
      <c r="Y6" s="241">
        <v>5.19503579411765</v>
      </c>
      <c r="Z6" s="241"/>
      <c r="AA6" s="241">
        <v>0.0256910294117647</v>
      </c>
      <c r="AB6" s="241">
        <v>5.22072682352941</v>
      </c>
      <c r="AC6" s="229">
        <v>7.18</v>
      </c>
      <c r="AD6" s="238">
        <v>37.4848185929412</v>
      </c>
      <c r="AE6" s="238">
        <v>60.3324171223529</v>
      </c>
      <c r="AF6" s="238">
        <v>160.797582877647</v>
      </c>
      <c r="AG6" s="242">
        <f>SUM(AF5:AF6)</f>
        <v>322.77786076</v>
      </c>
    </row>
    <row r="7" s="84" customFormat="1" ht="12.75" spans="1:33">
      <c r="A7" s="97"/>
      <c r="B7" s="98"/>
      <c r="C7" s="99">
        <v>240902000041</v>
      </c>
      <c r="D7" s="100">
        <v>45539</v>
      </c>
      <c r="E7" s="100" t="s">
        <v>80</v>
      </c>
      <c r="F7" s="98" t="s">
        <v>81</v>
      </c>
      <c r="G7" s="98" t="s">
        <v>83</v>
      </c>
      <c r="H7" s="98">
        <v>0.5458</v>
      </c>
      <c r="I7" s="98">
        <v>230</v>
      </c>
      <c r="J7" s="120"/>
      <c r="K7" s="124">
        <v>436950</v>
      </c>
      <c r="L7" s="125"/>
      <c r="M7" s="123">
        <v>1779.040013804</v>
      </c>
      <c r="N7" s="122">
        <v>245.60999</v>
      </c>
      <c r="O7" s="98">
        <v>7.08</v>
      </c>
      <c r="P7" s="120">
        <v>1738.9187292</v>
      </c>
      <c r="Q7" s="154"/>
      <c r="R7" s="154"/>
      <c r="S7" s="155">
        <v>403.322120588235</v>
      </c>
      <c r="T7" s="155">
        <v>0.936047</v>
      </c>
      <c r="U7" s="155">
        <v>14.0463235294118</v>
      </c>
      <c r="V7" s="155"/>
      <c r="W7" s="155"/>
      <c r="X7" s="156">
        <v>418.304491117647</v>
      </c>
      <c r="Y7" s="171">
        <v>86.1839068823529</v>
      </c>
      <c r="Z7" s="171"/>
      <c r="AA7" s="171">
        <v>0.568274117647059</v>
      </c>
      <c r="AB7" s="171">
        <v>86.752181</v>
      </c>
      <c r="AC7" s="121">
        <v>7.12</v>
      </c>
      <c r="AD7" s="155">
        <v>617.67552872</v>
      </c>
      <c r="AE7" s="155">
        <v>1035.98001983765</v>
      </c>
      <c r="AF7" s="155">
        <v>702.938709362353</v>
      </c>
      <c r="AG7" s="242">
        <f>SUM(AG6/2)</f>
        <v>161.38893038</v>
      </c>
    </row>
    <row r="8" s="84" customFormat="1" ht="12.75" spans="1:32">
      <c r="A8" s="97"/>
      <c r="B8" s="98"/>
      <c r="C8" s="99">
        <v>240904000040</v>
      </c>
      <c r="D8" s="100">
        <v>45547</v>
      </c>
      <c r="E8" s="100" t="s">
        <v>80</v>
      </c>
      <c r="F8" s="98" t="s">
        <v>81</v>
      </c>
      <c r="G8" s="98" t="s">
        <v>84</v>
      </c>
      <c r="H8" s="98">
        <v>1.449</v>
      </c>
      <c r="I8" s="98">
        <v>227</v>
      </c>
      <c r="J8" s="120"/>
      <c r="K8" s="124">
        <v>761250</v>
      </c>
      <c r="L8" s="125"/>
      <c r="M8" s="123">
        <v>1751.19516050402</v>
      </c>
      <c r="N8" s="122">
        <v>434.70312</v>
      </c>
      <c r="O8" s="98">
        <v>7.08</v>
      </c>
      <c r="P8" s="120">
        <v>3077.6980896</v>
      </c>
      <c r="Q8" s="154"/>
      <c r="R8" s="154"/>
      <c r="S8" s="155">
        <v>953.314147058824</v>
      </c>
      <c r="T8" s="155"/>
      <c r="U8" s="155">
        <v>27.7014705882353</v>
      </c>
      <c r="V8" s="155"/>
      <c r="W8" s="155"/>
      <c r="X8" s="156">
        <v>981.015617647059</v>
      </c>
      <c r="Y8" s="171">
        <v>228.802640294118</v>
      </c>
      <c r="Z8" s="171"/>
      <c r="AA8" s="171"/>
      <c r="AB8" s="171">
        <v>228.802640294118</v>
      </c>
      <c r="AC8" s="121">
        <v>7.12</v>
      </c>
      <c r="AD8" s="155">
        <v>1629.07479889412</v>
      </c>
      <c r="AE8" s="155">
        <v>2610.09041654118</v>
      </c>
      <c r="AF8" s="155">
        <v>467.607673058823</v>
      </c>
    </row>
    <row r="9" s="84" customFormat="1" ht="12.75" spans="1:32">
      <c r="A9" s="97"/>
      <c r="B9" s="98"/>
      <c r="C9" s="99">
        <v>240909000038</v>
      </c>
      <c r="D9" s="100">
        <v>45547</v>
      </c>
      <c r="E9" s="100" t="s">
        <v>80</v>
      </c>
      <c r="F9" s="98" t="s">
        <v>81</v>
      </c>
      <c r="G9" s="98" t="s">
        <v>85</v>
      </c>
      <c r="H9" s="98">
        <v>0.577</v>
      </c>
      <c r="I9" s="98">
        <v>154</v>
      </c>
      <c r="J9" s="120"/>
      <c r="K9" s="124">
        <v>305348.4</v>
      </c>
      <c r="L9" s="125"/>
      <c r="M9" s="123">
        <v>1762.79069096157</v>
      </c>
      <c r="N9" s="122">
        <v>173.21875</v>
      </c>
      <c r="O9" s="98">
        <v>7.08</v>
      </c>
      <c r="P9" s="120">
        <v>1226.38875</v>
      </c>
      <c r="Q9" s="154"/>
      <c r="R9" s="154"/>
      <c r="S9" s="155">
        <v>379.615088235294</v>
      </c>
      <c r="T9" s="155"/>
      <c r="U9" s="155">
        <v>11.0308823529412</v>
      </c>
      <c r="V9" s="155"/>
      <c r="W9" s="155"/>
      <c r="X9" s="156">
        <v>390.645970588235</v>
      </c>
      <c r="Y9" s="171">
        <v>91.1105061764706</v>
      </c>
      <c r="Z9" s="171"/>
      <c r="AA9" s="171"/>
      <c r="AB9" s="171">
        <v>91.1105061764706</v>
      </c>
      <c r="AC9" s="121">
        <v>7.12</v>
      </c>
      <c r="AD9" s="155">
        <v>648.70680397647</v>
      </c>
      <c r="AE9" s="155">
        <v>1039.35277456471</v>
      </c>
      <c r="AF9" s="155">
        <v>187.035975435294</v>
      </c>
    </row>
    <row r="10" s="84" customFormat="1" ht="12.75" spans="1:32">
      <c r="A10" s="97"/>
      <c r="B10" s="98"/>
      <c r="C10" s="99">
        <v>240913000002</v>
      </c>
      <c r="D10" s="100">
        <v>45554</v>
      </c>
      <c r="E10" s="100" t="s">
        <v>80</v>
      </c>
      <c r="F10" s="98" t="s">
        <v>81</v>
      </c>
      <c r="G10" s="98" t="s">
        <v>85</v>
      </c>
      <c r="H10" s="98">
        <v>0.64</v>
      </c>
      <c r="I10" s="98">
        <v>208</v>
      </c>
      <c r="J10" s="120"/>
      <c r="K10" s="124">
        <v>485452.8</v>
      </c>
      <c r="L10" s="125"/>
      <c r="M10" s="123">
        <v>1764.00012819768</v>
      </c>
      <c r="N10" s="122">
        <v>275.19998</v>
      </c>
      <c r="O10" s="98">
        <v>7.08</v>
      </c>
      <c r="P10" s="120">
        <v>1948.4158584</v>
      </c>
      <c r="Q10" s="154"/>
      <c r="R10" s="157"/>
      <c r="S10" s="155">
        <v>429.392941176471</v>
      </c>
      <c r="T10" s="155"/>
      <c r="U10" s="155">
        <v>15.0588235294118</v>
      </c>
      <c r="V10" s="155"/>
      <c r="W10" s="155"/>
      <c r="X10" s="156">
        <v>444.451764705882</v>
      </c>
      <c r="Y10" s="171">
        <v>101.058447058824</v>
      </c>
      <c r="Z10" s="171"/>
      <c r="AA10" s="171">
        <v>0.499764705882353</v>
      </c>
      <c r="AB10" s="171">
        <v>101.558211764706</v>
      </c>
      <c r="AC10" s="121">
        <v>7.18</v>
      </c>
      <c r="AD10" s="155">
        <v>729.187960470588</v>
      </c>
      <c r="AE10" s="155">
        <v>1173.63972517647</v>
      </c>
      <c r="AF10" s="155">
        <v>774.77613322353</v>
      </c>
    </row>
    <row r="11" s="84" customFormat="1" ht="12.75" spans="1:32">
      <c r="A11" s="97"/>
      <c r="B11" s="98"/>
      <c r="C11" s="99">
        <v>240913000032</v>
      </c>
      <c r="D11" s="100">
        <v>45554</v>
      </c>
      <c r="E11" s="100" t="s">
        <v>80</v>
      </c>
      <c r="F11" s="98" t="s">
        <v>81</v>
      </c>
      <c r="G11" s="98" t="s">
        <v>86</v>
      </c>
      <c r="H11" s="98">
        <v>0.2805</v>
      </c>
      <c r="I11" s="98">
        <v>35</v>
      </c>
      <c r="J11" s="120"/>
      <c r="K11" s="124">
        <v>156631</v>
      </c>
      <c r="L11" s="125"/>
      <c r="M11" s="123">
        <v>1744.99786903954</v>
      </c>
      <c r="N11" s="122">
        <v>89.759995</v>
      </c>
      <c r="O11" s="98">
        <v>7.08</v>
      </c>
      <c r="P11" s="120">
        <v>635.5007646</v>
      </c>
      <c r="Q11" s="154"/>
      <c r="R11" s="157"/>
      <c r="S11" s="155">
        <v>188.194875</v>
      </c>
      <c r="T11" s="155"/>
      <c r="U11" s="155">
        <v>6.6</v>
      </c>
      <c r="V11" s="155"/>
      <c r="W11" s="155"/>
      <c r="X11" s="156">
        <v>194.794875</v>
      </c>
      <c r="Y11" s="171">
        <v>44.2920225</v>
      </c>
      <c r="Z11" s="171"/>
      <c r="AA11" s="171">
        <v>0.2190375</v>
      </c>
      <c r="AB11" s="171">
        <v>44.51106</v>
      </c>
      <c r="AC11" s="121">
        <v>7.18</v>
      </c>
      <c r="AD11" s="155">
        <v>319.5894108</v>
      </c>
      <c r="AE11" s="155">
        <v>514.3842858</v>
      </c>
      <c r="AF11" s="155">
        <v>121.1164788</v>
      </c>
    </row>
    <row r="12" s="202" customFormat="1" ht="19" customHeight="1" spans="1:32">
      <c r="A12" s="97" t="s">
        <v>87</v>
      </c>
      <c r="B12" s="206"/>
      <c r="C12" s="207"/>
      <c r="D12" s="208"/>
      <c r="E12" s="209"/>
      <c r="F12" s="206"/>
      <c r="G12" s="206"/>
      <c r="H12" s="222">
        <f>SUM(H5:H11)</f>
        <v>3.9452</v>
      </c>
      <c r="I12" s="214"/>
      <c r="J12" s="214"/>
      <c r="K12" s="214"/>
      <c r="L12" s="214"/>
      <c r="M12" s="215"/>
      <c r="N12" s="215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220"/>
      <c r="AC12" s="220"/>
      <c r="AD12" s="220"/>
      <c r="AE12" s="220"/>
      <c r="AF12" s="220">
        <f>SUM(AF5:AF11)</f>
        <v>2576.25283064</v>
      </c>
    </row>
    <row r="13" s="203" customFormat="1" ht="20" customHeight="1" spans="1:32">
      <c r="A13" s="210"/>
      <c r="B13" s="210"/>
      <c r="D13" s="211"/>
      <c r="H13" s="212"/>
      <c r="I13" s="216"/>
      <c r="J13" s="217"/>
      <c r="K13" s="212"/>
      <c r="L13" s="212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AF13" s="203">
        <v>161.39</v>
      </c>
    </row>
    <row r="14" s="1" customFormat="1" ht="23" customHeight="1" spans="3:32">
      <c r="C14" s="70" t="s">
        <v>53</v>
      </c>
      <c r="D14" s="70"/>
      <c r="E14" s="70"/>
      <c r="F14" s="105" t="s">
        <v>54</v>
      </c>
      <c r="G14" s="106"/>
      <c r="H14" s="106"/>
      <c r="I14" s="126"/>
      <c r="J14"/>
      <c r="K14" s="131" t="s">
        <v>88</v>
      </c>
      <c r="L14" s="131"/>
      <c r="M14" s="131"/>
      <c r="N14" s="131"/>
      <c r="O14"/>
      <c r="P14"/>
      <c r="AF14" s="65">
        <f>SUM(AF12-AF13)</f>
        <v>2414.86283064</v>
      </c>
    </row>
    <row r="15" s="1" customFormat="1" ht="23" customHeight="1" spans="3:16">
      <c r="C15" s="70"/>
      <c r="D15" s="70"/>
      <c r="E15" s="70"/>
      <c r="F15" s="107"/>
      <c r="G15" s="108"/>
      <c r="H15" s="108"/>
      <c r="I15" s="130"/>
      <c r="J15"/>
      <c r="K15" s="233" t="s">
        <v>56</v>
      </c>
      <c r="L15" s="233" t="s">
        <v>8</v>
      </c>
      <c r="M15" s="233" t="s">
        <v>57</v>
      </c>
      <c r="N15" s="233" t="s">
        <v>78</v>
      </c>
      <c r="O15"/>
      <c r="P15"/>
    </row>
    <row r="16" s="1" customFormat="1" ht="23" customHeight="1" spans="3:16">
      <c r="C16" s="70" t="s">
        <v>58</v>
      </c>
      <c r="D16" s="70"/>
      <c r="E16" s="70"/>
      <c r="F16" s="76" t="s">
        <v>59</v>
      </c>
      <c r="G16" s="77"/>
      <c r="H16" s="77"/>
      <c r="I16" s="78"/>
      <c r="J16"/>
      <c r="K16" s="131" t="s">
        <v>60</v>
      </c>
      <c r="L16" s="132">
        <f>SUM(H12)</f>
        <v>3.9452</v>
      </c>
      <c r="M16" s="133">
        <v>2414.86283064</v>
      </c>
      <c r="N16" s="234" t="s">
        <v>89</v>
      </c>
      <c r="O16"/>
      <c r="P16"/>
    </row>
    <row r="17" s="1" customFormat="1" ht="23" customHeight="1" spans="3:16">
      <c r="C17" s="70"/>
      <c r="D17" s="70"/>
      <c r="E17" s="70"/>
      <c r="F17" s="79"/>
      <c r="G17" s="80"/>
      <c r="H17" s="80"/>
      <c r="I17" s="81"/>
      <c r="J17"/>
      <c r="K17" s="134" t="s">
        <v>61</v>
      </c>
      <c r="L17" s="134"/>
      <c r="M17" s="135">
        <v>2000</v>
      </c>
      <c r="N17" s="235"/>
      <c r="O17"/>
      <c r="P17"/>
    </row>
    <row r="18" s="1" customFormat="1" ht="23" customHeight="1" spans="3:16">
      <c r="C18" s="70" t="s">
        <v>62</v>
      </c>
      <c r="D18" s="70"/>
      <c r="E18" s="70"/>
      <c r="F18" s="76" t="s">
        <v>63</v>
      </c>
      <c r="G18" s="77"/>
      <c r="H18" s="77"/>
      <c r="I18" s="78"/>
      <c r="J18"/>
      <c r="K18" s="136" t="s">
        <v>64</v>
      </c>
      <c r="L18" s="136"/>
      <c r="M18" s="137">
        <f>SUM(M16-M17)</f>
        <v>414.86283064</v>
      </c>
      <c r="N18" s="235"/>
      <c r="O18"/>
      <c r="P18"/>
    </row>
    <row r="19" s="1" customFormat="1" ht="23" customHeight="1" spans="3:16">
      <c r="C19" s="70"/>
      <c r="D19" s="70"/>
      <c r="E19" s="70"/>
      <c r="F19" s="79"/>
      <c r="G19" s="80"/>
      <c r="H19" s="80"/>
      <c r="I19" s="81"/>
      <c r="J19"/>
      <c r="K19" s="131" t="s">
        <v>65</v>
      </c>
      <c r="L19" s="131"/>
      <c r="M19" s="131">
        <v>0.1</v>
      </c>
      <c r="N19" s="235"/>
      <c r="O19"/>
      <c r="P19"/>
    </row>
    <row r="20" s="1" customFormat="1" ht="23" customHeight="1" spans="5:16">
      <c r="E20"/>
      <c r="F20"/>
      <c r="G20"/>
      <c r="H20"/>
      <c r="I20"/>
      <c r="J20"/>
      <c r="K20" s="134" t="s">
        <v>66</v>
      </c>
      <c r="L20" s="134"/>
      <c r="M20" s="135">
        <f>SUM(M18*M19)</f>
        <v>41.486283064</v>
      </c>
      <c r="N20" s="236"/>
      <c r="O20"/>
      <c r="P20"/>
    </row>
    <row r="21" s="1" customFormat="1" ht="23" customHeight="1" spans="5:16">
      <c r="E21"/>
      <c r="F21"/>
      <c r="G21"/>
      <c r="H21"/>
      <c r="I21"/>
      <c r="J21"/>
      <c r="K21"/>
      <c r="L21"/>
      <c r="M21"/>
      <c r="O21"/>
      <c r="P21"/>
    </row>
    <row r="22" s="1" customFormat="1" ht="23" customHeight="1" spans="5:13">
      <c r="E22"/>
      <c r="F22"/>
      <c r="G22"/>
      <c r="H22"/>
      <c r="I22"/>
      <c r="J22"/>
      <c r="K22"/>
      <c r="L22"/>
      <c r="M22"/>
    </row>
    <row r="23" s="1" customFormat="1" ht="23" customHeight="1" spans="5:13">
      <c r="E23"/>
      <c r="F23"/>
      <c r="G23"/>
      <c r="H23"/>
      <c r="I23"/>
      <c r="J23"/>
      <c r="K23"/>
      <c r="L23"/>
      <c r="M23"/>
    </row>
    <row r="24" s="1" customFormat="1" ht="23" customHeight="1" spans="5:19">
      <c r="E24"/>
      <c r="F24"/>
      <c r="G24"/>
      <c r="H24"/>
      <c r="I24"/>
      <c r="J24"/>
      <c r="K24" s="213"/>
      <c r="L24" s="213"/>
      <c r="N24" s="213"/>
      <c r="O24"/>
      <c r="P24"/>
      <c r="Q24"/>
      <c r="R24"/>
      <c r="S24" s="35"/>
    </row>
    <row r="25" s="1" customFormat="1" ht="23" customHeight="1" spans="5:19">
      <c r="E25" s="213"/>
      <c r="F25" s="213"/>
      <c r="G25" s="213"/>
      <c r="H25" s="213"/>
      <c r="I25" s="213"/>
      <c r="J25" s="213"/>
      <c r="K25" s="213"/>
      <c r="L25" s="213"/>
      <c r="N25" s="213"/>
      <c r="O25" s="213"/>
      <c r="P25" s="213"/>
      <c r="Q25" s="213"/>
      <c r="S25" s="35"/>
    </row>
    <row r="26" ht="25" customHeight="1"/>
  </sheetData>
  <mergeCells count="24">
    <mergeCell ref="J3:P3"/>
    <mergeCell ref="R3:V3"/>
    <mergeCell ref="Y3:AD3"/>
    <mergeCell ref="K14:N1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N16:N20"/>
    <mergeCell ref="Q3:Q4"/>
    <mergeCell ref="W3:W4"/>
    <mergeCell ref="X3:X4"/>
    <mergeCell ref="AF3:AF4"/>
    <mergeCell ref="C14:E15"/>
    <mergeCell ref="F14:I15"/>
    <mergeCell ref="C16:E17"/>
    <mergeCell ref="F16:I17"/>
    <mergeCell ref="C18:E19"/>
    <mergeCell ref="F18:I19"/>
  </mergeCells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8"/>
  <sheetViews>
    <sheetView workbookViewId="0">
      <pane xSplit="14" ySplit="3" topLeftCell="AC4" activePane="bottomRight" state="frozen"/>
      <selection/>
      <selection pane="topRight"/>
      <selection pane="bottomLeft"/>
      <selection pane="bottomRight" activeCell="M23" sqref="M23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2"/>
    <col min="10" max="10" width="11.25"/>
    <col min="11" max="11" width="10"/>
    <col min="12" max="13" width="13.625"/>
    <col min="14" max="14" width="11.375"/>
    <col min="15" max="16" width="14.75"/>
    <col min="17" max="17" width="10.125"/>
    <col min="18" max="18" width="12.5" customWidth="1"/>
    <col min="19" max="19" width="10.125"/>
    <col min="20" max="20" width="13.625"/>
    <col min="21" max="21" width="11.25"/>
    <col min="22" max="22" width="12.5"/>
    <col min="23" max="23" width="10.125"/>
    <col min="24" max="24" width="13.625"/>
    <col min="25" max="25" width="12.5"/>
    <col min="26" max="26" width="10.125"/>
    <col min="27" max="27" width="13.625"/>
    <col min="28" max="28" width="11.25"/>
    <col min="29" max="30" width="10.125"/>
    <col min="31" max="31" width="11.25"/>
    <col min="32" max="32" width="10.375"/>
  </cols>
  <sheetData>
    <row r="1" customFormat="1" ht="24" customHeight="1" spans="1:1">
      <c r="A1" s="86" t="s">
        <v>0</v>
      </c>
    </row>
    <row r="2" s="83" customFormat="1" ht="23" customHeight="1" spans="1:32">
      <c r="A2" s="87" t="s">
        <v>1</v>
      </c>
      <c r="B2" s="88" t="s">
        <v>2</v>
      </c>
      <c r="C2" s="89" t="s">
        <v>3</v>
      </c>
      <c r="D2" s="90" t="s">
        <v>4</v>
      </c>
      <c r="E2" s="91" t="s">
        <v>5</v>
      </c>
      <c r="F2" s="92" t="s">
        <v>6</v>
      </c>
      <c r="G2" s="92" t="s">
        <v>7</v>
      </c>
      <c r="H2" s="92" t="s">
        <v>8</v>
      </c>
      <c r="I2" s="92" t="s">
        <v>9</v>
      </c>
      <c r="J2" s="109" t="s">
        <v>10</v>
      </c>
      <c r="K2" s="110"/>
      <c r="L2" s="111"/>
      <c r="M2" s="110"/>
      <c r="N2" s="111"/>
      <c r="O2" s="112"/>
      <c r="P2" s="113"/>
      <c r="Q2" s="139" t="s">
        <v>11</v>
      </c>
      <c r="R2" s="140" t="s">
        <v>12</v>
      </c>
      <c r="S2" s="141"/>
      <c r="T2" s="142"/>
      <c r="U2" s="143"/>
      <c r="V2" s="144"/>
      <c r="W2" s="145" t="s">
        <v>13</v>
      </c>
      <c r="X2" s="146" t="s">
        <v>14</v>
      </c>
      <c r="Y2" s="161" t="s">
        <v>15</v>
      </c>
      <c r="Z2" s="161"/>
      <c r="AA2" s="161"/>
      <c r="AB2" s="161"/>
      <c r="AC2" s="162"/>
      <c r="AD2" s="161"/>
      <c r="AE2" s="163" t="s">
        <v>16</v>
      </c>
      <c r="AF2" s="164" t="s">
        <v>17</v>
      </c>
    </row>
    <row r="3" s="83" customFormat="1" ht="27" customHeight="1" spans="1:32">
      <c r="A3" s="93"/>
      <c r="B3" s="94"/>
      <c r="C3" s="89"/>
      <c r="D3" s="90"/>
      <c r="E3" s="95"/>
      <c r="F3" s="96"/>
      <c r="G3" s="96"/>
      <c r="H3" s="96"/>
      <c r="I3" s="96"/>
      <c r="J3" s="114" t="s">
        <v>18</v>
      </c>
      <c r="K3" s="115" t="s">
        <v>19</v>
      </c>
      <c r="L3" s="116" t="s">
        <v>20</v>
      </c>
      <c r="M3" s="115" t="s">
        <v>21</v>
      </c>
      <c r="N3" s="117" t="s">
        <v>22</v>
      </c>
      <c r="O3" s="118" t="s">
        <v>23</v>
      </c>
      <c r="P3" s="119" t="s">
        <v>24</v>
      </c>
      <c r="Q3" s="147"/>
      <c r="R3" s="148" t="s">
        <v>25</v>
      </c>
      <c r="S3" s="149" t="s">
        <v>26</v>
      </c>
      <c r="T3" s="150" t="s">
        <v>27</v>
      </c>
      <c r="U3" s="151" t="s">
        <v>28</v>
      </c>
      <c r="V3" s="150" t="s">
        <v>29</v>
      </c>
      <c r="W3" s="152"/>
      <c r="X3" s="153"/>
      <c r="Y3" s="165" t="s">
        <v>30</v>
      </c>
      <c r="Z3" s="165" t="s">
        <v>31</v>
      </c>
      <c r="AA3" s="165" t="s">
        <v>32</v>
      </c>
      <c r="AB3" s="166" t="s">
        <v>33</v>
      </c>
      <c r="AC3" s="167" t="s">
        <v>34</v>
      </c>
      <c r="AD3" s="168" t="s">
        <v>24</v>
      </c>
      <c r="AE3" s="169" t="s">
        <v>35</v>
      </c>
      <c r="AF3" s="170"/>
    </row>
    <row r="4" s="84" customFormat="1" ht="12.75" spans="1:32">
      <c r="A4" s="97"/>
      <c r="B4" s="98"/>
      <c r="C4" s="99">
        <v>240828000016</v>
      </c>
      <c r="D4" s="100">
        <v>45539</v>
      </c>
      <c r="E4" s="100" t="s">
        <v>90</v>
      </c>
      <c r="F4" s="98" t="s">
        <v>91</v>
      </c>
      <c r="G4" s="98" t="s">
        <v>92</v>
      </c>
      <c r="H4" s="98">
        <v>0.1625</v>
      </c>
      <c r="I4" s="98">
        <v>169</v>
      </c>
      <c r="J4" s="182">
        <v>1258.39</v>
      </c>
      <c r="K4" s="121"/>
      <c r="L4" s="125"/>
      <c r="M4" s="123"/>
      <c r="N4" s="125"/>
      <c r="O4" s="98"/>
      <c r="P4" s="120">
        <v>1258.39</v>
      </c>
      <c r="Q4" s="154"/>
      <c r="R4" s="154"/>
      <c r="S4" s="155">
        <v>122.809375</v>
      </c>
      <c r="T4" s="155"/>
      <c r="U4" s="155">
        <v>3.46507352941176</v>
      </c>
      <c r="V4" s="155"/>
      <c r="W4" s="155"/>
      <c r="X4" s="156">
        <v>126.274448529412</v>
      </c>
      <c r="Y4" s="171">
        <v>25.6593713235294</v>
      </c>
      <c r="Z4" s="171">
        <v>93.95</v>
      </c>
      <c r="AA4" s="171"/>
      <c r="AB4" s="171">
        <v>119.609371323529</v>
      </c>
      <c r="AC4" s="121">
        <v>7.12</v>
      </c>
      <c r="AD4" s="155">
        <v>851.618723823529</v>
      </c>
      <c r="AE4" s="155">
        <v>977.893172352941</v>
      </c>
      <c r="AF4" s="155">
        <v>280.496827647059</v>
      </c>
    </row>
    <row r="5" s="84" customFormat="1" ht="63.75" spans="1:32">
      <c r="A5" s="97" t="s">
        <v>93</v>
      </c>
      <c r="B5" s="98" t="s">
        <v>94</v>
      </c>
      <c r="C5" s="99">
        <v>240828000043</v>
      </c>
      <c r="D5" s="100">
        <v>45539</v>
      </c>
      <c r="E5" s="100" t="s">
        <v>90</v>
      </c>
      <c r="F5" s="98" t="s">
        <v>91</v>
      </c>
      <c r="G5" s="98" t="s">
        <v>95</v>
      </c>
      <c r="H5" s="98">
        <v>6.8939</v>
      </c>
      <c r="I5" s="98">
        <v>3722</v>
      </c>
      <c r="J5" s="120"/>
      <c r="K5" s="124">
        <v>3417687</v>
      </c>
      <c r="L5" s="125"/>
      <c r="M5" s="123">
        <v>1690</v>
      </c>
      <c r="N5" s="122">
        <v>2022.3</v>
      </c>
      <c r="O5" s="98">
        <v>7.3</v>
      </c>
      <c r="P5" s="120">
        <v>14762.79</v>
      </c>
      <c r="Q5" s="197">
        <v>28169.6587292</v>
      </c>
      <c r="R5" s="198" t="s">
        <v>96</v>
      </c>
      <c r="S5" s="155">
        <v>5094.28795735294</v>
      </c>
      <c r="T5" s="155">
        <v>11.8230385</v>
      </c>
      <c r="U5" s="155">
        <v>177.416544117647</v>
      </c>
      <c r="V5" s="155"/>
      <c r="W5" s="155"/>
      <c r="X5" s="156">
        <v>5283.52753997059</v>
      </c>
      <c r="Y5" s="171">
        <v>1088.57316902941</v>
      </c>
      <c r="Z5" s="171">
        <v>91.45</v>
      </c>
      <c r="AA5" s="171">
        <v>7.17776647058823</v>
      </c>
      <c r="AB5" s="171">
        <v>1187.2009355</v>
      </c>
      <c r="AC5" s="121">
        <v>7.12</v>
      </c>
      <c r="AD5" s="155">
        <v>8452.87066076</v>
      </c>
      <c r="AE5" s="155">
        <v>13736.3982007306</v>
      </c>
      <c r="AF5" s="155">
        <v>1026.39179926941</v>
      </c>
    </row>
    <row r="6" s="84" customFormat="1" ht="12.75" spans="1:32">
      <c r="A6" s="97"/>
      <c r="B6" s="98"/>
      <c r="C6" s="99">
        <v>240819000017</v>
      </c>
      <c r="D6" s="100">
        <v>45516</v>
      </c>
      <c r="E6" s="100" t="s">
        <v>90</v>
      </c>
      <c r="F6" s="98" t="s">
        <v>91</v>
      </c>
      <c r="G6" s="98" t="s">
        <v>97</v>
      </c>
      <c r="H6" s="98">
        <v>4.904</v>
      </c>
      <c r="I6" s="98">
        <v>848</v>
      </c>
      <c r="J6" s="182">
        <v>10475</v>
      </c>
      <c r="K6" s="121"/>
      <c r="L6" s="125"/>
      <c r="M6" s="123"/>
      <c r="N6" s="125"/>
      <c r="O6" s="98"/>
      <c r="P6" s="120">
        <v>10475</v>
      </c>
      <c r="Q6" s="154"/>
      <c r="R6" s="154"/>
      <c r="S6" s="155">
        <v>3623.83964705882</v>
      </c>
      <c r="T6" s="155">
        <v>8.41036</v>
      </c>
      <c r="U6" s="155">
        <v>126.205882352941</v>
      </c>
      <c r="V6" s="155"/>
      <c r="W6" s="155"/>
      <c r="X6" s="156">
        <v>3758.45588941176</v>
      </c>
      <c r="Y6" s="171">
        <v>774.360350588235</v>
      </c>
      <c r="Z6" s="171"/>
      <c r="AA6" s="171">
        <v>5.1059294117647</v>
      </c>
      <c r="AB6" s="171">
        <v>779.46628</v>
      </c>
      <c r="AC6" s="121">
        <v>7.12</v>
      </c>
      <c r="AD6" s="155">
        <v>5549.7999136</v>
      </c>
      <c r="AE6" s="155">
        <v>9308.25580301176</v>
      </c>
      <c r="AF6" s="155">
        <v>1166.74419698824</v>
      </c>
    </row>
    <row r="7" s="84" customFormat="1" ht="12.75" spans="1:32">
      <c r="A7" s="97"/>
      <c r="B7" s="98"/>
      <c r="C7" s="99">
        <v>240902000056</v>
      </c>
      <c r="D7" s="100">
        <v>45547</v>
      </c>
      <c r="E7" s="100" t="s">
        <v>90</v>
      </c>
      <c r="F7" s="98" t="s">
        <v>91</v>
      </c>
      <c r="G7" s="98" t="s">
        <v>98</v>
      </c>
      <c r="H7" s="98">
        <v>0.512</v>
      </c>
      <c r="I7" s="98">
        <v>51</v>
      </c>
      <c r="J7" s="120"/>
      <c r="K7" s="124">
        <v>289240</v>
      </c>
      <c r="L7" s="125"/>
      <c r="M7" s="123">
        <v>1752.9696969697</v>
      </c>
      <c r="N7" s="122">
        <v>165</v>
      </c>
      <c r="O7" s="98">
        <v>7.23</v>
      </c>
      <c r="P7" s="120">
        <v>1192.95</v>
      </c>
      <c r="Q7" s="154"/>
      <c r="R7" s="154"/>
      <c r="S7" s="155">
        <v>378.345411764706</v>
      </c>
      <c r="T7" s="155">
        <v>0.87808</v>
      </c>
      <c r="U7" s="155">
        <v>13.1764705882353</v>
      </c>
      <c r="V7" s="155"/>
      <c r="W7" s="155"/>
      <c r="X7" s="156">
        <v>392.399962352941</v>
      </c>
      <c r="Y7" s="171">
        <v>80.8467576470588</v>
      </c>
      <c r="Z7" s="171"/>
      <c r="AA7" s="171">
        <v>0.533082352941176</v>
      </c>
      <c r="AB7" s="171">
        <v>81.37984</v>
      </c>
      <c r="AC7" s="121">
        <v>7.12</v>
      </c>
      <c r="AD7" s="155">
        <v>579.4244608</v>
      </c>
      <c r="AE7" s="155">
        <v>971.824423152941</v>
      </c>
      <c r="AF7" s="155">
        <v>221.125576847059</v>
      </c>
    </row>
    <row r="8" s="84" customFormat="1" ht="12.75" spans="1:32">
      <c r="A8" s="97"/>
      <c r="B8" s="98"/>
      <c r="C8" s="99">
        <v>240902000056</v>
      </c>
      <c r="D8" s="100">
        <v>45547</v>
      </c>
      <c r="E8" s="100" t="s">
        <v>90</v>
      </c>
      <c r="F8" s="98" t="s">
        <v>91</v>
      </c>
      <c r="G8" s="98" t="s">
        <v>98</v>
      </c>
      <c r="H8" s="98">
        <v>3.078</v>
      </c>
      <c r="I8" s="98">
        <v>521</v>
      </c>
      <c r="J8" s="120"/>
      <c r="K8" s="124">
        <v>1738835</v>
      </c>
      <c r="L8" s="125"/>
      <c r="M8" s="123">
        <v>1754.43189958733</v>
      </c>
      <c r="N8" s="122">
        <v>991.11</v>
      </c>
      <c r="O8" s="98">
        <v>7.23</v>
      </c>
      <c r="P8" s="120">
        <v>7165.7253</v>
      </c>
      <c r="Q8" s="154"/>
      <c r="R8" s="154"/>
      <c r="S8" s="155">
        <v>2025.05241176471</v>
      </c>
      <c r="T8" s="155"/>
      <c r="U8" s="155">
        <v>58.8441176470588</v>
      </c>
      <c r="V8" s="155">
        <v>580</v>
      </c>
      <c r="W8" s="155"/>
      <c r="X8" s="156">
        <v>2663.89652941176</v>
      </c>
      <c r="Y8" s="171">
        <v>486.027968823529</v>
      </c>
      <c r="Z8" s="171"/>
      <c r="AA8" s="171"/>
      <c r="AB8" s="171">
        <v>486.027968823529</v>
      </c>
      <c r="AC8" s="121">
        <v>7.12</v>
      </c>
      <c r="AD8" s="155">
        <v>3460.51913802353</v>
      </c>
      <c r="AE8" s="155">
        <v>6124.41566743529</v>
      </c>
      <c r="AF8" s="155">
        <v>1041.30963256471</v>
      </c>
    </row>
    <row r="9" s="84" customFormat="1" ht="12.75" spans="1:32">
      <c r="A9" s="97"/>
      <c r="B9" s="98"/>
      <c r="C9" s="99">
        <v>240905000039</v>
      </c>
      <c r="D9" s="100">
        <v>45547</v>
      </c>
      <c r="E9" s="100" t="s">
        <v>90</v>
      </c>
      <c r="F9" s="98" t="s">
        <v>91</v>
      </c>
      <c r="G9" s="98" t="s">
        <v>99</v>
      </c>
      <c r="H9" s="98">
        <v>1.0166</v>
      </c>
      <c r="I9" s="98">
        <v>193</v>
      </c>
      <c r="J9" s="120"/>
      <c r="K9" s="124">
        <v>466616</v>
      </c>
      <c r="L9" s="125"/>
      <c r="M9" s="123">
        <v>1700</v>
      </c>
      <c r="N9" s="122">
        <v>274.48</v>
      </c>
      <c r="O9" s="98">
        <v>7.27</v>
      </c>
      <c r="P9" s="120">
        <v>1995.4696</v>
      </c>
      <c r="Q9" s="154"/>
      <c r="R9" s="154"/>
      <c r="S9" s="155">
        <v>668.8331</v>
      </c>
      <c r="T9" s="155"/>
      <c r="U9" s="155">
        <v>19.435</v>
      </c>
      <c r="V9" s="155"/>
      <c r="W9" s="155"/>
      <c r="X9" s="156">
        <v>688.2681</v>
      </c>
      <c r="Y9" s="171">
        <v>160.525027</v>
      </c>
      <c r="Z9" s="171"/>
      <c r="AA9" s="171"/>
      <c r="AB9" s="171">
        <v>160.525027</v>
      </c>
      <c r="AC9" s="121">
        <v>7.12</v>
      </c>
      <c r="AD9" s="155">
        <v>1142.93819224</v>
      </c>
      <c r="AE9" s="155">
        <v>1831.20629224</v>
      </c>
      <c r="AF9" s="155">
        <v>164.26330776</v>
      </c>
    </row>
    <row r="10" s="84" customFormat="1" ht="12.75" spans="1:32">
      <c r="A10" s="97" t="s">
        <v>100</v>
      </c>
      <c r="B10" s="98" t="s">
        <v>101</v>
      </c>
      <c r="C10" s="99">
        <v>240812000038</v>
      </c>
      <c r="D10" s="174">
        <v>45518</v>
      </c>
      <c r="E10" s="100" t="s">
        <v>90</v>
      </c>
      <c r="F10" s="98" t="s">
        <v>91</v>
      </c>
      <c r="G10" s="98" t="s">
        <v>102</v>
      </c>
      <c r="H10" s="98">
        <v>3.8495</v>
      </c>
      <c r="I10" s="98">
        <v>2234</v>
      </c>
      <c r="J10" s="120"/>
      <c r="K10" s="225">
        <v>2249445</v>
      </c>
      <c r="L10" s="125"/>
      <c r="M10" s="123">
        <v>1750.28546418324</v>
      </c>
      <c r="N10" s="122">
        <v>1285.1875</v>
      </c>
      <c r="O10" s="98">
        <v>7.1</v>
      </c>
      <c r="P10" s="120">
        <v>9124.83125</v>
      </c>
      <c r="Q10" s="197">
        <v>18617.3381652</v>
      </c>
      <c r="R10" s="197" t="s">
        <v>103</v>
      </c>
      <c r="S10" s="120">
        <v>7292.96868045526</v>
      </c>
      <c r="T10" s="155">
        <v>122.732512194457</v>
      </c>
      <c r="U10" s="155"/>
      <c r="V10" s="155"/>
      <c r="W10" s="155"/>
      <c r="X10" s="156">
        <v>7415.70119264972</v>
      </c>
      <c r="Y10" s="171"/>
      <c r="Z10" s="171">
        <v>53.1</v>
      </c>
      <c r="AA10" s="171">
        <v>28.8823518725418</v>
      </c>
      <c r="AB10" s="171">
        <v>81.9823518725418</v>
      </c>
      <c r="AC10" s="121">
        <v>7.12</v>
      </c>
      <c r="AD10" s="155">
        <v>583.714345332498</v>
      </c>
      <c r="AE10" s="155">
        <v>7999.41553798222</v>
      </c>
      <c r="AF10" s="155">
        <v>1125.41571201778</v>
      </c>
    </row>
    <row r="11" s="84" customFormat="1" ht="12.75" spans="1:32">
      <c r="A11" s="97"/>
      <c r="B11" s="98"/>
      <c r="C11" s="99">
        <v>240905000030</v>
      </c>
      <c r="D11" s="100">
        <v>45554</v>
      </c>
      <c r="E11" s="100" t="s">
        <v>90</v>
      </c>
      <c r="F11" s="98" t="s">
        <v>91</v>
      </c>
      <c r="G11" s="98" t="s">
        <v>98</v>
      </c>
      <c r="H11" s="98">
        <v>6.5636</v>
      </c>
      <c r="I11" s="98">
        <v>3760</v>
      </c>
      <c r="J11" s="120"/>
      <c r="K11" s="124">
        <v>3334275</v>
      </c>
      <c r="L11" s="125"/>
      <c r="M11" s="123">
        <v>1750.04592573153</v>
      </c>
      <c r="N11" s="122">
        <v>1905.25</v>
      </c>
      <c r="O11" s="98">
        <v>7.23</v>
      </c>
      <c r="P11" s="120">
        <v>13774.9575</v>
      </c>
      <c r="Q11" s="154"/>
      <c r="R11" s="157"/>
      <c r="S11" s="155">
        <v>4403.69298235294</v>
      </c>
      <c r="T11" s="155"/>
      <c r="U11" s="155">
        <v>154.437647058824</v>
      </c>
      <c r="V11" s="155"/>
      <c r="W11" s="155"/>
      <c r="X11" s="156">
        <v>4558.13062941176</v>
      </c>
      <c r="Y11" s="171">
        <v>1036.41753611765</v>
      </c>
      <c r="Z11" s="171"/>
      <c r="AA11" s="171">
        <v>5.12539941176471</v>
      </c>
      <c r="AB11" s="171">
        <v>1041.54293552941</v>
      </c>
      <c r="AC11" s="121">
        <v>7.18</v>
      </c>
      <c r="AD11" s="155">
        <v>7478.27827710118</v>
      </c>
      <c r="AE11" s="155">
        <v>12036.4089065129</v>
      </c>
      <c r="AF11" s="155">
        <v>1738.54859348706</v>
      </c>
    </row>
    <row r="12" s="84" customFormat="1" ht="12.75" spans="1:32">
      <c r="A12" s="177"/>
      <c r="B12" s="177"/>
      <c r="C12" s="99">
        <v>240915000008</v>
      </c>
      <c r="D12" s="100">
        <v>45559</v>
      </c>
      <c r="E12" s="100" t="s">
        <v>90</v>
      </c>
      <c r="F12" s="98" t="s">
        <v>91</v>
      </c>
      <c r="G12" s="98" t="s">
        <v>104</v>
      </c>
      <c r="H12" s="98">
        <v>0.5143</v>
      </c>
      <c r="I12" s="98">
        <v>152</v>
      </c>
      <c r="J12" s="120"/>
      <c r="K12" s="124">
        <v>248724</v>
      </c>
      <c r="L12" s="125"/>
      <c r="M12" s="123">
        <v>1727.25</v>
      </c>
      <c r="N12" s="122">
        <v>144</v>
      </c>
      <c r="O12" s="98">
        <v>7.27</v>
      </c>
      <c r="P12" s="120">
        <v>1046.88</v>
      </c>
      <c r="Q12" s="154"/>
      <c r="R12" s="157"/>
      <c r="S12" s="155">
        <v>323.477304558823</v>
      </c>
      <c r="T12" s="155"/>
      <c r="U12" s="155">
        <v>11.3448529411765</v>
      </c>
      <c r="V12" s="155"/>
      <c r="W12" s="155"/>
      <c r="X12" s="156">
        <v>334.8221575</v>
      </c>
      <c r="Y12" s="171">
        <v>81.2099364411765</v>
      </c>
      <c r="Z12" s="171"/>
      <c r="AA12" s="171">
        <v>0.401607794117647</v>
      </c>
      <c r="AB12" s="171">
        <v>81.6115442352941</v>
      </c>
      <c r="AC12" s="121">
        <v>7.18</v>
      </c>
      <c r="AD12" s="155">
        <v>585.970887609412</v>
      </c>
      <c r="AE12" s="155">
        <v>920.793045109412</v>
      </c>
      <c r="AF12" s="155">
        <v>126.086954890588</v>
      </c>
    </row>
    <row r="13" s="84" customFormat="1" ht="12.75" spans="1:32">
      <c r="A13" s="97"/>
      <c r="B13" s="98"/>
      <c r="C13" s="99">
        <v>240918000030</v>
      </c>
      <c r="D13" s="100">
        <v>45560</v>
      </c>
      <c r="E13" s="100" t="s">
        <v>90</v>
      </c>
      <c r="F13" s="98" t="s">
        <v>91</v>
      </c>
      <c r="G13" s="98" t="s">
        <v>105</v>
      </c>
      <c r="H13" s="98">
        <v>6.4512</v>
      </c>
      <c r="I13" s="98">
        <v>2312</v>
      </c>
      <c r="J13" s="120"/>
      <c r="K13" s="124">
        <v>3152063.3</v>
      </c>
      <c r="L13" s="125"/>
      <c r="M13" s="123">
        <v>1745</v>
      </c>
      <c r="N13" s="122">
        <v>1806.34</v>
      </c>
      <c r="O13" s="98">
        <v>7.21</v>
      </c>
      <c r="P13" s="120">
        <v>13023.7114</v>
      </c>
      <c r="Q13" s="154"/>
      <c r="R13" s="154"/>
      <c r="S13" s="155">
        <v>3979.15708235294</v>
      </c>
      <c r="T13" s="155"/>
      <c r="U13" s="155">
        <v>123.331764705882</v>
      </c>
      <c r="V13" s="155"/>
      <c r="W13" s="155"/>
      <c r="X13" s="156">
        <v>4102.48884705882</v>
      </c>
      <c r="Y13" s="171">
        <v>1018.66914635294</v>
      </c>
      <c r="Z13" s="171"/>
      <c r="AA13" s="171">
        <v>5.03762823529412</v>
      </c>
      <c r="AB13" s="171">
        <v>1023.70677458824</v>
      </c>
      <c r="AC13" s="121">
        <v>7.18</v>
      </c>
      <c r="AD13" s="155">
        <v>7350.21464154353</v>
      </c>
      <c r="AE13" s="155">
        <v>11452.7034886024</v>
      </c>
      <c r="AF13" s="155">
        <v>1571.00791139765</v>
      </c>
    </row>
    <row r="14" ht="28" customHeight="1" spans="1:32">
      <c r="A14" s="223" t="s">
        <v>87</v>
      </c>
      <c r="B14" s="224"/>
      <c r="C14" s="224"/>
      <c r="D14" s="224"/>
      <c r="E14" s="224"/>
      <c r="F14" s="224"/>
      <c r="G14" s="224"/>
      <c r="H14" s="222">
        <f>SUM(H4:H13)</f>
        <v>33.9456</v>
      </c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6"/>
      <c r="Z14" s="226"/>
      <c r="AA14" s="226"/>
      <c r="AB14" s="226"/>
      <c r="AC14" s="226"/>
      <c r="AD14" s="226"/>
      <c r="AE14" s="226"/>
      <c r="AF14" s="226">
        <f>SUM(AF4:AF13)</f>
        <v>8461.39051286956</v>
      </c>
    </row>
    <row r="17" s="1" customFormat="1" ht="23" customHeight="1" spans="3:16">
      <c r="C17" s="70" t="s">
        <v>53</v>
      </c>
      <c r="D17" s="70"/>
      <c r="E17" s="70"/>
      <c r="F17" s="105" t="s">
        <v>54</v>
      </c>
      <c r="G17" s="106"/>
      <c r="H17" s="106"/>
      <c r="I17" s="126"/>
      <c r="J17"/>
      <c r="K17" s="127" t="s">
        <v>106</v>
      </c>
      <c r="L17" s="128"/>
      <c r="M17" s="129"/>
      <c r="N17"/>
      <c r="O17"/>
      <c r="P17"/>
    </row>
    <row r="18" s="1" customFormat="1" ht="23" customHeight="1" spans="3:16">
      <c r="C18" s="70"/>
      <c r="D18" s="70"/>
      <c r="E18" s="70"/>
      <c r="F18" s="107"/>
      <c r="G18" s="108"/>
      <c r="H18" s="108"/>
      <c r="I18" s="130"/>
      <c r="J18"/>
      <c r="K18" s="131" t="s">
        <v>56</v>
      </c>
      <c r="L18" s="131" t="s">
        <v>8</v>
      </c>
      <c r="M18" s="131" t="s">
        <v>57</v>
      </c>
      <c r="N18"/>
      <c r="O18"/>
      <c r="P18"/>
    </row>
    <row r="19" s="1" customFormat="1" ht="23" customHeight="1" spans="3:16">
      <c r="C19" s="70" t="s">
        <v>58</v>
      </c>
      <c r="D19" s="70"/>
      <c r="E19" s="70"/>
      <c r="F19" s="76" t="s">
        <v>59</v>
      </c>
      <c r="G19" s="77"/>
      <c r="H19" s="77"/>
      <c r="I19" s="78"/>
      <c r="J19"/>
      <c r="K19" s="131" t="s">
        <v>60</v>
      </c>
      <c r="L19" s="132">
        <f>SUM(H14)</f>
        <v>33.9456</v>
      </c>
      <c r="M19" s="133">
        <f>SUM(AF14)</f>
        <v>8461.39051286956</v>
      </c>
      <c r="N19"/>
      <c r="O19"/>
      <c r="P19"/>
    </row>
    <row r="20" s="1" customFormat="1" ht="23" customHeight="1" spans="3:16">
      <c r="C20" s="70"/>
      <c r="D20" s="70"/>
      <c r="E20" s="70"/>
      <c r="F20" s="79"/>
      <c r="G20" s="80"/>
      <c r="H20" s="80"/>
      <c r="I20" s="81"/>
      <c r="J20"/>
      <c r="K20" s="134" t="s">
        <v>61</v>
      </c>
      <c r="L20" s="134"/>
      <c r="M20" s="135">
        <v>6000</v>
      </c>
      <c r="N20"/>
      <c r="O20"/>
      <c r="P20"/>
    </row>
    <row r="21" s="1" customFormat="1" ht="23" customHeight="1" spans="3:16">
      <c r="C21" s="70" t="s">
        <v>62</v>
      </c>
      <c r="D21" s="70"/>
      <c r="E21" s="70"/>
      <c r="F21" s="76" t="s">
        <v>63</v>
      </c>
      <c r="G21" s="77"/>
      <c r="H21" s="77"/>
      <c r="I21" s="78"/>
      <c r="J21"/>
      <c r="K21" s="136" t="s">
        <v>64</v>
      </c>
      <c r="L21" s="136"/>
      <c r="M21" s="137">
        <f>SUM(M19-M20)</f>
        <v>2461.39051286956</v>
      </c>
      <c r="N21"/>
      <c r="O21"/>
      <c r="P21"/>
    </row>
    <row r="22" s="1" customFormat="1" ht="23" customHeight="1" spans="3:16">
      <c r="C22" s="70"/>
      <c r="D22" s="70"/>
      <c r="E22" s="70"/>
      <c r="F22" s="79"/>
      <c r="G22" s="80"/>
      <c r="H22" s="80"/>
      <c r="I22" s="81"/>
      <c r="J22"/>
      <c r="K22" s="131" t="s">
        <v>65</v>
      </c>
      <c r="L22" s="131"/>
      <c r="M22" s="131">
        <v>0.4</v>
      </c>
      <c r="N22"/>
      <c r="O22"/>
      <c r="P22"/>
    </row>
    <row r="23" s="1" customFormat="1" ht="23" customHeight="1" spans="5:16">
      <c r="E23"/>
      <c r="F23"/>
      <c r="G23"/>
      <c r="H23"/>
      <c r="I23"/>
      <c r="J23"/>
      <c r="K23" s="134" t="s">
        <v>66</v>
      </c>
      <c r="L23" s="134"/>
      <c r="M23" s="135">
        <f>SUM(M21*M22)</f>
        <v>984.556205147824</v>
      </c>
      <c r="N23"/>
      <c r="O23"/>
      <c r="P23"/>
    </row>
    <row r="24" s="1" customFormat="1" ht="23" customHeight="1" spans="5:16">
      <c r="E24"/>
      <c r="F24"/>
      <c r="G24"/>
      <c r="H24"/>
      <c r="I24"/>
      <c r="J24"/>
      <c r="K24"/>
      <c r="L24"/>
      <c r="M24"/>
      <c r="N24"/>
      <c r="O24"/>
      <c r="P24"/>
    </row>
    <row r="25" s="1" customFormat="1" ht="23" customHeight="1" spans="5:14">
      <c r="E25"/>
      <c r="F25"/>
      <c r="G25"/>
      <c r="H25"/>
      <c r="I25"/>
      <c r="J25"/>
      <c r="K25" s="138"/>
      <c r="L25" s="138"/>
      <c r="M25" s="138"/>
      <c r="N25" s="138"/>
    </row>
    <row r="26" s="1" customFormat="1" ht="23" customHeight="1" spans="5:13">
      <c r="E26"/>
      <c r="F26"/>
      <c r="G26"/>
      <c r="H26"/>
      <c r="I26"/>
      <c r="J26"/>
      <c r="K26"/>
      <c r="L26"/>
      <c r="M26"/>
    </row>
    <row r="27" s="1" customFormat="1" ht="23" customHeight="1" spans="5:19">
      <c r="E27"/>
      <c r="F27"/>
      <c r="G27"/>
      <c r="H27"/>
      <c r="I27"/>
      <c r="J27"/>
      <c r="K27"/>
      <c r="L27"/>
      <c r="M27"/>
      <c r="O27"/>
      <c r="P27"/>
      <c r="Q27"/>
      <c r="R27"/>
      <c r="S27" s="35"/>
    </row>
    <row r="28" ht="28" customHeight="1"/>
  </sheetData>
  <autoFilter xmlns:etc="http://www.wps.cn/officeDocument/2017/etCustomData" ref="A2:AB27" etc:filterBottomFollowUsedRange="0">
    <extLst/>
  </autoFilter>
  <mergeCells count="23">
    <mergeCell ref="J2:P2"/>
    <mergeCell ref="R2:V2"/>
    <mergeCell ref="Y2:AD2"/>
    <mergeCell ref="K17:M17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Q2:Q3"/>
    <mergeCell ref="W2:W3"/>
    <mergeCell ref="X2:X3"/>
    <mergeCell ref="AF2:AF3"/>
    <mergeCell ref="C19:E20"/>
    <mergeCell ref="F19:I20"/>
    <mergeCell ref="C21:E22"/>
    <mergeCell ref="F21:I22"/>
    <mergeCell ref="C17:E18"/>
    <mergeCell ref="F17:I18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3"/>
  <sheetViews>
    <sheetView workbookViewId="0">
      <pane xSplit="14" ySplit="4" topLeftCell="AC5" activePane="bottomRight" state="frozen"/>
      <selection/>
      <selection pane="topRight"/>
      <selection pane="bottomLeft"/>
      <selection pane="bottomRight" activeCell="M13" sqref="M13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1.125"/>
    <col min="10" max="10" width="10.375"/>
    <col min="11" max="11" width="10.125"/>
    <col min="12" max="12" width="11.125"/>
    <col min="13" max="13" width="15.125" customWidth="1"/>
    <col min="14" max="14" width="11.375" customWidth="1"/>
    <col min="15" max="16" width="14.75"/>
    <col min="17" max="17" width="11"/>
    <col min="18" max="18" width="12.5" customWidth="1"/>
    <col min="19" max="19" width="11"/>
    <col min="20" max="20" width="11.125"/>
    <col min="21" max="21" width="12.625"/>
    <col min="22" max="22" width="12.5"/>
    <col min="23" max="23" width="11"/>
    <col min="24" max="24" width="10.375"/>
    <col min="25" max="25" width="12"/>
    <col min="26" max="26" width="9.25"/>
    <col min="27" max="27" width="12.5"/>
    <col min="28" max="28" width="13.625"/>
    <col min="29" max="29" width="9.25"/>
    <col min="30" max="30" width="10.125"/>
    <col min="31" max="32" width="12"/>
  </cols>
  <sheetData>
    <row r="1" customFormat="1" ht="24" customHeight="1" spans="1:1">
      <c r="A1" s="86" t="s">
        <v>0</v>
      </c>
    </row>
    <row r="2" customFormat="1" ht="6" customHeight="1" spans="1:1">
      <c r="A2" s="86"/>
    </row>
    <row r="3" s="83" customFormat="1" ht="23" customHeight="1" spans="1:32">
      <c r="A3" s="87" t="s">
        <v>1</v>
      </c>
      <c r="B3" s="88" t="s">
        <v>2</v>
      </c>
      <c r="C3" s="89" t="s">
        <v>3</v>
      </c>
      <c r="D3" s="90" t="s">
        <v>4</v>
      </c>
      <c r="E3" s="91" t="s">
        <v>5</v>
      </c>
      <c r="F3" s="92" t="s">
        <v>6</v>
      </c>
      <c r="G3" s="92" t="s">
        <v>7</v>
      </c>
      <c r="H3" s="92" t="s">
        <v>8</v>
      </c>
      <c r="I3" s="92" t="s">
        <v>9</v>
      </c>
      <c r="J3" s="109" t="s">
        <v>10</v>
      </c>
      <c r="K3" s="110"/>
      <c r="L3" s="111"/>
      <c r="M3" s="110"/>
      <c r="N3" s="111"/>
      <c r="O3" s="112"/>
      <c r="P3" s="113"/>
      <c r="Q3" s="139" t="s">
        <v>11</v>
      </c>
      <c r="R3" s="140" t="s">
        <v>12</v>
      </c>
      <c r="S3" s="141"/>
      <c r="T3" s="142"/>
      <c r="U3" s="143"/>
      <c r="V3" s="144"/>
      <c r="W3" s="145" t="s">
        <v>13</v>
      </c>
      <c r="X3" s="146" t="s">
        <v>14</v>
      </c>
      <c r="Y3" s="161" t="s">
        <v>15</v>
      </c>
      <c r="Z3" s="161"/>
      <c r="AA3" s="161"/>
      <c r="AB3" s="161"/>
      <c r="AC3" s="162"/>
      <c r="AD3" s="161"/>
      <c r="AE3" s="163" t="s">
        <v>16</v>
      </c>
      <c r="AF3" s="164" t="s">
        <v>17</v>
      </c>
    </row>
    <row r="4" s="83" customFormat="1" ht="27" customHeight="1" spans="1:32">
      <c r="A4" s="93"/>
      <c r="B4" s="94"/>
      <c r="C4" s="89"/>
      <c r="D4" s="90"/>
      <c r="E4" s="95"/>
      <c r="F4" s="96"/>
      <c r="G4" s="96"/>
      <c r="H4" s="96"/>
      <c r="I4" s="96"/>
      <c r="J4" s="114" t="s">
        <v>18</v>
      </c>
      <c r="K4" s="115" t="s">
        <v>19</v>
      </c>
      <c r="L4" s="116" t="s">
        <v>20</v>
      </c>
      <c r="M4" s="115" t="s">
        <v>21</v>
      </c>
      <c r="N4" s="117" t="s">
        <v>22</v>
      </c>
      <c r="O4" s="118" t="s">
        <v>23</v>
      </c>
      <c r="P4" s="119" t="s">
        <v>24</v>
      </c>
      <c r="Q4" s="147"/>
      <c r="R4" s="148" t="s">
        <v>25</v>
      </c>
      <c r="S4" s="149" t="s">
        <v>26</v>
      </c>
      <c r="T4" s="150" t="s">
        <v>27</v>
      </c>
      <c r="U4" s="151" t="s">
        <v>28</v>
      </c>
      <c r="V4" s="150" t="s">
        <v>29</v>
      </c>
      <c r="W4" s="152"/>
      <c r="X4" s="153"/>
      <c r="Y4" s="165" t="s">
        <v>30</v>
      </c>
      <c r="Z4" s="165" t="s">
        <v>31</v>
      </c>
      <c r="AA4" s="165" t="s">
        <v>32</v>
      </c>
      <c r="AB4" s="166" t="s">
        <v>33</v>
      </c>
      <c r="AC4" s="167" t="s">
        <v>34</v>
      </c>
      <c r="AD4" s="168" t="s">
        <v>24</v>
      </c>
      <c r="AE4" s="169" t="s">
        <v>35</v>
      </c>
      <c r="AF4" s="170"/>
    </row>
    <row r="5" s="84" customFormat="1" ht="12.75" spans="1:32">
      <c r="A5" s="97"/>
      <c r="B5" s="98"/>
      <c r="C5" s="99">
        <v>240830000027</v>
      </c>
      <c r="D5" s="100">
        <v>45539</v>
      </c>
      <c r="E5" s="100" t="s">
        <v>107</v>
      </c>
      <c r="F5" s="98" t="s">
        <v>108</v>
      </c>
      <c r="G5" s="98" t="s">
        <v>109</v>
      </c>
      <c r="H5" s="98">
        <v>0.866</v>
      </c>
      <c r="I5" s="98">
        <v>98</v>
      </c>
      <c r="J5" s="182">
        <v>1871</v>
      </c>
      <c r="K5" s="121"/>
      <c r="L5" s="125"/>
      <c r="M5" s="123"/>
      <c r="N5" s="125"/>
      <c r="O5" s="98"/>
      <c r="P5" s="120">
        <v>1871</v>
      </c>
      <c r="Q5" s="154"/>
      <c r="R5" s="154"/>
      <c r="S5" s="155">
        <v>654.4795</v>
      </c>
      <c r="T5" s="155"/>
      <c r="U5" s="155">
        <v>18.4661764705882</v>
      </c>
      <c r="V5" s="155"/>
      <c r="W5" s="155"/>
      <c r="X5" s="156">
        <v>672.945676470588</v>
      </c>
      <c r="Y5" s="171">
        <v>136.744711176471</v>
      </c>
      <c r="Z5" s="171"/>
      <c r="AA5" s="171"/>
      <c r="AB5" s="171">
        <v>136.744711176471</v>
      </c>
      <c r="AC5" s="121">
        <v>7.12</v>
      </c>
      <c r="AD5" s="155">
        <v>973.62234357647</v>
      </c>
      <c r="AE5" s="155">
        <v>1646.56802004706</v>
      </c>
      <c r="AF5" s="155">
        <v>224.43197995294</v>
      </c>
    </row>
    <row r="6" s="84" customFormat="1" ht="12.75" spans="1:32">
      <c r="A6" s="97"/>
      <c r="B6" s="98"/>
      <c r="C6" s="99">
        <v>240909000018</v>
      </c>
      <c r="D6" s="100">
        <v>45547</v>
      </c>
      <c r="E6" s="100" t="s">
        <v>107</v>
      </c>
      <c r="F6" s="98" t="s">
        <v>108</v>
      </c>
      <c r="G6" s="98" t="s">
        <v>110</v>
      </c>
      <c r="H6" s="98">
        <v>0.42</v>
      </c>
      <c r="I6" s="98">
        <v>106</v>
      </c>
      <c r="J6" s="182">
        <v>500</v>
      </c>
      <c r="K6" s="124">
        <v>214855</v>
      </c>
      <c r="L6" s="125"/>
      <c r="M6" s="123">
        <v>1802.62605923316</v>
      </c>
      <c r="N6" s="122">
        <v>119.19</v>
      </c>
      <c r="O6" s="98">
        <v>7.08</v>
      </c>
      <c r="P6" s="120">
        <v>1343.8652</v>
      </c>
      <c r="Q6" s="154"/>
      <c r="R6" s="154"/>
      <c r="S6" s="155">
        <v>276.322941176471</v>
      </c>
      <c r="T6" s="155"/>
      <c r="U6" s="155">
        <v>8.02941176470588</v>
      </c>
      <c r="V6" s="155"/>
      <c r="W6" s="155"/>
      <c r="X6" s="156">
        <v>284.352352941176</v>
      </c>
      <c r="Y6" s="171">
        <v>66.3196058823529</v>
      </c>
      <c r="Z6" s="171"/>
      <c r="AA6" s="171"/>
      <c r="AB6" s="171">
        <v>66.3196058823529</v>
      </c>
      <c r="AC6" s="121">
        <v>7.12</v>
      </c>
      <c r="AD6" s="155">
        <v>472.195593882353</v>
      </c>
      <c r="AE6" s="155">
        <v>756.547946823529</v>
      </c>
      <c r="AF6" s="155">
        <v>587.317253176471</v>
      </c>
    </row>
    <row r="7" s="84" customFormat="1" ht="12.75" spans="1:32">
      <c r="A7" s="97"/>
      <c r="B7" s="98"/>
      <c r="C7" s="99">
        <v>240910000031</v>
      </c>
      <c r="D7" s="100">
        <v>45547</v>
      </c>
      <c r="E7" s="100" t="s">
        <v>107</v>
      </c>
      <c r="F7" s="98" t="s">
        <v>108</v>
      </c>
      <c r="G7" s="98" t="s">
        <v>110</v>
      </c>
      <c r="H7" s="98">
        <v>2.926</v>
      </c>
      <c r="I7" s="98">
        <v>2628</v>
      </c>
      <c r="J7" s="120"/>
      <c r="K7" s="124">
        <v>2040383</v>
      </c>
      <c r="L7" s="125"/>
      <c r="M7" s="123">
        <v>1763.89280311217</v>
      </c>
      <c r="N7" s="122">
        <v>1156.75</v>
      </c>
      <c r="O7" s="98">
        <v>7.08</v>
      </c>
      <c r="P7" s="120">
        <v>8189.79</v>
      </c>
      <c r="Q7" s="154"/>
      <c r="R7" s="154"/>
      <c r="S7" s="155">
        <v>1925.04982352941</v>
      </c>
      <c r="T7" s="155"/>
      <c r="U7" s="155">
        <v>55.9382352941176</v>
      </c>
      <c r="V7" s="155"/>
      <c r="W7" s="155"/>
      <c r="X7" s="156">
        <v>1980.98805882353</v>
      </c>
      <c r="Y7" s="171">
        <v>462.026587647059</v>
      </c>
      <c r="Z7" s="171"/>
      <c r="AA7" s="171"/>
      <c r="AB7" s="171">
        <v>462.026587647059</v>
      </c>
      <c r="AC7" s="121">
        <v>7.12</v>
      </c>
      <c r="AD7" s="155">
        <v>3289.62930404706</v>
      </c>
      <c r="AE7" s="155">
        <v>5270.61736287059</v>
      </c>
      <c r="AF7" s="155">
        <v>2919.17263712941</v>
      </c>
    </row>
    <row r="8" s="84" customFormat="1" ht="12.75" spans="1:32">
      <c r="A8" s="177"/>
      <c r="B8" s="177"/>
      <c r="C8" s="99">
        <v>240921000018</v>
      </c>
      <c r="D8" s="100">
        <v>45559</v>
      </c>
      <c r="E8" s="100" t="s">
        <v>107</v>
      </c>
      <c r="F8" s="98" t="s">
        <v>108</v>
      </c>
      <c r="G8" s="98" t="s">
        <v>111</v>
      </c>
      <c r="H8" s="98">
        <v>3.6205</v>
      </c>
      <c r="I8" s="98">
        <v>786</v>
      </c>
      <c r="J8" s="182">
        <v>7297</v>
      </c>
      <c r="K8" s="121"/>
      <c r="L8" s="125"/>
      <c r="M8" s="123"/>
      <c r="N8" s="125"/>
      <c r="O8" s="98"/>
      <c r="P8" s="120">
        <v>7297</v>
      </c>
      <c r="Q8" s="154"/>
      <c r="R8" s="157"/>
      <c r="S8" s="155">
        <v>2277.17204191176</v>
      </c>
      <c r="T8" s="155"/>
      <c r="U8" s="155">
        <v>79.8639705882353</v>
      </c>
      <c r="V8" s="155"/>
      <c r="W8" s="155"/>
      <c r="X8" s="156">
        <v>2357.0360125</v>
      </c>
      <c r="Y8" s="171">
        <v>571.690793088235</v>
      </c>
      <c r="Z8" s="171"/>
      <c r="AA8" s="171">
        <v>2.82718455882353</v>
      </c>
      <c r="AB8" s="171">
        <v>574.517977647059</v>
      </c>
      <c r="AC8" s="121">
        <v>7.18</v>
      </c>
      <c r="AD8" s="155">
        <v>4125.03907950588</v>
      </c>
      <c r="AE8" s="155">
        <v>6482.07509200588</v>
      </c>
      <c r="AF8" s="155">
        <v>814.92490799412</v>
      </c>
    </row>
    <row r="9" s="202" customFormat="1" ht="19" customHeight="1" spans="1:32">
      <c r="A9" s="97" t="s">
        <v>87</v>
      </c>
      <c r="B9" s="206"/>
      <c r="C9" s="207"/>
      <c r="D9" s="208"/>
      <c r="E9" s="209"/>
      <c r="F9" s="206"/>
      <c r="G9" s="206"/>
      <c r="H9" s="222">
        <f>SUM(H5:H8)</f>
        <v>7.8325</v>
      </c>
      <c r="I9" s="214"/>
      <c r="J9" s="214"/>
      <c r="K9" s="214"/>
      <c r="L9" s="214"/>
      <c r="M9" s="215"/>
      <c r="N9" s="215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220"/>
      <c r="AC9" s="220"/>
      <c r="AD9" s="220"/>
      <c r="AE9" s="220"/>
      <c r="AF9" s="220">
        <f>SUM(AF5:AF8)</f>
        <v>4545.84677825294</v>
      </c>
    </row>
    <row r="10" s="203" customFormat="1" ht="20" customHeight="1" spans="1:25">
      <c r="A10" s="210"/>
      <c r="B10" s="210"/>
      <c r="D10" s="211"/>
      <c r="H10" s="212"/>
      <c r="I10" s="216"/>
      <c r="J10" s="217"/>
      <c r="K10" s="212"/>
      <c r="L10" s="212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</row>
    <row r="11" s="1" customFormat="1" ht="23" customHeight="1" spans="3:16">
      <c r="C11" s="70" t="s">
        <v>53</v>
      </c>
      <c r="D11" s="70"/>
      <c r="E11" s="70"/>
      <c r="F11" s="105" t="s">
        <v>54</v>
      </c>
      <c r="G11" s="106"/>
      <c r="H11" s="106"/>
      <c r="I11" s="126"/>
      <c r="J11"/>
      <c r="K11" s="127" t="s">
        <v>112</v>
      </c>
      <c r="L11" s="128"/>
      <c r="M11" s="129"/>
      <c r="N11" s="218"/>
      <c r="O11"/>
      <c r="P11"/>
    </row>
    <row r="12" s="1" customFormat="1" ht="23" customHeight="1" spans="3:16">
      <c r="C12" s="70"/>
      <c r="D12" s="70"/>
      <c r="E12" s="70"/>
      <c r="F12" s="107"/>
      <c r="G12" s="108"/>
      <c r="H12" s="108"/>
      <c r="I12" s="130"/>
      <c r="J12"/>
      <c r="K12" s="131" t="s">
        <v>56</v>
      </c>
      <c r="L12" s="131" t="s">
        <v>8</v>
      </c>
      <c r="M12" s="131" t="s">
        <v>57</v>
      </c>
      <c r="N12"/>
      <c r="O12"/>
      <c r="P12"/>
    </row>
    <row r="13" s="1" customFormat="1" ht="23" customHeight="1" spans="3:16">
      <c r="C13" s="70" t="s">
        <v>58</v>
      </c>
      <c r="D13" s="70"/>
      <c r="E13" s="70"/>
      <c r="F13" s="76" t="s">
        <v>59</v>
      </c>
      <c r="G13" s="77"/>
      <c r="H13" s="77"/>
      <c r="I13" s="78"/>
      <c r="J13"/>
      <c r="K13" s="131" t="s">
        <v>60</v>
      </c>
      <c r="L13" s="132">
        <f>SUM(H9)</f>
        <v>7.8325</v>
      </c>
      <c r="M13" s="133">
        <f>SUM(AF9)</f>
        <v>4545.84677825294</v>
      </c>
      <c r="N13"/>
      <c r="O13"/>
      <c r="P13"/>
    </row>
    <row r="14" s="1" customFormat="1" ht="23" customHeight="1" spans="3:16">
      <c r="C14" s="70"/>
      <c r="D14" s="70"/>
      <c r="E14" s="70"/>
      <c r="F14" s="79"/>
      <c r="G14" s="80"/>
      <c r="H14" s="80"/>
      <c r="I14" s="81"/>
      <c r="J14"/>
      <c r="K14" s="134" t="s">
        <v>61</v>
      </c>
      <c r="L14" s="134"/>
      <c r="M14" s="135"/>
      <c r="N14"/>
      <c r="O14"/>
      <c r="P14"/>
    </row>
    <row r="15" s="1" customFormat="1" ht="23" customHeight="1" spans="3:16">
      <c r="C15" s="70" t="s">
        <v>62</v>
      </c>
      <c r="D15" s="70"/>
      <c r="E15" s="70"/>
      <c r="F15" s="76" t="s">
        <v>63</v>
      </c>
      <c r="G15" s="77"/>
      <c r="H15" s="77"/>
      <c r="I15" s="78"/>
      <c r="J15"/>
      <c r="K15" s="136" t="s">
        <v>64</v>
      </c>
      <c r="L15" s="136"/>
      <c r="M15" s="137"/>
      <c r="N15"/>
      <c r="O15"/>
      <c r="P15"/>
    </row>
    <row r="16" s="1" customFormat="1" ht="23" customHeight="1" spans="3:16">
      <c r="C16" s="70"/>
      <c r="D16" s="70"/>
      <c r="E16" s="70"/>
      <c r="F16" s="79"/>
      <c r="G16" s="80"/>
      <c r="H16" s="80"/>
      <c r="I16" s="81"/>
      <c r="J16"/>
      <c r="K16" s="131" t="s">
        <v>65</v>
      </c>
      <c r="L16" s="131"/>
      <c r="M16" s="131"/>
      <c r="N16"/>
      <c r="O16"/>
      <c r="P16"/>
    </row>
    <row r="17" s="1" customFormat="1" ht="23" customHeight="1" spans="5:16">
      <c r="E17"/>
      <c r="F17"/>
      <c r="G17"/>
      <c r="H17"/>
      <c r="I17"/>
      <c r="J17"/>
      <c r="K17" s="134" t="s">
        <v>66</v>
      </c>
      <c r="L17" s="134"/>
      <c r="M17" s="135"/>
      <c r="N17"/>
      <c r="O17"/>
      <c r="P17"/>
    </row>
    <row r="18" s="1" customFormat="1" ht="23" customHeight="1" spans="5:16">
      <c r="E18"/>
      <c r="F18"/>
      <c r="G18"/>
      <c r="H18"/>
      <c r="I18"/>
      <c r="J18"/>
      <c r="K18"/>
      <c r="L18"/>
      <c r="M18"/>
      <c r="N18"/>
      <c r="O18"/>
      <c r="P18"/>
    </row>
    <row r="19" s="1" customFormat="1" ht="23" customHeight="1" spans="5:14">
      <c r="E19"/>
      <c r="F19"/>
      <c r="G19"/>
      <c r="H19"/>
      <c r="I19"/>
      <c r="J19"/>
      <c r="K19" s="138"/>
      <c r="L19" s="138"/>
      <c r="M19" s="138"/>
      <c r="N19" s="138"/>
    </row>
    <row r="20" s="1" customFormat="1" ht="23" customHeight="1" spans="5:13">
      <c r="E20"/>
      <c r="F20"/>
      <c r="G20"/>
      <c r="H20"/>
      <c r="I20"/>
      <c r="J20"/>
      <c r="K20"/>
      <c r="L20"/>
      <c r="M20"/>
    </row>
    <row r="21" s="1" customFormat="1" ht="23" customHeight="1" spans="5:19">
      <c r="E21"/>
      <c r="F21"/>
      <c r="G21"/>
      <c r="H21"/>
      <c r="I21"/>
      <c r="J21"/>
      <c r="K21"/>
      <c r="L21"/>
      <c r="M21"/>
      <c r="O21"/>
      <c r="P21"/>
      <c r="Q21"/>
      <c r="R21"/>
      <c r="S21" s="35"/>
    </row>
    <row r="22" s="1" customFormat="1" ht="23" customHeight="1" spans="5:19">
      <c r="E22" s="213"/>
      <c r="F22" s="213"/>
      <c r="G22" s="213"/>
      <c r="H22" s="213"/>
      <c r="I22" s="213"/>
      <c r="J22" s="213"/>
      <c r="K22" s="213"/>
      <c r="L22" s="213"/>
      <c r="N22" s="213"/>
      <c r="O22" s="213"/>
      <c r="P22" s="213"/>
      <c r="Q22" s="213"/>
      <c r="S22" s="35"/>
    </row>
    <row r="23" ht="25" customHeight="1"/>
  </sheetData>
  <mergeCells count="23">
    <mergeCell ref="J3:P3"/>
    <mergeCell ref="R3:V3"/>
    <mergeCell ref="Y3:AD3"/>
    <mergeCell ref="K11:M1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11:E12"/>
    <mergeCell ref="F11:I12"/>
    <mergeCell ref="C15:E16"/>
    <mergeCell ref="F15:I16"/>
    <mergeCell ref="C13:E14"/>
    <mergeCell ref="F13:I14"/>
  </mergeCell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0"/>
  <sheetViews>
    <sheetView workbookViewId="0">
      <pane xSplit="14" ySplit="4" topLeftCell="O5" activePane="bottomRight" state="frozen"/>
      <selection/>
      <selection pane="topRight"/>
      <selection pane="bottomLeft"/>
      <selection pane="bottomRight" activeCell="M10" sqref="M10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1.125"/>
    <col min="10" max="10" width="10.375"/>
    <col min="11" max="11" width="10.125"/>
    <col min="12" max="12" width="11.125"/>
    <col min="13" max="13" width="11.25"/>
    <col min="14" max="14" width="11.375" customWidth="1"/>
    <col min="15" max="16" width="14.75"/>
    <col min="17" max="17" width="11"/>
    <col min="18" max="18" width="12.5" customWidth="1"/>
    <col min="19" max="19" width="11"/>
    <col min="20" max="20" width="11.125"/>
    <col min="21" max="21" width="12.625"/>
    <col min="22" max="22" width="12.5"/>
    <col min="23" max="23" width="11"/>
    <col min="24" max="24" width="10.375"/>
    <col min="25" max="25" width="12"/>
    <col min="26" max="26" width="9.25"/>
    <col min="27" max="27" width="12.5"/>
    <col min="28" max="28" width="13.625"/>
    <col min="29" max="29" width="9.25"/>
    <col min="30" max="30" width="10.125"/>
    <col min="31" max="32" width="12"/>
  </cols>
  <sheetData>
    <row r="1" customFormat="1" ht="24" customHeight="1" spans="1:1">
      <c r="A1" s="86" t="s">
        <v>0</v>
      </c>
    </row>
    <row r="2" customFormat="1" ht="6" customHeight="1" spans="1:1">
      <c r="A2" s="86"/>
    </row>
    <row r="3" s="83" customFormat="1" ht="23" customHeight="1" spans="1:32">
      <c r="A3" s="87" t="s">
        <v>1</v>
      </c>
      <c r="B3" s="88" t="s">
        <v>2</v>
      </c>
      <c r="C3" s="89" t="s">
        <v>3</v>
      </c>
      <c r="D3" s="90" t="s">
        <v>4</v>
      </c>
      <c r="E3" s="91" t="s">
        <v>5</v>
      </c>
      <c r="F3" s="92" t="s">
        <v>6</v>
      </c>
      <c r="G3" s="92" t="s">
        <v>7</v>
      </c>
      <c r="H3" s="92" t="s">
        <v>8</v>
      </c>
      <c r="I3" s="92" t="s">
        <v>9</v>
      </c>
      <c r="J3" s="109" t="s">
        <v>10</v>
      </c>
      <c r="K3" s="110"/>
      <c r="L3" s="111"/>
      <c r="M3" s="110"/>
      <c r="N3" s="111"/>
      <c r="O3" s="112"/>
      <c r="P3" s="113"/>
      <c r="Q3" s="139" t="s">
        <v>11</v>
      </c>
      <c r="R3" s="140" t="s">
        <v>12</v>
      </c>
      <c r="S3" s="141"/>
      <c r="T3" s="142"/>
      <c r="U3" s="143"/>
      <c r="V3" s="144"/>
      <c r="W3" s="145" t="s">
        <v>13</v>
      </c>
      <c r="X3" s="146" t="s">
        <v>14</v>
      </c>
      <c r="Y3" s="161" t="s">
        <v>15</v>
      </c>
      <c r="Z3" s="161"/>
      <c r="AA3" s="161"/>
      <c r="AB3" s="161"/>
      <c r="AC3" s="162"/>
      <c r="AD3" s="161"/>
      <c r="AE3" s="163" t="s">
        <v>16</v>
      </c>
      <c r="AF3" s="164" t="s">
        <v>17</v>
      </c>
    </row>
    <row r="4" s="83" customFormat="1" ht="27" customHeight="1" spans="1:32">
      <c r="A4" s="93"/>
      <c r="B4" s="94"/>
      <c r="C4" s="89"/>
      <c r="D4" s="90"/>
      <c r="E4" s="95"/>
      <c r="F4" s="96"/>
      <c r="G4" s="96"/>
      <c r="H4" s="96"/>
      <c r="I4" s="96"/>
      <c r="J4" s="114" t="s">
        <v>18</v>
      </c>
      <c r="K4" s="115" t="s">
        <v>19</v>
      </c>
      <c r="L4" s="116" t="s">
        <v>20</v>
      </c>
      <c r="M4" s="115" t="s">
        <v>21</v>
      </c>
      <c r="N4" s="117" t="s">
        <v>22</v>
      </c>
      <c r="O4" s="118" t="s">
        <v>23</v>
      </c>
      <c r="P4" s="119" t="s">
        <v>24</v>
      </c>
      <c r="Q4" s="147"/>
      <c r="R4" s="148" t="s">
        <v>25</v>
      </c>
      <c r="S4" s="149" t="s">
        <v>26</v>
      </c>
      <c r="T4" s="150" t="s">
        <v>27</v>
      </c>
      <c r="U4" s="151" t="s">
        <v>28</v>
      </c>
      <c r="V4" s="150" t="s">
        <v>29</v>
      </c>
      <c r="W4" s="152"/>
      <c r="X4" s="153"/>
      <c r="Y4" s="165" t="s">
        <v>30</v>
      </c>
      <c r="Z4" s="165" t="s">
        <v>31</v>
      </c>
      <c r="AA4" s="165" t="s">
        <v>32</v>
      </c>
      <c r="AB4" s="166" t="s">
        <v>33</v>
      </c>
      <c r="AC4" s="167" t="s">
        <v>34</v>
      </c>
      <c r="AD4" s="168" t="s">
        <v>24</v>
      </c>
      <c r="AE4" s="169" t="s">
        <v>35</v>
      </c>
      <c r="AF4" s="170"/>
    </row>
    <row r="5" s="84" customFormat="1" ht="12.75" spans="1:32">
      <c r="A5" s="221"/>
      <c r="B5" s="221"/>
      <c r="C5" s="99">
        <v>240925000014</v>
      </c>
      <c r="D5" s="100">
        <v>45559</v>
      </c>
      <c r="E5" s="100" t="s">
        <v>113</v>
      </c>
      <c r="F5" s="98" t="s">
        <v>114</v>
      </c>
      <c r="G5" s="98" t="s">
        <v>115</v>
      </c>
      <c r="H5" s="98">
        <v>25.12</v>
      </c>
      <c r="I5" s="98">
        <v>4000</v>
      </c>
      <c r="J5" s="182">
        <v>47873.94</v>
      </c>
      <c r="K5" s="121"/>
      <c r="L5" s="125"/>
      <c r="M5" s="123"/>
      <c r="N5" s="125"/>
      <c r="O5" s="98"/>
      <c r="P5" s="120">
        <f>SUBTOTAL(9,J5)</f>
        <v>47873.94</v>
      </c>
      <c r="Q5" s="199"/>
      <c r="R5" s="219"/>
      <c r="S5" s="155">
        <f>SUM(42769.7/68)*H5</f>
        <v>15799.6303529412</v>
      </c>
      <c r="T5" s="155"/>
      <c r="U5" s="155">
        <f>SUM(1500/68)*H5</f>
        <v>554.117647058824</v>
      </c>
      <c r="V5" s="155"/>
      <c r="W5" s="155"/>
      <c r="X5" s="156">
        <f>SUM(S5:W5)</f>
        <v>16353.748</v>
      </c>
      <c r="Y5" s="171">
        <f>SUM(10737.46/68)*H5</f>
        <v>3966.54404705882</v>
      </c>
      <c r="Z5" s="171"/>
      <c r="AA5" s="171">
        <f>SUM(53.1/68)*H5</f>
        <v>19.6157647058824</v>
      </c>
      <c r="AB5" s="171">
        <f>SUM(Y5:AA5)</f>
        <v>3986.15981176471</v>
      </c>
      <c r="AC5" s="121">
        <v>7.18</v>
      </c>
      <c r="AD5" s="155">
        <f>SUM(AB5*AC5)</f>
        <v>28620.6274484706</v>
      </c>
      <c r="AE5" s="155">
        <f>SUM(X5+AD5)</f>
        <v>44974.3754484706</v>
      </c>
      <c r="AF5" s="155">
        <f>SUM(P5-AE5)</f>
        <v>2899.56455152942</v>
      </c>
    </row>
    <row r="6" s="202" customFormat="1" ht="19" customHeight="1" spans="1:32">
      <c r="A6" s="97" t="s">
        <v>87</v>
      </c>
      <c r="B6" s="206"/>
      <c r="C6" s="207"/>
      <c r="D6" s="208"/>
      <c r="E6" s="209"/>
      <c r="F6" s="206"/>
      <c r="G6" s="206"/>
      <c r="H6" s="222">
        <f>SUM(H2:H5)</f>
        <v>25.12</v>
      </c>
      <c r="I6" s="214"/>
      <c r="J6" s="214"/>
      <c r="K6" s="214"/>
      <c r="L6" s="214"/>
      <c r="M6" s="215"/>
      <c r="N6" s="215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220"/>
      <c r="AC6" s="220"/>
      <c r="AD6" s="220"/>
      <c r="AE6" s="220"/>
      <c r="AF6" s="220">
        <f>SUM(AF5:AF5)</f>
        <v>2899.56455152942</v>
      </c>
    </row>
    <row r="7" s="203" customFormat="1" ht="20" customHeight="1" spans="1:25">
      <c r="A7" s="210"/>
      <c r="B7" s="210"/>
      <c r="D7" s="211"/>
      <c r="H7" s="212"/>
      <c r="I7" s="216"/>
      <c r="J7" s="217"/>
      <c r="K7" s="212"/>
      <c r="L7" s="212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</row>
    <row r="8" s="1" customFormat="1" ht="23" customHeight="1" spans="3:16">
      <c r="C8" s="70" t="s">
        <v>53</v>
      </c>
      <c r="D8" s="70"/>
      <c r="E8" s="70"/>
      <c r="F8" s="105" t="s">
        <v>54</v>
      </c>
      <c r="G8" s="106"/>
      <c r="H8" s="106"/>
      <c r="I8" s="126"/>
      <c r="J8"/>
      <c r="K8" s="127" t="s">
        <v>116</v>
      </c>
      <c r="L8" s="128"/>
      <c r="M8" s="129"/>
      <c r="N8" s="218"/>
      <c r="O8"/>
      <c r="P8"/>
    </row>
    <row r="9" s="1" customFormat="1" ht="23" customHeight="1" spans="3:16">
      <c r="C9" s="70"/>
      <c r="D9" s="70"/>
      <c r="E9" s="70"/>
      <c r="F9" s="107"/>
      <c r="G9" s="108"/>
      <c r="H9" s="108"/>
      <c r="I9" s="130"/>
      <c r="J9"/>
      <c r="K9" s="131" t="s">
        <v>56</v>
      </c>
      <c r="L9" s="131" t="s">
        <v>8</v>
      </c>
      <c r="M9" s="131" t="s">
        <v>57</v>
      </c>
      <c r="N9" s="218"/>
      <c r="O9"/>
      <c r="P9"/>
    </row>
    <row r="10" s="1" customFormat="1" ht="23" customHeight="1" spans="3:16">
      <c r="C10" s="70" t="s">
        <v>58</v>
      </c>
      <c r="D10" s="70"/>
      <c r="E10" s="70"/>
      <c r="F10" s="76" t="s">
        <v>59</v>
      </c>
      <c r="G10" s="77"/>
      <c r="H10" s="77"/>
      <c r="I10" s="78"/>
      <c r="J10"/>
      <c r="K10" s="131" t="s">
        <v>60</v>
      </c>
      <c r="L10" s="132">
        <f>SUM(H6)</f>
        <v>25.12</v>
      </c>
      <c r="M10" s="133">
        <f>SUM(AF6)</f>
        <v>2899.56455152942</v>
      </c>
      <c r="N10" s="218"/>
      <c r="O10"/>
      <c r="P10"/>
    </row>
    <row r="11" s="1" customFormat="1" ht="23" customHeight="1" spans="3:16">
      <c r="C11" s="70"/>
      <c r="D11" s="70"/>
      <c r="E11" s="70"/>
      <c r="F11" s="79"/>
      <c r="G11" s="80"/>
      <c r="H11" s="80"/>
      <c r="I11" s="81"/>
      <c r="J11"/>
      <c r="K11" s="134" t="s">
        <v>61</v>
      </c>
      <c r="L11" s="134"/>
      <c r="M11" s="135"/>
      <c r="N11"/>
      <c r="O11"/>
      <c r="P11"/>
    </row>
    <row r="12" s="1" customFormat="1" ht="23" customHeight="1" spans="3:16">
      <c r="C12" s="70" t="s">
        <v>62</v>
      </c>
      <c r="D12" s="70"/>
      <c r="E12" s="70"/>
      <c r="F12" s="76" t="s">
        <v>63</v>
      </c>
      <c r="G12" s="77"/>
      <c r="H12" s="77"/>
      <c r="I12" s="78"/>
      <c r="J12"/>
      <c r="K12" s="136" t="s">
        <v>64</v>
      </c>
      <c r="L12" s="136"/>
      <c r="M12" s="137"/>
      <c r="N12"/>
      <c r="O12"/>
      <c r="P12"/>
    </row>
    <row r="13" s="1" customFormat="1" ht="23" customHeight="1" spans="3:16">
      <c r="C13" s="70"/>
      <c r="D13" s="70"/>
      <c r="E13" s="70"/>
      <c r="F13" s="79"/>
      <c r="G13" s="80"/>
      <c r="H13" s="80"/>
      <c r="I13" s="81"/>
      <c r="J13"/>
      <c r="K13" s="131" t="s">
        <v>65</v>
      </c>
      <c r="L13" s="131"/>
      <c r="M13" s="131"/>
      <c r="N13"/>
      <c r="O13"/>
      <c r="P13"/>
    </row>
    <row r="14" s="1" customFormat="1" ht="23" customHeight="1" spans="5:16">
      <c r="E14"/>
      <c r="F14"/>
      <c r="G14"/>
      <c r="H14"/>
      <c r="I14"/>
      <c r="J14"/>
      <c r="K14" s="134" t="s">
        <v>66</v>
      </c>
      <c r="L14" s="134"/>
      <c r="M14" s="135"/>
      <c r="N14"/>
      <c r="O14"/>
      <c r="P14"/>
    </row>
    <row r="15" s="1" customFormat="1" ht="23" customHeight="1" spans="5:16">
      <c r="E15"/>
      <c r="F15"/>
      <c r="G15"/>
      <c r="H15"/>
      <c r="I15"/>
      <c r="J15"/>
      <c r="K15"/>
      <c r="L15"/>
      <c r="M15"/>
      <c r="N15"/>
      <c r="O15"/>
      <c r="P15"/>
    </row>
    <row r="16" s="1" customFormat="1" ht="23" customHeight="1" spans="5:14">
      <c r="E16"/>
      <c r="F16"/>
      <c r="G16"/>
      <c r="H16"/>
      <c r="I16"/>
      <c r="J16"/>
      <c r="K16" s="138"/>
      <c r="L16" s="138"/>
      <c r="M16" s="138"/>
      <c r="N16" s="138"/>
    </row>
    <row r="17" s="1" customFormat="1" ht="23" customHeight="1" spans="5:14">
      <c r="E17"/>
      <c r="F17"/>
      <c r="G17"/>
      <c r="H17"/>
      <c r="I17"/>
      <c r="J17"/>
      <c r="K17" s="138"/>
      <c r="L17" s="138"/>
      <c r="M17" s="138"/>
      <c r="N17" s="138"/>
    </row>
    <row r="18" s="1" customFormat="1" ht="23" customHeight="1" spans="5:19">
      <c r="E18"/>
      <c r="F18"/>
      <c r="G18"/>
      <c r="H18"/>
      <c r="I18"/>
      <c r="J18"/>
      <c r="K18"/>
      <c r="L18"/>
      <c r="M18"/>
      <c r="O18"/>
      <c r="P18"/>
      <c r="Q18"/>
      <c r="R18"/>
      <c r="S18" s="35"/>
    </row>
    <row r="19" s="1" customFormat="1" ht="23" customHeight="1" spans="5:19">
      <c r="E19" s="213"/>
      <c r="F19" s="213"/>
      <c r="G19" s="213"/>
      <c r="H19" s="213"/>
      <c r="I19" s="213"/>
      <c r="J19" s="213"/>
      <c r="K19" s="213"/>
      <c r="L19" s="213"/>
      <c r="N19" s="213"/>
      <c r="O19" s="213"/>
      <c r="P19" s="213"/>
      <c r="Q19" s="213"/>
      <c r="S19" s="35"/>
    </row>
    <row r="20" ht="25" customHeight="1"/>
  </sheetData>
  <mergeCells count="23">
    <mergeCell ref="J3:P3"/>
    <mergeCell ref="R3:V3"/>
    <mergeCell ref="Y3:AD3"/>
    <mergeCell ref="K8:M8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8:E9"/>
    <mergeCell ref="F8:I9"/>
    <mergeCell ref="C10:E11"/>
    <mergeCell ref="F10:I11"/>
    <mergeCell ref="C12:E13"/>
    <mergeCell ref="F12:I13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3"/>
  <sheetViews>
    <sheetView workbookViewId="0">
      <pane xSplit="14" ySplit="4" topLeftCell="AC5" activePane="bottomRight" state="frozen"/>
      <selection/>
      <selection pane="topRight"/>
      <selection pane="bottomLeft"/>
      <selection pane="bottomRight" activeCell="M26" sqref="M26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1.125"/>
    <col min="10" max="10" width="10.375"/>
    <col min="11" max="11" width="10.125"/>
    <col min="12" max="12" width="11.125"/>
    <col min="13" max="13" width="15.125" customWidth="1"/>
    <col min="14" max="14" width="11.375" customWidth="1"/>
    <col min="15" max="16" width="14.75"/>
    <col min="17" max="17" width="11"/>
    <col min="18" max="18" width="12.5" customWidth="1"/>
    <col min="19" max="19" width="11"/>
    <col min="20" max="20" width="11.125"/>
    <col min="21" max="21" width="12.625"/>
    <col min="22" max="22" width="12.5"/>
    <col min="23" max="23" width="11"/>
    <col min="24" max="24" width="10.375"/>
    <col min="25" max="25" width="12"/>
    <col min="26" max="26" width="9.25"/>
    <col min="27" max="27" width="12.5"/>
    <col min="28" max="28" width="13.625"/>
    <col min="29" max="29" width="9.25"/>
    <col min="30" max="30" width="10.125"/>
    <col min="31" max="32" width="12"/>
  </cols>
  <sheetData>
    <row r="1" customFormat="1" ht="24" customHeight="1" spans="1:1">
      <c r="A1" s="86" t="s">
        <v>0</v>
      </c>
    </row>
    <row r="2" customFormat="1" ht="6" customHeight="1" spans="1:1">
      <c r="A2" s="86"/>
    </row>
    <row r="3" s="83" customFormat="1" ht="23" customHeight="1" spans="1:32">
      <c r="A3" s="87" t="s">
        <v>1</v>
      </c>
      <c r="B3" s="88" t="s">
        <v>2</v>
      </c>
      <c r="C3" s="89" t="s">
        <v>3</v>
      </c>
      <c r="D3" s="90" t="s">
        <v>4</v>
      </c>
      <c r="E3" s="91" t="s">
        <v>5</v>
      </c>
      <c r="F3" s="92" t="s">
        <v>6</v>
      </c>
      <c r="G3" s="92" t="s">
        <v>7</v>
      </c>
      <c r="H3" s="92" t="s">
        <v>8</v>
      </c>
      <c r="I3" s="92" t="s">
        <v>9</v>
      </c>
      <c r="J3" s="109" t="s">
        <v>10</v>
      </c>
      <c r="K3" s="110"/>
      <c r="L3" s="111"/>
      <c r="M3" s="110"/>
      <c r="N3" s="111"/>
      <c r="O3" s="112"/>
      <c r="P3" s="113"/>
      <c r="Q3" s="139" t="s">
        <v>11</v>
      </c>
      <c r="R3" s="140" t="s">
        <v>12</v>
      </c>
      <c r="S3" s="141"/>
      <c r="T3" s="142"/>
      <c r="U3" s="143"/>
      <c r="V3" s="144"/>
      <c r="W3" s="145" t="s">
        <v>13</v>
      </c>
      <c r="X3" s="146" t="s">
        <v>14</v>
      </c>
      <c r="Y3" s="161" t="s">
        <v>15</v>
      </c>
      <c r="Z3" s="161"/>
      <c r="AA3" s="161"/>
      <c r="AB3" s="161"/>
      <c r="AC3" s="162"/>
      <c r="AD3" s="161"/>
      <c r="AE3" s="163" t="s">
        <v>16</v>
      </c>
      <c r="AF3" s="164" t="s">
        <v>17</v>
      </c>
    </row>
    <row r="4" s="83" customFormat="1" ht="27" customHeight="1" spans="1:32">
      <c r="A4" s="93"/>
      <c r="B4" s="94"/>
      <c r="C4" s="89"/>
      <c r="D4" s="90"/>
      <c r="E4" s="95"/>
      <c r="F4" s="96"/>
      <c r="G4" s="96"/>
      <c r="H4" s="96"/>
      <c r="I4" s="96"/>
      <c r="J4" s="114" t="s">
        <v>18</v>
      </c>
      <c r="K4" s="115" t="s">
        <v>19</v>
      </c>
      <c r="L4" s="116" t="s">
        <v>20</v>
      </c>
      <c r="M4" s="115" t="s">
        <v>21</v>
      </c>
      <c r="N4" s="117" t="s">
        <v>22</v>
      </c>
      <c r="O4" s="118" t="s">
        <v>23</v>
      </c>
      <c r="P4" s="119" t="s">
        <v>24</v>
      </c>
      <c r="Q4" s="147"/>
      <c r="R4" s="148" t="s">
        <v>25</v>
      </c>
      <c r="S4" s="149" t="s">
        <v>26</v>
      </c>
      <c r="T4" s="150" t="s">
        <v>27</v>
      </c>
      <c r="U4" s="151" t="s">
        <v>28</v>
      </c>
      <c r="V4" s="150" t="s">
        <v>29</v>
      </c>
      <c r="W4" s="152"/>
      <c r="X4" s="153"/>
      <c r="Y4" s="165" t="s">
        <v>30</v>
      </c>
      <c r="Z4" s="165" t="s">
        <v>31</v>
      </c>
      <c r="AA4" s="165" t="s">
        <v>32</v>
      </c>
      <c r="AB4" s="166" t="s">
        <v>33</v>
      </c>
      <c r="AC4" s="167" t="s">
        <v>34</v>
      </c>
      <c r="AD4" s="168" t="s">
        <v>24</v>
      </c>
      <c r="AE4" s="169" t="s">
        <v>35</v>
      </c>
      <c r="AF4" s="170"/>
    </row>
    <row r="5" s="84" customFormat="1" ht="12.75" spans="1:32">
      <c r="A5" s="97"/>
      <c r="B5" s="98"/>
      <c r="C5" s="99">
        <v>240904000021</v>
      </c>
      <c r="D5" s="100">
        <v>45539</v>
      </c>
      <c r="E5" s="100" t="s">
        <v>117</v>
      </c>
      <c r="F5" s="98" t="s">
        <v>118</v>
      </c>
      <c r="G5" s="98" t="s">
        <v>119</v>
      </c>
      <c r="H5" s="98">
        <v>0.469</v>
      </c>
      <c r="I5" s="98">
        <v>105</v>
      </c>
      <c r="J5" s="182">
        <v>959.66</v>
      </c>
      <c r="K5" s="121"/>
      <c r="L5" s="125"/>
      <c r="M5" s="123"/>
      <c r="N5" s="125"/>
      <c r="O5" s="98"/>
      <c r="P5" s="120">
        <v>959.66</v>
      </c>
      <c r="Q5" s="199"/>
      <c r="R5" s="199"/>
      <c r="S5" s="155">
        <v>354.44675</v>
      </c>
      <c r="T5" s="155"/>
      <c r="U5" s="155">
        <v>10.0007352941176</v>
      </c>
      <c r="V5" s="155"/>
      <c r="W5" s="155"/>
      <c r="X5" s="156">
        <v>364.447485294118</v>
      </c>
      <c r="Y5" s="171">
        <v>74.0568932352941</v>
      </c>
      <c r="Z5" s="171"/>
      <c r="AA5" s="171"/>
      <c r="AB5" s="171">
        <v>74.0568932352941</v>
      </c>
      <c r="AC5" s="121">
        <v>7.12</v>
      </c>
      <c r="AD5" s="155">
        <v>527.285079835294</v>
      </c>
      <c r="AE5" s="155">
        <v>891.732565129412</v>
      </c>
      <c r="AF5" s="155">
        <v>67.9274348705879</v>
      </c>
    </row>
    <row r="6" s="84" customFormat="1" ht="12.75" spans="1:32">
      <c r="A6" s="97"/>
      <c r="B6" s="98"/>
      <c r="C6" s="99">
        <v>240828000069</v>
      </c>
      <c r="D6" s="100">
        <v>45539</v>
      </c>
      <c r="E6" s="100" t="s">
        <v>117</v>
      </c>
      <c r="F6" s="98" t="s">
        <v>118</v>
      </c>
      <c r="G6" s="98" t="s">
        <v>120</v>
      </c>
      <c r="H6" s="98">
        <v>3.615</v>
      </c>
      <c r="I6" s="98">
        <v>1442</v>
      </c>
      <c r="J6" s="182">
        <v>9176.76</v>
      </c>
      <c r="K6" s="121"/>
      <c r="L6" s="125"/>
      <c r="M6" s="123"/>
      <c r="N6" s="125"/>
      <c r="O6" s="98"/>
      <c r="P6" s="120">
        <v>9176.76</v>
      </c>
      <c r="Q6" s="154"/>
      <c r="R6" s="154"/>
      <c r="S6" s="155">
        <v>2671.32551470588</v>
      </c>
      <c r="T6" s="155">
        <v>6.199725</v>
      </c>
      <c r="U6" s="155">
        <v>93.0330882352941</v>
      </c>
      <c r="V6" s="155"/>
      <c r="W6" s="155"/>
      <c r="X6" s="156">
        <v>2770.55832794118</v>
      </c>
      <c r="Y6" s="171">
        <v>570.822322058823</v>
      </c>
      <c r="Z6" s="171">
        <v>100.29</v>
      </c>
      <c r="AA6" s="171">
        <v>3.76385294117647</v>
      </c>
      <c r="AB6" s="171">
        <v>674.876175</v>
      </c>
      <c r="AC6" s="121">
        <v>7.12</v>
      </c>
      <c r="AD6" s="155">
        <v>4805.118366</v>
      </c>
      <c r="AE6" s="155">
        <v>7575.67669394118</v>
      </c>
      <c r="AF6" s="155">
        <v>1601.08330605882</v>
      </c>
    </row>
    <row r="7" s="84" customFormat="1" ht="12.75" spans="1:32">
      <c r="A7" s="97"/>
      <c r="B7" s="98"/>
      <c r="C7" s="99">
        <v>240902000057</v>
      </c>
      <c r="D7" s="100">
        <v>45539</v>
      </c>
      <c r="E7" s="100" t="s">
        <v>117</v>
      </c>
      <c r="F7" s="98" t="s">
        <v>118</v>
      </c>
      <c r="G7" s="98" t="s">
        <v>121</v>
      </c>
      <c r="H7" s="98">
        <v>0.2102</v>
      </c>
      <c r="I7" s="98">
        <v>74</v>
      </c>
      <c r="J7" s="182">
        <v>573.06</v>
      </c>
      <c r="K7" s="121"/>
      <c r="L7" s="125"/>
      <c r="M7" s="123"/>
      <c r="N7" s="125"/>
      <c r="O7" s="98"/>
      <c r="P7" s="120">
        <v>573.06</v>
      </c>
      <c r="Q7" s="154"/>
      <c r="R7" s="154"/>
      <c r="S7" s="155">
        <v>155.328526470588</v>
      </c>
      <c r="T7" s="155">
        <v>0.360493</v>
      </c>
      <c r="U7" s="155">
        <v>5.40955882352941</v>
      </c>
      <c r="V7" s="155"/>
      <c r="W7" s="155"/>
      <c r="X7" s="156">
        <v>161.098578294118</v>
      </c>
      <c r="Y7" s="171">
        <v>33.1913837058823</v>
      </c>
      <c r="Z7" s="171"/>
      <c r="AA7" s="171">
        <v>0.218855294117647</v>
      </c>
      <c r="AB7" s="171">
        <v>33.410239</v>
      </c>
      <c r="AC7" s="121">
        <v>7.12</v>
      </c>
      <c r="AD7" s="155">
        <v>237.88090168</v>
      </c>
      <c r="AE7" s="155">
        <v>398.979479974118</v>
      </c>
      <c r="AF7" s="155">
        <v>174.080520025882</v>
      </c>
    </row>
    <row r="8" s="84" customFormat="1" ht="12.75" spans="1:32">
      <c r="A8" s="97"/>
      <c r="B8" s="98"/>
      <c r="C8" s="99">
        <v>240905000026</v>
      </c>
      <c r="D8" s="100">
        <v>45547</v>
      </c>
      <c r="E8" s="100" t="s">
        <v>117</v>
      </c>
      <c r="F8" s="98" t="s">
        <v>118</v>
      </c>
      <c r="G8" s="98" t="s">
        <v>120</v>
      </c>
      <c r="H8" s="204">
        <v>6.2</v>
      </c>
      <c r="I8" s="98">
        <v>4920</v>
      </c>
      <c r="J8" s="182">
        <v>14483.2</v>
      </c>
      <c r="K8" s="121"/>
      <c r="L8" s="125"/>
      <c r="M8" s="123"/>
      <c r="N8" s="125"/>
      <c r="O8" s="98"/>
      <c r="P8" s="120">
        <v>14483.2</v>
      </c>
      <c r="Q8" s="154"/>
      <c r="R8" s="154"/>
      <c r="S8" s="155">
        <v>4079.05294117647</v>
      </c>
      <c r="T8" s="155"/>
      <c r="U8" s="155">
        <v>118.529411764706</v>
      </c>
      <c r="V8" s="155"/>
      <c r="W8" s="155"/>
      <c r="X8" s="156">
        <v>4197.58235294118</v>
      </c>
      <c r="Y8" s="171">
        <v>979.003705882353</v>
      </c>
      <c r="Z8" s="171"/>
      <c r="AA8" s="171"/>
      <c r="AB8" s="171">
        <v>979.003705882353</v>
      </c>
      <c r="AC8" s="121">
        <v>7.12</v>
      </c>
      <c r="AD8" s="155">
        <v>6970.50638588235</v>
      </c>
      <c r="AE8" s="155">
        <v>11168.0887388235</v>
      </c>
      <c r="AF8" s="155">
        <v>3315.1112611765</v>
      </c>
    </row>
    <row r="9" s="84" customFormat="1" ht="12.75" spans="1:32">
      <c r="A9" s="97"/>
      <c r="B9" s="98"/>
      <c r="C9" s="99">
        <v>240905000027</v>
      </c>
      <c r="D9" s="100">
        <v>45547</v>
      </c>
      <c r="E9" s="100" t="s">
        <v>117</v>
      </c>
      <c r="F9" s="98" t="s">
        <v>118</v>
      </c>
      <c r="G9" s="98" t="s">
        <v>119</v>
      </c>
      <c r="H9" s="98">
        <v>0.3485</v>
      </c>
      <c r="I9" s="98">
        <v>70</v>
      </c>
      <c r="J9" s="182">
        <v>686.93</v>
      </c>
      <c r="K9" s="121"/>
      <c r="L9" s="125"/>
      <c r="M9" s="123"/>
      <c r="N9" s="125"/>
      <c r="O9" s="98"/>
      <c r="P9" s="120">
        <v>686.93</v>
      </c>
      <c r="Q9" s="154"/>
      <c r="R9" s="154"/>
      <c r="S9" s="155">
        <v>229.28225</v>
      </c>
      <c r="T9" s="155"/>
      <c r="U9" s="155">
        <v>6.6625</v>
      </c>
      <c r="V9" s="155"/>
      <c r="W9" s="155"/>
      <c r="X9" s="156">
        <v>235.94475</v>
      </c>
      <c r="Y9" s="171">
        <v>55.0294825</v>
      </c>
      <c r="Z9" s="171"/>
      <c r="AA9" s="171"/>
      <c r="AB9" s="171">
        <v>55.0294825</v>
      </c>
      <c r="AC9" s="121">
        <v>7.12</v>
      </c>
      <c r="AD9" s="155">
        <v>391.8099154</v>
      </c>
      <c r="AE9" s="155">
        <v>627.7546654</v>
      </c>
      <c r="AF9" s="155">
        <v>59.1753345999999</v>
      </c>
    </row>
    <row r="10" s="84" customFormat="1" ht="12.75" spans="1:32">
      <c r="A10" s="97"/>
      <c r="B10" s="98"/>
      <c r="C10" s="99">
        <v>240906000040</v>
      </c>
      <c r="D10" s="100">
        <v>45547</v>
      </c>
      <c r="E10" s="100" t="s">
        <v>117</v>
      </c>
      <c r="F10" s="98" t="s">
        <v>118</v>
      </c>
      <c r="G10" s="98" t="s">
        <v>122</v>
      </c>
      <c r="H10" s="98">
        <v>0.714</v>
      </c>
      <c r="I10" s="98">
        <v>240</v>
      </c>
      <c r="J10" s="182">
        <v>1563.66</v>
      </c>
      <c r="K10" s="121"/>
      <c r="L10" s="125"/>
      <c r="M10" s="123"/>
      <c r="N10" s="125"/>
      <c r="O10" s="98"/>
      <c r="P10" s="120">
        <v>1563.66</v>
      </c>
      <c r="Q10" s="154"/>
      <c r="R10" s="154"/>
      <c r="S10" s="155">
        <v>469.749</v>
      </c>
      <c r="T10" s="155"/>
      <c r="U10" s="155">
        <v>13.65</v>
      </c>
      <c r="V10" s="155"/>
      <c r="W10" s="155"/>
      <c r="X10" s="156">
        <v>483.399</v>
      </c>
      <c r="Y10" s="171">
        <v>112.74333</v>
      </c>
      <c r="Z10" s="171"/>
      <c r="AA10" s="171"/>
      <c r="AB10" s="171">
        <v>112.74333</v>
      </c>
      <c r="AC10" s="121">
        <v>7.12</v>
      </c>
      <c r="AD10" s="155">
        <v>802.7325096</v>
      </c>
      <c r="AE10" s="155">
        <v>1286.1315096</v>
      </c>
      <c r="AF10" s="155">
        <v>277.5284904</v>
      </c>
    </row>
    <row r="11" s="84" customFormat="1" ht="12.75" spans="1:32">
      <c r="A11" s="97"/>
      <c r="B11" s="98"/>
      <c r="C11" s="99">
        <v>240911000023</v>
      </c>
      <c r="D11" s="100">
        <v>45547</v>
      </c>
      <c r="E11" s="100" t="s">
        <v>117</v>
      </c>
      <c r="F11" s="98" t="s">
        <v>118</v>
      </c>
      <c r="G11" s="98" t="s">
        <v>119</v>
      </c>
      <c r="H11" s="98">
        <v>0.0849</v>
      </c>
      <c r="I11" s="98">
        <v>40</v>
      </c>
      <c r="J11" s="182">
        <v>210.75</v>
      </c>
      <c r="K11" s="121"/>
      <c r="L11" s="125"/>
      <c r="M11" s="123"/>
      <c r="N11" s="125"/>
      <c r="O11" s="98"/>
      <c r="P11" s="120">
        <v>210.75</v>
      </c>
      <c r="Q11" s="199"/>
      <c r="R11" s="199"/>
      <c r="S11" s="155">
        <v>55.8567088235294</v>
      </c>
      <c r="T11" s="155"/>
      <c r="U11" s="155">
        <v>1.62308823529412</v>
      </c>
      <c r="V11" s="155"/>
      <c r="W11" s="155"/>
      <c r="X11" s="156">
        <v>57.4797970588235</v>
      </c>
      <c r="Y11" s="171">
        <v>13.4060346176471</v>
      </c>
      <c r="Z11" s="171"/>
      <c r="AA11" s="171"/>
      <c r="AB11" s="171">
        <v>13.4060346176471</v>
      </c>
      <c r="AC11" s="121">
        <v>7.12</v>
      </c>
      <c r="AD11" s="155">
        <v>95.450966477647</v>
      </c>
      <c r="AE11" s="155">
        <v>152.930763536471</v>
      </c>
      <c r="AF11" s="155">
        <v>57.819236463529</v>
      </c>
    </row>
    <row r="12" s="84" customFormat="1" ht="12.75" spans="1:32">
      <c r="A12" s="97"/>
      <c r="B12" s="98"/>
      <c r="C12" s="99">
        <v>240911000008</v>
      </c>
      <c r="D12" s="100">
        <v>45559</v>
      </c>
      <c r="E12" s="100" t="s">
        <v>117</v>
      </c>
      <c r="F12" s="98" t="s">
        <v>118</v>
      </c>
      <c r="G12" s="98" t="s">
        <v>122</v>
      </c>
      <c r="H12" s="98">
        <v>6.1104</v>
      </c>
      <c r="I12" s="98">
        <v>5000</v>
      </c>
      <c r="J12" s="182">
        <v>15665.8</v>
      </c>
      <c r="K12" s="121"/>
      <c r="L12" s="125"/>
      <c r="M12" s="123"/>
      <c r="N12" s="125"/>
      <c r="O12" s="98"/>
      <c r="P12" s="120">
        <v>15665.8</v>
      </c>
      <c r="Q12" s="154"/>
      <c r="R12" s="157"/>
      <c r="S12" s="155">
        <v>4099.62910588235</v>
      </c>
      <c r="T12" s="155"/>
      <c r="U12" s="155">
        <v>143.774117647059</v>
      </c>
      <c r="V12" s="155"/>
      <c r="W12" s="155"/>
      <c r="X12" s="156">
        <v>4243.40322352941</v>
      </c>
      <c r="Y12" s="171">
        <v>964.855523294118</v>
      </c>
      <c r="Z12" s="171"/>
      <c r="AA12" s="171">
        <v>4.77150352941177</v>
      </c>
      <c r="AB12" s="171">
        <v>969.627026823529</v>
      </c>
      <c r="AC12" s="121">
        <v>7.18</v>
      </c>
      <c r="AD12" s="155">
        <v>6961.92205259294</v>
      </c>
      <c r="AE12" s="155">
        <v>11205.3252761224</v>
      </c>
      <c r="AF12" s="155">
        <v>4460.4747238776</v>
      </c>
    </row>
    <row r="13" s="84" customFormat="1" ht="12.75" spans="1:32">
      <c r="A13" s="97"/>
      <c r="B13" s="98"/>
      <c r="C13" s="99">
        <v>240918000048</v>
      </c>
      <c r="D13" s="100">
        <v>45554</v>
      </c>
      <c r="E13" s="100" t="s">
        <v>117</v>
      </c>
      <c r="F13" s="98" t="s">
        <v>118</v>
      </c>
      <c r="G13" s="98" t="s">
        <v>119</v>
      </c>
      <c r="H13" s="98">
        <v>7.1974</v>
      </c>
      <c r="I13" s="98">
        <v>2213</v>
      </c>
      <c r="J13" s="182">
        <v>16287.69</v>
      </c>
      <c r="K13" s="121"/>
      <c r="L13" s="125"/>
      <c r="M13" s="123"/>
      <c r="N13" s="125"/>
      <c r="O13" s="98"/>
      <c r="P13" s="120">
        <v>16287.69</v>
      </c>
      <c r="Q13" s="154"/>
      <c r="R13" s="157"/>
      <c r="S13" s="155">
        <v>4828.92617941176</v>
      </c>
      <c r="T13" s="155"/>
      <c r="U13" s="155">
        <v>169.350588235294</v>
      </c>
      <c r="V13" s="155"/>
      <c r="W13" s="155"/>
      <c r="X13" s="156">
        <v>4998.27676764706</v>
      </c>
      <c r="Y13" s="171">
        <v>1136.49697947059</v>
      </c>
      <c r="Z13" s="171"/>
      <c r="AA13" s="171">
        <v>5.62032264705882</v>
      </c>
      <c r="AB13" s="171">
        <v>1142.11730211765</v>
      </c>
      <c r="AC13" s="121">
        <v>7.18</v>
      </c>
      <c r="AD13" s="155">
        <v>8200.4022292047</v>
      </c>
      <c r="AE13" s="155">
        <v>13198.6789968518</v>
      </c>
      <c r="AF13" s="155">
        <v>3089.0110031482</v>
      </c>
    </row>
    <row r="14" s="84" customFormat="1" ht="12.75" spans="1:32">
      <c r="A14" s="97"/>
      <c r="B14" s="98"/>
      <c r="C14" s="99">
        <v>240919000029</v>
      </c>
      <c r="D14" s="100">
        <v>45554</v>
      </c>
      <c r="E14" s="100" t="s">
        <v>117</v>
      </c>
      <c r="F14" s="98" t="s">
        <v>118</v>
      </c>
      <c r="G14" s="98" t="s">
        <v>122</v>
      </c>
      <c r="H14" s="98">
        <v>3.1</v>
      </c>
      <c r="I14" s="98">
        <v>472</v>
      </c>
      <c r="J14" s="182">
        <v>6336.4</v>
      </c>
      <c r="K14" s="121"/>
      <c r="L14" s="125"/>
      <c r="M14" s="123"/>
      <c r="N14" s="125"/>
      <c r="O14" s="98"/>
      <c r="P14" s="120">
        <v>6336.4</v>
      </c>
      <c r="Q14" s="199"/>
      <c r="R14" s="219"/>
      <c r="S14" s="155">
        <v>2079.87205882353</v>
      </c>
      <c r="T14" s="155"/>
      <c r="U14" s="155">
        <v>72.9411764705882</v>
      </c>
      <c r="V14" s="155"/>
      <c r="W14" s="155"/>
      <c r="X14" s="156">
        <v>2152.81323529412</v>
      </c>
      <c r="Y14" s="171">
        <v>489.501852941176</v>
      </c>
      <c r="Z14" s="171"/>
      <c r="AA14" s="171">
        <v>2.42073529411765</v>
      </c>
      <c r="AB14" s="171">
        <v>491.922588235294</v>
      </c>
      <c r="AC14" s="121">
        <v>7.18</v>
      </c>
      <c r="AD14" s="155">
        <v>3532.00418352941</v>
      </c>
      <c r="AE14" s="155">
        <v>5684.81741882353</v>
      </c>
      <c r="AF14" s="155">
        <v>651.58258117647</v>
      </c>
    </row>
    <row r="15" s="84" customFormat="1" ht="25.5" spans="1:32">
      <c r="A15" s="205" t="s">
        <v>123</v>
      </c>
      <c r="B15" s="205" t="s">
        <v>124</v>
      </c>
      <c r="C15" s="99">
        <v>240919000028</v>
      </c>
      <c r="D15" s="100">
        <v>45559</v>
      </c>
      <c r="E15" s="100" t="s">
        <v>117</v>
      </c>
      <c r="F15" s="98" t="s">
        <v>118</v>
      </c>
      <c r="G15" s="98" t="s">
        <v>122</v>
      </c>
      <c r="H15" s="98">
        <v>4.5</v>
      </c>
      <c r="I15" s="98">
        <v>3775</v>
      </c>
      <c r="J15" s="182">
        <v>10643.4</v>
      </c>
      <c r="K15" s="121"/>
      <c r="L15" s="125"/>
      <c r="M15" s="123"/>
      <c r="N15" s="125"/>
      <c r="O15" s="98"/>
      <c r="P15" s="120">
        <v>10643.4</v>
      </c>
      <c r="Q15" s="154">
        <v>14885.78</v>
      </c>
      <c r="R15" s="157" t="s">
        <v>125</v>
      </c>
      <c r="S15" s="155">
        <v>2830.34779411765</v>
      </c>
      <c r="T15" s="155"/>
      <c r="U15" s="155">
        <v>99.2647058823529</v>
      </c>
      <c r="V15" s="155"/>
      <c r="W15" s="155"/>
      <c r="X15" s="156">
        <v>2929.6125</v>
      </c>
      <c r="Y15" s="171">
        <v>710.567205882353</v>
      </c>
      <c r="Z15" s="171"/>
      <c r="AA15" s="171">
        <v>3.51397058823529</v>
      </c>
      <c r="AB15" s="171">
        <v>714.081176470588</v>
      </c>
      <c r="AC15" s="121">
        <v>7.18</v>
      </c>
      <c r="AD15" s="155">
        <v>5127.10284705882</v>
      </c>
      <c r="AE15" s="155">
        <v>8056.71534705882</v>
      </c>
      <c r="AF15" s="155">
        <v>2586.68465294118</v>
      </c>
    </row>
    <row r="16" s="84" customFormat="1" ht="12.75" spans="1:32">
      <c r="A16" s="177"/>
      <c r="B16" s="177"/>
      <c r="C16" s="99">
        <v>240911000008</v>
      </c>
      <c r="D16" s="100">
        <v>45559</v>
      </c>
      <c r="E16" s="100" t="s">
        <v>117</v>
      </c>
      <c r="F16" s="98" t="s">
        <v>118</v>
      </c>
      <c r="G16" s="98" t="s">
        <v>122</v>
      </c>
      <c r="H16" s="98">
        <v>3.0552</v>
      </c>
      <c r="I16" s="98">
        <v>2500</v>
      </c>
      <c r="J16" s="182">
        <v>7840.2</v>
      </c>
      <c r="K16" s="121"/>
      <c r="L16" s="125"/>
      <c r="M16" s="123"/>
      <c r="N16" s="125"/>
      <c r="O16" s="98"/>
      <c r="P16" s="120">
        <v>7840.2</v>
      </c>
      <c r="Q16" s="154"/>
      <c r="R16" s="157"/>
      <c r="S16" s="155">
        <v>1921.61746235294</v>
      </c>
      <c r="T16" s="155"/>
      <c r="U16" s="155">
        <v>67.3941176470588</v>
      </c>
      <c r="V16" s="155"/>
      <c r="W16" s="155"/>
      <c r="X16" s="156">
        <v>1989.01158</v>
      </c>
      <c r="Y16" s="171">
        <v>482.427761647059</v>
      </c>
      <c r="Z16" s="171"/>
      <c r="AA16" s="171">
        <v>2.38575176470588</v>
      </c>
      <c r="AB16" s="171">
        <v>484.813513411765</v>
      </c>
      <c r="AC16" s="121">
        <v>7.18</v>
      </c>
      <c r="AD16" s="155">
        <v>3480.96102629647</v>
      </c>
      <c r="AE16" s="155">
        <v>5469.97260629647</v>
      </c>
      <c r="AF16" s="155">
        <v>2370.22739370353</v>
      </c>
    </row>
    <row r="17" s="84" customFormat="1" ht="12.75" spans="1:32">
      <c r="A17" s="177"/>
      <c r="B17" s="177"/>
      <c r="C17" s="99">
        <v>240913000016</v>
      </c>
      <c r="D17" s="100">
        <v>45559</v>
      </c>
      <c r="E17" s="100" t="s">
        <v>117</v>
      </c>
      <c r="F17" s="98" t="s">
        <v>118</v>
      </c>
      <c r="G17" s="98" t="s">
        <v>126</v>
      </c>
      <c r="H17" s="98">
        <v>2.9348</v>
      </c>
      <c r="I17" s="98">
        <v>1250</v>
      </c>
      <c r="J17" s="182">
        <v>5998.7</v>
      </c>
      <c r="K17" s="121"/>
      <c r="L17" s="125"/>
      <c r="M17" s="123"/>
      <c r="N17" s="125"/>
      <c r="O17" s="98"/>
      <c r="P17" s="120">
        <v>5998.7</v>
      </c>
      <c r="Q17" s="154"/>
      <c r="R17" s="157"/>
      <c r="S17" s="155">
        <v>1845.88993470588</v>
      </c>
      <c r="T17" s="155"/>
      <c r="U17" s="155">
        <v>64.7382352941176</v>
      </c>
      <c r="V17" s="155"/>
      <c r="W17" s="155"/>
      <c r="X17" s="156">
        <v>1910.62817</v>
      </c>
      <c r="Y17" s="171">
        <v>463.416141294118</v>
      </c>
      <c r="Z17" s="171"/>
      <c r="AA17" s="171">
        <v>2.29173352941176</v>
      </c>
      <c r="AB17" s="171">
        <v>465.707874823529</v>
      </c>
      <c r="AC17" s="121">
        <v>7.18</v>
      </c>
      <c r="AD17" s="155">
        <v>3343.78254123294</v>
      </c>
      <c r="AE17" s="155">
        <v>5254.41071123294</v>
      </c>
      <c r="AF17" s="155">
        <v>744.28928876706</v>
      </c>
    </row>
    <row r="18" s="84" customFormat="1" ht="12.75" spans="1:32">
      <c r="A18" s="97"/>
      <c r="B18" s="98"/>
      <c r="C18" s="99">
        <v>240921000019</v>
      </c>
      <c r="D18" s="100">
        <v>45547</v>
      </c>
      <c r="E18" s="100" t="s">
        <v>117</v>
      </c>
      <c r="F18" s="98" t="s">
        <v>118</v>
      </c>
      <c r="G18" s="98" t="s">
        <v>120</v>
      </c>
      <c r="H18" s="98">
        <v>9.0628</v>
      </c>
      <c r="I18" s="98">
        <v>3434.65</v>
      </c>
      <c r="J18" s="182">
        <v>18527.4</v>
      </c>
      <c r="K18" s="121"/>
      <c r="L18" s="125"/>
      <c r="M18" s="123"/>
      <c r="N18" s="171"/>
      <c r="O18" s="98"/>
      <c r="P18" s="120">
        <v>18527.4</v>
      </c>
      <c r="Q18" s="154"/>
      <c r="R18" s="154"/>
      <c r="S18" s="155">
        <v>5590.01500588235</v>
      </c>
      <c r="T18" s="155"/>
      <c r="U18" s="155">
        <v>173.259411764706</v>
      </c>
      <c r="V18" s="155"/>
      <c r="W18" s="155"/>
      <c r="X18" s="156">
        <v>5763.27441764706</v>
      </c>
      <c r="Y18" s="171">
        <v>1431.05077188235</v>
      </c>
      <c r="Z18" s="171"/>
      <c r="AA18" s="171">
        <v>7.07698058823529</v>
      </c>
      <c r="AB18" s="171">
        <v>1438.12775247059</v>
      </c>
      <c r="AC18" s="121">
        <v>7.18</v>
      </c>
      <c r="AD18" s="155">
        <v>10325.7572627388</v>
      </c>
      <c r="AE18" s="155">
        <v>16089.0316803859</v>
      </c>
      <c r="AF18" s="155">
        <v>2438.3683196141</v>
      </c>
    </row>
    <row r="19" s="202" customFormat="1" ht="19" customHeight="1" spans="1:32">
      <c r="A19" s="97" t="s">
        <v>87</v>
      </c>
      <c r="B19" s="206"/>
      <c r="C19" s="207"/>
      <c r="D19" s="208"/>
      <c r="E19" s="209"/>
      <c r="F19" s="206"/>
      <c r="G19" s="206"/>
      <c r="H19" s="206">
        <f>SUM(H5:H18)</f>
        <v>47.6022</v>
      </c>
      <c r="I19" s="214"/>
      <c r="J19" s="214"/>
      <c r="K19" s="214"/>
      <c r="L19" s="214"/>
      <c r="M19" s="215"/>
      <c r="N19" s="215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220"/>
      <c r="AC19" s="220"/>
      <c r="AD19" s="220"/>
      <c r="AE19" s="220"/>
      <c r="AF19" s="220">
        <f>SUM(AF5:AF18)</f>
        <v>21893.3635468235</v>
      </c>
    </row>
    <row r="20" s="203" customFormat="1" ht="20" customHeight="1" spans="1:25">
      <c r="A20" s="210"/>
      <c r="B20" s="210"/>
      <c r="D20" s="211"/>
      <c r="H20" s="212"/>
      <c r="I20" s="216"/>
      <c r="J20" s="217"/>
      <c r="K20" s="212"/>
      <c r="L20" s="212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</row>
    <row r="21" s="1" customFormat="1" ht="23" customHeight="1" spans="3:16">
      <c r="C21" s="70" t="s">
        <v>53</v>
      </c>
      <c r="D21" s="70"/>
      <c r="E21" s="70"/>
      <c r="F21" s="105" t="s">
        <v>54</v>
      </c>
      <c r="G21" s="106"/>
      <c r="H21" s="106"/>
      <c r="I21" s="126"/>
      <c r="J21"/>
      <c r="K21" s="127" t="s">
        <v>127</v>
      </c>
      <c r="L21" s="128"/>
      <c r="M21" s="129"/>
      <c r="N21"/>
      <c r="O21"/>
      <c r="P21"/>
    </row>
    <row r="22" s="1" customFormat="1" ht="23" customHeight="1" spans="3:16">
      <c r="C22" s="70"/>
      <c r="D22" s="70"/>
      <c r="E22" s="70"/>
      <c r="F22" s="107"/>
      <c r="G22" s="108"/>
      <c r="H22" s="108"/>
      <c r="I22" s="130"/>
      <c r="J22"/>
      <c r="K22" s="131" t="s">
        <v>56</v>
      </c>
      <c r="L22" s="131" t="s">
        <v>8</v>
      </c>
      <c r="M22" s="131" t="s">
        <v>57</v>
      </c>
      <c r="N22"/>
      <c r="O22"/>
      <c r="P22"/>
    </row>
    <row r="23" s="1" customFormat="1" ht="23" customHeight="1" spans="3:16">
      <c r="C23" s="70" t="s">
        <v>58</v>
      </c>
      <c r="D23" s="70"/>
      <c r="E23" s="70"/>
      <c r="F23" s="76" t="s">
        <v>59</v>
      </c>
      <c r="G23" s="77"/>
      <c r="H23" s="77"/>
      <c r="I23" s="78"/>
      <c r="J23"/>
      <c r="K23" s="131" t="s">
        <v>60</v>
      </c>
      <c r="L23" s="132">
        <f>SUM(H19)</f>
        <v>47.6022</v>
      </c>
      <c r="M23" s="133">
        <f>SUM(AF19)</f>
        <v>21893.3635468235</v>
      </c>
      <c r="N23"/>
      <c r="O23"/>
      <c r="P23"/>
    </row>
    <row r="24" s="1" customFormat="1" ht="23" customHeight="1" spans="3:16">
      <c r="C24" s="70"/>
      <c r="D24" s="70"/>
      <c r="E24" s="70"/>
      <c r="F24" s="79"/>
      <c r="G24" s="80"/>
      <c r="H24" s="80"/>
      <c r="I24" s="81"/>
      <c r="J24"/>
      <c r="K24" s="136" t="s">
        <v>64</v>
      </c>
      <c r="L24" s="136"/>
      <c r="M24" s="137">
        <f>SUM(M23:M23)</f>
        <v>21893.3635468235</v>
      </c>
      <c r="N24"/>
      <c r="O24"/>
      <c r="P24"/>
    </row>
    <row r="25" s="1" customFormat="1" ht="23" customHeight="1" spans="3:16">
      <c r="C25" s="70" t="s">
        <v>62</v>
      </c>
      <c r="D25" s="70"/>
      <c r="E25" s="70"/>
      <c r="F25" s="76" t="s">
        <v>63</v>
      </c>
      <c r="G25" s="77"/>
      <c r="H25" s="77"/>
      <c r="I25" s="78"/>
      <c r="J25"/>
      <c r="K25" s="131" t="s">
        <v>65</v>
      </c>
      <c r="L25" s="131"/>
      <c r="M25" s="131">
        <v>0.4</v>
      </c>
      <c r="N25"/>
      <c r="O25"/>
      <c r="P25"/>
    </row>
    <row r="26" s="1" customFormat="1" ht="23" customHeight="1" spans="3:16">
      <c r="C26" s="70"/>
      <c r="D26" s="70"/>
      <c r="E26" s="70"/>
      <c r="F26" s="79"/>
      <c r="G26" s="80"/>
      <c r="H26" s="80"/>
      <c r="I26" s="81"/>
      <c r="J26"/>
      <c r="K26" s="134" t="s">
        <v>66</v>
      </c>
      <c r="L26" s="134"/>
      <c r="M26" s="135">
        <f>SUM(M24*M25)</f>
        <v>8757.3454187294</v>
      </c>
      <c r="N26"/>
      <c r="O26"/>
      <c r="P26"/>
    </row>
    <row r="27" s="1" customFormat="1" ht="23" customHeight="1" spans="5:16">
      <c r="E27"/>
      <c r="F27"/>
      <c r="G27"/>
      <c r="H27"/>
      <c r="I27"/>
      <c r="J27"/>
      <c r="K27" s="213"/>
      <c r="L27" s="213"/>
      <c r="M27" s="213"/>
      <c r="N27"/>
      <c r="O27"/>
      <c r="P27"/>
    </row>
    <row r="28" s="1" customFormat="1" ht="23" customHeight="1" spans="5:16">
      <c r="E28"/>
      <c r="F28"/>
      <c r="G28"/>
      <c r="H28"/>
      <c r="I28"/>
      <c r="J28"/>
      <c r="K28"/>
      <c r="L28"/>
      <c r="M28"/>
      <c r="N28"/>
      <c r="O28"/>
      <c r="P28"/>
    </row>
    <row r="29" s="1" customFormat="1" ht="23" customHeight="1" spans="5:13">
      <c r="E29"/>
      <c r="F29"/>
      <c r="G29"/>
      <c r="H29"/>
      <c r="I29"/>
      <c r="J29"/>
      <c r="K29"/>
      <c r="L29"/>
      <c r="M29"/>
    </row>
    <row r="30" s="1" customFormat="1" ht="23" customHeight="1" spans="5:13">
      <c r="E30"/>
      <c r="F30"/>
      <c r="G30"/>
      <c r="H30"/>
      <c r="I30"/>
      <c r="J30"/>
      <c r="K30"/>
      <c r="L30"/>
      <c r="M30"/>
    </row>
    <row r="31" s="1" customFormat="1" ht="23" customHeight="1" spans="5:19">
      <c r="E31"/>
      <c r="F31"/>
      <c r="G31"/>
      <c r="H31"/>
      <c r="I31"/>
      <c r="J31"/>
      <c r="K31"/>
      <c r="L31"/>
      <c r="M31"/>
      <c r="O31"/>
      <c r="P31"/>
      <c r="Q31"/>
      <c r="R31"/>
      <c r="S31" s="35"/>
    </row>
    <row r="32" s="1" customFormat="1" ht="23" customHeight="1" spans="5:19">
      <c r="E32" s="213"/>
      <c r="F32" s="213"/>
      <c r="G32" s="213"/>
      <c r="H32" s="213"/>
      <c r="I32" s="213"/>
      <c r="J32" s="213"/>
      <c r="K32" s="213"/>
      <c r="L32" s="213"/>
      <c r="N32" s="213"/>
      <c r="O32" s="213"/>
      <c r="P32" s="213"/>
      <c r="Q32" s="213"/>
      <c r="S32" s="35"/>
    </row>
    <row r="33" ht="25" customHeight="1"/>
  </sheetData>
  <mergeCells count="23">
    <mergeCell ref="J3:P3"/>
    <mergeCell ref="R3:V3"/>
    <mergeCell ref="Y3:AD3"/>
    <mergeCell ref="K21:M2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23:E24"/>
    <mergeCell ref="F23:I24"/>
    <mergeCell ref="C21:E22"/>
    <mergeCell ref="F21:I22"/>
    <mergeCell ref="C25:E26"/>
    <mergeCell ref="F25:I26"/>
  </mergeCells>
  <pageMargins left="0.75" right="0.75" top="1" bottom="1" header="0.5" footer="0.5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6"/>
  <sheetViews>
    <sheetView workbookViewId="0">
      <pane xSplit="14" ySplit="4" topLeftCell="AE35" activePane="bottomRight" state="frozen"/>
      <selection/>
      <selection pane="topRight"/>
      <selection pane="bottomLeft"/>
      <selection pane="bottomRight" activeCell="M54" sqref="M54"/>
    </sheetView>
  </sheetViews>
  <sheetFormatPr defaultColWidth="9" defaultRowHeight="13.5"/>
  <cols>
    <col min="3" max="3" width="11.25" customWidth="1"/>
    <col min="4" max="4" width="10.125"/>
    <col min="8" max="8" width="10.125"/>
    <col min="9" max="9" width="15.875"/>
    <col min="10" max="10" width="12"/>
    <col min="11" max="11" width="11"/>
    <col min="12" max="12" width="15.875"/>
    <col min="13" max="13" width="17.25"/>
    <col min="14" max="14" width="11.25"/>
    <col min="15" max="15" width="17.25"/>
    <col min="16" max="16" width="14.75"/>
    <col min="17" max="17" width="11.125"/>
    <col min="18" max="18" width="12.5" customWidth="1"/>
    <col min="19" max="19" width="10.375"/>
    <col min="20" max="20" width="17.25"/>
    <col min="21" max="21" width="10.375"/>
    <col min="22" max="22" width="12.5"/>
    <col min="23" max="23" width="10.375"/>
    <col min="24" max="24" width="17.25"/>
    <col min="25" max="25" width="15.875"/>
    <col min="26" max="26" width="11.125"/>
    <col min="27" max="27" width="13.625"/>
    <col min="28" max="28" width="14.75"/>
    <col min="29" max="29" width="9.25"/>
    <col min="30" max="30" width="10.125"/>
    <col min="31" max="32" width="14.75"/>
  </cols>
  <sheetData>
    <row r="1" customFormat="1" ht="24" customHeight="1" spans="1:1">
      <c r="A1" s="86" t="s">
        <v>0</v>
      </c>
    </row>
    <row r="2" customFormat="1" ht="6" customHeight="1" spans="1:1">
      <c r="A2" s="86"/>
    </row>
    <row r="3" s="83" customFormat="1" ht="23" customHeight="1" spans="1:32">
      <c r="A3" s="87" t="s">
        <v>1</v>
      </c>
      <c r="B3" s="88" t="s">
        <v>2</v>
      </c>
      <c r="C3" s="89" t="s">
        <v>3</v>
      </c>
      <c r="D3" s="90" t="s">
        <v>4</v>
      </c>
      <c r="E3" s="91" t="s">
        <v>5</v>
      </c>
      <c r="F3" s="92" t="s">
        <v>6</v>
      </c>
      <c r="G3" s="92" t="s">
        <v>7</v>
      </c>
      <c r="H3" s="92" t="s">
        <v>8</v>
      </c>
      <c r="I3" s="92" t="s">
        <v>9</v>
      </c>
      <c r="J3" s="109" t="s">
        <v>10</v>
      </c>
      <c r="K3" s="110"/>
      <c r="L3" s="111"/>
      <c r="M3" s="110"/>
      <c r="N3" s="111"/>
      <c r="O3" s="112"/>
      <c r="P3" s="113"/>
      <c r="Q3" s="139" t="s">
        <v>11</v>
      </c>
      <c r="R3" s="140" t="s">
        <v>12</v>
      </c>
      <c r="S3" s="141"/>
      <c r="T3" s="142"/>
      <c r="U3" s="143"/>
      <c r="V3" s="144"/>
      <c r="W3" s="145" t="s">
        <v>13</v>
      </c>
      <c r="X3" s="146" t="s">
        <v>14</v>
      </c>
      <c r="Y3" s="161" t="s">
        <v>15</v>
      </c>
      <c r="Z3" s="161"/>
      <c r="AA3" s="161"/>
      <c r="AB3" s="161"/>
      <c r="AC3" s="162"/>
      <c r="AD3" s="161"/>
      <c r="AE3" s="163" t="s">
        <v>16</v>
      </c>
      <c r="AF3" s="164" t="s">
        <v>17</v>
      </c>
    </row>
    <row r="4" s="83" customFormat="1" ht="27" customHeight="1" spans="1:32">
      <c r="A4" s="93"/>
      <c r="B4" s="94"/>
      <c r="C4" s="89"/>
      <c r="D4" s="90"/>
      <c r="E4" s="95"/>
      <c r="F4" s="96"/>
      <c r="G4" s="96"/>
      <c r="H4" s="96"/>
      <c r="I4" s="96"/>
      <c r="J4" s="114" t="s">
        <v>18</v>
      </c>
      <c r="K4" s="115" t="s">
        <v>19</v>
      </c>
      <c r="L4" s="116" t="s">
        <v>20</v>
      </c>
      <c r="M4" s="115" t="s">
        <v>21</v>
      </c>
      <c r="N4" s="117" t="s">
        <v>22</v>
      </c>
      <c r="O4" s="118" t="s">
        <v>23</v>
      </c>
      <c r="P4" s="119" t="s">
        <v>24</v>
      </c>
      <c r="Q4" s="147"/>
      <c r="R4" s="148" t="s">
        <v>25</v>
      </c>
      <c r="S4" s="149" t="s">
        <v>26</v>
      </c>
      <c r="T4" s="150" t="s">
        <v>27</v>
      </c>
      <c r="U4" s="151" t="s">
        <v>28</v>
      </c>
      <c r="V4" s="150" t="s">
        <v>29</v>
      </c>
      <c r="W4" s="152"/>
      <c r="X4" s="153"/>
      <c r="Y4" s="165" t="s">
        <v>30</v>
      </c>
      <c r="Z4" s="165" t="s">
        <v>31</v>
      </c>
      <c r="AA4" s="165" t="s">
        <v>32</v>
      </c>
      <c r="AB4" s="166" t="s">
        <v>33</v>
      </c>
      <c r="AC4" s="167" t="s">
        <v>34</v>
      </c>
      <c r="AD4" s="168" t="s">
        <v>24</v>
      </c>
      <c r="AE4" s="169" t="s">
        <v>35</v>
      </c>
      <c r="AF4" s="170"/>
    </row>
    <row r="5" s="84" customFormat="1" ht="63.75" spans="1:32">
      <c r="A5" s="97" t="s">
        <v>128</v>
      </c>
      <c r="B5" s="98" t="s">
        <v>129</v>
      </c>
      <c r="C5" s="99">
        <v>240807000019</v>
      </c>
      <c r="D5" s="100">
        <v>45539</v>
      </c>
      <c r="E5" s="100" t="s">
        <v>130</v>
      </c>
      <c r="F5" s="98" t="s">
        <v>130</v>
      </c>
      <c r="G5" s="98" t="s">
        <v>131</v>
      </c>
      <c r="H5" s="98">
        <v>55.0796</v>
      </c>
      <c r="I5" s="98">
        <v>14200</v>
      </c>
      <c r="J5" s="182">
        <v>26216.12</v>
      </c>
      <c r="K5" s="124">
        <v>21550555</v>
      </c>
      <c r="L5" s="125"/>
      <c r="M5" s="123">
        <v>1560.26071248864</v>
      </c>
      <c r="N5" s="122">
        <v>13812.15</v>
      </c>
      <c r="O5" s="98">
        <v>7.24</v>
      </c>
      <c r="P5" s="120">
        <v>126216.086</v>
      </c>
      <c r="Q5" s="197">
        <v>192404.588775</v>
      </c>
      <c r="R5" s="198" t="s">
        <v>132</v>
      </c>
      <c r="S5" s="155">
        <v>41626.4077</v>
      </c>
      <c r="T5" s="155"/>
      <c r="U5" s="155">
        <v>1174.49147058824</v>
      </c>
      <c r="V5" s="155">
        <v>600</v>
      </c>
      <c r="W5" s="155">
        <v>1035.5</v>
      </c>
      <c r="X5" s="156">
        <v>44436.3991705882</v>
      </c>
      <c r="Y5" s="171">
        <v>8697.27943847059</v>
      </c>
      <c r="Z5" s="171">
        <v>1858.41</v>
      </c>
      <c r="AA5" s="171"/>
      <c r="AB5" s="171">
        <v>10555.6894384706</v>
      </c>
      <c r="AC5" s="121">
        <v>7.12</v>
      </c>
      <c r="AD5" s="155">
        <v>75156.5088019106</v>
      </c>
      <c r="AE5" s="155">
        <v>119592.907972499</v>
      </c>
      <c r="AF5" s="155">
        <v>6623.1780275012</v>
      </c>
    </row>
    <row r="6" s="84" customFormat="1" ht="12.75" spans="1:32">
      <c r="A6" s="97"/>
      <c r="B6" s="98"/>
      <c r="C6" s="99">
        <v>240827000023</v>
      </c>
      <c r="D6" s="100">
        <v>45539</v>
      </c>
      <c r="E6" s="100" t="s">
        <v>130</v>
      </c>
      <c r="F6" s="98" t="s">
        <v>130</v>
      </c>
      <c r="G6" s="98" t="s">
        <v>133</v>
      </c>
      <c r="H6" s="98">
        <v>3.027</v>
      </c>
      <c r="I6" s="98">
        <v>2480</v>
      </c>
      <c r="J6" s="120"/>
      <c r="K6" s="124">
        <v>1916044.9</v>
      </c>
      <c r="L6" s="125"/>
      <c r="M6" s="123">
        <v>1745</v>
      </c>
      <c r="N6" s="122">
        <v>1098.02</v>
      </c>
      <c r="O6" s="98">
        <v>7.12</v>
      </c>
      <c r="P6" s="120">
        <v>7817.9024</v>
      </c>
      <c r="Q6" s="154"/>
      <c r="R6" s="154"/>
      <c r="S6" s="155">
        <v>2287.65525</v>
      </c>
      <c r="T6" s="155"/>
      <c r="U6" s="155">
        <v>64.5463235294118</v>
      </c>
      <c r="V6" s="155"/>
      <c r="W6" s="155"/>
      <c r="X6" s="156">
        <v>2352.20157352941</v>
      </c>
      <c r="Y6" s="171">
        <v>477.974873823529</v>
      </c>
      <c r="Z6" s="171"/>
      <c r="AA6" s="171"/>
      <c r="AB6" s="171">
        <v>477.974873823529</v>
      </c>
      <c r="AC6" s="121">
        <v>7.12</v>
      </c>
      <c r="AD6" s="155">
        <v>3403.18110162353</v>
      </c>
      <c r="AE6" s="155">
        <v>5755.38267515294</v>
      </c>
      <c r="AF6" s="155">
        <v>2062.51972484706</v>
      </c>
    </row>
    <row r="7" s="84" customFormat="1" ht="12.75" spans="1:32">
      <c r="A7" s="97"/>
      <c r="B7" s="98"/>
      <c r="C7" s="99">
        <v>240830000003</v>
      </c>
      <c r="D7" s="100">
        <v>45539</v>
      </c>
      <c r="E7" s="100" t="s">
        <v>130</v>
      </c>
      <c r="F7" s="98" t="s">
        <v>130</v>
      </c>
      <c r="G7" s="98" t="s">
        <v>134</v>
      </c>
      <c r="H7" s="98">
        <v>0.1448</v>
      </c>
      <c r="I7" s="98">
        <v>20</v>
      </c>
      <c r="J7" s="182">
        <v>333.6</v>
      </c>
      <c r="K7" s="121"/>
      <c r="L7" s="125"/>
      <c r="M7" s="123"/>
      <c r="N7" s="125"/>
      <c r="O7" s="98"/>
      <c r="P7" s="120">
        <v>333.6</v>
      </c>
      <c r="Q7" s="154"/>
      <c r="R7" s="154"/>
      <c r="S7" s="155">
        <v>109.4326</v>
      </c>
      <c r="T7" s="155"/>
      <c r="U7" s="155">
        <v>3.08764705882353</v>
      </c>
      <c r="V7" s="155"/>
      <c r="W7" s="155"/>
      <c r="X7" s="156">
        <v>112.520247058824</v>
      </c>
      <c r="Y7" s="171">
        <v>22.8644736470588</v>
      </c>
      <c r="Z7" s="171">
        <v>5.9</v>
      </c>
      <c r="AA7" s="171"/>
      <c r="AB7" s="171">
        <v>28.7644736470588</v>
      </c>
      <c r="AC7" s="121">
        <v>7.12</v>
      </c>
      <c r="AD7" s="155">
        <v>204.803052367059</v>
      </c>
      <c r="AE7" s="155">
        <v>317.323299425882</v>
      </c>
      <c r="AF7" s="155">
        <v>16.276700574118</v>
      </c>
    </row>
    <row r="8" s="84" customFormat="1" ht="12.75" spans="1:32">
      <c r="A8" s="97"/>
      <c r="B8" s="98"/>
      <c r="C8" s="99">
        <v>240728000003</v>
      </c>
      <c r="D8" s="100">
        <v>45506</v>
      </c>
      <c r="E8" s="100" t="s">
        <v>130</v>
      </c>
      <c r="F8" s="98" t="s">
        <v>130</v>
      </c>
      <c r="G8" s="98" t="s">
        <v>131</v>
      </c>
      <c r="H8" s="98">
        <v>0.42</v>
      </c>
      <c r="I8" s="98">
        <v>160</v>
      </c>
      <c r="J8" s="182">
        <v>1132</v>
      </c>
      <c r="K8" s="121"/>
      <c r="L8" s="125"/>
      <c r="M8" s="123"/>
      <c r="N8" s="125"/>
      <c r="O8" s="98"/>
      <c r="P8" s="120">
        <v>1132</v>
      </c>
      <c r="Q8" s="154"/>
      <c r="R8" s="154"/>
      <c r="S8" s="155">
        <v>317.415</v>
      </c>
      <c r="T8" s="155"/>
      <c r="U8" s="155">
        <v>8.95588235294118</v>
      </c>
      <c r="V8" s="155"/>
      <c r="W8" s="155"/>
      <c r="X8" s="156">
        <v>326.370882352941</v>
      </c>
      <c r="Y8" s="171">
        <v>66.3196058823529</v>
      </c>
      <c r="Z8" s="171">
        <v>31.76</v>
      </c>
      <c r="AA8" s="171"/>
      <c r="AB8" s="171">
        <v>98.0796058823529</v>
      </c>
      <c r="AC8" s="121">
        <v>7.12</v>
      </c>
      <c r="AD8" s="155">
        <v>698.326793882353</v>
      </c>
      <c r="AE8" s="155">
        <v>1024.69767623529</v>
      </c>
      <c r="AF8" s="155">
        <v>107.30232376471</v>
      </c>
    </row>
    <row r="9" s="84" customFormat="1" ht="12.75" spans="1:32">
      <c r="A9" s="97"/>
      <c r="B9" s="98"/>
      <c r="C9" s="99">
        <v>240904000001</v>
      </c>
      <c r="D9" s="100">
        <v>45539</v>
      </c>
      <c r="E9" s="100" t="s">
        <v>130</v>
      </c>
      <c r="F9" s="98" t="s">
        <v>130</v>
      </c>
      <c r="G9" s="98" t="s">
        <v>135</v>
      </c>
      <c r="H9" s="98">
        <v>19.05</v>
      </c>
      <c r="I9" s="98">
        <v>2484</v>
      </c>
      <c r="J9" s="182">
        <v>25671.21</v>
      </c>
      <c r="K9" s="121"/>
      <c r="L9" s="125"/>
      <c r="M9" s="123"/>
      <c r="N9" s="122"/>
      <c r="O9" s="98"/>
      <c r="P9" s="120">
        <v>25671.21</v>
      </c>
      <c r="Q9" s="154"/>
      <c r="R9" s="154"/>
      <c r="S9" s="155">
        <v>14397.0375</v>
      </c>
      <c r="T9" s="155"/>
      <c r="U9" s="155">
        <v>406.213235294118</v>
      </c>
      <c r="V9" s="155"/>
      <c r="W9" s="155"/>
      <c r="X9" s="156">
        <v>14803.2507352941</v>
      </c>
      <c r="Y9" s="171">
        <v>3008.06783823529</v>
      </c>
      <c r="Z9" s="171"/>
      <c r="AA9" s="171"/>
      <c r="AB9" s="171">
        <v>3008.06783823529</v>
      </c>
      <c r="AC9" s="121">
        <v>7.12</v>
      </c>
      <c r="AD9" s="155">
        <v>21417.4430082353</v>
      </c>
      <c r="AE9" s="155">
        <v>36220.6937435294</v>
      </c>
      <c r="AF9" s="155">
        <v>-10549.4837435294</v>
      </c>
    </row>
    <row r="10" s="84" customFormat="1" ht="12.75" spans="1:32">
      <c r="A10" s="97"/>
      <c r="B10" s="98"/>
      <c r="C10" s="99">
        <v>240904000002</v>
      </c>
      <c r="D10" s="100">
        <v>45539</v>
      </c>
      <c r="E10" s="100" t="s">
        <v>130</v>
      </c>
      <c r="F10" s="98" t="s">
        <v>130</v>
      </c>
      <c r="G10" s="98" t="s">
        <v>135</v>
      </c>
      <c r="H10" s="98">
        <v>12.5</v>
      </c>
      <c r="I10" s="98">
        <v>19</v>
      </c>
      <c r="J10" s="182">
        <v>16844.63</v>
      </c>
      <c r="K10" s="121"/>
      <c r="L10" s="125"/>
      <c r="M10" s="123"/>
      <c r="N10" s="122"/>
      <c r="O10" s="98"/>
      <c r="P10" s="120">
        <v>16844.63</v>
      </c>
      <c r="Q10" s="154"/>
      <c r="R10" s="154"/>
      <c r="S10" s="155">
        <v>9446.875</v>
      </c>
      <c r="T10" s="155"/>
      <c r="U10" s="155">
        <v>266.544117647059</v>
      </c>
      <c r="V10" s="155"/>
      <c r="W10" s="155"/>
      <c r="X10" s="156">
        <v>9713.41911764706</v>
      </c>
      <c r="Y10" s="171">
        <v>1973.79779411765</v>
      </c>
      <c r="Z10" s="171"/>
      <c r="AA10" s="171"/>
      <c r="AB10" s="171">
        <v>1973.79779411765</v>
      </c>
      <c r="AC10" s="121">
        <v>7.12</v>
      </c>
      <c r="AD10" s="155">
        <v>14053.4402941176</v>
      </c>
      <c r="AE10" s="155">
        <v>23766.8594117647</v>
      </c>
      <c r="AF10" s="155">
        <v>-6922.2294117647</v>
      </c>
    </row>
    <row r="11" s="84" customFormat="1" ht="12.75" spans="1:32">
      <c r="A11" s="97"/>
      <c r="B11" s="98"/>
      <c r="C11" s="99">
        <v>240903000009</v>
      </c>
      <c r="D11" s="100">
        <v>45539</v>
      </c>
      <c r="E11" s="100" t="s">
        <v>130</v>
      </c>
      <c r="F11" s="98" t="s">
        <v>130</v>
      </c>
      <c r="G11" s="98" t="s">
        <v>136</v>
      </c>
      <c r="H11" s="98">
        <v>0.2574</v>
      </c>
      <c r="I11" s="98">
        <v>150</v>
      </c>
      <c r="J11" s="182">
        <v>630.11</v>
      </c>
      <c r="K11" s="121"/>
      <c r="L11" s="125"/>
      <c r="M11" s="123"/>
      <c r="N11" s="125"/>
      <c r="O11" s="98"/>
      <c r="P11" s="120">
        <v>630.11</v>
      </c>
      <c r="Q11" s="154"/>
      <c r="R11" s="154"/>
      <c r="S11" s="155">
        <v>190.207244117647</v>
      </c>
      <c r="T11" s="155">
        <v>0.441441</v>
      </c>
      <c r="U11" s="155">
        <v>6.62426470588235</v>
      </c>
      <c r="V11" s="155"/>
      <c r="W11" s="155"/>
      <c r="X11" s="156">
        <v>197.272949823529</v>
      </c>
      <c r="Y11" s="171">
        <v>40.6444441764706</v>
      </c>
      <c r="Z11" s="171"/>
      <c r="AA11" s="171">
        <v>0.267998823529412</v>
      </c>
      <c r="AB11" s="171">
        <v>40.912443</v>
      </c>
      <c r="AC11" s="121">
        <v>7.12</v>
      </c>
      <c r="AD11" s="155">
        <v>291.29659416</v>
      </c>
      <c r="AE11" s="155">
        <v>488.569543983529</v>
      </c>
      <c r="AF11" s="155">
        <v>141.540456016471</v>
      </c>
    </row>
    <row r="12" s="84" customFormat="1" ht="12.75" spans="1:32">
      <c r="A12" s="97"/>
      <c r="B12" s="98"/>
      <c r="C12" s="99">
        <v>240813000017</v>
      </c>
      <c r="D12" s="100">
        <v>45539</v>
      </c>
      <c r="E12" s="100" t="s">
        <v>130</v>
      </c>
      <c r="F12" s="98" t="s">
        <v>130</v>
      </c>
      <c r="G12" s="98" t="s">
        <v>137</v>
      </c>
      <c r="H12" s="98">
        <v>21.51</v>
      </c>
      <c r="I12" s="98">
        <v>13906</v>
      </c>
      <c r="J12" s="182">
        <v>59293</v>
      </c>
      <c r="K12" s="121"/>
      <c r="L12" s="125"/>
      <c r="M12" s="123"/>
      <c r="N12" s="125"/>
      <c r="O12" s="98"/>
      <c r="P12" s="120">
        <v>59293</v>
      </c>
      <c r="Q12" s="199"/>
      <c r="R12" s="199"/>
      <c r="S12" s="155">
        <v>15894.9410294118</v>
      </c>
      <c r="T12" s="155">
        <v>36.88965</v>
      </c>
      <c r="U12" s="155">
        <v>553.566176470588</v>
      </c>
      <c r="V12" s="155">
        <v>500</v>
      </c>
      <c r="W12" s="155"/>
      <c r="X12" s="156">
        <v>16985.3968558824</v>
      </c>
      <c r="Y12" s="171">
        <v>3396.51124411765</v>
      </c>
      <c r="Z12" s="171">
        <v>1415.93</v>
      </c>
      <c r="AA12" s="171">
        <v>22.3957058823529</v>
      </c>
      <c r="AB12" s="171">
        <v>4834.83695</v>
      </c>
      <c r="AC12" s="121">
        <v>7.12</v>
      </c>
      <c r="AD12" s="155">
        <v>34424.039084</v>
      </c>
      <c r="AE12" s="155">
        <v>51409.4359398824</v>
      </c>
      <c r="AF12" s="155">
        <v>7883.5640601176</v>
      </c>
    </row>
    <row r="13" s="84" customFormat="1" ht="12.75" spans="1:32">
      <c r="A13" s="97"/>
      <c r="B13" s="98"/>
      <c r="C13" s="99">
        <v>240828000061</v>
      </c>
      <c r="D13" s="100">
        <v>45539</v>
      </c>
      <c r="E13" s="100" t="s">
        <v>130</v>
      </c>
      <c r="F13" s="98" t="s">
        <v>130</v>
      </c>
      <c r="G13" s="98" t="s">
        <v>138</v>
      </c>
      <c r="H13" s="98">
        <v>2.6171</v>
      </c>
      <c r="I13" s="98">
        <v>719.5</v>
      </c>
      <c r="J13" s="182">
        <v>5838</v>
      </c>
      <c r="K13" s="121"/>
      <c r="L13" s="125"/>
      <c r="M13" s="123"/>
      <c r="N13" s="125"/>
      <c r="O13" s="98"/>
      <c r="P13" s="120">
        <v>5838</v>
      </c>
      <c r="Q13" s="199"/>
      <c r="R13" s="199"/>
      <c r="S13" s="155">
        <v>1933.92143970588</v>
      </c>
      <c r="T13" s="155">
        <v>4.4883265</v>
      </c>
      <c r="U13" s="155">
        <v>67.3518382352941</v>
      </c>
      <c r="V13" s="155"/>
      <c r="W13" s="155"/>
      <c r="X13" s="156">
        <v>2005.76160444118</v>
      </c>
      <c r="Y13" s="171">
        <v>413.250096558823</v>
      </c>
      <c r="Z13" s="171"/>
      <c r="AA13" s="171">
        <v>2.72486294117647</v>
      </c>
      <c r="AB13" s="171">
        <v>415.9749595</v>
      </c>
      <c r="AC13" s="121">
        <v>7.12</v>
      </c>
      <c r="AD13" s="155">
        <v>2961.74171164</v>
      </c>
      <c r="AE13" s="155">
        <v>4967.50331608118</v>
      </c>
      <c r="AF13" s="155">
        <v>870.49668391882</v>
      </c>
    </row>
    <row r="14" s="84" customFormat="1" ht="12.75" spans="1:32">
      <c r="A14" s="97"/>
      <c r="B14" s="98"/>
      <c r="C14" s="99">
        <v>240904000002</v>
      </c>
      <c r="D14" s="100">
        <v>45539</v>
      </c>
      <c r="E14" s="100" t="s">
        <v>130</v>
      </c>
      <c r="F14" s="98" t="s">
        <v>130</v>
      </c>
      <c r="G14" s="98" t="s">
        <v>135</v>
      </c>
      <c r="H14" s="98">
        <v>30.96</v>
      </c>
      <c r="I14" s="98">
        <v>3682.5</v>
      </c>
      <c r="J14" s="182">
        <v>48967.52</v>
      </c>
      <c r="K14" s="121"/>
      <c r="L14" s="125"/>
      <c r="M14" s="123"/>
      <c r="N14" s="122"/>
      <c r="O14" s="98"/>
      <c r="P14" s="120">
        <v>48967.52</v>
      </c>
      <c r="Q14" s="199"/>
      <c r="R14" s="199"/>
      <c r="S14" s="155">
        <v>22878.0741176471</v>
      </c>
      <c r="T14" s="155">
        <v>53.0964</v>
      </c>
      <c r="U14" s="155">
        <v>796.764705882353</v>
      </c>
      <c r="V14" s="155"/>
      <c r="W14" s="155"/>
      <c r="X14" s="156">
        <v>23727.9352235294</v>
      </c>
      <c r="Y14" s="171">
        <v>4888.70237647059</v>
      </c>
      <c r="Z14" s="171"/>
      <c r="AA14" s="171">
        <v>32.2348235294118</v>
      </c>
      <c r="AB14" s="171">
        <v>4920.9372</v>
      </c>
      <c r="AC14" s="121">
        <v>7.12</v>
      </c>
      <c r="AD14" s="155">
        <v>35037.072864</v>
      </c>
      <c r="AE14" s="155">
        <v>58765.0080875294</v>
      </c>
      <c r="AF14" s="155">
        <v>-9797.4880875294</v>
      </c>
    </row>
    <row r="15" s="84" customFormat="1" ht="63.75" spans="1:32">
      <c r="A15" s="97" t="s">
        <v>139</v>
      </c>
      <c r="B15" s="98" t="s">
        <v>140</v>
      </c>
      <c r="C15" s="99">
        <v>240726000055</v>
      </c>
      <c r="D15" s="100">
        <v>45547</v>
      </c>
      <c r="E15" s="100" t="s">
        <v>130</v>
      </c>
      <c r="F15" s="98" t="s">
        <v>130</v>
      </c>
      <c r="G15" s="98" t="s">
        <v>141</v>
      </c>
      <c r="H15" s="98">
        <v>5.09</v>
      </c>
      <c r="I15" s="98">
        <v>677</v>
      </c>
      <c r="J15" s="182">
        <v>13067</v>
      </c>
      <c r="K15" s="121"/>
      <c r="L15" s="125"/>
      <c r="M15" s="123"/>
      <c r="N15" s="125"/>
      <c r="O15" s="98"/>
      <c r="P15" s="120">
        <v>13067</v>
      </c>
      <c r="Q15" s="197">
        <v>64558.4281396</v>
      </c>
      <c r="R15" s="198" t="s">
        <v>142</v>
      </c>
      <c r="S15" s="155">
        <v>3348.77088235294</v>
      </c>
      <c r="T15" s="155"/>
      <c r="U15" s="155">
        <v>97.3088235294118</v>
      </c>
      <c r="V15" s="155"/>
      <c r="W15" s="155"/>
      <c r="X15" s="156">
        <v>3446.07970588235</v>
      </c>
      <c r="Y15" s="171">
        <v>803.730461764706</v>
      </c>
      <c r="Z15" s="171">
        <v>47.2</v>
      </c>
      <c r="AA15" s="171"/>
      <c r="AB15" s="171">
        <v>850.930461764706</v>
      </c>
      <c r="AC15" s="121">
        <v>7.12</v>
      </c>
      <c r="AD15" s="155">
        <v>6058.6248877647</v>
      </c>
      <c r="AE15" s="155">
        <v>9504.70459364706</v>
      </c>
      <c r="AF15" s="155">
        <v>3562.29540635294</v>
      </c>
    </row>
    <row r="16" s="84" customFormat="1" ht="12.75" spans="1:32">
      <c r="A16" s="97"/>
      <c r="B16" s="98"/>
      <c r="C16" s="99">
        <v>240813000017</v>
      </c>
      <c r="D16" s="100">
        <v>45547</v>
      </c>
      <c r="E16" s="100" t="s">
        <v>130</v>
      </c>
      <c r="F16" s="98" t="s">
        <v>130</v>
      </c>
      <c r="G16" s="98" t="s">
        <v>137</v>
      </c>
      <c r="H16" s="98">
        <v>2.1368</v>
      </c>
      <c r="I16" s="98">
        <v>256</v>
      </c>
      <c r="J16" s="182">
        <v>5889</v>
      </c>
      <c r="K16" s="121"/>
      <c r="L16" s="125"/>
      <c r="M16" s="123"/>
      <c r="N16" s="125"/>
      <c r="O16" s="98"/>
      <c r="P16" s="120">
        <v>5889</v>
      </c>
      <c r="Q16" s="154"/>
      <c r="R16" s="154"/>
      <c r="S16" s="155">
        <v>1405.82585882353</v>
      </c>
      <c r="T16" s="155"/>
      <c r="U16" s="155">
        <v>40.8505882352941</v>
      </c>
      <c r="V16" s="155"/>
      <c r="W16" s="155"/>
      <c r="X16" s="156">
        <v>1446.67644705882</v>
      </c>
      <c r="Y16" s="171">
        <v>337.408890117647</v>
      </c>
      <c r="Z16" s="171"/>
      <c r="AA16" s="171"/>
      <c r="AB16" s="171">
        <v>337.408890117647</v>
      </c>
      <c r="AC16" s="121">
        <v>7.12</v>
      </c>
      <c r="AD16" s="155">
        <v>2402.35129763765</v>
      </c>
      <c r="AE16" s="155">
        <v>3849.02774469647</v>
      </c>
      <c r="AF16" s="155">
        <v>2039.97225530353</v>
      </c>
    </row>
    <row r="17" s="84" customFormat="1" ht="12.75" spans="1:32">
      <c r="A17" s="97"/>
      <c r="B17" s="98"/>
      <c r="C17" s="99">
        <v>240828000061</v>
      </c>
      <c r="D17" s="100">
        <v>45539</v>
      </c>
      <c r="E17" s="100" t="s">
        <v>130</v>
      </c>
      <c r="F17" s="98" t="s">
        <v>130</v>
      </c>
      <c r="G17" s="98" t="s">
        <v>138</v>
      </c>
      <c r="H17" s="98">
        <v>5.2294</v>
      </c>
      <c r="I17" s="98">
        <v>555</v>
      </c>
      <c r="J17" s="182">
        <v>11683.3</v>
      </c>
      <c r="K17" s="121"/>
      <c r="L17" s="125"/>
      <c r="M17" s="123"/>
      <c r="N17" s="183"/>
      <c r="O17" s="98"/>
      <c r="P17" s="120">
        <v>11683.3</v>
      </c>
      <c r="Q17" s="199"/>
      <c r="R17" s="199"/>
      <c r="S17" s="155">
        <v>3440.48378235294</v>
      </c>
      <c r="T17" s="155"/>
      <c r="U17" s="155">
        <v>99.9738235294118</v>
      </c>
      <c r="V17" s="155"/>
      <c r="W17" s="155"/>
      <c r="X17" s="156">
        <v>3540.45760588235</v>
      </c>
      <c r="Y17" s="171">
        <v>825.742254764706</v>
      </c>
      <c r="Z17" s="171"/>
      <c r="AA17" s="171"/>
      <c r="AB17" s="171">
        <v>825.742254764706</v>
      </c>
      <c r="AC17" s="121">
        <v>7.12</v>
      </c>
      <c r="AD17" s="155">
        <v>5879.28485392471</v>
      </c>
      <c r="AE17" s="155">
        <v>9419.74245980706</v>
      </c>
      <c r="AF17" s="155">
        <v>2263.55754019294</v>
      </c>
    </row>
    <row r="18" s="84" customFormat="1" ht="12.75" spans="1:32">
      <c r="A18" s="97"/>
      <c r="B18" s="98"/>
      <c r="C18" s="99">
        <v>240908000020</v>
      </c>
      <c r="D18" s="100">
        <v>45547</v>
      </c>
      <c r="E18" s="100" t="s">
        <v>130</v>
      </c>
      <c r="F18" s="98" t="s">
        <v>130</v>
      </c>
      <c r="G18" s="98" t="s">
        <v>136</v>
      </c>
      <c r="H18" s="98">
        <v>0.164</v>
      </c>
      <c r="I18" s="98">
        <v>156</v>
      </c>
      <c r="J18" s="182">
        <v>569.4</v>
      </c>
      <c r="K18" s="121"/>
      <c r="L18" s="125"/>
      <c r="M18" s="123"/>
      <c r="N18" s="125"/>
      <c r="O18" s="98"/>
      <c r="P18" s="120">
        <v>569.4</v>
      </c>
      <c r="Q18" s="154"/>
      <c r="R18" s="154"/>
      <c r="S18" s="155">
        <v>107.897529411765</v>
      </c>
      <c r="T18" s="155"/>
      <c r="U18" s="155">
        <v>3.13529411764706</v>
      </c>
      <c r="V18" s="155"/>
      <c r="W18" s="155"/>
      <c r="X18" s="156">
        <v>111.032823529412</v>
      </c>
      <c r="Y18" s="171">
        <v>25.8962270588235</v>
      </c>
      <c r="Z18" s="171"/>
      <c r="AA18" s="171"/>
      <c r="AB18" s="171">
        <v>25.8962270588235</v>
      </c>
      <c r="AC18" s="121">
        <v>7.12</v>
      </c>
      <c r="AD18" s="155">
        <v>184.381136658824</v>
      </c>
      <c r="AE18" s="155">
        <v>295.413960188235</v>
      </c>
      <c r="AF18" s="155">
        <v>273.986039811765</v>
      </c>
    </row>
    <row r="19" s="84" customFormat="1" ht="12.75" spans="1:32">
      <c r="A19" s="97"/>
      <c r="B19" s="98"/>
      <c r="C19" s="99">
        <v>240728000003</v>
      </c>
      <c r="D19" s="100">
        <v>45506</v>
      </c>
      <c r="E19" s="100" t="s">
        <v>130</v>
      </c>
      <c r="F19" s="98" t="s">
        <v>130</v>
      </c>
      <c r="G19" s="98" t="s">
        <v>131</v>
      </c>
      <c r="H19" s="98">
        <v>0.145</v>
      </c>
      <c r="I19" s="98">
        <v>52</v>
      </c>
      <c r="J19" s="182">
        <v>396</v>
      </c>
      <c r="K19" s="121"/>
      <c r="L19" s="125"/>
      <c r="M19" s="123"/>
      <c r="N19" s="183"/>
      <c r="O19" s="98"/>
      <c r="P19" s="120">
        <v>396</v>
      </c>
      <c r="Q19" s="154"/>
      <c r="R19" s="154"/>
      <c r="S19" s="155">
        <v>95.3972058823529</v>
      </c>
      <c r="T19" s="155"/>
      <c r="U19" s="155">
        <v>2.77205882352941</v>
      </c>
      <c r="V19" s="155"/>
      <c r="W19" s="155"/>
      <c r="X19" s="156">
        <v>98.1692647058823</v>
      </c>
      <c r="Y19" s="171">
        <v>22.8960544117647</v>
      </c>
      <c r="Z19" s="171"/>
      <c r="AA19" s="171"/>
      <c r="AB19" s="171">
        <v>22.8960544117647</v>
      </c>
      <c r="AC19" s="121">
        <v>7.12</v>
      </c>
      <c r="AD19" s="155">
        <v>163.019907411765</v>
      </c>
      <c r="AE19" s="155">
        <v>261.189172117647</v>
      </c>
      <c r="AF19" s="155">
        <v>134.810827882353</v>
      </c>
    </row>
    <row r="20" s="84" customFormat="1" ht="12.75" spans="1:32">
      <c r="A20" s="97"/>
      <c r="B20" s="98"/>
      <c r="C20" s="99">
        <v>240812000053</v>
      </c>
      <c r="D20" s="174">
        <v>45518</v>
      </c>
      <c r="E20" s="100" t="s">
        <v>130</v>
      </c>
      <c r="F20" s="98" t="s">
        <v>130</v>
      </c>
      <c r="G20" s="98" t="s">
        <v>115</v>
      </c>
      <c r="H20" s="98">
        <v>1.2271</v>
      </c>
      <c r="I20" s="98">
        <v>166</v>
      </c>
      <c r="J20" s="182">
        <v>2491.03</v>
      </c>
      <c r="K20" s="184"/>
      <c r="L20" s="125"/>
      <c r="M20" s="123"/>
      <c r="N20" s="125"/>
      <c r="O20" s="98"/>
      <c r="P20" s="120">
        <v>2491.03</v>
      </c>
      <c r="Q20" s="154"/>
      <c r="R20" s="154"/>
      <c r="S20" s="120">
        <v>2324.7699357804</v>
      </c>
      <c r="T20" s="155">
        <v>39.1232798321389</v>
      </c>
      <c r="U20" s="155"/>
      <c r="V20" s="155"/>
      <c r="W20" s="155"/>
      <c r="X20" s="156">
        <v>2363.89321561254</v>
      </c>
      <c r="Y20" s="171"/>
      <c r="Z20" s="171"/>
      <c r="AA20" s="171">
        <v>9.20678892915861</v>
      </c>
      <c r="AB20" s="171">
        <v>9.20678892915861</v>
      </c>
      <c r="AC20" s="121">
        <v>7.12</v>
      </c>
      <c r="AD20" s="155">
        <v>65.5523371756093</v>
      </c>
      <c r="AE20" s="155">
        <v>2429.44555278815</v>
      </c>
      <c r="AF20" s="155">
        <v>61.5844472118501</v>
      </c>
    </row>
    <row r="21" s="84" customFormat="1" ht="12.75" spans="1:32">
      <c r="A21" s="97"/>
      <c r="B21" s="98"/>
      <c r="C21" s="99">
        <v>240813000031</v>
      </c>
      <c r="D21" s="174">
        <v>45518</v>
      </c>
      <c r="E21" s="100" t="s">
        <v>130</v>
      </c>
      <c r="F21" s="98" t="s">
        <v>130</v>
      </c>
      <c r="G21" s="98" t="s">
        <v>115</v>
      </c>
      <c r="H21" s="98">
        <v>2.3157</v>
      </c>
      <c r="I21" s="98">
        <v>122</v>
      </c>
      <c r="J21" s="182"/>
      <c r="K21" s="184"/>
      <c r="L21" s="125"/>
      <c r="M21" s="123">
        <v>0</v>
      </c>
      <c r="N21" s="125">
        <v>648.4</v>
      </c>
      <c r="O21" s="98">
        <v>7.08</v>
      </c>
      <c r="P21" s="120">
        <v>4590.672</v>
      </c>
      <c r="Q21" s="154"/>
      <c r="R21" s="154"/>
      <c r="S21" s="120">
        <v>4387.14835000136</v>
      </c>
      <c r="T21" s="155">
        <v>73.8308036079244</v>
      </c>
      <c r="U21" s="155"/>
      <c r="V21" s="155"/>
      <c r="W21" s="155"/>
      <c r="X21" s="156">
        <v>4460.97915360928</v>
      </c>
      <c r="Y21" s="171"/>
      <c r="Z21" s="171"/>
      <c r="AA21" s="171">
        <v>17.3744284273919</v>
      </c>
      <c r="AB21" s="171">
        <v>17.3744284273919</v>
      </c>
      <c r="AC21" s="121">
        <v>7.12</v>
      </c>
      <c r="AD21" s="155">
        <v>123.70593040303</v>
      </c>
      <c r="AE21" s="155">
        <v>4584.68508401231</v>
      </c>
      <c r="AF21" s="155">
        <v>5.98691598768528</v>
      </c>
    </row>
    <row r="22" s="84" customFormat="1" ht="12.75" spans="1:32">
      <c r="A22" s="97"/>
      <c r="B22" s="98"/>
      <c r="C22" s="99">
        <v>240814000030</v>
      </c>
      <c r="D22" s="174">
        <v>45518</v>
      </c>
      <c r="E22" s="100" t="s">
        <v>130</v>
      </c>
      <c r="F22" s="98" t="s">
        <v>130</v>
      </c>
      <c r="G22" s="98" t="s">
        <v>143</v>
      </c>
      <c r="H22" s="98">
        <v>1.5403</v>
      </c>
      <c r="I22" s="98">
        <v>189.9</v>
      </c>
      <c r="J22" s="182">
        <v>2643.36</v>
      </c>
      <c r="K22" s="184"/>
      <c r="L22" s="125"/>
      <c r="M22" s="123"/>
      <c r="N22" s="125"/>
      <c r="O22" s="98"/>
      <c r="P22" s="120">
        <v>2643.36</v>
      </c>
      <c r="Q22" s="199"/>
      <c r="R22" s="199"/>
      <c r="S22" s="120">
        <v>2918.13473399279</v>
      </c>
      <c r="T22" s="155">
        <v>49.1089462353871</v>
      </c>
      <c r="U22" s="155"/>
      <c r="V22" s="155"/>
      <c r="W22" s="155"/>
      <c r="X22" s="156">
        <v>2967.24368022818</v>
      </c>
      <c r="Y22" s="171"/>
      <c r="Z22" s="171"/>
      <c r="AA22" s="171">
        <v>11.5566921910056</v>
      </c>
      <c r="AB22" s="171">
        <v>11.5566921910056</v>
      </c>
      <c r="AC22" s="121">
        <v>7.12</v>
      </c>
      <c r="AD22" s="155">
        <v>82.28364839996</v>
      </c>
      <c r="AE22" s="155">
        <v>3049.52732862814</v>
      </c>
      <c r="AF22" s="155">
        <v>-406.16732862814</v>
      </c>
    </row>
    <row r="23" s="84" customFormat="1" ht="12.75" spans="1:32">
      <c r="A23" s="175" t="s">
        <v>144</v>
      </c>
      <c r="B23" s="176" t="s">
        <v>145</v>
      </c>
      <c r="C23" s="99">
        <v>240830000002</v>
      </c>
      <c r="D23" s="100">
        <v>45583</v>
      </c>
      <c r="E23" s="100" t="s">
        <v>130</v>
      </c>
      <c r="F23" s="176" t="s">
        <v>130</v>
      </c>
      <c r="G23" s="176" t="s">
        <v>146</v>
      </c>
      <c r="H23" s="176" t="s">
        <v>147</v>
      </c>
      <c r="I23" s="176"/>
      <c r="J23" s="120"/>
      <c r="K23" s="124">
        <v>18000000</v>
      </c>
      <c r="L23" s="125"/>
      <c r="M23" s="123">
        <v>1744.9909066585</v>
      </c>
      <c r="N23" s="122">
        <v>10315.24</v>
      </c>
      <c r="O23" s="98">
        <v>7.12</v>
      </c>
      <c r="P23" s="120">
        <v>73444.5088</v>
      </c>
      <c r="Q23" s="155">
        <v>73444.5088</v>
      </c>
      <c r="R23" s="155"/>
      <c r="S23" s="155"/>
      <c r="T23" s="155"/>
      <c r="U23" s="155"/>
      <c r="V23" s="155"/>
      <c r="W23" s="155"/>
      <c r="X23" s="156">
        <v>0</v>
      </c>
      <c r="Y23" s="171">
        <v>10324.48</v>
      </c>
      <c r="Z23" s="171"/>
      <c r="AA23" s="171"/>
      <c r="AB23" s="171">
        <v>10324.48</v>
      </c>
      <c r="AC23" s="121">
        <v>7.12</v>
      </c>
      <c r="AD23" s="155">
        <v>73510.2976</v>
      </c>
      <c r="AE23" s="155">
        <v>73510.2976</v>
      </c>
      <c r="AF23" s="155">
        <v>-65.7888000000094</v>
      </c>
    </row>
    <row r="24" s="84" customFormat="1" ht="12.75" spans="1:32">
      <c r="A24" s="97" t="s">
        <v>148</v>
      </c>
      <c r="B24" s="98" t="s">
        <v>149</v>
      </c>
      <c r="C24" s="99">
        <v>240830000001</v>
      </c>
      <c r="D24" s="100">
        <v>45583</v>
      </c>
      <c r="E24" s="100" t="s">
        <v>130</v>
      </c>
      <c r="F24" s="98" t="s">
        <v>130</v>
      </c>
      <c r="G24" s="98" t="s">
        <v>146</v>
      </c>
      <c r="H24" s="176" t="s">
        <v>147</v>
      </c>
      <c r="I24" s="176"/>
      <c r="J24" s="120"/>
      <c r="K24" s="124">
        <v>15200000</v>
      </c>
      <c r="L24" s="125"/>
      <c r="M24" s="123">
        <v>1710.99898814672</v>
      </c>
      <c r="N24" s="122">
        <v>8883.699</v>
      </c>
      <c r="O24" s="98">
        <v>7.12</v>
      </c>
      <c r="P24" s="120">
        <v>63251.93688</v>
      </c>
      <c r="Q24" s="155">
        <v>63251.93688</v>
      </c>
      <c r="R24" s="155"/>
      <c r="S24" s="155"/>
      <c r="T24" s="155"/>
      <c r="U24" s="155"/>
      <c r="V24" s="155"/>
      <c r="W24" s="155"/>
      <c r="X24" s="156">
        <v>0</v>
      </c>
      <c r="Y24" s="171">
        <v>7374.63</v>
      </c>
      <c r="Z24" s="171"/>
      <c r="AA24" s="171"/>
      <c r="AB24" s="171">
        <v>7374.63</v>
      </c>
      <c r="AC24" s="121">
        <v>7.12</v>
      </c>
      <c r="AD24" s="155">
        <v>52507.3656</v>
      </c>
      <c r="AE24" s="155">
        <v>52507.3656</v>
      </c>
      <c r="AF24" s="155">
        <v>10744.57128</v>
      </c>
    </row>
    <row r="25" s="84" customFormat="1" ht="12.75" spans="1:32">
      <c r="A25" s="97"/>
      <c r="B25" s="98"/>
      <c r="C25" s="99">
        <v>240828000061</v>
      </c>
      <c r="D25" s="100">
        <v>45554</v>
      </c>
      <c r="E25" s="100" t="s">
        <v>130</v>
      </c>
      <c r="F25" s="98" t="s">
        <v>130</v>
      </c>
      <c r="G25" s="98" t="s">
        <v>138</v>
      </c>
      <c r="H25" s="98">
        <v>8.526</v>
      </c>
      <c r="I25" s="98">
        <v>1229</v>
      </c>
      <c r="J25" s="182">
        <v>19021</v>
      </c>
      <c r="K25" s="121"/>
      <c r="L25" s="125"/>
      <c r="M25" s="123"/>
      <c r="N25" s="125"/>
      <c r="O25" s="98"/>
      <c r="P25" s="120">
        <v>19021</v>
      </c>
      <c r="Q25" s="154"/>
      <c r="R25" s="157"/>
      <c r="S25" s="155">
        <v>5720.31908823529</v>
      </c>
      <c r="T25" s="155"/>
      <c r="U25" s="155">
        <v>200.611764705882</v>
      </c>
      <c r="V25" s="155"/>
      <c r="W25" s="155"/>
      <c r="X25" s="156">
        <v>5920.93085294118</v>
      </c>
      <c r="Y25" s="171">
        <v>1346.28799941176</v>
      </c>
      <c r="Z25" s="171"/>
      <c r="AA25" s="171">
        <v>6.65780294117647</v>
      </c>
      <c r="AB25" s="171">
        <v>1352.94580235294</v>
      </c>
      <c r="AC25" s="121">
        <v>7.18</v>
      </c>
      <c r="AD25" s="155">
        <v>9714.15086089412</v>
      </c>
      <c r="AE25" s="155">
        <v>15635.0817138353</v>
      </c>
      <c r="AF25" s="155">
        <v>3385.9182861647</v>
      </c>
    </row>
    <row r="26" s="84" customFormat="1" ht="12.75" spans="1:32">
      <c r="A26" s="97"/>
      <c r="B26" s="98"/>
      <c r="C26" s="99">
        <v>240918000051</v>
      </c>
      <c r="D26" s="100">
        <v>45554</v>
      </c>
      <c r="E26" s="100" t="s">
        <v>130</v>
      </c>
      <c r="F26" s="98" t="s">
        <v>130</v>
      </c>
      <c r="G26" s="98" t="s">
        <v>135</v>
      </c>
      <c r="H26" s="98">
        <v>13.66</v>
      </c>
      <c r="I26" s="98">
        <v>2003</v>
      </c>
      <c r="J26" s="182">
        <v>21916.92</v>
      </c>
      <c r="K26" s="121"/>
      <c r="L26" s="125"/>
      <c r="M26" s="123"/>
      <c r="N26" s="122"/>
      <c r="O26" s="98"/>
      <c r="P26" s="120">
        <v>21916.92</v>
      </c>
      <c r="Q26" s="154"/>
      <c r="R26" s="157"/>
      <c r="S26" s="155">
        <v>9164.85558823529</v>
      </c>
      <c r="T26" s="155"/>
      <c r="U26" s="155">
        <v>321.411764705882</v>
      </c>
      <c r="V26" s="155"/>
      <c r="W26" s="155"/>
      <c r="X26" s="156">
        <v>9486.26735294118</v>
      </c>
      <c r="Y26" s="171">
        <v>2156.96622941176</v>
      </c>
      <c r="Z26" s="171"/>
      <c r="AA26" s="171">
        <v>10.6668529411765</v>
      </c>
      <c r="AB26" s="171">
        <v>2167.63308235294</v>
      </c>
      <c r="AC26" s="121">
        <v>7.18</v>
      </c>
      <c r="AD26" s="155">
        <v>15563.6055312941</v>
      </c>
      <c r="AE26" s="155">
        <v>25049.8728842353</v>
      </c>
      <c r="AF26" s="155">
        <v>-3132.9528842353</v>
      </c>
    </row>
    <row r="27" s="84" customFormat="1" ht="12.75" spans="1:32">
      <c r="A27" s="97"/>
      <c r="B27" s="98"/>
      <c r="C27" s="99">
        <v>240728000003</v>
      </c>
      <c r="D27" s="100">
        <v>45506</v>
      </c>
      <c r="E27" s="100" t="s">
        <v>130</v>
      </c>
      <c r="F27" s="98" t="s">
        <v>130</v>
      </c>
      <c r="G27" s="98" t="s">
        <v>131</v>
      </c>
      <c r="H27" s="98">
        <v>0.183</v>
      </c>
      <c r="I27" s="98">
        <v>74</v>
      </c>
      <c r="J27" s="182">
        <v>493</v>
      </c>
      <c r="K27" s="121"/>
      <c r="L27" s="125"/>
      <c r="M27" s="123"/>
      <c r="N27" s="183"/>
      <c r="O27" s="98"/>
      <c r="P27" s="120">
        <v>493</v>
      </c>
      <c r="Q27" s="154"/>
      <c r="R27" s="157"/>
      <c r="S27" s="155">
        <v>122.779544117647</v>
      </c>
      <c r="T27" s="155"/>
      <c r="U27" s="155">
        <v>4.30588235294118</v>
      </c>
      <c r="V27" s="155"/>
      <c r="W27" s="155"/>
      <c r="X27" s="156">
        <v>127.085426470588</v>
      </c>
      <c r="Y27" s="171">
        <v>28.8963997058823</v>
      </c>
      <c r="Z27" s="171"/>
      <c r="AA27" s="171">
        <v>0.142901470588235</v>
      </c>
      <c r="AB27" s="171">
        <v>29.0393011764706</v>
      </c>
      <c r="AC27" s="121">
        <v>7.18</v>
      </c>
      <c r="AD27" s="155">
        <v>208.502182447059</v>
      </c>
      <c r="AE27" s="155">
        <v>335.587608917647</v>
      </c>
      <c r="AF27" s="155">
        <v>157.412391082353</v>
      </c>
    </row>
    <row r="28" s="84" customFormat="1" ht="12.75" spans="1:32">
      <c r="A28" s="177"/>
      <c r="B28" s="177"/>
      <c r="C28" s="99">
        <v>240906000023</v>
      </c>
      <c r="D28" s="100">
        <v>45559</v>
      </c>
      <c r="E28" s="100" t="s">
        <v>130</v>
      </c>
      <c r="F28" s="98" t="s">
        <v>130</v>
      </c>
      <c r="G28" s="98" t="s">
        <v>150</v>
      </c>
      <c r="H28" s="98">
        <v>10.189</v>
      </c>
      <c r="I28" s="98">
        <v>4334</v>
      </c>
      <c r="J28" s="120">
        <v>20928</v>
      </c>
      <c r="K28" s="121"/>
      <c r="L28" s="125"/>
      <c r="M28" s="123"/>
      <c r="N28" s="125"/>
      <c r="O28" s="98"/>
      <c r="P28" s="120">
        <v>20928</v>
      </c>
      <c r="Q28" s="154"/>
      <c r="R28" s="157"/>
      <c r="S28" s="155">
        <v>6408.53637205882</v>
      </c>
      <c r="T28" s="155"/>
      <c r="U28" s="155">
        <v>224.757352941176</v>
      </c>
      <c r="V28" s="155"/>
      <c r="W28" s="155"/>
      <c r="X28" s="156">
        <v>6633.293725</v>
      </c>
      <c r="Y28" s="171">
        <v>1608.88205794118</v>
      </c>
      <c r="Z28" s="171"/>
      <c r="AA28" s="171">
        <v>7.95641029411765</v>
      </c>
      <c r="AB28" s="171">
        <v>1616.83846823529</v>
      </c>
      <c r="AC28" s="121">
        <v>7.18</v>
      </c>
      <c r="AD28" s="155">
        <v>11608.9002019294</v>
      </c>
      <c r="AE28" s="155">
        <v>18242.1939269294</v>
      </c>
      <c r="AF28" s="155">
        <v>2685.8060730706</v>
      </c>
    </row>
    <row r="29" s="84" customFormat="1" ht="12.75" spans="1:32">
      <c r="A29" s="177"/>
      <c r="B29" s="177"/>
      <c r="C29" s="99">
        <v>240924000002</v>
      </c>
      <c r="D29" s="100">
        <v>45559</v>
      </c>
      <c r="E29" s="100" t="s">
        <v>130</v>
      </c>
      <c r="F29" s="98" t="s">
        <v>130</v>
      </c>
      <c r="G29" s="98" t="s">
        <v>115</v>
      </c>
      <c r="H29" s="98">
        <v>2.1628</v>
      </c>
      <c r="I29" s="98">
        <v>650</v>
      </c>
      <c r="J29" s="182">
        <v>4123.95</v>
      </c>
      <c r="K29" s="121"/>
      <c r="L29" s="125"/>
      <c r="M29" s="123"/>
      <c r="N29" s="125"/>
      <c r="O29" s="98"/>
      <c r="P29" s="120">
        <v>4123.95</v>
      </c>
      <c r="Q29" s="154"/>
      <c r="R29" s="157"/>
      <c r="S29" s="155">
        <v>1360.32804647059</v>
      </c>
      <c r="T29" s="155"/>
      <c r="U29" s="155">
        <v>47.7088235294118</v>
      </c>
      <c r="V29" s="155"/>
      <c r="W29" s="155"/>
      <c r="X29" s="156">
        <v>1408.03687</v>
      </c>
      <c r="Y29" s="171">
        <v>341.514389529412</v>
      </c>
      <c r="Z29" s="171"/>
      <c r="AA29" s="171">
        <v>1.68889235294118</v>
      </c>
      <c r="AB29" s="171">
        <v>343.203281882353</v>
      </c>
      <c r="AC29" s="121">
        <v>7.18</v>
      </c>
      <c r="AD29" s="155">
        <v>2464.19956391529</v>
      </c>
      <c r="AE29" s="155">
        <v>3872.23643391529</v>
      </c>
      <c r="AF29" s="155">
        <v>251.71356608471</v>
      </c>
    </row>
    <row r="30" s="84" customFormat="1" ht="12.75" spans="1:32">
      <c r="A30" s="177"/>
      <c r="B30" s="177"/>
      <c r="C30" s="99">
        <v>240924000003</v>
      </c>
      <c r="D30" s="100">
        <v>45559</v>
      </c>
      <c r="E30" s="100" t="s">
        <v>130</v>
      </c>
      <c r="F30" s="98" t="s">
        <v>130</v>
      </c>
      <c r="G30" s="98" t="s">
        <v>115</v>
      </c>
      <c r="H30" s="98">
        <v>7.5034</v>
      </c>
      <c r="I30" s="98">
        <v>1232</v>
      </c>
      <c r="J30" s="182">
        <v>14307.08</v>
      </c>
      <c r="K30" s="121"/>
      <c r="L30" s="125"/>
      <c r="M30" s="123"/>
      <c r="N30" s="125"/>
      <c r="O30" s="98"/>
      <c r="P30" s="120">
        <v>14307.08</v>
      </c>
      <c r="Q30" s="154"/>
      <c r="R30" s="157"/>
      <c r="S30" s="155">
        <v>4719.38480852941</v>
      </c>
      <c r="T30" s="155"/>
      <c r="U30" s="155">
        <v>165.516176470588</v>
      </c>
      <c r="V30" s="155"/>
      <c r="W30" s="155"/>
      <c r="X30" s="156">
        <v>4884.900985</v>
      </c>
      <c r="Y30" s="171">
        <v>1184.81554947059</v>
      </c>
      <c r="Z30" s="171"/>
      <c r="AA30" s="171">
        <v>5.85927264705882</v>
      </c>
      <c r="AB30" s="171">
        <v>1190.67482211765</v>
      </c>
      <c r="AC30" s="121">
        <v>7.18</v>
      </c>
      <c r="AD30" s="155">
        <v>8549.0452228047</v>
      </c>
      <c r="AE30" s="155">
        <v>13433.9462078047</v>
      </c>
      <c r="AF30" s="155">
        <v>873.1337921953</v>
      </c>
    </row>
    <row r="31" s="84" customFormat="1" ht="12.75" spans="1:32">
      <c r="A31" s="177"/>
      <c r="B31" s="177"/>
      <c r="C31" s="99">
        <v>240924000004</v>
      </c>
      <c r="D31" s="100">
        <v>45559</v>
      </c>
      <c r="E31" s="100" t="s">
        <v>130</v>
      </c>
      <c r="F31" s="98" t="s">
        <v>130</v>
      </c>
      <c r="G31" s="98" t="s">
        <v>115</v>
      </c>
      <c r="H31" s="98">
        <v>0.1491</v>
      </c>
      <c r="I31" s="98">
        <v>143</v>
      </c>
      <c r="J31" s="182">
        <v>284.49</v>
      </c>
      <c r="K31" s="121"/>
      <c r="L31" s="125"/>
      <c r="M31" s="123"/>
      <c r="N31" s="125"/>
      <c r="O31" s="98"/>
      <c r="P31" s="120">
        <v>284.49</v>
      </c>
      <c r="Q31" s="154"/>
      <c r="R31" s="157"/>
      <c r="S31" s="155">
        <v>93.7788569117647</v>
      </c>
      <c r="T31" s="155"/>
      <c r="U31" s="155">
        <v>3.28897058823529</v>
      </c>
      <c r="V31" s="155"/>
      <c r="W31" s="155"/>
      <c r="X31" s="156">
        <v>97.0678275</v>
      </c>
      <c r="Y31" s="171">
        <v>23.5434600882353</v>
      </c>
      <c r="Z31" s="171"/>
      <c r="AA31" s="171">
        <v>0.116429558823529</v>
      </c>
      <c r="AB31" s="171">
        <v>23.6598896470588</v>
      </c>
      <c r="AC31" s="121">
        <v>7.18</v>
      </c>
      <c r="AD31" s="155">
        <v>169.878007665882</v>
      </c>
      <c r="AE31" s="155">
        <v>266.945835165882</v>
      </c>
      <c r="AF31" s="155">
        <v>17.544164834118</v>
      </c>
    </row>
    <row r="32" s="84" customFormat="1" ht="12.75" spans="1:32">
      <c r="A32" s="177"/>
      <c r="B32" s="177"/>
      <c r="C32" s="99">
        <v>240924000005</v>
      </c>
      <c r="D32" s="100">
        <v>45559</v>
      </c>
      <c r="E32" s="100" t="s">
        <v>130</v>
      </c>
      <c r="F32" s="98" t="s">
        <v>130</v>
      </c>
      <c r="G32" s="98" t="s">
        <v>115</v>
      </c>
      <c r="H32" s="178">
        <v>0.817</v>
      </c>
      <c r="I32" s="176">
        <v>358</v>
      </c>
      <c r="J32" s="182">
        <v>1558.03</v>
      </c>
      <c r="K32" s="121"/>
      <c r="L32" s="125"/>
      <c r="M32" s="123"/>
      <c r="N32" s="125"/>
      <c r="O32" s="98"/>
      <c r="P32" s="120">
        <v>1558.03</v>
      </c>
      <c r="Q32" s="154"/>
      <c r="R32" s="157"/>
      <c r="S32" s="155">
        <v>513.865366176471</v>
      </c>
      <c r="T32" s="155"/>
      <c r="U32" s="155">
        <v>18.0220588235294</v>
      </c>
      <c r="V32" s="155"/>
      <c r="W32" s="155"/>
      <c r="X32" s="156">
        <v>531.887425</v>
      </c>
      <c r="Y32" s="171">
        <v>129.007423823529</v>
      </c>
      <c r="Z32" s="171"/>
      <c r="AA32" s="171">
        <v>0.637980882352941</v>
      </c>
      <c r="AB32" s="171">
        <v>129.645404705882</v>
      </c>
      <c r="AC32" s="121">
        <v>7.18</v>
      </c>
      <c r="AD32" s="155">
        <v>930.854005788235</v>
      </c>
      <c r="AE32" s="155">
        <v>1462.74143078823</v>
      </c>
      <c r="AF32" s="155">
        <v>95.28856921177</v>
      </c>
    </row>
    <row r="33" s="84" customFormat="1" ht="12.75" spans="1:32">
      <c r="A33" s="177"/>
      <c r="B33" s="177"/>
      <c r="C33" s="99">
        <v>240924000006</v>
      </c>
      <c r="D33" s="100">
        <v>45559</v>
      </c>
      <c r="E33" s="100" t="s">
        <v>130</v>
      </c>
      <c r="F33" s="98" t="s">
        <v>130</v>
      </c>
      <c r="G33" s="98" t="s">
        <v>115</v>
      </c>
      <c r="H33" s="98">
        <v>4.261</v>
      </c>
      <c r="I33" s="98">
        <v>638</v>
      </c>
      <c r="J33" s="182">
        <v>8122.76</v>
      </c>
      <c r="K33" s="121"/>
      <c r="L33" s="125"/>
      <c r="M33" s="123"/>
      <c r="N33" s="125"/>
      <c r="O33" s="98"/>
      <c r="P33" s="120">
        <v>8122.76</v>
      </c>
      <c r="Q33" s="154"/>
      <c r="R33" s="157"/>
      <c r="S33" s="155">
        <v>2680.02487794118</v>
      </c>
      <c r="T33" s="155"/>
      <c r="U33" s="155">
        <v>93.9926470588235</v>
      </c>
      <c r="V33" s="155"/>
      <c r="W33" s="155"/>
      <c r="X33" s="156">
        <v>2774.017525</v>
      </c>
      <c r="Y33" s="171">
        <v>672.828192058823</v>
      </c>
      <c r="Z33" s="171"/>
      <c r="AA33" s="171">
        <v>3.32733970588235</v>
      </c>
      <c r="AB33" s="171">
        <v>676.155531764706</v>
      </c>
      <c r="AC33" s="121">
        <v>7.18</v>
      </c>
      <c r="AD33" s="155">
        <v>4854.79671807059</v>
      </c>
      <c r="AE33" s="155">
        <v>7628.81424307059</v>
      </c>
      <c r="AF33" s="155">
        <v>493.94575692941</v>
      </c>
    </row>
    <row r="34" s="84" customFormat="1" ht="12.75" spans="1:32">
      <c r="A34" s="177"/>
      <c r="B34" s="177"/>
      <c r="C34" s="99">
        <v>240924000007</v>
      </c>
      <c r="D34" s="100">
        <v>45559</v>
      </c>
      <c r="E34" s="100" t="s">
        <v>130</v>
      </c>
      <c r="F34" s="98" t="s">
        <v>130</v>
      </c>
      <c r="G34" s="98" t="s">
        <v>115</v>
      </c>
      <c r="H34" s="98">
        <v>3.099</v>
      </c>
      <c r="I34" s="98">
        <v>438</v>
      </c>
      <c r="J34" s="182">
        <v>5908.61</v>
      </c>
      <c r="K34" s="121"/>
      <c r="L34" s="125"/>
      <c r="M34" s="123"/>
      <c r="N34" s="125"/>
      <c r="O34" s="98"/>
      <c r="P34" s="120">
        <v>5908.61</v>
      </c>
      <c r="Q34" s="154"/>
      <c r="R34" s="157"/>
      <c r="S34" s="155">
        <v>1949.16618088235</v>
      </c>
      <c r="T34" s="155"/>
      <c r="U34" s="155">
        <v>68.3602941176471</v>
      </c>
      <c r="V34" s="155"/>
      <c r="W34" s="155"/>
      <c r="X34" s="156">
        <v>2017.526475</v>
      </c>
      <c r="Y34" s="171">
        <v>489.343949117647</v>
      </c>
      <c r="Z34" s="171"/>
      <c r="AA34" s="171">
        <v>2.41995441176471</v>
      </c>
      <c r="AB34" s="171">
        <v>491.763903529412</v>
      </c>
      <c r="AC34" s="121">
        <v>7.18</v>
      </c>
      <c r="AD34" s="155">
        <v>3530.86482734118</v>
      </c>
      <c r="AE34" s="155">
        <v>5548.39130234118</v>
      </c>
      <c r="AF34" s="155">
        <v>360.21869765882</v>
      </c>
    </row>
    <row r="35" s="84" customFormat="1" ht="12.75" spans="1:32">
      <c r="A35" s="97"/>
      <c r="B35" s="98"/>
      <c r="C35" s="99">
        <v>240912000064</v>
      </c>
      <c r="D35" s="100">
        <v>45560</v>
      </c>
      <c r="E35" s="100" t="s">
        <v>130</v>
      </c>
      <c r="F35" s="98" t="s">
        <v>130</v>
      </c>
      <c r="G35" s="98" t="s">
        <v>151</v>
      </c>
      <c r="H35" s="98">
        <v>5.0147</v>
      </c>
      <c r="I35" s="98">
        <v>766</v>
      </c>
      <c r="J35" s="182">
        <v>10109.64</v>
      </c>
      <c r="K35" s="121"/>
      <c r="L35" s="125"/>
      <c r="M35" s="123"/>
      <c r="N35" s="125"/>
      <c r="O35" s="98"/>
      <c r="P35" s="120">
        <v>10109.64</v>
      </c>
      <c r="Q35" s="154"/>
      <c r="R35" s="154"/>
      <c r="S35" s="155">
        <v>3093.11120735294</v>
      </c>
      <c r="T35" s="155"/>
      <c r="U35" s="155">
        <v>95.8692647058824</v>
      </c>
      <c r="V35" s="155"/>
      <c r="W35" s="155"/>
      <c r="X35" s="156">
        <v>3188.98047205882</v>
      </c>
      <c r="Y35" s="171">
        <v>791.840303852941</v>
      </c>
      <c r="Z35" s="171"/>
      <c r="AA35" s="171">
        <v>3.91589073529412</v>
      </c>
      <c r="AB35" s="171">
        <v>795.756194588235</v>
      </c>
      <c r="AC35" s="121">
        <v>7.18</v>
      </c>
      <c r="AD35" s="155">
        <v>5713.52947714353</v>
      </c>
      <c r="AE35" s="155">
        <v>8902.50994920235</v>
      </c>
      <c r="AF35" s="155">
        <v>1207.13005079765</v>
      </c>
    </row>
    <row r="36" s="84" customFormat="1" ht="12.75" spans="1:32">
      <c r="A36" s="97"/>
      <c r="B36" s="98"/>
      <c r="C36" s="99">
        <v>240924000002</v>
      </c>
      <c r="D36" s="100">
        <v>45560</v>
      </c>
      <c r="E36" s="100" t="s">
        <v>130</v>
      </c>
      <c r="F36" s="98" t="s">
        <v>130</v>
      </c>
      <c r="G36" s="98" t="s">
        <v>115</v>
      </c>
      <c r="H36" s="98">
        <v>1.6316</v>
      </c>
      <c r="I36" s="98">
        <v>279.5</v>
      </c>
      <c r="J36" s="182">
        <v>2779.87</v>
      </c>
      <c r="K36" s="121"/>
      <c r="L36" s="125"/>
      <c r="M36" s="123"/>
      <c r="N36" s="125"/>
      <c r="O36" s="98"/>
      <c r="P36" s="120">
        <v>2779.87</v>
      </c>
      <c r="Q36" s="154"/>
      <c r="R36" s="154"/>
      <c r="S36" s="155">
        <v>1006.38527647059</v>
      </c>
      <c r="T36" s="155"/>
      <c r="U36" s="155">
        <v>31.1923529411765</v>
      </c>
      <c r="V36" s="155"/>
      <c r="W36" s="155"/>
      <c r="X36" s="156">
        <v>1037.57762941176</v>
      </c>
      <c r="Y36" s="171">
        <v>257.635878470588</v>
      </c>
      <c r="Z36" s="171"/>
      <c r="AA36" s="171">
        <v>1.27408764705882</v>
      </c>
      <c r="AB36" s="171">
        <v>258.909966117647</v>
      </c>
      <c r="AC36" s="121">
        <v>7.18</v>
      </c>
      <c r="AD36" s="155">
        <v>1858.97355672471</v>
      </c>
      <c r="AE36" s="155">
        <v>2896.55118613647</v>
      </c>
      <c r="AF36" s="155">
        <v>-116.68118613647</v>
      </c>
    </row>
    <row r="37" s="84" customFormat="1" ht="12.75" spans="1:32">
      <c r="A37" s="97"/>
      <c r="B37" s="98"/>
      <c r="C37" s="99">
        <v>240924000001</v>
      </c>
      <c r="D37" s="100">
        <v>45560</v>
      </c>
      <c r="E37" s="100" t="s">
        <v>130</v>
      </c>
      <c r="F37" s="98" t="s">
        <v>130</v>
      </c>
      <c r="G37" s="98" t="s">
        <v>115</v>
      </c>
      <c r="H37" s="98">
        <v>29.32</v>
      </c>
      <c r="I37" s="98">
        <v>1291</v>
      </c>
      <c r="J37" s="182">
        <v>49953.95</v>
      </c>
      <c r="K37" s="121"/>
      <c r="L37" s="125"/>
      <c r="M37" s="123"/>
      <c r="N37" s="125"/>
      <c r="O37" s="98"/>
      <c r="P37" s="120">
        <v>49953.95</v>
      </c>
      <c r="Q37" s="154"/>
      <c r="R37" s="154"/>
      <c r="S37" s="155">
        <v>18084.8347058824</v>
      </c>
      <c r="T37" s="155"/>
      <c r="U37" s="155">
        <v>560.529411764706</v>
      </c>
      <c r="V37" s="155"/>
      <c r="W37" s="155"/>
      <c r="X37" s="156">
        <v>18645.3641176471</v>
      </c>
      <c r="Y37" s="171">
        <v>4629.74010588235</v>
      </c>
      <c r="Z37" s="171"/>
      <c r="AA37" s="171">
        <v>22.8954705882353</v>
      </c>
      <c r="AB37" s="171">
        <v>4652.63557647059</v>
      </c>
      <c r="AC37" s="121">
        <v>7.18</v>
      </c>
      <c r="AD37" s="155">
        <v>33405.9234390588</v>
      </c>
      <c r="AE37" s="155">
        <v>52051.2875567059</v>
      </c>
      <c r="AF37" s="155">
        <v>-2097.3375567059</v>
      </c>
    </row>
    <row r="38" s="84" customFormat="1" ht="12.75" spans="1:32">
      <c r="A38" s="97"/>
      <c r="B38" s="98"/>
      <c r="C38" s="99">
        <v>240924000008</v>
      </c>
      <c r="D38" s="100">
        <v>45560</v>
      </c>
      <c r="E38" s="100" t="s">
        <v>130</v>
      </c>
      <c r="F38" s="98" t="s">
        <v>130</v>
      </c>
      <c r="G38" s="98" t="s">
        <v>115</v>
      </c>
      <c r="H38" s="98">
        <v>6.42</v>
      </c>
      <c r="I38" s="98">
        <v>1637</v>
      </c>
      <c r="J38" s="182">
        <v>11242.58</v>
      </c>
      <c r="K38" s="121"/>
      <c r="L38" s="125"/>
      <c r="M38" s="123"/>
      <c r="N38" s="125"/>
      <c r="O38" s="98"/>
      <c r="P38" s="120">
        <v>11242.58</v>
      </c>
      <c r="Q38" s="154"/>
      <c r="R38" s="154"/>
      <c r="S38" s="155">
        <v>3959.91264705882</v>
      </c>
      <c r="T38" s="155"/>
      <c r="U38" s="155">
        <v>122.735294117647</v>
      </c>
      <c r="V38" s="155"/>
      <c r="W38" s="155"/>
      <c r="X38" s="156">
        <v>4082.64794117647</v>
      </c>
      <c r="Y38" s="171">
        <v>1013.74254705882</v>
      </c>
      <c r="Z38" s="171"/>
      <c r="AA38" s="171">
        <v>5.01326470588235</v>
      </c>
      <c r="AB38" s="171">
        <v>1018.75581176471</v>
      </c>
      <c r="AC38" s="121">
        <v>7.18</v>
      </c>
      <c r="AD38" s="155">
        <v>7314.66672847059</v>
      </c>
      <c r="AE38" s="155">
        <v>11397.3146696471</v>
      </c>
      <c r="AF38" s="155">
        <v>-154.7346696471</v>
      </c>
    </row>
    <row r="39" s="84" customFormat="1" ht="12.75" spans="1:32">
      <c r="A39" s="97"/>
      <c r="B39" s="98"/>
      <c r="C39" s="99">
        <v>240924000028</v>
      </c>
      <c r="D39" s="100">
        <v>45560</v>
      </c>
      <c r="E39" s="100" t="s">
        <v>130</v>
      </c>
      <c r="F39" s="98" t="s">
        <v>130</v>
      </c>
      <c r="G39" s="98" t="s">
        <v>152</v>
      </c>
      <c r="H39" s="98">
        <v>15.66</v>
      </c>
      <c r="I39" s="98">
        <v>10000</v>
      </c>
      <c r="J39" s="120"/>
      <c r="K39" s="124">
        <v>8627642.1</v>
      </c>
      <c r="L39" s="125"/>
      <c r="M39" s="123">
        <v>1749</v>
      </c>
      <c r="N39" s="122">
        <v>4932.9</v>
      </c>
      <c r="O39" s="98">
        <v>7.08</v>
      </c>
      <c r="P39" s="120">
        <v>34924.932</v>
      </c>
      <c r="Q39" s="199"/>
      <c r="R39" s="199"/>
      <c r="S39" s="155">
        <v>9659.22617647059</v>
      </c>
      <c r="T39" s="155"/>
      <c r="U39" s="155">
        <v>299.382352941176</v>
      </c>
      <c r="V39" s="155"/>
      <c r="W39" s="155"/>
      <c r="X39" s="156">
        <v>9958.60852941176</v>
      </c>
      <c r="Y39" s="171">
        <v>2472.77387647059</v>
      </c>
      <c r="Z39" s="171"/>
      <c r="AA39" s="171">
        <v>12.2286176470588</v>
      </c>
      <c r="AB39" s="171">
        <v>2485.00249411765</v>
      </c>
      <c r="AC39" s="121">
        <v>7.18</v>
      </c>
      <c r="AD39" s="155">
        <v>17842.3179077647</v>
      </c>
      <c r="AE39" s="155">
        <v>27800.9264371765</v>
      </c>
      <c r="AF39" s="155">
        <v>7124.00556282354</v>
      </c>
    </row>
    <row r="40" s="84" customFormat="1" ht="63.75" spans="1:32">
      <c r="A40" s="179" t="s">
        <v>153</v>
      </c>
      <c r="B40" s="180" t="s">
        <v>154</v>
      </c>
      <c r="C40" s="99">
        <v>241018000035</v>
      </c>
      <c r="D40" s="100">
        <v>45551</v>
      </c>
      <c r="E40" s="100" t="s">
        <v>130</v>
      </c>
      <c r="F40" s="180" t="s">
        <v>130</v>
      </c>
      <c r="G40" s="180" t="s">
        <v>141</v>
      </c>
      <c r="H40" s="181">
        <v>68</v>
      </c>
      <c r="I40" s="181"/>
      <c r="J40" s="182">
        <v>51892</v>
      </c>
      <c r="K40" s="185">
        <v>21300000</v>
      </c>
      <c r="L40" s="186" t="s">
        <v>75</v>
      </c>
      <c r="M40" s="123">
        <v>1745.0005325119</v>
      </c>
      <c r="N40" s="122">
        <v>12206.3</v>
      </c>
      <c r="O40" s="98">
        <v>7.12</v>
      </c>
      <c r="P40" s="120">
        <v>138800.856</v>
      </c>
      <c r="Q40" s="155">
        <v>138800.856</v>
      </c>
      <c r="R40" s="200" t="s">
        <v>155</v>
      </c>
      <c r="S40" s="155">
        <v>45476</v>
      </c>
      <c r="T40" s="155"/>
      <c r="U40" s="155"/>
      <c r="V40" s="155"/>
      <c r="W40" s="155"/>
      <c r="X40" s="155">
        <v>45476</v>
      </c>
      <c r="Y40" s="171">
        <v>10888.25</v>
      </c>
      <c r="Z40" s="171"/>
      <c r="AA40" s="171"/>
      <c r="AB40" s="171">
        <v>10888.25</v>
      </c>
      <c r="AC40" s="121">
        <v>7.12</v>
      </c>
      <c r="AD40" s="155">
        <v>77524.34</v>
      </c>
      <c r="AE40" s="155">
        <v>123000.34</v>
      </c>
      <c r="AF40" s="155">
        <v>15800.516</v>
      </c>
    </row>
    <row r="41" customFormat="1" spans="1:32">
      <c r="A41" s="82" t="s">
        <v>87</v>
      </c>
      <c r="B41" s="101"/>
      <c r="C41" s="101"/>
      <c r="D41" s="101"/>
      <c r="E41" s="101"/>
      <c r="F41" s="101"/>
      <c r="G41" s="101"/>
      <c r="H41" s="101">
        <f>SUM(H5:H40)</f>
        <v>340.0108</v>
      </c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58"/>
      <c r="T41" s="101"/>
      <c r="U41" s="101"/>
      <c r="V41" s="159"/>
      <c r="W41" s="160"/>
      <c r="X41" s="160"/>
      <c r="Y41" s="160"/>
      <c r="Z41" s="160"/>
      <c r="AA41" s="172"/>
      <c r="AB41" s="173"/>
      <c r="AC41" s="173"/>
      <c r="AD41" s="173"/>
      <c r="AE41" s="173"/>
      <c r="AF41" s="173">
        <f>SUM(AF5:AF40)</f>
        <v>36001.4119321596</v>
      </c>
    </row>
    <row r="42" s="85" customFormat="1" ht="26" customHeight="1" spans="1:25">
      <c r="A42" s="102"/>
      <c r="B42" s="103"/>
      <c r="D42" s="104"/>
      <c r="E42" s="104"/>
      <c r="Y42" s="201"/>
    </row>
    <row r="43" s="1" customFormat="1" ht="23" customHeight="1" spans="3:16">
      <c r="C43" s="70" t="s">
        <v>53</v>
      </c>
      <c r="D43" s="70"/>
      <c r="E43" s="70"/>
      <c r="F43" s="105" t="s">
        <v>54</v>
      </c>
      <c r="G43" s="106"/>
      <c r="H43" s="106"/>
      <c r="I43" s="126"/>
      <c r="J43"/>
      <c r="K43" s="127" t="s">
        <v>156</v>
      </c>
      <c r="L43" s="128"/>
      <c r="M43" s="129"/>
      <c r="N43" s="85"/>
      <c r="O43"/>
      <c r="P43"/>
    </row>
    <row r="44" s="1" customFormat="1" ht="23" customHeight="1" spans="3:16">
      <c r="C44" s="70"/>
      <c r="D44" s="70"/>
      <c r="E44" s="70"/>
      <c r="F44" s="107"/>
      <c r="G44" s="108"/>
      <c r="H44" s="108"/>
      <c r="I44" s="130"/>
      <c r="J44"/>
      <c r="K44" s="131" t="s">
        <v>56</v>
      </c>
      <c r="L44" s="131" t="s">
        <v>8</v>
      </c>
      <c r="M44" s="131" t="s">
        <v>57</v>
      </c>
      <c r="N44"/>
      <c r="O44"/>
      <c r="P44"/>
    </row>
    <row r="45" s="1" customFormat="1" ht="23" customHeight="1" spans="3:16">
      <c r="C45" s="70" t="s">
        <v>58</v>
      </c>
      <c r="D45" s="70"/>
      <c r="E45" s="70"/>
      <c r="F45" s="76" t="s">
        <v>59</v>
      </c>
      <c r="G45" s="77"/>
      <c r="H45" s="77"/>
      <c r="I45" s="78"/>
      <c r="J45"/>
      <c r="K45" s="131" t="s">
        <v>60</v>
      </c>
      <c r="L45" s="132">
        <f>SUM(H41)</f>
        <v>340.0108</v>
      </c>
      <c r="M45" s="133">
        <f>SUM(AF41)</f>
        <v>36001.4119321596</v>
      </c>
      <c r="N45"/>
      <c r="O45"/>
      <c r="P45"/>
    </row>
    <row r="46" s="1" customFormat="1" ht="23" customHeight="1" spans="3:16">
      <c r="C46" s="70"/>
      <c r="D46" s="70"/>
      <c r="E46" s="70"/>
      <c r="F46" s="79"/>
      <c r="G46" s="80"/>
      <c r="H46" s="80"/>
      <c r="I46" s="81"/>
      <c r="J46"/>
      <c r="K46" s="187" t="s">
        <v>157</v>
      </c>
      <c r="L46" s="188"/>
      <c r="M46" s="189">
        <v>6000</v>
      </c>
      <c r="N46"/>
      <c r="O46"/>
      <c r="P46"/>
    </row>
    <row r="47" s="1" customFormat="1" ht="23" customHeight="1" spans="3:16">
      <c r="C47" s="70" t="s">
        <v>62</v>
      </c>
      <c r="D47" s="70"/>
      <c r="E47" s="70"/>
      <c r="F47" s="76" t="s">
        <v>63</v>
      </c>
      <c r="G47" s="77"/>
      <c r="H47" s="77"/>
      <c r="I47" s="78"/>
      <c r="J47"/>
      <c r="K47" s="187" t="s">
        <v>64</v>
      </c>
      <c r="L47" s="188"/>
      <c r="M47" s="189">
        <f>SUM(M45-M46)</f>
        <v>30001.4119321596</v>
      </c>
      <c r="N47"/>
      <c r="O47"/>
      <c r="P47"/>
    </row>
    <row r="48" s="1" customFormat="1" ht="23" customHeight="1" spans="3:16">
      <c r="C48" s="70"/>
      <c r="D48" s="70"/>
      <c r="E48" s="70"/>
      <c r="F48" s="79"/>
      <c r="G48" s="80"/>
      <c r="H48" s="80"/>
      <c r="I48" s="81"/>
      <c r="J48"/>
      <c r="K48" s="190" t="s">
        <v>61</v>
      </c>
      <c r="L48" s="191"/>
      <c r="M48" s="192">
        <v>35000</v>
      </c>
      <c r="N48"/>
      <c r="O48"/>
      <c r="P48"/>
    </row>
    <row r="49" s="1" customFormat="1" ht="23" customHeight="1" spans="5:16">
      <c r="E49"/>
      <c r="F49"/>
      <c r="G49"/>
      <c r="H49"/>
      <c r="I49"/>
      <c r="J49"/>
      <c r="K49" s="190" t="s">
        <v>158</v>
      </c>
      <c r="L49" s="191"/>
      <c r="M49" s="190">
        <v>0.4</v>
      </c>
      <c r="N49"/>
      <c r="O49"/>
      <c r="P49"/>
    </row>
    <row r="50" s="1" customFormat="1" ht="23" customHeight="1" spans="5:16">
      <c r="E50"/>
      <c r="F50"/>
      <c r="G50"/>
      <c r="H50"/>
      <c r="I50"/>
      <c r="J50"/>
      <c r="K50" s="190" t="s">
        <v>66</v>
      </c>
      <c r="L50" s="191"/>
      <c r="M50" s="192">
        <f>SUM(M48*M49)</f>
        <v>14000</v>
      </c>
      <c r="N50"/>
      <c r="O50"/>
      <c r="P50"/>
    </row>
    <row r="51" s="1" customFormat="1" ht="23" customHeight="1" spans="5:16">
      <c r="E51"/>
      <c r="F51"/>
      <c r="G51"/>
      <c r="H51"/>
      <c r="I51"/>
      <c r="J51"/>
      <c r="K51" s="193" t="s">
        <v>159</v>
      </c>
      <c r="L51" s="194"/>
      <c r="M51" s="195"/>
      <c r="N51"/>
      <c r="O51"/>
      <c r="P51"/>
    </row>
    <row r="52" s="1" customFormat="1" ht="23" customHeight="1" spans="5:16">
      <c r="E52"/>
      <c r="F52"/>
      <c r="G52"/>
      <c r="H52"/>
      <c r="I52"/>
      <c r="J52"/>
      <c r="K52" s="193" t="s">
        <v>160</v>
      </c>
      <c r="L52" s="194"/>
      <c r="M52" s="193"/>
      <c r="N52"/>
      <c r="O52"/>
      <c r="P52"/>
    </row>
    <row r="53" s="1" customFormat="1" ht="23" customHeight="1" spans="5:19">
      <c r="E53"/>
      <c r="F53"/>
      <c r="G53"/>
      <c r="H53"/>
      <c r="I53"/>
      <c r="J53"/>
      <c r="K53" s="193" t="s">
        <v>66</v>
      </c>
      <c r="L53" s="194"/>
      <c r="M53" s="195"/>
      <c r="N53" s="138"/>
      <c r="O53" s="138"/>
      <c r="P53" s="138"/>
      <c r="Q53"/>
      <c r="R53"/>
      <c r="S53" s="35"/>
    </row>
    <row r="54" s="1" customFormat="1" ht="23" customHeight="1" spans="5:19">
      <c r="E54"/>
      <c r="F54"/>
      <c r="G54"/>
      <c r="H54"/>
      <c r="I54"/>
      <c r="J54"/>
      <c r="K54" s="134" t="s">
        <v>161</v>
      </c>
      <c r="L54" s="196"/>
      <c r="M54" s="135">
        <f>SUM(M50+M53)</f>
        <v>14000</v>
      </c>
      <c r="N54"/>
      <c r="O54"/>
      <c r="P54"/>
      <c r="Q54"/>
      <c r="S54" s="35"/>
    </row>
    <row r="55" ht="22" customHeight="1" spans="11:13">
      <c r="K55" s="138"/>
      <c r="L55" s="138"/>
      <c r="M55" s="1"/>
    </row>
    <row r="56" ht="22" customHeight="1" spans="11:13">
      <c r="K56" s="138"/>
      <c r="L56" s="138"/>
      <c r="M56" s="1"/>
    </row>
  </sheetData>
  <mergeCells count="23">
    <mergeCell ref="J3:P3"/>
    <mergeCell ref="R3:V3"/>
    <mergeCell ref="Y3:AD3"/>
    <mergeCell ref="K43:M4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43:E44"/>
    <mergeCell ref="C45:E46"/>
    <mergeCell ref="F45:I46"/>
    <mergeCell ref="C47:E48"/>
    <mergeCell ref="F47:I48"/>
    <mergeCell ref="F43:I44"/>
  </mergeCells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4"/>
  <sheetViews>
    <sheetView workbookViewId="0">
      <pane xSplit="14" ySplit="4" topLeftCell="AE5" activePane="bottomRight" state="frozen"/>
      <selection/>
      <selection pane="topRight"/>
      <selection pane="bottomLeft"/>
      <selection pane="bottomRight" activeCell="M13" sqref="M13"/>
    </sheetView>
  </sheetViews>
  <sheetFormatPr defaultColWidth="9" defaultRowHeight="13.5"/>
  <cols>
    <col min="3" max="3" width="11.25" customWidth="1"/>
    <col min="4" max="4" width="10.125"/>
    <col min="8" max="8" width="10.125"/>
    <col min="9" max="9" width="15.875"/>
    <col min="10" max="10" width="12"/>
    <col min="11" max="11" width="11"/>
    <col min="12" max="12" width="15.875"/>
    <col min="13" max="13" width="17.25"/>
    <col min="14" max="14" width="11.25"/>
    <col min="15" max="15" width="17.25"/>
    <col min="16" max="16" width="14.75"/>
    <col min="17" max="17" width="11.125"/>
    <col min="18" max="18" width="12.5" customWidth="1"/>
    <col min="19" max="19" width="10.375"/>
    <col min="20" max="20" width="17.25"/>
    <col min="21" max="21" width="10.375"/>
    <col min="22" max="22" width="12.5"/>
    <col min="23" max="23" width="10.375"/>
    <col min="24" max="24" width="17.25"/>
    <col min="25" max="25" width="15.875"/>
    <col min="26" max="26" width="11.125"/>
    <col min="27" max="27" width="13.625"/>
    <col min="28" max="28" width="14.75"/>
    <col min="29" max="29" width="9.25"/>
    <col min="30" max="30" width="10.125"/>
    <col min="31" max="32" width="14.75"/>
  </cols>
  <sheetData>
    <row r="1" customFormat="1" ht="24" customHeight="1" spans="1:1">
      <c r="A1" s="86" t="s">
        <v>0</v>
      </c>
    </row>
    <row r="2" customFormat="1" ht="6" customHeight="1" spans="1:1">
      <c r="A2" s="86"/>
    </row>
    <row r="3" s="83" customFormat="1" ht="23" customHeight="1" spans="1:32">
      <c r="A3" s="87" t="s">
        <v>1</v>
      </c>
      <c r="B3" s="88" t="s">
        <v>2</v>
      </c>
      <c r="C3" s="89" t="s">
        <v>3</v>
      </c>
      <c r="D3" s="90" t="s">
        <v>4</v>
      </c>
      <c r="E3" s="91" t="s">
        <v>5</v>
      </c>
      <c r="F3" s="92" t="s">
        <v>6</v>
      </c>
      <c r="G3" s="92" t="s">
        <v>7</v>
      </c>
      <c r="H3" s="92" t="s">
        <v>8</v>
      </c>
      <c r="I3" s="92" t="s">
        <v>9</v>
      </c>
      <c r="J3" s="109" t="s">
        <v>10</v>
      </c>
      <c r="K3" s="110"/>
      <c r="L3" s="111"/>
      <c r="M3" s="110"/>
      <c r="N3" s="111"/>
      <c r="O3" s="112"/>
      <c r="P3" s="113"/>
      <c r="Q3" s="139" t="s">
        <v>11</v>
      </c>
      <c r="R3" s="140" t="s">
        <v>12</v>
      </c>
      <c r="S3" s="141"/>
      <c r="T3" s="142"/>
      <c r="U3" s="143"/>
      <c r="V3" s="144"/>
      <c r="W3" s="145" t="s">
        <v>13</v>
      </c>
      <c r="X3" s="146" t="s">
        <v>14</v>
      </c>
      <c r="Y3" s="161" t="s">
        <v>15</v>
      </c>
      <c r="Z3" s="161"/>
      <c r="AA3" s="161"/>
      <c r="AB3" s="161"/>
      <c r="AC3" s="162"/>
      <c r="AD3" s="161"/>
      <c r="AE3" s="163" t="s">
        <v>16</v>
      </c>
      <c r="AF3" s="164" t="s">
        <v>17</v>
      </c>
    </row>
    <row r="4" s="83" customFormat="1" ht="27" customHeight="1" spans="1:32">
      <c r="A4" s="93"/>
      <c r="B4" s="94"/>
      <c r="C4" s="89"/>
      <c r="D4" s="90"/>
      <c r="E4" s="95"/>
      <c r="F4" s="96"/>
      <c r="G4" s="96"/>
      <c r="H4" s="96"/>
      <c r="I4" s="96"/>
      <c r="J4" s="114" t="s">
        <v>18</v>
      </c>
      <c r="K4" s="115" t="s">
        <v>19</v>
      </c>
      <c r="L4" s="116" t="s">
        <v>20</v>
      </c>
      <c r="M4" s="115" t="s">
        <v>21</v>
      </c>
      <c r="N4" s="117" t="s">
        <v>22</v>
      </c>
      <c r="O4" s="118" t="s">
        <v>23</v>
      </c>
      <c r="P4" s="119" t="s">
        <v>24</v>
      </c>
      <c r="Q4" s="147"/>
      <c r="R4" s="148" t="s">
        <v>25</v>
      </c>
      <c r="S4" s="149" t="s">
        <v>26</v>
      </c>
      <c r="T4" s="150" t="s">
        <v>27</v>
      </c>
      <c r="U4" s="151" t="s">
        <v>28</v>
      </c>
      <c r="V4" s="150" t="s">
        <v>29</v>
      </c>
      <c r="W4" s="152"/>
      <c r="X4" s="153"/>
      <c r="Y4" s="165" t="s">
        <v>30</v>
      </c>
      <c r="Z4" s="165" t="s">
        <v>31</v>
      </c>
      <c r="AA4" s="165" t="s">
        <v>32</v>
      </c>
      <c r="AB4" s="166" t="s">
        <v>33</v>
      </c>
      <c r="AC4" s="167" t="s">
        <v>34</v>
      </c>
      <c r="AD4" s="168" t="s">
        <v>24</v>
      </c>
      <c r="AE4" s="169" t="s">
        <v>35</v>
      </c>
      <c r="AF4" s="170"/>
    </row>
    <row r="5" s="84" customFormat="1" ht="12.75" spans="1:32">
      <c r="A5" s="97"/>
      <c r="B5" s="98"/>
      <c r="C5" s="99">
        <v>240830000048</v>
      </c>
      <c r="D5" s="100">
        <v>45539</v>
      </c>
      <c r="E5" s="100" t="s">
        <v>162</v>
      </c>
      <c r="F5" s="98" t="s">
        <v>163</v>
      </c>
      <c r="G5" s="98" t="s">
        <v>164</v>
      </c>
      <c r="H5" s="98">
        <v>2.146</v>
      </c>
      <c r="I5" s="98">
        <v>268</v>
      </c>
      <c r="J5" s="120"/>
      <c r="K5" s="121"/>
      <c r="L5" s="122">
        <v>640.17</v>
      </c>
      <c r="M5" s="123">
        <v>0</v>
      </c>
      <c r="N5" s="122">
        <v>640.17</v>
      </c>
      <c r="O5" s="98">
        <v>7.3</v>
      </c>
      <c r="P5" s="120">
        <v>4673.241</v>
      </c>
      <c r="Q5" s="154"/>
      <c r="R5" s="154"/>
      <c r="S5" s="155">
        <v>1621.8395</v>
      </c>
      <c r="T5" s="155"/>
      <c r="U5" s="155">
        <v>45.7602941176471</v>
      </c>
      <c r="V5" s="155"/>
      <c r="W5" s="155"/>
      <c r="X5" s="156">
        <v>1667.59979411765</v>
      </c>
      <c r="Y5" s="171">
        <v>338.861605294118</v>
      </c>
      <c r="Z5" s="171"/>
      <c r="AA5" s="171"/>
      <c r="AB5" s="171">
        <v>338.861605294118</v>
      </c>
      <c r="AC5" s="121">
        <v>7.12</v>
      </c>
      <c r="AD5" s="155">
        <v>2412.69462969412</v>
      </c>
      <c r="AE5" s="155">
        <v>4080.29442381176</v>
      </c>
      <c r="AF5" s="155">
        <v>592.946576188236</v>
      </c>
    </row>
    <row r="6" s="84" customFormat="1" ht="12.75" spans="1:32">
      <c r="A6" s="97"/>
      <c r="B6" s="98"/>
      <c r="C6" s="99">
        <v>240906000030</v>
      </c>
      <c r="D6" s="100">
        <v>45547</v>
      </c>
      <c r="E6" s="100" t="s">
        <v>162</v>
      </c>
      <c r="F6" s="98" t="s">
        <v>163</v>
      </c>
      <c r="G6" s="98" t="s">
        <v>164</v>
      </c>
      <c r="H6" s="98">
        <v>1.934</v>
      </c>
      <c r="I6" s="98">
        <v>395</v>
      </c>
      <c r="J6" s="120"/>
      <c r="K6" s="121"/>
      <c r="L6" s="122">
        <v>580.5</v>
      </c>
      <c r="M6" s="123">
        <v>0</v>
      </c>
      <c r="N6" s="122">
        <v>580.5</v>
      </c>
      <c r="O6" s="98">
        <v>7.08</v>
      </c>
      <c r="P6" s="120">
        <v>4109.94</v>
      </c>
      <c r="Q6" s="154"/>
      <c r="R6" s="154"/>
      <c r="S6" s="155">
        <v>1272.40135294118</v>
      </c>
      <c r="T6" s="155"/>
      <c r="U6" s="155">
        <v>36.9735294117647</v>
      </c>
      <c r="V6" s="155"/>
      <c r="W6" s="155"/>
      <c r="X6" s="156">
        <v>1309.37488235294</v>
      </c>
      <c r="Y6" s="171">
        <v>305.385994705882</v>
      </c>
      <c r="Z6" s="171"/>
      <c r="AA6" s="171"/>
      <c r="AB6" s="171">
        <v>305.385994705882</v>
      </c>
      <c r="AC6" s="121">
        <v>7.12</v>
      </c>
      <c r="AD6" s="155">
        <v>2174.34828230588</v>
      </c>
      <c r="AE6" s="155">
        <v>3483.72316465882</v>
      </c>
      <c r="AF6" s="155">
        <v>626.216835341176</v>
      </c>
    </row>
    <row r="7" s="84" customFormat="1" ht="12.75" spans="1:32">
      <c r="A7" s="97"/>
      <c r="B7" s="98"/>
      <c r="C7" s="99">
        <v>240909000050</v>
      </c>
      <c r="D7" s="100">
        <v>45554</v>
      </c>
      <c r="E7" s="100" t="s">
        <v>162</v>
      </c>
      <c r="F7" s="98" t="s">
        <v>163</v>
      </c>
      <c r="G7" s="98" t="s">
        <v>164</v>
      </c>
      <c r="H7" s="98">
        <v>0.0321</v>
      </c>
      <c r="I7" s="98">
        <v>3.5</v>
      </c>
      <c r="J7" s="120"/>
      <c r="K7" s="121"/>
      <c r="L7" s="122">
        <v>8.99</v>
      </c>
      <c r="M7" s="123">
        <v>0</v>
      </c>
      <c r="N7" s="122">
        <v>8.990002</v>
      </c>
      <c r="O7" s="98">
        <v>7.08</v>
      </c>
      <c r="P7" s="120">
        <v>63.64921416</v>
      </c>
      <c r="Q7" s="154"/>
      <c r="R7" s="157"/>
      <c r="S7" s="155">
        <v>21.5367397058824</v>
      </c>
      <c r="T7" s="155"/>
      <c r="U7" s="155">
        <v>0.755294117647059</v>
      </c>
      <c r="V7" s="155"/>
      <c r="W7" s="155"/>
      <c r="X7" s="156">
        <v>22.2920338235294</v>
      </c>
      <c r="Y7" s="171">
        <v>5.06871273529412</v>
      </c>
      <c r="Z7" s="171"/>
      <c r="AA7" s="171">
        <v>0.0250663235294118</v>
      </c>
      <c r="AB7" s="171">
        <v>5.09377905882353</v>
      </c>
      <c r="AC7" s="121">
        <v>7.18</v>
      </c>
      <c r="AD7" s="155">
        <v>36.5733336423529</v>
      </c>
      <c r="AE7" s="155">
        <v>58.8653674658823</v>
      </c>
      <c r="AF7" s="155">
        <v>4.78384669411766</v>
      </c>
    </row>
    <row r="8" s="84" customFormat="1" ht="12.75" spans="1:32">
      <c r="A8" s="97"/>
      <c r="B8" s="98"/>
      <c r="C8" s="99">
        <v>240917000018</v>
      </c>
      <c r="D8" s="100">
        <v>45554</v>
      </c>
      <c r="E8" s="100" t="s">
        <v>162</v>
      </c>
      <c r="F8" s="98" t="s">
        <v>165</v>
      </c>
      <c r="G8" s="98" t="s">
        <v>166</v>
      </c>
      <c r="H8" s="98">
        <v>0.1378</v>
      </c>
      <c r="I8" s="98">
        <v>49</v>
      </c>
      <c r="J8" s="120"/>
      <c r="K8" s="124">
        <v>77059.2</v>
      </c>
      <c r="L8" s="125"/>
      <c r="M8" s="123">
        <v>1744.99984193842</v>
      </c>
      <c r="N8" s="122">
        <v>44.160004</v>
      </c>
      <c r="O8" s="98">
        <v>7.08</v>
      </c>
      <c r="P8" s="120">
        <v>312.65282832</v>
      </c>
      <c r="Q8" s="154"/>
      <c r="R8" s="157"/>
      <c r="S8" s="155">
        <v>92.4536676470588</v>
      </c>
      <c r="T8" s="155"/>
      <c r="U8" s="155">
        <v>3.24235294117647</v>
      </c>
      <c r="V8" s="155"/>
      <c r="W8" s="155"/>
      <c r="X8" s="156">
        <v>95.6960205882353</v>
      </c>
      <c r="Y8" s="171">
        <v>21.7591468823529</v>
      </c>
      <c r="Z8" s="171"/>
      <c r="AA8" s="171">
        <v>0.107605588235294</v>
      </c>
      <c r="AB8" s="171">
        <v>21.8667524705882</v>
      </c>
      <c r="AC8" s="121">
        <v>7.18</v>
      </c>
      <c r="AD8" s="155">
        <v>157.003282738823</v>
      </c>
      <c r="AE8" s="155">
        <v>252.699303327059</v>
      </c>
      <c r="AF8" s="155">
        <v>59.9535249929413</v>
      </c>
    </row>
    <row r="9" customFormat="1" spans="1:32">
      <c r="A9" s="82" t="s">
        <v>87</v>
      </c>
      <c r="B9" s="101"/>
      <c r="C9" s="101"/>
      <c r="D9" s="101"/>
      <c r="E9" s="101"/>
      <c r="F9" s="101"/>
      <c r="G9" s="101"/>
      <c r="H9" s="101">
        <f>SUM(H5:H8)</f>
        <v>4.2499</v>
      </c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58"/>
      <c r="T9" s="101"/>
      <c r="U9" s="101"/>
      <c r="V9" s="159"/>
      <c r="W9" s="160"/>
      <c r="X9" s="160"/>
      <c r="Y9" s="160"/>
      <c r="Z9" s="160"/>
      <c r="AA9" s="172"/>
      <c r="AB9" s="173"/>
      <c r="AC9" s="173"/>
      <c r="AD9" s="173"/>
      <c r="AE9" s="173"/>
      <c r="AF9" s="173">
        <f>SUM(AF5:AF8)</f>
        <v>1283.90078321647</v>
      </c>
    </row>
    <row r="10" s="85" customFormat="1" ht="26" customHeight="1" spans="1:5">
      <c r="A10" s="102"/>
      <c r="B10" s="103"/>
      <c r="D10" s="104"/>
      <c r="E10" s="104"/>
    </row>
    <row r="11" s="1" customFormat="1" ht="23" customHeight="1" spans="3:16">
      <c r="C11" s="70" t="s">
        <v>53</v>
      </c>
      <c r="D11" s="70"/>
      <c r="E11" s="70"/>
      <c r="F11" s="105" t="s">
        <v>54</v>
      </c>
      <c r="G11" s="106"/>
      <c r="H11" s="106"/>
      <c r="I11" s="126"/>
      <c r="J11"/>
      <c r="K11" s="127" t="s">
        <v>167</v>
      </c>
      <c r="L11" s="128"/>
      <c r="M11" s="129"/>
      <c r="N11" s="85"/>
      <c r="O11"/>
      <c r="P11"/>
    </row>
    <row r="12" s="1" customFormat="1" ht="23" customHeight="1" spans="3:30">
      <c r="C12" s="70"/>
      <c r="D12" s="70"/>
      <c r="E12" s="70"/>
      <c r="F12" s="107"/>
      <c r="G12" s="108"/>
      <c r="H12" s="108"/>
      <c r="I12" s="130"/>
      <c r="J12"/>
      <c r="K12" s="131" t="s">
        <v>56</v>
      </c>
      <c r="L12" s="131" t="s">
        <v>8</v>
      </c>
      <c r="M12" s="131" t="s">
        <v>57</v>
      </c>
      <c r="N12" s="85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 s="1" customFormat="1" ht="23" customHeight="1" spans="3:16">
      <c r="C13" s="70" t="s">
        <v>58</v>
      </c>
      <c r="D13" s="70"/>
      <c r="E13" s="70"/>
      <c r="F13" s="76" t="s">
        <v>59</v>
      </c>
      <c r="G13" s="77"/>
      <c r="H13" s="77"/>
      <c r="I13" s="78"/>
      <c r="J13"/>
      <c r="K13" s="131" t="s">
        <v>60</v>
      </c>
      <c r="L13" s="132">
        <f>SUM(H9)</f>
        <v>4.2499</v>
      </c>
      <c r="M13" s="133">
        <f>SUM(AF9)</f>
        <v>1283.90078321647</v>
      </c>
      <c r="N13" s="85"/>
      <c r="O13"/>
      <c r="P13"/>
    </row>
    <row r="14" s="1" customFormat="1" ht="23" customHeight="1" spans="3:16">
      <c r="C14" s="70"/>
      <c r="D14" s="70"/>
      <c r="E14" s="70"/>
      <c r="F14" s="79"/>
      <c r="G14" s="80"/>
      <c r="H14" s="80"/>
      <c r="I14" s="81"/>
      <c r="J14"/>
      <c r="K14" s="134" t="s">
        <v>61</v>
      </c>
      <c r="L14" s="134"/>
      <c r="M14" s="135"/>
      <c r="N14"/>
      <c r="O14"/>
      <c r="P14"/>
    </row>
    <row r="15" s="1" customFormat="1" ht="23" customHeight="1" spans="3:16">
      <c r="C15" s="70" t="s">
        <v>62</v>
      </c>
      <c r="D15" s="70"/>
      <c r="E15" s="70"/>
      <c r="F15" s="76" t="s">
        <v>63</v>
      </c>
      <c r="G15" s="77"/>
      <c r="H15" s="77"/>
      <c r="I15" s="78"/>
      <c r="J15"/>
      <c r="K15" s="136" t="s">
        <v>64</v>
      </c>
      <c r="L15" s="136"/>
      <c r="M15" s="137"/>
      <c r="N15"/>
      <c r="O15"/>
      <c r="P15"/>
    </row>
    <row r="16" s="1" customFormat="1" ht="23" customHeight="1" spans="3:16">
      <c r="C16" s="70"/>
      <c r="D16" s="70"/>
      <c r="E16" s="70"/>
      <c r="F16" s="79"/>
      <c r="G16" s="80"/>
      <c r="H16" s="80"/>
      <c r="I16" s="81"/>
      <c r="J16"/>
      <c r="K16" s="131" t="s">
        <v>65</v>
      </c>
      <c r="L16" s="131"/>
      <c r="M16" s="131"/>
      <c r="N16"/>
      <c r="O16"/>
      <c r="P16"/>
    </row>
    <row r="17" s="1" customFormat="1" ht="23" customHeight="1" spans="5:16">
      <c r="E17"/>
      <c r="F17"/>
      <c r="G17"/>
      <c r="H17"/>
      <c r="I17"/>
      <c r="J17"/>
      <c r="K17" s="134" t="s">
        <v>66</v>
      </c>
      <c r="L17" s="134"/>
      <c r="M17" s="135"/>
      <c r="N17"/>
      <c r="O17"/>
      <c r="P17"/>
    </row>
    <row r="18" s="1" customFormat="1" ht="23" customHeight="1" spans="5:16">
      <c r="E18"/>
      <c r="F18"/>
      <c r="G18"/>
      <c r="H18"/>
      <c r="I18"/>
      <c r="J18"/>
      <c r="K18"/>
      <c r="L18"/>
      <c r="M18"/>
      <c r="N18"/>
      <c r="O18"/>
      <c r="P18"/>
    </row>
    <row r="19" s="1" customFormat="1" ht="23" customHeight="1" spans="5:14">
      <c r="E19"/>
      <c r="F19"/>
      <c r="G19"/>
      <c r="H19"/>
      <c r="I19"/>
      <c r="J19"/>
      <c r="K19" s="138"/>
      <c r="L19" s="138"/>
      <c r="M19" s="138"/>
      <c r="N19" s="138"/>
    </row>
    <row r="20" s="1" customFormat="1" ht="23" customHeight="1" spans="5:13">
      <c r="E20"/>
      <c r="F20"/>
      <c r="G20"/>
      <c r="H20"/>
      <c r="I20"/>
      <c r="J20"/>
      <c r="K20"/>
      <c r="L20"/>
      <c r="M20"/>
    </row>
    <row r="21" s="1" customFormat="1" ht="23" customHeight="1" spans="5:19">
      <c r="E21"/>
      <c r="F21"/>
      <c r="G21"/>
      <c r="H21"/>
      <c r="I21"/>
      <c r="J21"/>
      <c r="K21"/>
      <c r="L21"/>
      <c r="M21"/>
      <c r="O21"/>
      <c r="P21"/>
      <c r="Q21"/>
      <c r="R21"/>
      <c r="S21" s="35"/>
    </row>
    <row r="22" s="1" customFormat="1" ht="23" customHeight="1" spans="5:19">
      <c r="E22"/>
      <c r="F22"/>
      <c r="G22"/>
      <c r="H22"/>
      <c r="I22"/>
      <c r="J22"/>
      <c r="K22"/>
      <c r="L22"/>
      <c r="N22"/>
      <c r="O22"/>
      <c r="P22"/>
      <c r="Q22"/>
      <c r="S22" s="35"/>
    </row>
    <row r="23" ht="22" customHeight="1"/>
    <row r="24" ht="22" customHeight="1"/>
  </sheetData>
  <mergeCells count="23">
    <mergeCell ref="J3:P3"/>
    <mergeCell ref="R3:V3"/>
    <mergeCell ref="Y3:AD3"/>
    <mergeCell ref="K11:M1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11:E12"/>
    <mergeCell ref="F11:I12"/>
    <mergeCell ref="C13:E14"/>
    <mergeCell ref="F13:I14"/>
    <mergeCell ref="C15:E16"/>
    <mergeCell ref="F15:I16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workbookViewId="0">
      <selection activeCell="M6" sqref="M6"/>
    </sheetView>
  </sheetViews>
  <sheetFormatPr defaultColWidth="11" defaultRowHeight="33" customHeight="1"/>
  <cols>
    <col min="1" max="1" width="11.5" style="9" customWidth="1"/>
    <col min="2" max="2" width="12" style="4" customWidth="1"/>
    <col min="3" max="3" width="8.125" style="4" customWidth="1"/>
    <col min="4" max="4" width="10.25" style="10" customWidth="1"/>
    <col min="5" max="5" width="11.375" style="10" customWidth="1"/>
    <col min="6" max="6" width="11.375" style="11" customWidth="1"/>
    <col min="7" max="7" width="6.375" style="12" customWidth="1"/>
    <col min="8" max="8" width="11.375" style="4" customWidth="1"/>
    <col min="9" max="9" width="4.625" style="4" customWidth="1"/>
    <col min="10" max="10" width="9.375" style="4" customWidth="1"/>
    <col min="11" max="11" width="6.375" style="4" customWidth="1"/>
    <col min="12" max="12" width="9.375" style="4" customWidth="1"/>
    <col min="13" max="13" width="15.5" style="4" customWidth="1"/>
    <col min="14" max="14" width="27.75" style="4" customWidth="1"/>
    <col min="15" max="15" width="6.125" style="4" customWidth="1"/>
    <col min="16" max="16361" width="11" style="4" customWidth="1"/>
    <col min="16362" max="16384" width="11" style="4"/>
  </cols>
  <sheetData>
    <row r="1" s="1" customFormat="1" customHeight="1" spans="1:14">
      <c r="A1" s="13" t="s">
        <v>168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="1" customFormat="1" ht="6" customHeight="1" spans="1:7">
      <c r="A2" s="14"/>
      <c r="B2" s="14"/>
      <c r="C2" s="14"/>
      <c r="D2" s="14"/>
      <c r="E2" s="14"/>
      <c r="F2" s="14"/>
      <c r="G2" s="14"/>
    </row>
    <row r="3" s="1" customFormat="1" ht="40" customHeight="1" spans="1:20">
      <c r="A3" s="15" t="s">
        <v>169</v>
      </c>
      <c r="B3" s="16" t="s">
        <v>170</v>
      </c>
      <c r="C3" s="17" t="s">
        <v>171</v>
      </c>
      <c r="D3" s="18" t="s">
        <v>172</v>
      </c>
      <c r="E3" s="18"/>
      <c r="F3" s="18"/>
      <c r="G3" s="18"/>
      <c r="H3" s="18"/>
      <c r="I3" s="40" t="s">
        <v>173</v>
      </c>
      <c r="J3" s="41"/>
      <c r="K3" s="42"/>
      <c r="L3" s="43"/>
      <c r="M3" s="44" t="s">
        <v>174</v>
      </c>
      <c r="N3" s="16" t="s">
        <v>78</v>
      </c>
      <c r="P3" s="70" t="s">
        <v>53</v>
      </c>
      <c r="Q3" s="70"/>
      <c r="R3" s="75" t="s">
        <v>54</v>
      </c>
      <c r="S3" s="75"/>
      <c r="T3" s="75"/>
    </row>
    <row r="4" s="2" customFormat="1" ht="55" customHeight="1" spans="1:20">
      <c r="A4" s="19"/>
      <c r="B4" s="16"/>
      <c r="C4" s="20"/>
      <c r="D4" s="21" t="s">
        <v>61</v>
      </c>
      <c r="E4" s="22" t="s">
        <v>64</v>
      </c>
      <c r="F4" s="22" t="s">
        <v>64</v>
      </c>
      <c r="G4" s="23" t="s">
        <v>175</v>
      </c>
      <c r="H4" s="24" t="s">
        <v>66</v>
      </c>
      <c r="I4" s="45" t="s">
        <v>61</v>
      </c>
      <c r="J4" s="46" t="s">
        <v>64</v>
      </c>
      <c r="K4" s="47" t="s">
        <v>176</v>
      </c>
      <c r="L4" s="48" t="s">
        <v>66</v>
      </c>
      <c r="M4" s="49"/>
      <c r="N4" s="16"/>
      <c r="P4" s="70"/>
      <c r="Q4" s="70"/>
      <c r="R4" s="75"/>
      <c r="S4" s="75"/>
      <c r="T4" s="75"/>
    </row>
    <row r="5" s="3" customFormat="1" ht="26" customHeight="1" spans="1:20">
      <c r="A5" s="16" t="s">
        <v>177</v>
      </c>
      <c r="B5" s="25">
        <f>SUM(黄颖!M31)</f>
        <v>26827.8413333411</v>
      </c>
      <c r="C5" s="26">
        <f>SUM(黄颖!L31)</f>
        <v>68.7536</v>
      </c>
      <c r="D5" s="68">
        <v>6000</v>
      </c>
      <c r="E5" s="28">
        <f>SUM(B5-D5)</f>
        <v>20827.8413333411</v>
      </c>
      <c r="F5" s="28"/>
      <c r="G5" s="29">
        <v>0.4</v>
      </c>
      <c r="H5" s="28">
        <f>SUM(E5*G5)</f>
        <v>8331.13653333644</v>
      </c>
      <c r="I5" s="50"/>
      <c r="J5" s="50"/>
      <c r="K5" s="51"/>
      <c r="L5" s="52"/>
      <c r="M5" s="53">
        <f t="shared" ref="M5:M10" si="0">SUM(H5+L5)</f>
        <v>8331.13653333644</v>
      </c>
      <c r="N5" s="54"/>
      <c r="P5" s="70" t="s">
        <v>58</v>
      </c>
      <c r="Q5" s="70"/>
      <c r="R5" s="76" t="s">
        <v>59</v>
      </c>
      <c r="S5" s="77"/>
      <c r="T5" s="78"/>
    </row>
    <row r="6" s="5" customFormat="1" spans="1:20">
      <c r="A6" s="31" t="s">
        <v>178</v>
      </c>
      <c r="B6" s="32">
        <f>SUM(三凤!M13)</f>
        <v>34354.9</v>
      </c>
      <c r="C6" s="33">
        <f>SUM(三凤!L13)</f>
        <v>186.2071</v>
      </c>
      <c r="D6" s="34">
        <v>2000</v>
      </c>
      <c r="E6" s="28">
        <f>SUM(B6-D6)</f>
        <v>32354.9</v>
      </c>
      <c r="F6" s="28"/>
      <c r="G6" s="29">
        <v>0.15</v>
      </c>
      <c r="H6" s="28">
        <f>SUM(E6*G6)</f>
        <v>4853.235</v>
      </c>
      <c r="I6" s="58"/>
      <c r="J6" s="58"/>
      <c r="K6" s="51"/>
      <c r="L6" s="51"/>
      <c r="M6" s="53">
        <f t="shared" si="0"/>
        <v>4853.235</v>
      </c>
      <c r="N6" s="59" t="s">
        <v>179</v>
      </c>
      <c r="P6" s="70"/>
      <c r="Q6" s="70"/>
      <c r="R6" s="79"/>
      <c r="S6" s="80"/>
      <c r="T6" s="81"/>
    </row>
    <row r="7" s="3" customFormat="1" spans="1:20">
      <c r="A7" s="16" t="s">
        <v>80</v>
      </c>
      <c r="B7" s="25">
        <f>SUM(朱小飞!M16)</f>
        <v>2414.86283064</v>
      </c>
      <c r="C7" s="26">
        <f>SUM(朱小飞!L16)</f>
        <v>3.9452</v>
      </c>
      <c r="D7" s="28">
        <v>2000</v>
      </c>
      <c r="E7" s="28">
        <f>SUM(B7-D7)</f>
        <v>414.86283064</v>
      </c>
      <c r="F7" s="28"/>
      <c r="G7" s="29">
        <v>0.15</v>
      </c>
      <c r="H7" s="28">
        <f>SUM(E7*G7)</f>
        <v>62.229424596</v>
      </c>
      <c r="I7" s="50"/>
      <c r="J7" s="58"/>
      <c r="K7" s="58"/>
      <c r="L7" s="50"/>
      <c r="M7" s="53">
        <f t="shared" si="0"/>
        <v>62.229424596</v>
      </c>
      <c r="N7" s="59" t="s">
        <v>180</v>
      </c>
      <c r="P7" s="70" t="s">
        <v>62</v>
      </c>
      <c r="Q7" s="70"/>
      <c r="R7" s="76" t="s">
        <v>63</v>
      </c>
      <c r="S7" s="77"/>
      <c r="T7" s="78"/>
    </row>
    <row r="8" s="6" customFormat="1" ht="26" customHeight="1" spans="1:20">
      <c r="A8" s="16" t="s">
        <v>90</v>
      </c>
      <c r="B8" s="25">
        <f>SUM(吕沛霖!M19)</f>
        <v>8461.39051286956</v>
      </c>
      <c r="C8" s="26">
        <f>SUM(吕沛霖!L19)</f>
        <v>33.9456</v>
      </c>
      <c r="D8" s="28">
        <v>6000</v>
      </c>
      <c r="E8" s="28">
        <f>SUM(B8-D8)</f>
        <v>2461.39051286956</v>
      </c>
      <c r="F8" s="28"/>
      <c r="G8" s="29">
        <v>0.4</v>
      </c>
      <c r="H8" s="28">
        <f>SUM(E8*G8)</f>
        <v>984.556205147824</v>
      </c>
      <c r="I8" s="58"/>
      <c r="J8" s="58"/>
      <c r="K8" s="58"/>
      <c r="L8" s="58"/>
      <c r="M8" s="53">
        <f t="shared" si="0"/>
        <v>984.556205147824</v>
      </c>
      <c r="N8" s="60"/>
      <c r="P8" s="70"/>
      <c r="Q8" s="70"/>
      <c r="R8" s="79"/>
      <c r="S8" s="80"/>
      <c r="T8" s="81"/>
    </row>
    <row r="9" s="6" customFormat="1" ht="26" customHeight="1" spans="1:14">
      <c r="A9" s="16" t="s">
        <v>117</v>
      </c>
      <c r="B9" s="25">
        <f>SUM(陆总!M23)</f>
        <v>21893.3635468235</v>
      </c>
      <c r="C9" s="26">
        <f>SUM(陆总!L23)</f>
        <v>47.6022</v>
      </c>
      <c r="D9" s="28"/>
      <c r="E9" s="28"/>
      <c r="F9" s="28"/>
      <c r="G9" s="29">
        <v>0.4</v>
      </c>
      <c r="H9" s="28">
        <f>SUM(B9*G9)</f>
        <v>8757.3454187294</v>
      </c>
      <c r="I9" s="50"/>
      <c r="J9" s="58"/>
      <c r="K9" s="58"/>
      <c r="L9" s="58"/>
      <c r="M9" s="53">
        <f t="shared" si="0"/>
        <v>8757.3454187294</v>
      </c>
      <c r="N9" s="60"/>
    </row>
    <row r="10" s="3" customFormat="1" ht="26" customHeight="1" spans="1:18">
      <c r="A10" s="16" t="s">
        <v>181</v>
      </c>
      <c r="B10" s="25">
        <f>SUM(浦生!M45)</f>
        <v>36001.4119321596</v>
      </c>
      <c r="C10" s="26">
        <f>SUM(浦生!L45)</f>
        <v>340.0108</v>
      </c>
      <c r="D10" s="28">
        <v>6000</v>
      </c>
      <c r="E10" s="28">
        <f>SUM(B10-D10)</f>
        <v>30001.4119321596</v>
      </c>
      <c r="F10" s="28">
        <v>35000</v>
      </c>
      <c r="G10" s="29">
        <v>0.4</v>
      </c>
      <c r="H10" s="28">
        <f>SUM(F10*G10)</f>
        <v>14000</v>
      </c>
      <c r="I10" s="58"/>
      <c r="J10" s="50"/>
      <c r="K10" s="58"/>
      <c r="L10" s="58"/>
      <c r="M10" s="53">
        <f t="shared" si="0"/>
        <v>14000</v>
      </c>
      <c r="N10" s="71"/>
      <c r="P10" s="72" t="s">
        <v>182</v>
      </c>
      <c r="Q10" s="82"/>
      <c r="R10" s="82"/>
    </row>
    <row r="11" s="6" customFormat="1" ht="39" customHeight="1" spans="1:21">
      <c r="A11" s="16" t="s">
        <v>107</v>
      </c>
      <c r="B11" s="25">
        <f>SUM(罗伟健!M13)</f>
        <v>4545.84677825294</v>
      </c>
      <c r="C11" s="26">
        <f>SUM(罗伟健!L13)</f>
        <v>7.8325</v>
      </c>
      <c r="D11" s="28"/>
      <c r="E11" s="28"/>
      <c r="F11" s="28"/>
      <c r="G11" s="29"/>
      <c r="H11" s="28"/>
      <c r="I11" s="58"/>
      <c r="J11" s="58"/>
      <c r="K11" s="58"/>
      <c r="L11" s="58"/>
      <c r="M11" s="53"/>
      <c r="N11" s="60" t="s">
        <v>183</v>
      </c>
      <c r="P11" s="72" t="s">
        <v>184</v>
      </c>
      <c r="Q11" s="82"/>
      <c r="R11" s="82"/>
      <c r="S11" s="3"/>
      <c r="T11" s="3"/>
      <c r="U11" s="3"/>
    </row>
    <row r="12" s="6" customFormat="1" ht="26" customHeight="1" spans="1:21">
      <c r="A12" s="16" t="s">
        <v>113</v>
      </c>
      <c r="B12" s="25">
        <f>SUM(罗珮文!M10)</f>
        <v>2899.56455152942</v>
      </c>
      <c r="C12" s="26">
        <f>SUM(罗珮文!L10)</f>
        <v>25.12</v>
      </c>
      <c r="D12" s="28"/>
      <c r="E12" s="28"/>
      <c r="F12" s="28"/>
      <c r="G12" s="29"/>
      <c r="H12" s="28"/>
      <c r="I12" s="58"/>
      <c r="J12" s="58"/>
      <c r="K12" s="58"/>
      <c r="L12" s="58"/>
      <c r="M12" s="53"/>
      <c r="N12" s="60"/>
      <c r="P12" s="3"/>
      <c r="Q12" s="3"/>
      <c r="R12" s="3"/>
      <c r="S12" s="3"/>
      <c r="T12" s="3"/>
      <c r="U12" s="3"/>
    </row>
    <row r="13" s="3" customFormat="1" ht="26" customHeight="1" spans="1:14">
      <c r="A13" s="16" t="s">
        <v>162</v>
      </c>
      <c r="B13" s="25">
        <f>SUM(无人!M13)</f>
        <v>1283.90078321647</v>
      </c>
      <c r="C13" s="26">
        <f>SUM(无人!L13)</f>
        <v>4.2499</v>
      </c>
      <c r="D13" s="28"/>
      <c r="E13" s="28"/>
      <c r="F13" s="28"/>
      <c r="G13" s="29"/>
      <c r="H13" s="29"/>
      <c r="I13" s="58"/>
      <c r="J13" s="58"/>
      <c r="K13" s="73"/>
      <c r="L13" s="58"/>
      <c r="M13" s="53"/>
      <c r="N13" s="71"/>
    </row>
    <row r="14" s="2" customFormat="1" ht="36" customHeight="1" spans="1:14">
      <c r="A14" s="16" t="s">
        <v>87</v>
      </c>
      <c r="B14" s="25">
        <f>SUM(B5:B13)</f>
        <v>138683.082268833</v>
      </c>
      <c r="C14" s="26">
        <f>SUM(C5:C13)</f>
        <v>717.6669</v>
      </c>
      <c r="D14" s="28"/>
      <c r="E14" s="28"/>
      <c r="F14" s="28"/>
      <c r="G14" s="29"/>
      <c r="H14" s="29"/>
      <c r="I14" s="58"/>
      <c r="J14" s="58"/>
      <c r="K14" s="61"/>
      <c r="L14" s="46"/>
      <c r="M14" s="62">
        <f>SUM(M5:M11)</f>
        <v>36988.5025818097</v>
      </c>
      <c r="N14" s="63"/>
    </row>
    <row r="15" s="1" customFormat="1" ht="9" customHeight="1" spans="1:13">
      <c r="A15" s="9"/>
      <c r="G15" s="35"/>
      <c r="H15" s="35"/>
      <c r="I15" s="35"/>
      <c r="J15" s="35"/>
      <c r="K15" s="64"/>
      <c r="L15" s="11"/>
      <c r="M15" s="65"/>
    </row>
    <row r="16" s="67" customFormat="1" ht="41" customHeight="1" spans="1:13">
      <c r="A16" s="67" t="s">
        <v>185</v>
      </c>
      <c r="G16" s="69"/>
      <c r="H16" s="69"/>
      <c r="I16" s="69"/>
      <c r="J16" s="69" t="s">
        <v>184</v>
      </c>
      <c r="K16" s="69"/>
      <c r="M16" s="74"/>
    </row>
    <row r="17" s="8" customFormat="1" ht="41" customHeight="1" spans="1:13">
      <c r="A17" s="37"/>
      <c r="G17" s="38"/>
      <c r="H17" s="38"/>
      <c r="I17" s="38"/>
      <c r="J17" s="38"/>
      <c r="K17" s="38"/>
      <c r="M17" s="39"/>
    </row>
    <row r="18" s="4" customFormat="1" ht="57" customHeight="1" spans="1:13">
      <c r="A18" s="9"/>
      <c r="G18" s="30"/>
      <c r="H18" s="30"/>
      <c r="I18" s="30"/>
      <c r="J18" s="30"/>
      <c r="K18" s="55"/>
      <c r="L18" s="11"/>
      <c r="M18" s="12"/>
    </row>
    <row r="19" s="4" customFormat="1" ht="42" customHeight="1" spans="1:13">
      <c r="A19" s="9"/>
      <c r="G19" s="30"/>
      <c r="H19" s="30"/>
      <c r="I19" s="30"/>
      <c r="J19" s="30"/>
      <c r="K19" s="55"/>
      <c r="L19" s="11"/>
      <c r="M19" s="12"/>
    </row>
    <row r="20" s="4" customFormat="1" customHeight="1" spans="1:13">
      <c r="A20" s="9"/>
      <c r="G20" s="30"/>
      <c r="H20" s="30"/>
      <c r="I20" s="30"/>
      <c r="J20" s="30"/>
      <c r="K20" s="38"/>
      <c r="L20" s="11"/>
      <c r="M20" s="12"/>
    </row>
    <row r="21" customHeight="1" spans="4:5">
      <c r="D21" s="8"/>
      <c r="E21" s="39"/>
    </row>
    <row r="22" customHeight="1" spans="4:5">
      <c r="D22" s="8"/>
      <c r="E22" s="39"/>
    </row>
    <row r="23" customHeight="1" spans="4:5">
      <c r="D23" s="8"/>
      <c r="E23" s="39"/>
    </row>
    <row r="24" customHeight="1" spans="4:5">
      <c r="D24" s="8"/>
      <c r="E24" s="39"/>
    </row>
    <row r="25" customHeight="1" spans="4:5">
      <c r="D25" s="8"/>
      <c r="E25" s="39"/>
    </row>
    <row r="26" customHeight="1" spans="4:5">
      <c r="D26" s="8"/>
      <c r="E26" s="39"/>
    </row>
  </sheetData>
  <mergeCells count="16">
    <mergeCell ref="A1:N1"/>
    <mergeCell ref="D3:H3"/>
    <mergeCell ref="I3:L3"/>
    <mergeCell ref="Q10:R10"/>
    <mergeCell ref="Q11:R11"/>
    <mergeCell ref="A3:A4"/>
    <mergeCell ref="B3:B4"/>
    <mergeCell ref="C3:C4"/>
    <mergeCell ref="M3:M4"/>
    <mergeCell ref="N3:N4"/>
    <mergeCell ref="P3:Q4"/>
    <mergeCell ref="R3:T4"/>
    <mergeCell ref="P5:Q6"/>
    <mergeCell ref="R5:T6"/>
    <mergeCell ref="P7:Q8"/>
    <mergeCell ref="R7:T8"/>
  </mergeCells>
  <pageMargins left="0.275" right="0.156944444444444" top="1.29861111111111" bottom="1" header="0.5" footer="0.5"/>
  <pageSetup paperSize="9" scale="95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tabSelected="1" workbookViewId="0">
      <selection activeCell="B6" sqref="B6"/>
    </sheetView>
  </sheetViews>
  <sheetFormatPr defaultColWidth="11" defaultRowHeight="33" customHeight="1"/>
  <cols>
    <col min="1" max="1" width="11.5" style="9" customWidth="1"/>
    <col min="2" max="2" width="12" style="4" customWidth="1"/>
    <col min="3" max="3" width="8.125" style="4" customWidth="1"/>
    <col min="4" max="4" width="10.25" style="10" customWidth="1"/>
    <col min="5" max="5" width="13.6" style="10" customWidth="1"/>
    <col min="6" max="6" width="11.375" style="11" customWidth="1"/>
    <col min="7" max="7" width="9.55" style="12" customWidth="1"/>
    <col min="8" max="8" width="14.55" style="4" customWidth="1"/>
    <col min="9" max="9" width="6.53333333333333" style="4" customWidth="1"/>
    <col min="10" max="10" width="9.375" style="4" customWidth="1"/>
    <col min="11" max="11" width="11.1416666666667" style="4" customWidth="1"/>
    <col min="12" max="12" width="11.7583333333333" style="4" customWidth="1"/>
    <col min="13" max="13" width="15.5" style="4" customWidth="1"/>
    <col min="14" max="14" width="32.675" style="4" customWidth="1"/>
    <col min="15" max="15" width="6.125" style="4" customWidth="1"/>
    <col min="16" max="16361" width="11" style="4" customWidth="1"/>
    <col min="16362" max="16384" width="11" style="4"/>
  </cols>
  <sheetData>
    <row r="1" s="1" customFormat="1" customHeight="1" spans="1:14">
      <c r="A1" s="13" t="s">
        <v>168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="1" customFormat="1" ht="6" customHeight="1" spans="1:7">
      <c r="A2" s="14"/>
      <c r="B2" s="14"/>
      <c r="C2" s="14"/>
      <c r="D2" s="14"/>
      <c r="E2" s="14"/>
      <c r="F2" s="14"/>
      <c r="G2" s="14"/>
    </row>
    <row r="3" s="1" customFormat="1" ht="40" customHeight="1" spans="1:14">
      <c r="A3" s="15" t="s">
        <v>169</v>
      </c>
      <c r="B3" s="16" t="s">
        <v>170</v>
      </c>
      <c r="C3" s="17" t="s">
        <v>171</v>
      </c>
      <c r="D3" s="18" t="s">
        <v>172</v>
      </c>
      <c r="E3" s="18"/>
      <c r="F3" s="18"/>
      <c r="G3" s="18"/>
      <c r="H3" s="18"/>
      <c r="I3" s="40" t="s">
        <v>173</v>
      </c>
      <c r="J3" s="41"/>
      <c r="K3" s="42"/>
      <c r="L3" s="43"/>
      <c r="M3" s="44" t="s">
        <v>174</v>
      </c>
      <c r="N3" s="16" t="s">
        <v>78</v>
      </c>
    </row>
    <row r="4" s="2" customFormat="1" ht="55" customHeight="1" spans="1:14">
      <c r="A4" s="19"/>
      <c r="B4" s="16"/>
      <c r="C4" s="20"/>
      <c r="D4" s="21" t="s">
        <v>61</v>
      </c>
      <c r="E4" s="22" t="s">
        <v>64</v>
      </c>
      <c r="F4" s="22" t="s">
        <v>64</v>
      </c>
      <c r="G4" s="23" t="s">
        <v>175</v>
      </c>
      <c r="H4" s="24" t="s">
        <v>66</v>
      </c>
      <c r="I4" s="45" t="s">
        <v>61</v>
      </c>
      <c r="J4" s="46" t="s">
        <v>64</v>
      </c>
      <c r="K4" s="47" t="s">
        <v>176</v>
      </c>
      <c r="L4" s="48" t="s">
        <v>66</v>
      </c>
      <c r="M4" s="49"/>
      <c r="N4" s="16"/>
    </row>
    <row r="5" s="3" customFormat="1" ht="35" customHeight="1" spans="1:14">
      <c r="A5" s="16" t="s">
        <v>177</v>
      </c>
      <c r="B5" s="25">
        <f>SUM(黄颖!M31)</f>
        <v>26827.8413333411</v>
      </c>
      <c r="C5" s="26">
        <f>SUM(黄颖!L31)</f>
        <v>68.7536</v>
      </c>
      <c r="D5" s="27">
        <v>6000</v>
      </c>
      <c r="E5" s="28">
        <f>SUM(B5-D5)</f>
        <v>20827.8413333411</v>
      </c>
      <c r="F5" s="28"/>
      <c r="G5" s="29">
        <v>0.4</v>
      </c>
      <c r="H5" s="28">
        <f>SUM(E5*G5)</f>
        <v>8331.13653333644</v>
      </c>
      <c r="I5" s="50"/>
      <c r="J5" s="50"/>
      <c r="K5" s="51"/>
      <c r="L5" s="52"/>
      <c r="M5" s="53">
        <f>SUM(H5+L5)</f>
        <v>8331.13653333644</v>
      </c>
      <c r="N5" s="54"/>
    </row>
    <row r="6" s="4" customFormat="1" ht="57" customHeight="1" spans="1:14">
      <c r="A6" s="9"/>
      <c r="B6" s="4"/>
      <c r="C6" s="30"/>
      <c r="D6" s="4"/>
      <c r="E6" s="4"/>
      <c r="F6" s="4"/>
      <c r="G6" s="30"/>
      <c r="H6" s="4"/>
      <c r="I6" s="4"/>
      <c r="J6" s="4"/>
      <c r="K6" s="55"/>
      <c r="L6" s="56" t="s">
        <v>182</v>
      </c>
      <c r="M6" s="57"/>
      <c r="N6" s="57"/>
    </row>
    <row r="7" s="5" customFormat="1" ht="43" customHeight="1" spans="1:14">
      <c r="A7" s="31" t="s">
        <v>178</v>
      </c>
      <c r="B7" s="32">
        <f>SUM(三凤!M13)</f>
        <v>34354.9</v>
      </c>
      <c r="C7" s="33">
        <f>SUM(三凤!L13)</f>
        <v>186.2071</v>
      </c>
      <c r="D7" s="34">
        <v>2000</v>
      </c>
      <c r="E7" s="28">
        <f>SUM(B7-D7)</f>
        <v>32354.9</v>
      </c>
      <c r="F7" s="28"/>
      <c r="G7" s="29">
        <v>0.15</v>
      </c>
      <c r="H7" s="28">
        <f>SUM(E7*G7)</f>
        <v>4853.235</v>
      </c>
      <c r="I7" s="58"/>
      <c r="J7" s="58"/>
      <c r="K7" s="51"/>
      <c r="L7" s="51"/>
      <c r="M7" s="53">
        <f>SUM(H7+L7)</f>
        <v>4853.235</v>
      </c>
      <c r="N7" s="59" t="s">
        <v>179</v>
      </c>
    </row>
    <row r="8" s="4" customFormat="1" ht="57" customHeight="1" spans="1:14">
      <c r="A8" s="9"/>
      <c r="B8" s="4"/>
      <c r="C8" s="30"/>
      <c r="D8" s="4"/>
      <c r="E8" s="4"/>
      <c r="F8" s="4"/>
      <c r="G8" s="30"/>
      <c r="H8" s="4"/>
      <c r="I8" s="4"/>
      <c r="J8" s="4"/>
      <c r="K8" s="55"/>
      <c r="L8" s="56" t="s">
        <v>182</v>
      </c>
      <c r="M8" s="57"/>
      <c r="N8" s="57"/>
    </row>
    <row r="9" s="3" customFormat="1" ht="39" customHeight="1" spans="1:14">
      <c r="A9" s="16" t="s">
        <v>80</v>
      </c>
      <c r="B9" s="25">
        <f>SUM(朱小飞!M16)</f>
        <v>2414.86283064</v>
      </c>
      <c r="C9" s="26">
        <f>SUM(朱小飞!L16)</f>
        <v>3.9452</v>
      </c>
      <c r="D9" s="28">
        <v>2000</v>
      </c>
      <c r="E9" s="28">
        <f>SUM(B9-D9)</f>
        <v>414.86283064</v>
      </c>
      <c r="F9" s="28"/>
      <c r="G9" s="29">
        <v>0.15</v>
      </c>
      <c r="H9" s="28">
        <f>SUM(E9*G9)</f>
        <v>62.229424596</v>
      </c>
      <c r="I9" s="50"/>
      <c r="J9" s="58"/>
      <c r="K9" s="58"/>
      <c r="L9" s="50"/>
      <c r="M9" s="53">
        <f>SUM(H9+L9)</f>
        <v>62.229424596</v>
      </c>
      <c r="N9" s="59" t="s">
        <v>180</v>
      </c>
    </row>
    <row r="10" s="4" customFormat="1" ht="57" customHeight="1" spans="1:14">
      <c r="A10" s="9"/>
      <c r="B10" s="4"/>
      <c r="C10" s="30"/>
      <c r="D10" s="4"/>
      <c r="E10" s="4"/>
      <c r="F10" s="4"/>
      <c r="G10" s="30"/>
      <c r="H10" s="4"/>
      <c r="I10" s="4"/>
      <c r="J10" s="4"/>
      <c r="K10" s="55"/>
      <c r="L10" s="56" t="s">
        <v>182</v>
      </c>
      <c r="M10" s="57"/>
      <c r="N10" s="57"/>
    </row>
    <row r="11" s="6" customFormat="1" ht="26" customHeight="1" spans="1:14">
      <c r="A11" s="16" t="s">
        <v>90</v>
      </c>
      <c r="B11" s="25">
        <f>SUM(吕沛霖!M19)</f>
        <v>8461.39051286956</v>
      </c>
      <c r="C11" s="26">
        <f>SUM(吕沛霖!L19)</f>
        <v>33.9456</v>
      </c>
      <c r="D11" s="28">
        <v>6000</v>
      </c>
      <c r="E11" s="28">
        <f>SUM(B11-D11)</f>
        <v>2461.39051286956</v>
      </c>
      <c r="F11" s="28"/>
      <c r="G11" s="29">
        <v>0.4</v>
      </c>
      <c r="H11" s="28">
        <f>SUM(E11*G11)</f>
        <v>984.556205147824</v>
      </c>
      <c r="I11" s="58"/>
      <c r="J11" s="58"/>
      <c r="K11" s="58"/>
      <c r="L11" s="58"/>
      <c r="M11" s="53">
        <f>SUM(H11+L11)</f>
        <v>984.556205147824</v>
      </c>
      <c r="N11" s="60"/>
    </row>
    <row r="12" s="4" customFormat="1" ht="57" customHeight="1" spans="1:14">
      <c r="A12" s="9"/>
      <c r="B12" s="4"/>
      <c r="C12" s="30"/>
      <c r="D12" s="4"/>
      <c r="E12" s="4"/>
      <c r="F12" s="4"/>
      <c r="G12" s="30"/>
      <c r="H12" s="4"/>
      <c r="I12" s="4"/>
      <c r="J12" s="4"/>
      <c r="K12" s="55"/>
      <c r="L12" s="56" t="s">
        <v>182</v>
      </c>
      <c r="M12" s="57"/>
      <c r="N12" s="57"/>
    </row>
    <row r="13" s="2" customFormat="1" ht="36" customHeight="1" spans="1:14">
      <c r="A13" s="16" t="s">
        <v>87</v>
      </c>
      <c r="B13" s="25">
        <f>SUM(B5:B11)</f>
        <v>72058.9946768507</v>
      </c>
      <c r="C13" s="26">
        <f>SUM(C5:C11)</f>
        <v>292.8515</v>
      </c>
      <c r="D13" s="28"/>
      <c r="E13" s="28"/>
      <c r="F13" s="28"/>
      <c r="G13" s="29"/>
      <c r="H13" s="29"/>
      <c r="I13" s="58"/>
      <c r="J13" s="58"/>
      <c r="K13" s="61"/>
      <c r="L13" s="46"/>
      <c r="M13" s="62">
        <f>SUM(M5:M11)</f>
        <v>14231.1571630803</v>
      </c>
      <c r="N13" s="63"/>
    </row>
    <row r="14" s="1" customFormat="1" ht="9" customHeight="1" spans="1:13">
      <c r="A14" s="9"/>
      <c r="G14" s="35"/>
      <c r="H14" s="35"/>
      <c r="I14" s="35"/>
      <c r="J14" s="35"/>
      <c r="K14" s="64"/>
      <c r="L14" s="11"/>
      <c r="M14" s="65"/>
    </row>
    <row r="15" s="7" customFormat="1" ht="41" customHeight="1" spans="1:13">
      <c r="A15" s="7" t="s">
        <v>185</v>
      </c>
      <c r="G15" s="36"/>
      <c r="H15" s="36"/>
      <c r="I15" s="36"/>
      <c r="J15" s="36" t="s">
        <v>184</v>
      </c>
      <c r="K15" s="36"/>
      <c r="M15" s="66"/>
    </row>
    <row r="16" s="8" customFormat="1" ht="41" customHeight="1" spans="1:13">
      <c r="A16" s="37"/>
      <c r="G16" s="38"/>
      <c r="H16" s="38"/>
      <c r="I16" s="38"/>
      <c r="J16" s="38"/>
      <c r="K16" s="38"/>
      <c r="M16" s="39"/>
    </row>
    <row r="17" s="4" customFormat="1" ht="57" customHeight="1" spans="1:13">
      <c r="A17" s="9"/>
      <c r="G17" s="30"/>
      <c r="H17" s="30"/>
      <c r="I17" s="30"/>
      <c r="J17" s="30"/>
      <c r="K17" s="55"/>
      <c r="L17" s="11"/>
      <c r="M17" s="12"/>
    </row>
    <row r="18" s="4" customFormat="1" ht="42" customHeight="1" spans="1:13">
      <c r="A18" s="9"/>
      <c r="G18" s="30"/>
      <c r="H18" s="30"/>
      <c r="I18" s="30"/>
      <c r="J18" s="30"/>
      <c r="K18" s="55"/>
      <c r="L18" s="11"/>
      <c r="M18" s="12"/>
    </row>
    <row r="19" s="4" customFormat="1" customHeight="1" spans="1:13">
      <c r="A19" s="9"/>
      <c r="G19" s="30"/>
      <c r="H19" s="30"/>
      <c r="I19" s="30"/>
      <c r="J19" s="30"/>
      <c r="K19" s="38"/>
      <c r="L19" s="11"/>
      <c r="M19" s="12"/>
    </row>
    <row r="20" customHeight="1" spans="4:5">
      <c r="D20" s="8"/>
      <c r="E20" s="39"/>
    </row>
    <row r="21" customHeight="1" spans="4:5">
      <c r="D21" s="8"/>
      <c r="E21" s="39"/>
    </row>
    <row r="22" customHeight="1" spans="4:5">
      <c r="D22" s="8"/>
      <c r="E22" s="39"/>
    </row>
    <row r="23" customHeight="1" spans="4:5">
      <c r="D23" s="8"/>
      <c r="E23" s="39"/>
    </row>
    <row r="24" customHeight="1" spans="4:5">
      <c r="D24" s="8"/>
      <c r="E24" s="39"/>
    </row>
    <row r="25" customHeight="1" spans="4:5">
      <c r="D25" s="8"/>
      <c r="E25" s="39"/>
    </row>
  </sheetData>
  <mergeCells count="8">
    <mergeCell ref="A1:N1"/>
    <mergeCell ref="D3:H3"/>
    <mergeCell ref="I3:L3"/>
    <mergeCell ref="A3:A4"/>
    <mergeCell ref="B3:B4"/>
    <mergeCell ref="C3:C4"/>
    <mergeCell ref="M3:M4"/>
    <mergeCell ref="N3:N4"/>
  </mergeCells>
  <pageMargins left="0.944444444444444" right="0.156944444444444" top="1.29861111111111" bottom="0.275" header="0.5" footer="0.236111111111111"/>
  <pageSetup paperSize="9" scale="7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黄颖</vt:lpstr>
      <vt:lpstr>三凤</vt:lpstr>
      <vt:lpstr>朱小飞</vt:lpstr>
      <vt:lpstr>吕沛霖</vt:lpstr>
      <vt:lpstr>罗伟健</vt:lpstr>
      <vt:lpstr>罗珮文</vt:lpstr>
      <vt:lpstr>陆总</vt:lpstr>
      <vt:lpstr>浦生</vt:lpstr>
      <vt:lpstr>无人</vt:lpstr>
      <vt:lpstr>提成总表</vt:lpstr>
      <vt:lpstr>黄颖 陈三凤 朱小飞 吕沛霖 2025年10月份发放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/mg</cp:lastModifiedBy>
  <dcterms:created xsi:type="dcterms:W3CDTF">2021-01-15T02:45:00Z</dcterms:created>
  <dcterms:modified xsi:type="dcterms:W3CDTF">2025-10-20T09:02:26Z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6BE3DA52AC7244678364BCD4CB535940</vt:lpwstr>
  </property>
</Properties>
</file>