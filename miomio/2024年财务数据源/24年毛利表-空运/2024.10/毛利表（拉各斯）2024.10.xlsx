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Sheet1!$A$2:$AE$1018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15" authorId="0">
      <text>
        <r>
          <rPr>
            <sz val="9"/>
            <rFont val="宋体"/>
            <charset val="134"/>
          </rPr>
          <t xml:space="preserve">预付268转到付USD37.85.
</t>
        </r>
      </text>
    </comment>
    <comment ref="M16" authorId="0">
      <text>
        <r>
          <rPr>
            <sz val="9"/>
            <rFont val="宋体"/>
            <charset val="134"/>
          </rPr>
          <t xml:space="preserve">预付575转到付SD80.87.
</t>
        </r>
      </text>
    </comment>
    <comment ref="M25" authorId="0">
      <text>
        <r>
          <rPr>
            <sz val="9"/>
            <rFont val="宋体"/>
            <charset val="134"/>
          </rPr>
          <t xml:space="preserve">预付128转到付USD18.07
</t>
        </r>
      </text>
    </comment>
    <comment ref="M31" authorId="0">
      <text>
        <r>
          <rPr>
            <sz val="9"/>
            <rFont val="宋体"/>
            <charset val="134"/>
          </rPr>
          <t xml:space="preserve">预付115转到付SD16.17.
</t>
        </r>
      </text>
    </comment>
    <comment ref="M32" authorId="0">
      <text>
        <r>
          <rPr>
            <sz val="9"/>
            <rFont val="宋体"/>
            <charset val="134"/>
          </rPr>
          <t>预付368转到付USD51.75.</t>
        </r>
      </text>
    </comment>
    <comment ref="M33" authorId="0">
      <text>
        <r>
          <rPr>
            <sz val="9"/>
            <rFont val="宋体"/>
            <charset val="134"/>
          </rPr>
          <t xml:space="preserve">预付115转到付USD16.17
</t>
        </r>
      </text>
    </comment>
    <comment ref="M35" authorId="0">
      <text>
        <r>
          <rPr>
            <sz val="9"/>
            <rFont val="宋体"/>
            <charset val="134"/>
          </rPr>
          <t xml:space="preserve">预付540转到付USD75.94.
</t>
        </r>
      </text>
    </comment>
    <comment ref="M41" authorId="0">
      <text>
        <r>
          <rPr>
            <sz val="9"/>
            <rFont val="宋体"/>
            <charset val="134"/>
          </rPr>
          <t xml:space="preserve">预付115转到付USD16.17.
</t>
        </r>
      </text>
    </comment>
    <comment ref="M45" authorId="0">
      <text>
        <r>
          <rPr>
            <sz val="9"/>
            <rFont val="宋体"/>
            <charset val="134"/>
          </rPr>
          <t xml:space="preserve">预付120转到付USD16.87
</t>
        </r>
      </text>
    </comment>
    <comment ref="M51" authorId="0">
      <text>
        <r>
          <rPr>
            <sz val="9"/>
            <rFont val="宋体"/>
            <charset val="134"/>
          </rPr>
          <t xml:space="preserve">预付69转到付USD9.7
</t>
        </r>
      </text>
    </comment>
    <comment ref="M55" authorId="0">
      <text>
        <r>
          <rPr>
            <sz val="9"/>
            <rFont val="宋体"/>
            <charset val="134"/>
          </rPr>
          <t>预付360转到付USD50.63.</t>
        </r>
      </text>
    </comment>
    <comment ref="M61" authorId="0">
      <text>
        <r>
          <rPr>
            <sz val="9"/>
            <rFont val="宋体"/>
            <charset val="134"/>
          </rPr>
          <t xml:space="preserve">预付157转到付USD22.17.
</t>
        </r>
      </text>
    </comment>
    <comment ref="M62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I73" authorId="0">
      <text>
        <r>
          <rPr>
            <sz val="9"/>
            <rFont val="宋体"/>
            <charset val="134"/>
          </rPr>
          <t xml:space="preserve">到付USD38.7转预付274.7.
</t>
        </r>
      </text>
    </comment>
    <comment ref="M81" authorId="0">
      <text>
        <r>
          <rPr>
            <sz val="9"/>
            <rFont val="宋体"/>
            <charset val="134"/>
          </rPr>
          <t xml:space="preserve">预付516转到付USD72.57.
</t>
        </r>
      </text>
    </comment>
    <comment ref="M84" authorId="0">
      <text>
        <r>
          <rPr>
            <sz val="9"/>
            <rFont val="宋体"/>
            <charset val="134"/>
          </rPr>
          <t xml:space="preserve">预付6250转到付USD869.19
</t>
        </r>
      </text>
    </comment>
    <comment ref="M88" authorId="0">
      <text>
        <r>
          <rPr>
            <sz val="9"/>
            <rFont val="宋体"/>
            <charset val="134"/>
          </rPr>
          <t xml:space="preserve">预付311转到付SD43.92.
</t>
        </r>
      </text>
    </comment>
    <comment ref="M96" authorId="0">
      <text>
        <r>
          <rPr>
            <sz val="9"/>
            <rFont val="宋体"/>
            <charset val="134"/>
          </rPr>
          <t xml:space="preserve">预付4248.94转到付USD4248.94.
</t>
        </r>
      </text>
    </comment>
    <comment ref="M106" authorId="0">
      <text>
        <r>
          <rPr>
            <sz val="9"/>
            <rFont val="宋体"/>
            <charset val="134"/>
          </rPr>
          <t xml:space="preserve">预付570转到付USD80.16.
</t>
        </r>
      </text>
    </comment>
    <comment ref="M114" authorId="0">
      <text>
        <r>
          <rPr>
            <sz val="9"/>
            <rFont val="宋体"/>
            <charset val="134"/>
          </rPr>
          <t xml:space="preserve">预付821.7转到付USD115.56.
</t>
        </r>
      </text>
    </comment>
    <comment ref="M121" authorId="0">
      <text>
        <r>
          <rPr>
            <sz val="9"/>
            <rFont val="宋体"/>
            <charset val="134"/>
          </rPr>
          <t xml:space="preserve">预付2502.5转到付USD353.46
</t>
        </r>
      </text>
    </comment>
    <comment ref="M124" authorId="0">
      <text>
        <r>
          <rPr>
            <sz val="9"/>
            <rFont val="宋体"/>
            <charset val="134"/>
          </rPr>
          <t xml:space="preserve">预付539.55转到付USD75.88.
</t>
        </r>
      </text>
    </comment>
    <comment ref="M125" authorId="0">
      <text>
        <r>
          <rPr>
            <sz val="9"/>
            <rFont val="宋体"/>
            <charset val="134"/>
          </rPr>
          <t>预付234.3转到付USD33.09.</t>
        </r>
      </text>
    </comment>
    <comment ref="M134" authorId="0">
      <text>
        <r>
          <rPr>
            <sz val="9"/>
            <rFont val="宋体"/>
            <charset val="134"/>
          </rPr>
          <t xml:space="preserve">预付135转到付USD18.98.
</t>
        </r>
      </text>
    </comment>
    <comment ref="M146" authorId="0">
      <text>
        <r>
          <rPr>
            <sz val="9"/>
            <rFont val="宋体"/>
            <charset val="134"/>
          </rPr>
          <t xml:space="preserve">预付600转到付USD84.74.
</t>
        </r>
      </text>
    </comment>
    <comment ref="M147" authorId="0">
      <text>
        <r>
          <rPr>
            <sz val="9"/>
            <rFont val="宋体"/>
            <charset val="134"/>
          </rPr>
          <t xml:space="preserve">预付1848转到付USD259.91.
</t>
        </r>
      </text>
    </comment>
    <comment ref="M148" authorId="0">
      <text>
        <r>
          <rPr>
            <sz val="9"/>
            <rFont val="宋体"/>
            <charset val="134"/>
          </rPr>
          <t xml:space="preserve">预付38转到付USD5.34.
</t>
        </r>
      </text>
    </comment>
    <comment ref="M149" authorId="0">
      <text>
        <r>
          <rPr>
            <sz val="9"/>
            <rFont val="宋体"/>
            <charset val="134"/>
          </rPr>
          <t xml:space="preserve">预付673.6转到付USD94.73.
</t>
        </r>
      </text>
    </comment>
    <comment ref="M151" authorId="0">
      <text>
        <r>
          <rPr>
            <sz val="9"/>
            <rFont val="宋体"/>
            <charset val="134"/>
          </rPr>
          <t xml:space="preserve">预付476.85转到付USD67.35
</t>
        </r>
      </text>
    </comment>
    <comment ref="M152" authorId="0">
      <text>
        <r>
          <rPr>
            <sz val="9"/>
            <rFont val="宋体"/>
            <charset val="134"/>
          </rPr>
          <t xml:space="preserve">预付201.3转到付USD28.31.
</t>
        </r>
      </text>
    </comment>
    <comment ref="M153" authorId="0">
      <text>
        <r>
          <rPr>
            <sz val="9"/>
            <rFont val="宋体"/>
            <charset val="134"/>
          </rPr>
          <t xml:space="preserve">预付11766.5转到付USD1654.92.
</t>
        </r>
      </text>
    </comment>
    <comment ref="M154" authorId="0">
      <text>
        <r>
          <rPr>
            <sz val="9"/>
            <rFont val="宋体"/>
            <charset val="134"/>
          </rPr>
          <t xml:space="preserve">预付96.6转到付USD13.58.
</t>
        </r>
      </text>
    </comment>
    <comment ref="M156" authorId="0">
      <text>
        <r>
          <rPr>
            <sz val="9"/>
            <rFont val="宋体"/>
            <charset val="134"/>
          </rPr>
          <t xml:space="preserve">预付69.3转到付USD9.74
</t>
        </r>
      </text>
    </comment>
    <comment ref="M164" authorId="0">
      <text>
        <r>
          <rPr>
            <sz val="9"/>
            <rFont val="宋体"/>
            <charset val="134"/>
          </rPr>
          <t xml:space="preserve">预付508.2转到付USD71.47.
</t>
        </r>
      </text>
    </comment>
    <comment ref="I172" authorId="0">
      <text>
        <r>
          <rPr>
            <sz val="9"/>
            <rFont val="宋体"/>
            <charset val="134"/>
          </rPr>
          <t xml:space="preserve">到付USD53.79l专预付382.
</t>
        </r>
      </text>
    </comment>
    <comment ref="M175" authorId="0">
      <text>
        <r>
          <rPr>
            <sz val="9"/>
            <rFont val="宋体"/>
            <charset val="134"/>
          </rPr>
          <t xml:space="preserve">预付300.3转到付USD42.23
</t>
        </r>
      </text>
    </comment>
    <comment ref="M183" authorId="0">
      <text>
        <r>
          <rPr>
            <sz val="9"/>
            <rFont val="宋体"/>
            <charset val="134"/>
          </rPr>
          <t xml:space="preserve">预付514.5转到付USD72.36.
</t>
        </r>
      </text>
    </comment>
    <comment ref="M186" authorId="0">
      <text>
        <r>
          <rPr>
            <sz val="9"/>
            <rFont val="宋体"/>
            <charset val="134"/>
          </rPr>
          <t>预付2790转到位USD392.4.</t>
        </r>
      </text>
    </comment>
    <comment ref="M200" authorId="0">
      <text>
        <r>
          <rPr>
            <sz val="9"/>
            <rFont val="宋体"/>
            <charset val="134"/>
          </rPr>
          <t xml:space="preserve">预付6584转到付USD929.94.
</t>
        </r>
      </text>
    </comment>
    <comment ref="M208" authorId="0">
      <text>
        <r>
          <rPr>
            <sz val="9"/>
            <rFont val="宋体"/>
            <charset val="134"/>
          </rPr>
          <t xml:space="preserve">预付170转到付USD23.91
</t>
        </r>
      </text>
    </comment>
    <comment ref="M211" authorId="0">
      <text>
        <r>
          <rPr>
            <sz val="9"/>
            <rFont val="宋体"/>
            <charset val="134"/>
          </rPr>
          <t xml:space="preserve">预付570.9转到付USD80.63..
</t>
        </r>
      </text>
    </comment>
    <comment ref="I220" authorId="0">
      <text>
        <r>
          <rPr>
            <sz val="9"/>
            <rFont val="宋体"/>
            <charset val="134"/>
          </rPr>
          <t xml:space="preserve">到付USD332.48转预付1617.
</t>
        </r>
      </text>
    </comment>
    <comment ref="M224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M230" authorId="0">
      <text>
        <r>
          <rPr>
            <sz val="9"/>
            <rFont val="宋体"/>
            <charset val="134"/>
          </rPr>
          <t>预付660转到付USD93.22</t>
        </r>
      </text>
    </comment>
    <comment ref="M231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M233" authorId="0">
      <text>
        <r>
          <rPr>
            <sz val="9"/>
            <rFont val="宋体"/>
            <charset val="134"/>
          </rPr>
          <t xml:space="preserve">预付539.55转到付USD76.2.
</t>
        </r>
      </text>
    </comment>
    <comment ref="M235" authorId="0">
      <text>
        <r>
          <rPr>
            <sz val="9"/>
            <rFont val="宋体"/>
            <charset val="134"/>
          </rPr>
          <t xml:space="preserve">预付234.3转到付USD32.95.
</t>
        </r>
      </text>
    </comment>
    <comment ref="M252" authorId="0">
      <text>
        <r>
          <rPr>
            <sz val="9"/>
            <rFont val="宋体"/>
            <charset val="134"/>
          </rPr>
          <t xml:space="preserve">预付137.5转到付USD19.33
</t>
        </r>
      </text>
    </comment>
    <comment ref="M258" authorId="0">
      <text>
        <r>
          <rPr>
            <sz val="9"/>
            <rFont val="宋体"/>
            <charset val="134"/>
          </rPr>
          <t xml:space="preserve">预付63转到付SD8.86.
</t>
        </r>
      </text>
    </comment>
    <comment ref="M266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M271" authorId="0">
      <text>
        <r>
          <rPr>
            <sz val="9"/>
            <rFont val="宋体"/>
            <charset val="134"/>
          </rPr>
          <t xml:space="preserve">预付7315转到付USD1028.83.
</t>
        </r>
      </text>
    </comment>
    <comment ref="M281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M283" authorId="0">
      <text>
        <r>
          <rPr>
            <sz val="9"/>
            <rFont val="宋体"/>
            <charset val="134"/>
          </rPr>
          <t xml:space="preserve">预付1100转到付USD154.71.
</t>
        </r>
      </text>
    </comment>
    <comment ref="I293" authorId="0">
      <text>
        <r>
          <rPr>
            <sz val="9"/>
            <rFont val="宋体"/>
            <charset val="134"/>
          </rPr>
          <t xml:space="preserve">到付USD42.86转预付308.
</t>
        </r>
      </text>
    </comment>
    <comment ref="M306" authorId="0">
      <text>
        <r>
          <rPr>
            <sz val="9"/>
            <rFont val="宋体"/>
            <charset val="134"/>
          </rPr>
          <t xml:space="preserve">预付975转USD137.71.
</t>
        </r>
      </text>
    </comment>
    <comment ref="M310" authorId="0">
      <text>
        <r>
          <rPr>
            <sz val="9"/>
            <rFont val="宋体"/>
            <charset val="134"/>
          </rPr>
          <t xml:space="preserve">预付19633转到付USD2761.32.
</t>
        </r>
      </text>
    </comment>
    <comment ref="M327" authorId="0">
      <text>
        <r>
          <rPr>
            <sz val="9"/>
            <rFont val="宋体"/>
            <charset val="134"/>
          </rPr>
          <t xml:space="preserve">预付170转到付USD23.91.
</t>
        </r>
      </text>
    </comment>
    <comment ref="M332" authorId="0">
      <text>
        <r>
          <rPr>
            <sz val="9"/>
            <rFont val="宋体"/>
            <charset val="134"/>
          </rPr>
          <t xml:space="preserve">预付1845.5转到付USD260.66
</t>
        </r>
      </text>
    </comment>
    <comment ref="M340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M341" authorId="0">
      <text>
        <r>
          <rPr>
            <sz val="9"/>
            <rFont val="宋体"/>
            <charset val="134"/>
          </rPr>
          <t xml:space="preserve">预付273转到付USD38.39
</t>
        </r>
      </text>
    </comment>
    <comment ref="M353" authorId="0">
      <text>
        <r>
          <rPr>
            <sz val="9"/>
            <rFont val="宋体"/>
            <charset val="134"/>
          </rPr>
          <t xml:space="preserve">预付16823转到付USD2376.12.
</t>
        </r>
      </text>
    </comment>
    <comment ref="M358" authorId="0">
      <text>
        <r>
          <rPr>
            <sz val="9"/>
            <rFont val="宋体"/>
            <charset val="134"/>
          </rPr>
          <t xml:space="preserve">预付951转到付SD133.75.
</t>
        </r>
      </text>
    </comment>
    <comment ref="M368" authorId="0">
      <text>
        <r>
          <rPr>
            <sz val="9"/>
            <rFont val="宋体"/>
            <charset val="134"/>
          </rPr>
          <t xml:space="preserve">预付1512转到付USD212.65.
</t>
        </r>
      </text>
    </comment>
    <comment ref="M374" authorId="0">
      <text>
        <r>
          <rPr>
            <sz val="9"/>
            <rFont val="宋体"/>
            <charset val="134"/>
          </rPr>
          <t xml:space="preserve">预付8332.5转到付USD1171.94.
</t>
        </r>
      </text>
    </comment>
    <comment ref="M375" authorId="0">
      <text>
        <r>
          <rPr>
            <sz val="9"/>
            <rFont val="宋体"/>
            <charset val="134"/>
          </rPr>
          <t>预付884.4转到付USD124.38.</t>
        </r>
      </text>
    </comment>
    <comment ref="M376" authorId="0">
      <text>
        <r>
          <rPr>
            <sz val="9"/>
            <rFont val="宋体"/>
            <charset val="134"/>
          </rPr>
          <t xml:space="preserve">预付1485转到付USD208.86.
</t>
        </r>
      </text>
    </comment>
    <comment ref="M389" authorId="0">
      <text>
        <r>
          <rPr>
            <sz val="9"/>
            <rFont val="宋体"/>
            <charset val="134"/>
          </rPr>
          <t xml:space="preserve">预付433.5转到付uSD61.22.
</t>
        </r>
      </text>
    </comment>
    <comment ref="M392" authorId="0">
      <text>
        <r>
          <rPr>
            <sz val="9"/>
            <rFont val="宋体"/>
            <charset val="134"/>
          </rPr>
          <t xml:space="preserve">预付4840转到付USD680.73.
</t>
        </r>
      </text>
    </comment>
    <comment ref="M408" authorId="0">
      <text>
        <r>
          <rPr>
            <sz val="9"/>
            <rFont val="宋体"/>
            <charset val="134"/>
          </rPr>
          <t xml:space="preserve">预付517.5转到付USD73.09.
</t>
        </r>
      </text>
    </comment>
    <comment ref="M411" authorId="0">
      <text>
        <r>
          <rPr>
            <sz val="9"/>
            <rFont val="宋体"/>
            <charset val="134"/>
          </rPr>
          <t xml:space="preserve">预付110转到付USD15.47.
</t>
        </r>
      </text>
    </comment>
    <comment ref="M413" authorId="0">
      <text>
        <r>
          <rPr>
            <sz val="9"/>
            <rFont val="宋体"/>
            <charset val="134"/>
          </rPr>
          <t xml:space="preserve">预付552转到付USD77.63.
</t>
        </r>
      </text>
    </comment>
    <comment ref="M419" authorId="0">
      <text>
        <r>
          <rPr>
            <sz val="9"/>
            <rFont val="宋体"/>
            <charset val="134"/>
          </rPr>
          <t xml:space="preserve">预付324.3转到付USD45.61.
</t>
        </r>
      </text>
    </comment>
    <comment ref="M430" authorId="0">
      <text>
        <r>
          <rPr>
            <sz val="9"/>
            <rFont val="宋体"/>
            <charset val="134"/>
          </rPr>
          <t xml:space="preserve">预付75.9转到付USD10.67
</t>
        </r>
      </text>
    </comment>
    <comment ref="M437" authorId="0">
      <text>
        <r>
          <rPr>
            <sz val="9"/>
            <rFont val="宋体"/>
            <charset val="134"/>
          </rPr>
          <t>预付402.6转到付USD56.62.</t>
        </r>
      </text>
    </comment>
    <comment ref="M441" authorId="0">
      <text>
        <r>
          <rPr>
            <sz val="9"/>
            <rFont val="宋体"/>
            <charset val="134"/>
          </rPr>
          <t xml:space="preserve">预付366.3转到付USD51.51.
</t>
        </r>
      </text>
    </comment>
    <comment ref="M444" authorId="0">
      <text>
        <r>
          <rPr>
            <sz val="9"/>
            <rFont val="宋体"/>
            <charset val="134"/>
          </rPr>
          <t xml:space="preserve">预付69.3转到付SD9.74.
</t>
        </r>
      </text>
    </comment>
    <comment ref="M452" authorId="0">
      <text>
        <r>
          <rPr>
            <sz val="9"/>
            <rFont val="宋体"/>
            <charset val="134"/>
          </rPr>
          <t xml:space="preserve">预付135.3转到付USD19.02.
</t>
        </r>
      </text>
    </comment>
    <comment ref="M455" authorId="0">
      <text>
        <r>
          <rPr>
            <sz val="9"/>
            <rFont val="宋体"/>
            <charset val="134"/>
          </rPr>
          <t>预付292.5转到付USD41.13.</t>
        </r>
      </text>
    </comment>
    <comment ref="I469" authorId="0">
      <text>
        <r>
          <rPr>
            <sz val="9"/>
            <rFont val="宋体"/>
            <charset val="134"/>
          </rPr>
          <t xml:space="preserve">原收款285元.7/11支付客户丢失货物赔偿款53.20元实收231.8
</t>
        </r>
      </text>
    </comment>
    <comment ref="M471" authorId="0">
      <text>
        <r>
          <rPr>
            <sz val="9"/>
            <rFont val="宋体"/>
            <charset val="134"/>
          </rPr>
          <t xml:space="preserve">预付201.3转到付USD28.31.
</t>
        </r>
      </text>
    </comment>
    <comment ref="M491" authorId="0">
      <text>
        <r>
          <rPr>
            <sz val="9"/>
            <rFont val="宋体"/>
            <charset val="134"/>
          </rPr>
          <t xml:space="preserve">预付6583.85转到付USD925.99.
</t>
        </r>
      </text>
    </comment>
    <comment ref="I498" authorId="0">
      <text>
        <r>
          <rPr>
            <b/>
            <sz val="9"/>
            <rFont val="宋体"/>
            <charset val="134"/>
          </rPr>
          <t>30/10支付宝支付 56619元欠701元.</t>
        </r>
        <r>
          <rPr>
            <sz val="9"/>
            <rFont val="宋体"/>
            <charset val="134"/>
          </rPr>
          <t xml:space="preserve">
</t>
        </r>
      </text>
    </comment>
    <comment ref="M499" authorId="0">
      <text>
        <r>
          <rPr>
            <sz val="9"/>
            <rFont val="宋体"/>
            <charset val="134"/>
          </rPr>
          <t xml:space="preserve">预付385转到付USD54.14.
</t>
        </r>
      </text>
    </comment>
    <comment ref="M500" authorId="0">
      <text>
        <r>
          <rPr>
            <sz val="9"/>
            <rFont val="宋体"/>
            <charset val="134"/>
          </rPr>
          <t xml:space="preserve">预付275转到付USD38.67.
</t>
        </r>
      </text>
    </comment>
    <comment ref="M505" authorId="0">
      <text>
        <r>
          <rPr>
            <sz val="9"/>
            <rFont val="宋体"/>
            <charset val="134"/>
          </rPr>
          <t xml:space="preserve">预付832.5转到付USD117.08.
</t>
        </r>
      </text>
    </comment>
    <comment ref="M507" authorId="0">
      <text>
        <r>
          <rPr>
            <sz val="9"/>
            <rFont val="宋体"/>
            <charset val="134"/>
          </rPr>
          <t xml:space="preserve">预付102转到付USD14.34
</t>
        </r>
      </text>
    </comment>
    <comment ref="M511" authorId="0">
      <text>
        <r>
          <rPr>
            <sz val="9"/>
            <rFont val="宋体"/>
            <charset val="134"/>
          </rPr>
          <t xml:space="preserve">预付8670转到付USD1219.4
</t>
        </r>
      </text>
    </comment>
    <comment ref="M516" authorId="0">
      <text>
        <r>
          <rPr>
            <sz val="9"/>
            <rFont val="宋体"/>
            <charset val="134"/>
          </rPr>
          <t xml:space="preserve">预付1040转到付USD146.27.
</t>
        </r>
      </text>
    </comment>
    <comment ref="M518" authorId="0">
      <text>
        <r>
          <rPr>
            <sz val="9"/>
            <rFont val="宋体"/>
            <charset val="134"/>
          </rPr>
          <t xml:space="preserve">预付63转到付USD8.86.
</t>
        </r>
      </text>
    </comment>
    <comment ref="M536" authorId="0">
      <text>
        <r>
          <rPr>
            <sz val="9"/>
            <rFont val="宋体"/>
            <charset val="134"/>
          </rPr>
          <t xml:space="preserve">预付241.5转到付USD33.96.
</t>
        </r>
      </text>
    </comment>
    <comment ref="M541" authorId="0">
      <text>
        <r>
          <rPr>
            <sz val="9"/>
            <rFont val="宋体"/>
            <charset val="134"/>
          </rPr>
          <t xml:space="preserve">预付385转到付SD54.14.
</t>
        </r>
      </text>
    </comment>
    <comment ref="M547" authorId="0">
      <text>
        <r>
          <rPr>
            <sz val="9"/>
            <rFont val="宋体"/>
            <charset val="134"/>
          </rPr>
          <t xml:space="preserve">预付510转到付USD71.73.
</t>
        </r>
      </text>
    </comment>
    <comment ref="M553" authorId="0">
      <text>
        <r>
          <rPr>
            <sz val="9"/>
            <rFont val="宋体"/>
            <charset val="134"/>
          </rPr>
          <t xml:space="preserve">预付460转到付USD64.59.
</t>
        </r>
      </text>
    </comment>
    <comment ref="M560" authorId="0">
      <text>
        <r>
          <rPr>
            <sz val="9"/>
            <rFont val="宋体"/>
            <charset val="134"/>
          </rPr>
          <t xml:space="preserve">预付850转到付USD120.05.
</t>
        </r>
      </text>
    </comment>
    <comment ref="M561" authorId="0">
      <text>
        <r>
          <rPr>
            <sz val="9"/>
            <rFont val="宋体"/>
            <charset val="134"/>
          </rPr>
          <t xml:space="preserve">预付460转到付USD64.97.
</t>
        </r>
      </text>
    </comment>
    <comment ref="M562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M565" authorId="0">
      <text>
        <r>
          <rPr>
            <sz val="9"/>
            <rFont val="宋体"/>
            <charset val="134"/>
          </rPr>
          <t xml:space="preserve">预付160转到付USD22.5
</t>
        </r>
      </text>
    </comment>
    <comment ref="M571" authorId="0">
      <text>
        <r>
          <rPr>
            <sz val="9"/>
            <rFont val="宋体"/>
            <charset val="134"/>
          </rPr>
          <t xml:space="preserve">预付345转到付USD48.52.
</t>
        </r>
      </text>
    </comment>
    <comment ref="M576" authorId="0">
      <text>
        <r>
          <rPr>
            <sz val="9"/>
            <rFont val="宋体"/>
            <charset val="134"/>
          </rPr>
          <t xml:space="preserve">预付9180转到付USD1291.13.
</t>
        </r>
      </text>
    </comment>
    <comment ref="M579" authorId="0">
      <text>
        <r>
          <rPr>
            <sz val="9"/>
            <rFont val="宋体"/>
            <charset val="134"/>
          </rPr>
          <t xml:space="preserve">预付462转到付USD64.97.
</t>
        </r>
      </text>
    </comment>
    <comment ref="M584" authorId="0">
      <text>
        <r>
          <rPr>
            <sz val="9"/>
            <rFont val="宋体"/>
            <charset val="134"/>
          </rPr>
          <t xml:space="preserve">预付826转到付USD116.17.
</t>
        </r>
      </text>
    </comment>
    <comment ref="M611" authorId="0">
      <text>
        <r>
          <rPr>
            <sz val="9"/>
            <rFont val="宋体"/>
            <charset val="134"/>
          </rPr>
          <t>预付571转到付USD80.3</t>
        </r>
      </text>
    </comment>
    <comment ref="M613" authorId="0">
      <text>
        <r>
          <rPr>
            <sz val="9"/>
            <rFont val="宋体"/>
            <charset val="134"/>
          </rPr>
          <t xml:space="preserve">预付1122转到付USD157.8
</t>
        </r>
      </text>
    </comment>
    <comment ref="M619" authorId="0">
      <text>
        <r>
          <rPr>
            <sz val="9"/>
            <rFont val="宋体"/>
            <charset val="134"/>
          </rPr>
          <t xml:space="preserve">预付31158.5转到付USD4382.34.
</t>
        </r>
      </text>
    </comment>
    <comment ref="M620" authorId="0">
      <text>
        <r>
          <rPr>
            <sz val="9"/>
            <rFont val="宋体"/>
            <charset val="134"/>
          </rPr>
          <t xml:space="preserve">预付6330转到付USD890.29.
</t>
        </r>
      </text>
    </comment>
    <comment ref="M621" authorId="0">
      <text>
        <r>
          <rPr>
            <sz val="9"/>
            <rFont val="宋体"/>
            <charset val="134"/>
          </rPr>
          <t xml:space="preserve">预付1326转到付USD186.49.
</t>
        </r>
      </text>
    </comment>
    <comment ref="M625" authorId="0">
      <text>
        <r>
          <rPr>
            <sz val="9"/>
            <rFont val="宋体"/>
            <charset val="134"/>
          </rPr>
          <t xml:space="preserve">预付220转到付USD30.94.
</t>
        </r>
      </text>
    </comment>
    <comment ref="M638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M645" authorId="0">
      <text>
        <r>
          <rPr>
            <sz val="9"/>
            <rFont val="宋体"/>
            <charset val="134"/>
          </rPr>
          <t xml:space="preserve">预付240转到付SD33.75.
</t>
        </r>
      </text>
    </comment>
    <comment ref="M658" authorId="0">
      <text>
        <r>
          <rPr>
            <sz val="9"/>
            <rFont val="宋体"/>
            <charset val="134"/>
          </rPr>
          <t xml:space="preserve">预付268.95转驸USD37.82
</t>
        </r>
      </text>
    </comment>
    <comment ref="M668" authorId="0">
      <text>
        <r>
          <rPr>
            <sz val="9"/>
            <rFont val="宋体"/>
            <charset val="134"/>
          </rPr>
          <t xml:space="preserve">预付732.6转到付USD103.03
</t>
        </r>
      </text>
    </comment>
    <comment ref="M678" authorId="0">
      <text>
        <r>
          <rPr>
            <sz val="9"/>
            <rFont val="宋体"/>
            <charset val="134"/>
          </rPr>
          <t xml:space="preserve">预付193.05转到付USD27.15
</t>
        </r>
      </text>
    </comment>
    <comment ref="M679" authorId="0">
      <text>
        <r>
          <rPr>
            <sz val="9"/>
            <rFont val="宋体"/>
            <charset val="134"/>
          </rPr>
          <t xml:space="preserve">预付66转到付SD9.28.
</t>
        </r>
      </text>
    </comment>
    <comment ref="I681" authorId="0">
      <text>
        <r>
          <rPr>
            <sz val="9"/>
            <rFont val="宋体"/>
            <charset val="134"/>
          </rPr>
          <t xml:space="preserve">到付USD5388.59转预付38259.
</t>
        </r>
      </text>
    </comment>
    <comment ref="M683" authorId="0">
      <text>
        <r>
          <rPr>
            <sz val="9"/>
            <rFont val="宋体"/>
            <charset val="134"/>
          </rPr>
          <t xml:space="preserve">预付1835转到位USD258.08.
</t>
        </r>
      </text>
    </comment>
    <comment ref="M688" authorId="0">
      <text>
        <r>
          <rPr>
            <sz val="9"/>
            <rFont val="宋体"/>
            <charset val="134"/>
          </rPr>
          <t xml:space="preserve">预付1530转到付USD215.18.
</t>
        </r>
      </text>
    </comment>
    <comment ref="M690" authorId="0">
      <text>
        <r>
          <rPr>
            <sz val="9"/>
            <rFont val="宋体"/>
            <charset val="134"/>
          </rPr>
          <t xml:space="preserve">预付366转到付SD51.47.
</t>
        </r>
      </text>
    </comment>
    <comment ref="M701" authorId="0">
      <text>
        <r>
          <rPr>
            <sz val="9"/>
            <rFont val="宋体"/>
            <charset val="134"/>
          </rPr>
          <t xml:space="preserve">预付996转到付USD140.08.
</t>
        </r>
      </text>
    </comment>
    <comment ref="M707" authorId="0">
      <text>
        <r>
          <rPr>
            <sz val="9"/>
            <rFont val="宋体"/>
            <charset val="134"/>
          </rPr>
          <t xml:space="preserve">预付275转到付USD38.67.
</t>
        </r>
      </text>
    </comment>
    <comment ref="I717" authorId="0">
      <text>
        <r>
          <rPr>
            <sz val="9"/>
            <rFont val="宋体"/>
            <charset val="134"/>
          </rPr>
          <t xml:space="preserve">到付USD375.81转预付2750.
</t>
        </r>
      </text>
    </comment>
    <comment ref="M719" authorId="0">
      <text>
        <r>
          <rPr>
            <sz val="9"/>
            <rFont val="宋体"/>
            <charset val="134"/>
          </rPr>
          <t xml:space="preserve">预付72转到付USD10.12.
</t>
        </r>
      </text>
    </comment>
    <comment ref="M722" authorId="0">
      <text>
        <r>
          <rPr>
            <sz val="9"/>
            <rFont val="宋体"/>
            <charset val="134"/>
          </rPr>
          <t xml:space="preserve">预付696转到付USD97.89.
</t>
        </r>
      </text>
    </comment>
    <comment ref="M723" authorId="0">
      <text>
        <r>
          <rPr>
            <sz val="9"/>
            <rFont val="宋体"/>
            <charset val="134"/>
          </rPr>
          <t xml:space="preserve">预付2299转到付USD323.34.
</t>
        </r>
      </text>
    </comment>
    <comment ref="M732" authorId="0">
      <text>
        <r>
          <rPr>
            <sz val="9"/>
            <rFont val="宋体"/>
            <charset val="134"/>
          </rPr>
          <t xml:space="preserve">预付80转到付USD11.25.
</t>
        </r>
      </text>
    </comment>
    <comment ref="M734" authorId="0">
      <text>
        <r>
          <rPr>
            <sz val="9"/>
            <rFont val="宋体"/>
            <charset val="134"/>
          </rPr>
          <t xml:space="preserve">预付962.5转到付USD135.37
</t>
        </r>
      </text>
    </comment>
    <comment ref="M737" authorId="0">
      <text>
        <r>
          <rPr>
            <sz val="9"/>
            <rFont val="宋体"/>
            <charset val="134"/>
          </rPr>
          <t xml:space="preserve">预付2160转到付USD303.79
</t>
        </r>
      </text>
    </comment>
    <comment ref="M739" authorId="0">
      <text>
        <r>
          <rPr>
            <sz val="9"/>
            <rFont val="宋体"/>
            <charset val="134"/>
          </rPr>
          <t xml:space="preserve">预付1160转到付USD163.15.
</t>
        </r>
      </text>
    </comment>
    <comment ref="M747" authorId="0">
      <text>
        <r>
          <rPr>
            <sz val="9"/>
            <rFont val="宋体"/>
            <charset val="134"/>
          </rPr>
          <t xml:space="preserve">预付66转到付USD9.28.
</t>
        </r>
      </text>
    </comment>
    <comment ref="M748" authorId="0">
      <text>
        <r>
          <rPr>
            <sz val="9"/>
            <rFont val="宋体"/>
            <charset val="134"/>
          </rPr>
          <t xml:space="preserve">预付12870转到付USD1810.12
</t>
        </r>
      </text>
    </comment>
    <comment ref="M750" authorId="0">
      <text>
        <r>
          <rPr>
            <sz val="9"/>
            <rFont val="宋体"/>
            <charset val="134"/>
          </rPr>
          <t xml:space="preserve">预付66转到付USD9.28.
</t>
        </r>
      </text>
    </comment>
    <comment ref="M751" authorId="0">
      <text>
        <r>
          <rPr>
            <sz val="9"/>
            <rFont val="宋体"/>
            <charset val="134"/>
          </rPr>
          <t xml:space="preserve">预付129转到付SD18.14.
</t>
        </r>
      </text>
    </comment>
    <comment ref="M760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M761" authorId="0">
      <text>
        <r>
          <rPr>
            <sz val="9"/>
            <rFont val="宋体"/>
            <charset val="134"/>
          </rPr>
          <t xml:space="preserve">预付60转到付USD8.43.
</t>
        </r>
      </text>
    </comment>
    <comment ref="M767" authorId="0">
      <text>
        <r>
          <rPr>
            <sz val="9"/>
            <rFont val="宋体"/>
            <charset val="134"/>
          </rPr>
          <t xml:space="preserve">预付840转到付USD118.14.
</t>
        </r>
      </text>
    </comment>
    <comment ref="M775" authorId="0">
      <text>
        <r>
          <rPr>
            <sz val="9"/>
            <rFont val="宋体"/>
            <charset val="134"/>
          </rPr>
          <t xml:space="preserve">预付243转到付USD34.17.
</t>
        </r>
      </text>
    </comment>
    <comment ref="M779" authorId="0">
      <text>
        <r>
          <rPr>
            <sz val="9"/>
            <rFont val="宋体"/>
            <charset val="134"/>
          </rPr>
          <t>预付66转到付USD9.28.</t>
        </r>
      </text>
    </comment>
    <comment ref="M784" authorId="0">
      <text>
        <r>
          <rPr>
            <sz val="9"/>
            <rFont val="宋体"/>
            <charset val="134"/>
          </rPr>
          <t xml:space="preserve">预付18050转到付USD2538.67.
</t>
        </r>
      </text>
    </comment>
    <comment ref="M786" authorId="0">
      <text>
        <r>
          <rPr>
            <sz val="9"/>
            <rFont val="宋体"/>
            <charset val="134"/>
          </rPr>
          <t xml:space="preserve">预付468.6转到付USD65.9
</t>
        </r>
      </text>
    </comment>
    <comment ref="M789" authorId="0">
      <text>
        <r>
          <rPr>
            <sz val="9"/>
            <rFont val="宋体"/>
            <charset val="134"/>
          </rPr>
          <t xml:space="preserve">预付79.2转到付USD11.13.
</t>
        </r>
      </text>
    </comment>
    <comment ref="M809" authorId="0">
      <text>
        <r>
          <rPr>
            <sz val="9"/>
            <rFont val="宋体"/>
            <charset val="134"/>
          </rPr>
          <t xml:space="preserve">预付72.6转到付SD10.21.
</t>
        </r>
      </text>
    </comment>
    <comment ref="M823" authorId="0">
      <text>
        <r>
          <rPr>
            <sz val="9"/>
            <rFont val="宋体"/>
            <charset val="134"/>
          </rPr>
          <t xml:space="preserve">预付5776.4转到付USD812.43
</t>
        </r>
      </text>
    </comment>
    <comment ref="M827" authorId="0">
      <text>
        <r>
          <rPr>
            <sz val="9"/>
            <rFont val="宋体"/>
            <charset val="134"/>
          </rPr>
          <t xml:space="preserve">预付1890转到付USD265.82.
</t>
        </r>
      </text>
    </comment>
    <comment ref="M836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M842" authorId="0">
      <text>
        <r>
          <rPr>
            <sz val="9"/>
            <rFont val="宋体"/>
            <charset val="134"/>
          </rPr>
          <t xml:space="preserve">预付402.5转到付USD56.61.
</t>
        </r>
      </text>
    </comment>
    <comment ref="M854" authorId="0">
      <text>
        <r>
          <rPr>
            <sz val="9"/>
            <rFont val="宋体"/>
            <charset val="134"/>
          </rPr>
          <t xml:space="preserve">预付72转到付USD10.12.
</t>
        </r>
      </text>
    </comment>
    <comment ref="M855" authorId="0">
      <text>
        <r>
          <rPr>
            <sz val="9"/>
            <rFont val="宋体"/>
            <charset val="134"/>
          </rPr>
          <t>预付2080转到付USD292.54.</t>
        </r>
      </text>
    </comment>
    <comment ref="M859" authorId="0">
      <text>
        <r>
          <rPr>
            <sz val="9"/>
            <rFont val="宋体"/>
            <charset val="134"/>
          </rPr>
          <t xml:space="preserve">预付468转到付USD65.82
</t>
        </r>
      </text>
    </comment>
    <comment ref="M862" authorId="0">
      <text>
        <r>
          <rPr>
            <sz val="9"/>
            <rFont val="宋体"/>
            <charset val="134"/>
          </rPr>
          <t xml:space="preserve">预付129转到付USD18.14.
</t>
        </r>
      </text>
    </comment>
    <comment ref="M872" authorId="0">
      <text>
        <r>
          <rPr>
            <sz val="9"/>
            <rFont val="宋体"/>
            <charset val="134"/>
          </rPr>
          <t xml:space="preserve">预付988.84转到付USD139.07
</t>
        </r>
      </text>
    </comment>
    <comment ref="M873" authorId="0">
      <text>
        <r>
          <rPr>
            <sz val="9"/>
            <rFont val="宋体"/>
            <charset val="134"/>
          </rPr>
          <t xml:space="preserve">预付1165转到付USD163.85
</t>
        </r>
      </text>
    </comment>
    <comment ref="M874" authorId="0">
      <text>
        <r>
          <rPr>
            <sz val="9"/>
            <rFont val="宋体"/>
            <charset val="134"/>
          </rPr>
          <t xml:space="preserve">预付845转到付USD18.84.
</t>
        </r>
      </text>
    </comment>
    <comment ref="M884" authorId="0">
      <text>
        <r>
          <rPr>
            <sz val="9"/>
            <rFont val="宋体"/>
            <charset val="134"/>
          </rPr>
          <t>预付1480.5转到付SD208.22.</t>
        </r>
      </text>
    </comment>
    <comment ref="M899" authorId="0">
      <text>
        <r>
          <rPr>
            <sz val="9"/>
            <rFont val="宋体"/>
            <charset val="134"/>
          </rPr>
          <t xml:space="preserve">预付1375转到付USD193.38.
</t>
        </r>
      </text>
    </comment>
    <comment ref="M900" authorId="0">
      <text>
        <r>
          <rPr>
            <sz val="9"/>
            <rFont val="宋体"/>
            <charset val="134"/>
          </rPr>
          <t xml:space="preserve">预付2671转到付USD375.66.
</t>
        </r>
      </text>
    </comment>
    <comment ref="M915" authorId="0">
      <text>
        <r>
          <rPr>
            <sz val="9"/>
            <rFont val="宋体"/>
            <charset val="134"/>
          </rPr>
          <t xml:space="preserve">预付145转到付USD20.39.
</t>
        </r>
      </text>
    </comment>
    <comment ref="M918" authorId="0">
      <text>
        <r>
          <rPr>
            <sz val="9"/>
            <rFont val="宋体"/>
            <charset val="134"/>
          </rPr>
          <t xml:space="preserve">预付1206转到付USD169.62.
</t>
        </r>
      </text>
    </comment>
    <comment ref="M933" authorId="0">
      <text>
        <r>
          <rPr>
            <sz val="9"/>
            <rFont val="宋体"/>
            <charset val="134"/>
          </rPr>
          <t xml:space="preserve">预付107.25转到付USD15.08.
</t>
        </r>
      </text>
    </comment>
    <comment ref="I934" authorId="0">
      <text>
        <r>
          <rPr>
            <sz val="9"/>
            <rFont val="宋体"/>
            <charset val="134"/>
          </rPr>
          <t xml:space="preserve">赔偿货物丢失132元.实收-66元.
</t>
        </r>
      </text>
    </comment>
    <comment ref="I943" authorId="0">
      <text>
        <r>
          <rPr>
            <sz val="9"/>
            <rFont val="宋体"/>
            <charset val="134"/>
          </rPr>
          <t xml:space="preserve">到付USD57.36转预付422.
</t>
        </r>
      </text>
    </comment>
    <comment ref="M944" authorId="0">
      <text>
        <r>
          <rPr>
            <sz val="9"/>
            <rFont val="宋体"/>
            <charset val="134"/>
          </rPr>
          <t xml:space="preserve">预付268.8转到付USD37.8.
</t>
        </r>
      </text>
    </comment>
    <comment ref="M966" authorId="0">
      <text>
        <r>
          <rPr>
            <sz val="9"/>
            <rFont val="宋体"/>
            <charset val="134"/>
          </rPr>
          <t xml:space="preserve">预付806.4转到付USD113.41
</t>
        </r>
      </text>
    </comment>
    <comment ref="M978" authorId="0">
      <text>
        <r>
          <rPr>
            <sz val="9"/>
            <rFont val="宋体"/>
            <charset val="134"/>
          </rPr>
          <t xml:space="preserve">预付72.6转到付USD10.21.
</t>
        </r>
      </text>
    </comment>
    <comment ref="M980" authorId="0">
      <text>
        <r>
          <rPr>
            <sz val="9"/>
            <rFont val="宋体"/>
            <charset val="134"/>
          </rPr>
          <t xml:space="preserve">预付211.2转到付USD29.7.
</t>
        </r>
      </text>
    </comment>
    <comment ref="M984" authorId="0">
      <text>
        <r>
          <rPr>
            <sz val="9"/>
            <rFont val="宋体"/>
            <charset val="134"/>
          </rPr>
          <t xml:space="preserve">预付600.6转到付USD84.47.
</t>
        </r>
      </text>
    </comment>
    <comment ref="M987" authorId="0">
      <text>
        <r>
          <rPr>
            <sz val="9"/>
            <rFont val="宋体"/>
            <charset val="134"/>
          </rPr>
          <t>预付349.8转GCVWF u</t>
        </r>
      </text>
    </comment>
    <comment ref="M1009" authorId="0">
      <text>
        <r>
          <rPr>
            <sz val="9"/>
            <rFont val="宋体"/>
            <charset val="134"/>
          </rPr>
          <t xml:space="preserve">预付2645转到付USD372.01.
</t>
        </r>
      </text>
    </comment>
  </commentList>
</comments>
</file>

<file path=xl/sharedStrings.xml><?xml version="1.0" encoding="utf-8"?>
<sst xmlns="http://schemas.openxmlformats.org/spreadsheetml/2006/main" count="3158" uniqueCount="600">
  <si>
    <t>2024年10月份LOS毛利表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</si>
  <si>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</si>
  <si>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</si>
  <si>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</si>
  <si>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</si>
  <si>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</si>
  <si>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</si>
  <si>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</si>
  <si>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</si>
  <si>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</si>
  <si>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</si>
  <si>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</si>
  <si>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</si>
  <si>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</si>
  <si>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</si>
  <si>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</si>
  <si>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</si>
  <si>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</si>
  <si>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</si>
  <si>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</si>
  <si>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</si>
  <si>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</si>
  <si>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</si>
  <si>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</si>
  <si>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</si>
  <si>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</si>
  <si>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</si>
  <si>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</si>
  <si>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</si>
  <si>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</si>
  <si>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</si>
  <si>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</si>
  <si>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</si>
  <si>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</si>
  <si>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</si>
  <si>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JOB100324</t>
  </si>
  <si>
    <t>COLL004186</t>
  </si>
  <si>
    <t>黄颖</t>
  </si>
  <si>
    <t>ying</t>
  </si>
  <si>
    <t>zhang feng</t>
  </si>
  <si>
    <t>富姐</t>
  </si>
  <si>
    <t>朱小飞</t>
  </si>
  <si>
    <t>Isabel Zhu</t>
  </si>
  <si>
    <t>Liu Mao</t>
  </si>
  <si>
    <t>苏慧琪</t>
  </si>
  <si>
    <t>KAY</t>
  </si>
  <si>
    <t>YEMBA BOB MAI</t>
  </si>
  <si>
    <t>Sam.Pao</t>
  </si>
  <si>
    <t>ChengZhen</t>
  </si>
  <si>
    <t>MaiKaiNian</t>
  </si>
  <si>
    <t>Tony</t>
  </si>
  <si>
    <t>Julie LEE</t>
  </si>
  <si>
    <t>Julie lee</t>
  </si>
  <si>
    <t>JiaFeng</t>
  </si>
  <si>
    <t>jiafeng</t>
  </si>
  <si>
    <t>Bella</t>
  </si>
  <si>
    <t>Bella Chan</t>
  </si>
  <si>
    <t>Dan Dan</t>
  </si>
  <si>
    <t>CHIMEZIE MARTIN</t>
  </si>
  <si>
    <t>JOB100325</t>
  </si>
  <si>
    <t>COLL004190</t>
  </si>
  <si>
    <t>A Lan</t>
  </si>
  <si>
    <t>Lin Ming Ze</t>
  </si>
  <si>
    <t>Diana</t>
  </si>
  <si>
    <t>Angel</t>
  </si>
  <si>
    <t>XianShiRenSheng</t>
  </si>
  <si>
    <t>吕沛霖</t>
  </si>
  <si>
    <t>喵喵速运-Layne</t>
  </si>
  <si>
    <t>BFSH</t>
  </si>
  <si>
    <t>jeason Cai</t>
  </si>
  <si>
    <t>Kelly</t>
  </si>
  <si>
    <t>AKai</t>
  </si>
  <si>
    <t>YEMI</t>
  </si>
  <si>
    <t>Sue</t>
  </si>
  <si>
    <t>wangmeng</t>
  </si>
  <si>
    <t>Wangjianshe</t>
  </si>
  <si>
    <t>罗伟健</t>
  </si>
  <si>
    <t>MailMail速运-演员</t>
  </si>
  <si>
    <t>Miss Chen</t>
  </si>
  <si>
    <t>SF Jerry 顾</t>
  </si>
  <si>
    <t>JOB100328</t>
  </si>
  <si>
    <t>COLL004193</t>
  </si>
  <si>
    <t>JACK</t>
  </si>
  <si>
    <t>Robin Tai</t>
  </si>
  <si>
    <t>SHAEK</t>
  </si>
  <si>
    <t>Cammille</t>
  </si>
  <si>
    <t>DAVID</t>
  </si>
  <si>
    <t>weng zixian</t>
  </si>
  <si>
    <t>无人</t>
  </si>
  <si>
    <t>土狗泥</t>
  </si>
  <si>
    <t>TOYIN S.ADEKUNLE</t>
  </si>
  <si>
    <t>Li Si Zhe</t>
  </si>
  <si>
    <t>JOB100329</t>
  </si>
  <si>
    <t>COLL004188</t>
  </si>
  <si>
    <t>lituo</t>
  </si>
  <si>
    <t>顶派</t>
  </si>
  <si>
    <t>Abdul Majeed Baba</t>
  </si>
  <si>
    <t>DING</t>
  </si>
  <si>
    <t>SHI</t>
  </si>
  <si>
    <t>David</t>
  </si>
  <si>
    <t>Aminu</t>
  </si>
  <si>
    <t>Cindy</t>
  </si>
  <si>
    <t>Damilola</t>
  </si>
  <si>
    <t>los徐周鹏</t>
  </si>
  <si>
    <t>Jahnson</t>
  </si>
  <si>
    <t>Joy</t>
  </si>
  <si>
    <t>Lizzy</t>
  </si>
  <si>
    <t>Yuan Shi Jin</t>
  </si>
  <si>
    <t>CHIGBO CHIDOZIE CHRISTIAN</t>
  </si>
  <si>
    <t>Joseph abba</t>
  </si>
  <si>
    <t>shagamu</t>
  </si>
  <si>
    <t>Steven Abuja</t>
  </si>
  <si>
    <t>li tao</t>
  </si>
  <si>
    <t>Engr. Tijjani Abubakar</t>
  </si>
  <si>
    <t>Lilon</t>
  </si>
  <si>
    <t>chenxin</t>
  </si>
  <si>
    <t>fang ming</t>
  </si>
  <si>
    <t>Chibuzor Victoria</t>
  </si>
  <si>
    <t>Mailmail Abv sales person 1</t>
  </si>
  <si>
    <t>Adams</t>
  </si>
  <si>
    <t>dejare James</t>
  </si>
  <si>
    <t>Mr IGE</t>
  </si>
  <si>
    <t>Jhon</t>
  </si>
  <si>
    <t>Emmanuel Agwegiokhe</t>
  </si>
  <si>
    <t>LEO WEI</t>
  </si>
  <si>
    <t>kevin</t>
  </si>
  <si>
    <t>Bao Bao</t>
  </si>
  <si>
    <t>Kim</t>
  </si>
  <si>
    <t>LI DKM</t>
  </si>
  <si>
    <t>MA ZONG</t>
  </si>
  <si>
    <t>William Xu</t>
  </si>
  <si>
    <t>Xu Xin Tao</t>
  </si>
  <si>
    <t>Kola</t>
  </si>
  <si>
    <t>Jahmin Emenyonu</t>
  </si>
  <si>
    <t>Zhang Mei Li</t>
  </si>
  <si>
    <t>陆总</t>
  </si>
  <si>
    <t>陆梓龙</t>
  </si>
  <si>
    <t>luk</t>
  </si>
  <si>
    <t>Gao Yun</t>
  </si>
  <si>
    <t>Rabiu Mohammed</t>
  </si>
  <si>
    <t>Ah May</t>
  </si>
  <si>
    <t>Ke Zong</t>
  </si>
  <si>
    <t>JOB100330</t>
  </si>
  <si>
    <t>COLL004187</t>
  </si>
  <si>
    <t>NAN GUA</t>
  </si>
  <si>
    <t>Xiao Xi Bin</t>
  </si>
  <si>
    <t>haowangjun</t>
  </si>
  <si>
    <t>FanXiangGuo</t>
  </si>
  <si>
    <t>Lisa</t>
  </si>
  <si>
    <t>fast hours DM NIGHT LED</t>
  </si>
  <si>
    <t>Dylan</t>
  </si>
  <si>
    <t>Wa Wa Jun</t>
  </si>
  <si>
    <t>zhang long ting</t>
  </si>
  <si>
    <t>Olurebi Mofiyin cosmetics</t>
  </si>
  <si>
    <t>MR HE</t>
  </si>
  <si>
    <t>WEN</t>
  </si>
  <si>
    <t>Mr Chen</t>
  </si>
  <si>
    <t>Halifa Success</t>
  </si>
  <si>
    <t>William Wei</t>
  </si>
  <si>
    <t>HELLO</t>
  </si>
  <si>
    <t>Qing Qing</t>
  </si>
  <si>
    <t>MR li</t>
  </si>
  <si>
    <t>huangjie</t>
  </si>
  <si>
    <t>yunus</t>
  </si>
  <si>
    <t>V.C</t>
  </si>
  <si>
    <t>Jason</t>
  </si>
  <si>
    <t>Adeyinka Rasheed</t>
  </si>
  <si>
    <t>RM</t>
  </si>
  <si>
    <t>musa birma</t>
  </si>
  <si>
    <t>Xiao Su</t>
  </si>
  <si>
    <t>Xiao Hai Tun</t>
  </si>
  <si>
    <t>eddy</t>
  </si>
  <si>
    <t>Gayus</t>
  </si>
  <si>
    <t>Fang Yu Lan</t>
  </si>
  <si>
    <t>XIAO K</t>
  </si>
  <si>
    <t>Han Yi</t>
  </si>
  <si>
    <t>Pepsi Cola</t>
  </si>
  <si>
    <t>Elsie Xu</t>
  </si>
  <si>
    <t>Lu Shi Huang</t>
  </si>
  <si>
    <t>CHENG ZHONG</t>
  </si>
  <si>
    <t>Mr Folabidayo</t>
  </si>
  <si>
    <t>Mr.Bernie</t>
  </si>
  <si>
    <t>Nicole li</t>
  </si>
  <si>
    <t>Frank</t>
  </si>
  <si>
    <t>Leo Liang</t>
  </si>
  <si>
    <t>Wu Jiao Xing</t>
  </si>
  <si>
    <t>chenxiaojie</t>
  </si>
  <si>
    <t>mengguangwei</t>
  </si>
  <si>
    <t>Sun Peng Cheng</t>
  </si>
  <si>
    <t>Alkamissa</t>
  </si>
  <si>
    <t>Maureen Kingsley</t>
  </si>
  <si>
    <t>Yangbin</t>
  </si>
  <si>
    <t>Chen Zheng</t>
  </si>
  <si>
    <t>zhang yong chong</t>
  </si>
  <si>
    <t>zhangzhibin</t>
  </si>
  <si>
    <t>Mr ou</t>
  </si>
  <si>
    <t>clarkzeng2</t>
  </si>
  <si>
    <t>zengyugui</t>
  </si>
  <si>
    <t>永嘉</t>
  </si>
  <si>
    <t>Lee</t>
  </si>
  <si>
    <t>Xin Ting</t>
  </si>
  <si>
    <t>Zhuang Qing Qing</t>
  </si>
  <si>
    <t>Festac ShopRite Lee</t>
  </si>
  <si>
    <t>Kaylee Tan</t>
  </si>
  <si>
    <t>EY</t>
  </si>
  <si>
    <t>Hui Zi</t>
  </si>
  <si>
    <t>Lucy</t>
  </si>
  <si>
    <t>Mu Shi Shi</t>
  </si>
  <si>
    <t>Xi Ning</t>
  </si>
  <si>
    <t>Laura</t>
  </si>
  <si>
    <t>Ding Hui Fang</t>
  </si>
  <si>
    <t>TT</t>
  </si>
  <si>
    <t>CH</t>
  </si>
  <si>
    <t>Mr Shen</t>
  </si>
  <si>
    <t>YAORONGHUA</t>
  </si>
  <si>
    <t>zheng郑创珊</t>
  </si>
  <si>
    <t>yinshaosen</t>
  </si>
  <si>
    <t>方 丽 娟</t>
  </si>
  <si>
    <t>Huang Song</t>
  </si>
  <si>
    <t>Precious Ali</t>
  </si>
  <si>
    <t>Mr. Jason</t>
  </si>
  <si>
    <t>SKY JET</t>
  </si>
  <si>
    <t>Nkechi</t>
  </si>
  <si>
    <t>WEI PING</t>
  </si>
  <si>
    <t>Pizza</t>
  </si>
  <si>
    <t>Lin Dan</t>
  </si>
  <si>
    <t>Li Li</t>
  </si>
  <si>
    <t>Tina</t>
  </si>
  <si>
    <t>NING NING</t>
  </si>
  <si>
    <t>Bin</t>
  </si>
  <si>
    <t>Nguhemen Terver</t>
  </si>
  <si>
    <t>ANTHONY</t>
  </si>
  <si>
    <t>Mr Zhou Jia Liang</t>
  </si>
  <si>
    <t>mazhiwei</t>
  </si>
  <si>
    <t>Mr.zhang</t>
  </si>
  <si>
    <t>Olayemi Oyewo</t>
  </si>
  <si>
    <t>CJ</t>
  </si>
  <si>
    <t>Miguel</t>
  </si>
  <si>
    <t>Thomas</t>
  </si>
  <si>
    <t>chenlu</t>
  </si>
  <si>
    <t>罗珮文</t>
  </si>
  <si>
    <t>Shirley</t>
  </si>
  <si>
    <t>Huang Fei</t>
  </si>
  <si>
    <t>ANQI</t>
  </si>
  <si>
    <t>Dou Dou</t>
  </si>
  <si>
    <t>kennie</t>
  </si>
  <si>
    <t>Wu Cheng Sheng</t>
  </si>
  <si>
    <t>Mukaila Olalekan Kamaldeen</t>
  </si>
  <si>
    <t>Mr Francis Chukwu</t>
  </si>
  <si>
    <t>JOB100332</t>
  </si>
  <si>
    <t>COLL004196</t>
  </si>
  <si>
    <t>SAMPAO</t>
  </si>
  <si>
    <t>JOB100333</t>
  </si>
  <si>
    <t>COLL004191</t>
  </si>
  <si>
    <t>KE ZONG</t>
  </si>
  <si>
    <t>Ope Olofinjana</t>
  </si>
  <si>
    <t>A LENG</t>
  </si>
  <si>
    <t>Leng Feng</t>
  </si>
  <si>
    <t>Johnson</t>
  </si>
  <si>
    <t>Unique Desh logistics</t>
  </si>
  <si>
    <t>Mailmail/Taiwo</t>
  </si>
  <si>
    <t>shola</t>
  </si>
  <si>
    <t>LI LING BO</t>
  </si>
  <si>
    <t>JING XIN ZHI LV</t>
  </si>
  <si>
    <t>Mr Ma</t>
  </si>
  <si>
    <t>Val</t>
  </si>
  <si>
    <t>Mr Yinka.</t>
  </si>
  <si>
    <t>Hillter</t>
  </si>
  <si>
    <t>zhou ji kao rou</t>
  </si>
  <si>
    <t>REMI</t>
  </si>
  <si>
    <t>Oba Adeoriyomi Oyebo</t>
  </si>
  <si>
    <t>matt</t>
  </si>
  <si>
    <t>yangweiqiang</t>
  </si>
  <si>
    <t>los牛晨晖</t>
  </si>
  <si>
    <t>Tian Yan</t>
  </si>
  <si>
    <t>Tom</t>
  </si>
  <si>
    <t>Tom chen</t>
  </si>
  <si>
    <t>Yang Yang</t>
  </si>
  <si>
    <t>Jack</t>
  </si>
  <si>
    <t>MATAO</t>
  </si>
  <si>
    <t>DengYaDi</t>
  </si>
  <si>
    <t>Zhao Xin</t>
  </si>
  <si>
    <t>Maryam Tukur</t>
  </si>
  <si>
    <t>Gbenga</t>
  </si>
  <si>
    <t>Adam</t>
  </si>
  <si>
    <t>Bello Hassan Gusau</t>
  </si>
  <si>
    <t>Focus</t>
  </si>
  <si>
    <t>Mr Olusola Abidemi</t>
  </si>
  <si>
    <t>Weyinmi.E</t>
  </si>
  <si>
    <t>JOB100334</t>
  </si>
  <si>
    <t>COLL004198</t>
  </si>
  <si>
    <t>zhaojiqiang</t>
  </si>
  <si>
    <t>Lin</t>
  </si>
  <si>
    <t>Mr LI</t>
  </si>
  <si>
    <t>Lu Zong</t>
  </si>
  <si>
    <t>Chen Yi</t>
  </si>
  <si>
    <t>Liu Xiao Yun</t>
  </si>
  <si>
    <t>鸿</t>
  </si>
  <si>
    <t>Alice08105750388</t>
  </si>
  <si>
    <t>JOB100335</t>
  </si>
  <si>
    <t>COLL004194</t>
  </si>
  <si>
    <t>Where are the avocados</t>
  </si>
  <si>
    <t>Nana</t>
  </si>
  <si>
    <t>Contact person Damilola</t>
  </si>
  <si>
    <t>ZHENG ZONG</t>
  </si>
  <si>
    <t>zhounengquan</t>
  </si>
  <si>
    <t>Freeman Feng</t>
  </si>
  <si>
    <t>Henry Yu</t>
  </si>
  <si>
    <t>ROY</t>
  </si>
  <si>
    <t>Adam e</t>
  </si>
  <si>
    <t>nukreationz Printing Solutions limited Company</t>
  </si>
  <si>
    <t>leoyang</t>
  </si>
  <si>
    <t>Wawa</t>
  </si>
  <si>
    <t>Jessica</t>
  </si>
  <si>
    <t>Cheaf</t>
  </si>
  <si>
    <t>Ejike</t>
  </si>
  <si>
    <t>Zou Qiyang</t>
  </si>
  <si>
    <t>Mr.Wang Mian</t>
  </si>
  <si>
    <t>John 张</t>
  </si>
  <si>
    <t>James</t>
  </si>
  <si>
    <t>Mr Ola</t>
  </si>
  <si>
    <t>songdianchen</t>
  </si>
  <si>
    <t>Michelle HeYimei</t>
  </si>
  <si>
    <t>renkun</t>
  </si>
  <si>
    <t>Summer</t>
  </si>
  <si>
    <t>Mark</t>
  </si>
  <si>
    <t>Dennis</t>
  </si>
  <si>
    <t>Mahamadou Ayouba</t>
  </si>
  <si>
    <t>Hollie Emiko</t>
  </si>
  <si>
    <t>JOB100336</t>
  </si>
  <si>
    <t>COLL004201</t>
  </si>
  <si>
    <t>KeKe</t>
  </si>
  <si>
    <t>Su Su</t>
  </si>
  <si>
    <t>Zhan Li Pin</t>
  </si>
  <si>
    <t>huang</t>
  </si>
  <si>
    <t>JOB100337</t>
  </si>
  <si>
    <t>COLL004197</t>
  </si>
  <si>
    <t>Le Bin</t>
  </si>
  <si>
    <t>Beautiful Boss</t>
  </si>
  <si>
    <t>BOSS</t>
  </si>
  <si>
    <t>qi qi</t>
  </si>
  <si>
    <t>luoxiuong</t>
  </si>
  <si>
    <t>Michael</t>
  </si>
  <si>
    <t>Sun Ning</t>
  </si>
  <si>
    <t>Zhang Yue</t>
  </si>
  <si>
    <t>baikaibo</t>
  </si>
  <si>
    <t>Bruce</t>
  </si>
  <si>
    <t>Segun Babatunde</t>
  </si>
  <si>
    <t>Hua</t>
  </si>
  <si>
    <t>You Qian Hua</t>
  </si>
  <si>
    <t>HUANGXIAOLONG</t>
  </si>
  <si>
    <t>shenyinqin</t>
  </si>
  <si>
    <t>YANGPENGFEI</t>
  </si>
  <si>
    <t>MJ</t>
  </si>
  <si>
    <t>Kevin Wang</t>
  </si>
  <si>
    <t>Japhia 于佳慧</t>
  </si>
  <si>
    <t>Ye Zheng Rong</t>
  </si>
  <si>
    <t>Xu Hao ke</t>
  </si>
  <si>
    <t>yezhi</t>
  </si>
  <si>
    <t>Daniel Garki</t>
  </si>
  <si>
    <t>Liu Yan</t>
  </si>
  <si>
    <t>GONG</t>
  </si>
  <si>
    <t>YI NUO</t>
  </si>
  <si>
    <t>Akodu Loveth Titilayomi</t>
  </si>
  <si>
    <t>wale</t>
  </si>
  <si>
    <t>Ihmad</t>
  </si>
  <si>
    <t>Samuel</t>
  </si>
  <si>
    <t>sam</t>
  </si>
  <si>
    <t>Pang Xie</t>
  </si>
  <si>
    <t>Israel lsiadinso</t>
  </si>
  <si>
    <t>Vivi</t>
  </si>
  <si>
    <t>Bison</t>
  </si>
  <si>
    <t>Felix Lee</t>
  </si>
  <si>
    <t>Wen Yi Min</t>
  </si>
  <si>
    <t>bolaji</t>
  </si>
  <si>
    <t>Bear papi</t>
  </si>
  <si>
    <t>JOB100338</t>
  </si>
  <si>
    <t>COLL004199</t>
  </si>
  <si>
    <t>kanoxu</t>
  </si>
  <si>
    <t>JOB100339</t>
  </si>
  <si>
    <t>COLL004200</t>
  </si>
  <si>
    <t>Hu Wen Cheng</t>
  </si>
  <si>
    <t>FANGYONG</t>
  </si>
  <si>
    <t>JAMES Felicity</t>
  </si>
  <si>
    <t>Mr.Richard 志强</t>
  </si>
  <si>
    <t>los魏俊峰</t>
  </si>
  <si>
    <t>WANG</t>
  </si>
  <si>
    <t>javen</t>
  </si>
  <si>
    <t>Lin Bao Zhen</t>
  </si>
  <si>
    <t>Charles Aideyan</t>
  </si>
  <si>
    <t>FRANK LI</t>
  </si>
  <si>
    <t>Mr Olatunde</t>
  </si>
  <si>
    <t>lagosxu</t>
  </si>
  <si>
    <t>JOB100340</t>
  </si>
  <si>
    <t>COLL004205</t>
  </si>
  <si>
    <t>Xia Tian</t>
  </si>
  <si>
    <t>Charles</t>
  </si>
  <si>
    <t>yiwei</t>
  </si>
  <si>
    <t>xu ming</t>
  </si>
  <si>
    <t>Ah Ming</t>
  </si>
  <si>
    <t>Mr Li</t>
  </si>
  <si>
    <t>COD victor</t>
  </si>
  <si>
    <t> Mr zhang</t>
  </si>
  <si>
    <t>JOB100341</t>
  </si>
  <si>
    <t>COLL004204</t>
  </si>
  <si>
    <t>shangyafei</t>
  </si>
  <si>
    <t>LII XING MAO</t>
  </si>
  <si>
    <t>JOB100342</t>
  </si>
  <si>
    <t>COLL004202</t>
  </si>
  <si>
    <t>God win</t>
  </si>
  <si>
    <t>Owen Qin</t>
  </si>
  <si>
    <t>ChenGaoHong</t>
  </si>
  <si>
    <t>Liu Ying</t>
  </si>
  <si>
    <t>Mr.Jiang</t>
  </si>
  <si>
    <t>Jiang Xiaomin</t>
  </si>
  <si>
    <t>Tong Tong</t>
  </si>
  <si>
    <t>SEGUN</t>
  </si>
  <si>
    <t>new hope 边鹏飞</t>
  </si>
  <si>
    <t>Mimshak</t>
  </si>
  <si>
    <t>MIranda</t>
  </si>
  <si>
    <t>wangweijun</t>
  </si>
  <si>
    <t>MU SHI SHI</t>
  </si>
  <si>
    <t>Eric Qu</t>
  </si>
  <si>
    <t>Mr Lv</t>
  </si>
  <si>
    <t>Liu Shi Cheng</t>
  </si>
  <si>
    <t>JOB100343</t>
  </si>
  <si>
    <t>COLL004208</t>
  </si>
  <si>
    <t>JOB100344</t>
  </si>
  <si>
    <t>COLL004210</t>
  </si>
  <si>
    <t>Long Er</t>
  </si>
  <si>
    <t>Richard</t>
  </si>
  <si>
    <t>啃樱桃的小丸子</t>
  </si>
  <si>
    <t>nick.wang</t>
  </si>
  <si>
    <t>ShiYuLiu</t>
  </si>
  <si>
    <t>JOB100345</t>
  </si>
  <si>
    <t>COLL004211</t>
  </si>
  <si>
    <t>Ping Shuai</t>
  </si>
  <si>
    <t>YaYa</t>
  </si>
  <si>
    <t>SILAS SANKE</t>
  </si>
  <si>
    <t>WangTao</t>
  </si>
  <si>
    <t>MO JI</t>
  </si>
  <si>
    <t>YI YUE</t>
  </si>
  <si>
    <t>JOB100346</t>
  </si>
  <si>
    <t>COLL004203</t>
  </si>
  <si>
    <t>Moses Mshelia</t>
  </si>
  <si>
    <t>Zeng Xiu Zhuang</t>
  </si>
  <si>
    <t>Pin Er</t>
  </si>
  <si>
    <t>yanghua</t>
  </si>
  <si>
    <t>Kayla</t>
  </si>
  <si>
    <t>MING MING</t>
  </si>
  <si>
    <t>uma</t>
  </si>
  <si>
    <t>panda</t>
  </si>
  <si>
    <t>Meiqi</t>
  </si>
  <si>
    <t>Liu Feng Pu</t>
  </si>
  <si>
    <t>Hecheng</t>
  </si>
  <si>
    <t>Chimobi Josa</t>
  </si>
  <si>
    <t>Eva sule</t>
  </si>
  <si>
    <t>Qing Tian</t>
  </si>
  <si>
    <t>Zhi yongyang</t>
  </si>
  <si>
    <t>Lissi</t>
  </si>
  <si>
    <t>Jerry Zhang</t>
  </si>
  <si>
    <t>Wang Guo Qing</t>
  </si>
  <si>
    <t>JOB100347</t>
  </si>
  <si>
    <t>COLL004206</t>
  </si>
  <si>
    <t>Mr Liu</t>
  </si>
  <si>
    <t>顶派=113849.5
广州通达=4559.2</t>
  </si>
  <si>
    <t>Jing</t>
  </si>
  <si>
    <t>Elsie odukoya</t>
  </si>
  <si>
    <t>HWANI INDUSTRY (NIGERIA) CO.,LTD</t>
  </si>
  <si>
    <t>Wole Solanke</t>
  </si>
  <si>
    <t>Mi Mi</t>
  </si>
  <si>
    <t>Ediru Kenneth</t>
  </si>
  <si>
    <t>Tian Ze</t>
  </si>
  <si>
    <t>Wyman Roth</t>
  </si>
  <si>
    <t>Lony</t>
  </si>
  <si>
    <t>Zhang Xin Jian</t>
  </si>
  <si>
    <t>Ling Chen</t>
  </si>
  <si>
    <t>Jocelyn</t>
  </si>
  <si>
    <t>Ye Hui</t>
  </si>
  <si>
    <t>Mr.Leo</t>
  </si>
  <si>
    <t>tolulope</t>
  </si>
  <si>
    <t>chi de jian</t>
  </si>
  <si>
    <t>Ekko</t>
  </si>
  <si>
    <t>Miss Huang</t>
  </si>
  <si>
    <t>Mr liao</t>
  </si>
  <si>
    <t>chendengrong</t>
  </si>
  <si>
    <t>Bennett Zhang</t>
  </si>
  <si>
    <t>Arinze</t>
  </si>
  <si>
    <t>John</t>
  </si>
  <si>
    <t>FRANK</t>
  </si>
  <si>
    <t>CENTURY INDUSTRIAL FZE</t>
  </si>
  <si>
    <t>yingyunjiao</t>
  </si>
  <si>
    <t>Wilson Liang</t>
  </si>
  <si>
    <t>Ukem Clement</t>
  </si>
  <si>
    <t>Rotimi</t>
  </si>
  <si>
    <t>LOUIS</t>
  </si>
  <si>
    <t>zheng sheng</t>
  </si>
  <si>
    <t>Yusky</t>
  </si>
  <si>
    <t>JOB100348</t>
  </si>
  <si>
    <t>COLL004213</t>
  </si>
  <si>
    <t>Sun li</t>
  </si>
  <si>
    <t>JOB100350</t>
  </si>
  <si>
    <t>COLL004214</t>
  </si>
  <si>
    <t>Gao Tian</t>
  </si>
  <si>
    <t>JOB100352</t>
  </si>
  <si>
    <t>COLL004207</t>
  </si>
  <si>
    <t>Mr Luo</t>
  </si>
  <si>
    <t>Peter</t>
  </si>
  <si>
    <t>黄 慧 轩</t>
  </si>
  <si>
    <t>Mr Yang</t>
  </si>
  <si>
    <t>Wang Jian</t>
  </si>
  <si>
    <t>Cheng Zi</t>
  </si>
  <si>
    <t>AYO</t>
  </si>
  <si>
    <t>Mr.Kola</t>
  </si>
  <si>
    <t>YaoYiKai</t>
  </si>
  <si>
    <t>67 Mr.Li</t>
  </si>
  <si>
    <t>Hu Hai Liang</t>
  </si>
  <si>
    <t>Ken</t>
  </si>
  <si>
    <t>Solomon</t>
  </si>
  <si>
    <t>MA WEI</t>
  </si>
  <si>
    <t>Xiao Mo</t>
  </si>
  <si>
    <t>Kevin</t>
  </si>
  <si>
    <t>niehui</t>
  </si>
  <si>
    <t>Zhang Peng Yu</t>
  </si>
  <si>
    <t>Aisha Olabanji</t>
  </si>
  <si>
    <t>Li Jian Hong</t>
  </si>
  <si>
    <t>WANG WEI</t>
  </si>
  <si>
    <t>Victor Tang</t>
  </si>
  <si>
    <t>JOB100353</t>
  </si>
  <si>
    <t>COLL004218</t>
  </si>
  <si>
    <t>Fafunso</t>
  </si>
  <si>
    <t>Tang Xiao Chuan</t>
  </si>
  <si>
    <t>ShanShan</t>
  </si>
  <si>
    <t>JOB100354</t>
  </si>
  <si>
    <t>COLL004212</t>
  </si>
  <si>
    <t>顶派=100120
广州通达=4015</t>
  </si>
  <si>
    <t>A YU</t>
  </si>
  <si>
    <t>zhangjingcheng</t>
  </si>
  <si>
    <t>Honest new material</t>
  </si>
  <si>
    <t>Light</t>
  </si>
  <si>
    <t>Mr Gbolahan</t>
  </si>
  <si>
    <t>Hua Junxian</t>
  </si>
  <si>
    <t>chidi</t>
  </si>
  <si>
    <t>CHEN + SHUI</t>
  </si>
  <si>
    <t>Zhangqing</t>
  </si>
  <si>
    <t>Jr.Feng.Shiue</t>
  </si>
  <si>
    <t>Abubakar</t>
  </si>
  <si>
    <t>Yang yinhua</t>
  </si>
  <si>
    <t>Castiel</t>
  </si>
  <si>
    <t>DUDUHE鹤</t>
  </si>
  <si>
    <t>SHAN NAN</t>
  </si>
  <si>
    <t>Mr Huang</t>
  </si>
  <si>
    <t>Ke Ren</t>
  </si>
  <si>
    <t>Xiang Kun</t>
  </si>
  <si>
    <t>Eddy</t>
  </si>
  <si>
    <t>Cathy Hou</t>
  </si>
  <si>
    <t>DAVID ZHAO</t>
  </si>
  <si>
    <t>WANG RUI</t>
  </si>
  <si>
    <t>Idris</t>
  </si>
  <si>
    <t>KELE</t>
  </si>
  <si>
    <t>ZHANGFANG</t>
  </si>
  <si>
    <t>Oluwatobi Ajayi</t>
  </si>
  <si>
    <t>Oluwalosheyi</t>
  </si>
  <si>
    <t>Mr.Yang</t>
  </si>
  <si>
    <t>JOB100356</t>
  </si>
  <si>
    <t>COLL004216</t>
  </si>
  <si>
    <t>Lu Hu</t>
  </si>
  <si>
    <t>tanghaiou</t>
  </si>
  <si>
    <t>Xiao Xiao</t>
  </si>
  <si>
    <t>Mr. Chen</t>
  </si>
  <si>
    <t>LUO LI CHUAN</t>
  </si>
  <si>
    <t>A JIE</t>
  </si>
  <si>
    <t>Angelo biotech international (Nig) Ltd.</t>
  </si>
  <si>
    <t>Olodeokuta Abiodun</t>
  </si>
  <si>
    <t>XIAO BAI</t>
  </si>
  <si>
    <t>Zhou Ren Lun</t>
  </si>
  <si>
    <t>CHENG QI</t>
  </si>
  <si>
    <t>wfy</t>
  </si>
  <si>
    <t>Mr Wang</t>
  </si>
  <si>
    <t>Mike</t>
  </si>
  <si>
    <t>wenyujuan</t>
  </si>
  <si>
    <t>Huang Hua</t>
  </si>
  <si>
    <t>YAN YAN</t>
  </si>
  <si>
    <t>Emmy</t>
  </si>
  <si>
    <t>Gene</t>
  </si>
  <si>
    <t>zhuanglan</t>
  </si>
  <si>
    <t>Mr wang</t>
  </si>
  <si>
    <t>YA</t>
  </si>
  <si>
    <t>fancy</t>
  </si>
  <si>
    <t>Ahamed Tijani Danmallam</t>
  </si>
  <si>
    <t>bbq</t>
  </si>
  <si>
    <t>Y陈国尧代收</t>
  </si>
  <si>
    <t>JOB100357</t>
  </si>
  <si>
    <t>COLL004220</t>
  </si>
  <si>
    <t>Jumoke</t>
  </si>
  <si>
    <t>Grace Ordu</t>
  </si>
  <si>
    <t>JOB100369</t>
  </si>
  <si>
    <t>COLL004239</t>
  </si>
  <si>
    <t>MR. ZHOU WEI QING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</si>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</sst>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color theme="1"/>
      <name val="Microsoft JhengHei"/>
      <charset val="134"/>
    </font>
    <font>
      <sz val="11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13" applyNumberFormat="0" applyAlignment="0" applyProtection="0">
      <alignment vertical="center"/>
    </xf>
    <xf numFmtId="0" fontId="30" fillId="10" borderId="14" applyNumberFormat="0" applyAlignment="0" applyProtection="0">
      <alignment vertical="center"/>
    </xf>
    <xf numFmtId="0" fontId="31" fillId="10" borderId="13" applyNumberFormat="0" applyAlignment="0" applyProtection="0">
      <alignment vertical="center"/>
    </xf>
    <xf numFmtId="0" fontId="32" fillId="11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3" borderId="2" xfId="1" applyNumberFormat="1" applyFont="1" applyFill="1" applyBorder="1" applyAlignment="1">
      <alignment horizontal="center" vertical="center"/>
    </xf>
    <xf numFmtId="180" fontId="6" fillId="3" borderId="2" xfId="1" applyNumberFormat="1" applyFont="1" applyFill="1" applyBorder="1" applyAlignment="1">
      <alignment horizontal="center" vertical="center"/>
    </xf>
    <xf numFmtId="180" fontId="6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3" borderId="3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81" fontId="2" fillId="0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4" borderId="4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182" fontId="1" fillId="5" borderId="1" xfId="0" applyNumberFormat="1" applyFont="1" applyFill="1" applyBorder="1" applyAlignment="1">
      <alignment horizontal="center" vertical="center"/>
    </xf>
    <xf numFmtId="182" fontId="4" fillId="4" borderId="2" xfId="0" applyNumberFormat="1" applyFont="1" applyFill="1" applyBorder="1" applyAlignment="1">
      <alignment horizontal="right" vertical="center"/>
    </xf>
    <xf numFmtId="176" fontId="11" fillId="4" borderId="2" xfId="0" applyNumberFormat="1" applyFont="1" applyFill="1" applyBorder="1" applyAlignment="1">
      <alignment horizontal="center" vertical="center" wrapText="1"/>
    </xf>
    <xf numFmtId="177" fontId="11" fillId="4" borderId="2" xfId="0" applyNumberFormat="1" applyFont="1" applyFill="1" applyBorder="1" applyAlignment="1">
      <alignment horizontal="center" vertical="center" wrapText="1"/>
    </xf>
    <xf numFmtId="177" fontId="4" fillId="4" borderId="2" xfId="0" applyNumberFormat="1" applyFont="1" applyFill="1" applyBorder="1" applyAlignment="1">
      <alignment horizontal="center" vertical="center" wrapText="1"/>
    </xf>
    <xf numFmtId="0" fontId="12" fillId="4" borderId="2" xfId="0" applyNumberFormat="1" applyFont="1" applyFill="1" applyBorder="1" applyAlignment="1">
      <alignment horizontal="center" vertical="center"/>
    </xf>
    <xf numFmtId="182" fontId="13" fillId="0" borderId="2" xfId="0" applyNumberFormat="1" applyFont="1" applyFill="1" applyBorder="1" applyAlignment="1">
      <alignment horizontal="right" vertical="center"/>
    </xf>
    <xf numFmtId="182" fontId="1" fillId="5" borderId="3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7" fontId="7" fillId="3" borderId="2" xfId="0" applyNumberFormat="1" applyFont="1" applyFill="1" applyBorder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82" fontId="2" fillId="0" borderId="1" xfId="0" applyNumberFormat="1" applyFont="1" applyBorder="1" applyAlignment="1">
      <alignment horizontal="center" vertical="center"/>
    </xf>
    <xf numFmtId="182" fontId="2" fillId="0" borderId="3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176" fontId="14" fillId="4" borderId="2" xfId="0" applyNumberFormat="1" applyFont="1" applyFill="1" applyBorder="1" applyAlignment="1">
      <alignment horizontal="center" vertical="center"/>
    </xf>
    <xf numFmtId="177" fontId="14" fillId="3" borderId="2" xfId="0" applyNumberFormat="1" applyFont="1" applyFill="1" applyBorder="1">
      <alignment vertical="center"/>
    </xf>
    <xf numFmtId="182" fontId="2" fillId="0" borderId="7" xfId="0" applyNumberFormat="1" applyFont="1" applyBorder="1" applyAlignment="1">
      <alignment horizontal="center" vertical="center"/>
    </xf>
    <xf numFmtId="182" fontId="7" fillId="4" borderId="2" xfId="0" applyNumberFormat="1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6" fillId="0" borderId="0" xfId="0" applyNumberFormat="1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82" fontId="4" fillId="6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7" fontId="16" fillId="4" borderId="1" xfId="0" applyNumberFormat="1" applyFont="1" applyFill="1" applyBorder="1" applyAlignment="1">
      <alignment horizontal="center" vertical="center" wrapText="1"/>
    </xf>
    <xf numFmtId="177" fontId="12" fillId="4" borderId="2" xfId="0" applyNumberFormat="1" applyFont="1" applyFill="1" applyBorder="1" applyAlignment="1">
      <alignment horizontal="center" vertical="center"/>
    </xf>
    <xf numFmtId="183" fontId="17" fillId="6" borderId="2" xfId="4" applyNumberFormat="1" applyFont="1" applyFill="1" applyBorder="1" applyAlignment="1">
      <alignment horizontal="center" vertical="center"/>
    </xf>
    <xf numFmtId="182" fontId="13" fillId="6" borderId="2" xfId="4" applyNumberFormat="1" applyFont="1" applyFill="1" applyBorder="1" applyAlignment="1">
      <alignment horizontal="center" vertical="center"/>
    </xf>
    <xf numFmtId="183" fontId="13" fillId="0" borderId="2" xfId="4" applyNumberFormat="1" applyFont="1" applyFill="1" applyBorder="1" applyAlignment="1">
      <alignment horizontal="center" vertical="center"/>
    </xf>
    <xf numFmtId="182" fontId="13" fillId="0" borderId="2" xfId="4" applyNumberFormat="1" applyFont="1" applyFill="1" applyBorder="1" applyAlignment="1">
      <alignment horizontal="center" vertical="center"/>
    </xf>
    <xf numFmtId="182" fontId="12" fillId="0" borderId="9" xfId="0" applyNumberFormat="1" applyFont="1" applyFill="1" applyBorder="1" applyAlignment="1">
      <alignment horizontal="center" vertical="center" wrapText="1"/>
    </xf>
    <xf numFmtId="7" fontId="16" fillId="4" borderId="3" xfId="0" applyNumberFormat="1" applyFont="1" applyFill="1" applyBorder="1" applyAlignment="1">
      <alignment horizontal="center" vertical="center" wrapText="1"/>
    </xf>
    <xf numFmtId="177" fontId="18" fillId="4" borderId="2" xfId="0" applyNumberFormat="1" applyFont="1" applyFill="1" applyBorder="1" applyAlignment="1">
      <alignment vertical="center" wrapText="1"/>
    </xf>
    <xf numFmtId="182" fontId="2" fillId="0" borderId="2" xfId="0" applyNumberFormat="1" applyFont="1" applyBorder="1" applyAlignment="1">
      <alignment vertical="center"/>
    </xf>
    <xf numFmtId="182" fontId="2" fillId="4" borderId="2" xfId="0" applyNumberFormat="1" applyFont="1" applyFill="1" applyBorder="1" applyAlignment="1">
      <alignment vertical="center"/>
    </xf>
    <xf numFmtId="7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76" fontId="12" fillId="4" borderId="2" xfId="0" applyNumberFormat="1" applyFont="1" applyFill="1" applyBorder="1" applyAlignment="1">
      <alignment horizontal="center" vertical="center"/>
    </xf>
    <xf numFmtId="182" fontId="12" fillId="5" borderId="1" xfId="0" applyNumberFormat="1" applyFont="1" applyFill="1" applyBorder="1" applyAlignment="1">
      <alignment horizontal="center" vertical="center"/>
    </xf>
    <xf numFmtId="182" fontId="1" fillId="7" borderId="1" xfId="0" applyNumberFormat="1" applyFont="1" applyFill="1" applyBorder="1" applyAlignment="1">
      <alignment horizontal="center" vertical="center"/>
    </xf>
    <xf numFmtId="177" fontId="12" fillId="4" borderId="2" xfId="0" applyNumberFormat="1" applyFont="1" applyFill="1" applyBorder="1" applyAlignment="1">
      <alignment horizontal="right" vertical="center"/>
    </xf>
    <xf numFmtId="176" fontId="16" fillId="4" borderId="2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2" fontId="12" fillId="5" borderId="2" xfId="0" applyNumberFormat="1" applyFont="1" applyFill="1" applyBorder="1" applyAlignment="1">
      <alignment horizontal="center" vertical="center"/>
    </xf>
    <xf numFmtId="182" fontId="1" fillId="7" borderId="7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81" fontId="2" fillId="4" borderId="2" xfId="0" applyNumberFormat="1" applyFont="1" applyFill="1" applyBorder="1">
      <alignment vertical="center"/>
    </xf>
    <xf numFmtId="58" fontId="8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177" fontId="7" fillId="4" borderId="2" xfId="0" applyNumberFormat="1" applyFont="1" applyFill="1" applyBorder="1">
      <alignment vertical="center"/>
    </xf>
    <xf numFmtId="177" fontId="14" fillId="4" borderId="2" xfId="0" applyNumberFormat="1" applyFont="1" applyFill="1" applyBorder="1">
      <alignment vertical="center"/>
    </xf>
    <xf numFmtId="182" fontId="14" fillId="3" borderId="2" xfId="0" applyNumberFormat="1" applyFont="1" applyFill="1" applyBorder="1">
      <alignment vertical="center"/>
    </xf>
    <xf numFmtId="182" fontId="14" fillId="4" borderId="2" xfId="0" applyNumberFormat="1" applyFont="1" applyFill="1" applyBorder="1">
      <alignment vertical="center"/>
    </xf>
    <xf numFmtId="181" fontId="7" fillId="3" borderId="2" xfId="0" applyNumberFormat="1" applyFont="1" applyFill="1" applyBorder="1" applyAlignment="1">
      <alignment horizontal="center" vertical="center"/>
    </xf>
    <xf numFmtId="181" fontId="7" fillId="3" borderId="2" xfId="0" applyNumberFormat="1" applyFont="1" applyFill="1" applyBorder="1">
      <alignment vertical="center"/>
    </xf>
    <xf numFmtId="176" fontId="14" fillId="0" borderId="2" xfId="0" applyNumberFormat="1" applyFont="1" applyBorder="1" applyAlignment="1">
      <alignment horizontal="center" vertical="center" wrapText="1"/>
    </xf>
    <xf numFmtId="176" fontId="19" fillId="0" borderId="2" xfId="0" applyNumberFormat="1" applyFont="1" applyBorder="1" applyAlignment="1">
      <alignment horizontal="center" vertical="center"/>
    </xf>
    <xf numFmtId="182" fontId="7" fillId="0" borderId="2" xfId="0" applyNumberFormat="1" applyFont="1" applyFill="1" applyBorder="1" applyAlignment="1">
      <alignment horizontal="right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>
      <alignment vertical="center"/>
    </xf>
    <xf numFmtId="177" fontId="2" fillId="0" borderId="2" xfId="0" applyNumberFormat="1" applyFont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>
      <alignment vertical="center"/>
    </xf>
    <xf numFmtId="176" fontId="14" fillId="3" borderId="2" xfId="0" applyNumberFormat="1" applyFont="1" applyFill="1" applyBorder="1">
      <alignment vertical="center"/>
    </xf>
    <xf numFmtId="182" fontId="2" fillId="0" borderId="2" xfId="0" applyNumberFormat="1" applyFont="1" applyBorder="1" applyAlignment="1">
      <alignment vertical="center" wrapText="1"/>
    </xf>
    <xf numFmtId="182" fontId="19" fillId="0" borderId="2" xfId="0" applyNumberFormat="1" applyFont="1" applyBorder="1" applyAlignment="1">
      <alignment horizontal="center" vertical="center"/>
    </xf>
    <xf numFmtId="182" fontId="20" fillId="0" borderId="2" xfId="0" applyNumberFormat="1" applyFont="1" applyBorder="1">
      <alignment vertical="center"/>
    </xf>
    <xf numFmtId="182" fontId="2" fillId="4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2" fillId="2" borderId="2" xfId="0" applyNumberFormat="1" applyFont="1" applyFill="1" applyBorder="1">
      <alignment vertical="center"/>
    </xf>
    <xf numFmtId="58" fontId="8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>
      <alignment vertical="center"/>
    </xf>
    <xf numFmtId="176" fontId="14" fillId="2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7" fontId="14" fillId="2" borderId="2" xfId="0" applyNumberFormat="1" applyFont="1" applyFill="1" applyBorder="1">
      <alignment vertical="center"/>
    </xf>
    <xf numFmtId="176" fontId="15" fillId="2" borderId="2" xfId="0" applyNumberFormat="1" applyFont="1" applyFill="1" applyBorder="1" applyAlignment="1">
      <alignment horizontal="center" vertical="center"/>
    </xf>
    <xf numFmtId="182" fontId="2" fillId="2" borderId="3" xfId="0" applyNumberFormat="1" applyFont="1" applyFill="1" applyBorder="1" applyAlignment="1">
      <alignment horizontal="center" vertical="center"/>
    </xf>
    <xf numFmtId="182" fontId="2" fillId="2" borderId="2" xfId="0" applyNumberFormat="1" applyFont="1" applyFill="1" applyBorder="1" applyAlignment="1">
      <alignment vertical="center"/>
    </xf>
    <xf numFmtId="7" fontId="2" fillId="2" borderId="2" xfId="0" applyNumberFormat="1" applyFont="1" applyFill="1" applyBorder="1" applyAlignment="1">
      <alignment vertical="center"/>
    </xf>
    <xf numFmtId="177" fontId="2" fillId="2" borderId="2" xfId="0" applyNumberFormat="1" applyFont="1" applyFill="1" applyBorder="1" applyAlignment="1">
      <alignment vertical="center"/>
    </xf>
    <xf numFmtId="176" fontId="2" fillId="2" borderId="2" xfId="0" applyNumberFormat="1" applyFont="1" applyFill="1" applyBorder="1" applyAlignment="1">
      <alignment vertical="center"/>
    </xf>
    <xf numFmtId="182" fontId="2" fillId="0" borderId="1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82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82" fontId="2" fillId="4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82" fontId="2" fillId="4" borderId="7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82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046"/>
  <sheetViews>
    <sheetView tabSelected="1" zoomScale="110" zoomScaleNormal="110" workbookViewId="0">
      <pane xSplit="3" ySplit="3" topLeftCell="D101" activePane="bottomRight" state="frozen"/>
      <selection/>
      <selection pane="topRight"/>
      <selection pane="bottomLeft"/>
      <selection pane="bottomRight" activeCell="I1027" sqref="I1027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8" width="11.5"/>
    <col min="9" max="9" width="17"/>
    <col min="10" max="10" width="15.125" style="4"/>
    <col min="11" max="11" width="15.125" style="5"/>
    <col min="12" max="12" width="13.875" style="4"/>
    <col min="13" max="13" width="13.625"/>
    <col min="14" max="14" width="13.75"/>
    <col min="15" max="15" width="17"/>
    <col min="16" max="16" width="18.8583333333333" customWidth="1"/>
    <col min="17" max="17" width="11.25" customWidth="1"/>
    <col min="18" max="18" width="16.125"/>
    <col min="19" max="19" width="11.25" style="6" customWidth="1"/>
    <col min="20" max="20" width="10.25" style="6"/>
    <col min="21" max="22" width="11.25" style="6"/>
    <col min="23" max="23" width="14.75" style="7"/>
    <col min="24" max="24" width="11.875" style="5" customWidth="1"/>
    <col min="25" max="25" width="11.125" style="5" customWidth="1"/>
    <col min="26" max="26" width="11.375" style="5"/>
    <col min="27" max="27" width="12.625" style="5"/>
    <col min="28" max="28" width="12" style="4"/>
    <col min="29" max="29" width="12.875"/>
    <col min="30" max="30" width="14.875"/>
    <col min="31" max="31" width="14.75"/>
    <col min="32" max="32" width="12.625"/>
  </cols>
  <sheetData>
    <row r="1" ht="31" customHeight="1" spans="1:31">
      <c r="A1" s="8" t="s">
        <v>0</v>
      </c>
      <c r="B1" s="8"/>
      <c r="C1" s="8"/>
      <c r="D1" s="8"/>
      <c r="E1" s="8"/>
      <c r="F1" s="8"/>
      <c r="G1" s="8"/>
      <c r="H1" s="8"/>
      <c r="I1" s="8"/>
      <c r="J1" s="23"/>
      <c r="K1" s="24"/>
      <c r="L1" s="23"/>
      <c r="M1" s="8"/>
      <c r="N1" s="25"/>
      <c r="O1" s="8"/>
      <c r="P1" s="8"/>
      <c r="Q1" s="8"/>
      <c r="R1" s="8"/>
      <c r="S1" s="51"/>
      <c r="T1" s="51"/>
      <c r="U1" s="52"/>
      <c r="V1" s="51"/>
      <c r="W1" s="53"/>
      <c r="X1" s="24"/>
      <c r="Y1" s="24"/>
      <c r="Z1" s="24"/>
      <c r="AA1" s="24"/>
      <c r="AB1" s="23"/>
      <c r="AC1" s="24"/>
      <c r="AD1" s="8"/>
      <c r="AE1" s="8"/>
    </row>
    <row r="2" s="1" customFormat="1" ht="23" customHeight="1" spans="1:31">
      <c r="A2" s="9" t="s">
        <v>1</v>
      </c>
      <c r="B2" s="10" t="s">
        <v>2</v>
      </c>
      <c r="C2" s="11" t="s">
        <v>3</v>
      </c>
      <c r="D2" s="12" t="s">
        <v>4</v>
      </c>
      <c r="E2" s="13" t="s">
        <v>5</v>
      </c>
      <c r="F2" s="14" t="s">
        <v>6</v>
      </c>
      <c r="G2" s="14" t="s">
        <v>7</v>
      </c>
      <c r="H2" s="14" t="s">
        <v>8</v>
      </c>
      <c r="I2" s="26" t="s">
        <v>9</v>
      </c>
      <c r="J2" s="27"/>
      <c r="K2" s="28"/>
      <c r="L2" s="27"/>
      <c r="M2" s="28"/>
      <c r="N2" s="29"/>
      <c r="O2" s="30"/>
      <c r="P2" s="31" t="s">
        <v>10</v>
      </c>
      <c r="Q2" s="54" t="s">
        <v>11</v>
      </c>
      <c r="R2" s="55"/>
      <c r="S2" s="56"/>
      <c r="T2" s="57"/>
      <c r="U2" s="58"/>
      <c r="V2" s="59" t="s">
        <v>12</v>
      </c>
      <c r="W2" s="60" t="s">
        <v>13</v>
      </c>
      <c r="X2" s="61" t="s">
        <v>14</v>
      </c>
      <c r="Y2" s="61"/>
      <c r="Z2" s="61"/>
      <c r="AA2" s="61"/>
      <c r="AB2" s="73"/>
      <c r="AC2" s="61"/>
      <c r="AD2" s="74" t="s">
        <v>15</v>
      </c>
      <c r="AE2" s="75" t="s">
        <v>16</v>
      </c>
    </row>
    <row r="3" s="1" customFormat="1" ht="27" customHeight="1" spans="1:31">
      <c r="A3" s="15"/>
      <c r="B3" s="16"/>
      <c r="C3" s="11"/>
      <c r="D3" s="12"/>
      <c r="E3" s="17"/>
      <c r="F3" s="18"/>
      <c r="G3" s="18"/>
      <c r="H3" s="18"/>
      <c r="I3" s="32" t="s">
        <v>17</v>
      </c>
      <c r="J3" s="33" t="s">
        <v>18</v>
      </c>
      <c r="K3" s="34" t="s">
        <v>19</v>
      </c>
      <c r="L3" s="33" t="s">
        <v>20</v>
      </c>
      <c r="M3" s="35" t="s">
        <v>21</v>
      </c>
      <c r="N3" s="36" t="s">
        <v>22</v>
      </c>
      <c r="O3" s="37" t="s">
        <v>23</v>
      </c>
      <c r="P3" s="38"/>
      <c r="Q3" s="62" t="s">
        <v>24</v>
      </c>
      <c r="R3" s="63" t="s">
        <v>25</v>
      </c>
      <c r="S3" s="64" t="s">
        <v>26</v>
      </c>
      <c r="T3" s="65" t="s">
        <v>27</v>
      </c>
      <c r="U3" s="64" t="s">
        <v>28</v>
      </c>
      <c r="V3" s="66"/>
      <c r="W3" s="67"/>
      <c r="X3" s="68" t="s">
        <v>29</v>
      </c>
      <c r="Y3" s="68" t="s">
        <v>30</v>
      </c>
      <c r="Z3" s="68" t="s">
        <v>31</v>
      </c>
      <c r="AA3" s="76" t="s">
        <v>32</v>
      </c>
      <c r="AB3" s="77" t="s">
        <v>33</v>
      </c>
      <c r="AC3" s="78" t="s">
        <v>23</v>
      </c>
      <c r="AD3" s="79" t="s">
        <v>34</v>
      </c>
      <c r="AE3" s="80"/>
    </row>
    <row r="4" customFormat="1" spans="1:31">
      <c r="A4" s="19" t="s">
        <v>35</v>
      </c>
      <c r="B4" s="20" t="s">
        <v>36</v>
      </c>
      <c r="C4" s="21">
        <v>240930000011</v>
      </c>
      <c r="D4" s="22">
        <v>45572</v>
      </c>
      <c r="E4" s="22" t="s">
        <v>37</v>
      </c>
      <c r="F4" s="20" t="s">
        <v>38</v>
      </c>
      <c r="G4" s="20" t="s">
        <v>39</v>
      </c>
      <c r="H4" s="20">
        <v>17.5</v>
      </c>
      <c r="I4" s="39">
        <v>2537.5</v>
      </c>
      <c r="J4" s="40"/>
      <c r="K4" s="41"/>
      <c r="L4" s="20"/>
      <c r="M4" s="41"/>
      <c r="N4" s="42"/>
      <c r="O4" s="43">
        <f t="shared" ref="O4:O10" si="0">SUM(I4)</f>
        <v>2537.5</v>
      </c>
      <c r="P4" s="44">
        <f>SUM(O4:O13)</f>
        <v>9845.6346</v>
      </c>
      <c r="Q4" s="44" t="s">
        <v>40</v>
      </c>
      <c r="R4" s="69">
        <f>SUM(4800/64)*H4</f>
        <v>1312.5</v>
      </c>
      <c r="S4" s="69"/>
      <c r="T4" s="70">
        <f>SUM(50.98/64)*H4</f>
        <v>13.93984375</v>
      </c>
      <c r="U4" s="69"/>
      <c r="V4" s="69"/>
      <c r="W4" s="71">
        <f>SUM(R4:V4)</f>
        <v>1326.43984375</v>
      </c>
      <c r="X4" s="72">
        <f>SUM(217.37/64)*H4</f>
        <v>59.437109375</v>
      </c>
      <c r="Y4" s="72"/>
      <c r="Z4" s="72"/>
      <c r="AA4" s="72">
        <f>SUM(X4:Z4)</f>
        <v>59.437109375</v>
      </c>
      <c r="AB4" s="81">
        <v>7.11</v>
      </c>
      <c r="AC4" s="69">
        <f>SUM(AA4*AB4)</f>
        <v>422.59784765625</v>
      </c>
      <c r="AD4" s="69">
        <f>SUM(W4+AC4)</f>
        <v>1749.03769140625</v>
      </c>
      <c r="AE4" s="69">
        <f>SUM(O4-AD4)</f>
        <v>788.46230859375</v>
      </c>
    </row>
    <row r="5" customFormat="1" spans="1:31">
      <c r="A5" s="19"/>
      <c r="B5" s="20"/>
      <c r="C5" s="21">
        <v>240930000013</v>
      </c>
      <c r="D5" s="22">
        <v>45572</v>
      </c>
      <c r="E5" s="22" t="s">
        <v>41</v>
      </c>
      <c r="F5" s="20" t="s">
        <v>42</v>
      </c>
      <c r="G5" s="20" t="s">
        <v>43</v>
      </c>
      <c r="H5" s="20">
        <v>5.5</v>
      </c>
      <c r="I5" s="39">
        <v>632</v>
      </c>
      <c r="J5" s="40"/>
      <c r="K5" s="41"/>
      <c r="L5" s="20"/>
      <c r="M5" s="41"/>
      <c r="N5" s="42"/>
      <c r="O5" s="43">
        <f t="shared" si="0"/>
        <v>632</v>
      </c>
      <c r="P5" s="45"/>
      <c r="Q5" s="45"/>
      <c r="R5" s="69">
        <f t="shared" ref="R5:R13" si="1">SUM(4800/64)*H5</f>
        <v>412.5</v>
      </c>
      <c r="S5" s="69"/>
      <c r="T5" s="70">
        <f t="shared" ref="T5:T13" si="2">SUM(50.98/64)*H5</f>
        <v>4.38109375</v>
      </c>
      <c r="U5" s="69"/>
      <c r="V5" s="69"/>
      <c r="W5" s="71">
        <f t="shared" ref="W5:W13" si="3">SUM(R5:V5)</f>
        <v>416.88109375</v>
      </c>
      <c r="X5" s="72">
        <f t="shared" ref="X5:X13" si="4">SUM(217.37/64)*H5</f>
        <v>18.680234375</v>
      </c>
      <c r="Y5" s="72"/>
      <c r="Z5" s="72"/>
      <c r="AA5" s="72">
        <f t="shared" ref="AA5:AA13" si="5">SUM(X5:Z5)</f>
        <v>18.680234375</v>
      </c>
      <c r="AB5" s="81">
        <v>7.11</v>
      </c>
      <c r="AC5" s="69">
        <f t="shared" ref="AC5:AC13" si="6">SUM(AA5*AB5)</f>
        <v>132.81646640625</v>
      </c>
      <c r="AD5" s="69">
        <f t="shared" ref="AD5:AD13" si="7">SUM(W5+AC5)</f>
        <v>549.69756015625</v>
      </c>
      <c r="AE5" s="69">
        <f t="shared" ref="AE5:AE13" si="8">SUM(O5-AD5)</f>
        <v>82.30243984375</v>
      </c>
    </row>
    <row r="6" customFormat="1" spans="1:31">
      <c r="A6" s="19"/>
      <c r="B6" s="20"/>
      <c r="C6" s="21">
        <v>240930000049</v>
      </c>
      <c r="D6" s="22">
        <v>45572</v>
      </c>
      <c r="E6" s="22" t="s">
        <v>44</v>
      </c>
      <c r="F6" s="20" t="s">
        <v>45</v>
      </c>
      <c r="G6" s="20" t="s">
        <v>46</v>
      </c>
      <c r="H6" s="20">
        <v>0.1</v>
      </c>
      <c r="I6" s="39">
        <v>120</v>
      </c>
      <c r="J6" s="40"/>
      <c r="K6" s="41"/>
      <c r="L6" s="20"/>
      <c r="M6" s="41"/>
      <c r="N6" s="42"/>
      <c r="O6" s="43">
        <f t="shared" si="0"/>
        <v>120</v>
      </c>
      <c r="P6" s="45"/>
      <c r="Q6" s="45"/>
      <c r="R6" s="69">
        <f t="shared" si="1"/>
        <v>7.5</v>
      </c>
      <c r="S6" s="69"/>
      <c r="T6" s="70">
        <f t="shared" si="2"/>
        <v>0.07965625</v>
      </c>
      <c r="U6" s="69"/>
      <c r="V6" s="69"/>
      <c r="W6" s="71">
        <f t="shared" si="3"/>
        <v>7.57965625</v>
      </c>
      <c r="X6" s="72">
        <f t="shared" si="4"/>
        <v>0.339640625</v>
      </c>
      <c r="Y6" s="72"/>
      <c r="Z6" s="72"/>
      <c r="AA6" s="72">
        <f t="shared" si="5"/>
        <v>0.339640625</v>
      </c>
      <c r="AB6" s="81">
        <v>7.11</v>
      </c>
      <c r="AC6" s="69">
        <f t="shared" si="6"/>
        <v>2.41484484375</v>
      </c>
      <c r="AD6" s="69">
        <f t="shared" si="7"/>
        <v>9.99450109375</v>
      </c>
      <c r="AE6" s="69">
        <f t="shared" si="8"/>
        <v>110.00549890625</v>
      </c>
    </row>
    <row r="7" customFormat="1" spans="1:31">
      <c r="A7" s="19"/>
      <c r="B7" s="20"/>
      <c r="C7" s="21">
        <v>241002000009</v>
      </c>
      <c r="D7" s="22">
        <v>45572</v>
      </c>
      <c r="E7" s="22" t="s">
        <v>47</v>
      </c>
      <c r="F7" s="20" t="s">
        <v>47</v>
      </c>
      <c r="G7" s="20" t="s">
        <v>48</v>
      </c>
      <c r="H7" s="20">
        <v>8</v>
      </c>
      <c r="I7" s="39">
        <v>1620</v>
      </c>
      <c r="J7" s="40"/>
      <c r="K7" s="41"/>
      <c r="L7" s="20"/>
      <c r="M7" s="41"/>
      <c r="N7" s="42"/>
      <c r="O7" s="43">
        <f t="shared" si="0"/>
        <v>1620</v>
      </c>
      <c r="P7" s="45"/>
      <c r="Q7" s="45"/>
      <c r="R7" s="69">
        <f t="shared" si="1"/>
        <v>600</v>
      </c>
      <c r="S7" s="69"/>
      <c r="T7" s="70">
        <f t="shared" si="2"/>
        <v>6.3725</v>
      </c>
      <c r="U7" s="69"/>
      <c r="V7" s="69"/>
      <c r="W7" s="71">
        <f t="shared" si="3"/>
        <v>606.3725</v>
      </c>
      <c r="X7" s="72">
        <f t="shared" si="4"/>
        <v>27.17125</v>
      </c>
      <c r="Y7" s="72"/>
      <c r="Z7" s="72"/>
      <c r="AA7" s="72">
        <f t="shared" si="5"/>
        <v>27.17125</v>
      </c>
      <c r="AB7" s="81">
        <v>7.11</v>
      </c>
      <c r="AC7" s="69">
        <f t="shared" si="6"/>
        <v>193.1875875</v>
      </c>
      <c r="AD7" s="69">
        <f t="shared" si="7"/>
        <v>799.5600875</v>
      </c>
      <c r="AE7" s="69">
        <f t="shared" si="8"/>
        <v>820.4399125</v>
      </c>
    </row>
    <row r="8" customFormat="1" spans="1:31">
      <c r="A8" s="19"/>
      <c r="B8" s="20"/>
      <c r="C8" s="21">
        <v>241002000012</v>
      </c>
      <c r="D8" s="22">
        <v>45572</v>
      </c>
      <c r="E8" s="22" t="s">
        <v>47</v>
      </c>
      <c r="F8" s="20" t="s">
        <v>47</v>
      </c>
      <c r="G8" s="20" t="s">
        <v>49</v>
      </c>
      <c r="H8" s="20">
        <v>1.5</v>
      </c>
      <c r="I8" s="39">
        <v>172.5</v>
      </c>
      <c r="J8" s="40"/>
      <c r="K8" s="41"/>
      <c r="L8" s="20"/>
      <c r="M8" s="41"/>
      <c r="N8" s="42"/>
      <c r="O8" s="43">
        <f t="shared" si="0"/>
        <v>172.5</v>
      </c>
      <c r="P8" s="45"/>
      <c r="Q8" s="45"/>
      <c r="R8" s="69">
        <f t="shared" si="1"/>
        <v>112.5</v>
      </c>
      <c r="S8" s="69"/>
      <c r="T8" s="70">
        <f t="shared" si="2"/>
        <v>1.19484375</v>
      </c>
      <c r="U8" s="69"/>
      <c r="V8" s="69"/>
      <c r="W8" s="71">
        <f t="shared" si="3"/>
        <v>113.69484375</v>
      </c>
      <c r="X8" s="72">
        <f t="shared" si="4"/>
        <v>5.094609375</v>
      </c>
      <c r="Y8" s="72"/>
      <c r="Z8" s="72"/>
      <c r="AA8" s="72">
        <f t="shared" si="5"/>
        <v>5.094609375</v>
      </c>
      <c r="AB8" s="81">
        <v>7.11</v>
      </c>
      <c r="AC8" s="69">
        <f t="shared" si="6"/>
        <v>36.22267265625</v>
      </c>
      <c r="AD8" s="69">
        <f t="shared" si="7"/>
        <v>149.91751640625</v>
      </c>
      <c r="AE8" s="69">
        <f t="shared" si="8"/>
        <v>22.58248359375</v>
      </c>
    </row>
    <row r="9" customFormat="1" spans="1:31">
      <c r="A9" s="19"/>
      <c r="B9" s="20"/>
      <c r="C9" s="21">
        <v>241003000001</v>
      </c>
      <c r="D9" s="22">
        <v>45572</v>
      </c>
      <c r="E9" s="22" t="s">
        <v>41</v>
      </c>
      <c r="F9" s="20" t="s">
        <v>42</v>
      </c>
      <c r="G9" s="20" t="s">
        <v>50</v>
      </c>
      <c r="H9" s="20">
        <v>5.5</v>
      </c>
      <c r="I9" s="39">
        <v>660</v>
      </c>
      <c r="J9" s="40"/>
      <c r="K9" s="41"/>
      <c r="L9" s="20"/>
      <c r="M9" s="41"/>
      <c r="N9" s="42"/>
      <c r="O9" s="43">
        <f t="shared" si="0"/>
        <v>660</v>
      </c>
      <c r="P9" s="45"/>
      <c r="Q9" s="45"/>
      <c r="R9" s="69">
        <f t="shared" si="1"/>
        <v>412.5</v>
      </c>
      <c r="S9" s="69"/>
      <c r="T9" s="70">
        <f t="shared" si="2"/>
        <v>4.38109375</v>
      </c>
      <c r="U9" s="69"/>
      <c r="V9" s="69"/>
      <c r="W9" s="71">
        <f t="shared" si="3"/>
        <v>416.88109375</v>
      </c>
      <c r="X9" s="72">
        <f t="shared" si="4"/>
        <v>18.680234375</v>
      </c>
      <c r="Y9" s="72"/>
      <c r="Z9" s="72"/>
      <c r="AA9" s="72">
        <f t="shared" si="5"/>
        <v>18.680234375</v>
      </c>
      <c r="AB9" s="81">
        <v>7.11</v>
      </c>
      <c r="AC9" s="69">
        <f t="shared" si="6"/>
        <v>132.81646640625</v>
      </c>
      <c r="AD9" s="69">
        <f t="shared" si="7"/>
        <v>549.69756015625</v>
      </c>
      <c r="AE9" s="69">
        <f t="shared" si="8"/>
        <v>110.30243984375</v>
      </c>
    </row>
    <row r="10" customFormat="1" spans="1:31">
      <c r="A10" s="19"/>
      <c r="B10" s="20"/>
      <c r="C10" s="21">
        <v>241004000010</v>
      </c>
      <c r="D10" s="22">
        <v>45572</v>
      </c>
      <c r="E10" s="22" t="s">
        <v>47</v>
      </c>
      <c r="F10" s="20" t="s">
        <v>51</v>
      </c>
      <c r="G10" s="20" t="s">
        <v>52</v>
      </c>
      <c r="H10" s="20">
        <v>9.5</v>
      </c>
      <c r="I10" s="39">
        <v>1140</v>
      </c>
      <c r="J10" s="40"/>
      <c r="K10" s="41"/>
      <c r="L10" s="20"/>
      <c r="M10" s="41"/>
      <c r="N10" s="42"/>
      <c r="O10" s="43">
        <f t="shared" si="0"/>
        <v>1140</v>
      </c>
      <c r="P10" s="45"/>
      <c r="Q10" s="45"/>
      <c r="R10" s="69">
        <f t="shared" si="1"/>
        <v>712.5</v>
      </c>
      <c r="S10" s="69"/>
      <c r="T10" s="70">
        <f t="shared" si="2"/>
        <v>7.56734375</v>
      </c>
      <c r="U10" s="69"/>
      <c r="V10" s="69"/>
      <c r="W10" s="71">
        <f t="shared" si="3"/>
        <v>720.06734375</v>
      </c>
      <c r="X10" s="72">
        <f t="shared" si="4"/>
        <v>32.265859375</v>
      </c>
      <c r="Y10" s="72"/>
      <c r="Z10" s="72"/>
      <c r="AA10" s="72">
        <f t="shared" si="5"/>
        <v>32.265859375</v>
      </c>
      <c r="AB10" s="81">
        <v>7.11</v>
      </c>
      <c r="AC10" s="69">
        <f t="shared" si="6"/>
        <v>229.41026015625</v>
      </c>
      <c r="AD10" s="69">
        <f t="shared" si="7"/>
        <v>949.47760390625</v>
      </c>
      <c r="AE10" s="69">
        <f t="shared" si="8"/>
        <v>190.52239609375</v>
      </c>
    </row>
    <row r="11" customFormat="1" spans="1:31">
      <c r="A11" s="19"/>
      <c r="B11" s="20"/>
      <c r="C11" s="21">
        <v>241004000013</v>
      </c>
      <c r="D11" s="22">
        <v>45572</v>
      </c>
      <c r="E11" s="22" t="s">
        <v>37</v>
      </c>
      <c r="F11" s="20" t="s">
        <v>53</v>
      </c>
      <c r="G11" s="20" t="s">
        <v>54</v>
      </c>
      <c r="H11" s="20">
        <v>2</v>
      </c>
      <c r="I11" s="43"/>
      <c r="J11" s="46">
        <v>56224</v>
      </c>
      <c r="K11" s="41"/>
      <c r="L11" s="47">
        <f t="shared" ref="L11:L16" si="9">SUM(J11/M11)</f>
        <v>1711.01643335362</v>
      </c>
      <c r="M11" s="48">
        <v>32.86</v>
      </c>
      <c r="N11" s="42">
        <v>7.11</v>
      </c>
      <c r="O11" s="43">
        <f t="shared" ref="O11:O16" si="10">SUM(M11*N11)</f>
        <v>233.6346</v>
      </c>
      <c r="P11" s="45"/>
      <c r="Q11" s="45"/>
      <c r="R11" s="69">
        <f t="shared" si="1"/>
        <v>150</v>
      </c>
      <c r="S11" s="69"/>
      <c r="T11" s="70">
        <f t="shared" si="2"/>
        <v>1.593125</v>
      </c>
      <c r="U11" s="69"/>
      <c r="V11" s="69"/>
      <c r="W11" s="71">
        <f t="shared" si="3"/>
        <v>151.593125</v>
      </c>
      <c r="X11" s="72">
        <f t="shared" si="4"/>
        <v>6.7928125</v>
      </c>
      <c r="Y11" s="72"/>
      <c r="Z11" s="72"/>
      <c r="AA11" s="72">
        <f t="shared" si="5"/>
        <v>6.7928125</v>
      </c>
      <c r="AB11" s="81">
        <v>7.11</v>
      </c>
      <c r="AC11" s="69">
        <f t="shared" si="6"/>
        <v>48.296896875</v>
      </c>
      <c r="AD11" s="69">
        <f t="shared" si="7"/>
        <v>199.890021875</v>
      </c>
      <c r="AE11" s="69">
        <f t="shared" ref="AE11:AE31" si="11">SUM(O11-AD11)</f>
        <v>33.744578125</v>
      </c>
    </row>
    <row r="12" customFormat="1" spans="1:31">
      <c r="A12" s="19"/>
      <c r="B12" s="20"/>
      <c r="C12" s="21">
        <v>241004000014</v>
      </c>
      <c r="D12" s="22">
        <v>45572</v>
      </c>
      <c r="E12" s="22" t="s">
        <v>55</v>
      </c>
      <c r="F12" s="20" t="s">
        <v>56</v>
      </c>
      <c r="G12" s="20" t="s">
        <v>57</v>
      </c>
      <c r="H12" s="20">
        <v>21.5</v>
      </c>
      <c r="I12" s="39">
        <v>2580</v>
      </c>
      <c r="J12" s="40"/>
      <c r="K12" s="41"/>
      <c r="L12" s="20"/>
      <c r="M12" s="41"/>
      <c r="N12" s="42"/>
      <c r="O12" s="43">
        <f t="shared" ref="O12:O22" si="12">SUM(I12)</f>
        <v>2580</v>
      </c>
      <c r="P12" s="45"/>
      <c r="Q12" s="45"/>
      <c r="R12" s="69">
        <f t="shared" si="1"/>
        <v>1612.5</v>
      </c>
      <c r="S12" s="69"/>
      <c r="T12" s="70">
        <f t="shared" si="2"/>
        <v>17.12609375</v>
      </c>
      <c r="U12" s="69"/>
      <c r="V12" s="69"/>
      <c r="W12" s="71">
        <f t="shared" ref="W12:W31" si="13">SUM(R12:V12)</f>
        <v>1629.62609375</v>
      </c>
      <c r="X12" s="72">
        <f t="shared" si="4"/>
        <v>73.022734375</v>
      </c>
      <c r="Y12" s="72"/>
      <c r="Z12" s="72"/>
      <c r="AA12" s="72">
        <f t="shared" ref="AA12:AA31" si="14">SUM(X12:Z12)</f>
        <v>73.022734375</v>
      </c>
      <c r="AB12" s="81">
        <v>7.11</v>
      </c>
      <c r="AC12" s="69">
        <f t="shared" ref="AC12:AC31" si="15">SUM(AA12*AB12)</f>
        <v>519.19164140625</v>
      </c>
      <c r="AD12" s="69">
        <f t="shared" si="7"/>
        <v>2148.81773515625</v>
      </c>
      <c r="AE12" s="69">
        <f t="shared" si="11"/>
        <v>431.18226484375</v>
      </c>
    </row>
    <row r="13" customFormat="1" spans="1:31">
      <c r="A13" s="19"/>
      <c r="B13" s="20"/>
      <c r="C13" s="21">
        <v>241004000018</v>
      </c>
      <c r="D13" s="22">
        <v>45572</v>
      </c>
      <c r="E13" s="22" t="s">
        <v>44</v>
      </c>
      <c r="F13" s="20" t="s">
        <v>45</v>
      </c>
      <c r="G13" s="20" t="s">
        <v>58</v>
      </c>
      <c r="H13" s="20">
        <v>0.1</v>
      </c>
      <c r="I13" s="39">
        <v>150</v>
      </c>
      <c r="J13" s="40"/>
      <c r="K13" s="41"/>
      <c r="L13" s="20"/>
      <c r="M13" s="41"/>
      <c r="N13" s="42"/>
      <c r="O13" s="43">
        <f t="shared" si="12"/>
        <v>150</v>
      </c>
      <c r="P13" s="49"/>
      <c r="Q13" s="49"/>
      <c r="R13" s="69">
        <f t="shared" si="1"/>
        <v>7.5</v>
      </c>
      <c r="S13" s="69"/>
      <c r="T13" s="70">
        <f t="shared" si="2"/>
        <v>0.07965625</v>
      </c>
      <c r="U13" s="69"/>
      <c r="V13" s="69"/>
      <c r="W13" s="71">
        <f t="shared" si="13"/>
        <v>7.57965625</v>
      </c>
      <c r="X13" s="72">
        <f t="shared" si="4"/>
        <v>0.339640625</v>
      </c>
      <c r="Y13" s="72"/>
      <c r="Z13" s="72"/>
      <c r="AA13" s="72">
        <f t="shared" si="14"/>
        <v>0.339640625</v>
      </c>
      <c r="AB13" s="81">
        <v>7.11</v>
      </c>
      <c r="AC13" s="69">
        <f t="shared" si="15"/>
        <v>2.41484484375</v>
      </c>
      <c r="AD13" s="69">
        <f t="shared" ref="AD13:AD31" si="16">SUM(W13+AC13)</f>
        <v>9.99450109375</v>
      </c>
      <c r="AE13" s="69">
        <f t="shared" si="11"/>
        <v>140.00549890625</v>
      </c>
    </row>
    <row r="14" customFormat="1" spans="1:31">
      <c r="A14" s="19" t="s">
        <v>59</v>
      </c>
      <c r="B14" s="20" t="s">
        <v>60</v>
      </c>
      <c r="C14" s="21">
        <v>241005000006</v>
      </c>
      <c r="D14" s="22">
        <v>45575</v>
      </c>
      <c r="E14" s="22" t="s">
        <v>41</v>
      </c>
      <c r="F14" s="20" t="s">
        <v>42</v>
      </c>
      <c r="G14" s="20" t="s">
        <v>61</v>
      </c>
      <c r="H14" s="20">
        <v>3</v>
      </c>
      <c r="I14" s="43"/>
      <c r="J14" s="46">
        <v>88896</v>
      </c>
      <c r="K14" s="41"/>
      <c r="L14" s="47">
        <f t="shared" si="9"/>
        <v>1728.48531985223</v>
      </c>
      <c r="M14" s="48">
        <v>51.43</v>
      </c>
      <c r="N14" s="42">
        <v>7.11</v>
      </c>
      <c r="O14" s="43">
        <f t="shared" si="10"/>
        <v>365.6673</v>
      </c>
      <c r="P14" s="44">
        <f>SUM(O14:O31)</f>
        <v>4808.8697</v>
      </c>
      <c r="Q14" s="44" t="s">
        <v>40</v>
      </c>
      <c r="R14" s="69">
        <f>SUM(2400/32)*H14</f>
        <v>225</v>
      </c>
      <c r="S14" s="69"/>
      <c r="T14" s="70">
        <f>SUM(78.67/32)*H14</f>
        <v>7.3753125</v>
      </c>
      <c r="U14" s="69"/>
      <c r="V14" s="69"/>
      <c r="W14" s="71">
        <f t="shared" si="13"/>
        <v>232.3753125</v>
      </c>
      <c r="X14" s="72">
        <f>SUM(140.27/32)*H14</f>
        <v>13.1503125</v>
      </c>
      <c r="Y14" s="72"/>
      <c r="Z14" s="72"/>
      <c r="AA14" s="72">
        <f t="shared" si="14"/>
        <v>13.1503125</v>
      </c>
      <c r="AB14" s="81">
        <v>7.11</v>
      </c>
      <c r="AC14" s="69">
        <f t="shared" si="15"/>
        <v>93.498721875</v>
      </c>
      <c r="AD14" s="69">
        <f t="shared" si="16"/>
        <v>325.874034375</v>
      </c>
      <c r="AE14" s="69">
        <f t="shared" si="11"/>
        <v>39.793265625</v>
      </c>
    </row>
    <row r="15" customFormat="1" spans="1:31">
      <c r="A15" s="19"/>
      <c r="B15" s="20"/>
      <c r="C15" s="21">
        <v>241005000009</v>
      </c>
      <c r="D15" s="22">
        <v>45575</v>
      </c>
      <c r="E15" s="22" t="s">
        <v>41</v>
      </c>
      <c r="F15" s="20" t="s">
        <v>42</v>
      </c>
      <c r="G15" s="20" t="s">
        <v>62</v>
      </c>
      <c r="H15" s="20">
        <v>0.5</v>
      </c>
      <c r="I15" s="50"/>
      <c r="J15" s="46">
        <v>65660</v>
      </c>
      <c r="K15" s="41"/>
      <c r="L15" s="47">
        <f t="shared" si="9"/>
        <v>1742.1066595914</v>
      </c>
      <c r="M15" s="48">
        <v>37.69</v>
      </c>
      <c r="N15" s="42">
        <v>7.11</v>
      </c>
      <c r="O15" s="43">
        <f t="shared" si="10"/>
        <v>267.9759</v>
      </c>
      <c r="P15" s="45"/>
      <c r="Q15" s="45"/>
      <c r="R15" s="69">
        <f t="shared" ref="R15:R32" si="17">SUM(2400/32)*H15</f>
        <v>37.5</v>
      </c>
      <c r="S15" s="69"/>
      <c r="T15" s="70">
        <f t="shared" ref="T15:T31" si="18">SUM(78.67/32)*H15</f>
        <v>1.22921875</v>
      </c>
      <c r="U15" s="69"/>
      <c r="V15" s="70">
        <v>18</v>
      </c>
      <c r="W15" s="71">
        <f t="shared" si="13"/>
        <v>56.72921875</v>
      </c>
      <c r="X15" s="72">
        <f t="shared" ref="X15:X31" si="19">SUM(140.27/32)*H15</f>
        <v>2.19171875</v>
      </c>
      <c r="Y15" s="72"/>
      <c r="Z15" s="72"/>
      <c r="AA15" s="72">
        <f t="shared" si="14"/>
        <v>2.19171875</v>
      </c>
      <c r="AB15" s="81">
        <v>7.11</v>
      </c>
      <c r="AC15" s="69">
        <f t="shared" si="15"/>
        <v>15.5831203125</v>
      </c>
      <c r="AD15" s="69">
        <f t="shared" si="16"/>
        <v>72.3123390625</v>
      </c>
      <c r="AE15" s="69">
        <f t="shared" si="11"/>
        <v>195.6635609375</v>
      </c>
    </row>
    <row r="16" customFormat="1" spans="1:31">
      <c r="A16" s="19"/>
      <c r="B16" s="20"/>
      <c r="C16" s="21">
        <v>241006000008</v>
      </c>
      <c r="D16" s="22">
        <v>45575</v>
      </c>
      <c r="E16" s="22" t="s">
        <v>47</v>
      </c>
      <c r="F16" s="20" t="s">
        <v>47</v>
      </c>
      <c r="G16" s="20" t="s">
        <v>63</v>
      </c>
      <c r="H16" s="20">
        <v>6</v>
      </c>
      <c r="I16" s="50"/>
      <c r="J16" s="46">
        <v>137655</v>
      </c>
      <c r="K16" s="41"/>
      <c r="L16" s="47">
        <f t="shared" si="9"/>
        <v>1702.17633238531</v>
      </c>
      <c r="M16" s="48">
        <v>80.87</v>
      </c>
      <c r="N16" s="42">
        <v>7.11</v>
      </c>
      <c r="O16" s="43">
        <f t="shared" si="10"/>
        <v>574.9857</v>
      </c>
      <c r="P16" s="45"/>
      <c r="Q16" s="45"/>
      <c r="R16" s="69">
        <f t="shared" si="17"/>
        <v>450</v>
      </c>
      <c r="S16" s="69"/>
      <c r="T16" s="70">
        <f t="shared" si="18"/>
        <v>14.750625</v>
      </c>
      <c r="U16" s="69"/>
      <c r="V16" s="69"/>
      <c r="W16" s="71">
        <f t="shared" si="13"/>
        <v>464.750625</v>
      </c>
      <c r="X16" s="72">
        <f t="shared" si="19"/>
        <v>26.300625</v>
      </c>
      <c r="Y16" s="72"/>
      <c r="Z16" s="72"/>
      <c r="AA16" s="72">
        <f t="shared" si="14"/>
        <v>26.300625</v>
      </c>
      <c r="AB16" s="81">
        <v>7.11</v>
      </c>
      <c r="AC16" s="69">
        <f t="shared" si="15"/>
        <v>186.99744375</v>
      </c>
      <c r="AD16" s="69">
        <f t="shared" si="16"/>
        <v>651.74806875</v>
      </c>
      <c r="AE16" s="69">
        <f t="shared" si="11"/>
        <v>-76.7623687500001</v>
      </c>
    </row>
    <row r="17" customFormat="1" spans="1:31">
      <c r="A17" s="19"/>
      <c r="B17" s="20"/>
      <c r="C17" s="21">
        <v>241006000010</v>
      </c>
      <c r="D17" s="22">
        <v>45575</v>
      </c>
      <c r="E17" s="22" t="s">
        <v>47</v>
      </c>
      <c r="F17" s="20" t="s">
        <v>51</v>
      </c>
      <c r="G17" s="20" t="s">
        <v>52</v>
      </c>
      <c r="H17" s="20">
        <v>2</v>
      </c>
      <c r="I17" s="39">
        <v>240</v>
      </c>
      <c r="J17" s="40"/>
      <c r="K17" s="41"/>
      <c r="L17" s="20"/>
      <c r="M17" s="41"/>
      <c r="N17" s="42"/>
      <c r="O17" s="43">
        <f t="shared" si="12"/>
        <v>240</v>
      </c>
      <c r="P17" s="45"/>
      <c r="Q17" s="45"/>
      <c r="R17" s="69">
        <f t="shared" si="17"/>
        <v>150</v>
      </c>
      <c r="S17" s="69"/>
      <c r="T17" s="70">
        <f t="shared" si="18"/>
        <v>4.916875</v>
      </c>
      <c r="U17" s="69"/>
      <c r="V17" s="69"/>
      <c r="W17" s="71">
        <f t="shared" si="13"/>
        <v>154.916875</v>
      </c>
      <c r="X17" s="72">
        <f t="shared" si="19"/>
        <v>8.766875</v>
      </c>
      <c r="Y17" s="72"/>
      <c r="Z17" s="72"/>
      <c r="AA17" s="72">
        <f t="shared" si="14"/>
        <v>8.766875</v>
      </c>
      <c r="AB17" s="81">
        <v>7.11</v>
      </c>
      <c r="AC17" s="69">
        <f t="shared" si="15"/>
        <v>62.33248125</v>
      </c>
      <c r="AD17" s="69">
        <f t="shared" si="16"/>
        <v>217.24935625</v>
      </c>
      <c r="AE17" s="69">
        <f t="shared" si="11"/>
        <v>22.75064375</v>
      </c>
    </row>
    <row r="18" customFormat="1" spans="1:31">
      <c r="A18" s="19"/>
      <c r="B18" s="20"/>
      <c r="C18" s="21">
        <v>241007000002</v>
      </c>
      <c r="D18" s="22">
        <v>45575</v>
      </c>
      <c r="E18" s="22" t="s">
        <v>47</v>
      </c>
      <c r="F18" s="20" t="s">
        <v>47</v>
      </c>
      <c r="G18" s="20" t="s">
        <v>64</v>
      </c>
      <c r="H18" s="20">
        <v>1.5</v>
      </c>
      <c r="I18" s="39">
        <v>172.5</v>
      </c>
      <c r="J18" s="40"/>
      <c r="K18" s="41"/>
      <c r="L18" s="20"/>
      <c r="M18" s="41"/>
      <c r="N18" s="42"/>
      <c r="O18" s="43">
        <f t="shared" si="12"/>
        <v>172.5</v>
      </c>
      <c r="P18" s="45"/>
      <c r="Q18" s="45"/>
      <c r="R18" s="69">
        <f t="shared" si="17"/>
        <v>112.5</v>
      </c>
      <c r="S18" s="69"/>
      <c r="T18" s="70">
        <f t="shared" si="18"/>
        <v>3.68765625</v>
      </c>
      <c r="U18" s="69"/>
      <c r="V18" s="69"/>
      <c r="W18" s="71">
        <f t="shared" si="13"/>
        <v>116.18765625</v>
      </c>
      <c r="X18" s="72">
        <f t="shared" si="19"/>
        <v>6.57515625</v>
      </c>
      <c r="Y18" s="72"/>
      <c r="Z18" s="72"/>
      <c r="AA18" s="72">
        <f t="shared" si="14"/>
        <v>6.57515625</v>
      </c>
      <c r="AB18" s="81">
        <v>7.11</v>
      </c>
      <c r="AC18" s="69">
        <f t="shared" si="15"/>
        <v>46.7493609375</v>
      </c>
      <c r="AD18" s="69">
        <f t="shared" si="16"/>
        <v>162.9370171875</v>
      </c>
      <c r="AE18" s="69">
        <f t="shared" si="11"/>
        <v>9.5629828125</v>
      </c>
    </row>
    <row r="19" customFormat="1" spans="1:31">
      <c r="A19" s="19"/>
      <c r="B19" s="20"/>
      <c r="C19" s="21">
        <v>241007000003</v>
      </c>
      <c r="D19" s="22">
        <v>45575</v>
      </c>
      <c r="E19" s="22" t="s">
        <v>47</v>
      </c>
      <c r="F19" s="20" t="s">
        <v>47</v>
      </c>
      <c r="G19" s="20" t="s">
        <v>65</v>
      </c>
      <c r="H19" s="20">
        <v>3</v>
      </c>
      <c r="I19" s="39">
        <v>435</v>
      </c>
      <c r="J19" s="40"/>
      <c r="K19" s="41"/>
      <c r="L19" s="20"/>
      <c r="M19" s="41"/>
      <c r="N19" s="42"/>
      <c r="O19" s="43">
        <f t="shared" si="12"/>
        <v>435</v>
      </c>
      <c r="P19" s="45"/>
      <c r="Q19" s="45"/>
      <c r="R19" s="69">
        <f t="shared" si="17"/>
        <v>225</v>
      </c>
      <c r="S19" s="69"/>
      <c r="T19" s="70">
        <f t="shared" si="18"/>
        <v>7.3753125</v>
      </c>
      <c r="U19" s="69"/>
      <c r="V19" s="69"/>
      <c r="W19" s="71">
        <f t="shared" si="13"/>
        <v>232.3753125</v>
      </c>
      <c r="X19" s="72">
        <f t="shared" si="19"/>
        <v>13.1503125</v>
      </c>
      <c r="Y19" s="72"/>
      <c r="Z19" s="72"/>
      <c r="AA19" s="72">
        <f t="shared" si="14"/>
        <v>13.1503125</v>
      </c>
      <c r="AB19" s="81">
        <v>7.11</v>
      </c>
      <c r="AC19" s="69">
        <f t="shared" si="15"/>
        <v>93.498721875</v>
      </c>
      <c r="AD19" s="69">
        <f t="shared" si="16"/>
        <v>325.874034375</v>
      </c>
      <c r="AE19" s="69">
        <f t="shared" si="11"/>
        <v>109.125965625</v>
      </c>
    </row>
    <row r="20" customFormat="1" spans="1:31">
      <c r="A20" s="19"/>
      <c r="B20" s="20"/>
      <c r="C20" s="21">
        <v>241007000005</v>
      </c>
      <c r="D20" s="22">
        <v>45575</v>
      </c>
      <c r="E20" s="22" t="s">
        <v>41</v>
      </c>
      <c r="F20" s="20" t="s">
        <v>42</v>
      </c>
      <c r="G20" s="20" t="s">
        <v>43</v>
      </c>
      <c r="H20" s="20">
        <v>0.58</v>
      </c>
      <c r="I20" s="39">
        <v>115</v>
      </c>
      <c r="J20" s="40"/>
      <c r="K20" s="41"/>
      <c r="L20" s="20"/>
      <c r="M20" s="41"/>
      <c r="N20" s="42"/>
      <c r="O20" s="43">
        <f t="shared" si="12"/>
        <v>115</v>
      </c>
      <c r="P20" s="45"/>
      <c r="Q20" s="45"/>
      <c r="R20" s="69">
        <f t="shared" si="17"/>
        <v>43.5</v>
      </c>
      <c r="S20" s="69"/>
      <c r="T20" s="70">
        <f t="shared" si="18"/>
        <v>1.42589375</v>
      </c>
      <c r="U20" s="69"/>
      <c r="V20" s="69"/>
      <c r="W20" s="71">
        <f t="shared" si="13"/>
        <v>44.92589375</v>
      </c>
      <c r="X20" s="72">
        <f t="shared" si="19"/>
        <v>2.54239375</v>
      </c>
      <c r="Y20" s="72"/>
      <c r="Z20" s="72"/>
      <c r="AA20" s="72">
        <f t="shared" si="14"/>
        <v>2.54239375</v>
      </c>
      <c r="AB20" s="81">
        <v>7.11</v>
      </c>
      <c r="AC20" s="69">
        <f t="shared" si="15"/>
        <v>18.0764195625</v>
      </c>
      <c r="AD20" s="69">
        <f t="shared" si="16"/>
        <v>63.0023133125</v>
      </c>
      <c r="AE20" s="69">
        <f t="shared" si="11"/>
        <v>51.9976866875</v>
      </c>
    </row>
    <row r="21" customFormat="1" spans="1:31">
      <c r="A21" s="19"/>
      <c r="B21" s="20"/>
      <c r="C21" s="21">
        <v>241008000011</v>
      </c>
      <c r="D21" s="22">
        <v>45575</v>
      </c>
      <c r="E21" s="22" t="s">
        <v>66</v>
      </c>
      <c r="F21" s="20" t="s">
        <v>67</v>
      </c>
      <c r="G21" s="20" t="s">
        <v>68</v>
      </c>
      <c r="H21" s="20">
        <v>3.5</v>
      </c>
      <c r="I21" s="39">
        <v>420</v>
      </c>
      <c r="J21" s="40"/>
      <c r="K21" s="41"/>
      <c r="L21" s="20"/>
      <c r="M21" s="41"/>
      <c r="N21" s="42"/>
      <c r="O21" s="43">
        <f t="shared" si="12"/>
        <v>420</v>
      </c>
      <c r="P21" s="45"/>
      <c r="Q21" s="45"/>
      <c r="R21" s="69">
        <f t="shared" si="17"/>
        <v>262.5</v>
      </c>
      <c r="S21" s="69"/>
      <c r="T21" s="70">
        <f t="shared" si="18"/>
        <v>8.60453125</v>
      </c>
      <c r="U21" s="69"/>
      <c r="V21" s="69"/>
      <c r="W21" s="71">
        <f t="shared" si="13"/>
        <v>271.10453125</v>
      </c>
      <c r="X21" s="72">
        <f t="shared" si="19"/>
        <v>15.34203125</v>
      </c>
      <c r="Y21" s="72"/>
      <c r="Z21" s="72"/>
      <c r="AA21" s="72">
        <f t="shared" si="14"/>
        <v>15.34203125</v>
      </c>
      <c r="AB21" s="81">
        <v>7.11</v>
      </c>
      <c r="AC21" s="69">
        <f t="shared" si="15"/>
        <v>109.0818421875</v>
      </c>
      <c r="AD21" s="69">
        <f t="shared" si="16"/>
        <v>380.1863734375</v>
      </c>
      <c r="AE21" s="69">
        <f t="shared" si="11"/>
        <v>39.8136265625</v>
      </c>
    </row>
    <row r="22" customFormat="1" spans="1:31">
      <c r="A22" s="19"/>
      <c r="B22" s="20"/>
      <c r="C22" s="21">
        <v>241008000025</v>
      </c>
      <c r="D22" s="22">
        <v>45575</v>
      </c>
      <c r="E22" s="22" t="s">
        <v>66</v>
      </c>
      <c r="F22" s="20" t="s">
        <v>67</v>
      </c>
      <c r="G22" s="20" t="s">
        <v>69</v>
      </c>
      <c r="H22" s="20">
        <v>1</v>
      </c>
      <c r="I22" s="39">
        <v>145</v>
      </c>
      <c r="J22" s="40"/>
      <c r="K22" s="41"/>
      <c r="L22" s="20"/>
      <c r="M22" s="41"/>
      <c r="N22" s="42"/>
      <c r="O22" s="43">
        <f t="shared" si="12"/>
        <v>145</v>
      </c>
      <c r="P22" s="45"/>
      <c r="Q22" s="45"/>
      <c r="R22" s="69">
        <f t="shared" si="17"/>
        <v>75</v>
      </c>
      <c r="S22" s="69"/>
      <c r="T22" s="70">
        <f t="shared" si="18"/>
        <v>2.4584375</v>
      </c>
      <c r="U22" s="69"/>
      <c r="V22" s="69"/>
      <c r="W22" s="71">
        <f t="shared" si="13"/>
        <v>77.4584375</v>
      </c>
      <c r="X22" s="72">
        <f t="shared" si="19"/>
        <v>4.3834375</v>
      </c>
      <c r="Y22" s="72"/>
      <c r="Z22" s="72"/>
      <c r="AA22" s="72">
        <f t="shared" si="14"/>
        <v>4.3834375</v>
      </c>
      <c r="AB22" s="81">
        <v>7.11</v>
      </c>
      <c r="AC22" s="69">
        <f t="shared" si="15"/>
        <v>31.166240625</v>
      </c>
      <c r="AD22" s="69">
        <f t="shared" si="16"/>
        <v>108.624678125</v>
      </c>
      <c r="AE22" s="69">
        <f t="shared" si="11"/>
        <v>36.375321875</v>
      </c>
    </row>
    <row r="23" customFormat="1" spans="1:31">
      <c r="A23" s="19"/>
      <c r="B23" s="20"/>
      <c r="C23" s="21">
        <v>241008000062</v>
      </c>
      <c r="D23" s="22">
        <v>45575</v>
      </c>
      <c r="E23" s="22" t="s">
        <v>37</v>
      </c>
      <c r="F23" s="20" t="s">
        <v>53</v>
      </c>
      <c r="G23" s="20" t="s">
        <v>54</v>
      </c>
      <c r="H23" s="20">
        <v>1.5</v>
      </c>
      <c r="I23" s="43"/>
      <c r="J23" s="46">
        <v>42200</v>
      </c>
      <c r="K23" s="41"/>
      <c r="L23" s="47">
        <f>SUM(J23/M23)</f>
        <v>1712.66233766234</v>
      </c>
      <c r="M23" s="48">
        <v>24.64</v>
      </c>
      <c r="N23" s="42">
        <v>7.11</v>
      </c>
      <c r="O23" s="43">
        <f t="shared" ref="O23:O25" si="20">SUM(M23*N23)</f>
        <v>175.1904</v>
      </c>
      <c r="P23" s="45"/>
      <c r="Q23" s="45"/>
      <c r="R23" s="69">
        <f t="shared" si="17"/>
        <v>112.5</v>
      </c>
      <c r="S23" s="69"/>
      <c r="T23" s="70">
        <f t="shared" si="18"/>
        <v>3.68765625</v>
      </c>
      <c r="U23" s="69"/>
      <c r="V23" s="69"/>
      <c r="W23" s="71">
        <f t="shared" si="13"/>
        <v>116.18765625</v>
      </c>
      <c r="X23" s="72">
        <f t="shared" si="19"/>
        <v>6.57515625</v>
      </c>
      <c r="Y23" s="72"/>
      <c r="Z23" s="72"/>
      <c r="AA23" s="72">
        <f t="shared" si="14"/>
        <v>6.57515625</v>
      </c>
      <c r="AB23" s="81">
        <v>7.11</v>
      </c>
      <c r="AC23" s="69">
        <f t="shared" si="15"/>
        <v>46.7493609375</v>
      </c>
      <c r="AD23" s="69">
        <f t="shared" si="16"/>
        <v>162.9370171875</v>
      </c>
      <c r="AE23" s="69">
        <f t="shared" si="11"/>
        <v>12.2533828125</v>
      </c>
    </row>
    <row r="24" customFormat="1" spans="1:31">
      <c r="A24" s="19"/>
      <c r="B24" s="20"/>
      <c r="C24" s="21">
        <v>241008000070</v>
      </c>
      <c r="D24" s="22">
        <v>45575</v>
      </c>
      <c r="E24" s="22" t="s">
        <v>66</v>
      </c>
      <c r="F24" s="20" t="s">
        <v>70</v>
      </c>
      <c r="G24" s="20" t="s">
        <v>71</v>
      </c>
      <c r="H24" s="20">
        <v>0.42</v>
      </c>
      <c r="I24" s="43"/>
      <c r="J24" s="46">
        <v>28181</v>
      </c>
      <c r="K24" s="41"/>
      <c r="L24" s="47">
        <f>SUM(J24/M24)</f>
        <v>1711.05039465695</v>
      </c>
      <c r="M24" s="48">
        <v>16.47</v>
      </c>
      <c r="N24" s="42">
        <v>7.11</v>
      </c>
      <c r="O24" s="43">
        <f t="shared" si="20"/>
        <v>117.1017</v>
      </c>
      <c r="P24" s="45"/>
      <c r="Q24" s="45"/>
      <c r="R24" s="69">
        <f t="shared" si="17"/>
        <v>31.5</v>
      </c>
      <c r="S24" s="69"/>
      <c r="T24" s="70">
        <f t="shared" si="18"/>
        <v>1.03254375</v>
      </c>
      <c r="U24" s="69"/>
      <c r="V24" s="69"/>
      <c r="W24" s="71">
        <f t="shared" si="13"/>
        <v>32.53254375</v>
      </c>
      <c r="X24" s="72">
        <f t="shared" si="19"/>
        <v>1.84104375</v>
      </c>
      <c r="Y24" s="72"/>
      <c r="Z24" s="72"/>
      <c r="AA24" s="72">
        <f t="shared" si="14"/>
        <v>1.84104375</v>
      </c>
      <c r="AB24" s="81">
        <v>7.11</v>
      </c>
      <c r="AC24" s="69">
        <f t="shared" si="15"/>
        <v>13.0898210625</v>
      </c>
      <c r="AD24" s="69">
        <f t="shared" si="16"/>
        <v>45.6223648125</v>
      </c>
      <c r="AE24" s="69">
        <f t="shared" si="11"/>
        <v>71.4793351875</v>
      </c>
    </row>
    <row r="25" customFormat="1" spans="1:31">
      <c r="A25" s="19"/>
      <c r="B25" s="20"/>
      <c r="C25" s="21">
        <v>241008000079</v>
      </c>
      <c r="D25" s="22">
        <v>45575</v>
      </c>
      <c r="E25" s="22" t="s">
        <v>55</v>
      </c>
      <c r="F25" s="20" t="s">
        <v>56</v>
      </c>
      <c r="G25" s="20" t="s">
        <v>72</v>
      </c>
      <c r="H25" s="20">
        <v>0.8</v>
      </c>
      <c r="I25" s="50"/>
      <c r="J25" s="46">
        <v>31104</v>
      </c>
      <c r="K25" s="41"/>
      <c r="L25" s="47">
        <f>SUM(J25/M25)</f>
        <v>1728</v>
      </c>
      <c r="M25" s="48">
        <v>18</v>
      </c>
      <c r="N25" s="42">
        <v>7.11</v>
      </c>
      <c r="O25" s="43">
        <f t="shared" si="20"/>
        <v>127.98</v>
      </c>
      <c r="P25" s="45"/>
      <c r="Q25" s="45"/>
      <c r="R25" s="69">
        <f t="shared" si="17"/>
        <v>60</v>
      </c>
      <c r="S25" s="69"/>
      <c r="T25" s="70">
        <f t="shared" si="18"/>
        <v>1.96675</v>
      </c>
      <c r="U25" s="69"/>
      <c r="V25" s="70">
        <v>13</v>
      </c>
      <c r="W25" s="71">
        <f t="shared" si="13"/>
        <v>74.96675</v>
      </c>
      <c r="X25" s="72">
        <f t="shared" si="19"/>
        <v>3.50675</v>
      </c>
      <c r="Y25" s="72"/>
      <c r="Z25" s="72"/>
      <c r="AA25" s="72">
        <f t="shared" si="14"/>
        <v>3.50675</v>
      </c>
      <c r="AB25" s="81">
        <v>7.11</v>
      </c>
      <c r="AC25" s="69">
        <f t="shared" si="15"/>
        <v>24.9329925</v>
      </c>
      <c r="AD25" s="69">
        <f t="shared" si="16"/>
        <v>99.8997425</v>
      </c>
      <c r="AE25" s="69">
        <f t="shared" si="11"/>
        <v>28.0802575</v>
      </c>
    </row>
    <row r="26" customFormat="1" spans="1:31">
      <c r="A26" s="19"/>
      <c r="B26" s="20"/>
      <c r="C26" s="21">
        <v>241008000081</v>
      </c>
      <c r="D26" s="22">
        <v>45575</v>
      </c>
      <c r="E26" s="22" t="s">
        <v>66</v>
      </c>
      <c r="F26" s="20" t="s">
        <v>67</v>
      </c>
      <c r="G26" s="20" t="s">
        <v>73</v>
      </c>
      <c r="H26" s="20">
        <v>2</v>
      </c>
      <c r="I26" s="39">
        <v>275</v>
      </c>
      <c r="J26" s="40"/>
      <c r="K26" s="41"/>
      <c r="L26" s="20"/>
      <c r="M26" s="41"/>
      <c r="N26" s="42"/>
      <c r="O26" s="43">
        <f t="shared" ref="O26:O30" si="21">SUM(I26)</f>
        <v>275</v>
      </c>
      <c r="P26" s="45"/>
      <c r="Q26" s="45"/>
      <c r="R26" s="69">
        <f t="shared" si="17"/>
        <v>150</v>
      </c>
      <c r="S26" s="69"/>
      <c r="T26" s="70">
        <f t="shared" si="18"/>
        <v>4.916875</v>
      </c>
      <c r="U26" s="69"/>
      <c r="V26" s="69"/>
      <c r="W26" s="71">
        <f t="shared" si="13"/>
        <v>154.916875</v>
      </c>
      <c r="X26" s="72">
        <f t="shared" si="19"/>
        <v>8.766875</v>
      </c>
      <c r="Y26" s="72">
        <v>6.32</v>
      </c>
      <c r="Z26" s="72"/>
      <c r="AA26" s="72">
        <f t="shared" si="14"/>
        <v>15.086875</v>
      </c>
      <c r="AB26" s="81">
        <v>7.11</v>
      </c>
      <c r="AC26" s="69">
        <f t="shared" si="15"/>
        <v>107.26768125</v>
      </c>
      <c r="AD26" s="69">
        <f t="shared" si="16"/>
        <v>262.18455625</v>
      </c>
      <c r="AE26" s="69">
        <f t="shared" si="11"/>
        <v>12.81544375</v>
      </c>
    </row>
    <row r="27" customFormat="1" spans="1:31">
      <c r="A27" s="19"/>
      <c r="B27" s="20"/>
      <c r="C27" s="21">
        <v>241008000090</v>
      </c>
      <c r="D27" s="22">
        <v>45575</v>
      </c>
      <c r="E27" s="22" t="s">
        <v>37</v>
      </c>
      <c r="F27" s="20" t="s">
        <v>38</v>
      </c>
      <c r="G27" s="20" t="s">
        <v>74</v>
      </c>
      <c r="H27" s="20">
        <v>0.1</v>
      </c>
      <c r="I27" s="39">
        <v>115</v>
      </c>
      <c r="J27" s="40"/>
      <c r="K27" s="41"/>
      <c r="L27" s="20"/>
      <c r="M27" s="41"/>
      <c r="N27" s="42"/>
      <c r="O27" s="43">
        <f t="shared" si="21"/>
        <v>115</v>
      </c>
      <c r="P27" s="45"/>
      <c r="Q27" s="45"/>
      <c r="R27" s="69">
        <f t="shared" si="17"/>
        <v>7.5</v>
      </c>
      <c r="S27" s="69"/>
      <c r="T27" s="70">
        <f t="shared" si="18"/>
        <v>0.24584375</v>
      </c>
      <c r="U27" s="69"/>
      <c r="V27" s="69"/>
      <c r="W27" s="71">
        <f t="shared" si="13"/>
        <v>7.74584375</v>
      </c>
      <c r="X27" s="72">
        <f t="shared" si="19"/>
        <v>0.43834375</v>
      </c>
      <c r="Y27" s="72"/>
      <c r="Z27" s="72"/>
      <c r="AA27" s="72">
        <f t="shared" si="14"/>
        <v>0.43834375</v>
      </c>
      <c r="AB27" s="81">
        <v>7.11</v>
      </c>
      <c r="AC27" s="69">
        <f t="shared" si="15"/>
        <v>3.1166240625</v>
      </c>
      <c r="AD27" s="69">
        <f t="shared" si="16"/>
        <v>10.8624678125</v>
      </c>
      <c r="AE27" s="69">
        <f t="shared" si="11"/>
        <v>104.1375321875</v>
      </c>
    </row>
    <row r="28" customFormat="1" spans="1:31">
      <c r="A28" s="19"/>
      <c r="B28" s="20"/>
      <c r="C28" s="21">
        <v>241008000093</v>
      </c>
      <c r="D28" s="22">
        <v>45575</v>
      </c>
      <c r="E28" s="22" t="s">
        <v>37</v>
      </c>
      <c r="F28" s="20" t="s">
        <v>38</v>
      </c>
      <c r="G28" s="20" t="s">
        <v>75</v>
      </c>
      <c r="H28" s="20">
        <v>0.5</v>
      </c>
      <c r="I28" s="39">
        <v>190</v>
      </c>
      <c r="J28" s="40"/>
      <c r="K28" s="41"/>
      <c r="L28" s="20"/>
      <c r="M28" s="41"/>
      <c r="N28" s="42"/>
      <c r="O28" s="43">
        <f t="shared" si="21"/>
        <v>190</v>
      </c>
      <c r="P28" s="45"/>
      <c r="Q28" s="45"/>
      <c r="R28" s="69">
        <f t="shared" si="17"/>
        <v>37.5</v>
      </c>
      <c r="S28" s="69"/>
      <c r="T28" s="70">
        <f t="shared" si="18"/>
        <v>1.22921875</v>
      </c>
      <c r="U28" s="69"/>
      <c r="V28" s="69"/>
      <c r="W28" s="71">
        <f t="shared" si="13"/>
        <v>38.72921875</v>
      </c>
      <c r="X28" s="72">
        <f t="shared" si="19"/>
        <v>2.19171875</v>
      </c>
      <c r="Y28" s="72"/>
      <c r="Z28" s="72"/>
      <c r="AA28" s="72">
        <f t="shared" si="14"/>
        <v>2.19171875</v>
      </c>
      <c r="AB28" s="81">
        <v>7.11</v>
      </c>
      <c r="AC28" s="69">
        <f t="shared" ref="AC28:AC45" si="22">SUM(AA28*AB28)</f>
        <v>15.5831203125</v>
      </c>
      <c r="AD28" s="69">
        <f t="shared" si="16"/>
        <v>54.3123390625</v>
      </c>
      <c r="AE28" s="69">
        <f t="shared" si="11"/>
        <v>135.6876609375</v>
      </c>
    </row>
    <row r="29" customFormat="1" spans="1:31">
      <c r="A29" s="19"/>
      <c r="B29" s="20"/>
      <c r="C29" s="21">
        <v>241008000097</v>
      </c>
      <c r="D29" s="22">
        <v>45575</v>
      </c>
      <c r="E29" s="22" t="s">
        <v>76</v>
      </c>
      <c r="F29" s="20" t="s">
        <v>77</v>
      </c>
      <c r="G29" s="20" t="s">
        <v>78</v>
      </c>
      <c r="H29" s="20">
        <v>0.4</v>
      </c>
      <c r="I29" s="39">
        <v>145</v>
      </c>
      <c r="J29" s="40"/>
      <c r="K29" s="41"/>
      <c r="L29" s="20"/>
      <c r="M29" s="41"/>
      <c r="N29" s="42"/>
      <c r="O29" s="43">
        <f t="shared" si="21"/>
        <v>145</v>
      </c>
      <c r="P29" s="45"/>
      <c r="Q29" s="45"/>
      <c r="R29" s="69">
        <f t="shared" si="17"/>
        <v>30</v>
      </c>
      <c r="S29" s="69"/>
      <c r="T29" s="70">
        <f t="shared" si="18"/>
        <v>0.983375</v>
      </c>
      <c r="U29" s="69"/>
      <c r="V29" s="69"/>
      <c r="W29" s="71">
        <f t="shared" si="13"/>
        <v>30.983375</v>
      </c>
      <c r="X29" s="72">
        <f t="shared" si="19"/>
        <v>1.753375</v>
      </c>
      <c r="Y29" s="72"/>
      <c r="Z29" s="72"/>
      <c r="AA29" s="72">
        <f t="shared" si="14"/>
        <v>1.753375</v>
      </c>
      <c r="AB29" s="81">
        <v>7.11</v>
      </c>
      <c r="AC29" s="69">
        <f t="shared" si="22"/>
        <v>12.46649625</v>
      </c>
      <c r="AD29" s="69">
        <f t="shared" ref="AD29:AD45" si="23">SUM(W29+AC29)</f>
        <v>43.44987125</v>
      </c>
      <c r="AE29" s="69">
        <f t="shared" ref="AE29:AE45" si="24">SUM(O29-AD29)</f>
        <v>101.55012875</v>
      </c>
    </row>
    <row r="30" customFormat="1" spans="1:31">
      <c r="A30" s="19"/>
      <c r="B30" s="20"/>
      <c r="C30" s="21">
        <v>241008000104</v>
      </c>
      <c r="D30" s="22">
        <v>45575</v>
      </c>
      <c r="E30" s="22" t="s">
        <v>66</v>
      </c>
      <c r="F30" s="20" t="s">
        <v>67</v>
      </c>
      <c r="G30" s="20" t="s">
        <v>79</v>
      </c>
      <c r="H30" s="20">
        <v>6.5</v>
      </c>
      <c r="I30" s="39">
        <v>812.5</v>
      </c>
      <c r="J30" s="40"/>
      <c r="K30" s="41"/>
      <c r="L30" s="20"/>
      <c r="M30" s="41"/>
      <c r="N30" s="42"/>
      <c r="O30" s="43">
        <f t="shared" si="21"/>
        <v>812.5</v>
      </c>
      <c r="P30" s="45"/>
      <c r="Q30" s="45"/>
      <c r="R30" s="69">
        <f t="shared" si="17"/>
        <v>487.5</v>
      </c>
      <c r="S30" s="69"/>
      <c r="T30" s="70">
        <f t="shared" si="18"/>
        <v>15.97984375</v>
      </c>
      <c r="U30" s="69"/>
      <c r="V30" s="69"/>
      <c r="W30" s="71">
        <f t="shared" si="13"/>
        <v>503.47984375</v>
      </c>
      <c r="X30" s="72">
        <f t="shared" si="19"/>
        <v>28.49234375</v>
      </c>
      <c r="Y30" s="72"/>
      <c r="Z30" s="72"/>
      <c r="AA30" s="72">
        <f t="shared" ref="AA30:AA45" si="25">SUM(X30:Z30)</f>
        <v>28.49234375</v>
      </c>
      <c r="AB30" s="81">
        <v>7.11</v>
      </c>
      <c r="AC30" s="69">
        <f t="shared" si="22"/>
        <v>202.5805640625</v>
      </c>
      <c r="AD30" s="69">
        <f t="shared" si="23"/>
        <v>706.0604078125</v>
      </c>
      <c r="AE30" s="69">
        <f t="shared" si="24"/>
        <v>106.4395921875</v>
      </c>
    </row>
    <row r="31" customFormat="1" spans="1:31">
      <c r="A31" s="19"/>
      <c r="B31" s="20"/>
      <c r="C31" s="21">
        <v>241008000107</v>
      </c>
      <c r="D31" s="22">
        <v>45575</v>
      </c>
      <c r="E31" s="22" t="s">
        <v>47</v>
      </c>
      <c r="F31" s="20" t="s">
        <v>47</v>
      </c>
      <c r="G31" s="20" t="s">
        <v>63</v>
      </c>
      <c r="H31" s="20">
        <v>0.28</v>
      </c>
      <c r="I31" s="50"/>
      <c r="J31" s="46">
        <v>27945</v>
      </c>
      <c r="K31" s="41"/>
      <c r="L31" s="47">
        <f t="shared" ref="L31:L33" si="26">SUM(J31/M31)</f>
        <v>1728.20037105751</v>
      </c>
      <c r="M31" s="48">
        <v>16.17</v>
      </c>
      <c r="N31" s="42">
        <v>7.11</v>
      </c>
      <c r="O31" s="43">
        <f t="shared" ref="O31:O33" si="27">SUM(M31*N31)</f>
        <v>114.9687</v>
      </c>
      <c r="P31" s="49"/>
      <c r="Q31" s="49"/>
      <c r="R31" s="69">
        <f t="shared" si="17"/>
        <v>21</v>
      </c>
      <c r="S31" s="69"/>
      <c r="T31" s="70">
        <f t="shared" si="18"/>
        <v>0.6883625</v>
      </c>
      <c r="U31" s="69"/>
      <c r="V31" s="69"/>
      <c r="W31" s="71">
        <f t="shared" ref="W31:W45" si="28">SUM(R31:V31)</f>
        <v>21.6883625</v>
      </c>
      <c r="X31" s="72">
        <f t="shared" si="19"/>
        <v>1.2273625</v>
      </c>
      <c r="Y31" s="72"/>
      <c r="Z31" s="72"/>
      <c r="AA31" s="72">
        <f t="shared" si="25"/>
        <v>1.2273625</v>
      </c>
      <c r="AB31" s="81">
        <v>7.11</v>
      </c>
      <c r="AC31" s="69">
        <f t="shared" si="22"/>
        <v>8.726547375</v>
      </c>
      <c r="AD31" s="69">
        <f t="shared" si="23"/>
        <v>30.414909875</v>
      </c>
      <c r="AE31" s="69">
        <f t="shared" si="24"/>
        <v>84.553790125</v>
      </c>
    </row>
    <row r="32" customFormat="1" spans="1:31">
      <c r="A32" s="19" t="s">
        <v>80</v>
      </c>
      <c r="B32" s="20" t="s">
        <v>81</v>
      </c>
      <c r="C32" s="21">
        <v>240928000020</v>
      </c>
      <c r="D32" s="22">
        <v>45578</v>
      </c>
      <c r="E32" s="22" t="s">
        <v>47</v>
      </c>
      <c r="F32" s="20" t="s">
        <v>47</v>
      </c>
      <c r="G32" s="20" t="s">
        <v>82</v>
      </c>
      <c r="H32" s="20">
        <v>5.5</v>
      </c>
      <c r="I32" s="50"/>
      <c r="J32" s="46">
        <v>89424</v>
      </c>
      <c r="K32" s="41"/>
      <c r="L32" s="47">
        <f t="shared" si="26"/>
        <v>1728</v>
      </c>
      <c r="M32" s="48">
        <v>51.75</v>
      </c>
      <c r="N32" s="42">
        <v>7.11</v>
      </c>
      <c r="O32" s="43">
        <f t="shared" si="27"/>
        <v>367.9425</v>
      </c>
      <c r="P32" s="44">
        <f>SUM(O32:O45)</f>
        <v>4037.9821</v>
      </c>
      <c r="Q32" s="44" t="s">
        <v>40</v>
      </c>
      <c r="R32" s="69">
        <f t="shared" si="17"/>
        <v>412.5</v>
      </c>
      <c r="S32" s="69"/>
      <c r="T32" s="70">
        <f>SUM(55.98/32)*H32</f>
        <v>9.6215625</v>
      </c>
      <c r="U32" s="69"/>
      <c r="V32" s="69"/>
      <c r="W32" s="71">
        <f t="shared" si="28"/>
        <v>422.1215625</v>
      </c>
      <c r="X32" s="72">
        <f>SUM(130.03/32)*H32</f>
        <v>22.34890625</v>
      </c>
      <c r="Y32" s="72"/>
      <c r="Z32" s="72"/>
      <c r="AA32" s="72">
        <f t="shared" si="25"/>
        <v>22.34890625</v>
      </c>
      <c r="AB32" s="81">
        <v>7.11</v>
      </c>
      <c r="AC32" s="69">
        <f t="shared" si="22"/>
        <v>158.9007234375</v>
      </c>
      <c r="AD32" s="69">
        <f t="shared" si="23"/>
        <v>581.0222859375</v>
      </c>
      <c r="AE32" s="69">
        <f t="shared" si="24"/>
        <v>-213.0797859375</v>
      </c>
    </row>
    <row r="33" customFormat="1" spans="1:31">
      <c r="A33" s="19"/>
      <c r="B33" s="20"/>
      <c r="C33" s="21">
        <v>241008000005</v>
      </c>
      <c r="D33" s="22">
        <v>45578</v>
      </c>
      <c r="E33" s="22" t="s">
        <v>66</v>
      </c>
      <c r="F33" s="20" t="s">
        <v>67</v>
      </c>
      <c r="G33" s="20" t="s">
        <v>83</v>
      </c>
      <c r="H33" s="20">
        <v>0.78</v>
      </c>
      <c r="I33" s="50"/>
      <c r="J33" s="46">
        <v>28002.5</v>
      </c>
      <c r="K33" s="41"/>
      <c r="L33" s="47">
        <f t="shared" si="26"/>
        <v>1731.7563388992</v>
      </c>
      <c r="M33" s="48">
        <v>16.17</v>
      </c>
      <c r="N33" s="42">
        <v>7.11</v>
      </c>
      <c r="O33" s="43">
        <f t="shared" si="27"/>
        <v>114.9687</v>
      </c>
      <c r="P33" s="45"/>
      <c r="Q33" s="45"/>
      <c r="R33" s="69">
        <f t="shared" ref="R33:R45" si="29">SUM(2400/32)*H33</f>
        <v>58.5</v>
      </c>
      <c r="S33" s="69"/>
      <c r="T33" s="70">
        <f t="shared" ref="T33:T45" si="30">SUM(55.98/32)*H33</f>
        <v>1.3645125</v>
      </c>
      <c r="U33" s="69"/>
      <c r="V33" s="69"/>
      <c r="W33" s="71">
        <f t="shared" si="28"/>
        <v>59.8645125</v>
      </c>
      <c r="X33" s="72">
        <f t="shared" ref="X33:X45" si="31">SUM(130.03/32)*H33</f>
        <v>3.16948125</v>
      </c>
      <c r="Y33" s="72"/>
      <c r="Z33" s="72"/>
      <c r="AA33" s="72">
        <f t="shared" si="25"/>
        <v>3.16948125</v>
      </c>
      <c r="AB33" s="81">
        <v>7.11</v>
      </c>
      <c r="AC33" s="69">
        <f t="shared" si="22"/>
        <v>22.5350116875</v>
      </c>
      <c r="AD33" s="69">
        <f t="shared" si="23"/>
        <v>82.3995241875</v>
      </c>
      <c r="AE33" s="69">
        <f t="shared" si="24"/>
        <v>32.5691758125</v>
      </c>
    </row>
    <row r="34" customFormat="1" spans="1:31">
      <c r="A34" s="19"/>
      <c r="B34" s="20"/>
      <c r="C34" s="21">
        <v>241008000033</v>
      </c>
      <c r="D34" s="22">
        <v>45578</v>
      </c>
      <c r="E34" s="22" t="s">
        <v>66</v>
      </c>
      <c r="F34" s="20" t="s">
        <v>67</v>
      </c>
      <c r="G34" s="20" t="s">
        <v>84</v>
      </c>
      <c r="H34" s="20">
        <v>3.5</v>
      </c>
      <c r="I34" s="39">
        <v>402.5</v>
      </c>
      <c r="J34" s="40"/>
      <c r="K34" s="41"/>
      <c r="L34" s="20"/>
      <c r="M34" s="41"/>
      <c r="N34" s="42"/>
      <c r="O34" s="43">
        <f>SUM(I34)</f>
        <v>402.5</v>
      </c>
      <c r="P34" s="45"/>
      <c r="Q34" s="45"/>
      <c r="R34" s="69">
        <f t="shared" si="29"/>
        <v>262.5</v>
      </c>
      <c r="S34" s="69"/>
      <c r="T34" s="70">
        <f t="shared" si="30"/>
        <v>6.1228125</v>
      </c>
      <c r="U34" s="69"/>
      <c r="V34" s="69"/>
      <c r="W34" s="71">
        <f t="shared" si="28"/>
        <v>268.6228125</v>
      </c>
      <c r="X34" s="72">
        <f t="shared" si="31"/>
        <v>14.22203125</v>
      </c>
      <c r="Y34" s="72"/>
      <c r="Z34" s="72"/>
      <c r="AA34" s="72">
        <f t="shared" si="25"/>
        <v>14.22203125</v>
      </c>
      <c r="AB34" s="81">
        <v>7.11</v>
      </c>
      <c r="AC34" s="69">
        <f t="shared" si="22"/>
        <v>101.1186421875</v>
      </c>
      <c r="AD34" s="69">
        <f t="shared" si="23"/>
        <v>369.7414546875</v>
      </c>
      <c r="AE34" s="69">
        <f t="shared" si="24"/>
        <v>32.7585453125</v>
      </c>
    </row>
    <row r="35" customFormat="1" spans="1:31">
      <c r="A35" s="19"/>
      <c r="B35" s="20"/>
      <c r="C35" s="21">
        <v>241008000052</v>
      </c>
      <c r="D35" s="22">
        <v>45578</v>
      </c>
      <c r="E35" s="22" t="s">
        <v>41</v>
      </c>
      <c r="F35" s="20" t="s">
        <v>42</v>
      </c>
      <c r="G35" s="20" t="s">
        <v>85</v>
      </c>
      <c r="H35" s="20">
        <v>4.5</v>
      </c>
      <c r="I35" s="50"/>
      <c r="J35" s="46">
        <v>132300</v>
      </c>
      <c r="K35" s="41"/>
      <c r="L35" s="47">
        <f>SUM(J35/M35)</f>
        <v>1742.16486700026</v>
      </c>
      <c r="M35" s="48">
        <v>75.94</v>
      </c>
      <c r="N35" s="42">
        <v>7.11</v>
      </c>
      <c r="O35" s="43">
        <f t="shared" ref="O35:O39" si="32">SUM(M35*N35)</f>
        <v>539.9334</v>
      </c>
      <c r="P35" s="45"/>
      <c r="Q35" s="45"/>
      <c r="R35" s="69">
        <f t="shared" si="29"/>
        <v>337.5</v>
      </c>
      <c r="S35" s="69"/>
      <c r="T35" s="70">
        <f t="shared" si="30"/>
        <v>7.8721875</v>
      </c>
      <c r="U35" s="69"/>
      <c r="V35" s="69"/>
      <c r="W35" s="71">
        <f t="shared" si="28"/>
        <v>345.3721875</v>
      </c>
      <c r="X35" s="72">
        <f t="shared" si="31"/>
        <v>18.28546875</v>
      </c>
      <c r="Y35" s="72"/>
      <c r="Z35" s="72"/>
      <c r="AA35" s="72">
        <f t="shared" si="25"/>
        <v>18.28546875</v>
      </c>
      <c r="AB35" s="81">
        <v>7.11</v>
      </c>
      <c r="AC35" s="69">
        <f t="shared" si="22"/>
        <v>130.0096828125</v>
      </c>
      <c r="AD35" s="69">
        <f t="shared" si="23"/>
        <v>475.3818703125</v>
      </c>
      <c r="AE35" s="69">
        <f t="shared" si="24"/>
        <v>64.5515296875</v>
      </c>
    </row>
    <row r="36" customFormat="1" spans="1:31">
      <c r="A36" s="19"/>
      <c r="B36" s="20"/>
      <c r="C36" s="21">
        <v>241008000067</v>
      </c>
      <c r="D36" s="22">
        <v>45578</v>
      </c>
      <c r="E36" s="22" t="s">
        <v>37</v>
      </c>
      <c r="F36" s="20" t="s">
        <v>38</v>
      </c>
      <c r="G36" s="20" t="s">
        <v>86</v>
      </c>
      <c r="H36" s="20">
        <v>0.79</v>
      </c>
      <c r="I36" s="39">
        <v>106.2</v>
      </c>
      <c r="J36" s="40"/>
      <c r="K36" s="41"/>
      <c r="L36" s="20"/>
      <c r="M36" s="41"/>
      <c r="N36" s="42"/>
      <c r="O36" s="43">
        <f>SUM(I36)</f>
        <v>106.2</v>
      </c>
      <c r="P36" s="45"/>
      <c r="Q36" s="45"/>
      <c r="R36" s="69">
        <f t="shared" si="29"/>
        <v>59.25</v>
      </c>
      <c r="S36" s="69"/>
      <c r="T36" s="70">
        <f t="shared" si="30"/>
        <v>1.38200625</v>
      </c>
      <c r="U36" s="69"/>
      <c r="V36" s="70">
        <v>18</v>
      </c>
      <c r="W36" s="71">
        <f t="shared" si="28"/>
        <v>78.63200625</v>
      </c>
      <c r="X36" s="72">
        <f t="shared" si="31"/>
        <v>3.210115625</v>
      </c>
      <c r="Y36" s="72"/>
      <c r="Z36" s="72"/>
      <c r="AA36" s="72">
        <f t="shared" si="25"/>
        <v>3.210115625</v>
      </c>
      <c r="AB36" s="81">
        <v>7.11</v>
      </c>
      <c r="AC36" s="69">
        <f t="shared" si="22"/>
        <v>22.82392209375</v>
      </c>
      <c r="AD36" s="69">
        <f t="shared" si="23"/>
        <v>101.45592834375</v>
      </c>
      <c r="AE36" s="69">
        <f t="shared" si="24"/>
        <v>4.74407165625</v>
      </c>
    </row>
    <row r="37" customFormat="1" spans="1:31">
      <c r="A37" s="19"/>
      <c r="B37" s="20"/>
      <c r="C37" s="21">
        <v>241009000024</v>
      </c>
      <c r="D37" s="22">
        <v>45578</v>
      </c>
      <c r="E37" s="22" t="s">
        <v>66</v>
      </c>
      <c r="F37" s="20" t="s">
        <v>70</v>
      </c>
      <c r="G37" s="20" t="s">
        <v>71</v>
      </c>
      <c r="H37" s="20">
        <v>2.5</v>
      </c>
      <c r="I37" s="43"/>
      <c r="J37" s="46">
        <v>66944.1</v>
      </c>
      <c r="K37" s="41"/>
      <c r="L37" s="47">
        <f>SUM(J37/M37)</f>
        <v>1630</v>
      </c>
      <c r="M37" s="48">
        <v>41.07</v>
      </c>
      <c r="N37" s="42">
        <v>7.11</v>
      </c>
      <c r="O37" s="43">
        <f t="shared" si="32"/>
        <v>292.0077</v>
      </c>
      <c r="P37" s="45"/>
      <c r="Q37" s="45"/>
      <c r="R37" s="69">
        <f t="shared" si="29"/>
        <v>187.5</v>
      </c>
      <c r="S37" s="69"/>
      <c r="T37" s="70">
        <f t="shared" si="30"/>
        <v>4.3734375</v>
      </c>
      <c r="U37" s="69"/>
      <c r="V37" s="69"/>
      <c r="W37" s="71">
        <f t="shared" si="28"/>
        <v>191.8734375</v>
      </c>
      <c r="X37" s="72">
        <f t="shared" si="31"/>
        <v>10.15859375</v>
      </c>
      <c r="Y37" s="72"/>
      <c r="Z37" s="72"/>
      <c r="AA37" s="72">
        <f t="shared" si="25"/>
        <v>10.15859375</v>
      </c>
      <c r="AB37" s="81">
        <v>7.11</v>
      </c>
      <c r="AC37" s="69">
        <f t="shared" si="22"/>
        <v>72.2276015625</v>
      </c>
      <c r="AD37" s="69">
        <f t="shared" si="23"/>
        <v>264.1010390625</v>
      </c>
      <c r="AE37" s="69">
        <f t="shared" si="24"/>
        <v>27.9066609375</v>
      </c>
    </row>
    <row r="38" customFormat="1" spans="1:31">
      <c r="A38" s="19"/>
      <c r="B38" s="20"/>
      <c r="C38" s="21">
        <v>241009000025</v>
      </c>
      <c r="D38" s="22">
        <v>45578</v>
      </c>
      <c r="E38" s="22" t="s">
        <v>66</v>
      </c>
      <c r="F38" s="20" t="s">
        <v>70</v>
      </c>
      <c r="G38" s="20" t="s">
        <v>71</v>
      </c>
      <c r="H38" s="20">
        <v>7</v>
      </c>
      <c r="I38" s="43"/>
      <c r="J38" s="46">
        <v>187450</v>
      </c>
      <c r="K38" s="41"/>
      <c r="L38" s="47">
        <f>SUM(J38/M38)</f>
        <v>1630</v>
      </c>
      <c r="M38" s="48">
        <v>115</v>
      </c>
      <c r="N38" s="42">
        <v>7.11</v>
      </c>
      <c r="O38" s="43">
        <f t="shared" si="32"/>
        <v>817.65</v>
      </c>
      <c r="P38" s="45"/>
      <c r="Q38" s="45"/>
      <c r="R38" s="69">
        <f t="shared" si="29"/>
        <v>525</v>
      </c>
      <c r="S38" s="69"/>
      <c r="T38" s="70">
        <f t="shared" si="30"/>
        <v>12.245625</v>
      </c>
      <c r="U38" s="69"/>
      <c r="V38" s="69"/>
      <c r="W38" s="71">
        <f t="shared" si="28"/>
        <v>537.245625</v>
      </c>
      <c r="X38" s="72">
        <f t="shared" si="31"/>
        <v>28.4440625</v>
      </c>
      <c r="Y38" s="72"/>
      <c r="Z38" s="72"/>
      <c r="AA38" s="72">
        <f t="shared" si="25"/>
        <v>28.4440625</v>
      </c>
      <c r="AB38" s="81">
        <v>7.11</v>
      </c>
      <c r="AC38" s="69">
        <f t="shared" si="22"/>
        <v>202.237284375</v>
      </c>
      <c r="AD38" s="69">
        <f t="shared" si="23"/>
        <v>739.482909375</v>
      </c>
      <c r="AE38" s="69">
        <f t="shared" si="24"/>
        <v>78.1670906249999</v>
      </c>
    </row>
    <row r="39" customFormat="1" spans="1:31">
      <c r="A39" s="19"/>
      <c r="B39" s="20"/>
      <c r="C39" s="21">
        <v>241009000034</v>
      </c>
      <c r="D39" s="22">
        <v>45578</v>
      </c>
      <c r="E39" s="22" t="s">
        <v>55</v>
      </c>
      <c r="F39" s="20">
        <v>13635229849</v>
      </c>
      <c r="G39" s="20" t="s">
        <v>87</v>
      </c>
      <c r="H39" s="20">
        <v>0.56</v>
      </c>
      <c r="I39" s="43"/>
      <c r="J39" s="46">
        <v>29627</v>
      </c>
      <c r="K39" s="41"/>
      <c r="L39" s="47">
        <f>SUM(J39/M39)</f>
        <v>1728.52975495916</v>
      </c>
      <c r="M39" s="48">
        <v>17.14</v>
      </c>
      <c r="N39" s="42">
        <v>7.11</v>
      </c>
      <c r="O39" s="43">
        <f t="shared" si="32"/>
        <v>121.8654</v>
      </c>
      <c r="P39" s="45"/>
      <c r="Q39" s="45"/>
      <c r="R39" s="69">
        <f t="shared" si="29"/>
        <v>42</v>
      </c>
      <c r="S39" s="69"/>
      <c r="T39" s="70">
        <f t="shared" si="30"/>
        <v>0.97965</v>
      </c>
      <c r="U39" s="69"/>
      <c r="V39" s="69"/>
      <c r="W39" s="71">
        <f t="shared" si="28"/>
        <v>42.97965</v>
      </c>
      <c r="X39" s="72">
        <f t="shared" si="31"/>
        <v>2.275525</v>
      </c>
      <c r="Y39" s="72"/>
      <c r="Z39" s="72"/>
      <c r="AA39" s="72">
        <f t="shared" si="25"/>
        <v>2.275525</v>
      </c>
      <c r="AB39" s="81">
        <v>7.11</v>
      </c>
      <c r="AC39" s="69">
        <f t="shared" si="22"/>
        <v>16.17898275</v>
      </c>
      <c r="AD39" s="69">
        <f t="shared" si="23"/>
        <v>59.15863275</v>
      </c>
      <c r="AE39" s="69">
        <f t="shared" si="24"/>
        <v>62.70676725</v>
      </c>
    </row>
    <row r="40" customFormat="1" spans="1:31">
      <c r="A40" s="19"/>
      <c r="B40" s="20"/>
      <c r="C40" s="21">
        <v>241009000039</v>
      </c>
      <c r="D40" s="22">
        <v>45578</v>
      </c>
      <c r="E40" s="22" t="s">
        <v>88</v>
      </c>
      <c r="F40" s="20" t="s">
        <v>89</v>
      </c>
      <c r="G40" s="20" t="s">
        <v>90</v>
      </c>
      <c r="H40" s="20">
        <v>3.5</v>
      </c>
      <c r="I40" s="39">
        <v>402.5</v>
      </c>
      <c r="J40" s="40"/>
      <c r="K40" s="41"/>
      <c r="L40" s="20"/>
      <c r="M40" s="41"/>
      <c r="N40" s="42"/>
      <c r="O40" s="43">
        <f t="shared" ref="O40:O44" si="33">SUM(I40)</f>
        <v>402.5</v>
      </c>
      <c r="P40" s="45"/>
      <c r="Q40" s="45"/>
      <c r="R40" s="69">
        <f t="shared" si="29"/>
        <v>262.5</v>
      </c>
      <c r="S40" s="69"/>
      <c r="T40" s="70">
        <f t="shared" si="30"/>
        <v>6.1228125</v>
      </c>
      <c r="U40" s="69"/>
      <c r="V40" s="69"/>
      <c r="W40" s="71">
        <f t="shared" si="28"/>
        <v>268.6228125</v>
      </c>
      <c r="X40" s="72">
        <f t="shared" si="31"/>
        <v>14.22203125</v>
      </c>
      <c r="Y40" s="72"/>
      <c r="Z40" s="72"/>
      <c r="AA40" s="72">
        <f t="shared" si="25"/>
        <v>14.22203125</v>
      </c>
      <c r="AB40" s="81">
        <v>7.11</v>
      </c>
      <c r="AC40" s="69">
        <f t="shared" si="22"/>
        <v>101.1186421875</v>
      </c>
      <c r="AD40" s="69">
        <f t="shared" si="23"/>
        <v>369.7414546875</v>
      </c>
      <c r="AE40" s="69">
        <f t="shared" si="24"/>
        <v>32.7585453125</v>
      </c>
    </row>
    <row r="41" customFormat="1" spans="1:31">
      <c r="A41" s="19"/>
      <c r="B41" s="20"/>
      <c r="C41" s="21">
        <v>241010000002</v>
      </c>
      <c r="D41" s="22">
        <v>45578</v>
      </c>
      <c r="E41" s="22" t="s">
        <v>41</v>
      </c>
      <c r="F41" s="20" t="s">
        <v>42</v>
      </c>
      <c r="G41" s="20" t="s">
        <v>91</v>
      </c>
      <c r="H41" s="20">
        <v>0.46</v>
      </c>
      <c r="I41" s="50"/>
      <c r="J41" s="46">
        <v>28002.5</v>
      </c>
      <c r="K41" s="41"/>
      <c r="L41" s="47">
        <f>SUM(J41/M41)</f>
        <v>1731.7563388992</v>
      </c>
      <c r="M41" s="48">
        <v>16.17</v>
      </c>
      <c r="N41" s="42">
        <v>7.11</v>
      </c>
      <c r="O41" s="43">
        <f>SUM(M41*N41)</f>
        <v>114.9687</v>
      </c>
      <c r="P41" s="45"/>
      <c r="Q41" s="45"/>
      <c r="R41" s="69">
        <f t="shared" si="29"/>
        <v>34.5</v>
      </c>
      <c r="S41" s="69"/>
      <c r="T41" s="70">
        <f t="shared" si="30"/>
        <v>0.8047125</v>
      </c>
      <c r="U41" s="69"/>
      <c r="V41" s="69"/>
      <c r="W41" s="71">
        <f t="shared" si="28"/>
        <v>35.3047125</v>
      </c>
      <c r="X41" s="72">
        <f t="shared" si="31"/>
        <v>1.86918125</v>
      </c>
      <c r="Y41" s="72"/>
      <c r="Z41" s="72"/>
      <c r="AA41" s="72">
        <f t="shared" si="25"/>
        <v>1.86918125</v>
      </c>
      <c r="AB41" s="81">
        <v>7.11</v>
      </c>
      <c r="AC41" s="69">
        <f t="shared" si="22"/>
        <v>13.2898786875</v>
      </c>
      <c r="AD41" s="69">
        <f t="shared" si="23"/>
        <v>48.5945911875</v>
      </c>
      <c r="AE41" s="69">
        <f t="shared" si="24"/>
        <v>66.3741088125</v>
      </c>
    </row>
    <row r="42" customFormat="1" spans="1:31">
      <c r="A42" s="19"/>
      <c r="B42" s="20"/>
      <c r="C42" s="21">
        <v>241010000006</v>
      </c>
      <c r="D42" s="22">
        <v>45578</v>
      </c>
      <c r="E42" s="22" t="s">
        <v>47</v>
      </c>
      <c r="F42" s="20" t="s">
        <v>47</v>
      </c>
      <c r="G42" s="20" t="s">
        <v>64</v>
      </c>
      <c r="H42" s="20">
        <v>1.5</v>
      </c>
      <c r="I42" s="39">
        <v>172.5</v>
      </c>
      <c r="J42" s="40"/>
      <c r="K42" s="41"/>
      <c r="L42" s="20"/>
      <c r="M42" s="41"/>
      <c r="N42" s="42"/>
      <c r="O42" s="43">
        <f t="shared" si="33"/>
        <v>172.5</v>
      </c>
      <c r="P42" s="45"/>
      <c r="Q42" s="45"/>
      <c r="R42" s="69">
        <f t="shared" si="29"/>
        <v>112.5</v>
      </c>
      <c r="S42" s="69"/>
      <c r="T42" s="70">
        <f t="shared" si="30"/>
        <v>2.6240625</v>
      </c>
      <c r="U42" s="69"/>
      <c r="V42" s="69"/>
      <c r="W42" s="71">
        <f t="shared" si="28"/>
        <v>115.1240625</v>
      </c>
      <c r="X42" s="72">
        <f t="shared" si="31"/>
        <v>6.09515625</v>
      </c>
      <c r="Y42" s="72"/>
      <c r="Z42" s="72"/>
      <c r="AA42" s="72">
        <f t="shared" si="25"/>
        <v>6.09515625</v>
      </c>
      <c r="AB42" s="81">
        <v>7.11</v>
      </c>
      <c r="AC42" s="69">
        <f t="shared" si="22"/>
        <v>43.3365609375</v>
      </c>
      <c r="AD42" s="69">
        <f t="shared" si="23"/>
        <v>158.4606234375</v>
      </c>
      <c r="AE42" s="69">
        <f t="shared" si="24"/>
        <v>14.0393765625</v>
      </c>
    </row>
    <row r="43" customFormat="1" spans="1:31">
      <c r="A43" s="19"/>
      <c r="B43" s="20"/>
      <c r="C43" s="21">
        <v>241010000014</v>
      </c>
      <c r="D43" s="22">
        <v>45578</v>
      </c>
      <c r="E43" s="22" t="s">
        <v>66</v>
      </c>
      <c r="F43" s="20" t="s">
        <v>67</v>
      </c>
      <c r="G43" s="20" t="s">
        <v>84</v>
      </c>
      <c r="H43" s="20">
        <v>0.56</v>
      </c>
      <c r="I43" s="39">
        <v>115</v>
      </c>
      <c r="J43" s="40"/>
      <c r="K43" s="41"/>
      <c r="L43" s="20"/>
      <c r="M43" s="41"/>
      <c r="N43" s="42"/>
      <c r="O43" s="43">
        <f t="shared" si="33"/>
        <v>115</v>
      </c>
      <c r="P43" s="45"/>
      <c r="Q43" s="45"/>
      <c r="R43" s="69">
        <f t="shared" si="29"/>
        <v>42</v>
      </c>
      <c r="S43" s="69"/>
      <c r="T43" s="70">
        <f t="shared" si="30"/>
        <v>0.97965</v>
      </c>
      <c r="U43" s="69"/>
      <c r="V43" s="69"/>
      <c r="W43" s="71">
        <f t="shared" si="28"/>
        <v>42.97965</v>
      </c>
      <c r="X43" s="72">
        <f t="shared" si="31"/>
        <v>2.275525</v>
      </c>
      <c r="Y43" s="72"/>
      <c r="Z43" s="72"/>
      <c r="AA43" s="72">
        <f t="shared" si="25"/>
        <v>2.275525</v>
      </c>
      <c r="AB43" s="81">
        <v>7.11</v>
      </c>
      <c r="AC43" s="69">
        <f t="shared" ref="AC43:AC74" si="34">SUM(AA43*AB43)</f>
        <v>16.17898275</v>
      </c>
      <c r="AD43" s="69">
        <f t="shared" ref="AD43:AD74" si="35">SUM(W43+AC43)</f>
        <v>59.15863275</v>
      </c>
      <c r="AE43" s="69">
        <f t="shared" si="24"/>
        <v>55.84136725</v>
      </c>
    </row>
    <row r="44" customFormat="1" spans="1:31">
      <c r="A44" s="19"/>
      <c r="B44" s="20"/>
      <c r="C44" s="21">
        <v>241010000040</v>
      </c>
      <c r="D44" s="22">
        <v>45578</v>
      </c>
      <c r="E44" s="22" t="s">
        <v>66</v>
      </c>
      <c r="F44" s="20" t="s">
        <v>67</v>
      </c>
      <c r="G44" s="20" t="s">
        <v>79</v>
      </c>
      <c r="H44" s="20">
        <v>2.5</v>
      </c>
      <c r="I44" s="39">
        <v>350</v>
      </c>
      <c r="J44" s="40"/>
      <c r="K44" s="41"/>
      <c r="L44" s="20"/>
      <c r="M44" s="41"/>
      <c r="N44" s="42"/>
      <c r="O44" s="43">
        <f t="shared" si="33"/>
        <v>350</v>
      </c>
      <c r="P44" s="45"/>
      <c r="Q44" s="45"/>
      <c r="R44" s="69">
        <f t="shared" si="29"/>
        <v>187.5</v>
      </c>
      <c r="S44" s="69"/>
      <c r="T44" s="70">
        <f t="shared" si="30"/>
        <v>4.3734375</v>
      </c>
      <c r="U44" s="69"/>
      <c r="V44" s="69"/>
      <c r="W44" s="71">
        <f t="shared" si="28"/>
        <v>191.8734375</v>
      </c>
      <c r="X44" s="72">
        <f t="shared" si="31"/>
        <v>10.15859375</v>
      </c>
      <c r="Y44" s="72"/>
      <c r="Z44" s="72"/>
      <c r="AA44" s="72">
        <f t="shared" si="25"/>
        <v>10.15859375</v>
      </c>
      <c r="AB44" s="81">
        <v>7.11</v>
      </c>
      <c r="AC44" s="69">
        <f t="shared" si="34"/>
        <v>72.2276015625</v>
      </c>
      <c r="AD44" s="69">
        <f t="shared" si="35"/>
        <v>264.1010390625</v>
      </c>
      <c r="AE44" s="69">
        <f t="shared" ref="AE44:AE75" si="36">SUM(O44-AD44)</f>
        <v>85.8989609375</v>
      </c>
    </row>
    <row r="45" customFormat="1" spans="1:31">
      <c r="A45" s="19"/>
      <c r="B45" s="20"/>
      <c r="C45" s="21">
        <v>241011000010</v>
      </c>
      <c r="D45" s="22">
        <v>45578</v>
      </c>
      <c r="E45" s="22" t="s">
        <v>41</v>
      </c>
      <c r="F45" s="20" t="s">
        <v>42</v>
      </c>
      <c r="G45" s="20" t="s">
        <v>85</v>
      </c>
      <c r="H45" s="20">
        <v>0.66</v>
      </c>
      <c r="I45" s="50"/>
      <c r="J45" s="46">
        <v>29400</v>
      </c>
      <c r="K45" s="41"/>
      <c r="L45" s="47">
        <f>SUM(J45/M45)</f>
        <v>1742.73858921162</v>
      </c>
      <c r="M45" s="48">
        <v>16.87</v>
      </c>
      <c r="N45" s="42">
        <v>7.11</v>
      </c>
      <c r="O45" s="43">
        <f>SUM(M45*N45)</f>
        <v>119.9457</v>
      </c>
      <c r="P45" s="49"/>
      <c r="Q45" s="49"/>
      <c r="R45" s="69">
        <f t="shared" si="29"/>
        <v>49.5</v>
      </c>
      <c r="S45" s="69"/>
      <c r="T45" s="70">
        <f t="shared" si="30"/>
        <v>1.1545875</v>
      </c>
      <c r="U45" s="69"/>
      <c r="V45" s="69"/>
      <c r="W45" s="71">
        <f t="shared" ref="W45:W76" si="37">SUM(R45:V45)</f>
        <v>50.6545875</v>
      </c>
      <c r="X45" s="72">
        <f t="shared" si="31"/>
        <v>2.68186875</v>
      </c>
      <c r="Y45" s="72"/>
      <c r="Z45" s="72"/>
      <c r="AA45" s="72">
        <f t="shared" ref="AA45:AA76" si="38">SUM(X45:Z45)</f>
        <v>2.68186875</v>
      </c>
      <c r="AB45" s="81">
        <v>7.11</v>
      </c>
      <c r="AC45" s="69">
        <f t="shared" si="34"/>
        <v>19.0680868125</v>
      </c>
      <c r="AD45" s="69">
        <f t="shared" si="35"/>
        <v>69.7226743125</v>
      </c>
      <c r="AE45" s="69">
        <f t="shared" si="36"/>
        <v>50.2230256875</v>
      </c>
    </row>
    <row r="46" customFormat="1" spans="1:31">
      <c r="A46" s="19" t="s">
        <v>92</v>
      </c>
      <c r="B46" s="20" t="s">
        <v>93</v>
      </c>
      <c r="C46" s="21">
        <v>240929000008</v>
      </c>
      <c r="D46" s="22">
        <v>45578</v>
      </c>
      <c r="E46" s="22" t="s">
        <v>37</v>
      </c>
      <c r="F46" s="20" t="s">
        <v>38</v>
      </c>
      <c r="G46" s="20" t="s">
        <v>94</v>
      </c>
      <c r="H46" s="20">
        <v>5</v>
      </c>
      <c r="I46" s="39">
        <v>333</v>
      </c>
      <c r="J46" s="40"/>
      <c r="K46" s="41"/>
      <c r="L46" s="20"/>
      <c r="M46" s="41"/>
      <c r="N46" s="42"/>
      <c r="O46" s="43">
        <f t="shared" ref="O46:O50" si="39">SUM(I46)</f>
        <v>333</v>
      </c>
      <c r="P46" s="44">
        <f>SUM(O46:O100)</f>
        <v>150840.575589</v>
      </c>
      <c r="Q46" s="44" t="s">
        <v>95</v>
      </c>
      <c r="R46" s="69">
        <f>SUM(97587.5/2429)*H46</f>
        <v>200.879991766159</v>
      </c>
      <c r="S46" s="69"/>
      <c r="T46" s="70">
        <f>SUM(172.75/2429)*H46</f>
        <v>0.35559901193907</v>
      </c>
      <c r="U46" s="69"/>
      <c r="V46" s="69"/>
      <c r="W46" s="71">
        <f t="shared" si="37"/>
        <v>201.235590778098</v>
      </c>
      <c r="X46" s="72">
        <f>SUM(1788.74/2429)*H46</f>
        <v>3.68205022643063</v>
      </c>
      <c r="Y46" s="72"/>
      <c r="Z46" s="72"/>
      <c r="AA46" s="72">
        <f t="shared" si="38"/>
        <v>3.68205022643063</v>
      </c>
      <c r="AB46" s="81">
        <v>7.11</v>
      </c>
      <c r="AC46" s="69">
        <f t="shared" si="34"/>
        <v>26.1793771099218</v>
      </c>
      <c r="AD46" s="69">
        <f t="shared" si="35"/>
        <v>227.41496788802</v>
      </c>
      <c r="AE46" s="69">
        <f t="shared" si="36"/>
        <v>105.58503211198</v>
      </c>
    </row>
    <row r="47" customFormat="1" spans="1:31">
      <c r="A47" s="19"/>
      <c r="B47" s="20"/>
      <c r="C47" s="21">
        <v>240929000049</v>
      </c>
      <c r="D47" s="22">
        <v>45578</v>
      </c>
      <c r="E47" s="22" t="s">
        <v>37</v>
      </c>
      <c r="F47" s="20" t="s">
        <v>38</v>
      </c>
      <c r="G47" s="20" t="s">
        <v>96</v>
      </c>
      <c r="H47" s="20">
        <v>371.5</v>
      </c>
      <c r="I47" s="39">
        <v>22984</v>
      </c>
      <c r="J47" s="40"/>
      <c r="K47" s="41"/>
      <c r="L47" s="20"/>
      <c r="M47" s="41"/>
      <c r="N47" s="42"/>
      <c r="O47" s="43">
        <f t="shared" si="39"/>
        <v>22984</v>
      </c>
      <c r="P47" s="45"/>
      <c r="Q47" s="45"/>
      <c r="R47" s="69">
        <f t="shared" ref="R47:R78" si="40">SUM(97587.5/2429)*H47</f>
        <v>14925.3833882256</v>
      </c>
      <c r="S47" s="69"/>
      <c r="T47" s="70">
        <f t="shared" ref="T47:T78" si="41">SUM(172.75/2429)*H47</f>
        <v>26.4210065870729</v>
      </c>
      <c r="U47" s="69"/>
      <c r="V47" s="69"/>
      <c r="W47" s="71">
        <f t="shared" si="37"/>
        <v>14951.8043948127</v>
      </c>
      <c r="X47" s="72">
        <f t="shared" ref="X47:X78" si="42">SUM(1788.74/2429)*H47</f>
        <v>273.576331823796</v>
      </c>
      <c r="Y47" s="72"/>
      <c r="Z47" s="72"/>
      <c r="AA47" s="72">
        <f t="shared" si="38"/>
        <v>273.576331823796</v>
      </c>
      <c r="AB47" s="81">
        <v>7.11</v>
      </c>
      <c r="AC47" s="69">
        <f t="shared" si="34"/>
        <v>1945.12771926719</v>
      </c>
      <c r="AD47" s="69">
        <f t="shared" si="35"/>
        <v>16896.9321140799</v>
      </c>
      <c r="AE47" s="69">
        <f t="shared" si="36"/>
        <v>6087.06788592013</v>
      </c>
    </row>
    <row r="48" customFormat="1" spans="1:31">
      <c r="A48" s="19"/>
      <c r="B48" s="20"/>
      <c r="C48" s="21">
        <v>240929000068</v>
      </c>
      <c r="D48" s="22">
        <v>45578</v>
      </c>
      <c r="E48" s="22" t="s">
        <v>47</v>
      </c>
      <c r="F48" s="20" t="s">
        <v>47</v>
      </c>
      <c r="G48" s="20" t="s">
        <v>97</v>
      </c>
      <c r="H48" s="20">
        <v>13</v>
      </c>
      <c r="I48" s="39">
        <v>825</v>
      </c>
      <c r="J48" s="40"/>
      <c r="K48" s="41"/>
      <c r="L48" s="20"/>
      <c r="M48" s="41"/>
      <c r="N48" s="42"/>
      <c r="O48" s="43">
        <f t="shared" si="39"/>
        <v>825</v>
      </c>
      <c r="P48" s="45"/>
      <c r="Q48" s="45"/>
      <c r="R48" s="69">
        <f t="shared" si="40"/>
        <v>522.287978592013</v>
      </c>
      <c r="S48" s="69"/>
      <c r="T48" s="70">
        <f t="shared" si="41"/>
        <v>0.924557431041581</v>
      </c>
      <c r="U48" s="69"/>
      <c r="V48" s="69"/>
      <c r="W48" s="71">
        <f t="shared" si="37"/>
        <v>523.212536023055</v>
      </c>
      <c r="X48" s="72">
        <f t="shared" si="42"/>
        <v>9.57333058871964</v>
      </c>
      <c r="Y48" s="72"/>
      <c r="Z48" s="72"/>
      <c r="AA48" s="72">
        <f t="shared" si="38"/>
        <v>9.57333058871964</v>
      </c>
      <c r="AB48" s="81">
        <v>7.11</v>
      </c>
      <c r="AC48" s="69">
        <f t="shared" si="34"/>
        <v>68.0663804857966</v>
      </c>
      <c r="AD48" s="69">
        <f t="shared" si="35"/>
        <v>591.278916508851</v>
      </c>
      <c r="AE48" s="69">
        <f t="shared" si="36"/>
        <v>233.721083491149</v>
      </c>
    </row>
    <row r="49" customFormat="1" spans="1:31">
      <c r="A49" s="19"/>
      <c r="B49" s="20"/>
      <c r="C49" s="21">
        <v>240929000069</v>
      </c>
      <c r="D49" s="22">
        <v>45578</v>
      </c>
      <c r="E49" s="22" t="s">
        <v>47</v>
      </c>
      <c r="F49" s="20" t="s">
        <v>47</v>
      </c>
      <c r="G49" s="20" t="s">
        <v>98</v>
      </c>
      <c r="H49" s="20">
        <v>8.5</v>
      </c>
      <c r="I49" s="39">
        <v>541.5</v>
      </c>
      <c r="J49" s="40"/>
      <c r="K49" s="41"/>
      <c r="L49" s="20"/>
      <c r="M49" s="41"/>
      <c r="N49" s="42"/>
      <c r="O49" s="43">
        <f t="shared" si="39"/>
        <v>541.5</v>
      </c>
      <c r="P49" s="45"/>
      <c r="Q49" s="45"/>
      <c r="R49" s="69">
        <f t="shared" si="40"/>
        <v>341.49598600247</v>
      </c>
      <c r="S49" s="69"/>
      <c r="T49" s="70">
        <f t="shared" si="41"/>
        <v>0.604518320296418</v>
      </c>
      <c r="U49" s="69"/>
      <c r="V49" s="69"/>
      <c r="W49" s="71">
        <f t="shared" si="37"/>
        <v>342.100504322767</v>
      </c>
      <c r="X49" s="72">
        <f t="shared" si="42"/>
        <v>6.25948538493207</v>
      </c>
      <c r="Y49" s="72"/>
      <c r="Z49" s="72"/>
      <c r="AA49" s="72">
        <f t="shared" si="38"/>
        <v>6.25948538493207</v>
      </c>
      <c r="AB49" s="81">
        <v>7.11</v>
      </c>
      <c r="AC49" s="69">
        <f t="shared" si="34"/>
        <v>44.504941086867</v>
      </c>
      <c r="AD49" s="69">
        <f t="shared" si="35"/>
        <v>386.605445409634</v>
      </c>
      <c r="AE49" s="69">
        <f t="shared" si="36"/>
        <v>154.894554590366</v>
      </c>
    </row>
    <row r="50" customFormat="1" spans="1:31">
      <c r="A50" s="19"/>
      <c r="B50" s="20"/>
      <c r="C50" s="21">
        <v>240930000007</v>
      </c>
      <c r="D50" s="22">
        <v>45578</v>
      </c>
      <c r="E50" s="22" t="s">
        <v>76</v>
      </c>
      <c r="F50" s="20" t="s">
        <v>77</v>
      </c>
      <c r="G50" s="20" t="s">
        <v>99</v>
      </c>
      <c r="H50" s="20">
        <v>15</v>
      </c>
      <c r="I50" s="39">
        <v>894</v>
      </c>
      <c r="J50" s="40"/>
      <c r="K50" s="41"/>
      <c r="L50" s="20"/>
      <c r="M50" s="41"/>
      <c r="N50" s="42"/>
      <c r="O50" s="43">
        <f t="shared" si="39"/>
        <v>894</v>
      </c>
      <c r="P50" s="45"/>
      <c r="Q50" s="45"/>
      <c r="R50" s="69">
        <f t="shared" si="40"/>
        <v>602.639975298477</v>
      </c>
      <c r="S50" s="69"/>
      <c r="T50" s="70">
        <f t="shared" si="41"/>
        <v>1.06679703581721</v>
      </c>
      <c r="U50" s="69"/>
      <c r="V50" s="69"/>
      <c r="W50" s="71">
        <f t="shared" si="37"/>
        <v>603.706772334294</v>
      </c>
      <c r="X50" s="72">
        <f t="shared" si="42"/>
        <v>11.0461506792919</v>
      </c>
      <c r="Y50" s="72"/>
      <c r="Z50" s="72"/>
      <c r="AA50" s="72">
        <f t="shared" si="38"/>
        <v>11.0461506792919</v>
      </c>
      <c r="AB50" s="81">
        <v>7.11</v>
      </c>
      <c r="AC50" s="69">
        <f t="shared" si="34"/>
        <v>78.5381313297653</v>
      </c>
      <c r="AD50" s="69">
        <f t="shared" si="35"/>
        <v>682.244903664059</v>
      </c>
      <c r="AE50" s="69">
        <f t="shared" si="36"/>
        <v>211.755096335941</v>
      </c>
    </row>
    <row r="51" customFormat="1" spans="1:31">
      <c r="A51" s="19"/>
      <c r="B51" s="20"/>
      <c r="C51" s="21">
        <v>240930000014</v>
      </c>
      <c r="D51" s="22">
        <v>45578</v>
      </c>
      <c r="E51" s="22" t="s">
        <v>41</v>
      </c>
      <c r="F51" s="20" t="s">
        <v>42</v>
      </c>
      <c r="G51" s="20" t="s">
        <v>100</v>
      </c>
      <c r="H51" s="20">
        <v>0.52</v>
      </c>
      <c r="I51" s="50"/>
      <c r="J51" s="46">
        <v>16801.5</v>
      </c>
      <c r="K51" s="41"/>
      <c r="L51" s="47">
        <f t="shared" ref="L51:L55" si="43">SUM(J51/M51)</f>
        <v>1732.11340206186</v>
      </c>
      <c r="M51" s="48">
        <v>9.7</v>
      </c>
      <c r="N51" s="42">
        <v>7.11</v>
      </c>
      <c r="O51" s="43">
        <f t="shared" ref="O51:O55" si="44">SUM(M51*N51)</f>
        <v>68.967</v>
      </c>
      <c r="P51" s="45"/>
      <c r="Q51" s="45"/>
      <c r="R51" s="69">
        <f t="shared" si="40"/>
        <v>20.8915191436805</v>
      </c>
      <c r="S51" s="69"/>
      <c r="T51" s="70">
        <f t="shared" si="41"/>
        <v>0.0369822972416632</v>
      </c>
      <c r="U51" s="69"/>
      <c r="V51" s="69"/>
      <c r="W51" s="71">
        <f t="shared" si="37"/>
        <v>20.9285014409222</v>
      </c>
      <c r="X51" s="72">
        <f t="shared" si="42"/>
        <v>0.382933223548786</v>
      </c>
      <c r="Y51" s="72"/>
      <c r="Z51" s="72"/>
      <c r="AA51" s="72">
        <f t="shared" si="38"/>
        <v>0.382933223548786</v>
      </c>
      <c r="AB51" s="81">
        <v>7.11</v>
      </c>
      <c r="AC51" s="69">
        <f t="shared" si="34"/>
        <v>2.72265521943187</v>
      </c>
      <c r="AD51" s="69">
        <f t="shared" si="35"/>
        <v>23.6511566603541</v>
      </c>
      <c r="AE51" s="69">
        <f t="shared" si="36"/>
        <v>45.3158433396459</v>
      </c>
    </row>
    <row r="52" customFormat="1" spans="1:31">
      <c r="A52" s="19"/>
      <c r="B52" s="20"/>
      <c r="C52" s="21">
        <v>240930000015</v>
      </c>
      <c r="D52" s="22">
        <v>45578</v>
      </c>
      <c r="E52" s="22" t="s">
        <v>37</v>
      </c>
      <c r="F52" s="20" t="s">
        <v>38</v>
      </c>
      <c r="G52" s="20" t="s">
        <v>101</v>
      </c>
      <c r="H52" s="20">
        <v>24.5</v>
      </c>
      <c r="I52" s="39">
        <v>1355.5</v>
      </c>
      <c r="J52" s="40"/>
      <c r="K52" s="41"/>
      <c r="L52" s="20"/>
      <c r="M52" s="41"/>
      <c r="N52" s="42"/>
      <c r="O52" s="43">
        <f t="shared" ref="O52:O57" si="45">SUM(I52)</f>
        <v>1355.5</v>
      </c>
      <c r="P52" s="45"/>
      <c r="Q52" s="45"/>
      <c r="R52" s="69">
        <f t="shared" si="40"/>
        <v>984.311959654179</v>
      </c>
      <c r="S52" s="69"/>
      <c r="T52" s="70">
        <f t="shared" si="41"/>
        <v>1.74243515850144</v>
      </c>
      <c r="U52" s="69"/>
      <c r="V52" s="69"/>
      <c r="W52" s="71">
        <f t="shared" si="37"/>
        <v>986.05439481268</v>
      </c>
      <c r="X52" s="72">
        <f t="shared" si="42"/>
        <v>18.0420461095101</v>
      </c>
      <c r="Y52" s="72"/>
      <c r="Z52" s="72"/>
      <c r="AA52" s="72">
        <f t="shared" si="38"/>
        <v>18.0420461095101</v>
      </c>
      <c r="AB52" s="81">
        <v>7.11</v>
      </c>
      <c r="AC52" s="69">
        <f t="shared" si="34"/>
        <v>128.278947838617</v>
      </c>
      <c r="AD52" s="69">
        <f t="shared" si="35"/>
        <v>1114.3333426513</v>
      </c>
      <c r="AE52" s="69">
        <f t="shared" si="36"/>
        <v>241.166657348703</v>
      </c>
    </row>
    <row r="53" customFormat="1" spans="1:31">
      <c r="A53" s="19"/>
      <c r="B53" s="20"/>
      <c r="C53" s="21">
        <v>240930000029</v>
      </c>
      <c r="D53" s="22">
        <v>45578</v>
      </c>
      <c r="E53" s="22" t="s">
        <v>37</v>
      </c>
      <c r="F53" s="20" t="s">
        <v>38</v>
      </c>
      <c r="G53" s="20" t="s">
        <v>102</v>
      </c>
      <c r="H53" s="20">
        <v>1.5</v>
      </c>
      <c r="I53" s="39">
        <v>93</v>
      </c>
      <c r="J53" s="40"/>
      <c r="K53" s="41"/>
      <c r="L53" s="20"/>
      <c r="M53" s="41"/>
      <c r="N53" s="42"/>
      <c r="O53" s="43">
        <f t="shared" si="45"/>
        <v>93</v>
      </c>
      <c r="P53" s="45"/>
      <c r="Q53" s="45"/>
      <c r="R53" s="69">
        <f t="shared" si="40"/>
        <v>60.2639975298477</v>
      </c>
      <c r="S53" s="69"/>
      <c r="T53" s="70">
        <f t="shared" si="41"/>
        <v>0.106679703581721</v>
      </c>
      <c r="U53" s="69"/>
      <c r="V53" s="69"/>
      <c r="W53" s="71">
        <f t="shared" si="37"/>
        <v>60.3706772334294</v>
      </c>
      <c r="X53" s="72">
        <f t="shared" si="42"/>
        <v>1.10461506792919</v>
      </c>
      <c r="Y53" s="72"/>
      <c r="Z53" s="72"/>
      <c r="AA53" s="72">
        <f t="shared" si="38"/>
        <v>1.10461506792919</v>
      </c>
      <c r="AB53" s="81">
        <v>7.11</v>
      </c>
      <c r="AC53" s="69">
        <f t="shared" si="34"/>
        <v>7.85381313297653</v>
      </c>
      <c r="AD53" s="69">
        <f t="shared" si="35"/>
        <v>68.2244903664059</v>
      </c>
      <c r="AE53" s="69">
        <f t="shared" si="36"/>
        <v>24.7755096335941</v>
      </c>
    </row>
    <row r="54" customFormat="1" spans="1:31">
      <c r="A54" s="19"/>
      <c r="B54" s="20"/>
      <c r="C54" s="21">
        <v>240930000040</v>
      </c>
      <c r="D54" s="22">
        <v>45578</v>
      </c>
      <c r="E54" s="22" t="s">
        <v>55</v>
      </c>
      <c r="F54" s="20" t="s">
        <v>56</v>
      </c>
      <c r="G54" s="20" t="s">
        <v>103</v>
      </c>
      <c r="H54" s="20">
        <v>185.5</v>
      </c>
      <c r="I54" s="43"/>
      <c r="J54" s="46">
        <v>2638116.8</v>
      </c>
      <c r="K54" s="41"/>
      <c r="L54" s="47">
        <f t="shared" si="43"/>
        <v>1760.0001174171</v>
      </c>
      <c r="M54" s="48">
        <v>1498.9299</v>
      </c>
      <c r="N54" s="42">
        <v>7.11</v>
      </c>
      <c r="O54" s="43">
        <f t="shared" si="44"/>
        <v>10657.391589</v>
      </c>
      <c r="P54" s="45"/>
      <c r="Q54" s="45"/>
      <c r="R54" s="69">
        <f t="shared" si="40"/>
        <v>7452.6476945245</v>
      </c>
      <c r="S54" s="69"/>
      <c r="T54" s="70">
        <f t="shared" si="41"/>
        <v>13.1927233429395</v>
      </c>
      <c r="U54" s="69"/>
      <c r="V54" s="69"/>
      <c r="W54" s="71">
        <f t="shared" si="37"/>
        <v>7465.84041786744</v>
      </c>
      <c r="X54" s="72">
        <f t="shared" si="42"/>
        <v>136.604063400576</v>
      </c>
      <c r="Y54" s="72"/>
      <c r="Z54" s="72"/>
      <c r="AA54" s="72">
        <f t="shared" si="38"/>
        <v>136.604063400576</v>
      </c>
      <c r="AB54" s="81">
        <v>7.11</v>
      </c>
      <c r="AC54" s="69">
        <f t="shared" si="34"/>
        <v>971.254890778098</v>
      </c>
      <c r="AD54" s="69">
        <f t="shared" si="35"/>
        <v>8437.09530864553</v>
      </c>
      <c r="AE54" s="69">
        <f t="shared" si="36"/>
        <v>2220.29628035447</v>
      </c>
    </row>
    <row r="55" customFormat="1" spans="1:31">
      <c r="A55" s="19"/>
      <c r="B55" s="20"/>
      <c r="C55" s="21">
        <v>240930000041</v>
      </c>
      <c r="D55" s="22">
        <v>45578</v>
      </c>
      <c r="E55" s="22" t="s">
        <v>41</v>
      </c>
      <c r="F55" s="20" t="s">
        <v>42</v>
      </c>
      <c r="G55" s="20" t="s">
        <v>100</v>
      </c>
      <c r="H55" s="20">
        <v>6</v>
      </c>
      <c r="I55" s="50"/>
      <c r="J55" s="46">
        <v>87660</v>
      </c>
      <c r="K55" s="41"/>
      <c r="L55" s="47">
        <f t="shared" si="43"/>
        <v>1731.38455461189</v>
      </c>
      <c r="M55" s="48">
        <v>50.63</v>
      </c>
      <c r="N55" s="42">
        <v>7.11</v>
      </c>
      <c r="O55" s="43">
        <f t="shared" si="44"/>
        <v>359.9793</v>
      </c>
      <c r="P55" s="45"/>
      <c r="Q55" s="45"/>
      <c r="R55" s="69">
        <f t="shared" si="40"/>
        <v>241.055990119391</v>
      </c>
      <c r="S55" s="69"/>
      <c r="T55" s="70">
        <f t="shared" si="41"/>
        <v>0.426718814326884</v>
      </c>
      <c r="U55" s="69"/>
      <c r="V55" s="69"/>
      <c r="W55" s="71">
        <f t="shared" si="37"/>
        <v>241.482708933718</v>
      </c>
      <c r="X55" s="72">
        <f t="shared" si="42"/>
        <v>4.41846027171676</v>
      </c>
      <c r="Y55" s="72"/>
      <c r="Z55" s="72"/>
      <c r="AA55" s="72">
        <f t="shared" si="38"/>
        <v>4.41846027171676</v>
      </c>
      <c r="AB55" s="81">
        <v>7.11</v>
      </c>
      <c r="AC55" s="69">
        <f t="shared" si="34"/>
        <v>31.4152525319061</v>
      </c>
      <c r="AD55" s="69">
        <f t="shared" si="35"/>
        <v>272.897961465624</v>
      </c>
      <c r="AE55" s="69">
        <f t="shared" si="36"/>
        <v>87.0813385343764</v>
      </c>
    </row>
    <row r="56" customFormat="1" spans="1:31">
      <c r="A56" s="19"/>
      <c r="B56" s="20"/>
      <c r="C56" s="21">
        <v>241002000006</v>
      </c>
      <c r="D56" s="22">
        <v>45578</v>
      </c>
      <c r="E56" s="22" t="s">
        <v>55</v>
      </c>
      <c r="F56" s="20" t="s">
        <v>56</v>
      </c>
      <c r="G56" s="20" t="s">
        <v>104</v>
      </c>
      <c r="H56" s="20">
        <v>4.5</v>
      </c>
      <c r="I56" s="39">
        <v>420.5</v>
      </c>
      <c r="J56" s="40"/>
      <c r="K56" s="41"/>
      <c r="L56" s="20"/>
      <c r="M56" s="41"/>
      <c r="N56" s="42"/>
      <c r="O56" s="43">
        <f t="shared" si="45"/>
        <v>420.5</v>
      </c>
      <c r="P56" s="45"/>
      <c r="Q56" s="45"/>
      <c r="R56" s="69">
        <f t="shared" si="40"/>
        <v>180.791992589543</v>
      </c>
      <c r="S56" s="69"/>
      <c r="T56" s="70">
        <f t="shared" si="41"/>
        <v>0.320039110745163</v>
      </c>
      <c r="U56" s="69"/>
      <c r="V56" s="69"/>
      <c r="W56" s="71">
        <f t="shared" si="37"/>
        <v>181.112031700288</v>
      </c>
      <c r="X56" s="72">
        <f t="shared" si="42"/>
        <v>3.31384520378757</v>
      </c>
      <c r="Y56" s="72"/>
      <c r="Z56" s="72"/>
      <c r="AA56" s="72">
        <f t="shared" si="38"/>
        <v>3.31384520378757</v>
      </c>
      <c r="AB56" s="81">
        <v>7.11</v>
      </c>
      <c r="AC56" s="69">
        <f t="shared" si="34"/>
        <v>23.5614393989296</v>
      </c>
      <c r="AD56" s="69">
        <f t="shared" si="35"/>
        <v>204.673471099218</v>
      </c>
      <c r="AE56" s="69">
        <f t="shared" si="36"/>
        <v>215.826528900782</v>
      </c>
    </row>
    <row r="57" customFormat="1" spans="1:31">
      <c r="A57" s="19"/>
      <c r="B57" s="20"/>
      <c r="C57" s="21">
        <v>241002000014</v>
      </c>
      <c r="D57" s="22">
        <v>45578</v>
      </c>
      <c r="E57" s="22" t="s">
        <v>47</v>
      </c>
      <c r="F57" s="20" t="s">
        <v>47</v>
      </c>
      <c r="G57" s="20" t="s">
        <v>49</v>
      </c>
      <c r="H57" s="20">
        <v>274</v>
      </c>
      <c r="I57" s="39">
        <v>15078</v>
      </c>
      <c r="J57" s="40"/>
      <c r="K57" s="41"/>
      <c r="L57" s="20"/>
      <c r="M57" s="41"/>
      <c r="N57" s="42"/>
      <c r="O57" s="43">
        <f t="shared" si="45"/>
        <v>15078</v>
      </c>
      <c r="P57" s="45"/>
      <c r="Q57" s="45"/>
      <c r="R57" s="69">
        <f t="shared" si="40"/>
        <v>11008.2235487855</v>
      </c>
      <c r="S57" s="69"/>
      <c r="T57" s="70">
        <f t="shared" si="41"/>
        <v>19.486825854261</v>
      </c>
      <c r="U57" s="69"/>
      <c r="V57" s="69"/>
      <c r="W57" s="71">
        <f t="shared" si="37"/>
        <v>11027.7103746398</v>
      </c>
      <c r="X57" s="72">
        <f t="shared" si="42"/>
        <v>201.776352408399</v>
      </c>
      <c r="Y57" s="72"/>
      <c r="Z57" s="72"/>
      <c r="AA57" s="72">
        <f t="shared" si="38"/>
        <v>201.776352408399</v>
      </c>
      <c r="AB57" s="81">
        <v>7.11</v>
      </c>
      <c r="AC57" s="69">
        <f t="shared" si="34"/>
        <v>1434.62986562371</v>
      </c>
      <c r="AD57" s="69">
        <f t="shared" si="35"/>
        <v>12462.3402402635</v>
      </c>
      <c r="AE57" s="69">
        <f t="shared" si="36"/>
        <v>2615.65975973652</v>
      </c>
    </row>
    <row r="58" customFormat="1" spans="1:31">
      <c r="A58" s="19"/>
      <c r="B58" s="20"/>
      <c r="C58" s="21">
        <v>241003000002</v>
      </c>
      <c r="D58" s="22">
        <v>45578</v>
      </c>
      <c r="E58" s="22" t="s">
        <v>41</v>
      </c>
      <c r="F58" s="20" t="s">
        <v>42</v>
      </c>
      <c r="G58" s="20" t="s">
        <v>105</v>
      </c>
      <c r="H58" s="20">
        <v>10.5</v>
      </c>
      <c r="I58" s="43"/>
      <c r="J58" s="46">
        <v>181492.5</v>
      </c>
      <c r="K58" s="41"/>
      <c r="L58" s="47">
        <f>SUM(J58/M58)</f>
        <v>1728.5</v>
      </c>
      <c r="M58" s="48">
        <v>105</v>
      </c>
      <c r="N58" s="42">
        <v>7.11</v>
      </c>
      <c r="O58" s="43">
        <f t="shared" ref="O58:O62" si="46">SUM(M58*N58)</f>
        <v>746.55</v>
      </c>
      <c r="P58" s="45"/>
      <c r="Q58" s="45"/>
      <c r="R58" s="69">
        <f t="shared" si="40"/>
        <v>421.847982708934</v>
      </c>
      <c r="S58" s="69"/>
      <c r="T58" s="70">
        <f t="shared" si="41"/>
        <v>0.746757925072046</v>
      </c>
      <c r="U58" s="69"/>
      <c r="V58" s="69"/>
      <c r="W58" s="71">
        <f t="shared" si="37"/>
        <v>422.594740634006</v>
      </c>
      <c r="X58" s="72">
        <f t="shared" si="42"/>
        <v>7.73230547550432</v>
      </c>
      <c r="Y58" s="72"/>
      <c r="Z58" s="72"/>
      <c r="AA58" s="72">
        <f t="shared" si="38"/>
        <v>7.73230547550432</v>
      </c>
      <c r="AB58" s="81">
        <v>7.11</v>
      </c>
      <c r="AC58" s="69">
        <f t="shared" si="34"/>
        <v>54.9766919308357</v>
      </c>
      <c r="AD58" s="69">
        <f t="shared" si="35"/>
        <v>477.571432564841</v>
      </c>
      <c r="AE58" s="69">
        <f t="shared" si="36"/>
        <v>268.978567435158</v>
      </c>
    </row>
    <row r="59" customFormat="1" spans="1:31">
      <c r="A59" s="19"/>
      <c r="B59" s="20"/>
      <c r="C59" s="21">
        <v>241003000004</v>
      </c>
      <c r="D59" s="22">
        <v>45578</v>
      </c>
      <c r="E59" s="22" t="s">
        <v>41</v>
      </c>
      <c r="F59" s="20" t="s">
        <v>42</v>
      </c>
      <c r="G59" s="20" t="s">
        <v>106</v>
      </c>
      <c r="H59" s="20">
        <v>6</v>
      </c>
      <c r="I59" s="43"/>
      <c r="J59" s="46">
        <v>85123</v>
      </c>
      <c r="K59" s="41"/>
      <c r="L59" s="47">
        <f>SUM(J59/M59)</f>
        <v>1711.01507537688</v>
      </c>
      <c r="M59" s="48">
        <v>49.75</v>
      </c>
      <c r="N59" s="42">
        <v>7.11</v>
      </c>
      <c r="O59" s="43">
        <f t="shared" si="46"/>
        <v>353.7225</v>
      </c>
      <c r="P59" s="45"/>
      <c r="Q59" s="45"/>
      <c r="R59" s="69">
        <f t="shared" si="40"/>
        <v>241.055990119391</v>
      </c>
      <c r="S59" s="69"/>
      <c r="T59" s="70">
        <f t="shared" si="41"/>
        <v>0.426718814326884</v>
      </c>
      <c r="U59" s="69"/>
      <c r="V59" s="69"/>
      <c r="W59" s="71">
        <f t="shared" si="37"/>
        <v>241.482708933718</v>
      </c>
      <c r="X59" s="72">
        <f t="shared" si="42"/>
        <v>4.41846027171676</v>
      </c>
      <c r="Y59" s="72"/>
      <c r="Z59" s="72"/>
      <c r="AA59" s="72">
        <f t="shared" si="38"/>
        <v>4.41846027171676</v>
      </c>
      <c r="AB59" s="81">
        <v>7.11</v>
      </c>
      <c r="AC59" s="69">
        <f t="shared" si="34"/>
        <v>31.4152525319061</v>
      </c>
      <c r="AD59" s="69">
        <f t="shared" si="35"/>
        <v>272.897961465624</v>
      </c>
      <c r="AE59" s="69">
        <f t="shared" si="36"/>
        <v>80.8245385343764</v>
      </c>
    </row>
    <row r="60" customFormat="1" spans="1:31">
      <c r="A60" s="19"/>
      <c r="B60" s="20"/>
      <c r="C60" s="21">
        <v>241003000005</v>
      </c>
      <c r="D60" s="22">
        <v>45578</v>
      </c>
      <c r="E60" s="22" t="s">
        <v>41</v>
      </c>
      <c r="F60" s="20" t="s">
        <v>42</v>
      </c>
      <c r="G60" s="20" t="s">
        <v>107</v>
      </c>
      <c r="H60" s="20">
        <v>68.5</v>
      </c>
      <c r="I60" s="39">
        <v>3918.5</v>
      </c>
      <c r="J60" s="40"/>
      <c r="K60" s="41"/>
      <c r="L60" s="20"/>
      <c r="M60" s="41"/>
      <c r="N60" s="42"/>
      <c r="O60" s="43">
        <f t="shared" ref="O60:O66" si="47">SUM(I60)</f>
        <v>3918.5</v>
      </c>
      <c r="P60" s="45"/>
      <c r="Q60" s="45"/>
      <c r="R60" s="69">
        <f t="shared" si="40"/>
        <v>2752.05588719638</v>
      </c>
      <c r="S60" s="69"/>
      <c r="T60" s="70">
        <f t="shared" si="41"/>
        <v>4.87170646356525</v>
      </c>
      <c r="U60" s="69"/>
      <c r="V60" s="70">
        <f>SUM(115+36)</f>
        <v>151</v>
      </c>
      <c r="W60" s="71">
        <f t="shared" si="37"/>
        <v>2907.92759365994</v>
      </c>
      <c r="X60" s="72">
        <f t="shared" si="42"/>
        <v>50.4440881020996</v>
      </c>
      <c r="Y60" s="72"/>
      <c r="Z60" s="72"/>
      <c r="AA60" s="72">
        <f t="shared" si="38"/>
        <v>50.4440881020996</v>
      </c>
      <c r="AB60" s="81">
        <v>7.11</v>
      </c>
      <c r="AC60" s="69">
        <f t="shared" si="34"/>
        <v>358.657466405928</v>
      </c>
      <c r="AD60" s="69">
        <f t="shared" si="35"/>
        <v>3266.58506006587</v>
      </c>
      <c r="AE60" s="69">
        <f t="shared" si="36"/>
        <v>651.914939934129</v>
      </c>
    </row>
    <row r="61" customFormat="1" spans="1:31">
      <c r="A61" s="19"/>
      <c r="B61" s="20"/>
      <c r="C61" s="21">
        <v>241004000001</v>
      </c>
      <c r="D61" s="22">
        <v>45578</v>
      </c>
      <c r="E61" s="22" t="s">
        <v>37</v>
      </c>
      <c r="F61" s="20" t="s">
        <v>38</v>
      </c>
      <c r="G61" s="20" t="s">
        <v>108</v>
      </c>
      <c r="H61" s="20">
        <v>2</v>
      </c>
      <c r="I61" s="50"/>
      <c r="J61" s="46">
        <v>38230</v>
      </c>
      <c r="K61" s="41"/>
      <c r="L61" s="47">
        <f>SUM(J61/M61)</f>
        <v>1731.43115942029</v>
      </c>
      <c r="M61" s="48">
        <v>22.08</v>
      </c>
      <c r="N61" s="42">
        <v>7.11</v>
      </c>
      <c r="O61" s="43">
        <f t="shared" si="46"/>
        <v>156.9888</v>
      </c>
      <c r="P61" s="45"/>
      <c r="Q61" s="45"/>
      <c r="R61" s="69">
        <f t="shared" si="40"/>
        <v>80.3519967064636</v>
      </c>
      <c r="S61" s="69"/>
      <c r="T61" s="70">
        <f t="shared" si="41"/>
        <v>0.142239604775628</v>
      </c>
      <c r="U61" s="69"/>
      <c r="V61" s="70">
        <v>34</v>
      </c>
      <c r="W61" s="71">
        <f t="shared" si="37"/>
        <v>114.494236311239</v>
      </c>
      <c r="X61" s="72">
        <f t="shared" si="42"/>
        <v>1.47282009057225</v>
      </c>
      <c r="Y61" s="72"/>
      <c r="Z61" s="72"/>
      <c r="AA61" s="72">
        <f t="shared" si="38"/>
        <v>1.47282009057225</v>
      </c>
      <c r="AB61" s="81">
        <v>7.11</v>
      </c>
      <c r="AC61" s="69">
        <f t="shared" si="34"/>
        <v>10.4717508439687</v>
      </c>
      <c r="AD61" s="69">
        <f t="shared" si="35"/>
        <v>124.965987155208</v>
      </c>
      <c r="AE61" s="69">
        <f t="shared" si="36"/>
        <v>32.0228128447921</v>
      </c>
    </row>
    <row r="62" customFormat="1" spans="1:31">
      <c r="A62" s="19"/>
      <c r="B62" s="20"/>
      <c r="C62" s="21">
        <v>241004000002</v>
      </c>
      <c r="D62" s="22">
        <v>45578</v>
      </c>
      <c r="E62" s="22" t="s">
        <v>37</v>
      </c>
      <c r="F62" s="20" t="s">
        <v>38</v>
      </c>
      <c r="G62" s="20" t="s">
        <v>109</v>
      </c>
      <c r="H62" s="20">
        <v>0.1</v>
      </c>
      <c r="I62" s="50"/>
      <c r="J62" s="46">
        <v>15350</v>
      </c>
      <c r="K62" s="41"/>
      <c r="L62" s="47">
        <f>SUM(J62/M62)</f>
        <v>1726.65916760405</v>
      </c>
      <c r="M62" s="48">
        <v>8.89</v>
      </c>
      <c r="N62" s="42">
        <v>7.11</v>
      </c>
      <c r="O62" s="43">
        <f t="shared" si="46"/>
        <v>63.2079</v>
      </c>
      <c r="P62" s="45"/>
      <c r="Q62" s="45"/>
      <c r="R62" s="69">
        <f t="shared" si="40"/>
        <v>4.01759983532318</v>
      </c>
      <c r="S62" s="69"/>
      <c r="T62" s="70">
        <f t="shared" si="41"/>
        <v>0.00711198023878139</v>
      </c>
      <c r="U62" s="69"/>
      <c r="V62" s="69"/>
      <c r="W62" s="71">
        <f t="shared" si="37"/>
        <v>4.02471181556196</v>
      </c>
      <c r="X62" s="72">
        <f t="shared" si="42"/>
        <v>0.0736410045286126</v>
      </c>
      <c r="Y62" s="72"/>
      <c r="Z62" s="72"/>
      <c r="AA62" s="72">
        <f t="shared" si="38"/>
        <v>0.0736410045286126</v>
      </c>
      <c r="AB62" s="81">
        <v>7.11</v>
      </c>
      <c r="AC62" s="69">
        <f t="shared" si="34"/>
        <v>0.523587542198436</v>
      </c>
      <c r="AD62" s="69">
        <f t="shared" si="35"/>
        <v>4.5482993577604</v>
      </c>
      <c r="AE62" s="69">
        <f t="shared" si="36"/>
        <v>58.6596006422396</v>
      </c>
    </row>
    <row r="63" customFormat="1" spans="1:31">
      <c r="A63" s="19"/>
      <c r="B63" s="20"/>
      <c r="C63" s="21">
        <v>241004000003</v>
      </c>
      <c r="D63" s="22">
        <v>45578</v>
      </c>
      <c r="E63" s="22" t="s">
        <v>37</v>
      </c>
      <c r="F63" s="20" t="s">
        <v>38</v>
      </c>
      <c r="G63" s="20" t="s">
        <v>110</v>
      </c>
      <c r="H63" s="20">
        <v>10</v>
      </c>
      <c r="I63" s="39">
        <v>576</v>
      </c>
      <c r="J63" s="40"/>
      <c r="K63" s="41"/>
      <c r="L63" s="20"/>
      <c r="M63" s="41"/>
      <c r="N63" s="42"/>
      <c r="O63" s="43">
        <f t="shared" si="47"/>
        <v>576</v>
      </c>
      <c r="P63" s="45"/>
      <c r="Q63" s="45"/>
      <c r="R63" s="69">
        <f t="shared" si="40"/>
        <v>401.759983532318</v>
      </c>
      <c r="S63" s="69"/>
      <c r="T63" s="70">
        <f t="shared" si="41"/>
        <v>0.711198023878139</v>
      </c>
      <c r="U63" s="69"/>
      <c r="V63" s="69"/>
      <c r="W63" s="71">
        <f t="shared" si="37"/>
        <v>402.471181556196</v>
      </c>
      <c r="X63" s="72">
        <f t="shared" si="42"/>
        <v>7.36410045286126</v>
      </c>
      <c r="Y63" s="72"/>
      <c r="Z63" s="72"/>
      <c r="AA63" s="72">
        <f t="shared" si="38"/>
        <v>7.36410045286126</v>
      </c>
      <c r="AB63" s="81">
        <v>7.11</v>
      </c>
      <c r="AC63" s="69">
        <f t="shared" si="34"/>
        <v>52.3587542198436</v>
      </c>
      <c r="AD63" s="69">
        <f t="shared" si="35"/>
        <v>454.82993577604</v>
      </c>
      <c r="AE63" s="69">
        <f t="shared" si="36"/>
        <v>121.17006422396</v>
      </c>
    </row>
    <row r="64" customFormat="1" spans="1:31">
      <c r="A64" s="19"/>
      <c r="B64" s="20"/>
      <c r="C64" s="21">
        <v>241004000006</v>
      </c>
      <c r="D64" s="22">
        <v>45578</v>
      </c>
      <c r="E64" s="22" t="s">
        <v>37</v>
      </c>
      <c r="F64" s="20" t="s">
        <v>38</v>
      </c>
      <c r="G64" s="20" t="s">
        <v>109</v>
      </c>
      <c r="H64" s="20">
        <v>0.56</v>
      </c>
      <c r="I64" s="39">
        <v>63</v>
      </c>
      <c r="J64" s="40"/>
      <c r="K64" s="41"/>
      <c r="L64" s="20"/>
      <c r="M64" s="41"/>
      <c r="N64" s="42"/>
      <c r="O64" s="43">
        <f t="shared" si="47"/>
        <v>63</v>
      </c>
      <c r="P64" s="45"/>
      <c r="Q64" s="45"/>
      <c r="R64" s="69">
        <f t="shared" si="40"/>
        <v>22.4985590778098</v>
      </c>
      <c r="S64" s="69"/>
      <c r="T64" s="70">
        <f t="shared" si="41"/>
        <v>0.0398270893371758</v>
      </c>
      <c r="U64" s="69"/>
      <c r="V64" s="69"/>
      <c r="W64" s="71">
        <f t="shared" si="37"/>
        <v>22.538386167147</v>
      </c>
      <c r="X64" s="72">
        <f t="shared" si="42"/>
        <v>0.412389625360231</v>
      </c>
      <c r="Y64" s="72"/>
      <c r="Z64" s="72"/>
      <c r="AA64" s="72">
        <f t="shared" si="38"/>
        <v>0.412389625360231</v>
      </c>
      <c r="AB64" s="81">
        <v>7.11</v>
      </c>
      <c r="AC64" s="69">
        <f t="shared" si="34"/>
        <v>2.93209023631124</v>
      </c>
      <c r="AD64" s="69">
        <f t="shared" si="35"/>
        <v>25.4704764034582</v>
      </c>
      <c r="AE64" s="69">
        <f t="shared" si="36"/>
        <v>37.5295235965418</v>
      </c>
    </row>
    <row r="65" customFormat="1" spans="1:31">
      <c r="A65" s="19"/>
      <c r="B65" s="20"/>
      <c r="C65" s="21">
        <v>241004000007</v>
      </c>
      <c r="D65" s="22">
        <v>45578</v>
      </c>
      <c r="E65" s="22" t="s">
        <v>37</v>
      </c>
      <c r="F65" s="20" t="s">
        <v>38</v>
      </c>
      <c r="G65" s="20" t="s">
        <v>111</v>
      </c>
      <c r="H65" s="20">
        <v>2</v>
      </c>
      <c r="I65" s="39">
        <v>135</v>
      </c>
      <c r="J65" s="40"/>
      <c r="K65" s="41"/>
      <c r="L65" s="20"/>
      <c r="M65" s="41"/>
      <c r="N65" s="42"/>
      <c r="O65" s="43">
        <f t="shared" si="47"/>
        <v>135</v>
      </c>
      <c r="P65" s="45"/>
      <c r="Q65" s="45"/>
      <c r="R65" s="69">
        <f t="shared" si="40"/>
        <v>80.3519967064636</v>
      </c>
      <c r="S65" s="69"/>
      <c r="T65" s="70">
        <f t="shared" si="41"/>
        <v>0.142239604775628</v>
      </c>
      <c r="U65" s="69"/>
      <c r="V65" s="69"/>
      <c r="W65" s="71">
        <f t="shared" si="37"/>
        <v>80.4942363112392</v>
      </c>
      <c r="X65" s="72">
        <f t="shared" si="42"/>
        <v>1.47282009057225</v>
      </c>
      <c r="Y65" s="72"/>
      <c r="Z65" s="72"/>
      <c r="AA65" s="72">
        <f t="shared" si="38"/>
        <v>1.47282009057225</v>
      </c>
      <c r="AB65" s="81">
        <v>7.11</v>
      </c>
      <c r="AC65" s="69">
        <f t="shared" si="34"/>
        <v>10.4717508439687</v>
      </c>
      <c r="AD65" s="69">
        <f t="shared" si="35"/>
        <v>90.9659871552079</v>
      </c>
      <c r="AE65" s="69">
        <f t="shared" si="36"/>
        <v>44.0340128447921</v>
      </c>
    </row>
    <row r="66" customFormat="1" spans="1:31">
      <c r="A66" s="19"/>
      <c r="B66" s="20"/>
      <c r="C66" s="21">
        <v>241004000012</v>
      </c>
      <c r="D66" s="22">
        <v>45578</v>
      </c>
      <c r="E66" s="22" t="s">
        <v>55</v>
      </c>
      <c r="F66" s="20" t="s">
        <v>56</v>
      </c>
      <c r="G66" s="20" t="s">
        <v>112</v>
      </c>
      <c r="H66" s="20">
        <v>0.1</v>
      </c>
      <c r="I66" s="39">
        <v>86</v>
      </c>
      <c r="J66" s="40"/>
      <c r="K66" s="41"/>
      <c r="L66" s="20"/>
      <c r="M66" s="41"/>
      <c r="N66" s="42"/>
      <c r="O66" s="43">
        <f t="shared" si="47"/>
        <v>86</v>
      </c>
      <c r="P66" s="45"/>
      <c r="Q66" s="45"/>
      <c r="R66" s="69">
        <f t="shared" si="40"/>
        <v>4.01759983532318</v>
      </c>
      <c r="S66" s="69"/>
      <c r="T66" s="70">
        <f t="shared" si="41"/>
        <v>0.00711198023878139</v>
      </c>
      <c r="U66" s="69"/>
      <c r="V66" s="70">
        <v>23</v>
      </c>
      <c r="W66" s="71">
        <f t="shared" si="37"/>
        <v>27.024711815562</v>
      </c>
      <c r="X66" s="72">
        <f t="shared" si="42"/>
        <v>0.0736410045286126</v>
      </c>
      <c r="Y66" s="72"/>
      <c r="Z66" s="72"/>
      <c r="AA66" s="72">
        <f t="shared" si="38"/>
        <v>0.0736410045286126</v>
      </c>
      <c r="AB66" s="81">
        <v>7.11</v>
      </c>
      <c r="AC66" s="69">
        <f t="shared" si="34"/>
        <v>0.523587542198436</v>
      </c>
      <c r="AD66" s="69">
        <f t="shared" si="35"/>
        <v>27.5482993577604</v>
      </c>
      <c r="AE66" s="69">
        <f t="shared" si="36"/>
        <v>58.4517006422396</v>
      </c>
    </row>
    <row r="67" customFormat="1" spans="1:31">
      <c r="A67" s="19"/>
      <c r="B67" s="20"/>
      <c r="C67" s="82">
        <v>241004000015</v>
      </c>
      <c r="D67" s="83">
        <v>45578</v>
      </c>
      <c r="E67" s="22" t="s">
        <v>41</v>
      </c>
      <c r="F67" s="84" t="s">
        <v>42</v>
      </c>
      <c r="G67" s="84" t="s">
        <v>113</v>
      </c>
      <c r="H67" s="84">
        <v>0.84</v>
      </c>
      <c r="I67" s="50"/>
      <c r="J67" s="47">
        <v>17452</v>
      </c>
      <c r="K67" s="85"/>
      <c r="L67" s="47">
        <f>SUM(J67/M67)</f>
        <v>1710.98039215686</v>
      </c>
      <c r="M67" s="86">
        <v>10.2</v>
      </c>
      <c r="N67" s="42">
        <v>7.11</v>
      </c>
      <c r="O67" s="43">
        <f t="shared" ref="O67:O72" si="48">SUM(M67*N67)</f>
        <v>72.522</v>
      </c>
      <c r="P67" s="45"/>
      <c r="Q67" s="45"/>
      <c r="R67" s="69">
        <f t="shared" si="40"/>
        <v>33.7478386167147</v>
      </c>
      <c r="S67" s="69"/>
      <c r="T67" s="70">
        <f t="shared" si="41"/>
        <v>0.0597406340057637</v>
      </c>
      <c r="U67" s="69"/>
      <c r="V67" s="69"/>
      <c r="W67" s="71">
        <f t="shared" si="37"/>
        <v>33.8075792507205</v>
      </c>
      <c r="X67" s="72">
        <f t="shared" si="42"/>
        <v>0.618584438040346</v>
      </c>
      <c r="Y67" s="72"/>
      <c r="Z67" s="72"/>
      <c r="AA67" s="72">
        <f t="shared" si="38"/>
        <v>0.618584438040346</v>
      </c>
      <c r="AB67" s="81">
        <v>7.11</v>
      </c>
      <c r="AC67" s="69">
        <f t="shared" si="34"/>
        <v>4.39813535446686</v>
      </c>
      <c r="AD67" s="69">
        <f t="shared" si="35"/>
        <v>38.2057146051873</v>
      </c>
      <c r="AE67" s="69">
        <f t="shared" si="36"/>
        <v>34.3162853948127</v>
      </c>
    </row>
    <row r="68" customFormat="1" spans="1:31">
      <c r="A68" s="19"/>
      <c r="B68" s="20"/>
      <c r="C68" s="21">
        <v>241004000016</v>
      </c>
      <c r="D68" s="22">
        <v>45578</v>
      </c>
      <c r="E68" s="22" t="s">
        <v>41</v>
      </c>
      <c r="F68" s="20" t="s">
        <v>42</v>
      </c>
      <c r="G68" s="20" t="s">
        <v>114</v>
      </c>
      <c r="H68" s="20">
        <v>2</v>
      </c>
      <c r="I68" s="39">
        <v>123</v>
      </c>
      <c r="J68" s="40"/>
      <c r="K68" s="41"/>
      <c r="L68" s="20"/>
      <c r="M68" s="41"/>
      <c r="N68" s="42"/>
      <c r="O68" s="43">
        <f t="shared" ref="O68:O71" si="49">SUM(I68)</f>
        <v>123</v>
      </c>
      <c r="P68" s="45"/>
      <c r="Q68" s="45"/>
      <c r="R68" s="69">
        <f t="shared" si="40"/>
        <v>80.3519967064636</v>
      </c>
      <c r="S68" s="69"/>
      <c r="T68" s="70">
        <f t="shared" si="41"/>
        <v>0.142239604775628</v>
      </c>
      <c r="U68" s="69"/>
      <c r="V68" s="69"/>
      <c r="W68" s="71">
        <f t="shared" si="37"/>
        <v>80.4942363112392</v>
      </c>
      <c r="X68" s="72">
        <f t="shared" si="42"/>
        <v>1.47282009057225</v>
      </c>
      <c r="Y68" s="72"/>
      <c r="Z68" s="72"/>
      <c r="AA68" s="72">
        <f t="shared" si="38"/>
        <v>1.47282009057225</v>
      </c>
      <c r="AB68" s="81">
        <v>7.11</v>
      </c>
      <c r="AC68" s="69">
        <f t="shared" si="34"/>
        <v>10.4717508439687</v>
      </c>
      <c r="AD68" s="69">
        <f t="shared" si="35"/>
        <v>90.9659871552079</v>
      </c>
      <c r="AE68" s="69">
        <f t="shared" si="36"/>
        <v>32.0340128447921</v>
      </c>
    </row>
    <row r="69" customFormat="1" spans="1:31">
      <c r="A69" s="19"/>
      <c r="B69" s="20"/>
      <c r="C69" s="21">
        <v>241004000019</v>
      </c>
      <c r="D69" s="22">
        <v>45578</v>
      </c>
      <c r="E69" s="22" t="s">
        <v>55</v>
      </c>
      <c r="F69" s="20">
        <v>13635229849</v>
      </c>
      <c r="G69" s="20" t="s">
        <v>87</v>
      </c>
      <c r="H69" s="20">
        <v>5.5</v>
      </c>
      <c r="I69" s="43"/>
      <c r="J69" s="46">
        <v>90383</v>
      </c>
      <c r="K69" s="41"/>
      <c r="L69" s="47">
        <f t="shared" ref="L69:L75" si="50">SUM(J69/M69)</f>
        <v>1728.49493210939</v>
      </c>
      <c r="M69" s="48">
        <v>52.29</v>
      </c>
      <c r="N69" s="42">
        <v>7.11</v>
      </c>
      <c r="O69" s="43">
        <f t="shared" si="48"/>
        <v>371.7819</v>
      </c>
      <c r="P69" s="45"/>
      <c r="Q69" s="45"/>
      <c r="R69" s="69">
        <f t="shared" si="40"/>
        <v>220.967990942775</v>
      </c>
      <c r="S69" s="69"/>
      <c r="T69" s="70">
        <f t="shared" si="41"/>
        <v>0.391158913132977</v>
      </c>
      <c r="U69" s="69"/>
      <c r="V69" s="69"/>
      <c r="W69" s="71">
        <f t="shared" si="37"/>
        <v>221.359149855908</v>
      </c>
      <c r="X69" s="72">
        <f t="shared" si="42"/>
        <v>4.05025524907369</v>
      </c>
      <c r="Y69" s="72"/>
      <c r="Z69" s="72"/>
      <c r="AA69" s="72">
        <f t="shared" si="38"/>
        <v>4.05025524907369</v>
      </c>
      <c r="AB69" s="81">
        <v>7.11</v>
      </c>
      <c r="AC69" s="69">
        <f t="shared" si="34"/>
        <v>28.797314820914</v>
      </c>
      <c r="AD69" s="69">
        <f t="shared" si="35"/>
        <v>250.156464676822</v>
      </c>
      <c r="AE69" s="69">
        <f t="shared" si="36"/>
        <v>121.625435323178</v>
      </c>
    </row>
    <row r="70" customFormat="1" spans="1:31">
      <c r="A70" s="19"/>
      <c r="B70" s="20"/>
      <c r="C70" s="21">
        <v>241005000002</v>
      </c>
      <c r="D70" s="22">
        <v>45578</v>
      </c>
      <c r="E70" s="22" t="s">
        <v>37</v>
      </c>
      <c r="F70" s="20" t="s">
        <v>38</v>
      </c>
      <c r="G70" s="20" t="s">
        <v>115</v>
      </c>
      <c r="H70" s="20">
        <v>5</v>
      </c>
      <c r="I70" s="39">
        <v>303</v>
      </c>
      <c r="J70" s="40"/>
      <c r="K70" s="41"/>
      <c r="L70" s="20"/>
      <c r="M70" s="41"/>
      <c r="N70" s="42"/>
      <c r="O70" s="43">
        <f t="shared" si="49"/>
        <v>303</v>
      </c>
      <c r="P70" s="45"/>
      <c r="Q70" s="45"/>
      <c r="R70" s="69">
        <f t="shared" si="40"/>
        <v>200.879991766159</v>
      </c>
      <c r="S70" s="69"/>
      <c r="T70" s="70">
        <f t="shared" si="41"/>
        <v>0.35559901193907</v>
      </c>
      <c r="U70" s="69"/>
      <c r="V70" s="69"/>
      <c r="W70" s="71">
        <f t="shared" si="37"/>
        <v>201.235590778098</v>
      </c>
      <c r="X70" s="72">
        <f t="shared" si="42"/>
        <v>3.68205022643063</v>
      </c>
      <c r="Y70" s="72"/>
      <c r="Z70" s="72"/>
      <c r="AA70" s="72">
        <f t="shared" si="38"/>
        <v>3.68205022643063</v>
      </c>
      <c r="AB70" s="81">
        <v>7.11</v>
      </c>
      <c r="AC70" s="69">
        <f t="shared" si="34"/>
        <v>26.1793771099218</v>
      </c>
      <c r="AD70" s="69">
        <f t="shared" si="35"/>
        <v>227.41496788802</v>
      </c>
      <c r="AE70" s="69">
        <f t="shared" si="36"/>
        <v>75.5850321119802</v>
      </c>
    </row>
    <row r="71" customFormat="1" spans="1:31">
      <c r="A71" s="19"/>
      <c r="B71" s="20"/>
      <c r="C71" s="21">
        <v>241005000005</v>
      </c>
      <c r="D71" s="22">
        <v>45578</v>
      </c>
      <c r="E71" s="22" t="s">
        <v>55</v>
      </c>
      <c r="F71" s="20" t="s">
        <v>56</v>
      </c>
      <c r="G71" s="20" t="s">
        <v>116</v>
      </c>
      <c r="H71" s="20">
        <v>0.1</v>
      </c>
      <c r="I71" s="39">
        <v>69</v>
      </c>
      <c r="J71" s="40"/>
      <c r="K71" s="41"/>
      <c r="L71" s="20"/>
      <c r="M71" s="41"/>
      <c r="N71" s="42"/>
      <c r="O71" s="43">
        <f t="shared" si="49"/>
        <v>69</v>
      </c>
      <c r="P71" s="45"/>
      <c r="Q71" s="45"/>
      <c r="R71" s="69">
        <f t="shared" si="40"/>
        <v>4.01759983532318</v>
      </c>
      <c r="S71" s="69"/>
      <c r="T71" s="70">
        <f t="shared" si="41"/>
        <v>0.00711198023878139</v>
      </c>
      <c r="U71" s="69"/>
      <c r="V71" s="69"/>
      <c r="W71" s="71">
        <f t="shared" si="37"/>
        <v>4.02471181556196</v>
      </c>
      <c r="X71" s="72">
        <f t="shared" si="42"/>
        <v>0.0736410045286126</v>
      </c>
      <c r="Y71" s="72"/>
      <c r="Z71" s="72"/>
      <c r="AA71" s="72">
        <f t="shared" si="38"/>
        <v>0.0736410045286126</v>
      </c>
      <c r="AB71" s="81">
        <v>7.11</v>
      </c>
      <c r="AC71" s="69">
        <f t="shared" si="34"/>
        <v>0.523587542198436</v>
      </c>
      <c r="AD71" s="69">
        <f t="shared" si="35"/>
        <v>4.5482993577604</v>
      </c>
      <c r="AE71" s="69">
        <f t="shared" si="36"/>
        <v>64.4517006422396</v>
      </c>
    </row>
    <row r="72" customFormat="1" spans="1:31">
      <c r="A72" s="19"/>
      <c r="B72" s="20"/>
      <c r="C72" s="21">
        <v>241005000008</v>
      </c>
      <c r="D72" s="22">
        <v>45578</v>
      </c>
      <c r="E72" s="22" t="s">
        <v>55</v>
      </c>
      <c r="F72" s="20">
        <v>13635229849</v>
      </c>
      <c r="G72" s="20" t="s">
        <v>87</v>
      </c>
      <c r="H72" s="20">
        <v>2.5</v>
      </c>
      <c r="I72" s="43"/>
      <c r="J72" s="46">
        <v>41484</v>
      </c>
      <c r="K72" s="41"/>
      <c r="L72" s="47">
        <f t="shared" si="50"/>
        <v>1728.5</v>
      </c>
      <c r="M72" s="48">
        <v>24</v>
      </c>
      <c r="N72" s="42">
        <v>7.11</v>
      </c>
      <c r="O72" s="43">
        <f t="shared" si="48"/>
        <v>170.64</v>
      </c>
      <c r="P72" s="45"/>
      <c r="Q72" s="45"/>
      <c r="R72" s="69">
        <f t="shared" si="40"/>
        <v>100.439995883079</v>
      </c>
      <c r="S72" s="69"/>
      <c r="T72" s="70">
        <f t="shared" si="41"/>
        <v>0.177799505969535</v>
      </c>
      <c r="U72" s="69"/>
      <c r="V72" s="69"/>
      <c r="W72" s="71">
        <f t="shared" si="37"/>
        <v>100.617795389049</v>
      </c>
      <c r="X72" s="72">
        <f t="shared" si="42"/>
        <v>1.84102511321532</v>
      </c>
      <c r="Y72" s="72"/>
      <c r="Z72" s="72"/>
      <c r="AA72" s="72">
        <f t="shared" si="38"/>
        <v>1.84102511321532</v>
      </c>
      <c r="AB72" s="81">
        <v>7.11</v>
      </c>
      <c r="AC72" s="69">
        <f t="shared" si="34"/>
        <v>13.0896885549609</v>
      </c>
      <c r="AD72" s="69">
        <f t="shared" si="35"/>
        <v>113.70748394401</v>
      </c>
      <c r="AE72" s="69">
        <f t="shared" si="36"/>
        <v>56.9325160559901</v>
      </c>
    </row>
    <row r="73" customFormat="1" spans="1:31">
      <c r="A73" s="19"/>
      <c r="B73" s="20"/>
      <c r="C73" s="21">
        <v>241005000010</v>
      </c>
      <c r="D73" s="22">
        <v>45578</v>
      </c>
      <c r="E73" s="22" t="s">
        <v>41</v>
      </c>
      <c r="F73" s="20" t="s">
        <v>42</v>
      </c>
      <c r="G73" s="20" t="s">
        <v>117</v>
      </c>
      <c r="H73" s="20">
        <v>4.5</v>
      </c>
      <c r="I73" s="87">
        <v>274.7</v>
      </c>
      <c r="J73" s="40"/>
      <c r="K73" s="41"/>
      <c r="L73" s="20"/>
      <c r="M73" s="41"/>
      <c r="N73" s="42"/>
      <c r="O73" s="43">
        <f>SUBTOTAL(9,I73)</f>
        <v>274.7</v>
      </c>
      <c r="P73" s="45"/>
      <c r="Q73" s="45"/>
      <c r="R73" s="69">
        <f t="shared" si="40"/>
        <v>180.791992589543</v>
      </c>
      <c r="S73" s="69"/>
      <c r="T73" s="70">
        <f t="shared" si="41"/>
        <v>0.320039110745163</v>
      </c>
      <c r="U73" s="69"/>
      <c r="V73" s="69"/>
      <c r="W73" s="71">
        <f t="shared" si="37"/>
        <v>181.112031700288</v>
      </c>
      <c r="X73" s="72">
        <f t="shared" si="42"/>
        <v>3.31384520378757</v>
      </c>
      <c r="Y73" s="72"/>
      <c r="Z73" s="72"/>
      <c r="AA73" s="72">
        <f t="shared" si="38"/>
        <v>3.31384520378757</v>
      </c>
      <c r="AB73" s="81">
        <v>7.11</v>
      </c>
      <c r="AC73" s="69">
        <f t="shared" si="34"/>
        <v>23.5614393989296</v>
      </c>
      <c r="AD73" s="69">
        <f t="shared" si="35"/>
        <v>204.673471099218</v>
      </c>
      <c r="AE73" s="69">
        <f t="shared" si="36"/>
        <v>70.026528900782</v>
      </c>
    </row>
    <row r="74" customFormat="1" spans="1:31">
      <c r="A74" s="19"/>
      <c r="B74" s="20"/>
      <c r="C74" s="21">
        <v>241006000005</v>
      </c>
      <c r="D74" s="22">
        <v>45578</v>
      </c>
      <c r="E74" s="22" t="s">
        <v>88</v>
      </c>
      <c r="F74" s="20" t="s">
        <v>118</v>
      </c>
      <c r="G74" s="20" t="s">
        <v>119</v>
      </c>
      <c r="H74" s="20">
        <v>6</v>
      </c>
      <c r="I74" s="43"/>
      <c r="J74" s="46">
        <v>100298.82</v>
      </c>
      <c r="K74" s="41"/>
      <c r="L74" s="47">
        <f t="shared" si="50"/>
        <v>2016.05668341709</v>
      </c>
      <c r="M74" s="48">
        <v>49.75</v>
      </c>
      <c r="N74" s="42">
        <v>7.11</v>
      </c>
      <c r="O74" s="43">
        <f t="shared" ref="O74:O78" si="51">SUM(M74*N74)</f>
        <v>353.7225</v>
      </c>
      <c r="P74" s="45"/>
      <c r="Q74" s="45"/>
      <c r="R74" s="69">
        <f t="shared" si="40"/>
        <v>241.055990119391</v>
      </c>
      <c r="S74" s="69"/>
      <c r="T74" s="70">
        <f t="shared" si="41"/>
        <v>0.426718814326884</v>
      </c>
      <c r="U74" s="69"/>
      <c r="V74" s="70">
        <v>63</v>
      </c>
      <c r="W74" s="71">
        <f t="shared" si="37"/>
        <v>304.482708933718</v>
      </c>
      <c r="X74" s="72">
        <f t="shared" si="42"/>
        <v>4.41846027171676</v>
      </c>
      <c r="Y74" s="72"/>
      <c r="Z74" s="72"/>
      <c r="AA74" s="72">
        <f t="shared" si="38"/>
        <v>4.41846027171676</v>
      </c>
      <c r="AB74" s="81">
        <v>7.11</v>
      </c>
      <c r="AC74" s="69">
        <f t="shared" si="34"/>
        <v>31.4152525319061</v>
      </c>
      <c r="AD74" s="69">
        <f t="shared" si="35"/>
        <v>335.897961465624</v>
      </c>
      <c r="AE74" s="69">
        <f t="shared" si="36"/>
        <v>17.8245385343764</v>
      </c>
    </row>
    <row r="75" customFormat="1" spans="1:31">
      <c r="A75" s="19"/>
      <c r="B75" s="20"/>
      <c r="C75" s="21">
        <v>241006000006</v>
      </c>
      <c r="D75" s="22">
        <v>45578</v>
      </c>
      <c r="E75" s="22" t="s">
        <v>88</v>
      </c>
      <c r="F75" s="20" t="s">
        <v>120</v>
      </c>
      <c r="G75" s="20" t="s">
        <v>121</v>
      </c>
      <c r="H75" s="20">
        <v>6.5</v>
      </c>
      <c r="I75" s="43"/>
      <c r="J75" s="46">
        <v>92900</v>
      </c>
      <c r="K75" s="41"/>
      <c r="L75" s="47">
        <f t="shared" si="50"/>
        <v>1726.12411742847</v>
      </c>
      <c r="M75" s="48">
        <v>53.82</v>
      </c>
      <c r="N75" s="42">
        <v>7.11</v>
      </c>
      <c r="O75" s="43">
        <f t="shared" si="51"/>
        <v>382.6602</v>
      </c>
      <c r="P75" s="45"/>
      <c r="Q75" s="45"/>
      <c r="R75" s="69">
        <f t="shared" si="40"/>
        <v>261.143989296007</v>
      </c>
      <c r="S75" s="69"/>
      <c r="T75" s="70">
        <f t="shared" si="41"/>
        <v>0.46227871552079</v>
      </c>
      <c r="U75" s="69"/>
      <c r="V75" s="69"/>
      <c r="W75" s="71">
        <f t="shared" si="37"/>
        <v>261.606268011527</v>
      </c>
      <c r="X75" s="72">
        <f t="shared" si="42"/>
        <v>4.78666529435982</v>
      </c>
      <c r="Y75" s="72"/>
      <c r="Z75" s="72"/>
      <c r="AA75" s="72">
        <f t="shared" si="38"/>
        <v>4.78666529435982</v>
      </c>
      <c r="AB75" s="81">
        <v>7.11</v>
      </c>
      <c r="AC75" s="69">
        <f t="shared" ref="AC75:AC101" si="52">SUM(AA75*AB75)</f>
        <v>34.0331902428983</v>
      </c>
      <c r="AD75" s="69">
        <f t="shared" ref="AD75:AD101" si="53">SUM(W75+AC75)</f>
        <v>295.639458254425</v>
      </c>
      <c r="AE75" s="69">
        <f t="shared" si="36"/>
        <v>87.0207417455746</v>
      </c>
    </row>
    <row r="76" customFormat="1" spans="1:31">
      <c r="A76" s="19"/>
      <c r="B76" s="20"/>
      <c r="C76" s="21">
        <v>241006000009</v>
      </c>
      <c r="D76" s="22">
        <v>45578</v>
      </c>
      <c r="E76" s="22" t="s">
        <v>47</v>
      </c>
      <c r="F76" s="20" t="s">
        <v>47</v>
      </c>
      <c r="G76" s="20" t="s">
        <v>122</v>
      </c>
      <c r="H76" s="20">
        <v>48</v>
      </c>
      <c r="I76" s="50">
        <v>3036</v>
      </c>
      <c r="J76" s="40"/>
      <c r="K76" s="41"/>
      <c r="L76" s="20"/>
      <c r="M76" s="41"/>
      <c r="N76" s="42"/>
      <c r="O76" s="43">
        <f>SUM(I76)</f>
        <v>3036</v>
      </c>
      <c r="P76" s="45"/>
      <c r="Q76" s="45"/>
      <c r="R76" s="69">
        <f t="shared" si="40"/>
        <v>1928.44792095513</v>
      </c>
      <c r="S76" s="69"/>
      <c r="T76" s="70">
        <f t="shared" si="41"/>
        <v>3.41375051461507</v>
      </c>
      <c r="U76" s="69"/>
      <c r="V76" s="69"/>
      <c r="W76" s="71">
        <f t="shared" si="37"/>
        <v>1931.86167146974</v>
      </c>
      <c r="X76" s="72">
        <f t="shared" si="42"/>
        <v>35.347682173734</v>
      </c>
      <c r="Y76" s="72"/>
      <c r="Z76" s="72"/>
      <c r="AA76" s="72">
        <f t="shared" si="38"/>
        <v>35.347682173734</v>
      </c>
      <c r="AB76" s="81">
        <v>7.11</v>
      </c>
      <c r="AC76" s="69">
        <f t="shared" si="52"/>
        <v>251.322020255249</v>
      </c>
      <c r="AD76" s="69">
        <f t="shared" si="53"/>
        <v>2183.18369172499</v>
      </c>
      <c r="AE76" s="69">
        <f t="shared" ref="AE76:AE100" si="54">SUM(O76-AD76)</f>
        <v>852.816308275011</v>
      </c>
    </row>
    <row r="77" customFormat="1" spans="1:31">
      <c r="A77" s="19"/>
      <c r="B77" s="20"/>
      <c r="C77" s="21">
        <v>241007000010</v>
      </c>
      <c r="D77" s="22">
        <v>45578</v>
      </c>
      <c r="E77" s="22" t="s">
        <v>41</v>
      </c>
      <c r="F77" s="20" t="s">
        <v>42</v>
      </c>
      <c r="G77" s="20" t="s">
        <v>105</v>
      </c>
      <c r="H77" s="20">
        <v>46</v>
      </c>
      <c r="I77" s="43"/>
      <c r="J77" s="46">
        <v>795110</v>
      </c>
      <c r="K77" s="41"/>
      <c r="L77" s="47">
        <f>SUM(J77/M77)</f>
        <v>1728.5</v>
      </c>
      <c r="M77" s="48">
        <v>460</v>
      </c>
      <c r="N77" s="42">
        <v>7.11</v>
      </c>
      <c r="O77" s="43">
        <f t="shared" si="51"/>
        <v>3270.6</v>
      </c>
      <c r="P77" s="45"/>
      <c r="Q77" s="45"/>
      <c r="R77" s="69">
        <f t="shared" si="40"/>
        <v>1848.09592424866</v>
      </c>
      <c r="S77" s="69"/>
      <c r="T77" s="70">
        <f t="shared" si="41"/>
        <v>3.27151090983944</v>
      </c>
      <c r="U77" s="69"/>
      <c r="V77" s="69"/>
      <c r="W77" s="71">
        <f t="shared" ref="W77:W100" si="55">SUM(R77:V77)</f>
        <v>1851.3674351585</v>
      </c>
      <c r="X77" s="72">
        <f t="shared" si="42"/>
        <v>33.8748620831618</v>
      </c>
      <c r="Y77" s="72"/>
      <c r="Z77" s="72"/>
      <c r="AA77" s="72">
        <f t="shared" ref="AA77:AA100" si="56">SUM(X77:Z77)</f>
        <v>33.8748620831618</v>
      </c>
      <c r="AB77" s="81">
        <v>7.11</v>
      </c>
      <c r="AC77" s="69">
        <f t="shared" si="52"/>
        <v>240.85026941128</v>
      </c>
      <c r="AD77" s="69">
        <f t="shared" si="53"/>
        <v>2092.21770456978</v>
      </c>
      <c r="AE77" s="69">
        <f t="shared" si="54"/>
        <v>1178.38229543022</v>
      </c>
    </row>
    <row r="78" customFormat="1" spans="1:31">
      <c r="A78" s="19"/>
      <c r="B78" s="20"/>
      <c r="C78" s="21">
        <v>241007000011</v>
      </c>
      <c r="D78" s="22">
        <v>45578</v>
      </c>
      <c r="E78" s="22" t="s">
        <v>41</v>
      </c>
      <c r="F78" s="20" t="s">
        <v>42</v>
      </c>
      <c r="G78" s="20" t="s">
        <v>105</v>
      </c>
      <c r="H78" s="20">
        <v>15</v>
      </c>
      <c r="I78" s="43"/>
      <c r="J78" s="46">
        <v>259275</v>
      </c>
      <c r="K78" s="41"/>
      <c r="L78" s="47">
        <f>SUM(J78/M78)</f>
        <v>1728.5</v>
      </c>
      <c r="M78" s="48">
        <v>150</v>
      </c>
      <c r="N78" s="42">
        <v>7.11</v>
      </c>
      <c r="O78" s="43">
        <f t="shared" si="51"/>
        <v>1066.5</v>
      </c>
      <c r="P78" s="45"/>
      <c r="Q78" s="45"/>
      <c r="R78" s="69">
        <f t="shared" si="40"/>
        <v>602.639975298477</v>
      </c>
      <c r="S78" s="69"/>
      <c r="T78" s="70">
        <f t="shared" si="41"/>
        <v>1.06679703581721</v>
      </c>
      <c r="U78" s="69"/>
      <c r="V78" s="69"/>
      <c r="W78" s="71">
        <f t="shared" si="55"/>
        <v>603.706772334294</v>
      </c>
      <c r="X78" s="72">
        <f t="shared" si="42"/>
        <v>11.0461506792919</v>
      </c>
      <c r="Y78" s="72"/>
      <c r="Z78" s="72"/>
      <c r="AA78" s="72">
        <f t="shared" si="56"/>
        <v>11.0461506792919</v>
      </c>
      <c r="AB78" s="81">
        <v>7.11</v>
      </c>
      <c r="AC78" s="69">
        <f t="shared" si="52"/>
        <v>78.5381313297654</v>
      </c>
      <c r="AD78" s="69">
        <f t="shared" si="53"/>
        <v>682.244903664059</v>
      </c>
      <c r="AE78" s="69">
        <f t="shared" si="54"/>
        <v>384.255096335941</v>
      </c>
    </row>
    <row r="79" customFormat="1" spans="1:31">
      <c r="A79" s="19"/>
      <c r="B79" s="20"/>
      <c r="C79" s="21">
        <v>241007000012</v>
      </c>
      <c r="D79" s="22">
        <v>45578</v>
      </c>
      <c r="E79" s="22" t="s">
        <v>55</v>
      </c>
      <c r="F79" s="20" t="s">
        <v>56</v>
      </c>
      <c r="G79" s="20" t="s">
        <v>112</v>
      </c>
      <c r="H79" s="20">
        <v>13</v>
      </c>
      <c r="I79" s="39">
        <v>747</v>
      </c>
      <c r="J79" s="40"/>
      <c r="K79" s="41"/>
      <c r="L79" s="20"/>
      <c r="M79" s="41"/>
      <c r="N79" s="42"/>
      <c r="O79" s="43">
        <f t="shared" ref="O79:O83" si="57">SUM(I79)</f>
        <v>747</v>
      </c>
      <c r="P79" s="45"/>
      <c r="Q79" s="45"/>
      <c r="R79" s="69">
        <f t="shared" ref="R79:R100" si="58">SUM(97587.5/2429)*H79</f>
        <v>522.287978592013</v>
      </c>
      <c r="S79" s="69"/>
      <c r="T79" s="70">
        <f t="shared" ref="T79:T100" si="59">SUM(172.75/2429)*H79</f>
        <v>0.924557431041581</v>
      </c>
      <c r="U79" s="69"/>
      <c r="V79" s="69"/>
      <c r="W79" s="71">
        <f t="shared" si="55"/>
        <v>523.212536023055</v>
      </c>
      <c r="X79" s="72">
        <f t="shared" ref="X79:X100" si="60">SUM(1788.74/2429)*H79</f>
        <v>9.57333058871964</v>
      </c>
      <c r="Y79" s="72"/>
      <c r="Z79" s="72"/>
      <c r="AA79" s="72">
        <f t="shared" si="56"/>
        <v>9.57333058871964</v>
      </c>
      <c r="AB79" s="81">
        <v>7.11</v>
      </c>
      <c r="AC79" s="69">
        <f t="shared" si="52"/>
        <v>68.0663804857966</v>
      </c>
      <c r="AD79" s="69">
        <f t="shared" si="53"/>
        <v>591.278916508852</v>
      </c>
      <c r="AE79" s="69">
        <f t="shared" si="54"/>
        <v>155.721083491148</v>
      </c>
    </row>
    <row r="80" customFormat="1" spans="1:31">
      <c r="A80" s="19"/>
      <c r="B80" s="20"/>
      <c r="C80" s="21">
        <v>241007000013</v>
      </c>
      <c r="D80" s="22">
        <v>45578</v>
      </c>
      <c r="E80" s="22" t="s">
        <v>55</v>
      </c>
      <c r="F80" s="20" t="s">
        <v>56</v>
      </c>
      <c r="G80" s="20" t="s">
        <v>123</v>
      </c>
      <c r="H80" s="20">
        <v>0.16</v>
      </c>
      <c r="I80" s="43"/>
      <c r="J80" s="40"/>
      <c r="K80" s="48">
        <v>9</v>
      </c>
      <c r="L80" s="20"/>
      <c r="M80" s="48">
        <v>9</v>
      </c>
      <c r="N80" s="42">
        <v>7.11</v>
      </c>
      <c r="O80" s="43">
        <f t="shared" ref="O80:O84" si="61">SUM(M80*N80)</f>
        <v>63.99</v>
      </c>
      <c r="P80" s="45"/>
      <c r="Q80" s="45"/>
      <c r="R80" s="69">
        <f t="shared" si="58"/>
        <v>6.42815973651709</v>
      </c>
      <c r="S80" s="69"/>
      <c r="T80" s="70">
        <f t="shared" si="59"/>
        <v>0.0113791683820502</v>
      </c>
      <c r="U80" s="69"/>
      <c r="V80" s="69"/>
      <c r="W80" s="71">
        <f t="shared" si="55"/>
        <v>6.43953890489914</v>
      </c>
      <c r="X80" s="72">
        <f t="shared" si="60"/>
        <v>0.11782560724578</v>
      </c>
      <c r="Y80" s="72"/>
      <c r="Z80" s="72"/>
      <c r="AA80" s="72">
        <f t="shared" si="56"/>
        <v>0.11782560724578</v>
      </c>
      <c r="AB80" s="81">
        <v>7.11</v>
      </c>
      <c r="AC80" s="69">
        <f t="shared" si="52"/>
        <v>0.837740067517496</v>
      </c>
      <c r="AD80" s="69">
        <f t="shared" si="53"/>
        <v>7.27727897241664</v>
      </c>
      <c r="AE80" s="69">
        <f t="shared" si="54"/>
        <v>56.7127210275834</v>
      </c>
    </row>
    <row r="81" customFormat="1" spans="1:31">
      <c r="A81" s="19"/>
      <c r="B81" s="20"/>
      <c r="C81" s="21">
        <v>241008000002</v>
      </c>
      <c r="D81" s="22">
        <v>45578</v>
      </c>
      <c r="E81" s="22" t="s">
        <v>66</v>
      </c>
      <c r="F81" s="20" t="s">
        <v>67</v>
      </c>
      <c r="G81" s="20" t="s">
        <v>124</v>
      </c>
      <c r="H81" s="20">
        <v>9</v>
      </c>
      <c r="I81" s="50"/>
      <c r="J81" s="46">
        <v>125646</v>
      </c>
      <c r="K81" s="41"/>
      <c r="L81" s="47">
        <f>SUM(J81/M81)</f>
        <v>1731.37660190161</v>
      </c>
      <c r="M81" s="48">
        <v>72.57</v>
      </c>
      <c r="N81" s="42">
        <v>7.11</v>
      </c>
      <c r="O81" s="43">
        <f t="shared" si="61"/>
        <v>515.9727</v>
      </c>
      <c r="P81" s="45"/>
      <c r="Q81" s="45"/>
      <c r="R81" s="69">
        <f t="shared" si="58"/>
        <v>361.583985179086</v>
      </c>
      <c r="S81" s="69"/>
      <c r="T81" s="70">
        <f t="shared" si="59"/>
        <v>0.640078221490325</v>
      </c>
      <c r="U81" s="69"/>
      <c r="V81" s="70">
        <v>39</v>
      </c>
      <c r="W81" s="71">
        <f t="shared" si="55"/>
        <v>401.224063400576</v>
      </c>
      <c r="X81" s="72">
        <f t="shared" si="60"/>
        <v>6.62769040757513</v>
      </c>
      <c r="Y81" s="72"/>
      <c r="Z81" s="72"/>
      <c r="AA81" s="72">
        <f t="shared" si="56"/>
        <v>6.62769040757513</v>
      </c>
      <c r="AB81" s="81">
        <v>7.11</v>
      </c>
      <c r="AC81" s="69">
        <f t="shared" si="52"/>
        <v>47.1228787978592</v>
      </c>
      <c r="AD81" s="69">
        <f t="shared" si="53"/>
        <v>448.346942198435</v>
      </c>
      <c r="AE81" s="69">
        <f t="shared" si="54"/>
        <v>67.6257578015649</v>
      </c>
    </row>
    <row r="82" customFormat="1" spans="1:31">
      <c r="A82" s="19"/>
      <c r="B82" s="20"/>
      <c r="C82" s="21">
        <v>241008000007</v>
      </c>
      <c r="D82" s="22">
        <v>45578</v>
      </c>
      <c r="E82" s="22" t="s">
        <v>66</v>
      </c>
      <c r="F82" s="20" t="s">
        <v>67</v>
      </c>
      <c r="G82" s="20" t="s">
        <v>125</v>
      </c>
      <c r="H82" s="20">
        <v>1.5</v>
      </c>
      <c r="I82" s="39">
        <v>102</v>
      </c>
      <c r="J82" s="40"/>
      <c r="K82" s="41"/>
      <c r="L82" s="20"/>
      <c r="M82" s="41"/>
      <c r="N82" s="42"/>
      <c r="O82" s="43">
        <f t="shared" si="57"/>
        <v>102</v>
      </c>
      <c r="P82" s="45"/>
      <c r="Q82" s="45"/>
      <c r="R82" s="69">
        <f t="shared" si="58"/>
        <v>60.2639975298477</v>
      </c>
      <c r="S82" s="69"/>
      <c r="T82" s="70">
        <f t="shared" si="59"/>
        <v>0.106679703581721</v>
      </c>
      <c r="U82" s="69"/>
      <c r="V82" s="69"/>
      <c r="W82" s="71">
        <f t="shared" si="55"/>
        <v>60.3706772334294</v>
      </c>
      <c r="X82" s="72">
        <f t="shared" si="60"/>
        <v>1.10461506792919</v>
      </c>
      <c r="Y82" s="72"/>
      <c r="Z82" s="72"/>
      <c r="AA82" s="72">
        <f t="shared" si="56"/>
        <v>1.10461506792919</v>
      </c>
      <c r="AB82" s="81">
        <v>7.11</v>
      </c>
      <c r="AC82" s="69">
        <f t="shared" si="52"/>
        <v>7.85381313297654</v>
      </c>
      <c r="AD82" s="69">
        <f t="shared" si="53"/>
        <v>68.2244903664059</v>
      </c>
      <c r="AE82" s="69">
        <f t="shared" si="54"/>
        <v>33.7755096335941</v>
      </c>
    </row>
    <row r="83" customFormat="1" spans="1:31">
      <c r="A83" s="19"/>
      <c r="B83" s="20"/>
      <c r="C83" s="21">
        <v>241008000008</v>
      </c>
      <c r="D83" s="22">
        <v>45578</v>
      </c>
      <c r="E83" s="22" t="s">
        <v>66</v>
      </c>
      <c r="F83" s="20" t="s">
        <v>67</v>
      </c>
      <c r="G83" s="20" t="s">
        <v>126</v>
      </c>
      <c r="H83" s="20">
        <v>5.5</v>
      </c>
      <c r="I83" s="39">
        <v>366</v>
      </c>
      <c r="J83" s="40"/>
      <c r="K83" s="41"/>
      <c r="L83" s="20"/>
      <c r="M83" s="41"/>
      <c r="N83" s="42"/>
      <c r="O83" s="43">
        <f t="shared" si="57"/>
        <v>366</v>
      </c>
      <c r="P83" s="45"/>
      <c r="Q83" s="45"/>
      <c r="R83" s="69">
        <f t="shared" si="58"/>
        <v>220.967990942775</v>
      </c>
      <c r="S83" s="69"/>
      <c r="T83" s="70">
        <f t="shared" si="59"/>
        <v>0.391158913132977</v>
      </c>
      <c r="U83" s="69"/>
      <c r="V83" s="69"/>
      <c r="W83" s="71">
        <f t="shared" si="55"/>
        <v>221.359149855908</v>
      </c>
      <c r="X83" s="72">
        <f t="shared" si="60"/>
        <v>4.05025524907369</v>
      </c>
      <c r="Y83" s="72"/>
      <c r="Z83" s="72"/>
      <c r="AA83" s="72">
        <f t="shared" si="56"/>
        <v>4.05025524907369</v>
      </c>
      <c r="AB83" s="81">
        <v>7.11</v>
      </c>
      <c r="AC83" s="69">
        <f t="shared" si="52"/>
        <v>28.7973148209139</v>
      </c>
      <c r="AD83" s="69">
        <f t="shared" si="53"/>
        <v>250.156464676822</v>
      </c>
      <c r="AE83" s="69">
        <f t="shared" si="54"/>
        <v>115.843535323178</v>
      </c>
    </row>
    <row r="84" customFormat="1" spans="1:31">
      <c r="A84" s="19"/>
      <c r="B84" s="20"/>
      <c r="C84" s="21">
        <v>241008000015</v>
      </c>
      <c r="D84" s="22">
        <v>45578</v>
      </c>
      <c r="E84" s="22" t="s">
        <v>66</v>
      </c>
      <c r="F84" s="20" t="s">
        <v>67</v>
      </c>
      <c r="G84" s="20" t="s">
        <v>127</v>
      </c>
      <c r="H84" s="20">
        <v>103</v>
      </c>
      <c r="I84" s="50"/>
      <c r="J84" s="46">
        <v>1431250</v>
      </c>
      <c r="K84" s="41"/>
      <c r="L84" s="47">
        <f>SUM(J84/M84)</f>
        <v>1628.19666909356</v>
      </c>
      <c r="M84" s="48">
        <v>879.04</v>
      </c>
      <c r="N84" s="42">
        <v>7.11</v>
      </c>
      <c r="O84" s="43">
        <f t="shared" si="61"/>
        <v>6249.9744</v>
      </c>
      <c r="P84" s="45"/>
      <c r="Q84" s="45"/>
      <c r="R84" s="69">
        <f t="shared" si="58"/>
        <v>4138.12783038287</v>
      </c>
      <c r="S84" s="69"/>
      <c r="T84" s="70">
        <f t="shared" si="59"/>
        <v>7.32533964594483</v>
      </c>
      <c r="U84" s="70">
        <v>70</v>
      </c>
      <c r="V84" s="69"/>
      <c r="W84" s="71">
        <f t="shared" si="55"/>
        <v>4215.45317002882</v>
      </c>
      <c r="X84" s="72">
        <f t="shared" si="60"/>
        <v>75.850234664471</v>
      </c>
      <c r="Y84" s="72"/>
      <c r="Z84" s="72"/>
      <c r="AA84" s="72">
        <f t="shared" si="56"/>
        <v>75.850234664471</v>
      </c>
      <c r="AB84" s="81">
        <v>7.11</v>
      </c>
      <c r="AC84" s="69">
        <f t="shared" si="52"/>
        <v>539.295168464389</v>
      </c>
      <c r="AD84" s="69">
        <f t="shared" si="53"/>
        <v>4754.74833849321</v>
      </c>
      <c r="AE84" s="69">
        <f t="shared" si="54"/>
        <v>1495.22606150679</v>
      </c>
    </row>
    <row r="85" customFormat="1" spans="1:31">
      <c r="A85" s="19"/>
      <c r="B85" s="20"/>
      <c r="C85" s="21">
        <v>241008000017</v>
      </c>
      <c r="D85" s="22">
        <v>45578</v>
      </c>
      <c r="E85" s="22" t="s">
        <v>66</v>
      </c>
      <c r="F85" s="20" t="s">
        <v>67</v>
      </c>
      <c r="G85" s="20" t="s">
        <v>128</v>
      </c>
      <c r="H85" s="20">
        <v>3</v>
      </c>
      <c r="I85" s="39">
        <v>201</v>
      </c>
      <c r="J85" s="40"/>
      <c r="K85" s="41"/>
      <c r="L85" s="20"/>
      <c r="M85" s="41"/>
      <c r="N85" s="42"/>
      <c r="O85" s="43">
        <f t="shared" ref="O85:O87" si="62">SUM(I85)</f>
        <v>201</v>
      </c>
      <c r="P85" s="45"/>
      <c r="Q85" s="45"/>
      <c r="R85" s="69">
        <f t="shared" si="58"/>
        <v>120.527995059695</v>
      </c>
      <c r="S85" s="69"/>
      <c r="T85" s="70">
        <f t="shared" si="59"/>
        <v>0.213359407163442</v>
      </c>
      <c r="U85" s="69"/>
      <c r="V85" s="69"/>
      <c r="W85" s="71">
        <f t="shared" si="55"/>
        <v>120.741354466859</v>
      </c>
      <c r="X85" s="72">
        <f t="shared" si="60"/>
        <v>2.20923013585838</v>
      </c>
      <c r="Y85" s="72"/>
      <c r="Z85" s="72"/>
      <c r="AA85" s="72">
        <f t="shared" si="56"/>
        <v>2.20923013585838</v>
      </c>
      <c r="AB85" s="81">
        <v>7.11</v>
      </c>
      <c r="AC85" s="69">
        <f t="shared" si="52"/>
        <v>15.7076262659531</v>
      </c>
      <c r="AD85" s="69">
        <f t="shared" si="53"/>
        <v>136.448980732812</v>
      </c>
      <c r="AE85" s="69">
        <f t="shared" si="54"/>
        <v>64.5510192671879</v>
      </c>
    </row>
    <row r="86" customFormat="1" spans="1:31">
      <c r="A86" s="19"/>
      <c r="B86" s="20"/>
      <c r="C86" s="21">
        <v>241008000022</v>
      </c>
      <c r="D86" s="22">
        <v>45578</v>
      </c>
      <c r="E86" s="22" t="s">
        <v>66</v>
      </c>
      <c r="F86" s="20" t="s">
        <v>67</v>
      </c>
      <c r="G86" s="20" t="s">
        <v>129</v>
      </c>
      <c r="H86" s="20">
        <v>2.5</v>
      </c>
      <c r="I86" s="39">
        <v>150</v>
      </c>
      <c r="J86" s="40"/>
      <c r="K86" s="41"/>
      <c r="L86" s="20"/>
      <c r="M86" s="41"/>
      <c r="N86" s="42"/>
      <c r="O86" s="43">
        <f t="shared" si="62"/>
        <v>150</v>
      </c>
      <c r="P86" s="45"/>
      <c r="Q86" s="45"/>
      <c r="R86" s="69">
        <f t="shared" si="58"/>
        <v>100.439995883079</v>
      </c>
      <c r="S86" s="69"/>
      <c r="T86" s="70">
        <f t="shared" si="59"/>
        <v>0.177799505969535</v>
      </c>
      <c r="U86" s="69"/>
      <c r="V86" s="69"/>
      <c r="W86" s="71">
        <f t="shared" si="55"/>
        <v>100.617795389049</v>
      </c>
      <c r="X86" s="72">
        <f t="shared" si="60"/>
        <v>1.84102511321532</v>
      </c>
      <c r="Y86" s="72"/>
      <c r="Z86" s="72"/>
      <c r="AA86" s="72">
        <f t="shared" si="56"/>
        <v>1.84102511321532</v>
      </c>
      <c r="AB86" s="81">
        <v>7.11</v>
      </c>
      <c r="AC86" s="69">
        <f t="shared" si="52"/>
        <v>13.0896885549609</v>
      </c>
      <c r="AD86" s="69">
        <f t="shared" si="53"/>
        <v>113.70748394401</v>
      </c>
      <c r="AE86" s="69">
        <f t="shared" si="54"/>
        <v>36.2925160559901</v>
      </c>
    </row>
    <row r="87" customFormat="1" spans="1:31">
      <c r="A87" s="19"/>
      <c r="B87" s="20"/>
      <c r="C87" s="21">
        <v>241008000023</v>
      </c>
      <c r="D87" s="22">
        <v>45578</v>
      </c>
      <c r="E87" s="22" t="s">
        <v>66</v>
      </c>
      <c r="F87" s="20" t="s">
        <v>67</v>
      </c>
      <c r="G87" s="20" t="s">
        <v>129</v>
      </c>
      <c r="H87" s="20">
        <v>0.36</v>
      </c>
      <c r="I87" s="39">
        <v>60</v>
      </c>
      <c r="J87" s="40"/>
      <c r="K87" s="41"/>
      <c r="L87" s="20"/>
      <c r="M87" s="41"/>
      <c r="N87" s="42"/>
      <c r="O87" s="43">
        <f t="shared" si="62"/>
        <v>60</v>
      </c>
      <c r="P87" s="45"/>
      <c r="Q87" s="45"/>
      <c r="R87" s="69">
        <f t="shared" si="58"/>
        <v>14.4633594071634</v>
      </c>
      <c r="S87" s="69"/>
      <c r="T87" s="70">
        <f t="shared" si="59"/>
        <v>0.025603128859613</v>
      </c>
      <c r="U87" s="69"/>
      <c r="V87" s="69"/>
      <c r="W87" s="71">
        <f t="shared" si="55"/>
        <v>14.4889625360231</v>
      </c>
      <c r="X87" s="72">
        <f t="shared" si="60"/>
        <v>0.265107616303005</v>
      </c>
      <c r="Y87" s="72"/>
      <c r="Z87" s="72"/>
      <c r="AA87" s="72">
        <f t="shared" si="56"/>
        <v>0.265107616303005</v>
      </c>
      <c r="AB87" s="81">
        <v>7.11</v>
      </c>
      <c r="AC87" s="69">
        <f t="shared" si="52"/>
        <v>1.88491515191437</v>
      </c>
      <c r="AD87" s="69">
        <f t="shared" si="53"/>
        <v>16.3738776879375</v>
      </c>
      <c r="AE87" s="69">
        <f t="shared" si="54"/>
        <v>43.6261223120625</v>
      </c>
    </row>
    <row r="88" customFormat="1" spans="1:31">
      <c r="A88" s="19"/>
      <c r="B88" s="20"/>
      <c r="C88" s="21">
        <v>241008000024</v>
      </c>
      <c r="D88" s="22">
        <v>45578</v>
      </c>
      <c r="E88" s="22" t="s">
        <v>66</v>
      </c>
      <c r="F88" s="20" t="s">
        <v>67</v>
      </c>
      <c r="G88" s="20" t="s">
        <v>130</v>
      </c>
      <c r="H88" s="20">
        <v>4.5</v>
      </c>
      <c r="I88" s="50"/>
      <c r="J88" s="46">
        <v>75573</v>
      </c>
      <c r="K88" s="41"/>
      <c r="L88" s="47">
        <f>SUM(J88/M88)</f>
        <v>1727.77777777778</v>
      </c>
      <c r="M88" s="48">
        <v>43.74</v>
      </c>
      <c r="N88" s="42">
        <v>7.11</v>
      </c>
      <c r="O88" s="43">
        <f>SUM(M88*N88)</f>
        <v>310.9914</v>
      </c>
      <c r="P88" s="45"/>
      <c r="Q88" s="45"/>
      <c r="R88" s="69">
        <f t="shared" si="58"/>
        <v>180.791992589543</v>
      </c>
      <c r="S88" s="69"/>
      <c r="T88" s="70">
        <f t="shared" si="59"/>
        <v>0.320039110745163</v>
      </c>
      <c r="U88" s="69"/>
      <c r="V88" s="70">
        <v>41</v>
      </c>
      <c r="W88" s="71">
        <f t="shared" si="55"/>
        <v>222.112031700288</v>
      </c>
      <c r="X88" s="72">
        <f t="shared" si="60"/>
        <v>3.31384520378757</v>
      </c>
      <c r="Y88" s="72"/>
      <c r="Z88" s="72"/>
      <c r="AA88" s="72">
        <f t="shared" si="56"/>
        <v>3.31384520378757</v>
      </c>
      <c r="AB88" s="81">
        <v>7.11</v>
      </c>
      <c r="AC88" s="69">
        <f t="shared" si="52"/>
        <v>23.5614393989296</v>
      </c>
      <c r="AD88" s="69">
        <f t="shared" si="53"/>
        <v>245.673471099218</v>
      </c>
      <c r="AE88" s="69">
        <f t="shared" si="54"/>
        <v>65.3179289007824</v>
      </c>
    </row>
    <row r="89" customFormat="1" spans="1:31">
      <c r="A89" s="19"/>
      <c r="B89" s="20"/>
      <c r="C89" s="82">
        <v>241008000026</v>
      </c>
      <c r="D89" s="83">
        <v>45578</v>
      </c>
      <c r="E89" s="22" t="s">
        <v>66</v>
      </c>
      <c r="F89" s="84" t="s">
        <v>67</v>
      </c>
      <c r="G89" s="84" t="s">
        <v>131</v>
      </c>
      <c r="H89" s="84">
        <v>0.84</v>
      </c>
      <c r="I89" s="88">
        <v>63</v>
      </c>
      <c r="J89" s="40"/>
      <c r="K89" s="41"/>
      <c r="L89" s="20"/>
      <c r="M89" s="41"/>
      <c r="N89" s="42"/>
      <c r="O89" s="43">
        <f t="shared" ref="O89:O95" si="63">SUM(I89)</f>
        <v>63</v>
      </c>
      <c r="P89" s="45"/>
      <c r="Q89" s="45"/>
      <c r="R89" s="69">
        <f t="shared" si="58"/>
        <v>33.7478386167147</v>
      </c>
      <c r="S89" s="69"/>
      <c r="T89" s="70">
        <f t="shared" si="59"/>
        <v>0.0597406340057637</v>
      </c>
      <c r="U89" s="69"/>
      <c r="V89" s="69"/>
      <c r="W89" s="71">
        <f t="shared" si="55"/>
        <v>33.8075792507205</v>
      </c>
      <c r="X89" s="72">
        <f t="shared" si="60"/>
        <v>0.618584438040346</v>
      </c>
      <c r="Y89" s="72"/>
      <c r="Z89" s="72"/>
      <c r="AA89" s="72">
        <f t="shared" si="56"/>
        <v>0.618584438040346</v>
      </c>
      <c r="AB89" s="81">
        <v>7.11</v>
      </c>
      <c r="AC89" s="69">
        <f t="shared" si="52"/>
        <v>4.39813535446686</v>
      </c>
      <c r="AD89" s="69">
        <f t="shared" si="53"/>
        <v>38.2057146051874</v>
      </c>
      <c r="AE89" s="69">
        <f t="shared" si="54"/>
        <v>24.7942853948126</v>
      </c>
    </row>
    <row r="90" customFormat="1" spans="1:31">
      <c r="A90" s="19"/>
      <c r="B90" s="20"/>
      <c r="C90" s="21">
        <v>241008000028</v>
      </c>
      <c r="D90" s="22">
        <v>45578</v>
      </c>
      <c r="E90" s="22" t="s">
        <v>66</v>
      </c>
      <c r="F90" s="20" t="s">
        <v>67</v>
      </c>
      <c r="G90" s="20" t="s">
        <v>132</v>
      </c>
      <c r="H90" s="20">
        <v>98</v>
      </c>
      <c r="I90" s="39">
        <v>6272</v>
      </c>
      <c r="J90" s="40"/>
      <c r="K90" s="41"/>
      <c r="L90" s="20"/>
      <c r="M90" s="41"/>
      <c r="N90" s="42"/>
      <c r="O90" s="43">
        <f t="shared" si="63"/>
        <v>6272</v>
      </c>
      <c r="P90" s="45"/>
      <c r="Q90" s="45"/>
      <c r="R90" s="69">
        <f t="shared" si="58"/>
        <v>3937.24783861671</v>
      </c>
      <c r="S90" s="69"/>
      <c r="T90" s="70">
        <f t="shared" si="59"/>
        <v>6.96974063400576</v>
      </c>
      <c r="U90" s="69"/>
      <c r="V90" s="69"/>
      <c r="W90" s="71">
        <f t="shared" si="55"/>
        <v>3944.21757925072</v>
      </c>
      <c r="X90" s="72">
        <f t="shared" si="60"/>
        <v>72.1681844380403</v>
      </c>
      <c r="Y90" s="72">
        <v>27.56</v>
      </c>
      <c r="Z90" s="72"/>
      <c r="AA90" s="72">
        <f t="shared" si="56"/>
        <v>99.7281844380403</v>
      </c>
      <c r="AB90" s="81">
        <v>7.11</v>
      </c>
      <c r="AC90" s="69">
        <f t="shared" si="52"/>
        <v>709.067391354467</v>
      </c>
      <c r="AD90" s="69">
        <f t="shared" si="53"/>
        <v>4653.28497060519</v>
      </c>
      <c r="AE90" s="69">
        <f t="shared" si="54"/>
        <v>1618.71502939481</v>
      </c>
    </row>
    <row r="91" customFormat="1" spans="1:31">
      <c r="A91" s="19"/>
      <c r="B91" s="20"/>
      <c r="C91" s="21">
        <v>241008000047</v>
      </c>
      <c r="D91" s="22">
        <v>45578</v>
      </c>
      <c r="E91" s="22" t="s">
        <v>37</v>
      </c>
      <c r="F91" s="20" t="s">
        <v>38</v>
      </c>
      <c r="G91" s="20" t="s">
        <v>101</v>
      </c>
      <c r="H91" s="20">
        <v>3.5</v>
      </c>
      <c r="I91" s="39">
        <v>213</v>
      </c>
      <c r="J91" s="40"/>
      <c r="K91" s="41"/>
      <c r="L91" s="20"/>
      <c r="M91" s="41"/>
      <c r="N91" s="42"/>
      <c r="O91" s="43">
        <f t="shared" si="63"/>
        <v>213</v>
      </c>
      <c r="P91" s="45"/>
      <c r="Q91" s="45"/>
      <c r="R91" s="69">
        <f t="shared" si="58"/>
        <v>140.615994236311</v>
      </c>
      <c r="S91" s="69"/>
      <c r="T91" s="70">
        <f t="shared" si="59"/>
        <v>0.248919308357349</v>
      </c>
      <c r="U91" s="69"/>
      <c r="V91" s="69"/>
      <c r="W91" s="71">
        <f t="shared" si="55"/>
        <v>140.864913544669</v>
      </c>
      <c r="X91" s="72">
        <f t="shared" si="60"/>
        <v>2.57743515850144</v>
      </c>
      <c r="Y91" s="72"/>
      <c r="Z91" s="72"/>
      <c r="AA91" s="72">
        <f t="shared" si="56"/>
        <v>2.57743515850144</v>
      </c>
      <c r="AB91" s="81">
        <v>7.11</v>
      </c>
      <c r="AC91" s="69">
        <f t="shared" si="52"/>
        <v>18.3255639769452</v>
      </c>
      <c r="AD91" s="69">
        <f t="shared" si="53"/>
        <v>159.190477521614</v>
      </c>
      <c r="AE91" s="69">
        <f t="shared" si="54"/>
        <v>53.8095224783858</v>
      </c>
    </row>
    <row r="92" customFormat="1" spans="1:31">
      <c r="A92" s="19"/>
      <c r="B92" s="20"/>
      <c r="C92" s="21">
        <v>241008000064</v>
      </c>
      <c r="D92" s="22">
        <v>45578</v>
      </c>
      <c r="E92" s="22" t="s">
        <v>37</v>
      </c>
      <c r="F92" s="20" t="s">
        <v>38</v>
      </c>
      <c r="G92" s="20" t="s">
        <v>133</v>
      </c>
      <c r="H92" s="20">
        <v>140.5</v>
      </c>
      <c r="I92" s="39">
        <v>8565</v>
      </c>
      <c r="J92" s="40"/>
      <c r="K92" s="41"/>
      <c r="L92" s="20"/>
      <c r="M92" s="41"/>
      <c r="N92" s="42"/>
      <c r="O92" s="43">
        <f t="shared" si="63"/>
        <v>8565</v>
      </c>
      <c r="P92" s="45"/>
      <c r="Q92" s="45"/>
      <c r="R92" s="69">
        <f t="shared" si="58"/>
        <v>5644.72776862907</v>
      </c>
      <c r="S92" s="69"/>
      <c r="T92" s="70">
        <f t="shared" si="59"/>
        <v>9.99233223548785</v>
      </c>
      <c r="U92" s="69"/>
      <c r="V92" s="69"/>
      <c r="W92" s="71">
        <f t="shared" si="55"/>
        <v>5654.72010086455</v>
      </c>
      <c r="X92" s="72">
        <f t="shared" si="60"/>
        <v>103.465611362701</v>
      </c>
      <c r="Y92" s="72">
        <v>18.98</v>
      </c>
      <c r="Z92" s="72"/>
      <c r="AA92" s="72">
        <f t="shared" si="56"/>
        <v>122.445611362701</v>
      </c>
      <c r="AB92" s="81">
        <v>7.11</v>
      </c>
      <c r="AC92" s="69">
        <f t="shared" si="52"/>
        <v>870.588296788804</v>
      </c>
      <c r="AD92" s="69">
        <f t="shared" si="53"/>
        <v>6525.30839765335</v>
      </c>
      <c r="AE92" s="69">
        <f t="shared" si="54"/>
        <v>2039.69160234665</v>
      </c>
    </row>
    <row r="93" customFormat="1" spans="1:31">
      <c r="A93" s="19"/>
      <c r="B93" s="20"/>
      <c r="C93" s="21">
        <v>241008000069</v>
      </c>
      <c r="D93" s="22">
        <v>45578</v>
      </c>
      <c r="E93" s="22" t="s">
        <v>66</v>
      </c>
      <c r="F93" s="20" t="s">
        <v>67</v>
      </c>
      <c r="G93" s="20" t="s">
        <v>134</v>
      </c>
      <c r="H93" s="20">
        <v>133</v>
      </c>
      <c r="I93" s="39">
        <v>7815</v>
      </c>
      <c r="J93" s="40"/>
      <c r="K93" s="41"/>
      <c r="L93" s="20"/>
      <c r="M93" s="41"/>
      <c r="N93" s="42"/>
      <c r="O93" s="43">
        <f t="shared" si="63"/>
        <v>7815</v>
      </c>
      <c r="P93" s="45"/>
      <c r="Q93" s="45"/>
      <c r="R93" s="69">
        <f t="shared" si="58"/>
        <v>5343.40778097983</v>
      </c>
      <c r="S93" s="69"/>
      <c r="T93" s="70">
        <f t="shared" si="59"/>
        <v>9.45893371757925</v>
      </c>
      <c r="U93" s="69"/>
      <c r="V93" s="69"/>
      <c r="W93" s="71">
        <f t="shared" si="55"/>
        <v>5352.86671469741</v>
      </c>
      <c r="X93" s="72">
        <f t="shared" si="60"/>
        <v>97.9425360230548</v>
      </c>
      <c r="Y93" s="72"/>
      <c r="Z93" s="72"/>
      <c r="AA93" s="72">
        <f t="shared" si="56"/>
        <v>97.9425360230548</v>
      </c>
      <c r="AB93" s="81">
        <v>7.11</v>
      </c>
      <c r="AC93" s="69">
        <f t="shared" si="52"/>
        <v>696.37143112392</v>
      </c>
      <c r="AD93" s="69">
        <f t="shared" si="53"/>
        <v>6049.23814582133</v>
      </c>
      <c r="AE93" s="69">
        <f t="shared" si="54"/>
        <v>1765.76185417867</v>
      </c>
    </row>
    <row r="94" customFormat="1" spans="1:31">
      <c r="A94" s="19"/>
      <c r="B94" s="20"/>
      <c r="C94" s="21">
        <v>241008000082</v>
      </c>
      <c r="D94" s="22">
        <v>45578</v>
      </c>
      <c r="E94" s="22" t="s">
        <v>135</v>
      </c>
      <c r="F94" s="20" t="s">
        <v>136</v>
      </c>
      <c r="G94" s="20" t="s">
        <v>137</v>
      </c>
      <c r="H94" s="20">
        <v>158</v>
      </c>
      <c r="I94" s="39">
        <v>7742</v>
      </c>
      <c r="J94" s="40"/>
      <c r="K94" s="41"/>
      <c r="L94" s="20"/>
      <c r="M94" s="41"/>
      <c r="N94" s="42"/>
      <c r="O94" s="43">
        <f t="shared" si="63"/>
        <v>7742</v>
      </c>
      <c r="P94" s="45"/>
      <c r="Q94" s="45"/>
      <c r="R94" s="69">
        <f t="shared" si="58"/>
        <v>6347.80773981062</v>
      </c>
      <c r="S94" s="69"/>
      <c r="T94" s="70">
        <f t="shared" si="59"/>
        <v>11.2369287772746</v>
      </c>
      <c r="U94" s="69"/>
      <c r="V94" s="69"/>
      <c r="W94" s="71">
        <f t="shared" si="55"/>
        <v>6359.0446685879</v>
      </c>
      <c r="X94" s="72">
        <f t="shared" si="60"/>
        <v>116.352787155208</v>
      </c>
      <c r="Y94" s="72"/>
      <c r="Z94" s="72"/>
      <c r="AA94" s="72">
        <f t="shared" si="56"/>
        <v>116.352787155208</v>
      </c>
      <c r="AB94" s="81">
        <v>7.11</v>
      </c>
      <c r="AC94" s="69">
        <f t="shared" si="52"/>
        <v>827.268316673529</v>
      </c>
      <c r="AD94" s="69">
        <f t="shared" si="53"/>
        <v>7186.31298526143</v>
      </c>
      <c r="AE94" s="69">
        <f t="shared" si="54"/>
        <v>555.687014738572</v>
      </c>
    </row>
    <row r="95" customFormat="1" spans="1:31">
      <c r="A95" s="19"/>
      <c r="B95" s="20"/>
      <c r="C95" s="21">
        <v>241008000085</v>
      </c>
      <c r="D95" s="22">
        <v>45578</v>
      </c>
      <c r="E95" s="22" t="s">
        <v>135</v>
      </c>
      <c r="F95" s="20" t="s">
        <v>136</v>
      </c>
      <c r="G95" s="20" t="s">
        <v>137</v>
      </c>
      <c r="H95" s="20">
        <v>31.5</v>
      </c>
      <c r="I95" s="39">
        <v>1740.5</v>
      </c>
      <c r="J95" s="40"/>
      <c r="K95" s="41"/>
      <c r="L95" s="20"/>
      <c r="M95" s="41"/>
      <c r="N95" s="42"/>
      <c r="O95" s="43">
        <f t="shared" si="63"/>
        <v>1740.5</v>
      </c>
      <c r="P95" s="45"/>
      <c r="Q95" s="45"/>
      <c r="R95" s="69">
        <f t="shared" si="58"/>
        <v>1265.5439481268</v>
      </c>
      <c r="S95" s="69"/>
      <c r="T95" s="70">
        <f t="shared" si="59"/>
        <v>2.24027377521614</v>
      </c>
      <c r="U95" s="69"/>
      <c r="V95" s="69"/>
      <c r="W95" s="71">
        <f t="shared" si="55"/>
        <v>1267.78422190202</v>
      </c>
      <c r="X95" s="72">
        <f t="shared" si="60"/>
        <v>23.196916426513</v>
      </c>
      <c r="Y95" s="72"/>
      <c r="Z95" s="72"/>
      <c r="AA95" s="72">
        <f t="shared" si="56"/>
        <v>23.196916426513</v>
      </c>
      <c r="AB95" s="81">
        <v>7.11</v>
      </c>
      <c r="AC95" s="69">
        <f t="shared" si="52"/>
        <v>164.930075792507</v>
      </c>
      <c r="AD95" s="69">
        <f t="shared" si="53"/>
        <v>1432.71429769453</v>
      </c>
      <c r="AE95" s="69">
        <f t="shared" si="54"/>
        <v>307.785702305473</v>
      </c>
    </row>
    <row r="96" customFormat="1" spans="1:31">
      <c r="A96" s="19"/>
      <c r="B96" s="20"/>
      <c r="C96" s="21">
        <v>241008000089</v>
      </c>
      <c r="D96" s="22">
        <v>45578</v>
      </c>
      <c r="E96" s="22" t="s">
        <v>66</v>
      </c>
      <c r="F96" s="20" t="s">
        <v>67</v>
      </c>
      <c r="G96" s="20" t="s">
        <v>138</v>
      </c>
      <c r="H96" s="20">
        <v>551</v>
      </c>
      <c r="I96" s="50"/>
      <c r="J96" s="46">
        <v>7401450</v>
      </c>
      <c r="K96" s="41"/>
      <c r="L96" s="47">
        <f>SUM(J96/M96)</f>
        <v>1741.95211040871</v>
      </c>
      <c r="M96" s="48">
        <v>4248.94</v>
      </c>
      <c r="N96" s="42">
        <v>7.11</v>
      </c>
      <c r="O96" s="43">
        <f>SUM(M96*N96)</f>
        <v>30209.9634</v>
      </c>
      <c r="P96" s="45"/>
      <c r="Q96" s="45"/>
      <c r="R96" s="69">
        <f t="shared" si="58"/>
        <v>22136.9750926307</v>
      </c>
      <c r="S96" s="69"/>
      <c r="T96" s="70">
        <f t="shared" si="59"/>
        <v>39.1870111156855</v>
      </c>
      <c r="U96" s="69"/>
      <c r="V96" s="69"/>
      <c r="W96" s="71">
        <f t="shared" si="55"/>
        <v>22176.1621037464</v>
      </c>
      <c r="X96" s="72">
        <f t="shared" si="60"/>
        <v>405.761934952655</v>
      </c>
      <c r="Y96" s="72"/>
      <c r="Z96" s="72"/>
      <c r="AA96" s="72">
        <f t="shared" si="56"/>
        <v>405.761934952655</v>
      </c>
      <c r="AB96" s="81">
        <v>7.11</v>
      </c>
      <c r="AC96" s="69">
        <f t="shared" si="52"/>
        <v>2884.96735751338</v>
      </c>
      <c r="AD96" s="69">
        <f t="shared" si="53"/>
        <v>25061.1294612598</v>
      </c>
      <c r="AE96" s="69">
        <f t="shared" si="54"/>
        <v>5148.83393874022</v>
      </c>
    </row>
    <row r="97" customFormat="1" spans="1:31">
      <c r="A97" s="19"/>
      <c r="B97" s="20"/>
      <c r="C97" s="21">
        <v>241008000099</v>
      </c>
      <c r="D97" s="22">
        <v>45578</v>
      </c>
      <c r="E97" s="22" t="s">
        <v>66</v>
      </c>
      <c r="F97" s="20" t="s">
        <v>67</v>
      </c>
      <c r="G97" s="20" t="s">
        <v>139</v>
      </c>
      <c r="H97" s="20">
        <v>33</v>
      </c>
      <c r="I97" s="39">
        <v>1683</v>
      </c>
      <c r="J97" s="40"/>
      <c r="K97" s="41"/>
      <c r="L97" s="20"/>
      <c r="M97" s="41"/>
      <c r="N97" s="42"/>
      <c r="O97" s="43">
        <f t="shared" ref="O97:O103" si="64">SUM(I97)</f>
        <v>1683</v>
      </c>
      <c r="P97" s="45"/>
      <c r="Q97" s="45"/>
      <c r="R97" s="69">
        <f t="shared" si="58"/>
        <v>1325.80794565665</v>
      </c>
      <c r="S97" s="69"/>
      <c r="T97" s="70">
        <f t="shared" si="59"/>
        <v>2.34695347879786</v>
      </c>
      <c r="U97" s="69"/>
      <c r="V97" s="69"/>
      <c r="W97" s="71">
        <f t="shared" si="55"/>
        <v>1328.15489913545</v>
      </c>
      <c r="X97" s="72">
        <f t="shared" si="60"/>
        <v>24.3015314944422</v>
      </c>
      <c r="Y97" s="72"/>
      <c r="Z97" s="72"/>
      <c r="AA97" s="72">
        <f t="shared" si="56"/>
        <v>24.3015314944422</v>
      </c>
      <c r="AB97" s="81">
        <v>7.11</v>
      </c>
      <c r="AC97" s="69">
        <f t="shared" si="52"/>
        <v>172.783888925484</v>
      </c>
      <c r="AD97" s="69">
        <f t="shared" si="53"/>
        <v>1500.93878806093</v>
      </c>
      <c r="AE97" s="69">
        <f t="shared" si="54"/>
        <v>182.061211939066</v>
      </c>
    </row>
    <row r="98" customFormat="1" spans="1:31">
      <c r="A98" s="19"/>
      <c r="B98" s="20"/>
      <c r="C98" s="21">
        <v>241008000102</v>
      </c>
      <c r="D98" s="22">
        <v>45578</v>
      </c>
      <c r="E98" s="22" t="s">
        <v>66</v>
      </c>
      <c r="F98" s="20" t="s">
        <v>67</v>
      </c>
      <c r="G98" s="20" t="s">
        <v>79</v>
      </c>
      <c r="H98" s="20">
        <v>91.5</v>
      </c>
      <c r="I98" s="39">
        <v>4895.25</v>
      </c>
      <c r="J98" s="40"/>
      <c r="K98" s="41"/>
      <c r="L98" s="20"/>
      <c r="M98" s="41"/>
      <c r="N98" s="42"/>
      <c r="O98" s="43">
        <f t="shared" si="64"/>
        <v>4895.25</v>
      </c>
      <c r="P98" s="45"/>
      <c r="Q98" s="45"/>
      <c r="R98" s="69">
        <f t="shared" si="58"/>
        <v>3676.10384932071</v>
      </c>
      <c r="S98" s="69"/>
      <c r="T98" s="70">
        <f t="shared" si="59"/>
        <v>6.50746191848497</v>
      </c>
      <c r="U98" s="69"/>
      <c r="V98" s="69"/>
      <c r="W98" s="71">
        <f t="shared" si="55"/>
        <v>3682.61131123919</v>
      </c>
      <c r="X98" s="72">
        <f t="shared" si="60"/>
        <v>67.3815191436805</v>
      </c>
      <c r="Y98" s="72"/>
      <c r="Z98" s="72"/>
      <c r="AA98" s="72">
        <f t="shared" si="56"/>
        <v>67.3815191436805</v>
      </c>
      <c r="AB98" s="81">
        <v>7.11</v>
      </c>
      <c r="AC98" s="69">
        <f t="shared" si="52"/>
        <v>479.082601111568</v>
      </c>
      <c r="AD98" s="69">
        <f t="shared" ref="AD98:AD129" si="65">SUM(W98+AC98)</f>
        <v>4161.69391235076</v>
      </c>
      <c r="AE98" s="69">
        <f t="shared" si="54"/>
        <v>733.556087649242</v>
      </c>
    </row>
    <row r="99" customFormat="1" spans="1:31">
      <c r="A99" s="19"/>
      <c r="B99" s="20"/>
      <c r="C99" s="21">
        <v>241008000105</v>
      </c>
      <c r="D99" s="22">
        <v>45578</v>
      </c>
      <c r="E99" s="22" t="s">
        <v>47</v>
      </c>
      <c r="F99" s="20" t="s">
        <v>47</v>
      </c>
      <c r="G99" s="20" t="s">
        <v>140</v>
      </c>
      <c r="H99" s="20">
        <v>59</v>
      </c>
      <c r="I99" s="39">
        <v>3071</v>
      </c>
      <c r="J99" s="40"/>
      <c r="K99" s="41"/>
      <c r="L99" s="20"/>
      <c r="M99" s="41"/>
      <c r="N99" s="42"/>
      <c r="O99" s="43">
        <f t="shared" si="64"/>
        <v>3071</v>
      </c>
      <c r="P99" s="45"/>
      <c r="Q99" s="45"/>
      <c r="R99" s="69">
        <f t="shared" si="58"/>
        <v>2370.38390284068</v>
      </c>
      <c r="S99" s="69"/>
      <c r="T99" s="70">
        <f t="shared" si="59"/>
        <v>4.19606834088102</v>
      </c>
      <c r="U99" s="69"/>
      <c r="V99" s="69"/>
      <c r="W99" s="71">
        <f t="shared" si="55"/>
        <v>2374.57997118156</v>
      </c>
      <c r="X99" s="72">
        <f t="shared" si="60"/>
        <v>43.4481926718814</v>
      </c>
      <c r="Y99" s="72"/>
      <c r="Z99" s="72"/>
      <c r="AA99" s="72">
        <f t="shared" si="56"/>
        <v>43.4481926718814</v>
      </c>
      <c r="AB99" s="81">
        <v>7.11</v>
      </c>
      <c r="AC99" s="69">
        <f t="shared" ref="AC99:AC130" si="66">SUM(AA99*AB99)</f>
        <v>308.916649897077</v>
      </c>
      <c r="AD99" s="69">
        <f t="shared" si="65"/>
        <v>2683.49662107864</v>
      </c>
      <c r="AE99" s="69">
        <f t="shared" si="54"/>
        <v>387.503378921363</v>
      </c>
    </row>
    <row r="100" customFormat="1" spans="1:31">
      <c r="A100" s="19"/>
      <c r="B100" s="20"/>
      <c r="C100" s="21">
        <v>241008000112</v>
      </c>
      <c r="D100" s="22">
        <v>45578</v>
      </c>
      <c r="E100" s="22" t="s">
        <v>66</v>
      </c>
      <c r="F100" s="20" t="s">
        <v>67</v>
      </c>
      <c r="G100" s="20" t="s">
        <v>141</v>
      </c>
      <c r="H100" s="20">
        <v>12</v>
      </c>
      <c r="I100" s="39">
        <v>600</v>
      </c>
      <c r="J100" s="40"/>
      <c r="K100" s="41"/>
      <c r="L100" s="20"/>
      <c r="M100" s="41"/>
      <c r="N100" s="42"/>
      <c r="O100" s="43">
        <f t="shared" si="64"/>
        <v>600</v>
      </c>
      <c r="P100" s="49"/>
      <c r="Q100" s="49"/>
      <c r="R100" s="69">
        <f t="shared" si="58"/>
        <v>482.111980238781</v>
      </c>
      <c r="S100" s="69"/>
      <c r="T100" s="70">
        <f t="shared" si="59"/>
        <v>0.853437628653767</v>
      </c>
      <c r="U100" s="69"/>
      <c r="V100" s="69"/>
      <c r="W100" s="71">
        <f t="shared" ref="W100:W131" si="67">SUM(R100:V100)</f>
        <v>482.965417867435</v>
      </c>
      <c r="X100" s="72">
        <f t="shared" si="60"/>
        <v>8.83692054343351</v>
      </c>
      <c r="Y100" s="72"/>
      <c r="Z100" s="72"/>
      <c r="AA100" s="72">
        <f t="shared" ref="AA100:AA131" si="68">SUM(X100:Z100)</f>
        <v>8.83692054343351</v>
      </c>
      <c r="AB100" s="81">
        <v>7.11</v>
      </c>
      <c r="AC100" s="69">
        <f t="shared" si="66"/>
        <v>62.8305050638123</v>
      </c>
      <c r="AD100" s="69">
        <f t="shared" si="65"/>
        <v>545.795922931247</v>
      </c>
      <c r="AE100" s="69">
        <f t="shared" ref="AE100:AE131" si="69">SUM(O100-AD100)</f>
        <v>54.204077068753</v>
      </c>
    </row>
    <row r="101" customFormat="1" spans="1:31">
      <c r="A101" s="19" t="s">
        <v>142</v>
      </c>
      <c r="B101" s="20" t="s">
        <v>143</v>
      </c>
      <c r="C101" s="21">
        <v>240925000004</v>
      </c>
      <c r="D101" s="22">
        <v>45580</v>
      </c>
      <c r="E101" s="22" t="s">
        <v>66</v>
      </c>
      <c r="F101" s="20" t="s">
        <v>67</v>
      </c>
      <c r="G101" s="20" t="s">
        <v>144</v>
      </c>
      <c r="H101" s="20">
        <v>6</v>
      </c>
      <c r="I101" s="39">
        <v>394</v>
      </c>
      <c r="J101" s="40"/>
      <c r="K101" s="41"/>
      <c r="L101" s="20"/>
      <c r="M101" s="41"/>
      <c r="N101" s="42"/>
      <c r="O101" s="43">
        <f t="shared" si="64"/>
        <v>394</v>
      </c>
      <c r="P101" s="44">
        <f>SUM(O101:O248)</f>
        <v>317318.17196445</v>
      </c>
      <c r="Q101" s="44" t="s">
        <v>95</v>
      </c>
      <c r="R101" s="69">
        <f>SUM(245654/4908)*H101</f>
        <v>300.310513447433</v>
      </c>
      <c r="S101" s="69">
        <f>SUM(37/4908)*H101</f>
        <v>0.0452322738386308</v>
      </c>
      <c r="T101" s="70">
        <f>SUM(364.2/4908)*H101</f>
        <v>0.445232273838631</v>
      </c>
      <c r="U101" s="69"/>
      <c r="V101" s="69"/>
      <c r="W101" s="71">
        <f t="shared" si="67"/>
        <v>300.80097799511</v>
      </c>
      <c r="X101" s="72">
        <f>SUM(3373.06/4908)*H101</f>
        <v>4.12354523227384</v>
      </c>
      <c r="Y101" s="72"/>
      <c r="Z101" s="72"/>
      <c r="AA101" s="72">
        <f t="shared" si="68"/>
        <v>4.12354523227384</v>
      </c>
      <c r="AB101" s="81">
        <v>7.11</v>
      </c>
      <c r="AC101" s="69">
        <f t="shared" si="66"/>
        <v>29.318406601467</v>
      </c>
      <c r="AD101" s="69">
        <f t="shared" si="65"/>
        <v>330.119384596577</v>
      </c>
      <c r="AE101" s="69">
        <f t="shared" si="69"/>
        <v>63.880615403423</v>
      </c>
    </row>
    <row r="102" customFormat="1" spans="1:31">
      <c r="A102" s="19"/>
      <c r="B102" s="20"/>
      <c r="C102" s="21">
        <v>240926000028</v>
      </c>
      <c r="D102" s="22">
        <v>45580</v>
      </c>
      <c r="E102" s="22" t="s">
        <v>41</v>
      </c>
      <c r="F102" s="20" t="s">
        <v>42</v>
      </c>
      <c r="G102" s="20" t="s">
        <v>145</v>
      </c>
      <c r="H102" s="20">
        <v>8</v>
      </c>
      <c r="I102" s="39">
        <v>508</v>
      </c>
      <c r="J102" s="40"/>
      <c r="K102" s="41"/>
      <c r="L102" s="20"/>
      <c r="M102" s="41"/>
      <c r="N102" s="42"/>
      <c r="O102" s="43">
        <f t="shared" si="64"/>
        <v>508</v>
      </c>
      <c r="P102" s="45"/>
      <c r="Q102" s="45"/>
      <c r="R102" s="69">
        <f t="shared" ref="R102:R133" si="70">SUM(245654/4908)*H102</f>
        <v>400.41401792991</v>
      </c>
      <c r="S102" s="69">
        <f t="shared" ref="S102:S133" si="71">SUM(37/4908)*H102</f>
        <v>0.0603096984515077</v>
      </c>
      <c r="T102" s="70">
        <f t="shared" ref="T102:T133" si="72">SUM(364.2/4908)*H102</f>
        <v>0.593643031784841</v>
      </c>
      <c r="U102" s="69"/>
      <c r="V102" s="69"/>
      <c r="W102" s="71">
        <f t="shared" si="67"/>
        <v>401.067970660147</v>
      </c>
      <c r="X102" s="72">
        <f t="shared" ref="X102:X133" si="73">SUM(3373.06/4908)*H102</f>
        <v>5.49806030969845</v>
      </c>
      <c r="Y102" s="72"/>
      <c r="Z102" s="72"/>
      <c r="AA102" s="72">
        <f t="shared" si="68"/>
        <v>5.49806030969845</v>
      </c>
      <c r="AB102" s="81">
        <v>7.11</v>
      </c>
      <c r="AC102" s="69">
        <f t="shared" si="66"/>
        <v>39.091208801956</v>
      </c>
      <c r="AD102" s="69">
        <f t="shared" si="65"/>
        <v>440.159179462103</v>
      </c>
      <c r="AE102" s="69">
        <f t="shared" si="69"/>
        <v>67.8408205378973</v>
      </c>
    </row>
    <row r="103" customFormat="1" spans="1:31">
      <c r="A103" s="19"/>
      <c r="B103" s="20"/>
      <c r="C103" s="21">
        <v>240926000033</v>
      </c>
      <c r="D103" s="22">
        <v>45580</v>
      </c>
      <c r="E103" s="22" t="s">
        <v>37</v>
      </c>
      <c r="F103" s="20" t="s">
        <v>38</v>
      </c>
      <c r="G103" s="20" t="s">
        <v>146</v>
      </c>
      <c r="H103" s="20">
        <v>4</v>
      </c>
      <c r="I103" s="39">
        <v>349.2</v>
      </c>
      <c r="J103" s="40"/>
      <c r="K103" s="41"/>
      <c r="L103" s="20"/>
      <c r="M103" s="41"/>
      <c r="N103" s="42"/>
      <c r="O103" s="43">
        <f t="shared" si="64"/>
        <v>349.2</v>
      </c>
      <c r="P103" s="45"/>
      <c r="Q103" s="45"/>
      <c r="R103" s="69">
        <f t="shared" si="70"/>
        <v>200.207008964955</v>
      </c>
      <c r="S103" s="69">
        <f t="shared" si="71"/>
        <v>0.0301548492257539</v>
      </c>
      <c r="T103" s="70">
        <f t="shared" si="72"/>
        <v>0.296821515892421</v>
      </c>
      <c r="U103" s="69"/>
      <c r="V103" s="70">
        <v>9</v>
      </c>
      <c r="W103" s="71">
        <f t="shared" si="67"/>
        <v>209.533985330073</v>
      </c>
      <c r="X103" s="72">
        <f t="shared" si="73"/>
        <v>2.74903015484923</v>
      </c>
      <c r="Y103" s="72"/>
      <c r="Z103" s="72"/>
      <c r="AA103" s="72">
        <f t="shared" si="68"/>
        <v>2.74903015484923</v>
      </c>
      <c r="AB103" s="81">
        <v>7.11</v>
      </c>
      <c r="AC103" s="69">
        <f t="shared" si="66"/>
        <v>19.545604400978</v>
      </c>
      <c r="AD103" s="69">
        <f t="shared" si="65"/>
        <v>229.079589731051</v>
      </c>
      <c r="AE103" s="69">
        <f t="shared" si="69"/>
        <v>120.120410268949</v>
      </c>
    </row>
    <row r="104" customFormat="1" spans="1:31">
      <c r="A104" s="19"/>
      <c r="B104" s="20"/>
      <c r="C104" s="21">
        <v>240927000011</v>
      </c>
      <c r="D104" s="22">
        <v>45580</v>
      </c>
      <c r="E104" s="22" t="s">
        <v>47</v>
      </c>
      <c r="F104" s="20" t="s">
        <v>47</v>
      </c>
      <c r="G104" s="20" t="s">
        <v>147</v>
      </c>
      <c r="H104" s="20">
        <v>20.5</v>
      </c>
      <c r="I104" s="43"/>
      <c r="J104" s="46">
        <v>349434</v>
      </c>
      <c r="K104" s="41"/>
      <c r="L104" s="47">
        <f>SUM(J104/M104)</f>
        <v>1891.79805596871</v>
      </c>
      <c r="M104" s="48">
        <v>184.70999</v>
      </c>
      <c r="N104" s="42">
        <v>7.11</v>
      </c>
      <c r="O104" s="43">
        <f>SUM(M104*N104)</f>
        <v>1313.2880289</v>
      </c>
      <c r="P104" s="45"/>
      <c r="Q104" s="45"/>
      <c r="R104" s="69">
        <f t="shared" si="70"/>
        <v>1026.0609209454</v>
      </c>
      <c r="S104" s="69">
        <f t="shared" si="71"/>
        <v>0.154543602281989</v>
      </c>
      <c r="T104" s="70">
        <f t="shared" si="72"/>
        <v>1.52121026894866</v>
      </c>
      <c r="U104" s="69"/>
      <c r="V104" s="69"/>
      <c r="W104" s="71">
        <f t="shared" si="67"/>
        <v>1027.73667481663</v>
      </c>
      <c r="X104" s="72">
        <f t="shared" si="73"/>
        <v>14.0887795436023</v>
      </c>
      <c r="Y104" s="72"/>
      <c r="Z104" s="72"/>
      <c r="AA104" s="72">
        <f t="shared" si="68"/>
        <v>14.0887795436023</v>
      </c>
      <c r="AB104" s="81">
        <v>7.11</v>
      </c>
      <c r="AC104" s="69">
        <f t="shared" si="66"/>
        <v>100.171222555012</v>
      </c>
      <c r="AD104" s="69">
        <f t="shared" si="65"/>
        <v>1127.90789737164</v>
      </c>
      <c r="AE104" s="69">
        <f t="shared" si="69"/>
        <v>185.380131528362</v>
      </c>
    </row>
    <row r="105" customFormat="1" spans="1:31">
      <c r="A105" s="19"/>
      <c r="B105" s="20"/>
      <c r="C105" s="21">
        <v>240927000023</v>
      </c>
      <c r="D105" s="22">
        <v>45580</v>
      </c>
      <c r="E105" s="22" t="s">
        <v>41</v>
      </c>
      <c r="F105" s="20" t="s">
        <v>42</v>
      </c>
      <c r="G105" s="20" t="s">
        <v>148</v>
      </c>
      <c r="H105" s="20">
        <v>11.5</v>
      </c>
      <c r="I105" s="39">
        <v>803</v>
      </c>
      <c r="J105" s="40"/>
      <c r="K105" s="41"/>
      <c r="L105" s="20"/>
      <c r="M105" s="41"/>
      <c r="N105" s="42"/>
      <c r="O105" s="43">
        <f t="shared" ref="O105:O109" si="74">SUM(I105)</f>
        <v>803</v>
      </c>
      <c r="P105" s="45"/>
      <c r="Q105" s="45"/>
      <c r="R105" s="69">
        <f t="shared" si="70"/>
        <v>575.595150774246</v>
      </c>
      <c r="S105" s="69">
        <f t="shared" si="71"/>
        <v>0.0866951915240424</v>
      </c>
      <c r="T105" s="70">
        <f t="shared" si="72"/>
        <v>0.853361858190709</v>
      </c>
      <c r="U105" s="69"/>
      <c r="V105" s="69"/>
      <c r="W105" s="71">
        <f t="shared" si="67"/>
        <v>576.535207823961</v>
      </c>
      <c r="X105" s="72">
        <f t="shared" si="73"/>
        <v>7.90346169519152</v>
      </c>
      <c r="Y105" s="72"/>
      <c r="Z105" s="72"/>
      <c r="AA105" s="72">
        <f t="shared" si="68"/>
        <v>7.90346169519152</v>
      </c>
      <c r="AB105" s="81">
        <v>7.11</v>
      </c>
      <c r="AC105" s="69">
        <f t="shared" si="66"/>
        <v>56.1936126528117</v>
      </c>
      <c r="AD105" s="69">
        <f t="shared" si="65"/>
        <v>632.728820476773</v>
      </c>
      <c r="AE105" s="69">
        <f t="shared" si="69"/>
        <v>170.271179523227</v>
      </c>
    </row>
    <row r="106" customFormat="1" spans="1:31">
      <c r="A106" s="19"/>
      <c r="B106" s="20"/>
      <c r="C106" s="21">
        <v>240927000047</v>
      </c>
      <c r="D106" s="22">
        <v>45580</v>
      </c>
      <c r="E106" s="22" t="s">
        <v>66</v>
      </c>
      <c r="F106" s="20" t="s">
        <v>67</v>
      </c>
      <c r="G106" s="20" t="s">
        <v>149</v>
      </c>
      <c r="H106" s="20">
        <v>9.5</v>
      </c>
      <c r="I106" s="50"/>
      <c r="J106" s="46">
        <v>186642.75</v>
      </c>
      <c r="K106" s="41"/>
      <c r="L106" s="47">
        <f>SUM(J106/M106)</f>
        <v>2328.37761976048</v>
      </c>
      <c r="M106" s="48">
        <v>80.16</v>
      </c>
      <c r="N106" s="42">
        <v>7.11</v>
      </c>
      <c r="O106" s="43">
        <f>SUM(M106*N106)</f>
        <v>569.9376</v>
      </c>
      <c r="P106" s="45"/>
      <c r="Q106" s="45"/>
      <c r="R106" s="69">
        <f t="shared" si="70"/>
        <v>475.491646291769</v>
      </c>
      <c r="S106" s="69">
        <f t="shared" si="71"/>
        <v>0.0716177669111654</v>
      </c>
      <c r="T106" s="70">
        <f t="shared" si="72"/>
        <v>0.704951100244499</v>
      </c>
      <c r="U106" s="69"/>
      <c r="V106" s="69"/>
      <c r="W106" s="71">
        <f t="shared" si="67"/>
        <v>476.268215158924</v>
      </c>
      <c r="X106" s="72">
        <f t="shared" si="73"/>
        <v>6.52894661776691</v>
      </c>
      <c r="Y106" s="72"/>
      <c r="Z106" s="72"/>
      <c r="AA106" s="72">
        <f t="shared" si="68"/>
        <v>6.52894661776691</v>
      </c>
      <c r="AB106" s="81">
        <v>7.11</v>
      </c>
      <c r="AC106" s="69">
        <f t="shared" si="66"/>
        <v>46.4208104523227</v>
      </c>
      <c r="AD106" s="69">
        <f t="shared" si="65"/>
        <v>522.689025611247</v>
      </c>
      <c r="AE106" s="69">
        <f t="shared" si="69"/>
        <v>47.248574388753</v>
      </c>
    </row>
    <row r="107" customFormat="1" spans="1:31">
      <c r="A107" s="19"/>
      <c r="B107" s="20"/>
      <c r="C107" s="21">
        <v>240927000048</v>
      </c>
      <c r="D107" s="22">
        <v>45580</v>
      </c>
      <c r="E107" s="22" t="s">
        <v>66</v>
      </c>
      <c r="F107" s="20" t="s">
        <v>67</v>
      </c>
      <c r="G107" s="20" t="s">
        <v>150</v>
      </c>
      <c r="H107" s="20">
        <v>8.5</v>
      </c>
      <c r="I107" s="39">
        <v>539.55</v>
      </c>
      <c r="J107" s="40"/>
      <c r="K107" s="41"/>
      <c r="L107" s="20"/>
      <c r="M107" s="41"/>
      <c r="N107" s="42"/>
      <c r="O107" s="43">
        <f t="shared" si="74"/>
        <v>539.55</v>
      </c>
      <c r="P107" s="45"/>
      <c r="Q107" s="45"/>
      <c r="R107" s="69">
        <f t="shared" si="70"/>
        <v>425.43989405053</v>
      </c>
      <c r="S107" s="69">
        <f t="shared" si="71"/>
        <v>0.064079054604727</v>
      </c>
      <c r="T107" s="70">
        <f t="shared" si="72"/>
        <v>0.630745721271394</v>
      </c>
      <c r="U107" s="69"/>
      <c r="V107" s="69"/>
      <c r="W107" s="71">
        <f t="shared" si="67"/>
        <v>426.134718826406</v>
      </c>
      <c r="X107" s="72">
        <f t="shared" si="73"/>
        <v>5.8416890790546</v>
      </c>
      <c r="Y107" s="72"/>
      <c r="Z107" s="72"/>
      <c r="AA107" s="72">
        <f t="shared" si="68"/>
        <v>5.8416890790546</v>
      </c>
      <c r="AB107" s="81">
        <v>7.11</v>
      </c>
      <c r="AC107" s="69">
        <f t="shared" si="66"/>
        <v>41.5344093520782</v>
      </c>
      <c r="AD107" s="69">
        <f t="shared" si="65"/>
        <v>467.669128178484</v>
      </c>
      <c r="AE107" s="69">
        <f t="shared" si="69"/>
        <v>71.8808718215158</v>
      </c>
    </row>
    <row r="108" customFormat="1" spans="1:31">
      <c r="A108" s="19"/>
      <c r="B108" s="20"/>
      <c r="C108" s="21">
        <v>240927000054</v>
      </c>
      <c r="D108" s="22">
        <v>45580</v>
      </c>
      <c r="E108" s="22" t="s">
        <v>66</v>
      </c>
      <c r="F108" s="20" t="s">
        <v>67</v>
      </c>
      <c r="G108" s="20" t="s">
        <v>151</v>
      </c>
      <c r="H108" s="20">
        <v>5.5</v>
      </c>
      <c r="I108" s="39">
        <v>385</v>
      </c>
      <c r="J108" s="40"/>
      <c r="K108" s="41"/>
      <c r="L108" s="20"/>
      <c r="M108" s="41"/>
      <c r="N108" s="42"/>
      <c r="O108" s="43">
        <f t="shared" si="74"/>
        <v>385</v>
      </c>
      <c r="P108" s="45"/>
      <c r="Q108" s="45"/>
      <c r="R108" s="69">
        <f t="shared" si="70"/>
        <v>275.284637326813</v>
      </c>
      <c r="S108" s="69">
        <f t="shared" si="71"/>
        <v>0.0414629176854116</v>
      </c>
      <c r="T108" s="70">
        <f t="shared" si="72"/>
        <v>0.408129584352078</v>
      </c>
      <c r="U108" s="69"/>
      <c r="V108" s="69"/>
      <c r="W108" s="71">
        <f t="shared" si="67"/>
        <v>275.734229828851</v>
      </c>
      <c r="X108" s="72">
        <f t="shared" si="73"/>
        <v>3.77991646291769</v>
      </c>
      <c r="Y108" s="72"/>
      <c r="Z108" s="72"/>
      <c r="AA108" s="72">
        <f t="shared" si="68"/>
        <v>3.77991646291769</v>
      </c>
      <c r="AB108" s="81">
        <v>7.11</v>
      </c>
      <c r="AC108" s="69">
        <f t="shared" si="66"/>
        <v>26.8752060513447</v>
      </c>
      <c r="AD108" s="69">
        <f t="shared" si="65"/>
        <v>302.609435880196</v>
      </c>
      <c r="AE108" s="69">
        <f t="shared" si="69"/>
        <v>82.3905641198044</v>
      </c>
    </row>
    <row r="109" customFormat="1" spans="1:31">
      <c r="A109" s="19"/>
      <c r="B109" s="20"/>
      <c r="C109" s="21">
        <v>240927000058</v>
      </c>
      <c r="D109" s="22">
        <v>45580</v>
      </c>
      <c r="E109" s="22" t="s">
        <v>55</v>
      </c>
      <c r="F109" s="20" t="s">
        <v>56</v>
      </c>
      <c r="G109" s="20" t="s">
        <v>152</v>
      </c>
      <c r="H109" s="20">
        <v>2</v>
      </c>
      <c r="I109" s="39">
        <v>135.3</v>
      </c>
      <c r="J109" s="40"/>
      <c r="K109" s="41"/>
      <c r="L109" s="20"/>
      <c r="M109" s="41"/>
      <c r="N109" s="42"/>
      <c r="O109" s="43">
        <f t="shared" si="74"/>
        <v>135.3</v>
      </c>
      <c r="P109" s="45"/>
      <c r="Q109" s="45"/>
      <c r="R109" s="69">
        <f t="shared" si="70"/>
        <v>100.103504482478</v>
      </c>
      <c r="S109" s="69">
        <f t="shared" si="71"/>
        <v>0.0150774246128769</v>
      </c>
      <c r="T109" s="70">
        <f t="shared" si="72"/>
        <v>0.14841075794621</v>
      </c>
      <c r="U109" s="69"/>
      <c r="V109" s="69"/>
      <c r="W109" s="71">
        <f t="shared" si="67"/>
        <v>100.266992665037</v>
      </c>
      <c r="X109" s="72">
        <f t="shared" si="73"/>
        <v>1.37451507742461</v>
      </c>
      <c r="Y109" s="72"/>
      <c r="Z109" s="72"/>
      <c r="AA109" s="72">
        <f t="shared" si="68"/>
        <v>1.37451507742461</v>
      </c>
      <c r="AB109" s="81">
        <v>7.11</v>
      </c>
      <c r="AC109" s="69">
        <f t="shared" si="66"/>
        <v>9.772802200489</v>
      </c>
      <c r="AD109" s="69">
        <f t="shared" si="65"/>
        <v>110.039794865526</v>
      </c>
      <c r="AE109" s="69">
        <f t="shared" si="69"/>
        <v>25.2602051344743</v>
      </c>
    </row>
    <row r="110" customFormat="1" spans="1:31">
      <c r="A110" s="19"/>
      <c r="B110" s="20"/>
      <c r="C110" s="21">
        <v>240927000061</v>
      </c>
      <c r="D110" s="22">
        <v>45580</v>
      </c>
      <c r="E110" s="22" t="s">
        <v>41</v>
      </c>
      <c r="F110" s="20" t="s">
        <v>42</v>
      </c>
      <c r="G110" s="20" t="s">
        <v>153</v>
      </c>
      <c r="H110" s="20">
        <v>3.5</v>
      </c>
      <c r="I110" s="43"/>
      <c r="J110" s="46">
        <v>54495.35</v>
      </c>
      <c r="K110" s="41"/>
      <c r="L110" s="47">
        <f t="shared" ref="L110:L114" si="75">SUM(J110/M110)</f>
        <v>1711</v>
      </c>
      <c r="M110" s="48">
        <v>31.85</v>
      </c>
      <c r="N110" s="42">
        <v>7.11</v>
      </c>
      <c r="O110" s="43">
        <f t="shared" ref="O110:O114" si="76">SUM(M110*N110)</f>
        <v>226.4535</v>
      </c>
      <c r="P110" s="45"/>
      <c r="Q110" s="45"/>
      <c r="R110" s="69">
        <f t="shared" si="70"/>
        <v>175.181132844336</v>
      </c>
      <c r="S110" s="69">
        <f t="shared" si="71"/>
        <v>0.0263854930725346</v>
      </c>
      <c r="T110" s="70">
        <f t="shared" si="72"/>
        <v>0.259718826405868</v>
      </c>
      <c r="U110" s="69"/>
      <c r="V110" s="69"/>
      <c r="W110" s="71">
        <f t="shared" si="67"/>
        <v>175.467237163814</v>
      </c>
      <c r="X110" s="72">
        <f t="shared" si="73"/>
        <v>2.40540138549307</v>
      </c>
      <c r="Y110" s="72"/>
      <c r="Z110" s="72"/>
      <c r="AA110" s="72">
        <f t="shared" si="68"/>
        <v>2.40540138549307</v>
      </c>
      <c r="AB110" s="81">
        <v>7.11</v>
      </c>
      <c r="AC110" s="69">
        <f t="shared" si="66"/>
        <v>17.1024038508557</v>
      </c>
      <c r="AD110" s="69">
        <f t="shared" si="65"/>
        <v>192.56964101467</v>
      </c>
      <c r="AE110" s="69">
        <f t="shared" si="69"/>
        <v>33.8838589853301</v>
      </c>
    </row>
    <row r="111" customFormat="1" spans="1:31">
      <c r="A111" s="19"/>
      <c r="B111" s="20"/>
      <c r="C111" s="21">
        <v>240928000003</v>
      </c>
      <c r="D111" s="22">
        <v>45580</v>
      </c>
      <c r="E111" s="22" t="s">
        <v>47</v>
      </c>
      <c r="F111" s="20" t="s">
        <v>51</v>
      </c>
      <c r="G111" s="20" t="s">
        <v>52</v>
      </c>
      <c r="H111" s="20">
        <v>9</v>
      </c>
      <c r="I111" s="39">
        <v>630.3</v>
      </c>
      <c r="J111" s="40"/>
      <c r="K111" s="41"/>
      <c r="L111" s="20"/>
      <c r="M111" s="41"/>
      <c r="N111" s="42"/>
      <c r="O111" s="43">
        <f t="shared" ref="O111:O116" si="77">SUM(I111)</f>
        <v>630.3</v>
      </c>
      <c r="P111" s="45"/>
      <c r="Q111" s="45"/>
      <c r="R111" s="69">
        <f t="shared" si="70"/>
        <v>450.465770171149</v>
      </c>
      <c r="S111" s="69">
        <f t="shared" si="71"/>
        <v>0.0678484107579462</v>
      </c>
      <c r="T111" s="70">
        <f t="shared" si="72"/>
        <v>0.667848410757946</v>
      </c>
      <c r="U111" s="69"/>
      <c r="V111" s="69"/>
      <c r="W111" s="71">
        <f t="shared" si="67"/>
        <v>451.201466992665</v>
      </c>
      <c r="X111" s="72">
        <f t="shared" si="73"/>
        <v>6.18531784841076</v>
      </c>
      <c r="Y111" s="72"/>
      <c r="Z111" s="72"/>
      <c r="AA111" s="72">
        <f t="shared" si="68"/>
        <v>6.18531784841076</v>
      </c>
      <c r="AB111" s="81">
        <v>7.11</v>
      </c>
      <c r="AC111" s="69">
        <f t="shared" si="66"/>
        <v>43.9776099022005</v>
      </c>
      <c r="AD111" s="69">
        <f t="shared" si="65"/>
        <v>495.179076894865</v>
      </c>
      <c r="AE111" s="69">
        <f t="shared" si="69"/>
        <v>135.120923105134</v>
      </c>
    </row>
    <row r="112" customFormat="1" spans="1:31">
      <c r="A112" s="19"/>
      <c r="B112" s="20"/>
      <c r="C112" s="21">
        <v>240928000006</v>
      </c>
      <c r="D112" s="22">
        <v>45580</v>
      </c>
      <c r="E112" s="22" t="s">
        <v>47</v>
      </c>
      <c r="F112" s="20" t="s">
        <v>47</v>
      </c>
      <c r="G112" s="20" t="s">
        <v>154</v>
      </c>
      <c r="H112" s="20">
        <v>10.5</v>
      </c>
      <c r="I112" s="43"/>
      <c r="J112" s="46">
        <v>179483</v>
      </c>
      <c r="K112" s="41"/>
      <c r="L112" s="47">
        <f t="shared" si="75"/>
        <v>1710.99142040038</v>
      </c>
      <c r="M112" s="48">
        <v>104.9</v>
      </c>
      <c r="N112" s="42">
        <v>7.11</v>
      </c>
      <c r="O112" s="43">
        <f t="shared" si="76"/>
        <v>745.839</v>
      </c>
      <c r="P112" s="45"/>
      <c r="Q112" s="45"/>
      <c r="R112" s="69">
        <f t="shared" si="70"/>
        <v>525.543398533007</v>
      </c>
      <c r="S112" s="69">
        <f t="shared" si="71"/>
        <v>0.0791564792176039</v>
      </c>
      <c r="T112" s="70">
        <f t="shared" si="72"/>
        <v>0.779156479217604</v>
      </c>
      <c r="U112" s="69"/>
      <c r="V112" s="69"/>
      <c r="W112" s="71">
        <f t="shared" si="67"/>
        <v>526.401711491443</v>
      </c>
      <c r="X112" s="72">
        <f t="shared" si="73"/>
        <v>7.21620415647922</v>
      </c>
      <c r="Y112" s="72"/>
      <c r="Z112" s="72"/>
      <c r="AA112" s="72">
        <f t="shared" si="68"/>
        <v>7.21620415647922</v>
      </c>
      <c r="AB112" s="81">
        <v>7.11</v>
      </c>
      <c r="AC112" s="69">
        <f t="shared" si="66"/>
        <v>51.3072115525672</v>
      </c>
      <c r="AD112" s="69">
        <f t="shared" si="65"/>
        <v>577.70892304401</v>
      </c>
      <c r="AE112" s="69">
        <f t="shared" si="69"/>
        <v>168.13007695599</v>
      </c>
    </row>
    <row r="113" customFormat="1" spans="1:31">
      <c r="A113" s="19"/>
      <c r="B113" s="20"/>
      <c r="C113" s="21">
        <v>240928000008</v>
      </c>
      <c r="D113" s="22">
        <v>45580</v>
      </c>
      <c r="E113" s="22" t="s">
        <v>76</v>
      </c>
      <c r="F113" s="20" t="s">
        <v>77</v>
      </c>
      <c r="G113" s="20" t="s">
        <v>155</v>
      </c>
      <c r="H113" s="20">
        <v>139.5</v>
      </c>
      <c r="I113" s="39">
        <v>8309</v>
      </c>
      <c r="J113" s="40"/>
      <c r="K113" s="41"/>
      <c r="L113" s="20"/>
      <c r="M113" s="41"/>
      <c r="N113" s="42"/>
      <c r="O113" s="43">
        <f t="shared" si="77"/>
        <v>8309</v>
      </c>
      <c r="P113" s="45"/>
      <c r="Q113" s="45"/>
      <c r="R113" s="69">
        <f t="shared" si="70"/>
        <v>6982.21943765281</v>
      </c>
      <c r="S113" s="69">
        <f t="shared" si="71"/>
        <v>1.05165036674817</v>
      </c>
      <c r="T113" s="70">
        <f t="shared" si="72"/>
        <v>10.3516503667482</v>
      </c>
      <c r="U113" s="69"/>
      <c r="V113" s="69"/>
      <c r="W113" s="71">
        <f t="shared" si="67"/>
        <v>6993.62273838631</v>
      </c>
      <c r="X113" s="72">
        <f t="shared" si="73"/>
        <v>95.8724266503667</v>
      </c>
      <c r="Y113" s="72"/>
      <c r="Z113" s="72"/>
      <c r="AA113" s="72">
        <f t="shared" si="68"/>
        <v>95.8724266503667</v>
      </c>
      <c r="AB113" s="81">
        <v>7.11</v>
      </c>
      <c r="AC113" s="69">
        <f t="shared" si="66"/>
        <v>681.652953484108</v>
      </c>
      <c r="AD113" s="69">
        <f t="shared" si="65"/>
        <v>7675.27569187042</v>
      </c>
      <c r="AE113" s="69">
        <f t="shared" si="69"/>
        <v>633.724308129584</v>
      </c>
    </row>
    <row r="114" customFormat="1" spans="1:31">
      <c r="A114" s="19"/>
      <c r="B114" s="20"/>
      <c r="C114" s="21">
        <v>240928000011</v>
      </c>
      <c r="D114" s="22">
        <v>45580</v>
      </c>
      <c r="E114" s="22" t="s">
        <v>37</v>
      </c>
      <c r="F114" s="20" t="s">
        <v>38</v>
      </c>
      <c r="G114" s="20" t="s">
        <v>109</v>
      </c>
      <c r="H114" s="20">
        <v>13</v>
      </c>
      <c r="I114" s="50"/>
      <c r="J114" s="46">
        <v>200083.5</v>
      </c>
      <c r="K114" s="41"/>
      <c r="L114" s="47">
        <f t="shared" si="75"/>
        <v>1731.42523364486</v>
      </c>
      <c r="M114" s="48">
        <v>115.56</v>
      </c>
      <c r="N114" s="42">
        <v>7.11</v>
      </c>
      <c r="O114" s="43">
        <f t="shared" si="76"/>
        <v>821.6316</v>
      </c>
      <c r="P114" s="45"/>
      <c r="Q114" s="45"/>
      <c r="R114" s="69">
        <f t="shared" si="70"/>
        <v>650.672779136104</v>
      </c>
      <c r="S114" s="69">
        <f t="shared" si="71"/>
        <v>0.0980032599837001</v>
      </c>
      <c r="T114" s="70">
        <f t="shared" si="72"/>
        <v>0.964669926650367</v>
      </c>
      <c r="U114" s="69"/>
      <c r="V114" s="69"/>
      <c r="W114" s="71">
        <f t="shared" si="67"/>
        <v>651.735452322738</v>
      </c>
      <c r="X114" s="72">
        <f t="shared" si="73"/>
        <v>8.93434800325998</v>
      </c>
      <c r="Y114" s="72"/>
      <c r="Z114" s="72"/>
      <c r="AA114" s="72">
        <f t="shared" si="68"/>
        <v>8.93434800325998</v>
      </c>
      <c r="AB114" s="81">
        <v>7.11</v>
      </c>
      <c r="AC114" s="69">
        <f t="shared" si="66"/>
        <v>63.5232143031785</v>
      </c>
      <c r="AD114" s="69">
        <f t="shared" si="65"/>
        <v>715.258666625917</v>
      </c>
      <c r="AE114" s="69">
        <f t="shared" si="69"/>
        <v>106.372933374083</v>
      </c>
    </row>
    <row r="115" customFormat="1" spans="1:31">
      <c r="A115" s="19"/>
      <c r="B115" s="20"/>
      <c r="C115" s="21">
        <v>240928000012</v>
      </c>
      <c r="D115" s="22">
        <v>45580</v>
      </c>
      <c r="E115" s="22" t="s">
        <v>41</v>
      </c>
      <c r="F115" s="20" t="s">
        <v>42</v>
      </c>
      <c r="G115" s="20" t="s">
        <v>156</v>
      </c>
      <c r="H115" s="20">
        <v>5</v>
      </c>
      <c r="I115" s="39">
        <v>324</v>
      </c>
      <c r="J115" s="40"/>
      <c r="K115" s="41"/>
      <c r="L115" s="20"/>
      <c r="M115" s="41"/>
      <c r="N115" s="42"/>
      <c r="O115" s="43">
        <f t="shared" si="77"/>
        <v>324</v>
      </c>
      <c r="P115" s="45"/>
      <c r="Q115" s="45"/>
      <c r="R115" s="69">
        <f t="shared" si="70"/>
        <v>250.258761206194</v>
      </c>
      <c r="S115" s="69">
        <f t="shared" si="71"/>
        <v>0.0376935615321923</v>
      </c>
      <c r="T115" s="70">
        <f t="shared" si="72"/>
        <v>0.371026894865526</v>
      </c>
      <c r="U115" s="69"/>
      <c r="V115" s="69"/>
      <c r="W115" s="71">
        <f t="shared" si="67"/>
        <v>250.667481662592</v>
      </c>
      <c r="X115" s="72">
        <f t="shared" si="73"/>
        <v>3.43628769356153</v>
      </c>
      <c r="Y115" s="72"/>
      <c r="Z115" s="72"/>
      <c r="AA115" s="72">
        <f t="shared" si="68"/>
        <v>3.43628769356153</v>
      </c>
      <c r="AB115" s="81">
        <v>7.11</v>
      </c>
      <c r="AC115" s="69">
        <f t="shared" si="66"/>
        <v>24.4320055012225</v>
      </c>
      <c r="AD115" s="69">
        <f t="shared" si="65"/>
        <v>275.099487163814</v>
      </c>
      <c r="AE115" s="69">
        <f t="shared" si="69"/>
        <v>48.9005128361858</v>
      </c>
    </row>
    <row r="116" customFormat="1" spans="1:31">
      <c r="A116" s="19"/>
      <c r="B116" s="20"/>
      <c r="C116" s="21">
        <v>240928000013</v>
      </c>
      <c r="D116" s="22">
        <v>45580</v>
      </c>
      <c r="E116" s="22" t="s">
        <v>41</v>
      </c>
      <c r="F116" s="20" t="s">
        <v>42</v>
      </c>
      <c r="G116" s="20" t="s">
        <v>157</v>
      </c>
      <c r="H116" s="20">
        <v>1.5</v>
      </c>
      <c r="I116" s="39">
        <v>130.5</v>
      </c>
      <c r="J116" s="40"/>
      <c r="K116" s="41"/>
      <c r="L116" s="20"/>
      <c r="M116" s="41"/>
      <c r="N116" s="42"/>
      <c r="O116" s="43">
        <f t="shared" si="77"/>
        <v>130.5</v>
      </c>
      <c r="P116" s="45"/>
      <c r="Q116" s="45"/>
      <c r="R116" s="69">
        <f t="shared" si="70"/>
        <v>75.0776283618582</v>
      </c>
      <c r="S116" s="69">
        <f t="shared" si="71"/>
        <v>0.0113080684596577</v>
      </c>
      <c r="T116" s="70">
        <f t="shared" si="72"/>
        <v>0.111308068459658</v>
      </c>
      <c r="U116" s="69"/>
      <c r="V116" s="69"/>
      <c r="W116" s="71">
        <f t="shared" si="67"/>
        <v>75.2002444987775</v>
      </c>
      <c r="X116" s="72">
        <f t="shared" si="73"/>
        <v>1.03088630806846</v>
      </c>
      <c r="Y116" s="72"/>
      <c r="Z116" s="72"/>
      <c r="AA116" s="72">
        <f t="shared" si="68"/>
        <v>1.03088630806846</v>
      </c>
      <c r="AB116" s="81">
        <v>7.11</v>
      </c>
      <c r="AC116" s="69">
        <f t="shared" si="66"/>
        <v>7.32960165036675</v>
      </c>
      <c r="AD116" s="69">
        <f t="shared" si="65"/>
        <v>82.5298461491443</v>
      </c>
      <c r="AE116" s="69">
        <f t="shared" si="69"/>
        <v>47.9701538508557</v>
      </c>
    </row>
    <row r="117" customFormat="1" spans="1:31">
      <c r="A117" s="19"/>
      <c r="B117" s="20"/>
      <c r="C117" s="21">
        <v>240928000021</v>
      </c>
      <c r="D117" s="22">
        <v>45580</v>
      </c>
      <c r="E117" s="22" t="s">
        <v>47</v>
      </c>
      <c r="F117" s="20" t="s">
        <v>47</v>
      </c>
      <c r="G117" s="20" t="s">
        <v>154</v>
      </c>
      <c r="H117" s="20">
        <v>24</v>
      </c>
      <c r="I117" s="43"/>
      <c r="J117" s="46">
        <v>390843</v>
      </c>
      <c r="K117" s="41"/>
      <c r="L117" s="47">
        <f>SUM(J117/M117)</f>
        <v>1710.99672937019</v>
      </c>
      <c r="M117" s="48">
        <v>228.43001</v>
      </c>
      <c r="N117" s="42">
        <v>7.11</v>
      </c>
      <c r="O117" s="43">
        <f t="shared" ref="O117:O119" si="78">SUM(M117*N117)</f>
        <v>1624.1373711</v>
      </c>
      <c r="P117" s="45"/>
      <c r="Q117" s="45"/>
      <c r="R117" s="69">
        <f t="shared" si="70"/>
        <v>1201.24205378973</v>
      </c>
      <c r="S117" s="69">
        <f t="shared" si="71"/>
        <v>0.180929095354523</v>
      </c>
      <c r="T117" s="70">
        <f t="shared" si="72"/>
        <v>1.78092909535452</v>
      </c>
      <c r="U117" s="69"/>
      <c r="V117" s="69"/>
      <c r="W117" s="71">
        <f t="shared" si="67"/>
        <v>1203.20391198044</v>
      </c>
      <c r="X117" s="72">
        <f t="shared" si="73"/>
        <v>16.4941809290954</v>
      </c>
      <c r="Y117" s="72"/>
      <c r="Z117" s="72"/>
      <c r="AA117" s="72">
        <f t="shared" si="68"/>
        <v>16.4941809290954</v>
      </c>
      <c r="AB117" s="81">
        <v>7.11</v>
      </c>
      <c r="AC117" s="69">
        <f t="shared" si="66"/>
        <v>117.273626405868</v>
      </c>
      <c r="AD117" s="69">
        <f t="shared" si="65"/>
        <v>1320.47753838631</v>
      </c>
      <c r="AE117" s="69">
        <f t="shared" si="69"/>
        <v>303.659832713692</v>
      </c>
    </row>
    <row r="118" customFormat="1" spans="1:31">
      <c r="A118" s="19"/>
      <c r="B118" s="20"/>
      <c r="C118" s="21">
        <v>240928000022</v>
      </c>
      <c r="D118" s="22">
        <v>45580</v>
      </c>
      <c r="E118" s="22" t="s">
        <v>37</v>
      </c>
      <c r="F118" s="20" t="s">
        <v>158</v>
      </c>
      <c r="G118" s="20" t="s">
        <v>158</v>
      </c>
      <c r="H118" s="20">
        <v>101</v>
      </c>
      <c r="I118" s="43"/>
      <c r="J118" s="46">
        <v>1917510</v>
      </c>
      <c r="K118" s="41"/>
      <c r="L118" s="20"/>
      <c r="M118" s="48">
        <v>1111.6</v>
      </c>
      <c r="N118" s="42">
        <v>7.11</v>
      </c>
      <c r="O118" s="43">
        <f t="shared" si="78"/>
        <v>7903.476</v>
      </c>
      <c r="P118" s="45"/>
      <c r="Q118" s="45"/>
      <c r="R118" s="69">
        <f t="shared" si="70"/>
        <v>5055.22697636512</v>
      </c>
      <c r="S118" s="69">
        <f t="shared" si="71"/>
        <v>0.761409942950285</v>
      </c>
      <c r="T118" s="70">
        <f t="shared" si="72"/>
        <v>7.49474327628362</v>
      </c>
      <c r="U118" s="69"/>
      <c r="V118" s="69"/>
      <c r="W118" s="71">
        <f t="shared" si="67"/>
        <v>5063.48312958435</v>
      </c>
      <c r="X118" s="72">
        <f t="shared" si="73"/>
        <v>69.413011409943</v>
      </c>
      <c r="Y118" s="72"/>
      <c r="Z118" s="72"/>
      <c r="AA118" s="72">
        <f t="shared" si="68"/>
        <v>69.413011409943</v>
      </c>
      <c r="AB118" s="81">
        <v>7.11</v>
      </c>
      <c r="AC118" s="69">
        <f t="shared" si="66"/>
        <v>493.526511124694</v>
      </c>
      <c r="AD118" s="69">
        <f t="shared" si="65"/>
        <v>5557.00964070905</v>
      </c>
      <c r="AE118" s="69">
        <f t="shared" si="69"/>
        <v>2346.46635929095</v>
      </c>
    </row>
    <row r="119" customFormat="1" spans="1:31">
      <c r="A119" s="19"/>
      <c r="B119" s="20"/>
      <c r="C119" s="21">
        <v>240929000013</v>
      </c>
      <c r="D119" s="22">
        <v>45580</v>
      </c>
      <c r="E119" s="22" t="s">
        <v>41</v>
      </c>
      <c r="F119" s="20" t="s">
        <v>42</v>
      </c>
      <c r="G119" s="20" t="s">
        <v>105</v>
      </c>
      <c r="H119" s="20">
        <v>13.5</v>
      </c>
      <c r="I119" s="43"/>
      <c r="J119" s="46">
        <v>232875</v>
      </c>
      <c r="K119" s="41"/>
      <c r="L119" s="20"/>
      <c r="M119" s="48">
        <v>135</v>
      </c>
      <c r="N119" s="42">
        <v>7.11</v>
      </c>
      <c r="O119" s="43">
        <f t="shared" si="78"/>
        <v>959.85</v>
      </c>
      <c r="P119" s="45"/>
      <c r="Q119" s="45"/>
      <c r="R119" s="69">
        <f t="shared" si="70"/>
        <v>675.698655256724</v>
      </c>
      <c r="S119" s="69">
        <f t="shared" si="71"/>
        <v>0.101772616136919</v>
      </c>
      <c r="T119" s="70">
        <f t="shared" si="72"/>
        <v>1.00177261613692</v>
      </c>
      <c r="U119" s="69"/>
      <c r="V119" s="69"/>
      <c r="W119" s="71">
        <f t="shared" si="67"/>
        <v>676.802200488998</v>
      </c>
      <c r="X119" s="72">
        <f t="shared" si="73"/>
        <v>9.27797677261614</v>
      </c>
      <c r="Y119" s="72"/>
      <c r="Z119" s="72"/>
      <c r="AA119" s="72">
        <f t="shared" si="68"/>
        <v>9.27797677261614</v>
      </c>
      <c r="AB119" s="81">
        <v>7.11</v>
      </c>
      <c r="AC119" s="69">
        <f t="shared" si="66"/>
        <v>65.9664148533007</v>
      </c>
      <c r="AD119" s="69">
        <f t="shared" si="65"/>
        <v>742.768615342298</v>
      </c>
      <c r="AE119" s="69">
        <f t="shared" si="69"/>
        <v>217.081384657702</v>
      </c>
    </row>
    <row r="120" customFormat="1" spans="1:31">
      <c r="A120" s="19"/>
      <c r="B120" s="20"/>
      <c r="C120" s="21">
        <v>240929000014</v>
      </c>
      <c r="D120" s="22">
        <v>45580</v>
      </c>
      <c r="E120" s="22" t="s">
        <v>66</v>
      </c>
      <c r="F120" s="20" t="s">
        <v>67</v>
      </c>
      <c r="G120" s="20" t="s">
        <v>159</v>
      </c>
      <c r="H120" s="20">
        <v>10.5</v>
      </c>
      <c r="I120" s="39">
        <v>816</v>
      </c>
      <c r="J120" s="40"/>
      <c r="K120" s="41"/>
      <c r="L120" s="20"/>
      <c r="M120" s="41"/>
      <c r="N120" s="42"/>
      <c r="O120" s="43">
        <f t="shared" ref="O120:O123" si="79">SUM(I120)</f>
        <v>816</v>
      </c>
      <c r="P120" s="45"/>
      <c r="Q120" s="45"/>
      <c r="R120" s="69">
        <f t="shared" si="70"/>
        <v>525.543398533007</v>
      </c>
      <c r="S120" s="69">
        <f t="shared" si="71"/>
        <v>0.0791564792176039</v>
      </c>
      <c r="T120" s="70">
        <f t="shared" si="72"/>
        <v>0.779156479217604</v>
      </c>
      <c r="U120" s="69"/>
      <c r="V120" s="69"/>
      <c r="W120" s="71">
        <f t="shared" si="67"/>
        <v>526.401711491443</v>
      </c>
      <c r="X120" s="72">
        <f t="shared" si="73"/>
        <v>7.21620415647922</v>
      </c>
      <c r="Y120" s="72"/>
      <c r="Z120" s="72"/>
      <c r="AA120" s="72">
        <f t="shared" si="68"/>
        <v>7.21620415647922</v>
      </c>
      <c r="AB120" s="81">
        <v>7.11</v>
      </c>
      <c r="AC120" s="69">
        <f t="shared" si="66"/>
        <v>51.3072115525672</v>
      </c>
      <c r="AD120" s="69">
        <f t="shared" si="65"/>
        <v>577.70892304401</v>
      </c>
      <c r="AE120" s="69">
        <f t="shared" si="69"/>
        <v>238.29107695599</v>
      </c>
    </row>
    <row r="121" customFormat="1" spans="1:31">
      <c r="A121" s="19"/>
      <c r="B121" s="20"/>
      <c r="C121" s="21">
        <v>240929000016</v>
      </c>
      <c r="D121" s="22">
        <v>45580</v>
      </c>
      <c r="E121" s="22" t="s">
        <v>66</v>
      </c>
      <c r="F121" s="20" t="s">
        <v>67</v>
      </c>
      <c r="G121" s="20" t="s">
        <v>160</v>
      </c>
      <c r="H121" s="20">
        <v>38.5</v>
      </c>
      <c r="I121" s="50"/>
      <c r="J121" s="46">
        <v>613112.5</v>
      </c>
      <c r="K121" s="41"/>
      <c r="L121" s="47">
        <f t="shared" ref="L121:L125" si="80">SUM(J121/M121)</f>
        <v>1741.99482895784</v>
      </c>
      <c r="M121" s="48">
        <v>351.96</v>
      </c>
      <c r="N121" s="42">
        <v>7.11</v>
      </c>
      <c r="O121" s="43">
        <f t="shared" ref="O121:O125" si="81">SUM(M121*N121)</f>
        <v>2502.4356</v>
      </c>
      <c r="P121" s="45"/>
      <c r="Q121" s="45"/>
      <c r="R121" s="69">
        <f t="shared" si="70"/>
        <v>1926.99246128769</v>
      </c>
      <c r="S121" s="69">
        <f t="shared" si="71"/>
        <v>0.290240423797881</v>
      </c>
      <c r="T121" s="70">
        <f t="shared" si="72"/>
        <v>2.85690709046455</v>
      </c>
      <c r="U121" s="69"/>
      <c r="V121" s="69"/>
      <c r="W121" s="71">
        <f t="shared" si="67"/>
        <v>1930.13960880196</v>
      </c>
      <c r="X121" s="72">
        <f t="shared" si="73"/>
        <v>26.4594152404238</v>
      </c>
      <c r="Y121" s="72"/>
      <c r="Z121" s="72"/>
      <c r="AA121" s="72">
        <f t="shared" si="68"/>
        <v>26.4594152404238</v>
      </c>
      <c r="AB121" s="81">
        <v>7.11</v>
      </c>
      <c r="AC121" s="69">
        <f t="shared" si="66"/>
        <v>188.126442359413</v>
      </c>
      <c r="AD121" s="69">
        <f t="shared" si="65"/>
        <v>2118.26605116137</v>
      </c>
      <c r="AE121" s="69">
        <f t="shared" si="69"/>
        <v>384.16954883863</v>
      </c>
    </row>
    <row r="122" customFormat="1" spans="1:31">
      <c r="A122" s="19"/>
      <c r="B122" s="20"/>
      <c r="C122" s="82">
        <v>240929000020</v>
      </c>
      <c r="D122" s="83">
        <v>45580</v>
      </c>
      <c r="E122" s="22" t="s">
        <v>37</v>
      </c>
      <c r="F122" s="84" t="s">
        <v>38</v>
      </c>
      <c r="G122" s="84" t="s">
        <v>161</v>
      </c>
      <c r="H122" s="84">
        <v>11</v>
      </c>
      <c r="I122" s="88">
        <v>696.3</v>
      </c>
      <c r="J122" s="40"/>
      <c r="K122" s="41"/>
      <c r="L122" s="20"/>
      <c r="M122" s="41"/>
      <c r="N122" s="42"/>
      <c r="O122" s="43">
        <f t="shared" si="79"/>
        <v>696.3</v>
      </c>
      <c r="P122" s="45"/>
      <c r="Q122" s="45"/>
      <c r="R122" s="69">
        <f t="shared" si="70"/>
        <v>550.569274653627</v>
      </c>
      <c r="S122" s="69">
        <f t="shared" si="71"/>
        <v>0.0829258353708232</v>
      </c>
      <c r="T122" s="70">
        <f t="shared" si="72"/>
        <v>0.816259168704156</v>
      </c>
      <c r="U122" s="69"/>
      <c r="V122" s="69"/>
      <c r="W122" s="71">
        <f t="shared" si="67"/>
        <v>551.468459657702</v>
      </c>
      <c r="X122" s="72">
        <f t="shared" si="73"/>
        <v>7.55983292583537</v>
      </c>
      <c r="Y122" s="72"/>
      <c r="Z122" s="72"/>
      <c r="AA122" s="72">
        <f t="shared" si="68"/>
        <v>7.55983292583537</v>
      </c>
      <c r="AB122" s="81">
        <v>7.11</v>
      </c>
      <c r="AC122" s="69">
        <f t="shared" si="66"/>
        <v>53.7504121026895</v>
      </c>
      <c r="AD122" s="69">
        <f t="shared" si="65"/>
        <v>605.218871760391</v>
      </c>
      <c r="AE122" s="69">
        <f t="shared" si="69"/>
        <v>91.0811282396088</v>
      </c>
    </row>
    <row r="123" customFormat="1" spans="1:31">
      <c r="A123" s="19"/>
      <c r="B123" s="20"/>
      <c r="C123" s="21">
        <v>240929000021</v>
      </c>
      <c r="D123" s="22">
        <v>45580</v>
      </c>
      <c r="E123" s="22" t="s">
        <v>37</v>
      </c>
      <c r="F123" s="20" t="s">
        <v>38</v>
      </c>
      <c r="G123" s="20" t="s">
        <v>162</v>
      </c>
      <c r="H123" s="20">
        <v>12.5</v>
      </c>
      <c r="I123" s="39">
        <v>872.85</v>
      </c>
      <c r="J123" s="40"/>
      <c r="K123" s="41"/>
      <c r="L123" s="20"/>
      <c r="M123" s="41"/>
      <c r="N123" s="42"/>
      <c r="O123" s="43">
        <f t="shared" si="79"/>
        <v>872.85</v>
      </c>
      <c r="P123" s="45"/>
      <c r="Q123" s="45"/>
      <c r="R123" s="69">
        <f t="shared" si="70"/>
        <v>625.646903015485</v>
      </c>
      <c r="S123" s="69">
        <f t="shared" si="71"/>
        <v>0.0942339038304808</v>
      </c>
      <c r="T123" s="70">
        <f t="shared" si="72"/>
        <v>0.927567237163814</v>
      </c>
      <c r="U123" s="69"/>
      <c r="V123" s="69"/>
      <c r="W123" s="71">
        <f t="shared" si="67"/>
        <v>626.668704156479</v>
      </c>
      <c r="X123" s="72">
        <f t="shared" si="73"/>
        <v>8.59071923390383</v>
      </c>
      <c r="Y123" s="72"/>
      <c r="Z123" s="72"/>
      <c r="AA123" s="72">
        <f t="shared" si="68"/>
        <v>8.59071923390383</v>
      </c>
      <c r="AB123" s="81">
        <v>7.11</v>
      </c>
      <c r="AC123" s="69">
        <f t="shared" si="66"/>
        <v>61.0800137530562</v>
      </c>
      <c r="AD123" s="69">
        <f t="shared" si="65"/>
        <v>687.748717909535</v>
      </c>
      <c r="AE123" s="69">
        <f t="shared" si="69"/>
        <v>185.101282090465</v>
      </c>
    </row>
    <row r="124" customFormat="1" spans="1:31">
      <c r="A124" s="19"/>
      <c r="B124" s="20"/>
      <c r="C124" s="21">
        <v>240929000023</v>
      </c>
      <c r="D124" s="22">
        <v>45580</v>
      </c>
      <c r="E124" s="22" t="s">
        <v>37</v>
      </c>
      <c r="F124" s="20" t="s">
        <v>38</v>
      </c>
      <c r="G124" s="20" t="s">
        <v>163</v>
      </c>
      <c r="H124" s="20">
        <v>8.5</v>
      </c>
      <c r="I124" s="50"/>
      <c r="J124" s="46">
        <v>131380.42</v>
      </c>
      <c r="K124" s="41"/>
      <c r="L124" s="47">
        <f t="shared" si="80"/>
        <v>1731.42356352135</v>
      </c>
      <c r="M124" s="48">
        <v>75.88</v>
      </c>
      <c r="N124" s="42">
        <v>7.11</v>
      </c>
      <c r="O124" s="43">
        <f t="shared" si="81"/>
        <v>539.5068</v>
      </c>
      <c r="P124" s="45"/>
      <c r="Q124" s="45"/>
      <c r="R124" s="69">
        <f t="shared" si="70"/>
        <v>425.43989405053</v>
      </c>
      <c r="S124" s="69">
        <f t="shared" si="71"/>
        <v>0.064079054604727</v>
      </c>
      <c r="T124" s="70">
        <f t="shared" si="72"/>
        <v>0.630745721271394</v>
      </c>
      <c r="U124" s="69"/>
      <c r="V124" s="69"/>
      <c r="W124" s="71">
        <f t="shared" si="67"/>
        <v>426.134718826406</v>
      </c>
      <c r="X124" s="72">
        <f t="shared" si="73"/>
        <v>5.8416890790546</v>
      </c>
      <c r="Y124" s="72"/>
      <c r="Z124" s="72"/>
      <c r="AA124" s="72">
        <f t="shared" si="68"/>
        <v>5.8416890790546</v>
      </c>
      <c r="AB124" s="81">
        <v>7.11</v>
      </c>
      <c r="AC124" s="69">
        <f t="shared" si="66"/>
        <v>41.5344093520782</v>
      </c>
      <c r="AD124" s="69">
        <f t="shared" si="65"/>
        <v>467.669128178484</v>
      </c>
      <c r="AE124" s="69">
        <f t="shared" si="69"/>
        <v>71.8376718215159</v>
      </c>
    </row>
    <row r="125" customFormat="1" spans="1:31">
      <c r="A125" s="19"/>
      <c r="B125" s="20"/>
      <c r="C125" s="21">
        <v>240929000029</v>
      </c>
      <c r="D125" s="22">
        <v>45580</v>
      </c>
      <c r="E125" s="22" t="s">
        <v>41</v>
      </c>
      <c r="F125" s="20" t="s">
        <v>42</v>
      </c>
      <c r="G125" s="20" t="s">
        <v>62</v>
      </c>
      <c r="H125" s="20">
        <v>3.5</v>
      </c>
      <c r="I125" s="50"/>
      <c r="J125" s="46">
        <v>56862</v>
      </c>
      <c r="K125" s="41"/>
      <c r="L125" s="47">
        <f t="shared" si="80"/>
        <v>1725.70561456753</v>
      </c>
      <c r="M125" s="48">
        <v>32.95</v>
      </c>
      <c r="N125" s="42">
        <v>7.11</v>
      </c>
      <c r="O125" s="43">
        <f t="shared" si="81"/>
        <v>234.2745</v>
      </c>
      <c r="P125" s="45"/>
      <c r="Q125" s="45"/>
      <c r="R125" s="69">
        <f t="shared" si="70"/>
        <v>175.181132844336</v>
      </c>
      <c r="S125" s="69">
        <f t="shared" si="71"/>
        <v>0.0263854930725346</v>
      </c>
      <c r="T125" s="70">
        <f t="shared" si="72"/>
        <v>0.259718826405868</v>
      </c>
      <c r="U125" s="69"/>
      <c r="V125" s="69"/>
      <c r="W125" s="71">
        <f t="shared" si="67"/>
        <v>175.467237163814</v>
      </c>
      <c r="X125" s="72">
        <f t="shared" si="73"/>
        <v>2.40540138549307</v>
      </c>
      <c r="Y125" s="72"/>
      <c r="Z125" s="72"/>
      <c r="AA125" s="72">
        <f t="shared" si="68"/>
        <v>2.40540138549307</v>
      </c>
      <c r="AB125" s="81">
        <v>7.11</v>
      </c>
      <c r="AC125" s="69">
        <f t="shared" si="66"/>
        <v>17.1024038508557</v>
      </c>
      <c r="AD125" s="69">
        <f t="shared" si="65"/>
        <v>192.56964101467</v>
      </c>
      <c r="AE125" s="69">
        <f t="shared" si="69"/>
        <v>41.70485898533</v>
      </c>
    </row>
    <row r="126" customFormat="1" spans="1:31">
      <c r="A126" s="19"/>
      <c r="B126" s="20"/>
      <c r="C126" s="21">
        <v>240929000032</v>
      </c>
      <c r="D126" s="22">
        <v>45580</v>
      </c>
      <c r="E126" s="22" t="s">
        <v>66</v>
      </c>
      <c r="F126" s="20" t="s">
        <v>67</v>
      </c>
      <c r="G126" s="20" t="s">
        <v>164</v>
      </c>
      <c r="H126" s="20">
        <v>3</v>
      </c>
      <c r="I126" s="39">
        <v>221.1</v>
      </c>
      <c r="J126" s="40"/>
      <c r="K126" s="41"/>
      <c r="L126" s="20"/>
      <c r="M126" s="41"/>
      <c r="N126" s="42"/>
      <c r="O126" s="43">
        <f t="shared" ref="O126:O133" si="82">SUM(I126)</f>
        <v>221.1</v>
      </c>
      <c r="P126" s="45"/>
      <c r="Q126" s="45"/>
      <c r="R126" s="69">
        <f t="shared" si="70"/>
        <v>150.155256723716</v>
      </c>
      <c r="S126" s="69">
        <f t="shared" si="71"/>
        <v>0.0226161369193154</v>
      </c>
      <c r="T126" s="70">
        <f t="shared" si="72"/>
        <v>0.222616136919315</v>
      </c>
      <c r="U126" s="69"/>
      <c r="V126" s="69"/>
      <c r="W126" s="71">
        <f t="shared" si="67"/>
        <v>150.400488997555</v>
      </c>
      <c r="X126" s="72">
        <f t="shared" si="73"/>
        <v>2.06177261613692</v>
      </c>
      <c r="Y126" s="72"/>
      <c r="Z126" s="72"/>
      <c r="AA126" s="72">
        <f t="shared" si="68"/>
        <v>2.06177261613692</v>
      </c>
      <c r="AB126" s="81">
        <v>7.11</v>
      </c>
      <c r="AC126" s="69">
        <f t="shared" si="66"/>
        <v>14.6592033007335</v>
      </c>
      <c r="AD126" s="69">
        <f t="shared" si="65"/>
        <v>165.059692298289</v>
      </c>
      <c r="AE126" s="69">
        <f t="shared" si="69"/>
        <v>56.0403077017115</v>
      </c>
    </row>
    <row r="127" customFormat="1" spans="1:31">
      <c r="A127" s="19"/>
      <c r="B127" s="20"/>
      <c r="C127" s="21">
        <v>240929000033</v>
      </c>
      <c r="D127" s="22">
        <v>45580</v>
      </c>
      <c r="E127" s="22" t="s">
        <v>55</v>
      </c>
      <c r="F127" s="20" t="s">
        <v>56</v>
      </c>
      <c r="G127" s="20" t="s">
        <v>165</v>
      </c>
      <c r="H127" s="20">
        <v>7</v>
      </c>
      <c r="I127" s="39">
        <v>447</v>
      </c>
      <c r="J127" s="40"/>
      <c r="K127" s="41"/>
      <c r="L127" s="20"/>
      <c r="M127" s="41"/>
      <c r="N127" s="42"/>
      <c r="O127" s="43">
        <f t="shared" si="82"/>
        <v>447</v>
      </c>
      <c r="P127" s="45"/>
      <c r="Q127" s="45"/>
      <c r="R127" s="69">
        <f t="shared" si="70"/>
        <v>350.362265688672</v>
      </c>
      <c r="S127" s="69">
        <f t="shared" si="71"/>
        <v>0.0527709861450693</v>
      </c>
      <c r="T127" s="70">
        <f t="shared" si="72"/>
        <v>0.519437652811736</v>
      </c>
      <c r="U127" s="69"/>
      <c r="V127" s="69"/>
      <c r="W127" s="71">
        <f t="shared" si="67"/>
        <v>350.934474327628</v>
      </c>
      <c r="X127" s="72">
        <f t="shared" si="73"/>
        <v>4.81080277098614</v>
      </c>
      <c r="Y127" s="72"/>
      <c r="Z127" s="72"/>
      <c r="AA127" s="72">
        <f t="shared" si="68"/>
        <v>4.81080277098614</v>
      </c>
      <c r="AB127" s="81">
        <v>7.11</v>
      </c>
      <c r="AC127" s="69">
        <f t="shared" si="66"/>
        <v>34.2048077017115</v>
      </c>
      <c r="AD127" s="69">
        <f t="shared" si="65"/>
        <v>385.13928202934</v>
      </c>
      <c r="AE127" s="69">
        <f t="shared" si="69"/>
        <v>61.8607179706601</v>
      </c>
    </row>
    <row r="128" customFormat="1" spans="1:31">
      <c r="A128" s="19"/>
      <c r="B128" s="20"/>
      <c r="C128" s="21">
        <v>240929000038</v>
      </c>
      <c r="D128" s="22">
        <v>45580</v>
      </c>
      <c r="E128" s="22" t="s">
        <v>37</v>
      </c>
      <c r="F128" s="20" t="s">
        <v>38</v>
      </c>
      <c r="G128" s="20" t="s">
        <v>166</v>
      </c>
      <c r="H128" s="20">
        <v>1</v>
      </c>
      <c r="I128" s="39">
        <v>69.3</v>
      </c>
      <c r="J128" s="40"/>
      <c r="K128" s="41"/>
      <c r="L128" s="20"/>
      <c r="M128" s="41"/>
      <c r="N128" s="42"/>
      <c r="O128" s="43">
        <f t="shared" si="82"/>
        <v>69.3</v>
      </c>
      <c r="P128" s="45"/>
      <c r="Q128" s="45"/>
      <c r="R128" s="69">
        <f t="shared" si="70"/>
        <v>50.0517522412388</v>
      </c>
      <c r="S128" s="69">
        <f t="shared" si="71"/>
        <v>0.00753871230643847</v>
      </c>
      <c r="T128" s="70">
        <f t="shared" si="72"/>
        <v>0.0742053789731051</v>
      </c>
      <c r="U128" s="69"/>
      <c r="V128" s="69"/>
      <c r="W128" s="71">
        <f t="shared" si="67"/>
        <v>50.1334963325183</v>
      </c>
      <c r="X128" s="72">
        <f t="shared" si="73"/>
        <v>0.687257538712306</v>
      </c>
      <c r="Y128" s="72"/>
      <c r="Z128" s="72"/>
      <c r="AA128" s="72">
        <f t="shared" si="68"/>
        <v>0.687257538712306</v>
      </c>
      <c r="AB128" s="81">
        <v>7.11</v>
      </c>
      <c r="AC128" s="69">
        <f t="shared" si="66"/>
        <v>4.8864011002445</v>
      </c>
      <c r="AD128" s="69">
        <f t="shared" si="65"/>
        <v>55.0198974327628</v>
      </c>
      <c r="AE128" s="69">
        <f t="shared" si="69"/>
        <v>14.2801025672372</v>
      </c>
    </row>
    <row r="129" customFormat="1" spans="1:31">
      <c r="A129" s="19"/>
      <c r="B129" s="20"/>
      <c r="C129" s="21">
        <v>240929000039</v>
      </c>
      <c r="D129" s="22">
        <v>45580</v>
      </c>
      <c r="E129" s="22" t="s">
        <v>66</v>
      </c>
      <c r="F129" s="20" t="s">
        <v>67</v>
      </c>
      <c r="G129" s="20" t="s">
        <v>167</v>
      </c>
      <c r="H129" s="20">
        <v>2.5</v>
      </c>
      <c r="I129" s="39">
        <v>184.8</v>
      </c>
      <c r="J129" s="40"/>
      <c r="K129" s="41"/>
      <c r="L129" s="20"/>
      <c r="M129" s="41"/>
      <c r="N129" s="42"/>
      <c r="O129" s="43">
        <f t="shared" si="82"/>
        <v>184.8</v>
      </c>
      <c r="P129" s="45"/>
      <c r="Q129" s="45"/>
      <c r="R129" s="69">
        <f t="shared" si="70"/>
        <v>125.129380603097</v>
      </c>
      <c r="S129" s="69">
        <f t="shared" si="71"/>
        <v>0.0188467807660962</v>
      </c>
      <c r="T129" s="70">
        <f t="shared" si="72"/>
        <v>0.185513447432763</v>
      </c>
      <c r="U129" s="69"/>
      <c r="V129" s="69"/>
      <c r="W129" s="71">
        <f t="shared" si="67"/>
        <v>125.333740831296</v>
      </c>
      <c r="X129" s="72">
        <f t="shared" si="73"/>
        <v>1.71814384678077</v>
      </c>
      <c r="Y129" s="72"/>
      <c r="Z129" s="72"/>
      <c r="AA129" s="72">
        <f t="shared" si="68"/>
        <v>1.71814384678077</v>
      </c>
      <c r="AB129" s="81">
        <v>7.11</v>
      </c>
      <c r="AC129" s="69">
        <f t="shared" si="66"/>
        <v>12.2160027506112</v>
      </c>
      <c r="AD129" s="69">
        <f t="shared" si="65"/>
        <v>137.549743581907</v>
      </c>
      <c r="AE129" s="69">
        <f t="shared" si="69"/>
        <v>47.2502564180929</v>
      </c>
    </row>
    <row r="130" customFormat="1" spans="1:31">
      <c r="A130" s="19"/>
      <c r="B130" s="20"/>
      <c r="C130" s="21">
        <v>240929000040</v>
      </c>
      <c r="D130" s="22">
        <v>45580</v>
      </c>
      <c r="E130" s="22" t="s">
        <v>66</v>
      </c>
      <c r="F130" s="20" t="s">
        <v>67</v>
      </c>
      <c r="G130" s="20" t="s">
        <v>168</v>
      </c>
      <c r="H130" s="20">
        <v>1.5</v>
      </c>
      <c r="I130" s="50"/>
      <c r="J130" s="46">
        <v>37373</v>
      </c>
      <c r="K130" s="41"/>
      <c r="L130" s="47">
        <f>SUM(J130/M130)</f>
        <v>1628.45315904139</v>
      </c>
      <c r="M130" s="48">
        <v>22.95</v>
      </c>
      <c r="N130" s="42">
        <v>7.11</v>
      </c>
      <c r="O130" s="43">
        <f>SUM(M130*N130)</f>
        <v>163.1745</v>
      </c>
      <c r="P130" s="45"/>
      <c r="Q130" s="45"/>
      <c r="R130" s="69">
        <f t="shared" si="70"/>
        <v>75.0776283618582</v>
      </c>
      <c r="S130" s="69">
        <f t="shared" si="71"/>
        <v>0.0113080684596577</v>
      </c>
      <c r="T130" s="70">
        <f t="shared" si="72"/>
        <v>0.111308068459658</v>
      </c>
      <c r="U130" s="69"/>
      <c r="V130" s="69"/>
      <c r="W130" s="71">
        <f t="shared" si="67"/>
        <v>75.2002444987775</v>
      </c>
      <c r="X130" s="72">
        <f t="shared" si="73"/>
        <v>1.03088630806846</v>
      </c>
      <c r="Y130" s="72"/>
      <c r="Z130" s="72"/>
      <c r="AA130" s="72">
        <f t="shared" si="68"/>
        <v>1.03088630806846</v>
      </c>
      <c r="AB130" s="81">
        <v>7.11</v>
      </c>
      <c r="AC130" s="69">
        <f t="shared" si="66"/>
        <v>7.32960165036675</v>
      </c>
      <c r="AD130" s="69">
        <f t="shared" ref="AD130:AD161" si="83">SUM(W130+AC130)</f>
        <v>82.5298461491443</v>
      </c>
      <c r="AE130" s="69">
        <f t="shared" si="69"/>
        <v>80.6446538508557</v>
      </c>
    </row>
    <row r="131" customFormat="1" spans="1:31">
      <c r="A131" s="19"/>
      <c r="B131" s="20"/>
      <c r="C131" s="21">
        <v>240929000043</v>
      </c>
      <c r="D131" s="22">
        <v>45580</v>
      </c>
      <c r="E131" s="22" t="s">
        <v>66</v>
      </c>
      <c r="F131" s="20" t="s">
        <v>67</v>
      </c>
      <c r="G131" s="20" t="s">
        <v>169</v>
      </c>
      <c r="H131" s="20">
        <v>17</v>
      </c>
      <c r="I131" s="39">
        <v>1156</v>
      </c>
      <c r="J131" s="40"/>
      <c r="K131" s="41"/>
      <c r="L131" s="20"/>
      <c r="M131" s="41"/>
      <c r="N131" s="42"/>
      <c r="O131" s="43">
        <f t="shared" si="82"/>
        <v>1156</v>
      </c>
      <c r="P131" s="45"/>
      <c r="Q131" s="45"/>
      <c r="R131" s="69">
        <f t="shared" si="70"/>
        <v>850.879788101059</v>
      </c>
      <c r="S131" s="69">
        <f t="shared" si="71"/>
        <v>0.128158109209454</v>
      </c>
      <c r="T131" s="70">
        <f t="shared" si="72"/>
        <v>1.26149144254279</v>
      </c>
      <c r="U131" s="69"/>
      <c r="V131" s="69"/>
      <c r="W131" s="71">
        <f t="shared" si="67"/>
        <v>852.269437652812</v>
      </c>
      <c r="X131" s="72">
        <f t="shared" si="73"/>
        <v>11.6833781581092</v>
      </c>
      <c r="Y131" s="72"/>
      <c r="Z131" s="72"/>
      <c r="AA131" s="72">
        <f t="shared" si="68"/>
        <v>11.6833781581092</v>
      </c>
      <c r="AB131" s="81">
        <v>7.11</v>
      </c>
      <c r="AC131" s="69">
        <f t="shared" ref="AC131:AC162" si="84">SUM(AA131*AB131)</f>
        <v>83.0688187041565</v>
      </c>
      <c r="AD131" s="69">
        <f t="shared" si="83"/>
        <v>935.338256356968</v>
      </c>
      <c r="AE131" s="69">
        <f t="shared" si="69"/>
        <v>220.661743643032</v>
      </c>
    </row>
    <row r="132" customFormat="1" spans="1:31">
      <c r="A132" s="19"/>
      <c r="B132" s="20"/>
      <c r="C132" s="21">
        <v>240929000047</v>
      </c>
      <c r="D132" s="22">
        <v>45580</v>
      </c>
      <c r="E132" s="22" t="s">
        <v>66</v>
      </c>
      <c r="F132" s="20" t="s">
        <v>67</v>
      </c>
      <c r="G132" s="20" t="s">
        <v>170</v>
      </c>
      <c r="H132" s="20">
        <v>0.28</v>
      </c>
      <c r="I132" s="39">
        <v>68</v>
      </c>
      <c r="J132" s="40"/>
      <c r="K132" s="41"/>
      <c r="L132" s="20"/>
      <c r="M132" s="41"/>
      <c r="N132" s="42"/>
      <c r="O132" s="43">
        <f t="shared" si="82"/>
        <v>68</v>
      </c>
      <c r="P132" s="45"/>
      <c r="Q132" s="45"/>
      <c r="R132" s="69">
        <f t="shared" si="70"/>
        <v>14.0144906275469</v>
      </c>
      <c r="S132" s="69">
        <f t="shared" si="71"/>
        <v>0.00211083944580277</v>
      </c>
      <c r="T132" s="70">
        <f t="shared" si="72"/>
        <v>0.0207775061124694</v>
      </c>
      <c r="U132" s="69"/>
      <c r="V132" s="69"/>
      <c r="W132" s="71">
        <f t="shared" ref="W132:W163" si="85">SUM(R132:V132)</f>
        <v>14.0373789731051</v>
      </c>
      <c r="X132" s="72">
        <f t="shared" si="73"/>
        <v>0.192432110839446</v>
      </c>
      <c r="Y132" s="72"/>
      <c r="Z132" s="72"/>
      <c r="AA132" s="72">
        <f t="shared" ref="AA132:AA163" si="86">SUM(X132:Z132)</f>
        <v>0.192432110839446</v>
      </c>
      <c r="AB132" s="81">
        <v>7.11</v>
      </c>
      <c r="AC132" s="69">
        <f t="shared" si="84"/>
        <v>1.36819230806846</v>
      </c>
      <c r="AD132" s="69">
        <f t="shared" si="83"/>
        <v>15.4055712811736</v>
      </c>
      <c r="AE132" s="69">
        <f t="shared" ref="AE132:AE163" si="87">SUM(O132-AD132)</f>
        <v>52.5944287188264</v>
      </c>
    </row>
    <row r="133" customFormat="1" spans="1:31">
      <c r="A133" s="19"/>
      <c r="B133" s="20"/>
      <c r="C133" s="21">
        <v>240929000050</v>
      </c>
      <c r="D133" s="22">
        <v>45580</v>
      </c>
      <c r="E133" s="22" t="s">
        <v>37</v>
      </c>
      <c r="F133" s="20" t="s">
        <v>38</v>
      </c>
      <c r="G133" s="20" t="s">
        <v>171</v>
      </c>
      <c r="H133" s="20">
        <v>3</v>
      </c>
      <c r="I133" s="39">
        <v>201.3</v>
      </c>
      <c r="J133" s="40"/>
      <c r="K133" s="41"/>
      <c r="L133" s="20"/>
      <c r="M133" s="41"/>
      <c r="N133" s="42"/>
      <c r="O133" s="43">
        <f t="shared" si="82"/>
        <v>201.3</v>
      </c>
      <c r="P133" s="45"/>
      <c r="Q133" s="45"/>
      <c r="R133" s="69">
        <f t="shared" si="70"/>
        <v>150.155256723716</v>
      </c>
      <c r="S133" s="69">
        <f t="shared" si="71"/>
        <v>0.0226161369193154</v>
      </c>
      <c r="T133" s="70">
        <f t="shared" si="72"/>
        <v>0.222616136919315</v>
      </c>
      <c r="U133" s="69"/>
      <c r="V133" s="69"/>
      <c r="W133" s="71">
        <f t="shared" si="85"/>
        <v>150.400488997555</v>
      </c>
      <c r="X133" s="72">
        <f t="shared" si="73"/>
        <v>2.06177261613692</v>
      </c>
      <c r="Y133" s="72"/>
      <c r="Z133" s="72"/>
      <c r="AA133" s="72">
        <f t="shared" si="86"/>
        <v>2.06177261613692</v>
      </c>
      <c r="AB133" s="81">
        <v>7.11</v>
      </c>
      <c r="AC133" s="69">
        <f t="shared" si="84"/>
        <v>14.6592033007335</v>
      </c>
      <c r="AD133" s="69">
        <f t="shared" si="83"/>
        <v>165.059692298289</v>
      </c>
      <c r="AE133" s="69">
        <f t="shared" si="87"/>
        <v>36.2403077017115</v>
      </c>
    </row>
    <row r="134" customFormat="1" spans="1:31">
      <c r="A134" s="19"/>
      <c r="B134" s="20"/>
      <c r="C134" s="21">
        <v>240929000055</v>
      </c>
      <c r="D134" s="22">
        <v>45580</v>
      </c>
      <c r="E134" s="22" t="s">
        <v>66</v>
      </c>
      <c r="F134" s="20" t="s">
        <v>67</v>
      </c>
      <c r="G134" s="20" t="s">
        <v>172</v>
      </c>
      <c r="H134" s="20">
        <v>2</v>
      </c>
      <c r="I134" s="50"/>
      <c r="J134" s="46">
        <v>33075</v>
      </c>
      <c r="K134" s="41"/>
      <c r="L134" s="47">
        <f>SUM(J134/M134)</f>
        <v>1742.62381454162</v>
      </c>
      <c r="M134" s="48">
        <v>18.98</v>
      </c>
      <c r="N134" s="42">
        <v>7.11</v>
      </c>
      <c r="O134" s="43">
        <f>SUM(M134*N134)</f>
        <v>134.9478</v>
      </c>
      <c r="P134" s="45"/>
      <c r="Q134" s="45"/>
      <c r="R134" s="69">
        <f t="shared" ref="R134:R165" si="88">SUM(245654/4908)*H134</f>
        <v>100.103504482478</v>
      </c>
      <c r="S134" s="69">
        <f t="shared" ref="S134:S165" si="89">SUM(37/4908)*H134</f>
        <v>0.0150774246128769</v>
      </c>
      <c r="T134" s="70">
        <f t="shared" ref="T134:T165" si="90">SUM(364.2/4908)*H134</f>
        <v>0.14841075794621</v>
      </c>
      <c r="U134" s="69"/>
      <c r="V134" s="69"/>
      <c r="W134" s="71">
        <f t="shared" si="85"/>
        <v>100.266992665037</v>
      </c>
      <c r="X134" s="72">
        <f t="shared" ref="X134:X165" si="91">SUM(3373.06/4908)*H134</f>
        <v>1.37451507742461</v>
      </c>
      <c r="Y134" s="72"/>
      <c r="Z134" s="72"/>
      <c r="AA134" s="72">
        <f t="shared" si="86"/>
        <v>1.37451507742461</v>
      </c>
      <c r="AB134" s="81">
        <v>7.11</v>
      </c>
      <c r="AC134" s="69">
        <f t="shared" si="84"/>
        <v>9.772802200489</v>
      </c>
      <c r="AD134" s="69">
        <f t="shared" si="83"/>
        <v>110.039794865526</v>
      </c>
      <c r="AE134" s="69">
        <f t="shared" si="87"/>
        <v>24.9080051344743</v>
      </c>
    </row>
    <row r="135" customFormat="1" spans="1:31">
      <c r="A135" s="19"/>
      <c r="B135" s="20"/>
      <c r="C135" s="21">
        <v>240929000062</v>
      </c>
      <c r="D135" s="22">
        <v>45580</v>
      </c>
      <c r="E135" s="22" t="s">
        <v>66</v>
      </c>
      <c r="F135" s="20" t="s">
        <v>67</v>
      </c>
      <c r="G135" s="20" t="s">
        <v>173</v>
      </c>
      <c r="H135" s="20">
        <v>5.5</v>
      </c>
      <c r="I135" s="39">
        <v>363</v>
      </c>
      <c r="J135" s="40"/>
      <c r="K135" s="41"/>
      <c r="L135" s="20"/>
      <c r="M135" s="41"/>
      <c r="N135" s="42"/>
      <c r="O135" s="43">
        <f t="shared" ref="O135:O144" si="92">SUM(I135)</f>
        <v>363</v>
      </c>
      <c r="P135" s="45"/>
      <c r="Q135" s="45"/>
      <c r="R135" s="69">
        <f t="shared" si="88"/>
        <v>275.284637326813</v>
      </c>
      <c r="S135" s="69">
        <f t="shared" si="89"/>
        <v>0.0414629176854116</v>
      </c>
      <c r="T135" s="70">
        <f t="shared" si="90"/>
        <v>0.408129584352078</v>
      </c>
      <c r="U135" s="69"/>
      <c r="V135" s="69"/>
      <c r="W135" s="71">
        <f t="shared" si="85"/>
        <v>275.734229828851</v>
      </c>
      <c r="X135" s="72">
        <f t="shared" si="91"/>
        <v>3.77991646291769</v>
      </c>
      <c r="Y135" s="72"/>
      <c r="Z135" s="72"/>
      <c r="AA135" s="72">
        <f t="shared" si="86"/>
        <v>3.77991646291769</v>
      </c>
      <c r="AB135" s="81">
        <v>7.11</v>
      </c>
      <c r="AC135" s="69">
        <f t="shared" si="84"/>
        <v>26.8752060513447</v>
      </c>
      <c r="AD135" s="69">
        <f t="shared" si="83"/>
        <v>302.609435880196</v>
      </c>
      <c r="AE135" s="69">
        <f t="shared" si="87"/>
        <v>60.3905641198044</v>
      </c>
    </row>
    <row r="136" customFormat="1" spans="1:31">
      <c r="A136" s="19"/>
      <c r="B136" s="20"/>
      <c r="C136" s="21">
        <v>240929000064</v>
      </c>
      <c r="D136" s="22">
        <v>45580</v>
      </c>
      <c r="E136" s="22" t="s">
        <v>66</v>
      </c>
      <c r="F136" s="20" t="s">
        <v>67</v>
      </c>
      <c r="G136" s="20" t="s">
        <v>174</v>
      </c>
      <c r="H136" s="20">
        <v>2.5</v>
      </c>
      <c r="I136" s="39">
        <v>184.8</v>
      </c>
      <c r="J136" s="40"/>
      <c r="K136" s="41"/>
      <c r="L136" s="20"/>
      <c r="M136" s="41"/>
      <c r="N136" s="42"/>
      <c r="O136" s="43">
        <f t="shared" si="92"/>
        <v>184.8</v>
      </c>
      <c r="P136" s="45"/>
      <c r="Q136" s="45"/>
      <c r="R136" s="69">
        <f t="shared" si="88"/>
        <v>125.129380603097</v>
      </c>
      <c r="S136" s="69">
        <f t="shared" si="89"/>
        <v>0.0188467807660962</v>
      </c>
      <c r="T136" s="70">
        <f t="shared" si="90"/>
        <v>0.185513447432763</v>
      </c>
      <c r="U136" s="69"/>
      <c r="V136" s="69"/>
      <c r="W136" s="71">
        <f t="shared" si="85"/>
        <v>125.333740831296</v>
      </c>
      <c r="X136" s="72">
        <f t="shared" si="91"/>
        <v>1.71814384678077</v>
      </c>
      <c r="Y136" s="72"/>
      <c r="Z136" s="72"/>
      <c r="AA136" s="72">
        <f t="shared" si="86"/>
        <v>1.71814384678077</v>
      </c>
      <c r="AB136" s="81">
        <v>7.11</v>
      </c>
      <c r="AC136" s="69">
        <f t="shared" si="84"/>
        <v>12.2160027506112</v>
      </c>
      <c r="AD136" s="69">
        <f t="shared" si="83"/>
        <v>137.549743581907</v>
      </c>
      <c r="AE136" s="69">
        <f t="shared" si="87"/>
        <v>47.2502564180929</v>
      </c>
    </row>
    <row r="137" customFormat="1" spans="1:31">
      <c r="A137" s="19"/>
      <c r="B137" s="20"/>
      <c r="C137" s="21">
        <v>240929000071</v>
      </c>
      <c r="D137" s="22">
        <v>45580</v>
      </c>
      <c r="E137" s="22" t="s">
        <v>76</v>
      </c>
      <c r="F137" s="20" t="s">
        <v>77</v>
      </c>
      <c r="G137" s="20" t="s">
        <v>78</v>
      </c>
      <c r="H137" s="20">
        <v>1.5</v>
      </c>
      <c r="I137" s="39">
        <v>132.5</v>
      </c>
      <c r="J137" s="40"/>
      <c r="K137" s="41"/>
      <c r="L137" s="20"/>
      <c r="M137" s="41"/>
      <c r="N137" s="42"/>
      <c r="O137" s="43">
        <f t="shared" si="92"/>
        <v>132.5</v>
      </c>
      <c r="P137" s="45"/>
      <c r="Q137" s="45"/>
      <c r="R137" s="69">
        <f t="shared" si="88"/>
        <v>75.0776283618582</v>
      </c>
      <c r="S137" s="69">
        <f t="shared" si="89"/>
        <v>0.0113080684596577</v>
      </c>
      <c r="T137" s="70">
        <f t="shared" si="90"/>
        <v>0.111308068459658</v>
      </c>
      <c r="U137" s="69"/>
      <c r="V137" s="69"/>
      <c r="W137" s="71">
        <f t="shared" si="85"/>
        <v>75.2002444987775</v>
      </c>
      <c r="X137" s="72">
        <f t="shared" si="91"/>
        <v>1.03088630806846</v>
      </c>
      <c r="Y137" s="72">
        <v>4.23</v>
      </c>
      <c r="Z137" s="72"/>
      <c r="AA137" s="72">
        <f t="shared" si="86"/>
        <v>5.26088630806846</v>
      </c>
      <c r="AB137" s="81">
        <v>7.11</v>
      </c>
      <c r="AC137" s="69">
        <f t="shared" si="84"/>
        <v>37.4049016503668</v>
      </c>
      <c r="AD137" s="69">
        <f t="shared" si="83"/>
        <v>112.605146149144</v>
      </c>
      <c r="AE137" s="69">
        <f t="shared" si="87"/>
        <v>19.8948538508557</v>
      </c>
    </row>
    <row r="138" customFormat="1" spans="1:31">
      <c r="A138" s="19"/>
      <c r="B138" s="20"/>
      <c r="C138" s="21">
        <v>240930000003</v>
      </c>
      <c r="D138" s="22">
        <v>45580</v>
      </c>
      <c r="E138" s="22" t="s">
        <v>66</v>
      </c>
      <c r="F138" s="20" t="s">
        <v>67</v>
      </c>
      <c r="G138" s="20" t="s">
        <v>175</v>
      </c>
      <c r="H138" s="20">
        <v>16.5</v>
      </c>
      <c r="I138" s="39">
        <v>1122</v>
      </c>
      <c r="J138" s="40"/>
      <c r="K138" s="41"/>
      <c r="L138" s="20"/>
      <c r="M138" s="41"/>
      <c r="N138" s="42"/>
      <c r="O138" s="43">
        <f t="shared" si="92"/>
        <v>1122</v>
      </c>
      <c r="P138" s="45"/>
      <c r="Q138" s="45"/>
      <c r="R138" s="69">
        <f t="shared" si="88"/>
        <v>825.85391198044</v>
      </c>
      <c r="S138" s="69">
        <f t="shared" si="89"/>
        <v>0.124388753056235</v>
      </c>
      <c r="T138" s="70">
        <f t="shared" si="90"/>
        <v>1.22438875305623</v>
      </c>
      <c r="U138" s="69"/>
      <c r="V138" s="69"/>
      <c r="W138" s="71">
        <f t="shared" si="85"/>
        <v>827.202689486553</v>
      </c>
      <c r="X138" s="72">
        <f t="shared" si="91"/>
        <v>11.3397493887531</v>
      </c>
      <c r="Y138" s="72"/>
      <c r="Z138" s="72"/>
      <c r="AA138" s="72">
        <f t="shared" si="86"/>
        <v>11.3397493887531</v>
      </c>
      <c r="AB138" s="81">
        <v>7.11</v>
      </c>
      <c r="AC138" s="69">
        <f t="shared" si="84"/>
        <v>80.6256181540342</v>
      </c>
      <c r="AD138" s="69">
        <f t="shared" si="83"/>
        <v>907.828307640587</v>
      </c>
      <c r="AE138" s="69">
        <f t="shared" si="87"/>
        <v>214.171692359413</v>
      </c>
    </row>
    <row r="139" customFormat="1" spans="1:31">
      <c r="A139" s="19"/>
      <c r="B139" s="20"/>
      <c r="C139" s="21">
        <v>240930000004</v>
      </c>
      <c r="D139" s="22">
        <v>45580</v>
      </c>
      <c r="E139" s="22" t="s">
        <v>66</v>
      </c>
      <c r="F139" s="20" t="s">
        <v>67</v>
      </c>
      <c r="G139" s="20" t="s">
        <v>151</v>
      </c>
      <c r="H139" s="20">
        <v>11.5</v>
      </c>
      <c r="I139" s="39">
        <v>782</v>
      </c>
      <c r="J139" s="40"/>
      <c r="K139" s="41"/>
      <c r="L139" s="20"/>
      <c r="M139" s="41"/>
      <c r="N139" s="42"/>
      <c r="O139" s="43">
        <f t="shared" si="92"/>
        <v>782</v>
      </c>
      <c r="P139" s="45"/>
      <c r="Q139" s="45"/>
      <c r="R139" s="69">
        <f t="shared" si="88"/>
        <v>575.595150774246</v>
      </c>
      <c r="S139" s="69">
        <f t="shared" si="89"/>
        <v>0.0866951915240424</v>
      </c>
      <c r="T139" s="70">
        <f t="shared" si="90"/>
        <v>0.853361858190709</v>
      </c>
      <c r="U139" s="69"/>
      <c r="V139" s="69"/>
      <c r="W139" s="71">
        <f t="shared" si="85"/>
        <v>576.535207823961</v>
      </c>
      <c r="X139" s="72">
        <f t="shared" si="91"/>
        <v>7.90346169519152</v>
      </c>
      <c r="Y139" s="72"/>
      <c r="Z139" s="72"/>
      <c r="AA139" s="72">
        <f t="shared" si="86"/>
        <v>7.90346169519152</v>
      </c>
      <c r="AB139" s="81">
        <v>7.11</v>
      </c>
      <c r="AC139" s="69">
        <f t="shared" si="84"/>
        <v>56.1936126528117</v>
      </c>
      <c r="AD139" s="69">
        <f t="shared" si="83"/>
        <v>632.728820476773</v>
      </c>
      <c r="AE139" s="69">
        <f t="shared" si="87"/>
        <v>149.271179523227</v>
      </c>
    </row>
    <row r="140" customFormat="1" spans="1:31">
      <c r="A140" s="19"/>
      <c r="B140" s="20"/>
      <c r="C140" s="21">
        <v>240930000005</v>
      </c>
      <c r="D140" s="22">
        <v>45580</v>
      </c>
      <c r="E140" s="22" t="s">
        <v>66</v>
      </c>
      <c r="F140" s="20" t="s">
        <v>67</v>
      </c>
      <c r="G140" s="20" t="s">
        <v>176</v>
      </c>
      <c r="H140" s="20">
        <v>23.5</v>
      </c>
      <c r="I140" s="39">
        <v>1527</v>
      </c>
      <c r="J140" s="40"/>
      <c r="K140" s="41"/>
      <c r="L140" s="20"/>
      <c r="M140" s="41"/>
      <c r="N140" s="42"/>
      <c r="O140" s="43">
        <f t="shared" si="92"/>
        <v>1527</v>
      </c>
      <c r="P140" s="45"/>
      <c r="Q140" s="45"/>
      <c r="R140" s="69">
        <f t="shared" si="88"/>
        <v>1176.21617766911</v>
      </c>
      <c r="S140" s="69">
        <f t="shared" si="89"/>
        <v>0.177159739201304</v>
      </c>
      <c r="T140" s="70">
        <f t="shared" si="90"/>
        <v>1.74382640586797</v>
      </c>
      <c r="U140" s="69"/>
      <c r="V140" s="69"/>
      <c r="W140" s="71">
        <f t="shared" si="85"/>
        <v>1178.13716381418</v>
      </c>
      <c r="X140" s="72">
        <f t="shared" si="91"/>
        <v>16.1505521597392</v>
      </c>
      <c r="Y140" s="72"/>
      <c r="Z140" s="72"/>
      <c r="AA140" s="72">
        <f t="shared" si="86"/>
        <v>16.1505521597392</v>
      </c>
      <c r="AB140" s="81">
        <v>7.11</v>
      </c>
      <c r="AC140" s="69">
        <f t="shared" si="84"/>
        <v>114.830425855746</v>
      </c>
      <c r="AD140" s="69">
        <f t="shared" si="83"/>
        <v>1292.96758966993</v>
      </c>
      <c r="AE140" s="69">
        <f t="shared" si="87"/>
        <v>234.032410330073</v>
      </c>
    </row>
    <row r="141" customFormat="1" spans="1:31">
      <c r="A141" s="19"/>
      <c r="B141" s="20"/>
      <c r="C141" s="21">
        <v>240930000006</v>
      </c>
      <c r="D141" s="22">
        <v>45580</v>
      </c>
      <c r="E141" s="22" t="s">
        <v>66</v>
      </c>
      <c r="F141" s="20" t="s">
        <v>67</v>
      </c>
      <c r="G141" s="20" t="s">
        <v>68</v>
      </c>
      <c r="H141" s="20">
        <v>761.5</v>
      </c>
      <c r="I141" s="39">
        <v>57420</v>
      </c>
      <c r="J141" s="40"/>
      <c r="K141" s="41"/>
      <c r="L141" s="20"/>
      <c r="M141" s="41"/>
      <c r="N141" s="42"/>
      <c r="O141" s="43">
        <f t="shared" si="92"/>
        <v>57420</v>
      </c>
      <c r="P141" s="45"/>
      <c r="Q141" s="45"/>
      <c r="R141" s="69">
        <f t="shared" si="88"/>
        <v>38114.4093317033</v>
      </c>
      <c r="S141" s="69">
        <f t="shared" si="89"/>
        <v>5.74072942135289</v>
      </c>
      <c r="T141" s="70">
        <f t="shared" si="90"/>
        <v>56.5073960880196</v>
      </c>
      <c r="U141" s="70">
        <f>SUM(850+650)</f>
        <v>1500</v>
      </c>
      <c r="V141" s="69"/>
      <c r="W141" s="71">
        <f t="shared" si="85"/>
        <v>39676.6574572127</v>
      </c>
      <c r="X141" s="72">
        <f t="shared" si="91"/>
        <v>523.346615729421</v>
      </c>
      <c r="Y141" s="72">
        <v>47.31</v>
      </c>
      <c r="Z141" s="72"/>
      <c r="AA141" s="72">
        <f t="shared" si="86"/>
        <v>570.656615729421</v>
      </c>
      <c r="AB141" s="81">
        <v>7.11</v>
      </c>
      <c r="AC141" s="69">
        <f t="shared" si="84"/>
        <v>4057.36853783619</v>
      </c>
      <c r="AD141" s="69">
        <f t="shared" si="83"/>
        <v>43734.0259950489</v>
      </c>
      <c r="AE141" s="69">
        <f t="shared" si="87"/>
        <v>13685.9740049511</v>
      </c>
    </row>
    <row r="142" customFormat="1" spans="1:31">
      <c r="A142" s="19"/>
      <c r="B142" s="20"/>
      <c r="C142" s="21">
        <v>240930000010</v>
      </c>
      <c r="D142" s="22">
        <v>45580</v>
      </c>
      <c r="E142" s="22" t="s">
        <v>41</v>
      </c>
      <c r="F142" s="20" t="s">
        <v>42</v>
      </c>
      <c r="G142" s="20" t="s">
        <v>157</v>
      </c>
      <c r="H142" s="20">
        <v>18.5</v>
      </c>
      <c r="I142" s="39">
        <v>1496.65</v>
      </c>
      <c r="J142" s="40"/>
      <c r="K142" s="41"/>
      <c r="L142" s="20"/>
      <c r="M142" s="41"/>
      <c r="N142" s="42"/>
      <c r="O142" s="43">
        <f t="shared" si="92"/>
        <v>1496.65</v>
      </c>
      <c r="P142" s="45"/>
      <c r="Q142" s="45"/>
      <c r="R142" s="69">
        <f t="shared" si="88"/>
        <v>925.957416462918</v>
      </c>
      <c r="S142" s="69">
        <f t="shared" si="89"/>
        <v>0.139466177669112</v>
      </c>
      <c r="T142" s="70">
        <f t="shared" si="90"/>
        <v>1.37279951100244</v>
      </c>
      <c r="U142" s="69"/>
      <c r="V142" s="69"/>
      <c r="W142" s="71">
        <f t="shared" si="85"/>
        <v>927.469682151589</v>
      </c>
      <c r="X142" s="72">
        <f t="shared" si="91"/>
        <v>12.7142644661777</v>
      </c>
      <c r="Y142" s="72">
        <v>29.37</v>
      </c>
      <c r="Z142" s="72"/>
      <c r="AA142" s="72">
        <f t="shared" si="86"/>
        <v>42.0842644661777</v>
      </c>
      <c r="AB142" s="81">
        <v>7.11</v>
      </c>
      <c r="AC142" s="69">
        <f t="shared" si="84"/>
        <v>299.219120354523</v>
      </c>
      <c r="AD142" s="69">
        <f t="shared" si="83"/>
        <v>1226.68880250611</v>
      </c>
      <c r="AE142" s="69">
        <f t="shared" si="87"/>
        <v>269.961197493888</v>
      </c>
    </row>
    <row r="143" customFormat="1" spans="1:31">
      <c r="A143" s="19"/>
      <c r="B143" s="20"/>
      <c r="C143" s="21">
        <v>240930000016</v>
      </c>
      <c r="D143" s="22">
        <v>45580</v>
      </c>
      <c r="E143" s="22" t="s">
        <v>37</v>
      </c>
      <c r="F143" s="20" t="s">
        <v>38</v>
      </c>
      <c r="G143" s="20" t="s">
        <v>177</v>
      </c>
      <c r="H143" s="20">
        <v>11.5</v>
      </c>
      <c r="I143" s="39">
        <v>727.65</v>
      </c>
      <c r="J143" s="40"/>
      <c r="K143" s="41"/>
      <c r="L143" s="20"/>
      <c r="M143" s="41"/>
      <c r="N143" s="42"/>
      <c r="O143" s="43">
        <f t="shared" si="92"/>
        <v>727.65</v>
      </c>
      <c r="P143" s="45"/>
      <c r="Q143" s="45"/>
      <c r="R143" s="69">
        <f t="shared" si="88"/>
        <v>575.595150774246</v>
      </c>
      <c r="S143" s="69">
        <f t="shared" si="89"/>
        <v>0.0866951915240424</v>
      </c>
      <c r="T143" s="70">
        <f t="shared" si="90"/>
        <v>0.853361858190709</v>
      </c>
      <c r="U143" s="69"/>
      <c r="V143" s="69"/>
      <c r="W143" s="71">
        <f t="shared" si="85"/>
        <v>576.535207823961</v>
      </c>
      <c r="X143" s="72">
        <f t="shared" si="91"/>
        <v>7.90346169519152</v>
      </c>
      <c r="Y143" s="72"/>
      <c r="Z143" s="72"/>
      <c r="AA143" s="72">
        <f t="shared" si="86"/>
        <v>7.90346169519152</v>
      </c>
      <c r="AB143" s="81">
        <v>7.11</v>
      </c>
      <c r="AC143" s="69">
        <f t="shared" si="84"/>
        <v>56.1936126528117</v>
      </c>
      <c r="AD143" s="69">
        <f t="shared" si="83"/>
        <v>632.728820476773</v>
      </c>
      <c r="AE143" s="69">
        <f t="shared" si="87"/>
        <v>94.9211795232274</v>
      </c>
    </row>
    <row r="144" customFormat="1" spans="1:31">
      <c r="A144" s="19"/>
      <c r="B144" s="20"/>
      <c r="C144" s="82">
        <v>240930000022</v>
      </c>
      <c r="D144" s="83">
        <v>45580</v>
      </c>
      <c r="E144" s="22" t="s">
        <v>55</v>
      </c>
      <c r="F144" s="84" t="s">
        <v>56</v>
      </c>
      <c r="G144" s="84" t="s">
        <v>178</v>
      </c>
      <c r="H144" s="84">
        <v>10</v>
      </c>
      <c r="I144" s="39">
        <v>633</v>
      </c>
      <c r="J144" s="40"/>
      <c r="K144" s="41"/>
      <c r="L144" s="20"/>
      <c r="M144" s="41"/>
      <c r="N144" s="42"/>
      <c r="O144" s="43">
        <f t="shared" si="92"/>
        <v>633</v>
      </c>
      <c r="P144" s="45"/>
      <c r="Q144" s="45"/>
      <c r="R144" s="69">
        <f t="shared" si="88"/>
        <v>500.517522412388</v>
      </c>
      <c r="S144" s="69">
        <f t="shared" si="89"/>
        <v>0.0753871230643847</v>
      </c>
      <c r="T144" s="70">
        <f t="shared" si="90"/>
        <v>0.742053789731051</v>
      </c>
      <c r="U144" s="69"/>
      <c r="V144" s="69"/>
      <c r="W144" s="71">
        <f t="shared" si="85"/>
        <v>501.334963325183</v>
      </c>
      <c r="X144" s="72">
        <f t="shared" si="91"/>
        <v>6.87257538712306</v>
      </c>
      <c r="Y144" s="72"/>
      <c r="Z144" s="72"/>
      <c r="AA144" s="72">
        <f t="shared" si="86"/>
        <v>6.87257538712306</v>
      </c>
      <c r="AB144" s="81">
        <v>7.11</v>
      </c>
      <c r="AC144" s="69">
        <f t="shared" si="84"/>
        <v>48.864011002445</v>
      </c>
      <c r="AD144" s="69">
        <f t="shared" si="83"/>
        <v>550.198974327628</v>
      </c>
      <c r="AE144" s="69">
        <f t="shared" si="87"/>
        <v>82.8010256723716</v>
      </c>
    </row>
    <row r="145" customFormat="1" spans="1:31">
      <c r="A145" s="19"/>
      <c r="B145" s="20"/>
      <c r="C145" s="21">
        <v>240930000023</v>
      </c>
      <c r="D145" s="22">
        <v>45580</v>
      </c>
      <c r="E145" s="22" t="s">
        <v>66</v>
      </c>
      <c r="F145" s="20" t="s">
        <v>67</v>
      </c>
      <c r="G145" s="20" t="s">
        <v>179</v>
      </c>
      <c r="H145" s="20">
        <v>9</v>
      </c>
      <c r="I145" s="43"/>
      <c r="J145" s="46">
        <v>139651</v>
      </c>
      <c r="K145" s="41"/>
      <c r="L145" s="47">
        <f>SUM(J145/M145)</f>
        <v>1710.99005825717</v>
      </c>
      <c r="M145" s="48">
        <v>81.619995</v>
      </c>
      <c r="N145" s="42">
        <v>7.11</v>
      </c>
      <c r="O145" s="43">
        <f t="shared" ref="O145:O149" si="93">SUM(M145*N145)</f>
        <v>580.31816445</v>
      </c>
      <c r="P145" s="45"/>
      <c r="Q145" s="45"/>
      <c r="R145" s="69">
        <f t="shared" si="88"/>
        <v>450.465770171149</v>
      </c>
      <c r="S145" s="69">
        <f t="shared" si="89"/>
        <v>0.0678484107579462</v>
      </c>
      <c r="T145" s="70">
        <f t="shared" si="90"/>
        <v>0.667848410757946</v>
      </c>
      <c r="U145" s="69"/>
      <c r="V145" s="69"/>
      <c r="W145" s="71">
        <f t="shared" si="85"/>
        <v>451.201466992665</v>
      </c>
      <c r="X145" s="72">
        <f t="shared" si="91"/>
        <v>6.18531784841076</v>
      </c>
      <c r="Y145" s="72"/>
      <c r="Z145" s="72"/>
      <c r="AA145" s="72">
        <f t="shared" si="86"/>
        <v>6.18531784841076</v>
      </c>
      <c r="AB145" s="81">
        <v>7.11</v>
      </c>
      <c r="AC145" s="69">
        <f t="shared" si="84"/>
        <v>43.9776099022005</v>
      </c>
      <c r="AD145" s="69">
        <f t="shared" si="83"/>
        <v>495.179076894865</v>
      </c>
      <c r="AE145" s="69">
        <f t="shared" si="87"/>
        <v>85.1390875551346</v>
      </c>
    </row>
    <row r="146" customFormat="1" spans="1:31">
      <c r="A146" s="19"/>
      <c r="B146" s="20"/>
      <c r="C146" s="21">
        <v>240930000024</v>
      </c>
      <c r="D146" s="22">
        <v>45580</v>
      </c>
      <c r="E146" s="22" t="s">
        <v>66</v>
      </c>
      <c r="F146" s="20" t="s">
        <v>67</v>
      </c>
      <c r="G146" s="20" t="s">
        <v>180</v>
      </c>
      <c r="H146" s="20">
        <v>10</v>
      </c>
      <c r="I146" s="50"/>
      <c r="J146" s="46">
        <v>145800</v>
      </c>
      <c r="K146" s="41"/>
      <c r="L146" s="47">
        <f t="shared" ref="L146:L149" si="94">SUM(J146/M146)</f>
        <v>1727.89760606779</v>
      </c>
      <c r="M146" s="48">
        <v>84.38</v>
      </c>
      <c r="N146" s="42">
        <v>7.11</v>
      </c>
      <c r="O146" s="43">
        <f t="shared" si="93"/>
        <v>599.9418</v>
      </c>
      <c r="P146" s="45"/>
      <c r="Q146" s="45"/>
      <c r="R146" s="69">
        <f t="shared" si="88"/>
        <v>500.517522412388</v>
      </c>
      <c r="S146" s="69">
        <f t="shared" si="89"/>
        <v>0.0753871230643847</v>
      </c>
      <c r="T146" s="70">
        <f t="shared" si="90"/>
        <v>0.742053789731051</v>
      </c>
      <c r="U146" s="69"/>
      <c r="V146" s="69"/>
      <c r="W146" s="71">
        <f t="shared" si="85"/>
        <v>501.334963325183</v>
      </c>
      <c r="X146" s="72">
        <f t="shared" si="91"/>
        <v>6.87257538712306</v>
      </c>
      <c r="Y146" s="72"/>
      <c r="Z146" s="72"/>
      <c r="AA146" s="72">
        <f t="shared" si="86"/>
        <v>6.87257538712306</v>
      </c>
      <c r="AB146" s="81">
        <v>7.11</v>
      </c>
      <c r="AC146" s="69">
        <f t="shared" si="84"/>
        <v>48.864011002445</v>
      </c>
      <c r="AD146" s="69">
        <f t="shared" si="83"/>
        <v>550.198974327628</v>
      </c>
      <c r="AE146" s="69">
        <f t="shared" si="87"/>
        <v>49.7428256723715</v>
      </c>
    </row>
    <row r="147" customFormat="1" spans="1:31">
      <c r="A147" s="19"/>
      <c r="B147" s="20"/>
      <c r="C147" s="21">
        <v>240930000026</v>
      </c>
      <c r="D147" s="22">
        <v>45580</v>
      </c>
      <c r="E147" s="22" t="s">
        <v>66</v>
      </c>
      <c r="F147" s="20" t="s">
        <v>67</v>
      </c>
      <c r="G147" s="20" t="s">
        <v>181</v>
      </c>
      <c r="H147" s="20">
        <v>28</v>
      </c>
      <c r="I147" s="50"/>
      <c r="J147" s="46">
        <v>430584</v>
      </c>
      <c r="K147" s="41"/>
      <c r="L147" s="47">
        <f t="shared" si="94"/>
        <v>1656.66576892001</v>
      </c>
      <c r="M147" s="48">
        <v>259.91</v>
      </c>
      <c r="N147" s="42">
        <v>7.11</v>
      </c>
      <c r="O147" s="43">
        <f t="shared" si="93"/>
        <v>1847.9601</v>
      </c>
      <c r="P147" s="45"/>
      <c r="Q147" s="45"/>
      <c r="R147" s="69">
        <f t="shared" si="88"/>
        <v>1401.44906275469</v>
      </c>
      <c r="S147" s="69">
        <f t="shared" si="89"/>
        <v>0.211083944580277</v>
      </c>
      <c r="T147" s="70">
        <f t="shared" si="90"/>
        <v>2.07775061124694</v>
      </c>
      <c r="U147" s="69"/>
      <c r="V147" s="69"/>
      <c r="W147" s="71">
        <f t="shared" si="85"/>
        <v>1403.73789731051</v>
      </c>
      <c r="X147" s="72">
        <f t="shared" si="91"/>
        <v>19.2432110839446</v>
      </c>
      <c r="Y147" s="72"/>
      <c r="Z147" s="72"/>
      <c r="AA147" s="72">
        <f t="shared" si="86"/>
        <v>19.2432110839446</v>
      </c>
      <c r="AB147" s="81">
        <v>7.11</v>
      </c>
      <c r="AC147" s="69">
        <f t="shared" si="84"/>
        <v>136.819230806846</v>
      </c>
      <c r="AD147" s="69">
        <f t="shared" si="83"/>
        <v>1540.55712811736</v>
      </c>
      <c r="AE147" s="69">
        <f t="shared" si="87"/>
        <v>307.40297188264</v>
      </c>
    </row>
    <row r="148" customFormat="1" spans="1:31">
      <c r="A148" s="19"/>
      <c r="B148" s="20"/>
      <c r="C148" s="21">
        <v>240930000030</v>
      </c>
      <c r="D148" s="22">
        <v>45580</v>
      </c>
      <c r="E148" s="22" t="s">
        <v>37</v>
      </c>
      <c r="F148" s="20" t="s">
        <v>38</v>
      </c>
      <c r="G148" s="20" t="s">
        <v>182</v>
      </c>
      <c r="H148" s="20">
        <v>0.6</v>
      </c>
      <c r="I148" s="50"/>
      <c r="J148" s="46">
        <v>9234</v>
      </c>
      <c r="K148" s="41"/>
      <c r="L148" s="47">
        <f t="shared" si="94"/>
        <v>1729.21348314607</v>
      </c>
      <c r="M148" s="48">
        <v>5.34</v>
      </c>
      <c r="N148" s="42">
        <v>7.11</v>
      </c>
      <c r="O148" s="43">
        <f t="shared" si="93"/>
        <v>37.9674</v>
      </c>
      <c r="P148" s="45"/>
      <c r="Q148" s="45"/>
      <c r="R148" s="69">
        <f t="shared" si="88"/>
        <v>30.0310513447433</v>
      </c>
      <c r="S148" s="69">
        <f t="shared" si="89"/>
        <v>0.00452322738386308</v>
      </c>
      <c r="T148" s="70">
        <f t="shared" si="90"/>
        <v>0.0445232273838631</v>
      </c>
      <c r="U148" s="69"/>
      <c r="V148" s="69"/>
      <c r="W148" s="71">
        <f t="shared" si="85"/>
        <v>30.080097799511</v>
      </c>
      <c r="X148" s="72">
        <f t="shared" si="91"/>
        <v>0.412354523227384</v>
      </c>
      <c r="Y148" s="72"/>
      <c r="Z148" s="72"/>
      <c r="AA148" s="72">
        <f t="shared" si="86"/>
        <v>0.412354523227384</v>
      </c>
      <c r="AB148" s="81">
        <v>7.11</v>
      </c>
      <c r="AC148" s="69">
        <f t="shared" si="84"/>
        <v>2.9318406601467</v>
      </c>
      <c r="AD148" s="69">
        <f t="shared" si="83"/>
        <v>33.0119384596577</v>
      </c>
      <c r="AE148" s="69">
        <f t="shared" si="87"/>
        <v>4.9554615403423</v>
      </c>
    </row>
    <row r="149" customFormat="1" spans="1:31">
      <c r="A149" s="19"/>
      <c r="B149" s="20"/>
      <c r="C149" s="21">
        <v>240930000031</v>
      </c>
      <c r="D149" s="22">
        <v>45580</v>
      </c>
      <c r="E149" s="22" t="s">
        <v>37</v>
      </c>
      <c r="F149" s="20" t="s">
        <v>38</v>
      </c>
      <c r="G149" s="20" t="s">
        <v>183</v>
      </c>
      <c r="H149" s="20">
        <v>10</v>
      </c>
      <c r="I149" s="50"/>
      <c r="J149" s="46">
        <v>163684</v>
      </c>
      <c r="K149" s="41"/>
      <c r="L149" s="47">
        <f t="shared" si="94"/>
        <v>1727.90034835849</v>
      </c>
      <c r="M149" s="48">
        <v>94.73</v>
      </c>
      <c r="N149" s="42">
        <v>7.11</v>
      </c>
      <c r="O149" s="43">
        <f t="shared" si="93"/>
        <v>673.5303</v>
      </c>
      <c r="P149" s="45"/>
      <c r="Q149" s="45"/>
      <c r="R149" s="69">
        <f t="shared" si="88"/>
        <v>500.517522412388</v>
      </c>
      <c r="S149" s="69">
        <f t="shared" si="89"/>
        <v>0.0753871230643847</v>
      </c>
      <c r="T149" s="70">
        <f t="shared" si="90"/>
        <v>0.742053789731051</v>
      </c>
      <c r="U149" s="69">
        <v>40</v>
      </c>
      <c r="V149" s="69"/>
      <c r="W149" s="71">
        <f t="shared" si="85"/>
        <v>541.334963325183</v>
      </c>
      <c r="X149" s="72">
        <f t="shared" si="91"/>
        <v>6.87257538712306</v>
      </c>
      <c r="Y149" s="72"/>
      <c r="Z149" s="72"/>
      <c r="AA149" s="72">
        <f t="shared" si="86"/>
        <v>6.87257538712306</v>
      </c>
      <c r="AB149" s="81">
        <v>7.11</v>
      </c>
      <c r="AC149" s="69">
        <f t="shared" si="84"/>
        <v>48.864011002445</v>
      </c>
      <c r="AD149" s="69">
        <f t="shared" si="83"/>
        <v>590.198974327628</v>
      </c>
      <c r="AE149" s="69">
        <f t="shared" si="87"/>
        <v>83.3313256723716</v>
      </c>
    </row>
    <row r="150" customFormat="1" spans="1:31">
      <c r="A150" s="19"/>
      <c r="B150" s="20"/>
      <c r="C150" s="21">
        <v>240930000032</v>
      </c>
      <c r="D150" s="22">
        <v>45580</v>
      </c>
      <c r="E150" s="22" t="s">
        <v>41</v>
      </c>
      <c r="F150" s="20" t="s">
        <v>42</v>
      </c>
      <c r="G150" s="20" t="s">
        <v>157</v>
      </c>
      <c r="H150" s="20">
        <v>0.79</v>
      </c>
      <c r="I150" s="39">
        <v>80.9</v>
      </c>
      <c r="J150" s="40"/>
      <c r="K150" s="41"/>
      <c r="L150" s="20"/>
      <c r="M150" s="41"/>
      <c r="N150" s="42"/>
      <c r="O150" s="43">
        <f>SUM(I150)</f>
        <v>80.9</v>
      </c>
      <c r="P150" s="45"/>
      <c r="Q150" s="45"/>
      <c r="R150" s="69">
        <f t="shared" si="88"/>
        <v>39.5408842705787</v>
      </c>
      <c r="S150" s="69">
        <f t="shared" si="89"/>
        <v>0.00595558272208639</v>
      </c>
      <c r="T150" s="70">
        <f t="shared" si="90"/>
        <v>0.0586222493887531</v>
      </c>
      <c r="U150" s="69"/>
      <c r="V150" s="69"/>
      <c r="W150" s="71">
        <f t="shared" si="85"/>
        <v>39.6054621026895</v>
      </c>
      <c r="X150" s="72">
        <f t="shared" si="91"/>
        <v>0.542933455582722</v>
      </c>
      <c r="Y150" s="72"/>
      <c r="Z150" s="72"/>
      <c r="AA150" s="72">
        <f t="shared" si="86"/>
        <v>0.542933455582722</v>
      </c>
      <c r="AB150" s="81">
        <v>7.11</v>
      </c>
      <c r="AC150" s="69">
        <f t="shared" si="84"/>
        <v>3.86025686919315</v>
      </c>
      <c r="AD150" s="69">
        <f t="shared" si="83"/>
        <v>43.4657189718827</v>
      </c>
      <c r="AE150" s="69">
        <f t="shared" si="87"/>
        <v>37.4342810281174</v>
      </c>
    </row>
    <row r="151" customFormat="1" spans="1:31">
      <c r="A151" s="19"/>
      <c r="B151" s="20"/>
      <c r="C151" s="21">
        <v>240930000033</v>
      </c>
      <c r="D151" s="22">
        <v>45580</v>
      </c>
      <c r="E151" s="22" t="s">
        <v>37</v>
      </c>
      <c r="F151" s="20" t="s">
        <v>38</v>
      </c>
      <c r="G151" s="20" t="s">
        <v>184</v>
      </c>
      <c r="H151" s="20">
        <v>7.5</v>
      </c>
      <c r="I151" s="50"/>
      <c r="J151" s="46">
        <v>116113</v>
      </c>
      <c r="K151" s="41"/>
      <c r="L151" s="47">
        <f t="shared" ref="L151:L154" si="95">SUM(J151/M151)</f>
        <v>1731.47927229347</v>
      </c>
      <c r="M151" s="48">
        <v>67.06</v>
      </c>
      <c r="N151" s="42">
        <v>7.11</v>
      </c>
      <c r="O151" s="43">
        <f t="shared" ref="O151:O154" si="96">SUM(M151*N151)</f>
        <v>476.7966</v>
      </c>
      <c r="P151" s="45"/>
      <c r="Q151" s="45"/>
      <c r="R151" s="69">
        <f t="shared" si="88"/>
        <v>375.388141809291</v>
      </c>
      <c r="S151" s="69">
        <f t="shared" si="89"/>
        <v>0.0565403422982885</v>
      </c>
      <c r="T151" s="70">
        <f t="shared" si="90"/>
        <v>0.556540342298288</v>
      </c>
      <c r="U151" s="69"/>
      <c r="V151" s="69"/>
      <c r="W151" s="71">
        <f t="shared" si="85"/>
        <v>376.001222493887</v>
      </c>
      <c r="X151" s="72">
        <f t="shared" si="91"/>
        <v>5.1544315403423</v>
      </c>
      <c r="Y151" s="72"/>
      <c r="Z151" s="72"/>
      <c r="AA151" s="72">
        <f t="shared" si="86"/>
        <v>5.1544315403423</v>
      </c>
      <c r="AB151" s="81">
        <v>7.11</v>
      </c>
      <c r="AC151" s="69">
        <f t="shared" si="84"/>
        <v>36.6480082518337</v>
      </c>
      <c r="AD151" s="69">
        <f t="shared" si="83"/>
        <v>412.649230745721</v>
      </c>
      <c r="AE151" s="69">
        <f t="shared" si="87"/>
        <v>64.1473692542788</v>
      </c>
    </row>
    <row r="152" customFormat="1" spans="1:31">
      <c r="A152" s="19"/>
      <c r="B152" s="20"/>
      <c r="C152" s="21">
        <v>240930000037</v>
      </c>
      <c r="D152" s="22">
        <v>45580</v>
      </c>
      <c r="E152" s="22" t="s">
        <v>41</v>
      </c>
      <c r="F152" s="20" t="s">
        <v>42</v>
      </c>
      <c r="G152" s="20" t="s">
        <v>185</v>
      </c>
      <c r="H152" s="20">
        <v>3</v>
      </c>
      <c r="I152" s="50"/>
      <c r="J152" s="46">
        <v>48843</v>
      </c>
      <c r="K152" s="41"/>
      <c r="L152" s="47">
        <f t="shared" si="95"/>
        <v>1725.29141646061</v>
      </c>
      <c r="M152" s="48">
        <v>28.31</v>
      </c>
      <c r="N152" s="42">
        <v>7.11</v>
      </c>
      <c r="O152" s="43">
        <f t="shared" si="96"/>
        <v>201.2841</v>
      </c>
      <c r="P152" s="45"/>
      <c r="Q152" s="45"/>
      <c r="R152" s="69">
        <f t="shared" si="88"/>
        <v>150.155256723716</v>
      </c>
      <c r="S152" s="69">
        <f t="shared" si="89"/>
        <v>0.0226161369193154</v>
      </c>
      <c r="T152" s="70">
        <f t="shared" si="90"/>
        <v>0.222616136919315</v>
      </c>
      <c r="U152" s="69"/>
      <c r="V152" s="69"/>
      <c r="W152" s="71">
        <f t="shared" si="85"/>
        <v>150.400488997555</v>
      </c>
      <c r="X152" s="72">
        <f t="shared" si="91"/>
        <v>2.06177261613692</v>
      </c>
      <c r="Y152" s="72"/>
      <c r="Z152" s="72"/>
      <c r="AA152" s="72">
        <f t="shared" si="86"/>
        <v>2.06177261613692</v>
      </c>
      <c r="AB152" s="81">
        <v>7.11</v>
      </c>
      <c r="AC152" s="69">
        <f t="shared" si="84"/>
        <v>14.6592033007335</v>
      </c>
      <c r="AD152" s="69">
        <f t="shared" si="83"/>
        <v>165.059692298289</v>
      </c>
      <c r="AE152" s="69">
        <f t="shared" si="87"/>
        <v>36.2244077017115</v>
      </c>
    </row>
    <row r="153" customFormat="1" spans="1:31">
      <c r="A153" s="19"/>
      <c r="B153" s="20"/>
      <c r="C153" s="21">
        <v>240930000038</v>
      </c>
      <c r="D153" s="22">
        <v>45580</v>
      </c>
      <c r="E153" s="22" t="s">
        <v>37</v>
      </c>
      <c r="F153" s="20" t="s">
        <v>38</v>
      </c>
      <c r="G153" s="20" t="s">
        <v>186</v>
      </c>
      <c r="H153" s="20">
        <v>193.5</v>
      </c>
      <c r="I153" s="50"/>
      <c r="J153" s="46">
        <v>2859259.5</v>
      </c>
      <c r="K153" s="41"/>
      <c r="L153" s="47">
        <f t="shared" si="95"/>
        <v>1727.73276049598</v>
      </c>
      <c r="M153" s="48">
        <v>1654.92</v>
      </c>
      <c r="N153" s="42">
        <v>7.11</v>
      </c>
      <c r="O153" s="43">
        <f t="shared" si="96"/>
        <v>11766.4812</v>
      </c>
      <c r="P153" s="45"/>
      <c r="Q153" s="45"/>
      <c r="R153" s="69">
        <f t="shared" si="88"/>
        <v>9685.01405867971</v>
      </c>
      <c r="S153" s="69">
        <f t="shared" si="89"/>
        <v>1.45874083129584</v>
      </c>
      <c r="T153" s="70">
        <f t="shared" si="90"/>
        <v>14.3587408312958</v>
      </c>
      <c r="U153" s="69"/>
      <c r="V153" s="69"/>
      <c r="W153" s="71">
        <f t="shared" si="85"/>
        <v>9700.8315403423</v>
      </c>
      <c r="X153" s="72">
        <f t="shared" si="91"/>
        <v>132.984333740831</v>
      </c>
      <c r="Y153" s="72"/>
      <c r="Z153" s="72"/>
      <c r="AA153" s="72">
        <f t="shared" si="86"/>
        <v>132.984333740831</v>
      </c>
      <c r="AB153" s="81">
        <v>7.11</v>
      </c>
      <c r="AC153" s="69">
        <f t="shared" si="84"/>
        <v>945.518612897311</v>
      </c>
      <c r="AD153" s="69">
        <f t="shared" si="83"/>
        <v>10646.3501532396</v>
      </c>
      <c r="AE153" s="69">
        <f t="shared" si="87"/>
        <v>1120.13104676039</v>
      </c>
    </row>
    <row r="154" customFormat="1" spans="1:31">
      <c r="A154" s="19"/>
      <c r="B154" s="20"/>
      <c r="C154" s="21">
        <v>240930000039</v>
      </c>
      <c r="D154" s="22">
        <v>45580</v>
      </c>
      <c r="E154" s="22" t="s">
        <v>37</v>
      </c>
      <c r="F154" s="20" t="s">
        <v>38</v>
      </c>
      <c r="G154" s="20" t="s">
        <v>187</v>
      </c>
      <c r="H154" s="20">
        <v>0.36</v>
      </c>
      <c r="I154" s="50"/>
      <c r="J154" s="46">
        <v>23376</v>
      </c>
      <c r="K154" s="41"/>
      <c r="L154" s="47">
        <f t="shared" si="95"/>
        <v>1721.35493372607</v>
      </c>
      <c r="M154" s="48">
        <v>13.58</v>
      </c>
      <c r="N154" s="42">
        <v>7.11</v>
      </c>
      <c r="O154" s="43">
        <f t="shared" si="96"/>
        <v>96.5538</v>
      </c>
      <c r="P154" s="45"/>
      <c r="Q154" s="45"/>
      <c r="R154" s="69">
        <f t="shared" si="88"/>
        <v>18.018630806846</v>
      </c>
      <c r="S154" s="69">
        <f t="shared" si="89"/>
        <v>0.00271393643031785</v>
      </c>
      <c r="T154" s="70">
        <f t="shared" si="90"/>
        <v>0.0267139364303178</v>
      </c>
      <c r="U154" s="69"/>
      <c r="V154" s="69"/>
      <c r="W154" s="71">
        <f t="shared" si="85"/>
        <v>18.0480586797066</v>
      </c>
      <c r="X154" s="72">
        <f t="shared" si="91"/>
        <v>0.24741271393643</v>
      </c>
      <c r="Y154" s="72"/>
      <c r="Z154" s="72"/>
      <c r="AA154" s="72">
        <f t="shared" si="86"/>
        <v>0.24741271393643</v>
      </c>
      <c r="AB154" s="81">
        <v>7.11</v>
      </c>
      <c r="AC154" s="69">
        <f t="shared" si="84"/>
        <v>1.75910439608802</v>
      </c>
      <c r="AD154" s="69">
        <f t="shared" si="83"/>
        <v>19.8071630757946</v>
      </c>
      <c r="AE154" s="69">
        <f t="shared" si="87"/>
        <v>76.7466369242054</v>
      </c>
    </row>
    <row r="155" customFormat="1" spans="1:31">
      <c r="A155" s="19"/>
      <c r="B155" s="20"/>
      <c r="C155" s="21">
        <v>240930000046</v>
      </c>
      <c r="D155" s="22">
        <v>45580</v>
      </c>
      <c r="E155" s="22" t="s">
        <v>41</v>
      </c>
      <c r="F155" s="20" t="s">
        <v>42</v>
      </c>
      <c r="G155" s="20" t="s">
        <v>188</v>
      </c>
      <c r="H155" s="20">
        <v>4.5</v>
      </c>
      <c r="I155" s="39">
        <v>300</v>
      </c>
      <c r="J155" s="40"/>
      <c r="K155" s="41"/>
      <c r="L155" s="20"/>
      <c r="M155" s="41"/>
      <c r="N155" s="42"/>
      <c r="O155" s="43">
        <f t="shared" ref="O155:O159" si="97">SUM(I155)</f>
        <v>300</v>
      </c>
      <c r="P155" s="45"/>
      <c r="Q155" s="45"/>
      <c r="R155" s="69">
        <f t="shared" si="88"/>
        <v>225.232885085575</v>
      </c>
      <c r="S155" s="69">
        <f t="shared" si="89"/>
        <v>0.0339242053789731</v>
      </c>
      <c r="T155" s="70">
        <f t="shared" si="90"/>
        <v>0.333924205378973</v>
      </c>
      <c r="U155" s="69"/>
      <c r="V155" s="69"/>
      <c r="W155" s="71">
        <f t="shared" si="85"/>
        <v>225.600733496333</v>
      </c>
      <c r="X155" s="72">
        <f t="shared" si="91"/>
        <v>3.09265892420538</v>
      </c>
      <c r="Y155" s="72"/>
      <c r="Z155" s="72"/>
      <c r="AA155" s="72">
        <f t="shared" si="86"/>
        <v>3.09265892420538</v>
      </c>
      <c r="AB155" s="81">
        <v>7.11</v>
      </c>
      <c r="AC155" s="69">
        <f t="shared" si="84"/>
        <v>21.9888049511002</v>
      </c>
      <c r="AD155" s="69">
        <f t="shared" si="83"/>
        <v>247.589538447433</v>
      </c>
      <c r="AE155" s="69">
        <f t="shared" si="87"/>
        <v>52.4104615525673</v>
      </c>
    </row>
    <row r="156" customFormat="1" spans="1:31">
      <c r="A156" s="19"/>
      <c r="B156" s="20"/>
      <c r="C156" s="21">
        <v>241002000001</v>
      </c>
      <c r="D156" s="22">
        <v>45580</v>
      </c>
      <c r="E156" s="22" t="s">
        <v>37</v>
      </c>
      <c r="F156" s="20" t="s">
        <v>38</v>
      </c>
      <c r="G156" s="20" t="s">
        <v>109</v>
      </c>
      <c r="H156" s="20">
        <v>0.22</v>
      </c>
      <c r="I156" s="50"/>
      <c r="J156" s="46">
        <v>16874.5</v>
      </c>
      <c r="K156" s="41"/>
      <c r="L156" s="47">
        <f t="shared" ref="L156:L160" si="98">SUM(J156/M156)</f>
        <v>1732.49486652977</v>
      </c>
      <c r="M156" s="48">
        <v>9.74</v>
      </c>
      <c r="N156" s="42">
        <v>7.11</v>
      </c>
      <c r="O156" s="43">
        <f t="shared" ref="O156:O160" si="99">SUM(M156*N156)</f>
        <v>69.2514</v>
      </c>
      <c r="P156" s="45"/>
      <c r="Q156" s="45"/>
      <c r="R156" s="69">
        <f t="shared" si="88"/>
        <v>11.0113854930725</v>
      </c>
      <c r="S156" s="69">
        <f t="shared" si="89"/>
        <v>0.00165851670741646</v>
      </c>
      <c r="T156" s="70">
        <f t="shared" si="90"/>
        <v>0.0163251833740831</v>
      </c>
      <c r="U156" s="69"/>
      <c r="V156" s="69"/>
      <c r="W156" s="71">
        <f t="shared" si="85"/>
        <v>11.029369193154</v>
      </c>
      <c r="X156" s="72">
        <f t="shared" si="91"/>
        <v>0.151196658516707</v>
      </c>
      <c r="Y156" s="72"/>
      <c r="Z156" s="72"/>
      <c r="AA156" s="72">
        <f t="shared" si="86"/>
        <v>0.151196658516707</v>
      </c>
      <c r="AB156" s="81">
        <v>7.11</v>
      </c>
      <c r="AC156" s="69">
        <f t="shared" si="84"/>
        <v>1.07500824205379</v>
      </c>
      <c r="AD156" s="69">
        <f t="shared" si="83"/>
        <v>12.1043774352078</v>
      </c>
      <c r="AE156" s="69">
        <f t="shared" si="87"/>
        <v>57.1470225647922</v>
      </c>
    </row>
    <row r="157" customFormat="1" spans="1:31">
      <c r="A157" s="19"/>
      <c r="B157" s="20"/>
      <c r="C157" s="21">
        <v>241002000003</v>
      </c>
      <c r="D157" s="22">
        <v>45580</v>
      </c>
      <c r="E157" s="22" t="s">
        <v>41</v>
      </c>
      <c r="F157" s="20" t="s">
        <v>42</v>
      </c>
      <c r="G157" s="20" t="s">
        <v>189</v>
      </c>
      <c r="H157" s="20">
        <v>26</v>
      </c>
      <c r="I157" s="43"/>
      <c r="J157" s="46">
        <v>366589.33</v>
      </c>
      <c r="K157" s="41"/>
      <c r="L157" s="47">
        <f t="shared" si="98"/>
        <v>1724.96390927913</v>
      </c>
      <c r="M157" s="48">
        <v>212.52</v>
      </c>
      <c r="N157" s="42">
        <v>7.11</v>
      </c>
      <c r="O157" s="43">
        <f t="shared" si="99"/>
        <v>1511.0172</v>
      </c>
      <c r="P157" s="45"/>
      <c r="Q157" s="45"/>
      <c r="R157" s="69">
        <f t="shared" si="88"/>
        <v>1301.34555827221</v>
      </c>
      <c r="S157" s="69">
        <f t="shared" si="89"/>
        <v>0.1960065199674</v>
      </c>
      <c r="T157" s="70">
        <f t="shared" si="90"/>
        <v>1.92933985330073</v>
      </c>
      <c r="U157" s="69"/>
      <c r="V157" s="69"/>
      <c r="W157" s="71">
        <f t="shared" si="85"/>
        <v>1303.47090464548</v>
      </c>
      <c r="X157" s="72">
        <f t="shared" si="91"/>
        <v>17.86869600652</v>
      </c>
      <c r="Y157" s="72"/>
      <c r="Z157" s="72"/>
      <c r="AA157" s="72">
        <f t="shared" si="86"/>
        <v>17.86869600652</v>
      </c>
      <c r="AB157" s="81">
        <v>7.11</v>
      </c>
      <c r="AC157" s="69">
        <f t="shared" si="84"/>
        <v>127.046428606357</v>
      </c>
      <c r="AD157" s="69">
        <f t="shared" si="83"/>
        <v>1430.51733325183</v>
      </c>
      <c r="AE157" s="69">
        <f t="shared" si="87"/>
        <v>80.4998667481664</v>
      </c>
    </row>
    <row r="158" customFormat="1" spans="1:31">
      <c r="A158" s="19"/>
      <c r="B158" s="20"/>
      <c r="C158" s="21">
        <v>241002000004</v>
      </c>
      <c r="D158" s="22">
        <v>45580</v>
      </c>
      <c r="E158" s="22" t="s">
        <v>55</v>
      </c>
      <c r="F158" s="20" t="s">
        <v>56</v>
      </c>
      <c r="G158" s="20" t="s">
        <v>152</v>
      </c>
      <c r="H158" s="20">
        <v>7</v>
      </c>
      <c r="I158" s="39">
        <v>445.5</v>
      </c>
      <c r="J158" s="40"/>
      <c r="K158" s="41"/>
      <c r="L158" s="20"/>
      <c r="M158" s="41"/>
      <c r="N158" s="42"/>
      <c r="O158" s="43">
        <f t="shared" si="97"/>
        <v>445.5</v>
      </c>
      <c r="P158" s="45"/>
      <c r="Q158" s="45"/>
      <c r="R158" s="69">
        <f t="shared" si="88"/>
        <v>350.362265688672</v>
      </c>
      <c r="S158" s="69">
        <f t="shared" si="89"/>
        <v>0.0527709861450693</v>
      </c>
      <c r="T158" s="70">
        <f t="shared" si="90"/>
        <v>0.519437652811736</v>
      </c>
      <c r="U158" s="69"/>
      <c r="V158" s="69"/>
      <c r="W158" s="71">
        <f t="shared" si="85"/>
        <v>350.934474327628</v>
      </c>
      <c r="X158" s="72">
        <f t="shared" si="91"/>
        <v>4.81080277098614</v>
      </c>
      <c r="Y158" s="72"/>
      <c r="Z158" s="72"/>
      <c r="AA158" s="72">
        <f t="shared" si="86"/>
        <v>4.81080277098614</v>
      </c>
      <c r="AB158" s="81">
        <v>7.11</v>
      </c>
      <c r="AC158" s="69">
        <f t="shared" si="84"/>
        <v>34.2048077017115</v>
      </c>
      <c r="AD158" s="69">
        <f t="shared" si="83"/>
        <v>385.13928202934</v>
      </c>
      <c r="AE158" s="69">
        <f t="shared" si="87"/>
        <v>60.3607179706601</v>
      </c>
    </row>
    <row r="159" customFormat="1" spans="1:31">
      <c r="A159" s="19"/>
      <c r="B159" s="20"/>
      <c r="C159" s="21">
        <v>241002000007</v>
      </c>
      <c r="D159" s="22">
        <v>45580</v>
      </c>
      <c r="E159" s="22" t="s">
        <v>41</v>
      </c>
      <c r="F159" s="20" t="s">
        <v>42</v>
      </c>
      <c r="G159" s="20" t="s">
        <v>148</v>
      </c>
      <c r="H159" s="20">
        <v>14</v>
      </c>
      <c r="I159" s="39">
        <v>976</v>
      </c>
      <c r="J159" s="40"/>
      <c r="K159" s="41"/>
      <c r="L159" s="20"/>
      <c r="M159" s="41"/>
      <c r="N159" s="42"/>
      <c r="O159" s="43">
        <f t="shared" si="97"/>
        <v>976</v>
      </c>
      <c r="P159" s="45"/>
      <c r="Q159" s="45"/>
      <c r="R159" s="69">
        <f t="shared" si="88"/>
        <v>700.724531377343</v>
      </c>
      <c r="S159" s="69">
        <f t="shared" si="89"/>
        <v>0.105541972290139</v>
      </c>
      <c r="T159" s="70">
        <f t="shared" si="90"/>
        <v>1.03887530562347</v>
      </c>
      <c r="U159" s="69"/>
      <c r="V159" s="69"/>
      <c r="W159" s="71">
        <f t="shared" si="85"/>
        <v>701.868948655257</v>
      </c>
      <c r="X159" s="72">
        <f t="shared" si="91"/>
        <v>9.62160554197229</v>
      </c>
      <c r="Y159" s="72"/>
      <c r="Z159" s="72"/>
      <c r="AA159" s="72">
        <f t="shared" si="86"/>
        <v>9.62160554197229</v>
      </c>
      <c r="AB159" s="81">
        <v>7.11</v>
      </c>
      <c r="AC159" s="69">
        <f t="shared" si="84"/>
        <v>68.409615403423</v>
      </c>
      <c r="AD159" s="69">
        <f t="shared" si="83"/>
        <v>770.27856405868</v>
      </c>
      <c r="AE159" s="69">
        <f t="shared" si="87"/>
        <v>205.72143594132</v>
      </c>
    </row>
    <row r="160" customFormat="1" spans="1:31">
      <c r="A160" s="19"/>
      <c r="B160" s="20"/>
      <c r="C160" s="21">
        <v>241002000008</v>
      </c>
      <c r="D160" s="22">
        <v>45580</v>
      </c>
      <c r="E160" s="22" t="s">
        <v>41</v>
      </c>
      <c r="F160" s="20" t="s">
        <v>42</v>
      </c>
      <c r="G160" s="20" t="s">
        <v>190</v>
      </c>
      <c r="H160" s="20">
        <v>1</v>
      </c>
      <c r="I160" s="43"/>
      <c r="J160" s="46">
        <v>63478.1</v>
      </c>
      <c r="K160" s="41"/>
      <c r="L160" s="47">
        <f t="shared" si="98"/>
        <v>1711</v>
      </c>
      <c r="M160" s="48">
        <v>37.1</v>
      </c>
      <c r="N160" s="42">
        <v>7.11</v>
      </c>
      <c r="O160" s="43">
        <f t="shared" si="99"/>
        <v>263.781</v>
      </c>
      <c r="P160" s="45"/>
      <c r="Q160" s="45"/>
      <c r="R160" s="69">
        <f t="shared" si="88"/>
        <v>50.0517522412388</v>
      </c>
      <c r="S160" s="69">
        <f t="shared" si="89"/>
        <v>0.00753871230643847</v>
      </c>
      <c r="T160" s="70">
        <f t="shared" si="90"/>
        <v>0.0742053789731051</v>
      </c>
      <c r="U160" s="69"/>
      <c r="V160" s="69"/>
      <c r="W160" s="71">
        <f t="shared" si="85"/>
        <v>50.1334963325183</v>
      </c>
      <c r="X160" s="72">
        <f t="shared" si="91"/>
        <v>0.687257538712306</v>
      </c>
      <c r="Y160" s="72"/>
      <c r="Z160" s="72"/>
      <c r="AA160" s="72">
        <f t="shared" si="86"/>
        <v>0.687257538712306</v>
      </c>
      <c r="AB160" s="81">
        <v>7.11</v>
      </c>
      <c r="AC160" s="69">
        <f t="shared" si="84"/>
        <v>4.8864011002445</v>
      </c>
      <c r="AD160" s="69">
        <f t="shared" si="83"/>
        <v>55.0198974327628</v>
      </c>
      <c r="AE160" s="69">
        <f t="shared" si="87"/>
        <v>208.761102567237</v>
      </c>
    </row>
    <row r="161" customFormat="1" spans="1:31">
      <c r="A161" s="19"/>
      <c r="B161" s="20"/>
      <c r="C161" s="21">
        <v>241002000010</v>
      </c>
      <c r="D161" s="22">
        <v>45580</v>
      </c>
      <c r="E161" s="22" t="s">
        <v>135</v>
      </c>
      <c r="F161" s="20" t="s">
        <v>136</v>
      </c>
      <c r="G161" s="20" t="s">
        <v>137</v>
      </c>
      <c r="H161" s="20">
        <v>2.5</v>
      </c>
      <c r="I161" s="39">
        <v>168.3</v>
      </c>
      <c r="J161" s="40"/>
      <c r="K161" s="41"/>
      <c r="L161" s="20"/>
      <c r="M161" s="41"/>
      <c r="N161" s="42"/>
      <c r="O161" s="43">
        <f t="shared" ref="O161:O163" si="100">SUM(I161)</f>
        <v>168.3</v>
      </c>
      <c r="P161" s="45"/>
      <c r="Q161" s="45"/>
      <c r="R161" s="69">
        <f t="shared" si="88"/>
        <v>125.129380603097</v>
      </c>
      <c r="S161" s="69">
        <f t="shared" si="89"/>
        <v>0.0188467807660962</v>
      </c>
      <c r="T161" s="70">
        <f t="shared" si="90"/>
        <v>0.185513447432763</v>
      </c>
      <c r="U161" s="69"/>
      <c r="V161" s="69"/>
      <c r="W161" s="71">
        <f t="shared" si="85"/>
        <v>125.333740831296</v>
      </c>
      <c r="X161" s="72">
        <f t="shared" si="91"/>
        <v>1.71814384678077</v>
      </c>
      <c r="Y161" s="72"/>
      <c r="Z161" s="72"/>
      <c r="AA161" s="72">
        <f t="shared" si="86"/>
        <v>1.71814384678077</v>
      </c>
      <c r="AB161" s="81">
        <v>7.11</v>
      </c>
      <c r="AC161" s="69">
        <f t="shared" si="84"/>
        <v>12.2160027506112</v>
      </c>
      <c r="AD161" s="69">
        <f t="shared" si="83"/>
        <v>137.549743581907</v>
      </c>
      <c r="AE161" s="69">
        <f t="shared" si="87"/>
        <v>30.7502564180929</v>
      </c>
    </row>
    <row r="162" customFormat="1" spans="1:31">
      <c r="A162" s="19"/>
      <c r="B162" s="20"/>
      <c r="C162" s="21">
        <v>241002000011</v>
      </c>
      <c r="D162" s="22">
        <v>45580</v>
      </c>
      <c r="E162" s="22" t="s">
        <v>47</v>
      </c>
      <c r="F162" s="20" t="s">
        <v>47</v>
      </c>
      <c r="G162" s="20" t="s">
        <v>191</v>
      </c>
      <c r="H162" s="20">
        <v>2.5</v>
      </c>
      <c r="I162" s="39">
        <v>235.2</v>
      </c>
      <c r="J162" s="40"/>
      <c r="K162" s="41"/>
      <c r="L162" s="20"/>
      <c r="M162" s="41"/>
      <c r="N162" s="42"/>
      <c r="O162" s="43">
        <f t="shared" si="100"/>
        <v>235.2</v>
      </c>
      <c r="P162" s="45"/>
      <c r="Q162" s="45"/>
      <c r="R162" s="69">
        <f t="shared" si="88"/>
        <v>125.129380603097</v>
      </c>
      <c r="S162" s="69">
        <f t="shared" si="89"/>
        <v>0.0188467807660962</v>
      </c>
      <c r="T162" s="70">
        <f t="shared" si="90"/>
        <v>0.185513447432763</v>
      </c>
      <c r="U162" s="69"/>
      <c r="V162" s="69"/>
      <c r="W162" s="71">
        <f t="shared" si="85"/>
        <v>125.333740831296</v>
      </c>
      <c r="X162" s="72">
        <f t="shared" si="91"/>
        <v>1.71814384678077</v>
      </c>
      <c r="Y162" s="72"/>
      <c r="Z162" s="72"/>
      <c r="AA162" s="72">
        <f t="shared" si="86"/>
        <v>1.71814384678077</v>
      </c>
      <c r="AB162" s="81">
        <v>7.11</v>
      </c>
      <c r="AC162" s="69">
        <f t="shared" si="84"/>
        <v>12.2160027506112</v>
      </c>
      <c r="AD162" s="69">
        <f t="shared" ref="AD162:AD193" si="101">SUM(W162+AC162)</f>
        <v>137.549743581907</v>
      </c>
      <c r="AE162" s="69">
        <f t="shared" si="87"/>
        <v>97.6502564180929</v>
      </c>
    </row>
    <row r="163" customFormat="1" spans="1:31">
      <c r="A163" s="19"/>
      <c r="B163" s="20"/>
      <c r="C163" s="21">
        <v>241003000003</v>
      </c>
      <c r="D163" s="22">
        <v>45580</v>
      </c>
      <c r="E163" s="22" t="s">
        <v>41</v>
      </c>
      <c r="F163" s="20" t="s">
        <v>42</v>
      </c>
      <c r="G163" s="20" t="s">
        <v>192</v>
      </c>
      <c r="H163" s="20">
        <v>14</v>
      </c>
      <c r="I163" s="39">
        <v>789</v>
      </c>
      <c r="J163" s="40"/>
      <c r="K163" s="41"/>
      <c r="L163" s="20"/>
      <c r="M163" s="41"/>
      <c r="N163" s="42"/>
      <c r="O163" s="43">
        <f t="shared" si="100"/>
        <v>789</v>
      </c>
      <c r="P163" s="45"/>
      <c r="Q163" s="45"/>
      <c r="R163" s="69">
        <f t="shared" si="88"/>
        <v>700.724531377343</v>
      </c>
      <c r="S163" s="69">
        <f t="shared" si="89"/>
        <v>0.105541972290139</v>
      </c>
      <c r="T163" s="70">
        <f t="shared" si="90"/>
        <v>1.03887530562347</v>
      </c>
      <c r="U163" s="69"/>
      <c r="V163" s="69"/>
      <c r="W163" s="71">
        <f t="shared" si="85"/>
        <v>701.868948655257</v>
      </c>
      <c r="X163" s="72">
        <f t="shared" si="91"/>
        <v>9.62160554197229</v>
      </c>
      <c r="Y163" s="72"/>
      <c r="Z163" s="72"/>
      <c r="AA163" s="72">
        <f t="shared" si="86"/>
        <v>9.62160554197229</v>
      </c>
      <c r="AB163" s="81">
        <v>7.11</v>
      </c>
      <c r="AC163" s="69">
        <f t="shared" ref="AC163:AC194" si="102">SUM(AA163*AB163)</f>
        <v>68.409615403423</v>
      </c>
      <c r="AD163" s="69">
        <f t="shared" si="101"/>
        <v>770.27856405868</v>
      </c>
      <c r="AE163" s="69">
        <f t="shared" si="87"/>
        <v>18.7214359413202</v>
      </c>
    </row>
    <row r="164" customFormat="1" spans="1:31">
      <c r="A164" s="19"/>
      <c r="B164" s="20"/>
      <c r="C164" s="21">
        <v>241003000006</v>
      </c>
      <c r="D164" s="22">
        <v>45580</v>
      </c>
      <c r="E164" s="22" t="s">
        <v>41</v>
      </c>
      <c r="F164" s="20" t="s">
        <v>42</v>
      </c>
      <c r="G164" s="20" t="s">
        <v>185</v>
      </c>
      <c r="H164" s="20">
        <v>8</v>
      </c>
      <c r="I164" s="50"/>
      <c r="J164" s="46">
        <v>123444</v>
      </c>
      <c r="K164" s="41"/>
      <c r="L164" s="47">
        <f>SUM(J164/M164)</f>
        <v>1727.21421575486</v>
      </c>
      <c r="M164" s="48">
        <v>71.47</v>
      </c>
      <c r="N164" s="42">
        <v>7.11</v>
      </c>
      <c r="O164" s="43">
        <f>SUM(M164*N164)</f>
        <v>508.1517</v>
      </c>
      <c r="P164" s="45"/>
      <c r="Q164" s="45"/>
      <c r="R164" s="69">
        <f t="shared" si="88"/>
        <v>400.41401792991</v>
      </c>
      <c r="S164" s="69">
        <f t="shared" si="89"/>
        <v>0.0603096984515077</v>
      </c>
      <c r="T164" s="70">
        <f t="shared" si="90"/>
        <v>0.593643031784841</v>
      </c>
      <c r="U164" s="69"/>
      <c r="V164" s="69"/>
      <c r="W164" s="71">
        <f t="shared" ref="W164:W195" si="103">SUM(R164:V164)</f>
        <v>401.067970660147</v>
      </c>
      <c r="X164" s="72">
        <f t="shared" si="91"/>
        <v>5.49806030969845</v>
      </c>
      <c r="Y164" s="72"/>
      <c r="Z164" s="72"/>
      <c r="AA164" s="72">
        <f t="shared" ref="AA164:AA195" si="104">SUM(X164:Z164)</f>
        <v>5.49806030969845</v>
      </c>
      <c r="AB164" s="81">
        <v>7.11</v>
      </c>
      <c r="AC164" s="69">
        <f t="shared" si="102"/>
        <v>39.091208801956</v>
      </c>
      <c r="AD164" s="69">
        <f t="shared" si="101"/>
        <v>440.159179462103</v>
      </c>
      <c r="AE164" s="69">
        <f t="shared" ref="AE164:AE195" si="105">SUM(O164-AD164)</f>
        <v>67.9925205378973</v>
      </c>
    </row>
    <row r="165" customFormat="1" spans="1:31">
      <c r="A165" s="19"/>
      <c r="B165" s="20"/>
      <c r="C165" s="21">
        <v>241003000007</v>
      </c>
      <c r="D165" s="22">
        <v>45580</v>
      </c>
      <c r="E165" s="22" t="s">
        <v>55</v>
      </c>
      <c r="F165" s="20" t="s">
        <v>56</v>
      </c>
      <c r="G165" s="20" t="s">
        <v>193</v>
      </c>
      <c r="H165" s="20">
        <v>4</v>
      </c>
      <c r="I165" s="43"/>
      <c r="J165" s="46">
        <v>66415</v>
      </c>
      <c r="K165" s="41"/>
      <c r="L165" s="47">
        <f>SUM(J165/M165)</f>
        <v>1734.97910135841</v>
      </c>
      <c r="M165" s="48">
        <v>38.28</v>
      </c>
      <c r="N165" s="42">
        <v>7.11</v>
      </c>
      <c r="O165" s="43">
        <f>SUM(M165*N165)</f>
        <v>272.1708</v>
      </c>
      <c r="P165" s="45"/>
      <c r="Q165" s="45"/>
      <c r="R165" s="69">
        <f t="shared" si="88"/>
        <v>200.207008964955</v>
      </c>
      <c r="S165" s="69">
        <f t="shared" si="89"/>
        <v>0.0301548492257539</v>
      </c>
      <c r="T165" s="70">
        <f t="shared" si="90"/>
        <v>0.296821515892421</v>
      </c>
      <c r="U165" s="69"/>
      <c r="V165" s="69"/>
      <c r="W165" s="71">
        <f t="shared" si="103"/>
        <v>200.533985330073</v>
      </c>
      <c r="X165" s="72">
        <f t="shared" si="91"/>
        <v>2.74903015484923</v>
      </c>
      <c r="Y165" s="72"/>
      <c r="Z165" s="72"/>
      <c r="AA165" s="72">
        <f t="shared" si="104"/>
        <v>2.74903015484923</v>
      </c>
      <c r="AB165" s="81">
        <v>7.11</v>
      </c>
      <c r="AC165" s="69">
        <f t="shared" si="102"/>
        <v>19.545604400978</v>
      </c>
      <c r="AD165" s="69">
        <f t="shared" si="101"/>
        <v>220.079589731051</v>
      </c>
      <c r="AE165" s="69">
        <f t="shared" si="105"/>
        <v>52.0912102689486</v>
      </c>
    </row>
    <row r="166" customFormat="1" spans="1:31">
      <c r="A166" s="19"/>
      <c r="B166" s="20"/>
      <c r="C166" s="82">
        <v>241004000004</v>
      </c>
      <c r="D166" s="83">
        <v>45580</v>
      </c>
      <c r="E166" s="22" t="s">
        <v>37</v>
      </c>
      <c r="F166" s="84" t="s">
        <v>38</v>
      </c>
      <c r="G166" s="84" t="s">
        <v>194</v>
      </c>
      <c r="H166" s="84">
        <v>5.5</v>
      </c>
      <c r="I166" s="88">
        <v>402.6</v>
      </c>
      <c r="J166" s="40"/>
      <c r="K166" s="41"/>
      <c r="L166" s="20"/>
      <c r="M166" s="41"/>
      <c r="N166" s="42"/>
      <c r="O166" s="43">
        <f t="shared" ref="O166:O171" si="106">SUM(I166)</f>
        <v>402.6</v>
      </c>
      <c r="P166" s="45"/>
      <c r="Q166" s="45"/>
      <c r="R166" s="69">
        <f t="shared" ref="R166:R197" si="107">SUM(245654/4908)*H166</f>
        <v>275.284637326813</v>
      </c>
      <c r="S166" s="69">
        <f t="shared" ref="S166:S197" si="108">SUM(37/4908)*H166</f>
        <v>0.0414629176854116</v>
      </c>
      <c r="T166" s="70">
        <f t="shared" ref="T166:T197" si="109">SUM(364.2/4908)*H166</f>
        <v>0.408129584352078</v>
      </c>
      <c r="U166" s="69"/>
      <c r="V166" s="69"/>
      <c r="W166" s="71">
        <f t="shared" si="103"/>
        <v>275.734229828851</v>
      </c>
      <c r="X166" s="72">
        <f t="shared" ref="X166:X197" si="110">SUM(3373.06/4908)*H166</f>
        <v>3.77991646291769</v>
      </c>
      <c r="Y166" s="72"/>
      <c r="Z166" s="72"/>
      <c r="AA166" s="72">
        <f t="shared" si="104"/>
        <v>3.77991646291769</v>
      </c>
      <c r="AB166" s="81">
        <v>7.11</v>
      </c>
      <c r="AC166" s="69">
        <f t="shared" si="102"/>
        <v>26.8752060513447</v>
      </c>
      <c r="AD166" s="69">
        <f t="shared" si="101"/>
        <v>302.609435880196</v>
      </c>
      <c r="AE166" s="69">
        <f t="shared" si="105"/>
        <v>99.9905641198044</v>
      </c>
    </row>
    <row r="167" customFormat="1" spans="1:31">
      <c r="A167" s="19"/>
      <c r="B167" s="20"/>
      <c r="C167" s="21">
        <v>241004000005</v>
      </c>
      <c r="D167" s="22">
        <v>45580</v>
      </c>
      <c r="E167" s="22" t="s">
        <v>37</v>
      </c>
      <c r="F167" s="20" t="s">
        <v>38</v>
      </c>
      <c r="G167" s="20" t="s">
        <v>194</v>
      </c>
      <c r="H167" s="20">
        <v>8.5</v>
      </c>
      <c r="I167" s="39">
        <v>595.65</v>
      </c>
      <c r="J167" s="40"/>
      <c r="K167" s="41"/>
      <c r="L167" s="20"/>
      <c r="M167" s="41"/>
      <c r="N167" s="42"/>
      <c r="O167" s="43">
        <f t="shared" si="106"/>
        <v>595.65</v>
      </c>
      <c r="P167" s="45"/>
      <c r="Q167" s="45"/>
      <c r="R167" s="69">
        <f t="shared" si="107"/>
        <v>425.43989405053</v>
      </c>
      <c r="S167" s="69">
        <f t="shared" si="108"/>
        <v>0.064079054604727</v>
      </c>
      <c r="T167" s="70">
        <f t="shared" si="109"/>
        <v>0.630745721271394</v>
      </c>
      <c r="U167" s="69"/>
      <c r="V167" s="69"/>
      <c r="W167" s="71">
        <f t="shared" si="103"/>
        <v>426.134718826406</v>
      </c>
      <c r="X167" s="72">
        <f t="shared" si="110"/>
        <v>5.8416890790546</v>
      </c>
      <c r="Y167" s="72"/>
      <c r="Z167" s="72"/>
      <c r="AA167" s="72">
        <f t="shared" si="104"/>
        <v>5.8416890790546</v>
      </c>
      <c r="AB167" s="81">
        <v>7.11</v>
      </c>
      <c r="AC167" s="69">
        <f t="shared" si="102"/>
        <v>41.5344093520782</v>
      </c>
      <c r="AD167" s="69">
        <f t="shared" si="101"/>
        <v>467.669128178484</v>
      </c>
      <c r="AE167" s="69">
        <f t="shared" si="105"/>
        <v>127.980871821516</v>
      </c>
    </row>
    <row r="168" customFormat="1" spans="1:31">
      <c r="A168" s="19"/>
      <c r="B168" s="20"/>
      <c r="C168" s="21">
        <v>241004000009</v>
      </c>
      <c r="D168" s="22">
        <v>45580</v>
      </c>
      <c r="E168" s="22" t="s">
        <v>37</v>
      </c>
      <c r="F168" s="20" t="s">
        <v>38</v>
      </c>
      <c r="G168" s="20" t="s">
        <v>195</v>
      </c>
      <c r="H168" s="20">
        <v>4</v>
      </c>
      <c r="I168" s="39">
        <v>243</v>
      </c>
      <c r="J168" s="40"/>
      <c r="K168" s="41"/>
      <c r="L168" s="20"/>
      <c r="M168" s="41"/>
      <c r="N168" s="42"/>
      <c r="O168" s="43">
        <f t="shared" si="106"/>
        <v>243</v>
      </c>
      <c r="P168" s="45"/>
      <c r="Q168" s="45"/>
      <c r="R168" s="69">
        <f t="shared" si="107"/>
        <v>200.207008964955</v>
      </c>
      <c r="S168" s="69">
        <f t="shared" si="108"/>
        <v>0.0301548492257539</v>
      </c>
      <c r="T168" s="70">
        <f t="shared" si="109"/>
        <v>0.296821515892421</v>
      </c>
      <c r="U168" s="69"/>
      <c r="V168" s="69"/>
      <c r="W168" s="71">
        <f t="shared" si="103"/>
        <v>200.533985330073</v>
      </c>
      <c r="X168" s="72">
        <f t="shared" si="110"/>
        <v>2.74903015484923</v>
      </c>
      <c r="Y168" s="72"/>
      <c r="Z168" s="72"/>
      <c r="AA168" s="72">
        <f t="shared" si="104"/>
        <v>2.74903015484923</v>
      </c>
      <c r="AB168" s="81">
        <v>7.11</v>
      </c>
      <c r="AC168" s="69">
        <f t="shared" si="102"/>
        <v>19.545604400978</v>
      </c>
      <c r="AD168" s="69">
        <f t="shared" si="101"/>
        <v>220.079589731051</v>
      </c>
      <c r="AE168" s="69">
        <f t="shared" si="105"/>
        <v>22.9204102689486</v>
      </c>
    </row>
    <row r="169" customFormat="1" spans="1:31">
      <c r="A169" s="19"/>
      <c r="B169" s="20"/>
      <c r="C169" s="21">
        <v>241004000011</v>
      </c>
      <c r="D169" s="22">
        <v>45580</v>
      </c>
      <c r="E169" s="22" t="s">
        <v>47</v>
      </c>
      <c r="F169" s="20" t="s">
        <v>51</v>
      </c>
      <c r="G169" s="20" t="s">
        <v>52</v>
      </c>
      <c r="H169" s="20">
        <v>3.5</v>
      </c>
      <c r="I169" s="39">
        <v>257.4</v>
      </c>
      <c r="J169" s="40"/>
      <c r="K169" s="41"/>
      <c r="L169" s="20"/>
      <c r="M169" s="41"/>
      <c r="N169" s="42"/>
      <c r="O169" s="43">
        <f t="shared" si="106"/>
        <v>257.4</v>
      </c>
      <c r="P169" s="45"/>
      <c r="Q169" s="45"/>
      <c r="R169" s="69">
        <f t="shared" si="107"/>
        <v>175.181132844336</v>
      </c>
      <c r="S169" s="69">
        <f t="shared" si="108"/>
        <v>0.0263854930725346</v>
      </c>
      <c r="T169" s="70">
        <f t="shared" si="109"/>
        <v>0.259718826405868</v>
      </c>
      <c r="U169" s="69"/>
      <c r="V169" s="69"/>
      <c r="W169" s="71">
        <f t="shared" si="103"/>
        <v>175.467237163814</v>
      </c>
      <c r="X169" s="72">
        <f t="shared" si="110"/>
        <v>2.40540138549307</v>
      </c>
      <c r="Y169" s="72"/>
      <c r="Z169" s="72"/>
      <c r="AA169" s="72">
        <f t="shared" si="104"/>
        <v>2.40540138549307</v>
      </c>
      <c r="AB169" s="81">
        <v>7.11</v>
      </c>
      <c r="AC169" s="69">
        <f t="shared" si="102"/>
        <v>17.1024038508557</v>
      </c>
      <c r="AD169" s="69">
        <f t="shared" si="101"/>
        <v>192.56964101467</v>
      </c>
      <c r="AE169" s="69">
        <f t="shared" si="105"/>
        <v>64.83035898533</v>
      </c>
    </row>
    <row r="170" customFormat="1" spans="1:31">
      <c r="A170" s="19"/>
      <c r="B170" s="20"/>
      <c r="C170" s="21">
        <v>241004000017</v>
      </c>
      <c r="D170" s="22">
        <v>45580</v>
      </c>
      <c r="E170" s="22" t="s">
        <v>41</v>
      </c>
      <c r="F170" s="20" t="s">
        <v>42</v>
      </c>
      <c r="G170" s="20" t="s">
        <v>188</v>
      </c>
      <c r="H170" s="20">
        <v>18</v>
      </c>
      <c r="I170" s="39">
        <v>1135</v>
      </c>
      <c r="J170" s="40"/>
      <c r="K170" s="41"/>
      <c r="L170" s="20"/>
      <c r="M170" s="41"/>
      <c r="N170" s="42"/>
      <c r="O170" s="43">
        <f t="shared" si="106"/>
        <v>1135</v>
      </c>
      <c r="P170" s="45"/>
      <c r="Q170" s="45"/>
      <c r="R170" s="69">
        <f t="shared" si="107"/>
        <v>900.931540342298</v>
      </c>
      <c r="S170" s="69">
        <f t="shared" si="108"/>
        <v>0.135696821515892</v>
      </c>
      <c r="T170" s="70">
        <f t="shared" si="109"/>
        <v>1.33569682151589</v>
      </c>
      <c r="U170" s="69"/>
      <c r="V170" s="69"/>
      <c r="W170" s="71">
        <f t="shared" si="103"/>
        <v>902.40293398533</v>
      </c>
      <c r="X170" s="72">
        <f t="shared" si="110"/>
        <v>12.3706356968215</v>
      </c>
      <c r="Y170" s="72"/>
      <c r="Z170" s="72"/>
      <c r="AA170" s="72">
        <f t="shared" si="104"/>
        <v>12.3706356968215</v>
      </c>
      <c r="AB170" s="81">
        <v>7.11</v>
      </c>
      <c r="AC170" s="69">
        <f t="shared" si="102"/>
        <v>87.955219804401</v>
      </c>
      <c r="AD170" s="69">
        <f t="shared" si="101"/>
        <v>990.358153789731</v>
      </c>
      <c r="AE170" s="69">
        <f t="shared" si="105"/>
        <v>144.641846210269</v>
      </c>
    </row>
    <row r="171" customFormat="1" spans="1:31">
      <c r="A171" s="19"/>
      <c r="B171" s="20"/>
      <c r="C171" s="21">
        <v>241005000001</v>
      </c>
      <c r="D171" s="22">
        <v>45580</v>
      </c>
      <c r="E171" s="22" t="s">
        <v>37</v>
      </c>
      <c r="F171" s="20" t="s">
        <v>196</v>
      </c>
      <c r="G171" s="20" t="s">
        <v>197</v>
      </c>
      <c r="H171" s="20">
        <v>15</v>
      </c>
      <c r="I171" s="39">
        <v>1046.1</v>
      </c>
      <c r="J171" s="40"/>
      <c r="K171" s="41"/>
      <c r="L171" s="20"/>
      <c r="M171" s="41"/>
      <c r="N171" s="42"/>
      <c r="O171" s="43">
        <f t="shared" si="106"/>
        <v>1046.1</v>
      </c>
      <c r="P171" s="45"/>
      <c r="Q171" s="45"/>
      <c r="R171" s="69">
        <f t="shared" si="107"/>
        <v>750.776283618582</v>
      </c>
      <c r="S171" s="69">
        <f t="shared" si="108"/>
        <v>0.113080684596577</v>
      </c>
      <c r="T171" s="70">
        <f t="shared" si="109"/>
        <v>1.11308068459658</v>
      </c>
      <c r="U171" s="69"/>
      <c r="V171" s="69"/>
      <c r="W171" s="71">
        <f t="shared" si="103"/>
        <v>752.002444987775</v>
      </c>
      <c r="X171" s="72">
        <f t="shared" si="110"/>
        <v>10.3088630806846</v>
      </c>
      <c r="Y171" s="72"/>
      <c r="Z171" s="72"/>
      <c r="AA171" s="72">
        <f t="shared" si="104"/>
        <v>10.3088630806846</v>
      </c>
      <c r="AB171" s="81">
        <v>7.11</v>
      </c>
      <c r="AC171" s="69">
        <f t="shared" si="102"/>
        <v>73.2960165036675</v>
      </c>
      <c r="AD171" s="69">
        <f t="shared" si="101"/>
        <v>825.298461491442</v>
      </c>
      <c r="AE171" s="69">
        <f t="shared" si="105"/>
        <v>220.801538508557</v>
      </c>
    </row>
    <row r="172" customFormat="1" spans="1:31">
      <c r="A172" s="19"/>
      <c r="B172" s="20"/>
      <c r="C172" s="21">
        <v>241005000011</v>
      </c>
      <c r="D172" s="22">
        <v>45580</v>
      </c>
      <c r="E172" s="22" t="s">
        <v>41</v>
      </c>
      <c r="F172" s="20" t="s">
        <v>42</v>
      </c>
      <c r="G172" s="20" t="s">
        <v>117</v>
      </c>
      <c r="H172" s="20">
        <v>6</v>
      </c>
      <c r="I172" s="87">
        <v>382</v>
      </c>
      <c r="J172" s="40"/>
      <c r="K172" s="41"/>
      <c r="L172" s="20"/>
      <c r="M172" s="41"/>
      <c r="N172" s="42"/>
      <c r="O172" s="43">
        <f>SUBTOTAL(9,I172)</f>
        <v>382</v>
      </c>
      <c r="P172" s="45"/>
      <c r="Q172" s="45"/>
      <c r="R172" s="69">
        <f t="shared" si="107"/>
        <v>300.310513447433</v>
      </c>
      <c r="S172" s="69">
        <f t="shared" si="108"/>
        <v>0.0452322738386308</v>
      </c>
      <c r="T172" s="70">
        <f t="shared" si="109"/>
        <v>0.445232273838631</v>
      </c>
      <c r="U172" s="69"/>
      <c r="V172" s="69"/>
      <c r="W172" s="71">
        <f t="shared" si="103"/>
        <v>300.80097799511</v>
      </c>
      <c r="X172" s="72">
        <f t="shared" si="110"/>
        <v>4.12354523227384</v>
      </c>
      <c r="Y172" s="72"/>
      <c r="Z172" s="72"/>
      <c r="AA172" s="72">
        <f t="shared" si="104"/>
        <v>4.12354523227384</v>
      </c>
      <c r="AB172" s="81">
        <v>7.11</v>
      </c>
      <c r="AC172" s="69">
        <f t="shared" si="102"/>
        <v>29.318406601467</v>
      </c>
      <c r="AD172" s="69">
        <f t="shared" si="101"/>
        <v>330.119384596577</v>
      </c>
      <c r="AE172" s="69">
        <f t="shared" si="105"/>
        <v>51.880615403423</v>
      </c>
    </row>
    <row r="173" customFormat="1" spans="1:31">
      <c r="A173" s="19"/>
      <c r="B173" s="20"/>
      <c r="C173" s="21">
        <v>241006000001</v>
      </c>
      <c r="D173" s="22">
        <v>45580</v>
      </c>
      <c r="E173" s="22" t="s">
        <v>88</v>
      </c>
      <c r="F173" s="20" t="s">
        <v>198</v>
      </c>
      <c r="G173" s="20" t="s">
        <v>199</v>
      </c>
      <c r="H173" s="20">
        <v>0.52</v>
      </c>
      <c r="I173" s="39">
        <v>75.9</v>
      </c>
      <c r="J173" s="40"/>
      <c r="K173" s="41"/>
      <c r="L173" s="20"/>
      <c r="M173" s="41"/>
      <c r="N173" s="42"/>
      <c r="O173" s="43">
        <f t="shared" ref="O173:O182" si="111">SUM(I173)</f>
        <v>75.9</v>
      </c>
      <c r="P173" s="45"/>
      <c r="Q173" s="45"/>
      <c r="R173" s="69">
        <f t="shared" si="107"/>
        <v>26.0269111654442</v>
      </c>
      <c r="S173" s="69">
        <f t="shared" si="108"/>
        <v>0.003920130399348</v>
      </c>
      <c r="T173" s="70">
        <f t="shared" si="109"/>
        <v>0.0385867970660147</v>
      </c>
      <c r="U173" s="69"/>
      <c r="V173" s="69"/>
      <c r="W173" s="71">
        <f t="shared" si="103"/>
        <v>26.0694180929095</v>
      </c>
      <c r="X173" s="72">
        <f t="shared" si="110"/>
        <v>0.357373920130399</v>
      </c>
      <c r="Y173" s="72"/>
      <c r="Z173" s="72"/>
      <c r="AA173" s="72">
        <f t="shared" si="104"/>
        <v>0.357373920130399</v>
      </c>
      <c r="AB173" s="81">
        <v>7.11</v>
      </c>
      <c r="AC173" s="69">
        <f t="shared" si="102"/>
        <v>2.54092857212714</v>
      </c>
      <c r="AD173" s="69">
        <f t="shared" si="101"/>
        <v>28.6103466650367</v>
      </c>
      <c r="AE173" s="69">
        <f t="shared" si="105"/>
        <v>47.2896533349633</v>
      </c>
    </row>
    <row r="174" customFormat="1" spans="1:31">
      <c r="A174" s="19"/>
      <c r="B174" s="20"/>
      <c r="C174" s="21">
        <v>241006000003</v>
      </c>
      <c r="D174" s="22">
        <v>45580</v>
      </c>
      <c r="E174" s="22" t="s">
        <v>41</v>
      </c>
      <c r="F174" s="20" t="s">
        <v>42</v>
      </c>
      <c r="G174" s="20" t="s">
        <v>188</v>
      </c>
      <c r="H174" s="20">
        <v>1.5</v>
      </c>
      <c r="I174" s="39">
        <v>102</v>
      </c>
      <c r="J174" s="40"/>
      <c r="K174" s="41"/>
      <c r="L174" s="20"/>
      <c r="M174" s="41"/>
      <c r="N174" s="42"/>
      <c r="O174" s="43">
        <f t="shared" si="111"/>
        <v>102</v>
      </c>
      <c r="P174" s="45"/>
      <c r="Q174" s="45"/>
      <c r="R174" s="69">
        <f t="shared" si="107"/>
        <v>75.0776283618582</v>
      </c>
      <c r="S174" s="69">
        <f t="shared" si="108"/>
        <v>0.0113080684596577</v>
      </c>
      <c r="T174" s="70">
        <f t="shared" si="109"/>
        <v>0.111308068459658</v>
      </c>
      <c r="U174" s="69"/>
      <c r="V174" s="69"/>
      <c r="W174" s="71">
        <f t="shared" si="103"/>
        <v>75.2002444987775</v>
      </c>
      <c r="X174" s="72">
        <f t="shared" si="110"/>
        <v>1.03088630806846</v>
      </c>
      <c r="Y174" s="72"/>
      <c r="Z174" s="72"/>
      <c r="AA174" s="72">
        <f t="shared" si="104"/>
        <v>1.03088630806846</v>
      </c>
      <c r="AB174" s="81">
        <v>7.11</v>
      </c>
      <c r="AC174" s="69">
        <f t="shared" si="102"/>
        <v>7.32960165036675</v>
      </c>
      <c r="AD174" s="69">
        <f t="shared" si="101"/>
        <v>82.5298461491443</v>
      </c>
      <c r="AE174" s="69">
        <f t="shared" si="105"/>
        <v>19.4701538508557</v>
      </c>
    </row>
    <row r="175" customFormat="1" spans="1:31">
      <c r="A175" s="19"/>
      <c r="B175" s="20"/>
      <c r="C175" s="21">
        <v>241006000004</v>
      </c>
      <c r="D175" s="22">
        <v>45580</v>
      </c>
      <c r="E175" s="22" t="s">
        <v>41</v>
      </c>
      <c r="F175" s="20" t="s">
        <v>42</v>
      </c>
      <c r="G175" s="20" t="s">
        <v>185</v>
      </c>
      <c r="H175" s="20">
        <v>4.5</v>
      </c>
      <c r="I175" s="50"/>
      <c r="J175" s="46">
        <v>72900</v>
      </c>
      <c r="K175" s="41"/>
      <c r="L175" s="47">
        <f>SUM(J175/M175)</f>
        <v>1726.26095192991</v>
      </c>
      <c r="M175" s="48">
        <v>42.23</v>
      </c>
      <c r="N175" s="42">
        <v>7.11</v>
      </c>
      <c r="O175" s="43">
        <f>SUM(M175*N175)</f>
        <v>300.2553</v>
      </c>
      <c r="P175" s="45"/>
      <c r="Q175" s="45"/>
      <c r="R175" s="69">
        <f t="shared" si="107"/>
        <v>225.232885085575</v>
      </c>
      <c r="S175" s="69">
        <f t="shared" si="108"/>
        <v>0.0339242053789731</v>
      </c>
      <c r="T175" s="70">
        <f t="shared" si="109"/>
        <v>0.333924205378973</v>
      </c>
      <c r="U175" s="69"/>
      <c r="V175" s="69"/>
      <c r="W175" s="71">
        <f t="shared" si="103"/>
        <v>225.600733496333</v>
      </c>
      <c r="X175" s="72">
        <f t="shared" si="110"/>
        <v>3.09265892420538</v>
      </c>
      <c r="Y175" s="72"/>
      <c r="Z175" s="72"/>
      <c r="AA175" s="72">
        <f t="shared" si="104"/>
        <v>3.09265892420538</v>
      </c>
      <c r="AB175" s="81">
        <v>7.11</v>
      </c>
      <c r="AC175" s="69">
        <f t="shared" si="102"/>
        <v>21.9888049511002</v>
      </c>
      <c r="AD175" s="69">
        <f t="shared" si="101"/>
        <v>247.589538447433</v>
      </c>
      <c r="AE175" s="69">
        <f t="shared" si="105"/>
        <v>52.6657615525672</v>
      </c>
    </row>
    <row r="176" customFormat="1" spans="1:31">
      <c r="A176" s="19"/>
      <c r="B176" s="20"/>
      <c r="C176" s="21">
        <v>241007000004</v>
      </c>
      <c r="D176" s="22">
        <v>45580</v>
      </c>
      <c r="E176" s="22" t="s">
        <v>41</v>
      </c>
      <c r="F176" s="20" t="s">
        <v>42</v>
      </c>
      <c r="G176" s="20" t="s">
        <v>200</v>
      </c>
      <c r="H176" s="20">
        <v>15</v>
      </c>
      <c r="I176" s="39">
        <v>1046</v>
      </c>
      <c r="J176" s="40"/>
      <c r="K176" s="41"/>
      <c r="L176" s="20"/>
      <c r="M176" s="41"/>
      <c r="N176" s="42"/>
      <c r="O176" s="43">
        <f t="shared" si="111"/>
        <v>1046</v>
      </c>
      <c r="P176" s="45"/>
      <c r="Q176" s="45"/>
      <c r="R176" s="69">
        <f t="shared" si="107"/>
        <v>750.776283618582</v>
      </c>
      <c r="S176" s="69">
        <f t="shared" si="108"/>
        <v>0.113080684596577</v>
      </c>
      <c r="T176" s="70">
        <f t="shared" si="109"/>
        <v>1.11308068459658</v>
      </c>
      <c r="U176" s="69"/>
      <c r="V176" s="69"/>
      <c r="W176" s="71">
        <f t="shared" si="103"/>
        <v>752.002444987775</v>
      </c>
      <c r="X176" s="72">
        <f t="shared" si="110"/>
        <v>10.3088630806846</v>
      </c>
      <c r="Y176" s="72"/>
      <c r="Z176" s="72"/>
      <c r="AA176" s="72">
        <f t="shared" si="104"/>
        <v>10.3088630806846</v>
      </c>
      <c r="AB176" s="81">
        <v>7.11</v>
      </c>
      <c r="AC176" s="69">
        <f t="shared" si="102"/>
        <v>73.2960165036675</v>
      </c>
      <c r="AD176" s="69">
        <f t="shared" si="101"/>
        <v>825.298461491442</v>
      </c>
      <c r="AE176" s="69">
        <f t="shared" si="105"/>
        <v>220.701538508558</v>
      </c>
    </row>
    <row r="177" customFormat="1" spans="1:31">
      <c r="A177" s="19"/>
      <c r="B177" s="20"/>
      <c r="C177" s="21">
        <v>241007000006</v>
      </c>
      <c r="D177" s="22">
        <v>45580</v>
      </c>
      <c r="E177" s="22" t="s">
        <v>41</v>
      </c>
      <c r="F177" s="20" t="s">
        <v>42</v>
      </c>
      <c r="G177" s="20" t="s">
        <v>201</v>
      </c>
      <c r="H177" s="20">
        <v>2.5</v>
      </c>
      <c r="I177" s="39">
        <v>168</v>
      </c>
      <c r="J177" s="40"/>
      <c r="K177" s="41"/>
      <c r="L177" s="20"/>
      <c r="M177" s="41"/>
      <c r="N177" s="42"/>
      <c r="O177" s="43">
        <f t="shared" si="111"/>
        <v>168</v>
      </c>
      <c r="P177" s="45"/>
      <c r="Q177" s="45"/>
      <c r="R177" s="69">
        <f t="shared" si="107"/>
        <v>125.129380603097</v>
      </c>
      <c r="S177" s="69">
        <f t="shared" si="108"/>
        <v>0.0188467807660962</v>
      </c>
      <c r="T177" s="70">
        <f t="shared" si="109"/>
        <v>0.185513447432763</v>
      </c>
      <c r="U177" s="69"/>
      <c r="V177" s="69"/>
      <c r="W177" s="71">
        <f t="shared" si="103"/>
        <v>125.333740831296</v>
      </c>
      <c r="X177" s="72">
        <f t="shared" si="110"/>
        <v>1.71814384678077</v>
      </c>
      <c r="Y177" s="72"/>
      <c r="Z177" s="72"/>
      <c r="AA177" s="72">
        <f t="shared" si="104"/>
        <v>1.71814384678077</v>
      </c>
      <c r="AB177" s="81">
        <v>7.11</v>
      </c>
      <c r="AC177" s="69">
        <f t="shared" si="102"/>
        <v>12.2160027506112</v>
      </c>
      <c r="AD177" s="69">
        <f t="shared" si="101"/>
        <v>137.549743581907</v>
      </c>
      <c r="AE177" s="69">
        <f t="shared" si="105"/>
        <v>30.4502564180929</v>
      </c>
    </row>
    <row r="178" customFormat="1" spans="1:31">
      <c r="A178" s="19"/>
      <c r="B178" s="20"/>
      <c r="C178" s="21">
        <v>241007000008</v>
      </c>
      <c r="D178" s="22">
        <v>45580</v>
      </c>
      <c r="E178" s="22" t="s">
        <v>41</v>
      </c>
      <c r="F178" s="20" t="s">
        <v>42</v>
      </c>
      <c r="G178" s="20" t="s">
        <v>202</v>
      </c>
      <c r="H178" s="20">
        <v>4</v>
      </c>
      <c r="I178" s="39">
        <v>280</v>
      </c>
      <c r="J178" s="40"/>
      <c r="K178" s="41"/>
      <c r="L178" s="20"/>
      <c r="M178" s="41"/>
      <c r="N178" s="42"/>
      <c r="O178" s="43">
        <f t="shared" si="111"/>
        <v>280</v>
      </c>
      <c r="P178" s="45"/>
      <c r="Q178" s="45"/>
      <c r="R178" s="69">
        <f t="shared" si="107"/>
        <v>200.207008964955</v>
      </c>
      <c r="S178" s="69">
        <f t="shared" si="108"/>
        <v>0.0301548492257539</v>
      </c>
      <c r="T178" s="70">
        <f t="shared" si="109"/>
        <v>0.296821515892421</v>
      </c>
      <c r="U178" s="69"/>
      <c r="V178" s="69"/>
      <c r="W178" s="71">
        <f t="shared" si="103"/>
        <v>200.533985330073</v>
      </c>
      <c r="X178" s="72">
        <f t="shared" si="110"/>
        <v>2.74903015484923</v>
      </c>
      <c r="Y178" s="72"/>
      <c r="Z178" s="72"/>
      <c r="AA178" s="72">
        <f t="shared" si="104"/>
        <v>2.74903015484923</v>
      </c>
      <c r="AB178" s="81">
        <v>7.11</v>
      </c>
      <c r="AC178" s="69">
        <f t="shared" si="102"/>
        <v>19.545604400978</v>
      </c>
      <c r="AD178" s="69">
        <f t="shared" si="101"/>
        <v>220.079589731051</v>
      </c>
      <c r="AE178" s="69">
        <f t="shared" si="105"/>
        <v>59.9204102689486</v>
      </c>
    </row>
    <row r="179" customFormat="1" spans="1:31">
      <c r="A179" s="19"/>
      <c r="B179" s="20"/>
      <c r="C179" s="21">
        <v>241007000015</v>
      </c>
      <c r="D179" s="22">
        <v>45580</v>
      </c>
      <c r="E179" s="22" t="s">
        <v>37</v>
      </c>
      <c r="F179" s="20" t="s">
        <v>196</v>
      </c>
      <c r="G179" s="20" t="s">
        <v>197</v>
      </c>
      <c r="H179" s="20">
        <v>45</v>
      </c>
      <c r="I179" s="39">
        <v>3792.6</v>
      </c>
      <c r="J179" s="40"/>
      <c r="K179" s="41"/>
      <c r="L179" s="20"/>
      <c r="M179" s="41"/>
      <c r="N179" s="42"/>
      <c r="O179" s="43">
        <f t="shared" si="111"/>
        <v>3792.6</v>
      </c>
      <c r="P179" s="45"/>
      <c r="Q179" s="45"/>
      <c r="R179" s="69">
        <f t="shared" si="107"/>
        <v>2252.32885085575</v>
      </c>
      <c r="S179" s="69">
        <f t="shared" si="108"/>
        <v>0.339242053789731</v>
      </c>
      <c r="T179" s="70">
        <f t="shared" si="109"/>
        <v>3.33924205378973</v>
      </c>
      <c r="U179" s="69"/>
      <c r="V179" s="69"/>
      <c r="W179" s="71">
        <f t="shared" si="103"/>
        <v>2256.00733496333</v>
      </c>
      <c r="X179" s="72">
        <f t="shared" si="110"/>
        <v>30.9265892420538</v>
      </c>
      <c r="Y179" s="72"/>
      <c r="Z179" s="72"/>
      <c r="AA179" s="72">
        <f t="shared" si="104"/>
        <v>30.9265892420538</v>
      </c>
      <c r="AB179" s="81">
        <v>7.11</v>
      </c>
      <c r="AC179" s="69">
        <f t="shared" si="102"/>
        <v>219.888049511002</v>
      </c>
      <c r="AD179" s="69">
        <f t="shared" si="101"/>
        <v>2475.89538447433</v>
      </c>
      <c r="AE179" s="69">
        <f t="shared" si="105"/>
        <v>1316.70461552567</v>
      </c>
    </row>
    <row r="180" customFormat="1" spans="1:31">
      <c r="A180" s="19"/>
      <c r="B180" s="20"/>
      <c r="C180" s="21">
        <v>241007000016</v>
      </c>
      <c r="D180" s="22">
        <v>45580</v>
      </c>
      <c r="E180" s="22" t="s">
        <v>37</v>
      </c>
      <c r="F180" s="20" t="s">
        <v>203</v>
      </c>
      <c r="G180" s="20" t="s">
        <v>204</v>
      </c>
      <c r="H180" s="20">
        <v>3</v>
      </c>
      <c r="I180" s="39">
        <v>256.2</v>
      </c>
      <c r="J180" s="40"/>
      <c r="K180" s="41"/>
      <c r="L180" s="20"/>
      <c r="M180" s="41"/>
      <c r="N180" s="42"/>
      <c r="O180" s="43">
        <f t="shared" si="111"/>
        <v>256.2</v>
      </c>
      <c r="P180" s="45"/>
      <c r="Q180" s="45"/>
      <c r="R180" s="69">
        <f t="shared" si="107"/>
        <v>150.155256723716</v>
      </c>
      <c r="S180" s="69">
        <f t="shared" si="108"/>
        <v>0.0226161369193154</v>
      </c>
      <c r="T180" s="70">
        <f t="shared" si="109"/>
        <v>0.222616136919315</v>
      </c>
      <c r="U180" s="69"/>
      <c r="V180" s="69"/>
      <c r="W180" s="71">
        <f t="shared" si="103"/>
        <v>150.400488997555</v>
      </c>
      <c r="X180" s="72">
        <f t="shared" si="110"/>
        <v>2.06177261613692</v>
      </c>
      <c r="Y180" s="72"/>
      <c r="Z180" s="72"/>
      <c r="AA180" s="72">
        <f t="shared" si="104"/>
        <v>2.06177261613692</v>
      </c>
      <c r="AB180" s="81">
        <v>7.11</v>
      </c>
      <c r="AC180" s="69">
        <f t="shared" si="102"/>
        <v>14.6592033007335</v>
      </c>
      <c r="AD180" s="69">
        <f t="shared" si="101"/>
        <v>165.059692298289</v>
      </c>
      <c r="AE180" s="69">
        <f t="shared" si="105"/>
        <v>91.1403077017115</v>
      </c>
    </row>
    <row r="181" customFormat="1" spans="1:31">
      <c r="A181" s="19"/>
      <c r="B181" s="20"/>
      <c r="C181" s="21">
        <v>241008000001</v>
      </c>
      <c r="D181" s="22">
        <v>45580</v>
      </c>
      <c r="E181" s="22" t="s">
        <v>66</v>
      </c>
      <c r="F181" s="20" t="s">
        <v>67</v>
      </c>
      <c r="G181" s="20" t="s">
        <v>205</v>
      </c>
      <c r="H181" s="20">
        <v>18.5</v>
      </c>
      <c r="I181" s="39">
        <v>1258</v>
      </c>
      <c r="J181" s="40"/>
      <c r="K181" s="41"/>
      <c r="L181" s="20"/>
      <c r="M181" s="41"/>
      <c r="N181" s="42"/>
      <c r="O181" s="43">
        <f t="shared" si="111"/>
        <v>1258</v>
      </c>
      <c r="P181" s="45"/>
      <c r="Q181" s="45"/>
      <c r="R181" s="69">
        <f t="shared" si="107"/>
        <v>925.957416462918</v>
      </c>
      <c r="S181" s="69">
        <f t="shared" si="108"/>
        <v>0.139466177669112</v>
      </c>
      <c r="T181" s="70">
        <f t="shared" si="109"/>
        <v>1.37279951100244</v>
      </c>
      <c r="U181" s="69"/>
      <c r="V181" s="69"/>
      <c r="W181" s="71">
        <f t="shared" si="103"/>
        <v>927.469682151589</v>
      </c>
      <c r="X181" s="72">
        <f t="shared" si="110"/>
        <v>12.7142644661777</v>
      </c>
      <c r="Y181" s="72">
        <v>12.93</v>
      </c>
      <c r="Z181" s="72"/>
      <c r="AA181" s="72">
        <f t="shared" si="104"/>
        <v>25.6442644661777</v>
      </c>
      <c r="AB181" s="81">
        <v>7.11</v>
      </c>
      <c r="AC181" s="69">
        <f t="shared" si="102"/>
        <v>182.330720354523</v>
      </c>
      <c r="AD181" s="69">
        <f t="shared" si="101"/>
        <v>1109.80040250611</v>
      </c>
      <c r="AE181" s="69">
        <f t="shared" si="105"/>
        <v>148.199597493888</v>
      </c>
    </row>
    <row r="182" customFormat="1" spans="1:31">
      <c r="A182" s="19"/>
      <c r="B182" s="20"/>
      <c r="C182" s="21">
        <v>241008000009</v>
      </c>
      <c r="D182" s="22">
        <v>45580</v>
      </c>
      <c r="E182" s="22" t="s">
        <v>66</v>
      </c>
      <c r="F182" s="20" t="s">
        <v>67</v>
      </c>
      <c r="G182" s="20" t="s">
        <v>126</v>
      </c>
      <c r="H182" s="20">
        <v>1</v>
      </c>
      <c r="I182" s="39">
        <v>85</v>
      </c>
      <c r="J182" s="40"/>
      <c r="K182" s="41"/>
      <c r="L182" s="20"/>
      <c r="M182" s="41"/>
      <c r="N182" s="42"/>
      <c r="O182" s="43">
        <f t="shared" si="111"/>
        <v>85</v>
      </c>
      <c r="P182" s="45"/>
      <c r="Q182" s="45"/>
      <c r="R182" s="69">
        <f t="shared" si="107"/>
        <v>50.0517522412388</v>
      </c>
      <c r="S182" s="69">
        <f t="shared" si="108"/>
        <v>0.00753871230643847</v>
      </c>
      <c r="T182" s="70">
        <f t="shared" si="109"/>
        <v>0.0742053789731051</v>
      </c>
      <c r="U182" s="69"/>
      <c r="V182" s="69"/>
      <c r="W182" s="71">
        <f t="shared" si="103"/>
        <v>50.1334963325183</v>
      </c>
      <c r="X182" s="72">
        <f t="shared" si="110"/>
        <v>0.687257538712306</v>
      </c>
      <c r="Y182" s="72"/>
      <c r="Z182" s="72"/>
      <c r="AA182" s="72">
        <f t="shared" si="104"/>
        <v>0.687257538712306</v>
      </c>
      <c r="AB182" s="81">
        <v>7.11</v>
      </c>
      <c r="AC182" s="69">
        <f t="shared" si="102"/>
        <v>4.8864011002445</v>
      </c>
      <c r="AD182" s="69">
        <f t="shared" si="101"/>
        <v>55.0198974327628</v>
      </c>
      <c r="AE182" s="69">
        <f t="shared" si="105"/>
        <v>29.9801025672372</v>
      </c>
    </row>
    <row r="183" customFormat="1" spans="1:31">
      <c r="A183" s="19"/>
      <c r="B183" s="20"/>
      <c r="C183" s="21">
        <v>241008000010</v>
      </c>
      <c r="D183" s="22">
        <v>45580</v>
      </c>
      <c r="E183" s="22" t="s">
        <v>66</v>
      </c>
      <c r="F183" s="20" t="s">
        <v>67</v>
      </c>
      <c r="G183" s="20" t="s">
        <v>172</v>
      </c>
      <c r="H183" s="20">
        <v>6.5</v>
      </c>
      <c r="I183" s="50"/>
      <c r="J183" s="46">
        <v>126052.5</v>
      </c>
      <c r="K183" s="41"/>
      <c r="L183" s="47">
        <f>SUM(J183/M183)</f>
        <v>1742.01907131012</v>
      </c>
      <c r="M183" s="48">
        <v>72.36</v>
      </c>
      <c r="N183" s="42">
        <v>7.11</v>
      </c>
      <c r="O183" s="43">
        <f>SUM(M183*N183)</f>
        <v>514.4796</v>
      </c>
      <c r="P183" s="45"/>
      <c r="Q183" s="45"/>
      <c r="R183" s="69">
        <f t="shared" si="107"/>
        <v>325.336389568052</v>
      </c>
      <c r="S183" s="69">
        <f t="shared" si="108"/>
        <v>0.04900162999185</v>
      </c>
      <c r="T183" s="70">
        <f t="shared" si="109"/>
        <v>0.482334963325183</v>
      </c>
      <c r="U183" s="69"/>
      <c r="V183" s="69"/>
      <c r="W183" s="71">
        <f t="shared" si="103"/>
        <v>325.867726161369</v>
      </c>
      <c r="X183" s="72">
        <f t="shared" si="110"/>
        <v>4.46717400162999</v>
      </c>
      <c r="Y183" s="72"/>
      <c r="Z183" s="72"/>
      <c r="AA183" s="72">
        <f t="shared" si="104"/>
        <v>4.46717400162999</v>
      </c>
      <c r="AB183" s="81">
        <v>7.11</v>
      </c>
      <c r="AC183" s="69">
        <f t="shared" si="102"/>
        <v>31.7616071515892</v>
      </c>
      <c r="AD183" s="69">
        <f t="shared" si="101"/>
        <v>357.629333312958</v>
      </c>
      <c r="AE183" s="69">
        <f t="shared" si="105"/>
        <v>156.850266687042</v>
      </c>
    </row>
    <row r="184" customFormat="1" spans="1:31">
      <c r="A184" s="19"/>
      <c r="B184" s="20"/>
      <c r="C184" s="21">
        <v>241008000012</v>
      </c>
      <c r="D184" s="22">
        <v>45580</v>
      </c>
      <c r="E184" s="22" t="s">
        <v>66</v>
      </c>
      <c r="F184" s="20" t="s">
        <v>67</v>
      </c>
      <c r="G184" s="20" t="s">
        <v>68</v>
      </c>
      <c r="H184" s="20">
        <v>14</v>
      </c>
      <c r="I184" s="39">
        <v>1080</v>
      </c>
      <c r="J184" s="40"/>
      <c r="K184" s="41"/>
      <c r="L184" s="20"/>
      <c r="M184" s="41"/>
      <c r="N184" s="42"/>
      <c r="O184" s="43">
        <f t="shared" ref="O184:O199" si="112">SUM(I184)</f>
        <v>1080</v>
      </c>
      <c r="P184" s="45"/>
      <c r="Q184" s="45"/>
      <c r="R184" s="69">
        <f t="shared" si="107"/>
        <v>700.724531377343</v>
      </c>
      <c r="S184" s="69">
        <f t="shared" si="108"/>
        <v>0.105541972290139</v>
      </c>
      <c r="T184" s="70">
        <f t="shared" si="109"/>
        <v>1.03887530562347</v>
      </c>
      <c r="U184" s="70">
        <v>40</v>
      </c>
      <c r="V184" s="69"/>
      <c r="W184" s="71">
        <f t="shared" si="103"/>
        <v>741.868948655257</v>
      </c>
      <c r="X184" s="72">
        <f t="shared" si="110"/>
        <v>9.62160554197229</v>
      </c>
      <c r="Y184" s="72"/>
      <c r="Z184" s="72"/>
      <c r="AA184" s="72">
        <f t="shared" si="104"/>
        <v>9.62160554197229</v>
      </c>
      <c r="AB184" s="81">
        <v>7.11</v>
      </c>
      <c r="AC184" s="69">
        <f t="shared" si="102"/>
        <v>68.409615403423</v>
      </c>
      <c r="AD184" s="69">
        <f t="shared" si="101"/>
        <v>810.27856405868</v>
      </c>
      <c r="AE184" s="69">
        <f t="shared" si="105"/>
        <v>269.72143594132</v>
      </c>
    </row>
    <row r="185" customFormat="1" spans="1:31">
      <c r="A185" s="19"/>
      <c r="B185" s="20"/>
      <c r="C185" s="21">
        <v>241008000016</v>
      </c>
      <c r="D185" s="22">
        <v>45580</v>
      </c>
      <c r="E185" s="22" t="s">
        <v>66</v>
      </c>
      <c r="F185" s="20" t="s">
        <v>67</v>
      </c>
      <c r="G185" s="20" t="s">
        <v>206</v>
      </c>
      <c r="H185" s="20">
        <v>6.5</v>
      </c>
      <c r="I185" s="39">
        <v>455</v>
      </c>
      <c r="J185" s="40"/>
      <c r="K185" s="41"/>
      <c r="L185" s="20"/>
      <c r="M185" s="41"/>
      <c r="N185" s="42"/>
      <c r="O185" s="43">
        <f t="shared" si="112"/>
        <v>455</v>
      </c>
      <c r="P185" s="45"/>
      <c r="Q185" s="45"/>
      <c r="R185" s="69">
        <f t="shared" si="107"/>
        <v>325.336389568052</v>
      </c>
      <c r="S185" s="69">
        <f t="shared" si="108"/>
        <v>0.04900162999185</v>
      </c>
      <c r="T185" s="70">
        <f t="shared" si="109"/>
        <v>0.482334963325183</v>
      </c>
      <c r="U185" s="69"/>
      <c r="V185" s="69"/>
      <c r="W185" s="71">
        <f t="shared" si="103"/>
        <v>325.867726161369</v>
      </c>
      <c r="X185" s="72">
        <f t="shared" si="110"/>
        <v>4.46717400162999</v>
      </c>
      <c r="Y185" s="72"/>
      <c r="Z185" s="72"/>
      <c r="AA185" s="72">
        <f t="shared" si="104"/>
        <v>4.46717400162999</v>
      </c>
      <c r="AB185" s="81">
        <v>7.11</v>
      </c>
      <c r="AC185" s="69">
        <f t="shared" si="102"/>
        <v>31.7616071515892</v>
      </c>
      <c r="AD185" s="69">
        <f t="shared" si="101"/>
        <v>357.629333312958</v>
      </c>
      <c r="AE185" s="69">
        <f t="shared" si="105"/>
        <v>97.3706666870416</v>
      </c>
    </row>
    <row r="186" customFormat="1" spans="1:31">
      <c r="A186" s="19"/>
      <c r="B186" s="20"/>
      <c r="C186" s="21">
        <v>241008000018</v>
      </c>
      <c r="D186" s="22">
        <v>45580</v>
      </c>
      <c r="E186" s="22" t="s">
        <v>66</v>
      </c>
      <c r="F186" s="20" t="s">
        <v>67</v>
      </c>
      <c r="G186" s="20" t="s">
        <v>207</v>
      </c>
      <c r="H186" s="20">
        <v>41</v>
      </c>
      <c r="I186" s="50"/>
      <c r="J186" s="46">
        <v>683550</v>
      </c>
      <c r="K186" s="41"/>
      <c r="L186" s="47">
        <f>SUM(J186/M186)</f>
        <v>1741.97247706422</v>
      </c>
      <c r="M186" s="48">
        <v>392.4</v>
      </c>
      <c r="N186" s="42">
        <v>7.11</v>
      </c>
      <c r="O186" s="43">
        <f>SUM(M186*N186)</f>
        <v>2789.964</v>
      </c>
      <c r="P186" s="45"/>
      <c r="Q186" s="45"/>
      <c r="R186" s="69">
        <f t="shared" si="107"/>
        <v>2052.12184189079</v>
      </c>
      <c r="S186" s="69">
        <f t="shared" si="108"/>
        <v>0.309087204563977</v>
      </c>
      <c r="T186" s="70">
        <f t="shared" si="109"/>
        <v>3.04242053789731</v>
      </c>
      <c r="U186" s="69"/>
      <c r="V186" s="69"/>
      <c r="W186" s="71">
        <f t="shared" si="103"/>
        <v>2055.47334963325</v>
      </c>
      <c r="X186" s="72">
        <f t="shared" si="110"/>
        <v>28.1775590872046</v>
      </c>
      <c r="Y186" s="72"/>
      <c r="Z186" s="72"/>
      <c r="AA186" s="72">
        <f t="shared" si="104"/>
        <v>28.1775590872046</v>
      </c>
      <c r="AB186" s="81">
        <v>7.11</v>
      </c>
      <c r="AC186" s="69">
        <f t="shared" si="102"/>
        <v>200.342445110024</v>
      </c>
      <c r="AD186" s="69">
        <f t="shared" si="101"/>
        <v>2255.81579474328</v>
      </c>
      <c r="AE186" s="69">
        <f t="shared" si="105"/>
        <v>534.148205256723</v>
      </c>
    </row>
    <row r="187" customFormat="1" spans="1:31">
      <c r="A187" s="19"/>
      <c r="B187" s="20"/>
      <c r="C187" s="21">
        <v>241008000019</v>
      </c>
      <c r="D187" s="22">
        <v>45580</v>
      </c>
      <c r="E187" s="22" t="s">
        <v>66</v>
      </c>
      <c r="F187" s="20" t="s">
        <v>67</v>
      </c>
      <c r="G187" s="20" t="s">
        <v>208</v>
      </c>
      <c r="H187" s="20">
        <v>4.5</v>
      </c>
      <c r="I187" s="39">
        <v>315</v>
      </c>
      <c r="J187" s="40"/>
      <c r="K187" s="41"/>
      <c r="L187" s="20"/>
      <c r="M187" s="41"/>
      <c r="N187" s="42"/>
      <c r="O187" s="43">
        <f t="shared" si="112"/>
        <v>315</v>
      </c>
      <c r="P187" s="45"/>
      <c r="Q187" s="45"/>
      <c r="R187" s="69">
        <f t="shared" si="107"/>
        <v>225.232885085575</v>
      </c>
      <c r="S187" s="69">
        <f t="shared" si="108"/>
        <v>0.0339242053789731</v>
      </c>
      <c r="T187" s="70">
        <f t="shared" si="109"/>
        <v>0.333924205378973</v>
      </c>
      <c r="U187" s="69"/>
      <c r="V187" s="69"/>
      <c r="W187" s="71">
        <f t="shared" si="103"/>
        <v>225.600733496333</v>
      </c>
      <c r="X187" s="72">
        <f t="shared" si="110"/>
        <v>3.09265892420538</v>
      </c>
      <c r="Y187" s="72"/>
      <c r="Z187" s="72"/>
      <c r="AA187" s="72">
        <f t="shared" si="104"/>
        <v>3.09265892420538</v>
      </c>
      <c r="AB187" s="81">
        <v>7.11</v>
      </c>
      <c r="AC187" s="69">
        <f t="shared" si="102"/>
        <v>21.9888049511002</v>
      </c>
      <c r="AD187" s="69">
        <f t="shared" si="101"/>
        <v>247.589538447433</v>
      </c>
      <c r="AE187" s="69">
        <f t="shared" si="105"/>
        <v>67.4104615525673</v>
      </c>
    </row>
    <row r="188" customFormat="1" spans="1:31">
      <c r="A188" s="19"/>
      <c r="B188" s="20"/>
      <c r="C188" s="82">
        <v>241008000020</v>
      </c>
      <c r="D188" s="83">
        <v>45580</v>
      </c>
      <c r="E188" s="22" t="s">
        <v>66</v>
      </c>
      <c r="F188" s="84" t="s">
        <v>67</v>
      </c>
      <c r="G188" s="84" t="s">
        <v>208</v>
      </c>
      <c r="H188" s="84">
        <v>4.5</v>
      </c>
      <c r="I188" s="39">
        <v>315</v>
      </c>
      <c r="J188" s="40"/>
      <c r="K188" s="41"/>
      <c r="L188" s="20"/>
      <c r="M188" s="41"/>
      <c r="N188" s="42"/>
      <c r="O188" s="43">
        <f t="shared" si="112"/>
        <v>315</v>
      </c>
      <c r="P188" s="45"/>
      <c r="Q188" s="45"/>
      <c r="R188" s="69">
        <f t="shared" si="107"/>
        <v>225.232885085575</v>
      </c>
      <c r="S188" s="69">
        <f t="shared" si="108"/>
        <v>0.0339242053789731</v>
      </c>
      <c r="T188" s="70">
        <f t="shared" si="109"/>
        <v>0.333924205378973</v>
      </c>
      <c r="U188" s="69"/>
      <c r="V188" s="69"/>
      <c r="W188" s="71">
        <f t="shared" si="103"/>
        <v>225.600733496333</v>
      </c>
      <c r="X188" s="72">
        <f t="shared" si="110"/>
        <v>3.09265892420538</v>
      </c>
      <c r="Y188" s="72"/>
      <c r="Z188" s="72"/>
      <c r="AA188" s="72">
        <f t="shared" si="104"/>
        <v>3.09265892420538</v>
      </c>
      <c r="AB188" s="81">
        <v>7.11</v>
      </c>
      <c r="AC188" s="69">
        <f t="shared" si="102"/>
        <v>21.9888049511002</v>
      </c>
      <c r="AD188" s="69">
        <f t="shared" si="101"/>
        <v>247.589538447433</v>
      </c>
      <c r="AE188" s="69">
        <f t="shared" si="105"/>
        <v>67.4104615525673</v>
      </c>
    </row>
    <row r="189" customFormat="1" spans="1:31">
      <c r="A189" s="19"/>
      <c r="B189" s="20"/>
      <c r="C189" s="21">
        <v>241008000021</v>
      </c>
      <c r="D189" s="22">
        <v>45580</v>
      </c>
      <c r="E189" s="22" t="s">
        <v>66</v>
      </c>
      <c r="F189" s="20" t="s">
        <v>67</v>
      </c>
      <c r="G189" s="20" t="s">
        <v>209</v>
      </c>
      <c r="H189" s="20">
        <v>0.2</v>
      </c>
      <c r="I189" s="39">
        <v>69</v>
      </c>
      <c r="J189" s="40"/>
      <c r="K189" s="41"/>
      <c r="L189" s="20"/>
      <c r="M189" s="41"/>
      <c r="N189" s="42"/>
      <c r="O189" s="43">
        <f t="shared" si="112"/>
        <v>69</v>
      </c>
      <c r="P189" s="45"/>
      <c r="Q189" s="45"/>
      <c r="R189" s="69">
        <f t="shared" si="107"/>
        <v>10.0103504482478</v>
      </c>
      <c r="S189" s="69">
        <f t="shared" si="108"/>
        <v>0.00150774246128769</v>
      </c>
      <c r="T189" s="70">
        <f t="shared" si="109"/>
        <v>0.014841075794621</v>
      </c>
      <c r="U189" s="69"/>
      <c r="V189" s="69"/>
      <c r="W189" s="71">
        <f t="shared" si="103"/>
        <v>10.0266992665037</v>
      </c>
      <c r="X189" s="72">
        <f t="shared" si="110"/>
        <v>0.137451507742461</v>
      </c>
      <c r="Y189" s="72"/>
      <c r="Z189" s="72"/>
      <c r="AA189" s="72">
        <f t="shared" si="104"/>
        <v>0.137451507742461</v>
      </c>
      <c r="AB189" s="81">
        <v>7.11</v>
      </c>
      <c r="AC189" s="69">
        <f t="shared" si="102"/>
        <v>0.9772802200489</v>
      </c>
      <c r="AD189" s="69">
        <f t="shared" si="101"/>
        <v>11.0039794865526</v>
      </c>
      <c r="AE189" s="69">
        <f t="shared" si="105"/>
        <v>57.9960205134474</v>
      </c>
    </row>
    <row r="190" customFormat="1" spans="1:31">
      <c r="A190" s="19"/>
      <c r="B190" s="20"/>
      <c r="C190" s="21">
        <v>241008000027</v>
      </c>
      <c r="D190" s="22">
        <v>45580</v>
      </c>
      <c r="E190" s="22" t="s">
        <v>66</v>
      </c>
      <c r="F190" s="20" t="s">
        <v>67</v>
      </c>
      <c r="G190" s="20" t="s">
        <v>210</v>
      </c>
      <c r="H190" s="20">
        <v>13</v>
      </c>
      <c r="I190" s="39">
        <v>793</v>
      </c>
      <c r="J190" s="40"/>
      <c r="K190" s="41"/>
      <c r="L190" s="20"/>
      <c r="M190" s="41"/>
      <c r="N190" s="42"/>
      <c r="O190" s="43">
        <f t="shared" si="112"/>
        <v>793</v>
      </c>
      <c r="P190" s="45"/>
      <c r="Q190" s="45"/>
      <c r="R190" s="69">
        <f t="shared" si="107"/>
        <v>650.672779136104</v>
      </c>
      <c r="S190" s="69">
        <f t="shared" si="108"/>
        <v>0.0980032599837001</v>
      </c>
      <c r="T190" s="70">
        <f t="shared" si="109"/>
        <v>0.964669926650367</v>
      </c>
      <c r="U190" s="69"/>
      <c r="V190" s="69"/>
      <c r="W190" s="71">
        <f t="shared" si="103"/>
        <v>651.735452322738</v>
      </c>
      <c r="X190" s="72">
        <f t="shared" si="110"/>
        <v>8.93434800325998</v>
      </c>
      <c r="Y190" s="72"/>
      <c r="Z190" s="72"/>
      <c r="AA190" s="72">
        <f t="shared" si="104"/>
        <v>8.93434800325998</v>
      </c>
      <c r="AB190" s="81">
        <v>7.11</v>
      </c>
      <c r="AC190" s="69">
        <f t="shared" si="102"/>
        <v>63.5232143031785</v>
      </c>
      <c r="AD190" s="69">
        <f t="shared" si="101"/>
        <v>715.258666625917</v>
      </c>
      <c r="AE190" s="69">
        <f t="shared" si="105"/>
        <v>77.7413333740832</v>
      </c>
    </row>
    <row r="191" customFormat="1" spans="1:31">
      <c r="A191" s="19"/>
      <c r="B191" s="20"/>
      <c r="C191" s="21">
        <v>241008000029</v>
      </c>
      <c r="D191" s="22">
        <v>45580</v>
      </c>
      <c r="E191" s="22" t="s">
        <v>66</v>
      </c>
      <c r="F191" s="20" t="s">
        <v>67</v>
      </c>
      <c r="G191" s="20" t="s">
        <v>151</v>
      </c>
      <c r="H191" s="20">
        <v>22.5</v>
      </c>
      <c r="I191" s="39">
        <v>1462.5</v>
      </c>
      <c r="J191" s="40"/>
      <c r="K191" s="41"/>
      <c r="L191" s="20"/>
      <c r="M191" s="41"/>
      <c r="N191" s="42"/>
      <c r="O191" s="43">
        <f t="shared" si="112"/>
        <v>1462.5</v>
      </c>
      <c r="P191" s="45"/>
      <c r="Q191" s="45"/>
      <c r="R191" s="69">
        <f t="shared" si="107"/>
        <v>1126.16442542787</v>
      </c>
      <c r="S191" s="69">
        <f t="shared" si="108"/>
        <v>0.169621026894866</v>
      </c>
      <c r="T191" s="70">
        <f t="shared" si="109"/>
        <v>1.66962102689487</v>
      </c>
      <c r="U191" s="69"/>
      <c r="V191" s="69"/>
      <c r="W191" s="71">
        <f t="shared" si="103"/>
        <v>1128.00366748166</v>
      </c>
      <c r="X191" s="72">
        <f t="shared" si="110"/>
        <v>15.4632946210269</v>
      </c>
      <c r="Y191" s="72"/>
      <c r="Z191" s="72"/>
      <c r="AA191" s="72">
        <f t="shared" si="104"/>
        <v>15.4632946210269</v>
      </c>
      <c r="AB191" s="81">
        <v>7.11</v>
      </c>
      <c r="AC191" s="69">
        <f t="shared" si="102"/>
        <v>109.944024755501</v>
      </c>
      <c r="AD191" s="69">
        <f t="shared" si="101"/>
        <v>1237.94769223716</v>
      </c>
      <c r="AE191" s="69">
        <f t="shared" si="105"/>
        <v>224.552307762836</v>
      </c>
    </row>
    <row r="192" customFormat="1" spans="1:31">
      <c r="A192" s="19"/>
      <c r="B192" s="20"/>
      <c r="C192" s="21">
        <v>241008000030</v>
      </c>
      <c r="D192" s="22">
        <v>45580</v>
      </c>
      <c r="E192" s="22" t="s">
        <v>66</v>
      </c>
      <c r="F192" s="20" t="s">
        <v>67</v>
      </c>
      <c r="G192" s="20" t="s">
        <v>211</v>
      </c>
      <c r="H192" s="20">
        <v>0.676</v>
      </c>
      <c r="I192" s="39">
        <v>75</v>
      </c>
      <c r="J192" s="40"/>
      <c r="K192" s="41"/>
      <c r="L192" s="20"/>
      <c r="M192" s="41"/>
      <c r="N192" s="42"/>
      <c r="O192" s="43">
        <f t="shared" si="112"/>
        <v>75</v>
      </c>
      <c r="P192" s="45"/>
      <c r="Q192" s="45"/>
      <c r="R192" s="69">
        <f t="shared" si="107"/>
        <v>33.8349845150774</v>
      </c>
      <c r="S192" s="69">
        <f t="shared" si="108"/>
        <v>0.0050961695191524</v>
      </c>
      <c r="T192" s="70">
        <f t="shared" si="109"/>
        <v>0.0501628361858191</v>
      </c>
      <c r="U192" s="69"/>
      <c r="V192" s="69"/>
      <c r="W192" s="71">
        <f t="shared" si="103"/>
        <v>33.8902435207824</v>
      </c>
      <c r="X192" s="72">
        <f t="shared" si="110"/>
        <v>0.464586096169519</v>
      </c>
      <c r="Y192" s="72"/>
      <c r="Z192" s="72"/>
      <c r="AA192" s="72">
        <f t="shared" si="104"/>
        <v>0.464586096169519</v>
      </c>
      <c r="AB192" s="81">
        <v>7.11</v>
      </c>
      <c r="AC192" s="69">
        <f t="shared" si="102"/>
        <v>3.30320714376528</v>
      </c>
      <c r="AD192" s="69">
        <f t="shared" si="101"/>
        <v>37.1934506645477</v>
      </c>
      <c r="AE192" s="69">
        <f t="shared" si="105"/>
        <v>37.8065493354523</v>
      </c>
    </row>
    <row r="193" customFormat="1" spans="1:31">
      <c r="A193" s="19"/>
      <c r="B193" s="20"/>
      <c r="C193" s="21">
        <v>241008000034</v>
      </c>
      <c r="D193" s="22">
        <v>45580</v>
      </c>
      <c r="E193" s="22" t="s">
        <v>66</v>
      </c>
      <c r="F193" s="20" t="s">
        <v>67</v>
      </c>
      <c r="G193" s="20" t="s">
        <v>212</v>
      </c>
      <c r="H193" s="20">
        <v>5</v>
      </c>
      <c r="I193" s="39">
        <v>466.2</v>
      </c>
      <c r="J193" s="40"/>
      <c r="K193" s="41"/>
      <c r="L193" s="20"/>
      <c r="M193" s="41"/>
      <c r="N193" s="42"/>
      <c r="O193" s="43">
        <f t="shared" si="112"/>
        <v>466.2</v>
      </c>
      <c r="P193" s="45"/>
      <c r="Q193" s="45"/>
      <c r="R193" s="69">
        <f t="shared" si="107"/>
        <v>250.258761206194</v>
      </c>
      <c r="S193" s="69">
        <f t="shared" si="108"/>
        <v>0.0376935615321923</v>
      </c>
      <c r="T193" s="70">
        <f t="shared" si="109"/>
        <v>0.371026894865526</v>
      </c>
      <c r="U193" s="69"/>
      <c r="V193" s="69"/>
      <c r="W193" s="71">
        <f t="shared" si="103"/>
        <v>250.667481662592</v>
      </c>
      <c r="X193" s="72">
        <f t="shared" si="110"/>
        <v>3.43628769356153</v>
      </c>
      <c r="Y193" s="72"/>
      <c r="Z193" s="72"/>
      <c r="AA193" s="72">
        <f t="shared" si="104"/>
        <v>3.43628769356153</v>
      </c>
      <c r="AB193" s="81">
        <v>7.11</v>
      </c>
      <c r="AC193" s="69">
        <f t="shared" si="102"/>
        <v>24.4320055012225</v>
      </c>
      <c r="AD193" s="69">
        <f t="shared" si="101"/>
        <v>275.099487163814</v>
      </c>
      <c r="AE193" s="69">
        <f t="shared" si="105"/>
        <v>191.100512836186</v>
      </c>
    </row>
    <row r="194" customFormat="1" spans="1:31">
      <c r="A194" s="19"/>
      <c r="B194" s="20"/>
      <c r="C194" s="21">
        <v>241008000041</v>
      </c>
      <c r="D194" s="22">
        <v>45580</v>
      </c>
      <c r="E194" s="22" t="s">
        <v>41</v>
      </c>
      <c r="F194" s="20" t="s">
        <v>42</v>
      </c>
      <c r="G194" s="20" t="s">
        <v>213</v>
      </c>
      <c r="H194" s="20">
        <v>14</v>
      </c>
      <c r="I194" s="39">
        <v>942</v>
      </c>
      <c r="J194" s="40"/>
      <c r="K194" s="41"/>
      <c r="L194" s="20"/>
      <c r="M194" s="41"/>
      <c r="N194" s="42"/>
      <c r="O194" s="43">
        <f t="shared" si="112"/>
        <v>942</v>
      </c>
      <c r="P194" s="45"/>
      <c r="Q194" s="45"/>
      <c r="R194" s="69">
        <f t="shared" si="107"/>
        <v>700.724531377343</v>
      </c>
      <c r="S194" s="69">
        <f t="shared" si="108"/>
        <v>0.105541972290139</v>
      </c>
      <c r="T194" s="70">
        <f t="shared" si="109"/>
        <v>1.03887530562347</v>
      </c>
      <c r="U194" s="69"/>
      <c r="V194" s="69"/>
      <c r="W194" s="71">
        <f t="shared" si="103"/>
        <v>701.868948655257</v>
      </c>
      <c r="X194" s="72">
        <f t="shared" si="110"/>
        <v>9.62160554197229</v>
      </c>
      <c r="Y194" s="72"/>
      <c r="Z194" s="72"/>
      <c r="AA194" s="72">
        <f t="shared" si="104"/>
        <v>9.62160554197229</v>
      </c>
      <c r="AB194" s="81">
        <v>7.11</v>
      </c>
      <c r="AC194" s="69">
        <f t="shared" si="102"/>
        <v>68.409615403423</v>
      </c>
      <c r="AD194" s="69">
        <f t="shared" ref="AD194:AD225" si="113">SUM(W194+AC194)</f>
        <v>770.27856405868</v>
      </c>
      <c r="AE194" s="69">
        <f t="shared" si="105"/>
        <v>171.72143594132</v>
      </c>
    </row>
    <row r="195" customFormat="1" spans="1:31">
      <c r="A195" s="19"/>
      <c r="B195" s="20"/>
      <c r="C195" s="21">
        <v>241008000042</v>
      </c>
      <c r="D195" s="22">
        <v>45580</v>
      </c>
      <c r="E195" s="22" t="s">
        <v>37</v>
      </c>
      <c r="F195" s="20" t="s">
        <v>38</v>
      </c>
      <c r="G195" s="20" t="s">
        <v>75</v>
      </c>
      <c r="H195" s="20">
        <v>19</v>
      </c>
      <c r="I195" s="39">
        <v>1723.2</v>
      </c>
      <c r="J195" s="40"/>
      <c r="K195" s="41"/>
      <c r="L195" s="20"/>
      <c r="M195" s="41"/>
      <c r="N195" s="42"/>
      <c r="O195" s="43">
        <f t="shared" si="112"/>
        <v>1723.2</v>
      </c>
      <c r="P195" s="45"/>
      <c r="Q195" s="45"/>
      <c r="R195" s="69">
        <f t="shared" si="107"/>
        <v>950.983292583537</v>
      </c>
      <c r="S195" s="69">
        <f t="shared" si="108"/>
        <v>0.143235533822331</v>
      </c>
      <c r="T195" s="70">
        <f t="shared" si="109"/>
        <v>1.409902200489</v>
      </c>
      <c r="U195" s="69"/>
      <c r="V195" s="70">
        <v>39</v>
      </c>
      <c r="W195" s="71">
        <f t="shared" si="103"/>
        <v>991.536430317849</v>
      </c>
      <c r="X195" s="72">
        <f t="shared" si="110"/>
        <v>13.0578932355338</v>
      </c>
      <c r="Y195" s="72">
        <v>5.5</v>
      </c>
      <c r="Z195" s="72"/>
      <c r="AA195" s="72">
        <f t="shared" si="104"/>
        <v>18.5578932355338</v>
      </c>
      <c r="AB195" s="81">
        <v>7.11</v>
      </c>
      <c r="AC195" s="69">
        <f t="shared" ref="AC195:AC226" si="114">SUM(AA195*AB195)</f>
        <v>131.946620904645</v>
      </c>
      <c r="AD195" s="69">
        <f t="shared" si="113"/>
        <v>1123.48305122249</v>
      </c>
      <c r="AE195" s="69">
        <f t="shared" si="105"/>
        <v>599.716948777506</v>
      </c>
    </row>
    <row r="196" customFormat="1" spans="1:31">
      <c r="A196" s="19"/>
      <c r="B196" s="20"/>
      <c r="C196" s="21">
        <v>241008000046</v>
      </c>
      <c r="D196" s="22">
        <v>45580</v>
      </c>
      <c r="E196" s="22" t="s">
        <v>44</v>
      </c>
      <c r="F196" s="20" t="s">
        <v>45</v>
      </c>
      <c r="G196" s="20" t="s">
        <v>214</v>
      </c>
      <c r="H196" s="20">
        <v>8</v>
      </c>
      <c r="I196" s="39">
        <v>561</v>
      </c>
      <c r="J196" s="40"/>
      <c r="K196" s="41"/>
      <c r="L196" s="20"/>
      <c r="M196" s="41"/>
      <c r="N196" s="42"/>
      <c r="O196" s="43">
        <f t="shared" si="112"/>
        <v>561</v>
      </c>
      <c r="P196" s="45"/>
      <c r="Q196" s="45"/>
      <c r="R196" s="69">
        <f t="shared" si="107"/>
        <v>400.41401792991</v>
      </c>
      <c r="S196" s="69">
        <f t="shared" si="108"/>
        <v>0.0603096984515077</v>
      </c>
      <c r="T196" s="70">
        <f t="shared" si="109"/>
        <v>0.593643031784841</v>
      </c>
      <c r="U196" s="69"/>
      <c r="V196" s="69"/>
      <c r="W196" s="71">
        <f t="shared" ref="W196:W227" si="115">SUM(R196:V196)</f>
        <v>401.067970660147</v>
      </c>
      <c r="X196" s="72">
        <f t="shared" si="110"/>
        <v>5.49806030969845</v>
      </c>
      <c r="Y196" s="72"/>
      <c r="Z196" s="72"/>
      <c r="AA196" s="72">
        <f t="shared" ref="AA196:AA227" si="116">SUM(X196:Z196)</f>
        <v>5.49806030969845</v>
      </c>
      <c r="AB196" s="81">
        <v>7.11</v>
      </c>
      <c r="AC196" s="69">
        <f t="shared" si="114"/>
        <v>39.091208801956</v>
      </c>
      <c r="AD196" s="69">
        <f t="shared" si="113"/>
        <v>440.159179462103</v>
      </c>
      <c r="AE196" s="69">
        <f t="shared" ref="AE196:AE227" si="117">SUM(O196-AD196)</f>
        <v>120.840820537897</v>
      </c>
    </row>
    <row r="197" customFormat="1" spans="1:31">
      <c r="A197" s="19"/>
      <c r="B197" s="20"/>
      <c r="C197" s="21">
        <v>241008000048</v>
      </c>
      <c r="D197" s="22">
        <v>45580</v>
      </c>
      <c r="E197" s="22" t="s">
        <v>44</v>
      </c>
      <c r="F197" s="20" t="s">
        <v>45</v>
      </c>
      <c r="G197" s="20" t="s">
        <v>215</v>
      </c>
      <c r="H197" s="20">
        <v>0.5</v>
      </c>
      <c r="I197" s="39">
        <v>69.3</v>
      </c>
      <c r="J197" s="40"/>
      <c r="K197" s="41"/>
      <c r="L197" s="20"/>
      <c r="M197" s="41"/>
      <c r="N197" s="42"/>
      <c r="O197" s="43">
        <f t="shared" si="112"/>
        <v>69.3</v>
      </c>
      <c r="P197" s="45"/>
      <c r="Q197" s="45"/>
      <c r="R197" s="69">
        <f t="shared" si="107"/>
        <v>25.0258761206194</v>
      </c>
      <c r="S197" s="69">
        <f t="shared" si="108"/>
        <v>0.00376935615321923</v>
      </c>
      <c r="T197" s="70">
        <f t="shared" si="109"/>
        <v>0.0371026894865526</v>
      </c>
      <c r="U197" s="69"/>
      <c r="V197" s="69"/>
      <c r="W197" s="71">
        <f t="shared" si="115"/>
        <v>25.0667481662592</v>
      </c>
      <c r="X197" s="72">
        <f t="shared" si="110"/>
        <v>0.343628769356153</v>
      </c>
      <c r="Y197" s="72"/>
      <c r="Z197" s="72"/>
      <c r="AA197" s="72">
        <f t="shared" si="116"/>
        <v>0.343628769356153</v>
      </c>
      <c r="AB197" s="81">
        <v>7.11</v>
      </c>
      <c r="AC197" s="69">
        <f t="shared" si="114"/>
        <v>2.44320055012225</v>
      </c>
      <c r="AD197" s="69">
        <f t="shared" si="113"/>
        <v>27.5099487163814</v>
      </c>
      <c r="AE197" s="69">
        <f t="shared" si="117"/>
        <v>41.7900512836186</v>
      </c>
    </row>
    <row r="198" customFormat="1" spans="1:31">
      <c r="A198" s="19"/>
      <c r="B198" s="20"/>
      <c r="C198" s="21">
        <v>241008000049</v>
      </c>
      <c r="D198" s="22">
        <v>45580</v>
      </c>
      <c r="E198" s="22" t="s">
        <v>37</v>
      </c>
      <c r="F198" s="20" t="s">
        <v>38</v>
      </c>
      <c r="G198" s="20" t="s">
        <v>146</v>
      </c>
      <c r="H198" s="20">
        <v>12.5</v>
      </c>
      <c r="I198" s="39">
        <v>1015.9</v>
      </c>
      <c r="J198" s="40"/>
      <c r="K198" s="41"/>
      <c r="L198" s="20"/>
      <c r="M198" s="41"/>
      <c r="N198" s="42"/>
      <c r="O198" s="43">
        <f t="shared" si="112"/>
        <v>1015.9</v>
      </c>
      <c r="P198" s="45"/>
      <c r="Q198" s="45"/>
      <c r="R198" s="69">
        <f t="shared" ref="R198:R229" si="118">SUM(245654/4908)*H198</f>
        <v>625.646903015485</v>
      </c>
      <c r="S198" s="69">
        <f t="shared" ref="S198:S229" si="119">SUM(37/4908)*H198</f>
        <v>0.0942339038304808</v>
      </c>
      <c r="T198" s="70">
        <f t="shared" ref="T198:T229" si="120">SUM(364.2/4908)*H198</f>
        <v>0.927567237163814</v>
      </c>
      <c r="U198" s="69"/>
      <c r="V198" s="70">
        <v>10</v>
      </c>
      <c r="W198" s="71">
        <f t="shared" si="115"/>
        <v>636.668704156479</v>
      </c>
      <c r="X198" s="72">
        <f t="shared" ref="X198:X229" si="121">SUM(3373.06/4908)*H198</f>
        <v>8.59071923390383</v>
      </c>
      <c r="Y198" s="72"/>
      <c r="Z198" s="72"/>
      <c r="AA198" s="72">
        <f t="shared" si="116"/>
        <v>8.59071923390383</v>
      </c>
      <c r="AB198" s="81">
        <v>7.11</v>
      </c>
      <c r="AC198" s="69">
        <f t="shared" si="114"/>
        <v>61.0800137530562</v>
      </c>
      <c r="AD198" s="69">
        <f t="shared" si="113"/>
        <v>697.748717909535</v>
      </c>
      <c r="AE198" s="69">
        <f t="shared" si="117"/>
        <v>318.151282090465</v>
      </c>
    </row>
    <row r="199" customFormat="1" spans="1:31">
      <c r="A199" s="19"/>
      <c r="B199" s="20"/>
      <c r="C199" s="21">
        <v>241008000050</v>
      </c>
      <c r="D199" s="22">
        <v>45580</v>
      </c>
      <c r="E199" s="22" t="s">
        <v>37</v>
      </c>
      <c r="F199" s="20" t="s">
        <v>38</v>
      </c>
      <c r="G199" s="20" t="s">
        <v>216</v>
      </c>
      <c r="H199" s="20">
        <v>3</v>
      </c>
      <c r="I199" s="39">
        <v>221.1</v>
      </c>
      <c r="J199" s="40"/>
      <c r="K199" s="41"/>
      <c r="L199" s="20"/>
      <c r="M199" s="41"/>
      <c r="N199" s="42"/>
      <c r="O199" s="43">
        <f t="shared" si="112"/>
        <v>221.1</v>
      </c>
      <c r="P199" s="45"/>
      <c r="Q199" s="45"/>
      <c r="R199" s="69">
        <f t="shared" si="118"/>
        <v>150.155256723716</v>
      </c>
      <c r="S199" s="69">
        <f t="shared" si="119"/>
        <v>0.0226161369193154</v>
      </c>
      <c r="T199" s="70">
        <f t="shared" si="120"/>
        <v>0.222616136919315</v>
      </c>
      <c r="U199" s="69"/>
      <c r="V199" s="69"/>
      <c r="W199" s="71">
        <f t="shared" si="115"/>
        <v>150.400488997555</v>
      </c>
      <c r="X199" s="72">
        <f t="shared" si="121"/>
        <v>2.06177261613692</v>
      </c>
      <c r="Y199" s="72"/>
      <c r="Z199" s="72"/>
      <c r="AA199" s="72">
        <f t="shared" si="116"/>
        <v>2.06177261613692</v>
      </c>
      <c r="AB199" s="81">
        <v>7.11</v>
      </c>
      <c r="AC199" s="69">
        <f t="shared" si="114"/>
        <v>14.6592033007335</v>
      </c>
      <c r="AD199" s="69">
        <f t="shared" si="113"/>
        <v>165.059692298289</v>
      </c>
      <c r="AE199" s="69">
        <f t="shared" si="117"/>
        <v>56.0403077017115</v>
      </c>
    </row>
    <row r="200" customFormat="1" spans="1:31">
      <c r="A200" s="19"/>
      <c r="B200" s="20"/>
      <c r="C200" s="21">
        <v>241008000051</v>
      </c>
      <c r="D200" s="22">
        <v>45580</v>
      </c>
      <c r="E200" s="22" t="s">
        <v>76</v>
      </c>
      <c r="F200" s="20" t="s">
        <v>77</v>
      </c>
      <c r="G200" s="20" t="s">
        <v>217</v>
      </c>
      <c r="H200" s="20">
        <v>110.5</v>
      </c>
      <c r="I200" s="50"/>
      <c r="J200" s="46">
        <v>1599912</v>
      </c>
      <c r="K200" s="41"/>
      <c r="L200" s="47">
        <f>SUM(J200/M200)</f>
        <v>1727.76673866091</v>
      </c>
      <c r="M200" s="48">
        <v>926</v>
      </c>
      <c r="N200" s="42">
        <v>7.11</v>
      </c>
      <c r="O200" s="43">
        <f>SUM(M200*N200)</f>
        <v>6583.86</v>
      </c>
      <c r="P200" s="45"/>
      <c r="Q200" s="45"/>
      <c r="R200" s="69">
        <f t="shared" si="118"/>
        <v>5530.71862265689</v>
      </c>
      <c r="S200" s="69">
        <f t="shared" si="119"/>
        <v>0.833027709861451</v>
      </c>
      <c r="T200" s="70">
        <f t="shared" si="120"/>
        <v>8.19969437652812</v>
      </c>
      <c r="U200" s="69"/>
      <c r="V200" s="69"/>
      <c r="W200" s="71">
        <f t="shared" si="115"/>
        <v>5539.75134474328</v>
      </c>
      <c r="X200" s="72">
        <f t="shared" si="121"/>
        <v>75.9419580277099</v>
      </c>
      <c r="Y200" s="72"/>
      <c r="Z200" s="72"/>
      <c r="AA200" s="72">
        <f t="shared" si="116"/>
        <v>75.9419580277099</v>
      </c>
      <c r="AB200" s="81">
        <v>7.11</v>
      </c>
      <c r="AC200" s="69">
        <f t="shared" si="114"/>
        <v>539.947321577017</v>
      </c>
      <c r="AD200" s="69">
        <f t="shared" si="113"/>
        <v>6079.69866632029</v>
      </c>
      <c r="AE200" s="69">
        <f t="shared" si="117"/>
        <v>504.161333679707</v>
      </c>
    </row>
    <row r="201" customFormat="1" spans="1:31">
      <c r="A201" s="19"/>
      <c r="B201" s="20"/>
      <c r="C201" s="21">
        <v>241008000053</v>
      </c>
      <c r="D201" s="22">
        <v>45580</v>
      </c>
      <c r="E201" s="22" t="s">
        <v>37</v>
      </c>
      <c r="F201" s="20" t="s">
        <v>38</v>
      </c>
      <c r="G201" s="20" t="s">
        <v>194</v>
      </c>
      <c r="H201" s="20">
        <v>7</v>
      </c>
      <c r="I201" s="39">
        <v>491.7</v>
      </c>
      <c r="J201" s="40"/>
      <c r="K201" s="41"/>
      <c r="L201" s="20"/>
      <c r="M201" s="41"/>
      <c r="N201" s="42"/>
      <c r="O201" s="43">
        <f t="shared" ref="O201:O207" si="122">SUM(I201)</f>
        <v>491.7</v>
      </c>
      <c r="P201" s="45"/>
      <c r="Q201" s="45"/>
      <c r="R201" s="69">
        <f t="shared" si="118"/>
        <v>350.362265688672</v>
      </c>
      <c r="S201" s="69">
        <f t="shared" si="119"/>
        <v>0.0527709861450693</v>
      </c>
      <c r="T201" s="70">
        <f t="shared" si="120"/>
        <v>0.519437652811736</v>
      </c>
      <c r="U201" s="69"/>
      <c r="V201" s="69"/>
      <c r="W201" s="71">
        <f t="shared" si="115"/>
        <v>350.934474327628</v>
      </c>
      <c r="X201" s="72">
        <f t="shared" si="121"/>
        <v>4.81080277098614</v>
      </c>
      <c r="Y201" s="72"/>
      <c r="Z201" s="72"/>
      <c r="AA201" s="72">
        <f t="shared" si="116"/>
        <v>4.81080277098614</v>
      </c>
      <c r="AB201" s="81">
        <v>7.11</v>
      </c>
      <c r="AC201" s="69">
        <f t="shared" si="114"/>
        <v>34.2048077017115</v>
      </c>
      <c r="AD201" s="69">
        <f t="shared" si="113"/>
        <v>385.13928202934</v>
      </c>
      <c r="AE201" s="69">
        <f t="shared" si="117"/>
        <v>106.56071797066</v>
      </c>
    </row>
    <row r="202" customFormat="1" spans="1:31">
      <c r="A202" s="19"/>
      <c r="B202" s="20"/>
      <c r="C202" s="21">
        <v>241008000054</v>
      </c>
      <c r="D202" s="22">
        <v>45580</v>
      </c>
      <c r="E202" s="22" t="s">
        <v>55</v>
      </c>
      <c r="F202" s="20" t="s">
        <v>56</v>
      </c>
      <c r="G202" s="20" t="s">
        <v>218</v>
      </c>
      <c r="H202" s="20">
        <v>6.5</v>
      </c>
      <c r="I202" s="39">
        <v>581</v>
      </c>
      <c r="J202" s="40"/>
      <c r="K202" s="41"/>
      <c r="L202" s="20"/>
      <c r="M202" s="41"/>
      <c r="N202" s="42"/>
      <c r="O202" s="43">
        <f t="shared" si="122"/>
        <v>581</v>
      </c>
      <c r="P202" s="45"/>
      <c r="Q202" s="45"/>
      <c r="R202" s="69">
        <f t="shared" si="118"/>
        <v>325.336389568052</v>
      </c>
      <c r="S202" s="69">
        <f t="shared" si="119"/>
        <v>0.04900162999185</v>
      </c>
      <c r="T202" s="70">
        <f t="shared" si="120"/>
        <v>0.482334963325183</v>
      </c>
      <c r="U202" s="69"/>
      <c r="V202" s="69"/>
      <c r="W202" s="71">
        <f t="shared" si="115"/>
        <v>325.867726161369</v>
      </c>
      <c r="X202" s="72">
        <f t="shared" si="121"/>
        <v>4.46717400162999</v>
      </c>
      <c r="Y202" s="72"/>
      <c r="Z202" s="72"/>
      <c r="AA202" s="72">
        <f t="shared" si="116"/>
        <v>4.46717400162999</v>
      </c>
      <c r="AB202" s="81">
        <v>7.11</v>
      </c>
      <c r="AC202" s="69">
        <f t="shared" si="114"/>
        <v>31.7616071515892</v>
      </c>
      <c r="AD202" s="69">
        <f t="shared" si="113"/>
        <v>357.629333312958</v>
      </c>
      <c r="AE202" s="69">
        <f t="shared" si="117"/>
        <v>223.370666687042</v>
      </c>
    </row>
    <row r="203" customFormat="1" spans="1:31">
      <c r="A203" s="19"/>
      <c r="B203" s="20"/>
      <c r="C203" s="21">
        <v>241008000058</v>
      </c>
      <c r="D203" s="22">
        <v>45580</v>
      </c>
      <c r="E203" s="22" t="s">
        <v>55</v>
      </c>
      <c r="F203" s="20" t="s">
        <v>56</v>
      </c>
      <c r="G203" s="20" t="s">
        <v>219</v>
      </c>
      <c r="H203" s="20">
        <v>0.75</v>
      </c>
      <c r="I203" s="39">
        <v>104</v>
      </c>
      <c r="J203" s="40"/>
      <c r="K203" s="41"/>
      <c r="L203" s="20"/>
      <c r="M203" s="41"/>
      <c r="N203" s="42"/>
      <c r="O203" s="43">
        <f t="shared" si="122"/>
        <v>104</v>
      </c>
      <c r="P203" s="45"/>
      <c r="Q203" s="45"/>
      <c r="R203" s="69">
        <f t="shared" si="118"/>
        <v>37.5388141809291</v>
      </c>
      <c r="S203" s="69">
        <f t="shared" si="119"/>
        <v>0.00565403422982885</v>
      </c>
      <c r="T203" s="70">
        <f t="shared" si="120"/>
        <v>0.0556540342298288</v>
      </c>
      <c r="U203" s="69"/>
      <c r="V203" s="69"/>
      <c r="W203" s="71">
        <f t="shared" si="115"/>
        <v>37.6001222493888</v>
      </c>
      <c r="X203" s="72">
        <f t="shared" si="121"/>
        <v>0.51544315403423</v>
      </c>
      <c r="Y203" s="72"/>
      <c r="Z203" s="72"/>
      <c r="AA203" s="72">
        <f t="shared" si="116"/>
        <v>0.51544315403423</v>
      </c>
      <c r="AB203" s="81">
        <v>7.11</v>
      </c>
      <c r="AC203" s="69">
        <f t="shared" si="114"/>
        <v>3.66480082518337</v>
      </c>
      <c r="AD203" s="69">
        <f t="shared" si="113"/>
        <v>41.2649230745721</v>
      </c>
      <c r="AE203" s="69">
        <f t="shared" si="117"/>
        <v>62.7350769254279</v>
      </c>
    </row>
    <row r="204" customFormat="1" spans="1:31">
      <c r="A204" s="19"/>
      <c r="B204" s="20"/>
      <c r="C204" s="21">
        <v>241008000059</v>
      </c>
      <c r="D204" s="22">
        <v>45580</v>
      </c>
      <c r="E204" s="22" t="s">
        <v>47</v>
      </c>
      <c r="F204" s="20" t="s">
        <v>47</v>
      </c>
      <c r="G204" s="20" t="s">
        <v>220</v>
      </c>
      <c r="H204" s="20">
        <v>280</v>
      </c>
      <c r="I204" s="39">
        <v>16622.5</v>
      </c>
      <c r="J204" s="40"/>
      <c r="K204" s="41"/>
      <c r="L204" s="20"/>
      <c r="M204" s="41"/>
      <c r="N204" s="42"/>
      <c r="O204" s="43">
        <f t="shared" si="122"/>
        <v>16622.5</v>
      </c>
      <c r="P204" s="45"/>
      <c r="Q204" s="45"/>
      <c r="R204" s="69">
        <f t="shared" si="118"/>
        <v>14014.4906275469</v>
      </c>
      <c r="S204" s="69">
        <f t="shared" si="119"/>
        <v>2.11083944580277</v>
      </c>
      <c r="T204" s="70">
        <f t="shared" si="120"/>
        <v>20.7775061124694</v>
      </c>
      <c r="U204" s="69"/>
      <c r="V204" s="69"/>
      <c r="W204" s="71">
        <f t="shared" si="115"/>
        <v>14037.3789731051</v>
      </c>
      <c r="X204" s="72">
        <f t="shared" si="121"/>
        <v>192.432110839446</v>
      </c>
      <c r="Y204" s="72"/>
      <c r="Z204" s="72"/>
      <c r="AA204" s="72">
        <f t="shared" si="116"/>
        <v>192.432110839446</v>
      </c>
      <c r="AB204" s="81">
        <v>7.11</v>
      </c>
      <c r="AC204" s="69">
        <f t="shared" si="114"/>
        <v>1368.19230806846</v>
      </c>
      <c r="AD204" s="69">
        <f t="shared" si="113"/>
        <v>15405.5712811736</v>
      </c>
      <c r="AE204" s="69">
        <f t="shared" si="117"/>
        <v>1216.92871882641</v>
      </c>
    </row>
    <row r="205" customFormat="1" spans="1:31">
      <c r="A205" s="19"/>
      <c r="B205" s="20"/>
      <c r="C205" s="21">
        <v>241008000060</v>
      </c>
      <c r="D205" s="22">
        <v>45580</v>
      </c>
      <c r="E205" s="22" t="s">
        <v>47</v>
      </c>
      <c r="F205" s="20" t="s">
        <v>47</v>
      </c>
      <c r="G205" s="20" t="s">
        <v>221</v>
      </c>
      <c r="H205" s="20">
        <v>763</v>
      </c>
      <c r="I205" s="39">
        <v>42346.5</v>
      </c>
      <c r="J205" s="40"/>
      <c r="K205" s="41"/>
      <c r="L205" s="20"/>
      <c r="M205" s="41"/>
      <c r="N205" s="42"/>
      <c r="O205" s="43">
        <f t="shared" si="122"/>
        <v>42346.5</v>
      </c>
      <c r="P205" s="45"/>
      <c r="Q205" s="45"/>
      <c r="R205" s="69">
        <f t="shared" si="118"/>
        <v>38189.4869600652</v>
      </c>
      <c r="S205" s="69">
        <f t="shared" si="119"/>
        <v>5.75203748981255</v>
      </c>
      <c r="T205" s="70">
        <f t="shared" si="120"/>
        <v>56.6187041564792</v>
      </c>
      <c r="U205" s="69"/>
      <c r="V205" s="69"/>
      <c r="W205" s="71">
        <f t="shared" si="115"/>
        <v>38251.8577017115</v>
      </c>
      <c r="X205" s="72">
        <f t="shared" si="121"/>
        <v>524.37750203749</v>
      </c>
      <c r="Y205" s="72"/>
      <c r="Z205" s="72"/>
      <c r="AA205" s="72">
        <f t="shared" si="116"/>
        <v>524.37750203749</v>
      </c>
      <c r="AB205" s="81">
        <v>7.11</v>
      </c>
      <c r="AC205" s="69">
        <f t="shared" si="114"/>
        <v>3728.32403948655</v>
      </c>
      <c r="AD205" s="69">
        <f t="shared" si="113"/>
        <v>41980.181741198</v>
      </c>
      <c r="AE205" s="69">
        <f t="shared" si="117"/>
        <v>366.318258801955</v>
      </c>
    </row>
    <row r="206" customFormat="1" spans="1:31">
      <c r="A206" s="19"/>
      <c r="B206" s="20"/>
      <c r="C206" s="21">
        <v>241008000061</v>
      </c>
      <c r="D206" s="22">
        <v>45580</v>
      </c>
      <c r="E206" s="22" t="s">
        <v>47</v>
      </c>
      <c r="F206" s="20" t="s">
        <v>47</v>
      </c>
      <c r="G206" s="20" t="s">
        <v>222</v>
      </c>
      <c r="H206" s="20">
        <v>312</v>
      </c>
      <c r="I206" s="39">
        <v>18743</v>
      </c>
      <c r="J206" s="40"/>
      <c r="K206" s="41"/>
      <c r="L206" s="20"/>
      <c r="M206" s="41"/>
      <c r="N206" s="42"/>
      <c r="O206" s="43">
        <f t="shared" si="122"/>
        <v>18743</v>
      </c>
      <c r="P206" s="45"/>
      <c r="Q206" s="45"/>
      <c r="R206" s="69">
        <f t="shared" si="118"/>
        <v>15616.1466992665</v>
      </c>
      <c r="S206" s="69">
        <f t="shared" si="119"/>
        <v>2.3520782396088</v>
      </c>
      <c r="T206" s="70">
        <f t="shared" si="120"/>
        <v>23.1520782396088</v>
      </c>
      <c r="U206" s="69"/>
      <c r="V206" s="69"/>
      <c r="W206" s="71">
        <f t="shared" si="115"/>
        <v>15641.6508557457</v>
      </c>
      <c r="X206" s="72">
        <f t="shared" si="121"/>
        <v>214.42435207824</v>
      </c>
      <c r="Y206" s="72"/>
      <c r="Z206" s="72"/>
      <c r="AA206" s="72">
        <f t="shared" si="116"/>
        <v>214.42435207824</v>
      </c>
      <c r="AB206" s="81">
        <v>7.11</v>
      </c>
      <c r="AC206" s="69">
        <f t="shared" si="114"/>
        <v>1524.55714327628</v>
      </c>
      <c r="AD206" s="69">
        <f t="shared" si="113"/>
        <v>17166.207999022</v>
      </c>
      <c r="AE206" s="69">
        <f t="shared" si="117"/>
        <v>1576.792000978</v>
      </c>
    </row>
    <row r="207" customFormat="1" spans="1:31">
      <c r="A207" s="19"/>
      <c r="B207" s="20"/>
      <c r="C207" s="21">
        <v>241008000072</v>
      </c>
      <c r="D207" s="22">
        <v>45580</v>
      </c>
      <c r="E207" s="22" t="s">
        <v>66</v>
      </c>
      <c r="F207" s="20" t="s">
        <v>67</v>
      </c>
      <c r="G207" s="20" t="s">
        <v>223</v>
      </c>
      <c r="H207" s="20">
        <v>4</v>
      </c>
      <c r="I207" s="39">
        <v>252</v>
      </c>
      <c r="J207" s="40"/>
      <c r="K207" s="41"/>
      <c r="L207" s="20"/>
      <c r="M207" s="41"/>
      <c r="N207" s="42"/>
      <c r="O207" s="43">
        <f t="shared" si="122"/>
        <v>252</v>
      </c>
      <c r="P207" s="45"/>
      <c r="Q207" s="45"/>
      <c r="R207" s="69">
        <f t="shared" si="118"/>
        <v>200.207008964955</v>
      </c>
      <c r="S207" s="69">
        <f t="shared" si="119"/>
        <v>0.0301548492257539</v>
      </c>
      <c r="T207" s="70">
        <f t="shared" si="120"/>
        <v>0.296821515892421</v>
      </c>
      <c r="U207" s="69"/>
      <c r="V207" s="69"/>
      <c r="W207" s="71">
        <f t="shared" si="115"/>
        <v>200.533985330073</v>
      </c>
      <c r="X207" s="72">
        <f t="shared" si="121"/>
        <v>2.74903015484923</v>
      </c>
      <c r="Y207" s="72"/>
      <c r="Z207" s="72"/>
      <c r="AA207" s="72">
        <f t="shared" si="116"/>
        <v>2.74903015484923</v>
      </c>
      <c r="AB207" s="81">
        <v>7.11</v>
      </c>
      <c r="AC207" s="69">
        <f t="shared" si="114"/>
        <v>19.545604400978</v>
      </c>
      <c r="AD207" s="69">
        <f t="shared" si="113"/>
        <v>220.079589731051</v>
      </c>
      <c r="AE207" s="69">
        <f t="shared" si="117"/>
        <v>31.9204102689486</v>
      </c>
    </row>
    <row r="208" customFormat="1" spans="1:31">
      <c r="A208" s="19"/>
      <c r="B208" s="20"/>
      <c r="C208" s="21">
        <v>241008000073</v>
      </c>
      <c r="D208" s="22">
        <v>45580</v>
      </c>
      <c r="E208" s="22" t="s">
        <v>66</v>
      </c>
      <c r="F208" s="20" t="s">
        <v>67</v>
      </c>
      <c r="G208" s="20" t="s">
        <v>205</v>
      </c>
      <c r="H208" s="20">
        <v>2.5</v>
      </c>
      <c r="I208" s="50"/>
      <c r="J208" s="46">
        <v>41310</v>
      </c>
      <c r="K208" s="41"/>
      <c r="L208" s="47">
        <f>SUM(J208/M208)</f>
        <v>1727.72898368883</v>
      </c>
      <c r="M208" s="48">
        <v>23.91</v>
      </c>
      <c r="N208" s="42">
        <v>7.11</v>
      </c>
      <c r="O208" s="43">
        <f>SUM(M208*N208)</f>
        <v>170.0001</v>
      </c>
      <c r="P208" s="45"/>
      <c r="Q208" s="45"/>
      <c r="R208" s="69">
        <f t="shared" si="118"/>
        <v>125.129380603097</v>
      </c>
      <c r="S208" s="69">
        <f t="shared" si="119"/>
        <v>0.0188467807660962</v>
      </c>
      <c r="T208" s="70">
        <f t="shared" si="120"/>
        <v>0.185513447432763</v>
      </c>
      <c r="U208" s="69"/>
      <c r="V208" s="69"/>
      <c r="W208" s="71">
        <f t="shared" si="115"/>
        <v>125.333740831296</v>
      </c>
      <c r="X208" s="72">
        <f t="shared" si="121"/>
        <v>1.71814384678077</v>
      </c>
      <c r="Y208" s="72"/>
      <c r="Z208" s="72"/>
      <c r="AA208" s="72">
        <f t="shared" si="116"/>
        <v>1.71814384678077</v>
      </c>
      <c r="AB208" s="81">
        <v>7.11</v>
      </c>
      <c r="AC208" s="69">
        <f t="shared" si="114"/>
        <v>12.2160027506112</v>
      </c>
      <c r="AD208" s="69">
        <f t="shared" si="113"/>
        <v>137.549743581907</v>
      </c>
      <c r="AE208" s="69">
        <f t="shared" si="117"/>
        <v>32.4503564180929</v>
      </c>
    </row>
    <row r="209" customFormat="1" spans="1:31">
      <c r="A209" s="19"/>
      <c r="B209" s="20"/>
      <c r="C209" s="21">
        <v>241008000077</v>
      </c>
      <c r="D209" s="22">
        <v>45580</v>
      </c>
      <c r="E209" s="22" t="s">
        <v>66</v>
      </c>
      <c r="F209" s="20" t="s">
        <v>67</v>
      </c>
      <c r="G209" s="20" t="s">
        <v>224</v>
      </c>
      <c r="H209" s="20">
        <v>2.5</v>
      </c>
      <c r="I209" s="39">
        <v>168</v>
      </c>
      <c r="J209" s="40"/>
      <c r="K209" s="41"/>
      <c r="L209" s="20"/>
      <c r="M209" s="41"/>
      <c r="N209" s="42"/>
      <c r="O209" s="43">
        <f t="shared" ref="O209:O219" si="123">SUM(I209)</f>
        <v>168</v>
      </c>
      <c r="P209" s="45"/>
      <c r="Q209" s="45"/>
      <c r="R209" s="69">
        <f t="shared" si="118"/>
        <v>125.129380603097</v>
      </c>
      <c r="S209" s="69">
        <f t="shared" si="119"/>
        <v>0.0188467807660962</v>
      </c>
      <c r="T209" s="70">
        <f t="shared" si="120"/>
        <v>0.185513447432763</v>
      </c>
      <c r="U209" s="69"/>
      <c r="V209" s="69"/>
      <c r="W209" s="71">
        <f t="shared" si="115"/>
        <v>125.333740831296</v>
      </c>
      <c r="X209" s="72">
        <f t="shared" si="121"/>
        <v>1.71814384678077</v>
      </c>
      <c r="Y209" s="72"/>
      <c r="Z209" s="72"/>
      <c r="AA209" s="72">
        <f t="shared" si="116"/>
        <v>1.71814384678077</v>
      </c>
      <c r="AB209" s="81">
        <v>7.11</v>
      </c>
      <c r="AC209" s="69">
        <f t="shared" si="114"/>
        <v>12.2160027506112</v>
      </c>
      <c r="AD209" s="69">
        <f t="shared" si="113"/>
        <v>137.549743581907</v>
      </c>
      <c r="AE209" s="69">
        <f t="shared" si="117"/>
        <v>30.4502564180929</v>
      </c>
    </row>
    <row r="210" customFormat="1" spans="1:31">
      <c r="A210" s="19"/>
      <c r="B210" s="20"/>
      <c r="C210" s="82">
        <v>241008000080</v>
      </c>
      <c r="D210" s="83">
        <v>45580</v>
      </c>
      <c r="E210" s="22" t="s">
        <v>66</v>
      </c>
      <c r="F210" s="84" t="s">
        <v>67</v>
      </c>
      <c r="G210" s="84" t="s">
        <v>73</v>
      </c>
      <c r="H210" s="84">
        <v>0.64</v>
      </c>
      <c r="I210" s="39">
        <v>105</v>
      </c>
      <c r="J210" s="40"/>
      <c r="K210" s="41"/>
      <c r="L210" s="20"/>
      <c r="M210" s="41"/>
      <c r="N210" s="42"/>
      <c r="O210" s="43">
        <f t="shared" si="123"/>
        <v>105</v>
      </c>
      <c r="P210" s="45"/>
      <c r="Q210" s="45"/>
      <c r="R210" s="69">
        <f t="shared" si="118"/>
        <v>32.0331214343928</v>
      </c>
      <c r="S210" s="69">
        <f t="shared" si="119"/>
        <v>0.00482477587612062</v>
      </c>
      <c r="T210" s="70">
        <f t="shared" si="120"/>
        <v>0.0474914425427873</v>
      </c>
      <c r="U210" s="69"/>
      <c r="V210" s="69"/>
      <c r="W210" s="71">
        <f t="shared" si="115"/>
        <v>32.0854376528117</v>
      </c>
      <c r="X210" s="72">
        <f t="shared" si="121"/>
        <v>0.439844824775876</v>
      </c>
      <c r="Y210" s="72">
        <v>6.32</v>
      </c>
      <c r="Z210" s="72"/>
      <c r="AA210" s="72">
        <f t="shared" si="116"/>
        <v>6.75984482477588</v>
      </c>
      <c r="AB210" s="81">
        <v>7.11</v>
      </c>
      <c r="AC210" s="69">
        <f t="shared" si="114"/>
        <v>48.0624967041565</v>
      </c>
      <c r="AD210" s="69">
        <f t="shared" si="113"/>
        <v>80.1479343569682</v>
      </c>
      <c r="AE210" s="69">
        <f t="shared" si="117"/>
        <v>24.8520656430318</v>
      </c>
    </row>
    <row r="211" customFormat="1" spans="1:31">
      <c r="A211" s="19"/>
      <c r="B211" s="20"/>
      <c r="C211" s="21">
        <v>241008000087</v>
      </c>
      <c r="D211" s="22">
        <v>45580</v>
      </c>
      <c r="E211" s="22" t="s">
        <v>41</v>
      </c>
      <c r="F211" s="20" t="s">
        <v>42</v>
      </c>
      <c r="G211" s="20" t="s">
        <v>225</v>
      </c>
      <c r="H211" s="20">
        <v>9</v>
      </c>
      <c r="I211" s="50"/>
      <c r="J211" s="46">
        <v>138510</v>
      </c>
      <c r="K211" s="41"/>
      <c r="L211" s="47">
        <f>SUM(J211/M211)</f>
        <v>1725.12143479885</v>
      </c>
      <c r="M211" s="48">
        <v>80.29</v>
      </c>
      <c r="N211" s="42">
        <v>7.11</v>
      </c>
      <c r="O211" s="43">
        <f>SUM(M211*N211)</f>
        <v>570.8619</v>
      </c>
      <c r="P211" s="45"/>
      <c r="Q211" s="45"/>
      <c r="R211" s="69">
        <f t="shared" si="118"/>
        <v>450.465770171149</v>
      </c>
      <c r="S211" s="69">
        <f t="shared" si="119"/>
        <v>0.0678484107579462</v>
      </c>
      <c r="T211" s="70">
        <f t="shared" si="120"/>
        <v>0.667848410757946</v>
      </c>
      <c r="U211" s="69"/>
      <c r="V211" s="69"/>
      <c r="W211" s="71">
        <f t="shared" si="115"/>
        <v>451.201466992665</v>
      </c>
      <c r="X211" s="72">
        <f t="shared" si="121"/>
        <v>6.18531784841076</v>
      </c>
      <c r="Y211" s="72"/>
      <c r="Z211" s="72"/>
      <c r="AA211" s="72">
        <f t="shared" si="116"/>
        <v>6.18531784841076</v>
      </c>
      <c r="AB211" s="81">
        <v>7.11</v>
      </c>
      <c r="AC211" s="69">
        <f t="shared" si="114"/>
        <v>43.9776099022005</v>
      </c>
      <c r="AD211" s="69">
        <f t="shared" si="113"/>
        <v>495.179076894865</v>
      </c>
      <c r="AE211" s="69">
        <f t="shared" si="117"/>
        <v>75.6828231051345</v>
      </c>
    </row>
    <row r="212" customFormat="1" spans="1:31">
      <c r="A212" s="19"/>
      <c r="B212" s="20"/>
      <c r="C212" s="21">
        <v>241008000088</v>
      </c>
      <c r="D212" s="22">
        <v>45580</v>
      </c>
      <c r="E212" s="22" t="s">
        <v>66</v>
      </c>
      <c r="F212" s="20" t="s">
        <v>67</v>
      </c>
      <c r="G212" s="20" t="s">
        <v>226</v>
      </c>
      <c r="H212" s="20">
        <v>10</v>
      </c>
      <c r="I212" s="39">
        <v>884</v>
      </c>
      <c r="J212" s="40"/>
      <c r="K212" s="41"/>
      <c r="L212" s="20"/>
      <c r="M212" s="41"/>
      <c r="N212" s="42"/>
      <c r="O212" s="43">
        <f t="shared" si="123"/>
        <v>884</v>
      </c>
      <c r="P212" s="45"/>
      <c r="Q212" s="45"/>
      <c r="R212" s="69">
        <f t="shared" si="118"/>
        <v>500.517522412388</v>
      </c>
      <c r="S212" s="69">
        <f t="shared" si="119"/>
        <v>0.0753871230643847</v>
      </c>
      <c r="T212" s="70">
        <f t="shared" si="120"/>
        <v>0.742053789731051</v>
      </c>
      <c r="U212" s="69"/>
      <c r="V212" s="69"/>
      <c r="W212" s="71">
        <f t="shared" si="115"/>
        <v>501.334963325183</v>
      </c>
      <c r="X212" s="72">
        <f t="shared" si="121"/>
        <v>6.87257538712306</v>
      </c>
      <c r="Y212" s="72"/>
      <c r="Z212" s="72"/>
      <c r="AA212" s="72">
        <f t="shared" si="116"/>
        <v>6.87257538712306</v>
      </c>
      <c r="AB212" s="81">
        <v>7.11</v>
      </c>
      <c r="AC212" s="69">
        <f t="shared" si="114"/>
        <v>48.864011002445</v>
      </c>
      <c r="AD212" s="69">
        <f t="shared" si="113"/>
        <v>550.198974327628</v>
      </c>
      <c r="AE212" s="69">
        <f t="shared" si="117"/>
        <v>333.801025672372</v>
      </c>
    </row>
    <row r="213" customFormat="1" spans="1:31">
      <c r="A213" s="19"/>
      <c r="B213" s="20"/>
      <c r="C213" s="21">
        <v>241008000103</v>
      </c>
      <c r="D213" s="22">
        <v>45580</v>
      </c>
      <c r="E213" s="22" t="s">
        <v>66</v>
      </c>
      <c r="F213" s="20" t="s">
        <v>67</v>
      </c>
      <c r="G213" s="20" t="s">
        <v>79</v>
      </c>
      <c r="H213" s="20">
        <v>6.5</v>
      </c>
      <c r="I213" s="39">
        <v>390</v>
      </c>
      <c r="J213" s="40"/>
      <c r="K213" s="41"/>
      <c r="L213" s="20"/>
      <c r="M213" s="41"/>
      <c r="N213" s="42"/>
      <c r="O213" s="43">
        <f t="shared" si="123"/>
        <v>390</v>
      </c>
      <c r="P213" s="45"/>
      <c r="Q213" s="45"/>
      <c r="R213" s="69">
        <f t="shared" si="118"/>
        <v>325.336389568052</v>
      </c>
      <c r="S213" s="69">
        <f t="shared" si="119"/>
        <v>0.04900162999185</v>
      </c>
      <c r="T213" s="70">
        <f t="shared" si="120"/>
        <v>0.482334963325183</v>
      </c>
      <c r="U213" s="69"/>
      <c r="V213" s="69"/>
      <c r="W213" s="71">
        <f t="shared" si="115"/>
        <v>325.867726161369</v>
      </c>
      <c r="X213" s="72">
        <f t="shared" si="121"/>
        <v>4.46717400162999</v>
      </c>
      <c r="Y213" s="72"/>
      <c r="Z213" s="72"/>
      <c r="AA213" s="72">
        <f t="shared" si="116"/>
        <v>4.46717400162999</v>
      </c>
      <c r="AB213" s="81">
        <v>7.11</v>
      </c>
      <c r="AC213" s="69">
        <f t="shared" si="114"/>
        <v>31.7616071515892</v>
      </c>
      <c r="AD213" s="69">
        <f t="shared" si="113"/>
        <v>357.629333312958</v>
      </c>
      <c r="AE213" s="69">
        <f t="shared" si="117"/>
        <v>32.3706666870416</v>
      </c>
    </row>
    <row r="214" customFormat="1" spans="1:31">
      <c r="A214" s="19"/>
      <c r="B214" s="20"/>
      <c r="C214" s="21">
        <v>241008000106</v>
      </c>
      <c r="D214" s="22">
        <v>45580</v>
      </c>
      <c r="E214" s="22" t="s">
        <v>41</v>
      </c>
      <c r="F214" s="20" t="s">
        <v>42</v>
      </c>
      <c r="G214" s="20" t="s">
        <v>227</v>
      </c>
      <c r="H214" s="20">
        <v>16.5</v>
      </c>
      <c r="I214" s="39">
        <v>1089</v>
      </c>
      <c r="J214" s="40"/>
      <c r="K214" s="41"/>
      <c r="L214" s="20"/>
      <c r="M214" s="41"/>
      <c r="N214" s="42"/>
      <c r="O214" s="43">
        <f t="shared" si="123"/>
        <v>1089</v>
      </c>
      <c r="P214" s="45"/>
      <c r="Q214" s="45"/>
      <c r="R214" s="69">
        <f t="shared" si="118"/>
        <v>825.85391198044</v>
      </c>
      <c r="S214" s="69">
        <f t="shared" si="119"/>
        <v>0.124388753056235</v>
      </c>
      <c r="T214" s="70">
        <f t="shared" si="120"/>
        <v>1.22438875305623</v>
      </c>
      <c r="U214" s="69"/>
      <c r="V214" s="69"/>
      <c r="W214" s="71">
        <f t="shared" si="115"/>
        <v>827.202689486553</v>
      </c>
      <c r="X214" s="72">
        <f t="shared" si="121"/>
        <v>11.3397493887531</v>
      </c>
      <c r="Y214" s="72"/>
      <c r="Z214" s="72"/>
      <c r="AA214" s="72">
        <f t="shared" si="116"/>
        <v>11.3397493887531</v>
      </c>
      <c r="AB214" s="81">
        <v>7.11</v>
      </c>
      <c r="AC214" s="69">
        <f t="shared" si="114"/>
        <v>80.6256181540342</v>
      </c>
      <c r="AD214" s="69">
        <f t="shared" si="113"/>
        <v>907.828307640587</v>
      </c>
      <c r="AE214" s="69">
        <f t="shared" si="117"/>
        <v>181.171692359413</v>
      </c>
    </row>
    <row r="215" customFormat="1" spans="1:31">
      <c r="A215" s="19"/>
      <c r="B215" s="20"/>
      <c r="C215" s="21">
        <v>241008000111</v>
      </c>
      <c r="D215" s="22">
        <v>45580</v>
      </c>
      <c r="E215" s="22" t="s">
        <v>135</v>
      </c>
      <c r="F215" s="20" t="s">
        <v>136</v>
      </c>
      <c r="G215" s="20" t="s">
        <v>137</v>
      </c>
      <c r="H215" s="20">
        <v>1.5</v>
      </c>
      <c r="I215" s="39">
        <v>93</v>
      </c>
      <c r="J215" s="40"/>
      <c r="K215" s="41"/>
      <c r="L215" s="20"/>
      <c r="M215" s="41"/>
      <c r="N215" s="42"/>
      <c r="O215" s="43">
        <f t="shared" si="123"/>
        <v>93</v>
      </c>
      <c r="P215" s="45"/>
      <c r="Q215" s="45"/>
      <c r="R215" s="69">
        <f t="shared" si="118"/>
        <v>75.0776283618582</v>
      </c>
      <c r="S215" s="69">
        <f t="shared" si="119"/>
        <v>0.0113080684596577</v>
      </c>
      <c r="T215" s="70">
        <f t="shared" si="120"/>
        <v>0.111308068459658</v>
      </c>
      <c r="U215" s="69"/>
      <c r="V215" s="69"/>
      <c r="W215" s="71">
        <f t="shared" si="115"/>
        <v>75.2002444987775</v>
      </c>
      <c r="X215" s="72">
        <f t="shared" si="121"/>
        <v>1.03088630806846</v>
      </c>
      <c r="Y215" s="72"/>
      <c r="Z215" s="72"/>
      <c r="AA215" s="72">
        <f t="shared" si="116"/>
        <v>1.03088630806846</v>
      </c>
      <c r="AB215" s="81">
        <v>7.11</v>
      </c>
      <c r="AC215" s="69">
        <f t="shared" si="114"/>
        <v>7.32960165036675</v>
      </c>
      <c r="AD215" s="69">
        <f t="shared" si="113"/>
        <v>82.5298461491443</v>
      </c>
      <c r="AE215" s="69">
        <f t="shared" si="117"/>
        <v>10.4701538508557</v>
      </c>
    </row>
    <row r="216" customFormat="1" spans="1:31">
      <c r="A216" s="19"/>
      <c r="B216" s="20"/>
      <c r="C216" s="21">
        <v>241009000001</v>
      </c>
      <c r="D216" s="22">
        <v>45580</v>
      </c>
      <c r="E216" s="22" t="s">
        <v>66</v>
      </c>
      <c r="F216" s="20" t="s">
        <v>67</v>
      </c>
      <c r="G216" s="20" t="s">
        <v>228</v>
      </c>
      <c r="H216" s="20">
        <v>11.5</v>
      </c>
      <c r="I216" s="39">
        <v>804</v>
      </c>
      <c r="J216" s="40"/>
      <c r="K216" s="41"/>
      <c r="L216" s="20"/>
      <c r="M216" s="41"/>
      <c r="N216" s="42"/>
      <c r="O216" s="43">
        <f t="shared" si="123"/>
        <v>804</v>
      </c>
      <c r="P216" s="45"/>
      <c r="Q216" s="45"/>
      <c r="R216" s="69">
        <f t="shared" si="118"/>
        <v>575.595150774246</v>
      </c>
      <c r="S216" s="69">
        <f t="shared" si="119"/>
        <v>0.0866951915240424</v>
      </c>
      <c r="T216" s="70">
        <f t="shared" si="120"/>
        <v>0.853361858190709</v>
      </c>
      <c r="U216" s="69"/>
      <c r="V216" s="69"/>
      <c r="W216" s="71">
        <f t="shared" si="115"/>
        <v>576.535207823961</v>
      </c>
      <c r="X216" s="72">
        <f t="shared" si="121"/>
        <v>7.90346169519152</v>
      </c>
      <c r="Y216" s="72"/>
      <c r="Z216" s="72"/>
      <c r="AA216" s="72">
        <f t="shared" si="116"/>
        <v>7.90346169519152</v>
      </c>
      <c r="AB216" s="81">
        <v>7.11</v>
      </c>
      <c r="AC216" s="69">
        <f t="shared" si="114"/>
        <v>56.1936126528117</v>
      </c>
      <c r="AD216" s="69">
        <f t="shared" si="113"/>
        <v>632.728820476773</v>
      </c>
      <c r="AE216" s="69">
        <f t="shared" si="117"/>
        <v>171.271179523227</v>
      </c>
    </row>
    <row r="217" customFormat="1" spans="1:31">
      <c r="A217" s="19"/>
      <c r="B217" s="20"/>
      <c r="C217" s="21">
        <v>241009000007</v>
      </c>
      <c r="D217" s="22">
        <v>45580</v>
      </c>
      <c r="E217" s="22" t="s">
        <v>66</v>
      </c>
      <c r="F217" s="20" t="s">
        <v>67</v>
      </c>
      <c r="G217" s="20" t="s">
        <v>229</v>
      </c>
      <c r="H217" s="20">
        <v>5</v>
      </c>
      <c r="I217" s="39">
        <v>333</v>
      </c>
      <c r="J217" s="40"/>
      <c r="K217" s="41"/>
      <c r="L217" s="20"/>
      <c r="M217" s="41"/>
      <c r="N217" s="42"/>
      <c r="O217" s="43">
        <f t="shared" si="123"/>
        <v>333</v>
      </c>
      <c r="P217" s="45"/>
      <c r="Q217" s="45"/>
      <c r="R217" s="69">
        <f t="shared" si="118"/>
        <v>250.258761206194</v>
      </c>
      <c r="S217" s="69">
        <f t="shared" si="119"/>
        <v>0.0376935615321923</v>
      </c>
      <c r="T217" s="70">
        <f t="shared" si="120"/>
        <v>0.371026894865526</v>
      </c>
      <c r="U217" s="69"/>
      <c r="V217" s="69"/>
      <c r="W217" s="71">
        <f t="shared" si="115"/>
        <v>250.667481662592</v>
      </c>
      <c r="X217" s="72">
        <f t="shared" si="121"/>
        <v>3.43628769356153</v>
      </c>
      <c r="Y217" s="72"/>
      <c r="Z217" s="72"/>
      <c r="AA217" s="72">
        <f t="shared" si="116"/>
        <v>3.43628769356153</v>
      </c>
      <c r="AB217" s="81">
        <v>7.11</v>
      </c>
      <c r="AC217" s="69">
        <f t="shared" si="114"/>
        <v>24.4320055012225</v>
      </c>
      <c r="AD217" s="69">
        <f t="shared" si="113"/>
        <v>275.099487163814</v>
      </c>
      <c r="AE217" s="69">
        <f t="shared" si="117"/>
        <v>57.9005128361858</v>
      </c>
    </row>
    <row r="218" customFormat="1" spans="1:31">
      <c r="A218" s="19"/>
      <c r="B218" s="20"/>
      <c r="C218" s="21">
        <v>241009000008</v>
      </c>
      <c r="D218" s="22">
        <v>45580</v>
      </c>
      <c r="E218" s="22" t="s">
        <v>66</v>
      </c>
      <c r="F218" s="20" t="s">
        <v>67</v>
      </c>
      <c r="G218" s="20" t="s">
        <v>144</v>
      </c>
      <c r="H218" s="20">
        <v>3.5</v>
      </c>
      <c r="I218" s="39">
        <v>257.4</v>
      </c>
      <c r="J218" s="40"/>
      <c r="K218" s="41"/>
      <c r="L218" s="20"/>
      <c r="M218" s="41"/>
      <c r="N218" s="42"/>
      <c r="O218" s="43">
        <f t="shared" si="123"/>
        <v>257.4</v>
      </c>
      <c r="P218" s="45"/>
      <c r="Q218" s="45"/>
      <c r="R218" s="69">
        <f t="shared" si="118"/>
        <v>175.181132844336</v>
      </c>
      <c r="S218" s="69">
        <f t="shared" si="119"/>
        <v>0.0263854930725346</v>
      </c>
      <c r="T218" s="70">
        <f t="shared" si="120"/>
        <v>0.259718826405868</v>
      </c>
      <c r="U218" s="69"/>
      <c r="V218" s="69"/>
      <c r="W218" s="71">
        <f t="shared" si="115"/>
        <v>175.467237163814</v>
      </c>
      <c r="X218" s="72">
        <f t="shared" si="121"/>
        <v>2.40540138549307</v>
      </c>
      <c r="Y218" s="72"/>
      <c r="Z218" s="72"/>
      <c r="AA218" s="72">
        <f t="shared" si="116"/>
        <v>2.40540138549307</v>
      </c>
      <c r="AB218" s="81">
        <v>7.11</v>
      </c>
      <c r="AC218" s="69">
        <f t="shared" si="114"/>
        <v>17.1024038508557</v>
      </c>
      <c r="AD218" s="69">
        <f t="shared" si="113"/>
        <v>192.56964101467</v>
      </c>
      <c r="AE218" s="69">
        <f t="shared" si="117"/>
        <v>64.83035898533</v>
      </c>
    </row>
    <row r="219" customFormat="1" spans="1:31">
      <c r="A219" s="19"/>
      <c r="B219" s="20"/>
      <c r="C219" s="21">
        <v>241009000011</v>
      </c>
      <c r="D219" s="22">
        <v>45580</v>
      </c>
      <c r="E219" s="22" t="s">
        <v>66</v>
      </c>
      <c r="F219" s="20" t="s">
        <v>67</v>
      </c>
      <c r="G219" s="20" t="s">
        <v>174</v>
      </c>
      <c r="H219" s="20">
        <v>2.5</v>
      </c>
      <c r="I219" s="39">
        <v>184.8</v>
      </c>
      <c r="J219" s="40"/>
      <c r="K219" s="41"/>
      <c r="L219" s="20"/>
      <c r="M219" s="41"/>
      <c r="N219" s="42"/>
      <c r="O219" s="43">
        <f t="shared" si="123"/>
        <v>184.8</v>
      </c>
      <c r="P219" s="45"/>
      <c r="Q219" s="45"/>
      <c r="R219" s="69">
        <f t="shared" si="118"/>
        <v>125.129380603097</v>
      </c>
      <c r="S219" s="69">
        <f t="shared" si="119"/>
        <v>0.0188467807660962</v>
      </c>
      <c r="T219" s="70">
        <f t="shared" si="120"/>
        <v>0.185513447432763</v>
      </c>
      <c r="U219" s="69"/>
      <c r="V219" s="69"/>
      <c r="W219" s="71">
        <f t="shared" si="115"/>
        <v>125.333740831296</v>
      </c>
      <c r="X219" s="72">
        <f t="shared" si="121"/>
        <v>1.71814384678077</v>
      </c>
      <c r="Y219" s="72"/>
      <c r="Z219" s="72"/>
      <c r="AA219" s="72">
        <f t="shared" si="116"/>
        <v>1.71814384678077</v>
      </c>
      <c r="AB219" s="81">
        <v>7.11</v>
      </c>
      <c r="AC219" s="69">
        <f t="shared" si="114"/>
        <v>12.2160027506112</v>
      </c>
      <c r="AD219" s="69">
        <f t="shared" si="113"/>
        <v>137.549743581907</v>
      </c>
      <c r="AE219" s="69">
        <f t="shared" si="117"/>
        <v>47.2502564180929</v>
      </c>
    </row>
    <row r="220" customFormat="1" spans="1:31">
      <c r="A220" s="19"/>
      <c r="B220" s="20"/>
      <c r="C220" s="21">
        <v>241009000012</v>
      </c>
      <c r="D220" s="22">
        <v>45580</v>
      </c>
      <c r="E220" s="22" t="s">
        <v>41</v>
      </c>
      <c r="F220" s="20" t="s">
        <v>42</v>
      </c>
      <c r="G220" s="20" t="s">
        <v>230</v>
      </c>
      <c r="H220" s="20">
        <v>25</v>
      </c>
      <c r="I220" s="87">
        <v>1617</v>
      </c>
      <c r="J220" s="40"/>
      <c r="K220" s="41"/>
      <c r="L220" s="20"/>
      <c r="M220" s="41"/>
      <c r="N220" s="42"/>
      <c r="O220" s="43">
        <f>SUBTOTAL(9,I220)</f>
        <v>1617</v>
      </c>
      <c r="P220" s="45"/>
      <c r="Q220" s="45"/>
      <c r="R220" s="69">
        <f t="shared" si="118"/>
        <v>1251.29380603097</v>
      </c>
      <c r="S220" s="69">
        <f t="shared" si="119"/>
        <v>0.188467807660962</v>
      </c>
      <c r="T220" s="70">
        <f t="shared" si="120"/>
        <v>1.85513447432763</v>
      </c>
      <c r="U220" s="69"/>
      <c r="V220" s="69"/>
      <c r="W220" s="71">
        <f t="shared" si="115"/>
        <v>1253.33740831296</v>
      </c>
      <c r="X220" s="72">
        <f t="shared" si="121"/>
        <v>17.1814384678077</v>
      </c>
      <c r="Y220" s="72"/>
      <c r="Z220" s="72"/>
      <c r="AA220" s="72">
        <f t="shared" si="116"/>
        <v>17.1814384678077</v>
      </c>
      <c r="AB220" s="81">
        <v>7.11</v>
      </c>
      <c r="AC220" s="69">
        <f t="shared" si="114"/>
        <v>122.160027506112</v>
      </c>
      <c r="AD220" s="69">
        <f t="shared" si="113"/>
        <v>1375.49743581907</v>
      </c>
      <c r="AE220" s="69">
        <f t="shared" si="117"/>
        <v>241.50256418093</v>
      </c>
    </row>
    <row r="221" customFormat="1" spans="1:31">
      <c r="A221" s="19"/>
      <c r="B221" s="20"/>
      <c r="C221" s="21">
        <v>241009000013</v>
      </c>
      <c r="D221" s="22">
        <v>45580</v>
      </c>
      <c r="E221" s="22" t="s">
        <v>37</v>
      </c>
      <c r="F221" s="20" t="s">
        <v>38</v>
      </c>
      <c r="G221" s="20" t="s">
        <v>146</v>
      </c>
      <c r="H221" s="20">
        <v>2</v>
      </c>
      <c r="I221" s="39">
        <v>172.2</v>
      </c>
      <c r="J221" s="40"/>
      <c r="K221" s="41"/>
      <c r="L221" s="20"/>
      <c r="M221" s="41"/>
      <c r="N221" s="42"/>
      <c r="O221" s="43">
        <f t="shared" ref="O221:O223" si="124">SUM(I221)</f>
        <v>172.2</v>
      </c>
      <c r="P221" s="45"/>
      <c r="Q221" s="45"/>
      <c r="R221" s="69">
        <f t="shared" si="118"/>
        <v>100.103504482478</v>
      </c>
      <c r="S221" s="69">
        <f t="shared" si="119"/>
        <v>0.0150774246128769</v>
      </c>
      <c r="T221" s="70">
        <f t="shared" si="120"/>
        <v>0.14841075794621</v>
      </c>
      <c r="U221" s="69"/>
      <c r="V221" s="69"/>
      <c r="W221" s="71">
        <f t="shared" si="115"/>
        <v>100.266992665037</v>
      </c>
      <c r="X221" s="72">
        <f t="shared" si="121"/>
        <v>1.37451507742461</v>
      </c>
      <c r="Y221" s="72"/>
      <c r="Z221" s="72"/>
      <c r="AA221" s="72">
        <f t="shared" si="116"/>
        <v>1.37451507742461</v>
      </c>
      <c r="AB221" s="81">
        <v>7.11</v>
      </c>
      <c r="AC221" s="69">
        <f t="shared" si="114"/>
        <v>9.772802200489</v>
      </c>
      <c r="AD221" s="69">
        <f t="shared" si="113"/>
        <v>110.039794865526</v>
      </c>
      <c r="AE221" s="69">
        <f t="shared" si="117"/>
        <v>62.1602051344743</v>
      </c>
    </row>
    <row r="222" customFormat="1" spans="1:31">
      <c r="A222" s="19"/>
      <c r="B222" s="20"/>
      <c r="C222" s="21">
        <v>241009000016</v>
      </c>
      <c r="D222" s="22">
        <v>45580</v>
      </c>
      <c r="E222" s="22" t="s">
        <v>41</v>
      </c>
      <c r="F222" s="20" t="s">
        <v>42</v>
      </c>
      <c r="G222" s="20" t="s">
        <v>91</v>
      </c>
      <c r="H222" s="20">
        <v>4.5</v>
      </c>
      <c r="I222" s="39">
        <v>300</v>
      </c>
      <c r="J222" s="40"/>
      <c r="K222" s="41"/>
      <c r="L222" s="20"/>
      <c r="M222" s="41"/>
      <c r="N222" s="42"/>
      <c r="O222" s="43">
        <f t="shared" si="124"/>
        <v>300</v>
      </c>
      <c r="P222" s="45"/>
      <c r="Q222" s="45"/>
      <c r="R222" s="69">
        <f t="shared" si="118"/>
        <v>225.232885085575</v>
      </c>
      <c r="S222" s="69">
        <f t="shared" si="119"/>
        <v>0.0339242053789731</v>
      </c>
      <c r="T222" s="70">
        <f t="shared" si="120"/>
        <v>0.333924205378973</v>
      </c>
      <c r="U222" s="69"/>
      <c r="V222" s="69"/>
      <c r="W222" s="71">
        <f t="shared" si="115"/>
        <v>225.600733496333</v>
      </c>
      <c r="X222" s="72">
        <f t="shared" si="121"/>
        <v>3.09265892420538</v>
      </c>
      <c r="Y222" s="72"/>
      <c r="Z222" s="72"/>
      <c r="AA222" s="72">
        <f t="shared" si="116"/>
        <v>3.09265892420538</v>
      </c>
      <c r="AB222" s="81">
        <v>7.11</v>
      </c>
      <c r="AC222" s="69">
        <f t="shared" si="114"/>
        <v>21.9888049511002</v>
      </c>
      <c r="AD222" s="69">
        <f t="shared" si="113"/>
        <v>247.589538447433</v>
      </c>
      <c r="AE222" s="69">
        <f t="shared" si="117"/>
        <v>52.4104615525673</v>
      </c>
    </row>
    <row r="223" customFormat="1" spans="1:31">
      <c r="A223" s="19"/>
      <c r="B223" s="20"/>
      <c r="C223" s="21">
        <v>241009000023</v>
      </c>
      <c r="D223" s="22">
        <v>45580</v>
      </c>
      <c r="E223" s="22" t="s">
        <v>37</v>
      </c>
      <c r="F223" s="20" t="s">
        <v>38</v>
      </c>
      <c r="G223" s="20" t="s">
        <v>231</v>
      </c>
      <c r="H223" s="20">
        <v>34.5</v>
      </c>
      <c r="I223" s="39">
        <v>2967</v>
      </c>
      <c r="J223" s="40"/>
      <c r="K223" s="41"/>
      <c r="L223" s="20"/>
      <c r="M223" s="41"/>
      <c r="N223" s="42"/>
      <c r="O223" s="43">
        <f t="shared" si="124"/>
        <v>2967</v>
      </c>
      <c r="P223" s="45"/>
      <c r="Q223" s="45"/>
      <c r="R223" s="69">
        <f t="shared" si="118"/>
        <v>1726.78545232274</v>
      </c>
      <c r="S223" s="69">
        <f t="shared" si="119"/>
        <v>0.260085574572127</v>
      </c>
      <c r="T223" s="70">
        <f t="shared" si="120"/>
        <v>2.56008557457213</v>
      </c>
      <c r="U223" s="69"/>
      <c r="V223" s="69"/>
      <c r="W223" s="71">
        <f t="shared" si="115"/>
        <v>1729.60562347188</v>
      </c>
      <c r="X223" s="72">
        <f t="shared" si="121"/>
        <v>23.7103850855746</v>
      </c>
      <c r="Y223" s="72"/>
      <c r="Z223" s="72"/>
      <c r="AA223" s="72">
        <f t="shared" si="116"/>
        <v>23.7103850855746</v>
      </c>
      <c r="AB223" s="81">
        <v>7.11</v>
      </c>
      <c r="AC223" s="69">
        <f t="shared" si="114"/>
        <v>168.580837958435</v>
      </c>
      <c r="AD223" s="69">
        <f t="shared" si="113"/>
        <v>1898.18646143032</v>
      </c>
      <c r="AE223" s="69">
        <f t="shared" si="117"/>
        <v>1068.81353856968</v>
      </c>
    </row>
    <row r="224" customFormat="1" spans="1:31">
      <c r="A224" s="19"/>
      <c r="B224" s="20"/>
      <c r="C224" s="21">
        <v>241009000027</v>
      </c>
      <c r="D224" s="22">
        <v>45580</v>
      </c>
      <c r="E224" s="22" t="s">
        <v>41</v>
      </c>
      <c r="F224" s="20" t="s">
        <v>42</v>
      </c>
      <c r="G224" s="20" t="s">
        <v>232</v>
      </c>
      <c r="H224" s="20">
        <v>5.5</v>
      </c>
      <c r="I224" s="50"/>
      <c r="J224" s="46">
        <v>89194.05</v>
      </c>
      <c r="K224" s="41"/>
      <c r="L224" s="47">
        <f>SUM(J224/M224)</f>
        <v>1731.58707047175</v>
      </c>
      <c r="M224" s="48">
        <v>51.51</v>
      </c>
      <c r="N224" s="42">
        <v>7.11</v>
      </c>
      <c r="O224" s="43">
        <f>SUM(M224*N224)</f>
        <v>366.2361</v>
      </c>
      <c r="P224" s="45"/>
      <c r="Q224" s="45"/>
      <c r="R224" s="69">
        <f t="shared" si="118"/>
        <v>275.284637326813</v>
      </c>
      <c r="S224" s="69">
        <f t="shared" si="119"/>
        <v>0.0414629176854116</v>
      </c>
      <c r="T224" s="70">
        <f t="shared" si="120"/>
        <v>0.408129584352078</v>
      </c>
      <c r="U224" s="69"/>
      <c r="V224" s="69"/>
      <c r="W224" s="71">
        <f t="shared" si="115"/>
        <v>275.734229828851</v>
      </c>
      <c r="X224" s="72">
        <f t="shared" si="121"/>
        <v>3.77991646291769</v>
      </c>
      <c r="Y224" s="72"/>
      <c r="Z224" s="72"/>
      <c r="AA224" s="72">
        <f t="shared" si="116"/>
        <v>3.77991646291769</v>
      </c>
      <c r="AB224" s="81">
        <v>7.11</v>
      </c>
      <c r="AC224" s="69">
        <f t="shared" si="114"/>
        <v>26.8752060513447</v>
      </c>
      <c r="AD224" s="69">
        <f t="shared" si="113"/>
        <v>302.609435880196</v>
      </c>
      <c r="AE224" s="69">
        <f t="shared" si="117"/>
        <v>63.6266641198044</v>
      </c>
    </row>
    <row r="225" customFormat="1" spans="1:31">
      <c r="A225" s="19"/>
      <c r="B225" s="20"/>
      <c r="C225" s="21">
        <v>241009000028</v>
      </c>
      <c r="D225" s="22">
        <v>45580</v>
      </c>
      <c r="E225" s="22" t="s">
        <v>37</v>
      </c>
      <c r="F225" s="20" t="s">
        <v>38</v>
      </c>
      <c r="G225" s="20" t="s">
        <v>233</v>
      </c>
      <c r="H225" s="20">
        <v>5.5</v>
      </c>
      <c r="I225" s="39">
        <v>366.3</v>
      </c>
      <c r="J225" s="40"/>
      <c r="K225" s="41"/>
      <c r="L225" s="20"/>
      <c r="M225" s="41"/>
      <c r="N225" s="42"/>
      <c r="O225" s="43">
        <f t="shared" ref="O225:O229" si="125">SUM(I225)</f>
        <v>366.3</v>
      </c>
      <c r="P225" s="45"/>
      <c r="Q225" s="45"/>
      <c r="R225" s="69">
        <f t="shared" si="118"/>
        <v>275.284637326813</v>
      </c>
      <c r="S225" s="69">
        <f t="shared" si="119"/>
        <v>0.0414629176854116</v>
      </c>
      <c r="T225" s="70">
        <f t="shared" si="120"/>
        <v>0.408129584352078</v>
      </c>
      <c r="U225" s="69"/>
      <c r="V225" s="69"/>
      <c r="W225" s="71">
        <f t="shared" si="115"/>
        <v>275.734229828851</v>
      </c>
      <c r="X225" s="72">
        <f t="shared" si="121"/>
        <v>3.77991646291769</v>
      </c>
      <c r="Y225" s="72"/>
      <c r="Z225" s="72"/>
      <c r="AA225" s="72">
        <f t="shared" si="116"/>
        <v>3.77991646291769</v>
      </c>
      <c r="AB225" s="81">
        <v>7.11</v>
      </c>
      <c r="AC225" s="69">
        <f t="shared" si="114"/>
        <v>26.8752060513447</v>
      </c>
      <c r="AD225" s="69">
        <f t="shared" si="113"/>
        <v>302.609435880196</v>
      </c>
      <c r="AE225" s="69">
        <f t="shared" si="117"/>
        <v>63.6905641198044</v>
      </c>
    </row>
    <row r="226" customFormat="1" spans="1:31">
      <c r="A226" s="19"/>
      <c r="B226" s="20"/>
      <c r="C226" s="21">
        <v>241009000031</v>
      </c>
      <c r="D226" s="22">
        <v>45580</v>
      </c>
      <c r="E226" s="22" t="s">
        <v>37</v>
      </c>
      <c r="F226" s="20" t="s">
        <v>38</v>
      </c>
      <c r="G226" s="20" t="s">
        <v>146</v>
      </c>
      <c r="H226" s="20">
        <v>7.5</v>
      </c>
      <c r="I226" s="39">
        <v>606.9</v>
      </c>
      <c r="J226" s="40"/>
      <c r="K226" s="41"/>
      <c r="L226" s="20"/>
      <c r="M226" s="41"/>
      <c r="N226" s="42"/>
      <c r="O226" s="43">
        <f t="shared" si="125"/>
        <v>606.9</v>
      </c>
      <c r="P226" s="45"/>
      <c r="Q226" s="45"/>
      <c r="R226" s="69">
        <f t="shared" si="118"/>
        <v>375.388141809291</v>
      </c>
      <c r="S226" s="69">
        <f t="shared" si="119"/>
        <v>0.0565403422982885</v>
      </c>
      <c r="T226" s="70">
        <f t="shared" si="120"/>
        <v>0.556540342298288</v>
      </c>
      <c r="U226" s="69"/>
      <c r="V226" s="69"/>
      <c r="W226" s="71">
        <f t="shared" si="115"/>
        <v>376.001222493887</v>
      </c>
      <c r="X226" s="72">
        <f t="shared" si="121"/>
        <v>5.1544315403423</v>
      </c>
      <c r="Y226" s="72"/>
      <c r="Z226" s="72"/>
      <c r="AA226" s="72">
        <f t="shared" si="116"/>
        <v>5.1544315403423</v>
      </c>
      <c r="AB226" s="81">
        <v>7.11</v>
      </c>
      <c r="AC226" s="69">
        <f t="shared" si="114"/>
        <v>36.6480082518337</v>
      </c>
      <c r="AD226" s="69">
        <f t="shared" ref="AD226:AD249" si="126">SUM(W226+AC226)</f>
        <v>412.649230745721</v>
      </c>
      <c r="AE226" s="69">
        <f t="shared" si="117"/>
        <v>194.250769254279</v>
      </c>
    </row>
    <row r="227" customFormat="1" spans="1:31">
      <c r="A227" s="19"/>
      <c r="B227" s="20"/>
      <c r="C227" s="21">
        <v>241009000035</v>
      </c>
      <c r="D227" s="22">
        <v>45580</v>
      </c>
      <c r="E227" s="22" t="s">
        <v>37</v>
      </c>
      <c r="F227" s="20" t="s">
        <v>38</v>
      </c>
      <c r="G227" s="20" t="s">
        <v>234</v>
      </c>
      <c r="H227" s="20">
        <v>5</v>
      </c>
      <c r="I227" s="39">
        <v>396.3</v>
      </c>
      <c r="J227" s="40"/>
      <c r="K227" s="41"/>
      <c r="L227" s="20"/>
      <c r="M227" s="41"/>
      <c r="N227" s="42"/>
      <c r="O227" s="43">
        <f t="shared" si="125"/>
        <v>396.3</v>
      </c>
      <c r="P227" s="45"/>
      <c r="Q227" s="45"/>
      <c r="R227" s="69">
        <f t="shared" si="118"/>
        <v>250.258761206194</v>
      </c>
      <c r="S227" s="69">
        <f t="shared" si="119"/>
        <v>0.0376935615321923</v>
      </c>
      <c r="T227" s="70">
        <f t="shared" si="120"/>
        <v>0.371026894865526</v>
      </c>
      <c r="U227" s="69"/>
      <c r="V227" s="69"/>
      <c r="W227" s="71">
        <f t="shared" si="115"/>
        <v>250.667481662592</v>
      </c>
      <c r="X227" s="72">
        <f t="shared" si="121"/>
        <v>3.43628769356153</v>
      </c>
      <c r="Y227" s="72">
        <v>4.23</v>
      </c>
      <c r="Z227" s="72"/>
      <c r="AA227" s="72">
        <f t="shared" si="116"/>
        <v>7.66628769356153</v>
      </c>
      <c r="AB227" s="81">
        <v>7.11</v>
      </c>
      <c r="AC227" s="69">
        <f t="shared" ref="AC227:AC249" si="127">SUM(AA227*AB227)</f>
        <v>54.5073055012225</v>
      </c>
      <c r="AD227" s="69">
        <f t="shared" si="126"/>
        <v>305.174787163814</v>
      </c>
      <c r="AE227" s="69">
        <f t="shared" si="117"/>
        <v>91.1252128361858</v>
      </c>
    </row>
    <row r="228" customFormat="1" spans="1:31">
      <c r="A228" s="19"/>
      <c r="B228" s="20"/>
      <c r="C228" s="21">
        <v>241009000038</v>
      </c>
      <c r="D228" s="22">
        <v>45580</v>
      </c>
      <c r="E228" s="22" t="s">
        <v>37</v>
      </c>
      <c r="F228" s="20" t="s">
        <v>38</v>
      </c>
      <c r="G228" s="20" t="s">
        <v>235</v>
      </c>
      <c r="H228" s="20">
        <v>5.5</v>
      </c>
      <c r="I228" s="39">
        <v>370</v>
      </c>
      <c r="J228" s="40"/>
      <c r="K228" s="41"/>
      <c r="L228" s="20"/>
      <c r="M228" s="41"/>
      <c r="N228" s="42"/>
      <c r="O228" s="43">
        <f t="shared" si="125"/>
        <v>370</v>
      </c>
      <c r="P228" s="45"/>
      <c r="Q228" s="45"/>
      <c r="R228" s="69">
        <f t="shared" si="118"/>
        <v>275.284637326813</v>
      </c>
      <c r="S228" s="69">
        <f t="shared" si="119"/>
        <v>0.0414629176854116</v>
      </c>
      <c r="T228" s="70">
        <f t="shared" si="120"/>
        <v>0.408129584352078</v>
      </c>
      <c r="U228" s="69"/>
      <c r="V228" s="69"/>
      <c r="W228" s="71">
        <f t="shared" ref="W228:W248" si="128">SUM(R228:V228)</f>
        <v>275.734229828851</v>
      </c>
      <c r="X228" s="72">
        <f t="shared" si="121"/>
        <v>3.77991646291769</v>
      </c>
      <c r="Y228" s="72"/>
      <c r="Z228" s="72"/>
      <c r="AA228" s="72">
        <f t="shared" ref="AA228:AA248" si="129">SUM(X228:Z228)</f>
        <v>3.77991646291769</v>
      </c>
      <c r="AB228" s="81">
        <v>7.11</v>
      </c>
      <c r="AC228" s="69">
        <f t="shared" si="127"/>
        <v>26.8752060513447</v>
      </c>
      <c r="AD228" s="69">
        <f t="shared" si="126"/>
        <v>302.609435880196</v>
      </c>
      <c r="AE228" s="69">
        <f t="shared" ref="AE228:AE249" si="130">SUM(O228-AD228)</f>
        <v>67.3905641198044</v>
      </c>
    </row>
    <row r="229" customFormat="1" spans="1:31">
      <c r="A229" s="19"/>
      <c r="B229" s="20"/>
      <c r="C229" s="21">
        <v>241009000040</v>
      </c>
      <c r="D229" s="22">
        <v>45580</v>
      </c>
      <c r="E229" s="22" t="s">
        <v>76</v>
      </c>
      <c r="F229" s="20" t="s">
        <v>77</v>
      </c>
      <c r="G229" s="20" t="s">
        <v>236</v>
      </c>
      <c r="H229" s="20">
        <v>10.5</v>
      </c>
      <c r="I229" s="39">
        <v>766.95</v>
      </c>
      <c r="J229" s="40"/>
      <c r="K229" s="41"/>
      <c r="L229" s="20"/>
      <c r="M229" s="41"/>
      <c r="N229" s="42"/>
      <c r="O229" s="43">
        <f t="shared" si="125"/>
        <v>766.95</v>
      </c>
      <c r="P229" s="45"/>
      <c r="Q229" s="45"/>
      <c r="R229" s="69">
        <f t="shared" si="118"/>
        <v>525.543398533007</v>
      </c>
      <c r="S229" s="69">
        <f t="shared" si="119"/>
        <v>0.0791564792176039</v>
      </c>
      <c r="T229" s="70">
        <f t="shared" si="120"/>
        <v>0.779156479217604</v>
      </c>
      <c r="U229" s="69"/>
      <c r="V229" s="69"/>
      <c r="W229" s="71">
        <f t="shared" si="128"/>
        <v>526.401711491443</v>
      </c>
      <c r="X229" s="72">
        <f t="shared" si="121"/>
        <v>7.21620415647922</v>
      </c>
      <c r="Y229" s="72">
        <v>14.4</v>
      </c>
      <c r="Z229" s="72"/>
      <c r="AA229" s="72">
        <f t="shared" si="129"/>
        <v>21.6162041564792</v>
      </c>
      <c r="AB229" s="81">
        <v>7.11</v>
      </c>
      <c r="AC229" s="69">
        <f t="shared" si="127"/>
        <v>153.691211552567</v>
      </c>
      <c r="AD229" s="69">
        <f t="shared" si="126"/>
        <v>680.09292304401</v>
      </c>
      <c r="AE229" s="69">
        <f t="shared" si="130"/>
        <v>86.8570769559902</v>
      </c>
    </row>
    <row r="230" customFormat="1" spans="1:31">
      <c r="A230" s="19"/>
      <c r="B230" s="20"/>
      <c r="C230" s="21">
        <v>241009000042</v>
      </c>
      <c r="D230" s="22">
        <v>45580</v>
      </c>
      <c r="E230" s="22" t="s">
        <v>66</v>
      </c>
      <c r="F230" s="20" t="s">
        <v>67</v>
      </c>
      <c r="G230" s="20" t="s">
        <v>180</v>
      </c>
      <c r="H230" s="20">
        <v>11</v>
      </c>
      <c r="I230" s="50"/>
      <c r="J230" s="91">
        <v>160380</v>
      </c>
      <c r="K230" s="41"/>
      <c r="L230" s="47">
        <f t="shared" ref="L230:L235" si="131">SUM(J230/M230)</f>
        <v>1727.8603749192</v>
      </c>
      <c r="M230" s="48">
        <v>92.82</v>
      </c>
      <c r="N230" s="42">
        <v>7.11</v>
      </c>
      <c r="O230" s="43">
        <f t="shared" ref="O230:O235" si="132">SUM(M230*N230)</f>
        <v>659.9502</v>
      </c>
      <c r="P230" s="45"/>
      <c r="Q230" s="45"/>
      <c r="R230" s="69">
        <f t="shared" ref="R230:R248" si="133">SUM(245654/4908)*H230</f>
        <v>550.569274653627</v>
      </c>
      <c r="S230" s="69">
        <f t="shared" ref="S230:S248" si="134">SUM(37/4908)*H230</f>
        <v>0.0829258353708232</v>
      </c>
      <c r="T230" s="70">
        <f t="shared" ref="T230:T248" si="135">SUM(364.2/4908)*H230</f>
        <v>0.816259168704156</v>
      </c>
      <c r="U230" s="69"/>
      <c r="V230" s="69"/>
      <c r="W230" s="71">
        <f t="shared" si="128"/>
        <v>551.468459657702</v>
      </c>
      <c r="X230" s="72">
        <f t="shared" ref="X230:X248" si="136">SUM(3373.06/4908)*H230</f>
        <v>7.55983292583537</v>
      </c>
      <c r="Y230" s="72"/>
      <c r="Z230" s="72"/>
      <c r="AA230" s="72">
        <f t="shared" si="129"/>
        <v>7.55983292583537</v>
      </c>
      <c r="AB230" s="81">
        <v>7.11</v>
      </c>
      <c r="AC230" s="69">
        <f t="shared" si="127"/>
        <v>53.7504121026895</v>
      </c>
      <c r="AD230" s="69">
        <f t="shared" si="126"/>
        <v>605.218871760391</v>
      </c>
      <c r="AE230" s="69">
        <f t="shared" si="130"/>
        <v>54.7313282396088</v>
      </c>
    </row>
    <row r="231" customFormat="1" spans="1:31">
      <c r="A231" s="19"/>
      <c r="B231" s="20"/>
      <c r="C231" s="21">
        <v>241009000045</v>
      </c>
      <c r="D231" s="22">
        <v>45580</v>
      </c>
      <c r="E231" s="22" t="s">
        <v>37</v>
      </c>
      <c r="F231" s="20" t="s">
        <v>38</v>
      </c>
      <c r="G231" s="20" t="s">
        <v>237</v>
      </c>
      <c r="H231" s="20">
        <v>5.5</v>
      </c>
      <c r="I231" s="50"/>
      <c r="J231" s="46">
        <v>89194</v>
      </c>
      <c r="K231" s="41"/>
      <c r="L231" s="47">
        <f t="shared" si="131"/>
        <v>1731.58609978645</v>
      </c>
      <c r="M231" s="48">
        <v>51.51</v>
      </c>
      <c r="N231" s="42">
        <v>7.11</v>
      </c>
      <c r="O231" s="43">
        <f t="shared" si="132"/>
        <v>366.2361</v>
      </c>
      <c r="P231" s="45"/>
      <c r="Q231" s="45"/>
      <c r="R231" s="69">
        <f t="shared" si="133"/>
        <v>275.284637326813</v>
      </c>
      <c r="S231" s="69">
        <f t="shared" si="134"/>
        <v>0.0414629176854116</v>
      </c>
      <c r="T231" s="70">
        <f t="shared" si="135"/>
        <v>0.408129584352078</v>
      </c>
      <c r="U231" s="69"/>
      <c r="V231" s="69"/>
      <c r="W231" s="71">
        <f t="shared" si="128"/>
        <v>275.734229828851</v>
      </c>
      <c r="X231" s="72">
        <f t="shared" si="136"/>
        <v>3.77991646291769</v>
      </c>
      <c r="Y231" s="72"/>
      <c r="Z231" s="72"/>
      <c r="AA231" s="72">
        <f t="shared" si="129"/>
        <v>3.77991646291769</v>
      </c>
      <c r="AB231" s="81">
        <v>7.11</v>
      </c>
      <c r="AC231" s="69">
        <f t="shared" si="127"/>
        <v>26.8752060513447</v>
      </c>
      <c r="AD231" s="69">
        <f t="shared" si="126"/>
        <v>302.609435880196</v>
      </c>
      <c r="AE231" s="69">
        <f t="shared" si="130"/>
        <v>63.6266641198044</v>
      </c>
    </row>
    <row r="232" customFormat="1" spans="1:31">
      <c r="A232" s="19"/>
      <c r="B232" s="20"/>
      <c r="C232" s="82">
        <v>241009000047</v>
      </c>
      <c r="D232" s="83">
        <v>45580</v>
      </c>
      <c r="E232" s="22" t="s">
        <v>37</v>
      </c>
      <c r="F232" s="84" t="s">
        <v>38</v>
      </c>
      <c r="G232" s="84" t="s">
        <v>238</v>
      </c>
      <c r="H232" s="84">
        <v>17.5</v>
      </c>
      <c r="I232" s="88">
        <v>1269</v>
      </c>
      <c r="J232" s="40"/>
      <c r="K232" s="41"/>
      <c r="L232" s="20"/>
      <c r="M232" s="41"/>
      <c r="N232" s="42"/>
      <c r="O232" s="43">
        <f t="shared" ref="O232:O245" si="137">SUM(I232)</f>
        <v>1269</v>
      </c>
      <c r="P232" s="45"/>
      <c r="Q232" s="45"/>
      <c r="R232" s="69">
        <f t="shared" si="133"/>
        <v>875.905664221679</v>
      </c>
      <c r="S232" s="69">
        <f t="shared" si="134"/>
        <v>0.131927465362673</v>
      </c>
      <c r="T232" s="70">
        <f t="shared" si="135"/>
        <v>1.29859413202934</v>
      </c>
      <c r="U232" s="70">
        <v>90</v>
      </c>
      <c r="V232" s="69"/>
      <c r="W232" s="71">
        <f t="shared" si="128"/>
        <v>967.336185819071</v>
      </c>
      <c r="X232" s="72">
        <f t="shared" si="136"/>
        <v>12.0270069274654</v>
      </c>
      <c r="Y232" s="72">
        <v>10.59</v>
      </c>
      <c r="Z232" s="72"/>
      <c r="AA232" s="72">
        <f t="shared" si="129"/>
        <v>22.6170069274654</v>
      </c>
      <c r="AB232" s="81">
        <v>7.11</v>
      </c>
      <c r="AC232" s="69">
        <f t="shared" si="127"/>
        <v>160.806919254279</v>
      </c>
      <c r="AD232" s="69">
        <f t="shared" si="126"/>
        <v>1128.14310507335</v>
      </c>
      <c r="AE232" s="69">
        <f t="shared" si="130"/>
        <v>140.85689492665</v>
      </c>
    </row>
    <row r="233" customFormat="1" spans="1:31">
      <c r="A233" s="19"/>
      <c r="B233" s="20"/>
      <c r="C233" s="21">
        <v>241009000052</v>
      </c>
      <c r="D233" s="22">
        <v>45580</v>
      </c>
      <c r="E233" s="22" t="s">
        <v>41</v>
      </c>
      <c r="F233" s="20" t="s">
        <v>42</v>
      </c>
      <c r="G233" s="20" t="s">
        <v>225</v>
      </c>
      <c r="H233" s="20">
        <v>8.5</v>
      </c>
      <c r="I233" s="50"/>
      <c r="J233" s="46">
        <v>130977</v>
      </c>
      <c r="K233" s="41"/>
      <c r="L233" s="47">
        <f t="shared" si="131"/>
        <v>1726.10701107011</v>
      </c>
      <c r="M233" s="48">
        <v>75.88</v>
      </c>
      <c r="N233" s="42">
        <v>7.11</v>
      </c>
      <c r="O233" s="43">
        <f t="shared" si="132"/>
        <v>539.5068</v>
      </c>
      <c r="P233" s="45"/>
      <c r="Q233" s="45"/>
      <c r="R233" s="69">
        <f t="shared" si="133"/>
        <v>425.43989405053</v>
      </c>
      <c r="S233" s="69">
        <f t="shared" si="134"/>
        <v>0.064079054604727</v>
      </c>
      <c r="T233" s="70">
        <f t="shared" si="135"/>
        <v>0.630745721271394</v>
      </c>
      <c r="U233" s="69"/>
      <c r="V233" s="69"/>
      <c r="W233" s="71">
        <f t="shared" si="128"/>
        <v>426.134718826406</v>
      </c>
      <c r="X233" s="72">
        <f t="shared" si="136"/>
        <v>5.8416890790546</v>
      </c>
      <c r="Y233" s="72"/>
      <c r="Z233" s="72"/>
      <c r="AA233" s="72">
        <f t="shared" si="129"/>
        <v>5.8416890790546</v>
      </c>
      <c r="AB233" s="81">
        <v>7.11</v>
      </c>
      <c r="AC233" s="69">
        <f t="shared" si="127"/>
        <v>41.5344093520782</v>
      </c>
      <c r="AD233" s="69">
        <f t="shared" si="126"/>
        <v>467.669128178484</v>
      </c>
      <c r="AE233" s="69">
        <f t="shared" si="130"/>
        <v>71.8376718215159</v>
      </c>
    </row>
    <row r="234" customFormat="1" spans="1:31">
      <c r="A234" s="19"/>
      <c r="B234" s="20"/>
      <c r="C234" s="21">
        <v>241009000057</v>
      </c>
      <c r="D234" s="22">
        <v>45580</v>
      </c>
      <c r="E234" s="22" t="s">
        <v>66</v>
      </c>
      <c r="F234" s="20" t="s">
        <v>67</v>
      </c>
      <c r="G234" s="20" t="s">
        <v>181</v>
      </c>
      <c r="H234" s="20">
        <v>9</v>
      </c>
      <c r="I234" s="50"/>
      <c r="J234" s="46">
        <v>146790</v>
      </c>
      <c r="K234" s="41"/>
      <c r="L234" s="47">
        <f t="shared" si="131"/>
        <v>1656.77200902935</v>
      </c>
      <c r="M234" s="48">
        <v>88.6</v>
      </c>
      <c r="N234" s="42">
        <v>7.11</v>
      </c>
      <c r="O234" s="43">
        <f t="shared" si="132"/>
        <v>629.946</v>
      </c>
      <c r="P234" s="45"/>
      <c r="Q234" s="45"/>
      <c r="R234" s="69">
        <f t="shared" si="133"/>
        <v>450.465770171149</v>
      </c>
      <c r="S234" s="69">
        <f t="shared" si="134"/>
        <v>0.0678484107579462</v>
      </c>
      <c r="T234" s="70">
        <f t="shared" si="135"/>
        <v>0.667848410757946</v>
      </c>
      <c r="U234" s="69"/>
      <c r="V234" s="69"/>
      <c r="W234" s="71">
        <f t="shared" si="128"/>
        <v>451.201466992665</v>
      </c>
      <c r="X234" s="72">
        <f t="shared" si="136"/>
        <v>6.18531784841076</v>
      </c>
      <c r="Y234" s="72"/>
      <c r="Z234" s="72"/>
      <c r="AA234" s="72">
        <f t="shared" si="129"/>
        <v>6.18531784841076</v>
      </c>
      <c r="AB234" s="81">
        <v>7.11</v>
      </c>
      <c r="AC234" s="69">
        <f t="shared" si="127"/>
        <v>43.9776099022005</v>
      </c>
      <c r="AD234" s="69">
        <f t="shared" si="126"/>
        <v>495.179076894865</v>
      </c>
      <c r="AE234" s="69">
        <f t="shared" si="130"/>
        <v>134.766923105135</v>
      </c>
    </row>
    <row r="235" customFormat="1" spans="1:31">
      <c r="A235" s="19"/>
      <c r="B235" s="20"/>
      <c r="C235" s="21">
        <v>241010000004</v>
      </c>
      <c r="D235" s="22">
        <v>45580</v>
      </c>
      <c r="E235" s="22" t="s">
        <v>41</v>
      </c>
      <c r="F235" s="20" t="s">
        <v>42</v>
      </c>
      <c r="G235" s="20" t="s">
        <v>185</v>
      </c>
      <c r="H235" s="20">
        <v>3.5</v>
      </c>
      <c r="I235" s="50"/>
      <c r="J235" s="46">
        <v>56862</v>
      </c>
      <c r="K235" s="41"/>
      <c r="L235" s="47">
        <f t="shared" si="131"/>
        <v>1725.70561456753</v>
      </c>
      <c r="M235" s="48">
        <v>32.95</v>
      </c>
      <c r="N235" s="42">
        <v>7.11</v>
      </c>
      <c r="O235" s="43">
        <f t="shared" si="132"/>
        <v>234.2745</v>
      </c>
      <c r="P235" s="45"/>
      <c r="Q235" s="45"/>
      <c r="R235" s="69">
        <f t="shared" si="133"/>
        <v>175.181132844336</v>
      </c>
      <c r="S235" s="69">
        <f t="shared" si="134"/>
        <v>0.0263854930725346</v>
      </c>
      <c r="T235" s="70">
        <f t="shared" si="135"/>
        <v>0.259718826405868</v>
      </c>
      <c r="U235" s="69"/>
      <c r="V235" s="69"/>
      <c r="W235" s="71">
        <f t="shared" si="128"/>
        <v>175.467237163814</v>
      </c>
      <c r="X235" s="72">
        <f t="shared" si="136"/>
        <v>2.40540138549307</v>
      </c>
      <c r="Y235" s="72"/>
      <c r="Z235" s="72"/>
      <c r="AA235" s="72">
        <f t="shared" si="129"/>
        <v>2.40540138549307</v>
      </c>
      <c r="AB235" s="81">
        <v>7.11</v>
      </c>
      <c r="AC235" s="69">
        <f t="shared" si="127"/>
        <v>17.1024038508557</v>
      </c>
      <c r="AD235" s="69">
        <f t="shared" si="126"/>
        <v>192.56964101467</v>
      </c>
      <c r="AE235" s="69">
        <f t="shared" si="130"/>
        <v>41.70485898533</v>
      </c>
    </row>
    <row r="236" customFormat="1" spans="1:31">
      <c r="A236" s="19"/>
      <c r="B236" s="20"/>
      <c r="C236" s="21">
        <v>241010000011</v>
      </c>
      <c r="D236" s="22">
        <v>45580</v>
      </c>
      <c r="E236" s="22" t="s">
        <v>37</v>
      </c>
      <c r="F236" s="20" t="s">
        <v>38</v>
      </c>
      <c r="G236" s="20" t="s">
        <v>239</v>
      </c>
      <c r="H236" s="20">
        <v>11</v>
      </c>
      <c r="I236" s="39">
        <v>696.3</v>
      </c>
      <c r="J236" s="40"/>
      <c r="K236" s="41"/>
      <c r="L236" s="20"/>
      <c r="M236" s="41"/>
      <c r="N236" s="42"/>
      <c r="O236" s="43">
        <f t="shared" si="137"/>
        <v>696.3</v>
      </c>
      <c r="P236" s="45"/>
      <c r="Q236" s="45"/>
      <c r="R236" s="69">
        <f t="shared" si="133"/>
        <v>550.569274653627</v>
      </c>
      <c r="S236" s="69">
        <f t="shared" si="134"/>
        <v>0.0829258353708232</v>
      </c>
      <c r="T236" s="70">
        <f t="shared" si="135"/>
        <v>0.816259168704156</v>
      </c>
      <c r="U236" s="69"/>
      <c r="V236" s="69"/>
      <c r="W236" s="71">
        <f t="shared" si="128"/>
        <v>551.468459657702</v>
      </c>
      <c r="X236" s="72">
        <f t="shared" si="136"/>
        <v>7.55983292583537</v>
      </c>
      <c r="Y236" s="72"/>
      <c r="Z236" s="72"/>
      <c r="AA236" s="72">
        <f t="shared" si="129"/>
        <v>7.55983292583537</v>
      </c>
      <c r="AB236" s="81">
        <v>7.11</v>
      </c>
      <c r="AC236" s="69">
        <f t="shared" si="127"/>
        <v>53.7504121026895</v>
      </c>
      <c r="AD236" s="69">
        <f t="shared" si="126"/>
        <v>605.218871760391</v>
      </c>
      <c r="AE236" s="69">
        <f t="shared" si="130"/>
        <v>91.0811282396088</v>
      </c>
    </row>
    <row r="237" customFormat="1" spans="1:31">
      <c r="A237" s="19"/>
      <c r="B237" s="20"/>
      <c r="C237" s="21">
        <v>241010000015</v>
      </c>
      <c r="D237" s="22">
        <v>45580</v>
      </c>
      <c r="E237" s="22" t="s">
        <v>240</v>
      </c>
      <c r="F237" s="20" t="s">
        <v>241</v>
      </c>
      <c r="G237" s="20" t="s">
        <v>221</v>
      </c>
      <c r="H237" s="20">
        <v>272</v>
      </c>
      <c r="I237" s="39">
        <v>15096</v>
      </c>
      <c r="J237" s="40"/>
      <c r="K237" s="41"/>
      <c r="L237" s="20"/>
      <c r="M237" s="41"/>
      <c r="N237" s="42"/>
      <c r="O237" s="43">
        <f t="shared" si="137"/>
        <v>15096</v>
      </c>
      <c r="P237" s="45"/>
      <c r="Q237" s="45"/>
      <c r="R237" s="69">
        <f t="shared" si="133"/>
        <v>13614.076609617</v>
      </c>
      <c r="S237" s="69">
        <f t="shared" si="134"/>
        <v>2.05052974735126</v>
      </c>
      <c r="T237" s="70">
        <f t="shared" si="135"/>
        <v>20.1838630806846</v>
      </c>
      <c r="U237" s="69"/>
      <c r="V237" s="69"/>
      <c r="W237" s="71">
        <f t="shared" si="128"/>
        <v>13636.311002445</v>
      </c>
      <c r="X237" s="72">
        <f t="shared" si="136"/>
        <v>186.934050529747</v>
      </c>
      <c r="Y237" s="72"/>
      <c r="Z237" s="72"/>
      <c r="AA237" s="72">
        <f t="shared" si="129"/>
        <v>186.934050529747</v>
      </c>
      <c r="AB237" s="81">
        <v>7.11</v>
      </c>
      <c r="AC237" s="69">
        <f t="shared" si="127"/>
        <v>1329.1010992665</v>
      </c>
      <c r="AD237" s="69">
        <f t="shared" si="126"/>
        <v>14965.4121017115</v>
      </c>
      <c r="AE237" s="69">
        <f t="shared" si="130"/>
        <v>130.587898288508</v>
      </c>
    </row>
    <row r="238" customFormat="1" spans="1:31">
      <c r="A238" s="19"/>
      <c r="B238" s="20"/>
      <c r="C238" s="21">
        <v>241010000018</v>
      </c>
      <c r="D238" s="22">
        <v>45580</v>
      </c>
      <c r="E238" s="22" t="s">
        <v>66</v>
      </c>
      <c r="F238" s="20" t="s">
        <v>67</v>
      </c>
      <c r="G238" s="20" t="s">
        <v>242</v>
      </c>
      <c r="H238" s="20">
        <v>11.5</v>
      </c>
      <c r="I238" s="39">
        <v>782</v>
      </c>
      <c r="J238" s="40"/>
      <c r="K238" s="41"/>
      <c r="L238" s="20"/>
      <c r="M238" s="41"/>
      <c r="N238" s="42"/>
      <c r="O238" s="43">
        <f t="shared" si="137"/>
        <v>782</v>
      </c>
      <c r="P238" s="45"/>
      <c r="Q238" s="45"/>
      <c r="R238" s="69">
        <f t="shared" si="133"/>
        <v>575.595150774246</v>
      </c>
      <c r="S238" s="69">
        <f t="shared" si="134"/>
        <v>0.0866951915240424</v>
      </c>
      <c r="T238" s="70">
        <f t="shared" si="135"/>
        <v>0.853361858190709</v>
      </c>
      <c r="U238" s="69"/>
      <c r="V238" s="69"/>
      <c r="W238" s="71">
        <f t="shared" si="128"/>
        <v>576.535207823961</v>
      </c>
      <c r="X238" s="72">
        <f t="shared" si="136"/>
        <v>7.90346169519152</v>
      </c>
      <c r="Y238" s="72"/>
      <c r="Z238" s="72"/>
      <c r="AA238" s="72">
        <f t="shared" si="129"/>
        <v>7.90346169519152</v>
      </c>
      <c r="AB238" s="81">
        <v>7.11</v>
      </c>
      <c r="AC238" s="69">
        <f t="shared" si="127"/>
        <v>56.1936126528117</v>
      </c>
      <c r="AD238" s="69">
        <f t="shared" si="126"/>
        <v>632.728820476773</v>
      </c>
      <c r="AE238" s="69">
        <f t="shared" si="130"/>
        <v>149.271179523227</v>
      </c>
    </row>
    <row r="239" customFormat="1" spans="1:31">
      <c r="A239" s="19"/>
      <c r="B239" s="20"/>
      <c r="C239" s="21">
        <v>241010000030</v>
      </c>
      <c r="D239" s="22">
        <v>45580</v>
      </c>
      <c r="E239" s="22" t="s">
        <v>47</v>
      </c>
      <c r="F239" s="20" t="s">
        <v>47</v>
      </c>
      <c r="G239" s="20" t="s">
        <v>243</v>
      </c>
      <c r="H239" s="20">
        <v>3.5</v>
      </c>
      <c r="I239" s="39">
        <v>269.3</v>
      </c>
      <c r="J239" s="40"/>
      <c r="K239" s="41"/>
      <c r="L239" s="20"/>
      <c r="M239" s="41"/>
      <c r="N239" s="42"/>
      <c r="O239" s="43">
        <f t="shared" si="137"/>
        <v>269.3</v>
      </c>
      <c r="P239" s="45"/>
      <c r="Q239" s="45"/>
      <c r="R239" s="69">
        <f t="shared" si="133"/>
        <v>175.181132844336</v>
      </c>
      <c r="S239" s="69">
        <f t="shared" si="134"/>
        <v>0.0263854930725346</v>
      </c>
      <c r="T239" s="70">
        <f t="shared" si="135"/>
        <v>0.259718826405868</v>
      </c>
      <c r="U239" s="69"/>
      <c r="V239" s="69"/>
      <c r="W239" s="71">
        <f t="shared" si="128"/>
        <v>175.467237163814</v>
      </c>
      <c r="X239" s="72">
        <f t="shared" si="136"/>
        <v>2.40540138549307</v>
      </c>
      <c r="Y239" s="72"/>
      <c r="Z239" s="72"/>
      <c r="AA239" s="72">
        <f t="shared" si="129"/>
        <v>2.40540138549307</v>
      </c>
      <c r="AB239" s="81">
        <v>7.11</v>
      </c>
      <c r="AC239" s="69">
        <f t="shared" si="127"/>
        <v>17.1024038508557</v>
      </c>
      <c r="AD239" s="69">
        <f t="shared" si="126"/>
        <v>192.56964101467</v>
      </c>
      <c r="AE239" s="69">
        <f t="shared" si="130"/>
        <v>76.7303589853301</v>
      </c>
    </row>
    <row r="240" customFormat="1" spans="1:31">
      <c r="A240" s="19"/>
      <c r="B240" s="20"/>
      <c r="C240" s="21">
        <v>241010000031</v>
      </c>
      <c r="D240" s="22">
        <v>45580</v>
      </c>
      <c r="E240" s="22" t="s">
        <v>37</v>
      </c>
      <c r="F240" s="20" t="s">
        <v>38</v>
      </c>
      <c r="G240" s="20" t="s">
        <v>235</v>
      </c>
      <c r="H240" s="20">
        <v>1.5</v>
      </c>
      <c r="I240" s="39">
        <v>108</v>
      </c>
      <c r="J240" s="40"/>
      <c r="K240" s="41"/>
      <c r="L240" s="20"/>
      <c r="M240" s="41"/>
      <c r="N240" s="42"/>
      <c r="O240" s="43">
        <f t="shared" si="137"/>
        <v>108</v>
      </c>
      <c r="P240" s="45"/>
      <c r="Q240" s="45"/>
      <c r="R240" s="69">
        <f t="shared" si="133"/>
        <v>75.0776283618582</v>
      </c>
      <c r="S240" s="69">
        <f t="shared" si="134"/>
        <v>0.0113080684596577</v>
      </c>
      <c r="T240" s="70">
        <f t="shared" si="135"/>
        <v>0.111308068459658</v>
      </c>
      <c r="U240" s="69"/>
      <c r="V240" s="69"/>
      <c r="W240" s="71">
        <f t="shared" si="128"/>
        <v>75.2002444987775</v>
      </c>
      <c r="X240" s="72">
        <f t="shared" si="136"/>
        <v>1.03088630806846</v>
      </c>
      <c r="Y240" s="72"/>
      <c r="Z240" s="72"/>
      <c r="AA240" s="72">
        <f t="shared" si="129"/>
        <v>1.03088630806846</v>
      </c>
      <c r="AB240" s="81">
        <v>7.11</v>
      </c>
      <c r="AC240" s="69">
        <f t="shared" si="127"/>
        <v>7.32960165036675</v>
      </c>
      <c r="AD240" s="69">
        <f t="shared" si="126"/>
        <v>82.5298461491443</v>
      </c>
      <c r="AE240" s="69">
        <f t="shared" si="130"/>
        <v>25.4701538508557</v>
      </c>
    </row>
    <row r="241" customFormat="1" spans="1:31">
      <c r="A241" s="19"/>
      <c r="B241" s="20"/>
      <c r="C241" s="21">
        <v>241010000034</v>
      </c>
      <c r="D241" s="22">
        <v>45580</v>
      </c>
      <c r="E241" s="22" t="s">
        <v>41</v>
      </c>
      <c r="F241" s="20" t="s">
        <v>42</v>
      </c>
      <c r="G241" s="20" t="s">
        <v>244</v>
      </c>
      <c r="H241" s="20">
        <v>1.5</v>
      </c>
      <c r="I241" s="39">
        <v>146</v>
      </c>
      <c r="J241" s="40"/>
      <c r="K241" s="41"/>
      <c r="L241" s="20"/>
      <c r="M241" s="41"/>
      <c r="N241" s="42"/>
      <c r="O241" s="43">
        <f t="shared" si="137"/>
        <v>146</v>
      </c>
      <c r="P241" s="45"/>
      <c r="Q241" s="45"/>
      <c r="R241" s="69">
        <f t="shared" si="133"/>
        <v>75.0776283618582</v>
      </c>
      <c r="S241" s="69">
        <f t="shared" si="134"/>
        <v>0.0113080684596577</v>
      </c>
      <c r="T241" s="70">
        <f t="shared" si="135"/>
        <v>0.111308068459658</v>
      </c>
      <c r="U241" s="69"/>
      <c r="V241" s="69"/>
      <c r="W241" s="71">
        <f t="shared" si="128"/>
        <v>75.2002444987775</v>
      </c>
      <c r="X241" s="72">
        <f t="shared" si="136"/>
        <v>1.03088630806846</v>
      </c>
      <c r="Y241" s="72"/>
      <c r="Z241" s="72"/>
      <c r="AA241" s="72">
        <f t="shared" si="129"/>
        <v>1.03088630806846</v>
      </c>
      <c r="AB241" s="81">
        <v>7.11</v>
      </c>
      <c r="AC241" s="69">
        <f t="shared" si="127"/>
        <v>7.32960165036675</v>
      </c>
      <c r="AD241" s="69">
        <f t="shared" si="126"/>
        <v>82.5298461491443</v>
      </c>
      <c r="AE241" s="69">
        <f t="shared" si="130"/>
        <v>63.4701538508557</v>
      </c>
    </row>
    <row r="242" customFormat="1" spans="1:31">
      <c r="A242" s="19"/>
      <c r="B242" s="20"/>
      <c r="C242" s="21">
        <v>241010000035</v>
      </c>
      <c r="D242" s="22">
        <v>45580</v>
      </c>
      <c r="E242" s="22" t="s">
        <v>66</v>
      </c>
      <c r="F242" s="20" t="s">
        <v>67</v>
      </c>
      <c r="G242" s="20" t="s">
        <v>245</v>
      </c>
      <c r="H242" s="20">
        <v>7</v>
      </c>
      <c r="I242" s="39">
        <v>476</v>
      </c>
      <c r="J242" s="40"/>
      <c r="K242" s="41"/>
      <c r="L242" s="20"/>
      <c r="M242" s="41"/>
      <c r="N242" s="42"/>
      <c r="O242" s="43">
        <f t="shared" si="137"/>
        <v>476</v>
      </c>
      <c r="P242" s="45"/>
      <c r="Q242" s="45"/>
      <c r="R242" s="69">
        <f t="shared" si="133"/>
        <v>350.362265688672</v>
      </c>
      <c r="S242" s="69">
        <f t="shared" si="134"/>
        <v>0.0527709861450693</v>
      </c>
      <c r="T242" s="70">
        <f t="shared" si="135"/>
        <v>0.519437652811736</v>
      </c>
      <c r="U242" s="69"/>
      <c r="V242" s="69"/>
      <c r="W242" s="71">
        <f t="shared" si="128"/>
        <v>350.934474327628</v>
      </c>
      <c r="X242" s="72">
        <f t="shared" si="136"/>
        <v>4.81080277098614</v>
      </c>
      <c r="Y242" s="72"/>
      <c r="Z242" s="72"/>
      <c r="AA242" s="72">
        <f t="shared" si="129"/>
        <v>4.81080277098614</v>
      </c>
      <c r="AB242" s="81">
        <v>7.11</v>
      </c>
      <c r="AC242" s="69">
        <f t="shared" si="127"/>
        <v>34.2048077017115</v>
      </c>
      <c r="AD242" s="69">
        <f t="shared" si="126"/>
        <v>385.13928202934</v>
      </c>
      <c r="AE242" s="69">
        <f t="shared" si="130"/>
        <v>90.8607179706601</v>
      </c>
    </row>
    <row r="243" customFormat="1" spans="1:31">
      <c r="A243" s="19"/>
      <c r="B243" s="20"/>
      <c r="C243" s="21">
        <v>241010000046</v>
      </c>
      <c r="D243" s="22">
        <v>45580</v>
      </c>
      <c r="E243" s="22" t="s">
        <v>66</v>
      </c>
      <c r="F243" s="20" t="s">
        <v>67</v>
      </c>
      <c r="G243" s="20" t="s">
        <v>246</v>
      </c>
      <c r="H243" s="20">
        <v>4</v>
      </c>
      <c r="I243" s="39">
        <v>300</v>
      </c>
      <c r="J243" s="40"/>
      <c r="K243" s="41"/>
      <c r="L243" s="20"/>
      <c r="M243" s="41"/>
      <c r="N243" s="42"/>
      <c r="O243" s="43">
        <f t="shared" si="137"/>
        <v>300</v>
      </c>
      <c r="P243" s="45"/>
      <c r="Q243" s="45"/>
      <c r="R243" s="69">
        <f t="shared" si="133"/>
        <v>200.207008964955</v>
      </c>
      <c r="S243" s="69">
        <f t="shared" si="134"/>
        <v>0.0301548492257539</v>
      </c>
      <c r="T243" s="70">
        <f t="shared" si="135"/>
        <v>0.296821515892421</v>
      </c>
      <c r="U243" s="69"/>
      <c r="V243" s="69"/>
      <c r="W243" s="71">
        <f t="shared" si="128"/>
        <v>200.533985330073</v>
      </c>
      <c r="X243" s="72">
        <f t="shared" si="136"/>
        <v>2.74903015484923</v>
      </c>
      <c r="Y243" s="72"/>
      <c r="Z243" s="72"/>
      <c r="AA243" s="72">
        <f t="shared" si="129"/>
        <v>2.74903015484923</v>
      </c>
      <c r="AB243" s="81">
        <v>7.11</v>
      </c>
      <c r="AC243" s="69">
        <f t="shared" si="127"/>
        <v>19.545604400978</v>
      </c>
      <c r="AD243" s="69">
        <f t="shared" si="126"/>
        <v>220.079589731051</v>
      </c>
      <c r="AE243" s="69">
        <f t="shared" si="130"/>
        <v>79.9204102689486</v>
      </c>
    </row>
    <row r="244" customFormat="1" spans="1:31">
      <c r="A244" s="19"/>
      <c r="B244" s="20"/>
      <c r="C244" s="21">
        <v>241010000048</v>
      </c>
      <c r="D244" s="22">
        <v>45580</v>
      </c>
      <c r="E244" s="22" t="s">
        <v>41</v>
      </c>
      <c r="F244" s="20" t="s">
        <v>42</v>
      </c>
      <c r="G244" s="20" t="s">
        <v>99</v>
      </c>
      <c r="H244" s="20">
        <v>7</v>
      </c>
      <c r="I244" s="39">
        <v>441</v>
      </c>
      <c r="J244" s="40"/>
      <c r="K244" s="41"/>
      <c r="L244" s="20"/>
      <c r="M244" s="41"/>
      <c r="N244" s="42"/>
      <c r="O244" s="43">
        <f t="shared" si="137"/>
        <v>441</v>
      </c>
      <c r="P244" s="45"/>
      <c r="Q244" s="45"/>
      <c r="R244" s="69">
        <f t="shared" si="133"/>
        <v>350.362265688672</v>
      </c>
      <c r="S244" s="69">
        <f t="shared" si="134"/>
        <v>0.0527709861450693</v>
      </c>
      <c r="T244" s="70">
        <f t="shared" si="135"/>
        <v>0.519437652811736</v>
      </c>
      <c r="U244" s="69"/>
      <c r="V244" s="69"/>
      <c r="W244" s="71">
        <f t="shared" si="128"/>
        <v>350.934474327628</v>
      </c>
      <c r="X244" s="72">
        <f t="shared" si="136"/>
        <v>4.81080277098614</v>
      </c>
      <c r="Y244" s="72"/>
      <c r="Z244" s="72"/>
      <c r="AA244" s="72">
        <f t="shared" si="129"/>
        <v>4.81080277098614</v>
      </c>
      <c r="AB244" s="81">
        <v>7.11</v>
      </c>
      <c r="AC244" s="69">
        <f t="shared" si="127"/>
        <v>34.2048077017115</v>
      </c>
      <c r="AD244" s="69">
        <f t="shared" si="126"/>
        <v>385.13928202934</v>
      </c>
      <c r="AE244" s="69">
        <f t="shared" si="130"/>
        <v>55.8607179706601</v>
      </c>
    </row>
    <row r="245" customFormat="1" spans="1:31">
      <c r="A245" s="19"/>
      <c r="B245" s="20"/>
      <c r="C245" s="21">
        <v>241011000017</v>
      </c>
      <c r="D245" s="22">
        <v>45580</v>
      </c>
      <c r="E245" s="22" t="s">
        <v>44</v>
      </c>
      <c r="F245" s="20" t="s">
        <v>45</v>
      </c>
      <c r="G245" s="20" t="s">
        <v>247</v>
      </c>
      <c r="H245" s="20">
        <v>2.5</v>
      </c>
      <c r="I245" s="39">
        <v>168.3</v>
      </c>
      <c r="J245" s="40"/>
      <c r="K245" s="41"/>
      <c r="L245" s="20"/>
      <c r="M245" s="41"/>
      <c r="N245" s="42"/>
      <c r="O245" s="43">
        <f t="shared" si="137"/>
        <v>168.3</v>
      </c>
      <c r="P245" s="45"/>
      <c r="Q245" s="45"/>
      <c r="R245" s="69">
        <f t="shared" si="133"/>
        <v>125.129380603097</v>
      </c>
      <c r="S245" s="69">
        <f t="shared" si="134"/>
        <v>0.0188467807660962</v>
      </c>
      <c r="T245" s="70">
        <f t="shared" si="135"/>
        <v>0.185513447432763</v>
      </c>
      <c r="U245" s="69"/>
      <c r="V245" s="69"/>
      <c r="W245" s="71">
        <f t="shared" si="128"/>
        <v>125.333740831296</v>
      </c>
      <c r="X245" s="72">
        <f t="shared" si="136"/>
        <v>1.71814384678077</v>
      </c>
      <c r="Y245" s="72"/>
      <c r="Z245" s="72"/>
      <c r="AA245" s="72">
        <f t="shared" si="129"/>
        <v>1.71814384678077</v>
      </c>
      <c r="AB245" s="81">
        <v>7.11</v>
      </c>
      <c r="AC245" s="69">
        <f t="shared" si="127"/>
        <v>12.2160027506112</v>
      </c>
      <c r="AD245" s="69">
        <f t="shared" si="126"/>
        <v>137.549743581907</v>
      </c>
      <c r="AE245" s="69">
        <f t="shared" si="130"/>
        <v>30.7502564180929</v>
      </c>
    </row>
    <row r="246" customFormat="1" spans="1:31">
      <c r="A246" s="19"/>
      <c r="B246" s="20"/>
      <c r="C246" s="21">
        <v>241011000027</v>
      </c>
      <c r="D246" s="22">
        <v>45580</v>
      </c>
      <c r="E246" s="22" t="s">
        <v>41</v>
      </c>
      <c r="F246" s="20" t="s">
        <v>42</v>
      </c>
      <c r="G246" s="20" t="s">
        <v>248</v>
      </c>
      <c r="H246" s="20">
        <v>143.5</v>
      </c>
      <c r="I246" s="43"/>
      <c r="J246" s="46">
        <v>2265649</v>
      </c>
      <c r="K246" s="41"/>
      <c r="L246" s="47">
        <f>SUM(J246/M246)</f>
        <v>1734.99942566145</v>
      </c>
      <c r="M246" s="48">
        <v>1305.85</v>
      </c>
      <c r="N246" s="42">
        <v>7.11</v>
      </c>
      <c r="O246" s="43">
        <f>SUM(M246*N246)</f>
        <v>9284.5935</v>
      </c>
      <c r="P246" s="45"/>
      <c r="Q246" s="45"/>
      <c r="R246" s="69">
        <f t="shared" si="133"/>
        <v>7182.42644661777</v>
      </c>
      <c r="S246" s="69">
        <f t="shared" si="134"/>
        <v>1.08180521597392</v>
      </c>
      <c r="T246" s="70">
        <f t="shared" si="135"/>
        <v>10.6484718826406</v>
      </c>
      <c r="U246" s="69"/>
      <c r="V246" s="69"/>
      <c r="W246" s="71">
        <f t="shared" si="128"/>
        <v>7194.15672371638</v>
      </c>
      <c r="X246" s="72">
        <f t="shared" si="136"/>
        <v>98.621456805216</v>
      </c>
      <c r="Y246" s="72"/>
      <c r="Z246" s="72"/>
      <c r="AA246" s="72">
        <f t="shared" si="129"/>
        <v>98.621456805216</v>
      </c>
      <c r="AB246" s="81">
        <v>7.11</v>
      </c>
      <c r="AC246" s="69">
        <f t="shared" ref="AC246:AC277" si="138">SUM(AA246*AB246)</f>
        <v>701.198557885086</v>
      </c>
      <c r="AD246" s="69">
        <f t="shared" ref="AD246:AD277" si="139">SUM(W246+AC246)</f>
        <v>7895.35528160147</v>
      </c>
      <c r="AE246" s="69">
        <f t="shared" si="130"/>
        <v>1389.23821839853</v>
      </c>
    </row>
    <row r="247" customFormat="1" spans="1:31">
      <c r="A247" s="19"/>
      <c r="B247" s="20"/>
      <c r="C247" s="21">
        <v>241011000028</v>
      </c>
      <c r="D247" s="22">
        <v>45580</v>
      </c>
      <c r="E247" s="22" t="s">
        <v>240</v>
      </c>
      <c r="F247" s="20" t="s">
        <v>241</v>
      </c>
      <c r="G247" s="20" t="s">
        <v>222</v>
      </c>
      <c r="H247" s="20">
        <v>143</v>
      </c>
      <c r="I247" s="39">
        <v>8704</v>
      </c>
      <c r="J247" s="40"/>
      <c r="K247" s="41"/>
      <c r="L247" s="20"/>
      <c r="M247" s="41"/>
      <c r="N247" s="42"/>
      <c r="O247" s="43">
        <f t="shared" ref="O247:O251" si="140">SUM(I247)</f>
        <v>8704</v>
      </c>
      <c r="P247" s="45"/>
      <c r="Q247" s="45"/>
      <c r="R247" s="69">
        <f t="shared" si="133"/>
        <v>7157.40057049715</v>
      </c>
      <c r="S247" s="69">
        <f t="shared" si="134"/>
        <v>1.0780358598207</v>
      </c>
      <c r="T247" s="70">
        <f t="shared" si="135"/>
        <v>10.611369193154</v>
      </c>
      <c r="U247" s="69"/>
      <c r="V247" s="69"/>
      <c r="W247" s="71">
        <f t="shared" si="128"/>
        <v>7169.08997555012</v>
      </c>
      <c r="X247" s="72">
        <f t="shared" si="136"/>
        <v>98.2778280358598</v>
      </c>
      <c r="Y247" s="72"/>
      <c r="Z247" s="72"/>
      <c r="AA247" s="72">
        <f t="shared" ref="AA247:AA278" si="141">SUM(X247:Z247)</f>
        <v>98.2778280358598</v>
      </c>
      <c r="AB247" s="81">
        <v>7.11</v>
      </c>
      <c r="AC247" s="69">
        <f t="shared" si="138"/>
        <v>698.755357334963</v>
      </c>
      <c r="AD247" s="69">
        <f t="shared" si="139"/>
        <v>7867.84533288509</v>
      </c>
      <c r="AE247" s="69">
        <f t="shared" si="130"/>
        <v>836.15466711491</v>
      </c>
    </row>
    <row r="248" customFormat="1" spans="1:31">
      <c r="A248" s="19"/>
      <c r="B248" s="20"/>
      <c r="C248" s="21">
        <v>241011000057</v>
      </c>
      <c r="D248" s="22">
        <v>45580</v>
      </c>
      <c r="E248" s="22" t="s">
        <v>240</v>
      </c>
      <c r="F248" s="20" t="s">
        <v>241</v>
      </c>
      <c r="G248" s="20" t="s">
        <v>221</v>
      </c>
      <c r="H248" s="20">
        <v>592.5</v>
      </c>
      <c r="I248" s="39">
        <v>32883.75</v>
      </c>
      <c r="J248" s="40"/>
      <c r="K248" s="41"/>
      <c r="L248" s="20"/>
      <c r="M248" s="41"/>
      <c r="N248" s="42"/>
      <c r="O248" s="43">
        <f t="shared" si="140"/>
        <v>32883.75</v>
      </c>
      <c r="P248" s="49"/>
      <c r="Q248" s="49"/>
      <c r="R248" s="69">
        <f t="shared" si="133"/>
        <v>29655.663202934</v>
      </c>
      <c r="S248" s="69">
        <f t="shared" si="134"/>
        <v>4.46668704156479</v>
      </c>
      <c r="T248" s="70">
        <f t="shared" si="135"/>
        <v>43.9666870415648</v>
      </c>
      <c r="U248" s="69"/>
      <c r="V248" s="69"/>
      <c r="W248" s="71">
        <f t="shared" ref="W248:W279" si="142">SUM(R248:V248)</f>
        <v>29704.0965770171</v>
      </c>
      <c r="X248" s="72">
        <f t="shared" si="136"/>
        <v>407.200091687042</v>
      </c>
      <c r="Y248" s="72"/>
      <c r="Z248" s="72"/>
      <c r="AA248" s="72">
        <f t="shared" si="141"/>
        <v>407.200091687042</v>
      </c>
      <c r="AB248" s="81">
        <v>7.11</v>
      </c>
      <c r="AC248" s="69">
        <f t="shared" si="138"/>
        <v>2895.19265189487</v>
      </c>
      <c r="AD248" s="69">
        <f t="shared" si="139"/>
        <v>32599.289228912</v>
      </c>
      <c r="AE248" s="69">
        <f t="shared" ref="AE248:AE279" si="143">SUM(O248-AD248)</f>
        <v>284.460771088001</v>
      </c>
    </row>
    <row r="249" customFormat="1" spans="1:31">
      <c r="A249" s="89" t="s">
        <v>249</v>
      </c>
      <c r="B249" s="90" t="s">
        <v>250</v>
      </c>
      <c r="C249" s="21">
        <v>241015000031</v>
      </c>
      <c r="D249" s="22">
        <v>45580</v>
      </c>
      <c r="E249" s="22" t="s">
        <v>47</v>
      </c>
      <c r="F249" s="90" t="s">
        <v>47</v>
      </c>
      <c r="G249" s="90" t="s">
        <v>251</v>
      </c>
      <c r="H249" s="90">
        <v>9370</v>
      </c>
      <c r="I249" s="87">
        <v>282570</v>
      </c>
      <c r="J249" s="43"/>
      <c r="K249" s="41"/>
      <c r="L249" s="43"/>
      <c r="M249" s="41"/>
      <c r="N249" s="92"/>
      <c r="O249" s="93">
        <f t="shared" si="140"/>
        <v>282570</v>
      </c>
      <c r="P249" s="94">
        <f>SUM(O249)</f>
        <v>282570</v>
      </c>
      <c r="Q249" s="94"/>
      <c r="R249" s="95">
        <v>0</v>
      </c>
      <c r="S249" s="95">
        <v>7800</v>
      </c>
      <c r="T249" s="94"/>
      <c r="U249" s="95">
        <v>3040</v>
      </c>
      <c r="V249" s="95"/>
      <c r="W249" s="71">
        <f t="shared" si="142"/>
        <v>10840</v>
      </c>
      <c r="X249" s="96">
        <v>28024.44</v>
      </c>
      <c r="Y249" s="96"/>
      <c r="Z249" s="96"/>
      <c r="AA249" s="72">
        <f t="shared" si="141"/>
        <v>28024.44</v>
      </c>
      <c r="AB249" s="81">
        <v>7.11</v>
      </c>
      <c r="AC249" s="69">
        <f t="shared" si="138"/>
        <v>199253.7684</v>
      </c>
      <c r="AD249" s="69">
        <f t="shared" si="139"/>
        <v>210093.7684</v>
      </c>
      <c r="AE249" s="69">
        <f t="shared" si="143"/>
        <v>72476.2316</v>
      </c>
    </row>
    <row r="250" customFormat="1" spans="1:31">
      <c r="A250" s="19" t="s">
        <v>252</v>
      </c>
      <c r="B250" s="20" t="s">
        <v>253</v>
      </c>
      <c r="C250" s="21">
        <v>240929000054</v>
      </c>
      <c r="D250" s="22">
        <v>45580</v>
      </c>
      <c r="E250" s="22" t="s">
        <v>66</v>
      </c>
      <c r="F250" s="20" t="s">
        <v>67</v>
      </c>
      <c r="G250" s="20" t="s">
        <v>254</v>
      </c>
      <c r="H250" s="20">
        <v>146</v>
      </c>
      <c r="I250" s="39">
        <v>7898</v>
      </c>
      <c r="J250" s="40"/>
      <c r="K250" s="41"/>
      <c r="L250" s="20"/>
      <c r="M250" s="41"/>
      <c r="N250" s="42"/>
      <c r="O250" s="43">
        <f t="shared" si="140"/>
        <v>7898</v>
      </c>
      <c r="P250" s="44">
        <f>SUM(O250:O312)</f>
        <v>101301.82068578</v>
      </c>
      <c r="Q250" s="44" t="s">
        <v>95</v>
      </c>
      <c r="R250" s="69">
        <f>SUM(68618/1592)*H250</f>
        <v>6292.8567839196</v>
      </c>
      <c r="S250" s="69"/>
      <c r="T250" s="70">
        <f>SUM(219.91/1592)*H250</f>
        <v>20.1676256281407</v>
      </c>
      <c r="U250" s="69"/>
      <c r="V250" s="70">
        <f>SUM(55+105)</f>
        <v>160</v>
      </c>
      <c r="W250" s="71">
        <f t="shared" si="142"/>
        <v>6473.02440954774</v>
      </c>
      <c r="X250" s="72">
        <f>SUM(1078.91/1592)*H250</f>
        <v>98.9452638190955</v>
      </c>
      <c r="Y250" s="72"/>
      <c r="Z250" s="72"/>
      <c r="AA250" s="72">
        <f t="shared" si="141"/>
        <v>98.9452638190955</v>
      </c>
      <c r="AB250" s="81">
        <v>7.11</v>
      </c>
      <c r="AC250" s="69">
        <f t="shared" si="138"/>
        <v>703.500825753769</v>
      </c>
      <c r="AD250" s="69">
        <f t="shared" si="139"/>
        <v>7176.52523530151</v>
      </c>
      <c r="AE250" s="69">
        <f t="shared" si="143"/>
        <v>721.47476469849</v>
      </c>
    </row>
    <row r="251" customFormat="1" spans="1:31">
      <c r="A251" s="19"/>
      <c r="B251" s="20"/>
      <c r="C251" s="21">
        <v>240929000065</v>
      </c>
      <c r="D251" s="22">
        <v>45580</v>
      </c>
      <c r="E251" s="22" t="s">
        <v>66</v>
      </c>
      <c r="F251" s="20" t="s">
        <v>67</v>
      </c>
      <c r="G251" s="20" t="s">
        <v>226</v>
      </c>
      <c r="H251" s="20">
        <v>0.86</v>
      </c>
      <c r="I251" s="39">
        <v>69</v>
      </c>
      <c r="J251" s="40"/>
      <c r="K251" s="41"/>
      <c r="L251" s="20"/>
      <c r="M251" s="41"/>
      <c r="N251" s="42"/>
      <c r="O251" s="43">
        <f t="shared" si="140"/>
        <v>69</v>
      </c>
      <c r="P251" s="45"/>
      <c r="Q251" s="45"/>
      <c r="R251" s="69">
        <f t="shared" ref="R251:R282" si="144">SUM(68618/1592)*H251</f>
        <v>37.0675125628141</v>
      </c>
      <c r="S251" s="69"/>
      <c r="T251" s="70">
        <f t="shared" ref="T251:T282" si="145">SUM(219.91/1592)*H251</f>
        <v>0.118795603015075</v>
      </c>
      <c r="U251" s="69"/>
      <c r="V251" s="69"/>
      <c r="W251" s="71">
        <f t="shared" si="142"/>
        <v>37.1863081658291</v>
      </c>
      <c r="X251" s="72">
        <f t="shared" ref="X251:X282" si="146">SUM(1078.91/1592)*H251</f>
        <v>0.582828266331658</v>
      </c>
      <c r="Y251" s="72"/>
      <c r="Z251" s="72"/>
      <c r="AA251" s="72">
        <f t="shared" si="141"/>
        <v>0.582828266331658</v>
      </c>
      <c r="AB251" s="81">
        <v>7.11</v>
      </c>
      <c r="AC251" s="69">
        <f t="shared" si="138"/>
        <v>4.14390897361809</v>
      </c>
      <c r="AD251" s="69">
        <f t="shared" si="139"/>
        <v>41.3302171394472</v>
      </c>
      <c r="AE251" s="69">
        <f t="shared" si="143"/>
        <v>27.6697828605528</v>
      </c>
    </row>
    <row r="252" customFormat="1" spans="1:31">
      <c r="A252" s="19"/>
      <c r="B252" s="20"/>
      <c r="C252" s="21">
        <v>240930000028</v>
      </c>
      <c r="D252" s="22">
        <v>45580</v>
      </c>
      <c r="E252" s="22" t="s">
        <v>66</v>
      </c>
      <c r="F252" s="20" t="s">
        <v>67</v>
      </c>
      <c r="G252" s="20" t="s">
        <v>180</v>
      </c>
      <c r="H252" s="20">
        <v>2.5</v>
      </c>
      <c r="I252" s="50"/>
      <c r="J252" s="46">
        <v>33412.5</v>
      </c>
      <c r="K252" s="41"/>
      <c r="L252" s="47">
        <f>SUM(J252/M252)</f>
        <v>1728.53078116917</v>
      </c>
      <c r="M252" s="48">
        <v>19.33</v>
      </c>
      <c r="N252" s="42">
        <v>7.11</v>
      </c>
      <c r="O252" s="43">
        <f t="shared" ref="O252:O255" si="147">SUM(M252*N252)</f>
        <v>137.4363</v>
      </c>
      <c r="P252" s="45"/>
      <c r="Q252" s="45"/>
      <c r="R252" s="69">
        <f t="shared" si="144"/>
        <v>107.754396984925</v>
      </c>
      <c r="S252" s="69"/>
      <c r="T252" s="70">
        <f t="shared" si="145"/>
        <v>0.345336055276382</v>
      </c>
      <c r="U252" s="69"/>
      <c r="V252" s="69"/>
      <c r="W252" s="71">
        <f t="shared" si="142"/>
        <v>108.099733040201</v>
      </c>
      <c r="X252" s="72">
        <f t="shared" si="146"/>
        <v>1.6942682160804</v>
      </c>
      <c r="Y252" s="72"/>
      <c r="Z252" s="72"/>
      <c r="AA252" s="72">
        <f t="shared" si="141"/>
        <v>1.6942682160804</v>
      </c>
      <c r="AB252" s="81">
        <v>7.11</v>
      </c>
      <c r="AC252" s="69">
        <f t="shared" si="138"/>
        <v>12.0462470163317</v>
      </c>
      <c r="AD252" s="69">
        <f t="shared" si="139"/>
        <v>120.145980056533</v>
      </c>
      <c r="AE252" s="69">
        <f t="shared" si="143"/>
        <v>17.2903199434673</v>
      </c>
    </row>
    <row r="253" customFormat="1" spans="1:31">
      <c r="A253" s="19"/>
      <c r="B253" s="20"/>
      <c r="C253" s="21">
        <v>241002000013</v>
      </c>
      <c r="D253" s="22">
        <v>45580</v>
      </c>
      <c r="E253" s="22" t="s">
        <v>47</v>
      </c>
      <c r="F253" s="20" t="s">
        <v>47</v>
      </c>
      <c r="G253" s="20" t="s">
        <v>49</v>
      </c>
      <c r="H253" s="20">
        <v>21</v>
      </c>
      <c r="I253" s="39">
        <v>1163</v>
      </c>
      <c r="J253" s="40"/>
      <c r="K253" s="41"/>
      <c r="L253" s="20"/>
      <c r="M253" s="41"/>
      <c r="N253" s="42"/>
      <c r="O253" s="43">
        <f t="shared" ref="O253:O257" si="148">SUM(I253)</f>
        <v>1163</v>
      </c>
      <c r="P253" s="45"/>
      <c r="Q253" s="45"/>
      <c r="R253" s="69">
        <f t="shared" si="144"/>
        <v>905.136934673367</v>
      </c>
      <c r="S253" s="69"/>
      <c r="T253" s="70">
        <f t="shared" si="145"/>
        <v>2.90082286432161</v>
      </c>
      <c r="U253" s="69"/>
      <c r="V253" s="69"/>
      <c r="W253" s="71">
        <f t="shared" si="142"/>
        <v>908.037757537688</v>
      </c>
      <c r="X253" s="72">
        <f t="shared" si="146"/>
        <v>14.2318530150754</v>
      </c>
      <c r="Y253" s="72"/>
      <c r="Z253" s="72"/>
      <c r="AA253" s="72">
        <f t="shared" si="141"/>
        <v>14.2318530150754</v>
      </c>
      <c r="AB253" s="81">
        <v>7.11</v>
      </c>
      <c r="AC253" s="69">
        <f t="shared" si="138"/>
        <v>101.188474937186</v>
      </c>
      <c r="AD253" s="69">
        <f t="shared" si="139"/>
        <v>1009.22623247487</v>
      </c>
      <c r="AE253" s="69">
        <f t="shared" si="143"/>
        <v>153.773767525126</v>
      </c>
    </row>
    <row r="254" customFormat="1" spans="1:31">
      <c r="A254" s="19"/>
      <c r="B254" s="20"/>
      <c r="C254" s="21">
        <v>241007000007</v>
      </c>
      <c r="D254" s="22">
        <v>45580</v>
      </c>
      <c r="E254" s="22" t="s">
        <v>41</v>
      </c>
      <c r="F254" s="20" t="s">
        <v>42</v>
      </c>
      <c r="G254" s="20" t="s">
        <v>255</v>
      </c>
      <c r="H254" s="20">
        <v>23.5</v>
      </c>
      <c r="I254" s="43"/>
      <c r="J254" s="46">
        <v>320195</v>
      </c>
      <c r="K254" s="41"/>
      <c r="L254" s="47">
        <f>SUM(J254/M254)</f>
        <v>1725.00269367525</v>
      </c>
      <c r="M254" s="48">
        <v>185.62</v>
      </c>
      <c r="N254" s="42">
        <v>7.11</v>
      </c>
      <c r="O254" s="43">
        <f t="shared" si="147"/>
        <v>1319.7582</v>
      </c>
      <c r="P254" s="45"/>
      <c r="Q254" s="45"/>
      <c r="R254" s="69">
        <f t="shared" si="144"/>
        <v>1012.89133165829</v>
      </c>
      <c r="S254" s="69"/>
      <c r="T254" s="70">
        <f t="shared" si="145"/>
        <v>3.24615891959799</v>
      </c>
      <c r="U254" s="69"/>
      <c r="V254" s="69"/>
      <c r="W254" s="71">
        <f t="shared" si="142"/>
        <v>1016.13749057789</v>
      </c>
      <c r="X254" s="72">
        <f t="shared" si="146"/>
        <v>15.9261212311558</v>
      </c>
      <c r="Y254" s="72"/>
      <c r="Z254" s="72"/>
      <c r="AA254" s="72">
        <f t="shared" si="141"/>
        <v>15.9261212311558</v>
      </c>
      <c r="AB254" s="81">
        <v>7.11</v>
      </c>
      <c r="AC254" s="69">
        <f t="shared" si="138"/>
        <v>113.234721953518</v>
      </c>
      <c r="AD254" s="69">
        <f t="shared" si="139"/>
        <v>1129.37221253141</v>
      </c>
      <c r="AE254" s="69">
        <f t="shared" si="143"/>
        <v>190.385987468593</v>
      </c>
    </row>
    <row r="255" customFormat="1" spans="1:31">
      <c r="A255" s="19"/>
      <c r="B255" s="20"/>
      <c r="C255" s="21">
        <v>241007000014</v>
      </c>
      <c r="D255" s="22">
        <v>45580</v>
      </c>
      <c r="E255" s="22" t="s">
        <v>55</v>
      </c>
      <c r="F255" s="20" t="s">
        <v>56</v>
      </c>
      <c r="G255" s="20" t="s">
        <v>193</v>
      </c>
      <c r="H255" s="20">
        <v>7</v>
      </c>
      <c r="I255" s="43"/>
      <c r="J255" s="46">
        <v>169336</v>
      </c>
      <c r="K255" s="41"/>
      <c r="L255" s="47">
        <f>SUM(J255/M255)</f>
        <v>1735</v>
      </c>
      <c r="M255" s="48">
        <v>97.6</v>
      </c>
      <c r="N255" s="42">
        <v>7.11</v>
      </c>
      <c r="O255" s="43">
        <f t="shared" si="147"/>
        <v>693.936</v>
      </c>
      <c r="P255" s="45"/>
      <c r="Q255" s="45"/>
      <c r="R255" s="69">
        <f t="shared" si="144"/>
        <v>301.712311557789</v>
      </c>
      <c r="S255" s="69"/>
      <c r="T255" s="70">
        <f t="shared" si="145"/>
        <v>0.966940954773869</v>
      </c>
      <c r="U255" s="70">
        <v>50</v>
      </c>
      <c r="V255" s="69"/>
      <c r="W255" s="71">
        <f t="shared" si="142"/>
        <v>352.679252512563</v>
      </c>
      <c r="X255" s="72">
        <f t="shared" si="146"/>
        <v>4.74395100502513</v>
      </c>
      <c r="Y255" s="72"/>
      <c r="Z255" s="72"/>
      <c r="AA255" s="72">
        <f t="shared" si="141"/>
        <v>4.74395100502513</v>
      </c>
      <c r="AB255" s="81">
        <v>7.11</v>
      </c>
      <c r="AC255" s="69">
        <f t="shared" si="138"/>
        <v>33.7294916457287</v>
      </c>
      <c r="AD255" s="69">
        <f t="shared" si="139"/>
        <v>386.408744158291</v>
      </c>
      <c r="AE255" s="69">
        <f t="shared" si="143"/>
        <v>307.527255841709</v>
      </c>
    </row>
    <row r="256" customFormat="1" spans="1:31">
      <c r="A256" s="19"/>
      <c r="B256" s="20"/>
      <c r="C256" s="21">
        <v>241008000004</v>
      </c>
      <c r="D256" s="22">
        <v>45580</v>
      </c>
      <c r="E256" s="22" t="s">
        <v>66</v>
      </c>
      <c r="F256" s="20" t="s">
        <v>67</v>
      </c>
      <c r="G256" s="20" t="s">
        <v>83</v>
      </c>
      <c r="H256" s="20">
        <v>5.5</v>
      </c>
      <c r="I256" s="39">
        <v>333</v>
      </c>
      <c r="J256" s="40"/>
      <c r="K256" s="41"/>
      <c r="L256" s="20"/>
      <c r="M256" s="41"/>
      <c r="N256" s="42"/>
      <c r="O256" s="43">
        <f t="shared" si="148"/>
        <v>333</v>
      </c>
      <c r="P256" s="45"/>
      <c r="Q256" s="45"/>
      <c r="R256" s="69">
        <f t="shared" si="144"/>
        <v>237.059673366834</v>
      </c>
      <c r="S256" s="69"/>
      <c r="T256" s="70">
        <f t="shared" si="145"/>
        <v>0.75973932160804</v>
      </c>
      <c r="U256" s="69"/>
      <c r="V256" s="69"/>
      <c r="W256" s="71">
        <f t="shared" si="142"/>
        <v>237.819412688442</v>
      </c>
      <c r="X256" s="72">
        <f t="shared" si="146"/>
        <v>3.72739007537688</v>
      </c>
      <c r="Y256" s="72"/>
      <c r="Z256" s="72"/>
      <c r="AA256" s="72">
        <f t="shared" si="141"/>
        <v>3.72739007537688</v>
      </c>
      <c r="AB256" s="81">
        <v>7.11</v>
      </c>
      <c r="AC256" s="69">
        <f t="shared" si="138"/>
        <v>26.5017434359297</v>
      </c>
      <c r="AD256" s="69">
        <f t="shared" si="139"/>
        <v>264.321156124372</v>
      </c>
      <c r="AE256" s="69">
        <f t="shared" si="143"/>
        <v>68.6788438756282</v>
      </c>
    </row>
    <row r="257" customFormat="1" spans="1:31">
      <c r="A257" s="19"/>
      <c r="B257" s="20"/>
      <c r="C257" s="21">
        <v>241008000013</v>
      </c>
      <c r="D257" s="22">
        <v>45580</v>
      </c>
      <c r="E257" s="22" t="s">
        <v>66</v>
      </c>
      <c r="F257" s="20" t="s">
        <v>67</v>
      </c>
      <c r="G257" s="20" t="s">
        <v>256</v>
      </c>
      <c r="H257" s="20">
        <v>24</v>
      </c>
      <c r="I257" s="39">
        <v>1536</v>
      </c>
      <c r="J257" s="40"/>
      <c r="K257" s="41"/>
      <c r="L257" s="20"/>
      <c r="M257" s="41"/>
      <c r="N257" s="42"/>
      <c r="O257" s="43">
        <f t="shared" si="148"/>
        <v>1536</v>
      </c>
      <c r="P257" s="45"/>
      <c r="Q257" s="45"/>
      <c r="R257" s="69">
        <f t="shared" si="144"/>
        <v>1034.44221105528</v>
      </c>
      <c r="S257" s="69"/>
      <c r="T257" s="70">
        <f t="shared" si="145"/>
        <v>3.31522613065327</v>
      </c>
      <c r="U257" s="69"/>
      <c r="V257" s="70">
        <v>24</v>
      </c>
      <c r="W257" s="71">
        <f t="shared" si="142"/>
        <v>1061.75743718593</v>
      </c>
      <c r="X257" s="72">
        <f t="shared" si="146"/>
        <v>16.2649748743719</v>
      </c>
      <c r="Y257" s="72"/>
      <c r="Z257" s="72"/>
      <c r="AA257" s="72">
        <f t="shared" si="141"/>
        <v>16.2649748743719</v>
      </c>
      <c r="AB257" s="81">
        <v>7.11</v>
      </c>
      <c r="AC257" s="69">
        <f t="shared" si="138"/>
        <v>115.643971356784</v>
      </c>
      <c r="AD257" s="69">
        <f t="shared" si="139"/>
        <v>1177.40140854271</v>
      </c>
      <c r="AE257" s="69">
        <f t="shared" si="143"/>
        <v>358.598591457287</v>
      </c>
    </row>
    <row r="258" customFormat="1" spans="1:31">
      <c r="A258" s="19"/>
      <c r="B258" s="20"/>
      <c r="C258" s="21">
        <v>241008000031</v>
      </c>
      <c r="D258" s="22">
        <v>45580</v>
      </c>
      <c r="E258" s="22" t="s">
        <v>66</v>
      </c>
      <c r="F258" s="20" t="s">
        <v>67</v>
      </c>
      <c r="G258" s="20" t="s">
        <v>149</v>
      </c>
      <c r="H258" s="20">
        <v>0.7</v>
      </c>
      <c r="I258" s="50"/>
      <c r="J258" s="46">
        <v>15340</v>
      </c>
      <c r="K258" s="41"/>
      <c r="L258" s="47">
        <f>SUM(J258/M258)</f>
        <v>1731.3769751693</v>
      </c>
      <c r="M258" s="48">
        <v>8.86</v>
      </c>
      <c r="N258" s="42">
        <v>7.11</v>
      </c>
      <c r="O258" s="43">
        <f>SUM(M258*N258)</f>
        <v>62.9946</v>
      </c>
      <c r="P258" s="45"/>
      <c r="Q258" s="45"/>
      <c r="R258" s="69">
        <f t="shared" si="144"/>
        <v>30.1712311557789</v>
      </c>
      <c r="S258" s="69"/>
      <c r="T258" s="70">
        <f t="shared" si="145"/>
        <v>0.0966940954773869</v>
      </c>
      <c r="U258" s="69"/>
      <c r="V258" s="69"/>
      <c r="W258" s="71">
        <f t="shared" si="142"/>
        <v>30.2679252512563</v>
      </c>
      <c r="X258" s="72">
        <f t="shared" si="146"/>
        <v>0.474395100502513</v>
      </c>
      <c r="Y258" s="72"/>
      <c r="Z258" s="72"/>
      <c r="AA258" s="72">
        <f t="shared" si="141"/>
        <v>0.474395100502513</v>
      </c>
      <c r="AB258" s="81">
        <v>7.11</v>
      </c>
      <c r="AC258" s="69">
        <f t="shared" si="138"/>
        <v>3.37294916457286</v>
      </c>
      <c r="AD258" s="69">
        <f t="shared" si="139"/>
        <v>33.6408744158291</v>
      </c>
      <c r="AE258" s="69">
        <f t="shared" si="143"/>
        <v>29.3537255841709</v>
      </c>
    </row>
    <row r="259" customFormat="1" spans="1:31">
      <c r="A259" s="19"/>
      <c r="B259" s="20"/>
      <c r="C259" s="21">
        <v>241008000036</v>
      </c>
      <c r="D259" s="22">
        <v>45580</v>
      </c>
      <c r="E259" s="22" t="s">
        <v>66</v>
      </c>
      <c r="F259" s="20" t="s">
        <v>67</v>
      </c>
      <c r="G259" s="20" t="s">
        <v>257</v>
      </c>
      <c r="H259" s="20">
        <v>5.5</v>
      </c>
      <c r="I259" s="39">
        <v>366</v>
      </c>
      <c r="J259" s="40"/>
      <c r="K259" s="41"/>
      <c r="L259" s="20"/>
      <c r="M259" s="41"/>
      <c r="N259" s="42"/>
      <c r="O259" s="43">
        <f t="shared" ref="O259:O263" si="149">SUM(I259)</f>
        <v>366</v>
      </c>
      <c r="P259" s="45"/>
      <c r="Q259" s="45"/>
      <c r="R259" s="69">
        <f t="shared" si="144"/>
        <v>237.059673366834</v>
      </c>
      <c r="S259" s="69"/>
      <c r="T259" s="70">
        <f t="shared" si="145"/>
        <v>0.75973932160804</v>
      </c>
      <c r="U259" s="69"/>
      <c r="V259" s="69"/>
      <c r="W259" s="71">
        <f t="shared" si="142"/>
        <v>237.819412688442</v>
      </c>
      <c r="X259" s="72">
        <f t="shared" si="146"/>
        <v>3.72739007537688</v>
      </c>
      <c r="Y259" s="72"/>
      <c r="Z259" s="72"/>
      <c r="AA259" s="72">
        <f t="shared" si="141"/>
        <v>3.72739007537688</v>
      </c>
      <c r="AB259" s="81">
        <v>7.11</v>
      </c>
      <c r="AC259" s="69">
        <f t="shared" si="138"/>
        <v>26.5017434359297</v>
      </c>
      <c r="AD259" s="69">
        <f t="shared" si="139"/>
        <v>264.321156124372</v>
      </c>
      <c r="AE259" s="69">
        <f t="shared" si="143"/>
        <v>101.678843875628</v>
      </c>
    </row>
    <row r="260" customFormat="1" spans="1:31">
      <c r="A260" s="19"/>
      <c r="B260" s="20"/>
      <c r="C260" s="21">
        <v>241008000038</v>
      </c>
      <c r="D260" s="22">
        <v>45580</v>
      </c>
      <c r="E260" s="22" t="s">
        <v>37</v>
      </c>
      <c r="F260" s="20" t="s">
        <v>38</v>
      </c>
      <c r="G260" s="20" t="s">
        <v>109</v>
      </c>
      <c r="H260" s="20">
        <v>3</v>
      </c>
      <c r="I260" s="39">
        <v>183</v>
      </c>
      <c r="J260" s="40"/>
      <c r="K260" s="41"/>
      <c r="L260" s="20"/>
      <c r="M260" s="41"/>
      <c r="N260" s="42"/>
      <c r="O260" s="43">
        <f t="shared" si="149"/>
        <v>183</v>
      </c>
      <c r="P260" s="45"/>
      <c r="Q260" s="45"/>
      <c r="R260" s="69">
        <f t="shared" si="144"/>
        <v>129.30527638191</v>
      </c>
      <c r="S260" s="69"/>
      <c r="T260" s="70">
        <f t="shared" si="145"/>
        <v>0.414403266331658</v>
      </c>
      <c r="U260" s="69"/>
      <c r="V260" s="69"/>
      <c r="W260" s="71">
        <f t="shared" si="142"/>
        <v>129.719679648241</v>
      </c>
      <c r="X260" s="72">
        <f t="shared" si="146"/>
        <v>2.03312185929648</v>
      </c>
      <c r="Y260" s="72"/>
      <c r="Z260" s="72"/>
      <c r="AA260" s="72">
        <f t="shared" si="141"/>
        <v>2.03312185929648</v>
      </c>
      <c r="AB260" s="81">
        <v>7.11</v>
      </c>
      <c r="AC260" s="69">
        <f t="shared" si="138"/>
        <v>14.455496419598</v>
      </c>
      <c r="AD260" s="69">
        <f t="shared" si="139"/>
        <v>144.175176067839</v>
      </c>
      <c r="AE260" s="69">
        <f t="shared" si="143"/>
        <v>38.8248239321608</v>
      </c>
    </row>
    <row r="261" customFormat="1" spans="1:31">
      <c r="A261" s="19"/>
      <c r="B261" s="20"/>
      <c r="C261" s="21">
        <v>241008000044</v>
      </c>
      <c r="D261" s="22">
        <v>45580</v>
      </c>
      <c r="E261" s="22" t="s">
        <v>37</v>
      </c>
      <c r="F261" s="20" t="s">
        <v>38</v>
      </c>
      <c r="G261" s="20" t="s">
        <v>235</v>
      </c>
      <c r="H261" s="20">
        <v>16.5</v>
      </c>
      <c r="I261" s="39">
        <v>1496</v>
      </c>
      <c r="J261" s="40"/>
      <c r="K261" s="41"/>
      <c r="L261" s="20"/>
      <c r="M261" s="41"/>
      <c r="N261" s="42"/>
      <c r="O261" s="43">
        <f t="shared" si="149"/>
        <v>1496</v>
      </c>
      <c r="P261" s="45"/>
      <c r="Q261" s="45"/>
      <c r="R261" s="69">
        <f t="shared" si="144"/>
        <v>711.179020100502</v>
      </c>
      <c r="S261" s="69"/>
      <c r="T261" s="70">
        <f t="shared" si="145"/>
        <v>2.27921796482412</v>
      </c>
      <c r="U261" s="69"/>
      <c r="V261" s="69"/>
      <c r="W261" s="71">
        <f t="shared" si="142"/>
        <v>713.458238065327</v>
      </c>
      <c r="X261" s="72">
        <f t="shared" si="146"/>
        <v>11.1821702261307</v>
      </c>
      <c r="Y261" s="72"/>
      <c r="Z261" s="72"/>
      <c r="AA261" s="72">
        <f t="shared" si="141"/>
        <v>11.1821702261307</v>
      </c>
      <c r="AB261" s="81">
        <v>7.11</v>
      </c>
      <c r="AC261" s="69">
        <f t="shared" si="138"/>
        <v>79.5052303077889</v>
      </c>
      <c r="AD261" s="69">
        <f t="shared" si="139"/>
        <v>792.963468373116</v>
      </c>
      <c r="AE261" s="69">
        <f t="shared" si="143"/>
        <v>703.036531626884</v>
      </c>
    </row>
    <row r="262" customFormat="1" spans="1:31">
      <c r="A262" s="19"/>
      <c r="B262" s="20"/>
      <c r="C262" s="21">
        <v>241008000056</v>
      </c>
      <c r="D262" s="22">
        <v>45580</v>
      </c>
      <c r="E262" s="22" t="s">
        <v>55</v>
      </c>
      <c r="F262" s="20" t="s">
        <v>56</v>
      </c>
      <c r="G262" s="20" t="s">
        <v>258</v>
      </c>
      <c r="H262" s="20">
        <v>1.5</v>
      </c>
      <c r="I262" s="39">
        <v>95</v>
      </c>
      <c r="J262" s="40"/>
      <c r="K262" s="41"/>
      <c r="L262" s="20"/>
      <c r="M262" s="41"/>
      <c r="N262" s="42"/>
      <c r="O262" s="43">
        <f t="shared" si="149"/>
        <v>95</v>
      </c>
      <c r="P262" s="45"/>
      <c r="Q262" s="45"/>
      <c r="R262" s="69">
        <f t="shared" si="144"/>
        <v>64.6526381909548</v>
      </c>
      <c r="S262" s="69"/>
      <c r="T262" s="70">
        <f t="shared" si="145"/>
        <v>0.207201633165829</v>
      </c>
      <c r="U262" s="69"/>
      <c r="V262" s="69"/>
      <c r="W262" s="71">
        <f t="shared" si="142"/>
        <v>64.8598398241206</v>
      </c>
      <c r="X262" s="72">
        <f t="shared" si="146"/>
        <v>1.01656092964824</v>
      </c>
      <c r="Y262" s="72"/>
      <c r="Z262" s="72"/>
      <c r="AA262" s="72">
        <f t="shared" si="141"/>
        <v>1.01656092964824</v>
      </c>
      <c r="AB262" s="81">
        <v>7.11</v>
      </c>
      <c r="AC262" s="69">
        <f t="shared" si="138"/>
        <v>7.227748209799</v>
      </c>
      <c r="AD262" s="69">
        <f t="shared" si="139"/>
        <v>72.0875880339196</v>
      </c>
      <c r="AE262" s="69">
        <f t="shared" si="143"/>
        <v>22.9124119660804</v>
      </c>
    </row>
    <row r="263" customFormat="1" spans="1:31">
      <c r="A263" s="19"/>
      <c r="B263" s="20"/>
      <c r="C263" s="21">
        <v>241008000057</v>
      </c>
      <c r="D263" s="22">
        <v>45580</v>
      </c>
      <c r="E263" s="22" t="s">
        <v>55</v>
      </c>
      <c r="F263" s="20" t="s">
        <v>56</v>
      </c>
      <c r="G263" s="20" t="s">
        <v>152</v>
      </c>
      <c r="H263" s="20">
        <v>0.72</v>
      </c>
      <c r="I263" s="39">
        <v>63</v>
      </c>
      <c r="J263" s="40"/>
      <c r="K263" s="41"/>
      <c r="L263" s="20"/>
      <c r="M263" s="41"/>
      <c r="N263" s="42"/>
      <c r="O263" s="43">
        <f t="shared" si="149"/>
        <v>63</v>
      </c>
      <c r="P263" s="45"/>
      <c r="Q263" s="45"/>
      <c r="R263" s="69">
        <f t="shared" si="144"/>
        <v>31.0332663316583</v>
      </c>
      <c r="S263" s="69"/>
      <c r="T263" s="70">
        <f t="shared" si="145"/>
        <v>0.099456783919598</v>
      </c>
      <c r="U263" s="69"/>
      <c r="V263" s="69"/>
      <c r="W263" s="71">
        <f t="shared" si="142"/>
        <v>31.1327231155779</v>
      </c>
      <c r="X263" s="72">
        <f t="shared" si="146"/>
        <v>0.487949246231156</v>
      </c>
      <c r="Y263" s="72"/>
      <c r="Z263" s="72"/>
      <c r="AA263" s="72">
        <f t="shared" si="141"/>
        <v>0.487949246231156</v>
      </c>
      <c r="AB263" s="81">
        <v>7.11</v>
      </c>
      <c r="AC263" s="69">
        <f t="shared" si="138"/>
        <v>3.46931914070352</v>
      </c>
      <c r="AD263" s="69">
        <f t="shared" si="139"/>
        <v>34.6020422562814</v>
      </c>
      <c r="AE263" s="69">
        <f t="shared" si="143"/>
        <v>28.3979577437186</v>
      </c>
    </row>
    <row r="264" customFormat="1" spans="1:31">
      <c r="A264" s="19"/>
      <c r="B264" s="20"/>
      <c r="C264" s="21">
        <v>241008000063</v>
      </c>
      <c r="D264" s="22">
        <v>45580</v>
      </c>
      <c r="E264" s="22" t="s">
        <v>88</v>
      </c>
      <c r="F264" s="20" t="s">
        <v>259</v>
      </c>
      <c r="G264" s="20" t="s">
        <v>260</v>
      </c>
      <c r="H264" s="20">
        <v>14.5</v>
      </c>
      <c r="I264" s="43"/>
      <c r="J264" s="46">
        <v>203644</v>
      </c>
      <c r="K264" s="41"/>
      <c r="L264" s="47">
        <f>SUM(J264/M264)</f>
        <v>1711.00655352042</v>
      </c>
      <c r="M264" s="48">
        <v>119.02</v>
      </c>
      <c r="N264" s="42">
        <v>7.11</v>
      </c>
      <c r="O264" s="43">
        <f>SUM(M264*N264)</f>
        <v>846.2322</v>
      </c>
      <c r="P264" s="45"/>
      <c r="Q264" s="45"/>
      <c r="R264" s="69">
        <f t="shared" si="144"/>
        <v>624.975502512563</v>
      </c>
      <c r="S264" s="69"/>
      <c r="T264" s="70">
        <f t="shared" si="145"/>
        <v>2.00294912060302</v>
      </c>
      <c r="U264" s="69"/>
      <c r="V264" s="69"/>
      <c r="W264" s="71">
        <f t="shared" si="142"/>
        <v>626.978451633166</v>
      </c>
      <c r="X264" s="72">
        <f t="shared" si="146"/>
        <v>9.82675565326633</v>
      </c>
      <c r="Y264" s="72"/>
      <c r="Z264" s="72"/>
      <c r="AA264" s="72">
        <f t="shared" si="141"/>
        <v>9.82675565326633</v>
      </c>
      <c r="AB264" s="81">
        <v>7.11</v>
      </c>
      <c r="AC264" s="69">
        <f t="shared" si="138"/>
        <v>69.8682326947236</v>
      </c>
      <c r="AD264" s="69">
        <f t="shared" si="139"/>
        <v>696.846684327889</v>
      </c>
      <c r="AE264" s="69">
        <f t="shared" si="143"/>
        <v>149.385515672111</v>
      </c>
    </row>
    <row r="265" customFormat="1" spans="1:31">
      <c r="A265" s="19"/>
      <c r="B265" s="20"/>
      <c r="C265" s="21">
        <v>241008000068</v>
      </c>
      <c r="D265" s="22">
        <v>45580</v>
      </c>
      <c r="E265" s="22" t="s">
        <v>37</v>
      </c>
      <c r="F265" s="20" t="s">
        <v>38</v>
      </c>
      <c r="G265" s="20" t="s">
        <v>261</v>
      </c>
      <c r="H265" s="20">
        <v>0.8</v>
      </c>
      <c r="I265" s="39">
        <v>69</v>
      </c>
      <c r="J265" s="40"/>
      <c r="K265" s="41"/>
      <c r="L265" s="20"/>
      <c r="M265" s="41"/>
      <c r="N265" s="42"/>
      <c r="O265" s="43">
        <f t="shared" ref="O265:O270" si="150">SUM(I265)</f>
        <v>69</v>
      </c>
      <c r="P265" s="45"/>
      <c r="Q265" s="45"/>
      <c r="R265" s="69">
        <f t="shared" si="144"/>
        <v>34.4814070351759</v>
      </c>
      <c r="S265" s="69"/>
      <c r="T265" s="70">
        <f t="shared" si="145"/>
        <v>0.110507537688442</v>
      </c>
      <c r="U265" s="69"/>
      <c r="V265" s="69"/>
      <c r="W265" s="71">
        <f t="shared" si="142"/>
        <v>34.5919145728643</v>
      </c>
      <c r="X265" s="72">
        <f t="shared" si="146"/>
        <v>0.542165829145729</v>
      </c>
      <c r="Y265" s="72"/>
      <c r="Z265" s="72"/>
      <c r="AA265" s="72">
        <f t="shared" si="141"/>
        <v>0.542165829145729</v>
      </c>
      <c r="AB265" s="81">
        <v>7.11</v>
      </c>
      <c r="AC265" s="69">
        <f t="shared" si="138"/>
        <v>3.85479904522613</v>
      </c>
      <c r="AD265" s="69">
        <f t="shared" si="139"/>
        <v>38.4467136180905</v>
      </c>
      <c r="AE265" s="69">
        <f t="shared" si="143"/>
        <v>30.5532863819095</v>
      </c>
    </row>
    <row r="266" customFormat="1" spans="1:31">
      <c r="A266" s="19"/>
      <c r="B266" s="20"/>
      <c r="C266" s="21">
        <v>241008000074</v>
      </c>
      <c r="D266" s="22">
        <v>45580</v>
      </c>
      <c r="E266" s="22" t="s">
        <v>66</v>
      </c>
      <c r="F266" s="20" t="s">
        <v>67</v>
      </c>
      <c r="G266" s="20" t="s">
        <v>262</v>
      </c>
      <c r="H266" s="20">
        <v>4.5</v>
      </c>
      <c r="I266" s="50"/>
      <c r="J266" s="46">
        <v>58800</v>
      </c>
      <c r="K266" s="41"/>
      <c r="L266" s="47">
        <f>SUM(J266/M266)</f>
        <v>1742.22222222222</v>
      </c>
      <c r="M266" s="48">
        <v>33.75</v>
      </c>
      <c r="N266" s="42">
        <v>7.11</v>
      </c>
      <c r="O266" s="43">
        <f>SUM(M266*N266)</f>
        <v>239.9625</v>
      </c>
      <c r="P266" s="45"/>
      <c r="Q266" s="45"/>
      <c r="R266" s="69">
        <f t="shared" si="144"/>
        <v>193.957914572864</v>
      </c>
      <c r="S266" s="69"/>
      <c r="T266" s="70">
        <f t="shared" si="145"/>
        <v>0.621604899497487</v>
      </c>
      <c r="U266" s="69"/>
      <c r="V266" s="69"/>
      <c r="W266" s="71">
        <f t="shared" si="142"/>
        <v>194.579519472362</v>
      </c>
      <c r="X266" s="72">
        <f t="shared" si="146"/>
        <v>3.04968278894472</v>
      </c>
      <c r="Y266" s="72"/>
      <c r="Z266" s="72"/>
      <c r="AA266" s="72">
        <f t="shared" si="141"/>
        <v>3.04968278894472</v>
      </c>
      <c r="AB266" s="81">
        <v>7.11</v>
      </c>
      <c r="AC266" s="69">
        <f t="shared" si="138"/>
        <v>21.683244629397</v>
      </c>
      <c r="AD266" s="69">
        <f t="shared" si="139"/>
        <v>216.262764101759</v>
      </c>
      <c r="AE266" s="69">
        <f t="shared" si="143"/>
        <v>23.6997358982412</v>
      </c>
    </row>
    <row r="267" customFormat="1" spans="1:31">
      <c r="A267" s="19"/>
      <c r="B267" s="20"/>
      <c r="C267" s="21">
        <v>241008000076</v>
      </c>
      <c r="D267" s="22">
        <v>45580</v>
      </c>
      <c r="E267" s="22" t="s">
        <v>66</v>
      </c>
      <c r="F267" s="20" t="s">
        <v>67</v>
      </c>
      <c r="G267" s="20" t="s">
        <v>263</v>
      </c>
      <c r="H267" s="20">
        <v>0.58</v>
      </c>
      <c r="I267" s="39">
        <v>69</v>
      </c>
      <c r="J267" s="40"/>
      <c r="K267" s="41"/>
      <c r="L267" s="20"/>
      <c r="M267" s="41"/>
      <c r="N267" s="42"/>
      <c r="O267" s="43">
        <f t="shared" si="150"/>
        <v>69</v>
      </c>
      <c r="P267" s="45"/>
      <c r="Q267" s="45"/>
      <c r="R267" s="69">
        <f t="shared" si="144"/>
        <v>24.9990201005025</v>
      </c>
      <c r="S267" s="69"/>
      <c r="T267" s="70">
        <f t="shared" si="145"/>
        <v>0.0801179648241206</v>
      </c>
      <c r="U267" s="69"/>
      <c r="V267" s="69"/>
      <c r="W267" s="71">
        <f t="shared" si="142"/>
        <v>25.0791380653266</v>
      </c>
      <c r="X267" s="72">
        <f t="shared" si="146"/>
        <v>0.393070226130653</v>
      </c>
      <c r="Y267" s="72"/>
      <c r="Z267" s="72"/>
      <c r="AA267" s="72">
        <f t="shared" si="141"/>
        <v>0.393070226130653</v>
      </c>
      <c r="AB267" s="81">
        <v>7.11</v>
      </c>
      <c r="AC267" s="69">
        <f t="shared" si="138"/>
        <v>2.79472930778894</v>
      </c>
      <c r="AD267" s="69">
        <f t="shared" si="139"/>
        <v>27.8738673731156</v>
      </c>
      <c r="AE267" s="69">
        <f t="shared" si="143"/>
        <v>41.1261326268844</v>
      </c>
    </row>
    <row r="268" customFormat="1" spans="1:31">
      <c r="A268" s="19"/>
      <c r="B268" s="20"/>
      <c r="C268" s="21">
        <v>241008000078</v>
      </c>
      <c r="D268" s="22">
        <v>45580</v>
      </c>
      <c r="E268" s="22" t="s">
        <v>55</v>
      </c>
      <c r="F268" s="20" t="s">
        <v>56</v>
      </c>
      <c r="G268" s="20" t="s">
        <v>72</v>
      </c>
      <c r="H268" s="20">
        <v>10.5</v>
      </c>
      <c r="I268" s="39">
        <v>604.5</v>
      </c>
      <c r="J268" s="40"/>
      <c r="K268" s="41"/>
      <c r="L268" s="20"/>
      <c r="M268" s="41"/>
      <c r="N268" s="42"/>
      <c r="O268" s="43">
        <f t="shared" si="150"/>
        <v>604.5</v>
      </c>
      <c r="P268" s="45"/>
      <c r="Q268" s="45"/>
      <c r="R268" s="69">
        <f t="shared" si="144"/>
        <v>452.568467336683</v>
      </c>
      <c r="S268" s="69"/>
      <c r="T268" s="70">
        <f t="shared" si="145"/>
        <v>1.4504114321608</v>
      </c>
      <c r="U268" s="69"/>
      <c r="V268" s="69"/>
      <c r="W268" s="71">
        <f t="shared" si="142"/>
        <v>454.018878768844</v>
      </c>
      <c r="X268" s="72">
        <f t="shared" si="146"/>
        <v>7.11592650753769</v>
      </c>
      <c r="Y268" s="72"/>
      <c r="Z268" s="72"/>
      <c r="AA268" s="72">
        <f t="shared" si="141"/>
        <v>7.11592650753769</v>
      </c>
      <c r="AB268" s="81">
        <v>7.11</v>
      </c>
      <c r="AC268" s="69">
        <f t="shared" si="138"/>
        <v>50.594237468593</v>
      </c>
      <c r="AD268" s="69">
        <f t="shared" si="139"/>
        <v>504.613116237437</v>
      </c>
      <c r="AE268" s="69">
        <f t="shared" si="143"/>
        <v>99.8868837625628</v>
      </c>
    </row>
    <row r="269" customFormat="1" spans="1:31">
      <c r="A269" s="19"/>
      <c r="B269" s="20"/>
      <c r="C269" s="21">
        <v>241008000083</v>
      </c>
      <c r="D269" s="22">
        <v>45580</v>
      </c>
      <c r="E269" s="22" t="s">
        <v>37</v>
      </c>
      <c r="F269" s="20" t="s">
        <v>38</v>
      </c>
      <c r="G269" s="20" t="s">
        <v>264</v>
      </c>
      <c r="H269" s="20">
        <v>10</v>
      </c>
      <c r="I269" s="39">
        <v>576</v>
      </c>
      <c r="J269" s="40"/>
      <c r="K269" s="41"/>
      <c r="L269" s="20"/>
      <c r="M269" s="41"/>
      <c r="N269" s="42"/>
      <c r="O269" s="43">
        <f t="shared" si="150"/>
        <v>576</v>
      </c>
      <c r="P269" s="45"/>
      <c r="Q269" s="45"/>
      <c r="R269" s="69">
        <f t="shared" si="144"/>
        <v>431.017587939699</v>
      </c>
      <c r="S269" s="69"/>
      <c r="T269" s="70">
        <f t="shared" si="145"/>
        <v>1.38134422110553</v>
      </c>
      <c r="U269" s="69"/>
      <c r="V269" s="69"/>
      <c r="W269" s="71">
        <f t="shared" si="142"/>
        <v>432.398932160804</v>
      </c>
      <c r="X269" s="72">
        <f t="shared" si="146"/>
        <v>6.77707286432161</v>
      </c>
      <c r="Y269" s="72"/>
      <c r="Z269" s="72"/>
      <c r="AA269" s="72">
        <f t="shared" si="141"/>
        <v>6.77707286432161</v>
      </c>
      <c r="AB269" s="81">
        <v>7.11</v>
      </c>
      <c r="AC269" s="69">
        <f t="shared" si="138"/>
        <v>48.1849880653266</v>
      </c>
      <c r="AD269" s="69">
        <f t="shared" si="139"/>
        <v>480.583920226131</v>
      </c>
      <c r="AE269" s="69">
        <f t="shared" si="143"/>
        <v>95.4160797738693</v>
      </c>
    </row>
    <row r="270" customFormat="1" spans="1:31">
      <c r="A270" s="19"/>
      <c r="B270" s="20"/>
      <c r="C270" s="21">
        <v>241008000086</v>
      </c>
      <c r="D270" s="22">
        <v>45580</v>
      </c>
      <c r="E270" s="22" t="s">
        <v>55</v>
      </c>
      <c r="F270" s="20" t="s">
        <v>56</v>
      </c>
      <c r="G270" s="20" t="s">
        <v>265</v>
      </c>
      <c r="H270" s="20">
        <v>7.5</v>
      </c>
      <c r="I270" s="39">
        <v>500</v>
      </c>
      <c r="J270" s="40"/>
      <c r="K270" s="41"/>
      <c r="L270" s="20"/>
      <c r="M270" s="41"/>
      <c r="N270" s="42"/>
      <c r="O270" s="43">
        <f t="shared" si="150"/>
        <v>500</v>
      </c>
      <c r="P270" s="45"/>
      <c r="Q270" s="45"/>
      <c r="R270" s="69">
        <f t="shared" si="144"/>
        <v>323.263190954774</v>
      </c>
      <c r="S270" s="69"/>
      <c r="T270" s="70">
        <f t="shared" si="145"/>
        <v>1.03600816582915</v>
      </c>
      <c r="U270" s="69"/>
      <c r="V270" s="69"/>
      <c r="W270" s="71">
        <f t="shared" si="142"/>
        <v>324.299199120603</v>
      </c>
      <c r="X270" s="72">
        <f t="shared" si="146"/>
        <v>5.08280464824121</v>
      </c>
      <c r="Y270" s="72"/>
      <c r="Z270" s="72"/>
      <c r="AA270" s="72">
        <f t="shared" si="141"/>
        <v>5.08280464824121</v>
      </c>
      <c r="AB270" s="81">
        <v>7.11</v>
      </c>
      <c r="AC270" s="69">
        <f t="shared" si="138"/>
        <v>36.138741048995</v>
      </c>
      <c r="AD270" s="69">
        <f t="shared" si="139"/>
        <v>360.437940169598</v>
      </c>
      <c r="AE270" s="69">
        <f t="shared" si="143"/>
        <v>139.562059830402</v>
      </c>
    </row>
    <row r="271" customFormat="1" spans="1:31">
      <c r="A271" s="19"/>
      <c r="B271" s="20"/>
      <c r="C271" s="82">
        <v>241008000091</v>
      </c>
      <c r="D271" s="83">
        <v>45580</v>
      </c>
      <c r="E271" s="22" t="s">
        <v>37</v>
      </c>
      <c r="F271" s="84" t="s">
        <v>38</v>
      </c>
      <c r="G271" s="84" t="s">
        <v>266</v>
      </c>
      <c r="H271" s="84">
        <v>104.5</v>
      </c>
      <c r="I271" s="50"/>
      <c r="J271" s="46">
        <v>1792175</v>
      </c>
      <c r="K271" s="41"/>
      <c r="L271" s="47">
        <f>SUM(J271/M271)</f>
        <v>1741.95445311665</v>
      </c>
      <c r="M271" s="48">
        <v>1028.83</v>
      </c>
      <c r="N271" s="42">
        <v>7.11</v>
      </c>
      <c r="O271" s="43">
        <f>SUM(M271*N271)</f>
        <v>7314.9813</v>
      </c>
      <c r="P271" s="45"/>
      <c r="Q271" s="45"/>
      <c r="R271" s="69">
        <f t="shared" si="144"/>
        <v>4504.13379396985</v>
      </c>
      <c r="S271" s="69"/>
      <c r="T271" s="70">
        <f t="shared" si="145"/>
        <v>14.4350471105528</v>
      </c>
      <c r="U271" s="69"/>
      <c r="V271" s="69"/>
      <c r="W271" s="71">
        <f t="shared" si="142"/>
        <v>4518.5688410804</v>
      </c>
      <c r="X271" s="72">
        <f t="shared" si="146"/>
        <v>70.8204114321608</v>
      </c>
      <c r="Y271" s="72"/>
      <c r="Z271" s="72"/>
      <c r="AA271" s="72">
        <f t="shared" si="141"/>
        <v>70.8204114321608</v>
      </c>
      <c r="AB271" s="81">
        <v>7.11</v>
      </c>
      <c r="AC271" s="69">
        <f t="shared" si="138"/>
        <v>503.533125282663</v>
      </c>
      <c r="AD271" s="69">
        <f t="shared" si="139"/>
        <v>5022.10196636307</v>
      </c>
      <c r="AE271" s="69">
        <f t="shared" si="143"/>
        <v>2292.87933363693</v>
      </c>
    </row>
    <row r="272" customFormat="1" spans="1:31">
      <c r="A272" s="19"/>
      <c r="B272" s="20"/>
      <c r="C272" s="21">
        <v>241008000094</v>
      </c>
      <c r="D272" s="22">
        <v>45580</v>
      </c>
      <c r="E272" s="22" t="s">
        <v>37</v>
      </c>
      <c r="F272" s="20" t="s">
        <v>38</v>
      </c>
      <c r="G272" s="20" t="s">
        <v>267</v>
      </c>
      <c r="H272" s="20">
        <v>196</v>
      </c>
      <c r="I272" s="39">
        <v>11625</v>
      </c>
      <c r="J272" s="40"/>
      <c r="K272" s="41"/>
      <c r="L272" s="20"/>
      <c r="M272" s="41"/>
      <c r="N272" s="42"/>
      <c r="O272" s="43">
        <f t="shared" ref="O272:O280" si="151">SUM(I272)</f>
        <v>11625</v>
      </c>
      <c r="P272" s="45"/>
      <c r="Q272" s="45"/>
      <c r="R272" s="69">
        <f t="shared" si="144"/>
        <v>8447.94472361809</v>
      </c>
      <c r="S272" s="69"/>
      <c r="T272" s="70">
        <f t="shared" si="145"/>
        <v>27.0743467336683</v>
      </c>
      <c r="U272" s="69"/>
      <c r="V272" s="70">
        <v>471</v>
      </c>
      <c r="W272" s="71">
        <f t="shared" si="142"/>
        <v>8946.01907035176</v>
      </c>
      <c r="X272" s="72">
        <f t="shared" si="146"/>
        <v>132.830628140704</v>
      </c>
      <c r="Y272" s="72"/>
      <c r="Z272" s="72"/>
      <c r="AA272" s="72">
        <f t="shared" si="141"/>
        <v>132.830628140704</v>
      </c>
      <c r="AB272" s="81">
        <v>7.11</v>
      </c>
      <c r="AC272" s="69">
        <f t="shared" si="138"/>
        <v>944.425766080402</v>
      </c>
      <c r="AD272" s="69">
        <f t="shared" si="139"/>
        <v>9890.44483643216</v>
      </c>
      <c r="AE272" s="69">
        <f t="shared" si="143"/>
        <v>1734.55516356784</v>
      </c>
    </row>
    <row r="273" customFormat="1" spans="1:31">
      <c r="A273" s="19"/>
      <c r="B273" s="20"/>
      <c r="C273" s="21">
        <v>241008000096</v>
      </c>
      <c r="D273" s="22">
        <v>45580</v>
      </c>
      <c r="E273" s="22" t="s">
        <v>47</v>
      </c>
      <c r="F273" s="20" t="s">
        <v>47</v>
      </c>
      <c r="G273" s="20" t="s">
        <v>154</v>
      </c>
      <c r="H273" s="20">
        <v>0.32</v>
      </c>
      <c r="I273" s="43"/>
      <c r="J273" s="46">
        <v>17009</v>
      </c>
      <c r="K273" s="41"/>
      <c r="L273" s="47">
        <f>SUM(J273/M273)</f>
        <v>1725.05070993915</v>
      </c>
      <c r="M273" s="48">
        <v>9.86</v>
      </c>
      <c r="N273" s="42">
        <v>7.11</v>
      </c>
      <c r="O273" s="43">
        <f>SUM(M273*N273)</f>
        <v>70.1046</v>
      </c>
      <c r="P273" s="45"/>
      <c r="Q273" s="45"/>
      <c r="R273" s="69">
        <f t="shared" si="144"/>
        <v>13.7925628140704</v>
      </c>
      <c r="S273" s="69"/>
      <c r="T273" s="70">
        <f t="shared" si="145"/>
        <v>0.0442030150753769</v>
      </c>
      <c r="U273" s="69"/>
      <c r="V273" s="69"/>
      <c r="W273" s="71">
        <f t="shared" si="142"/>
        <v>13.8367658291457</v>
      </c>
      <c r="X273" s="72">
        <f t="shared" si="146"/>
        <v>0.216866331658291</v>
      </c>
      <c r="Y273" s="72"/>
      <c r="Z273" s="72"/>
      <c r="AA273" s="72">
        <f t="shared" si="141"/>
        <v>0.216866331658291</v>
      </c>
      <c r="AB273" s="81">
        <v>7.11</v>
      </c>
      <c r="AC273" s="69">
        <f t="shared" si="138"/>
        <v>1.54191961809045</v>
      </c>
      <c r="AD273" s="69">
        <f t="shared" si="139"/>
        <v>15.3786854472362</v>
      </c>
      <c r="AE273" s="69">
        <f t="shared" si="143"/>
        <v>54.7259145527638</v>
      </c>
    </row>
    <row r="274" customFormat="1" spans="1:31">
      <c r="A274" s="19"/>
      <c r="B274" s="20"/>
      <c r="C274" s="21">
        <v>241008000100</v>
      </c>
      <c r="D274" s="22">
        <v>45580</v>
      </c>
      <c r="E274" s="22" t="s">
        <v>55</v>
      </c>
      <c r="F274" s="20" t="s">
        <v>56</v>
      </c>
      <c r="G274" s="20" t="s">
        <v>268</v>
      </c>
      <c r="H274" s="20">
        <v>1.5</v>
      </c>
      <c r="I274" s="39">
        <v>69</v>
      </c>
      <c r="J274" s="40"/>
      <c r="K274" s="41"/>
      <c r="L274" s="20"/>
      <c r="M274" s="41"/>
      <c r="N274" s="42"/>
      <c r="O274" s="43">
        <f t="shared" si="151"/>
        <v>69</v>
      </c>
      <c r="P274" s="45"/>
      <c r="Q274" s="45"/>
      <c r="R274" s="69">
        <f t="shared" si="144"/>
        <v>64.6526381909548</v>
      </c>
      <c r="S274" s="69"/>
      <c r="T274" s="70">
        <f t="shared" si="145"/>
        <v>0.207201633165829</v>
      </c>
      <c r="U274" s="69"/>
      <c r="V274" s="69"/>
      <c r="W274" s="71">
        <f t="shared" si="142"/>
        <v>64.8598398241206</v>
      </c>
      <c r="X274" s="72">
        <f t="shared" si="146"/>
        <v>1.01656092964824</v>
      </c>
      <c r="Y274" s="72"/>
      <c r="Z274" s="72"/>
      <c r="AA274" s="72">
        <f t="shared" si="141"/>
        <v>1.01656092964824</v>
      </c>
      <c r="AB274" s="81">
        <v>7.11</v>
      </c>
      <c r="AC274" s="69">
        <f t="shared" si="138"/>
        <v>7.227748209799</v>
      </c>
      <c r="AD274" s="69">
        <f t="shared" si="139"/>
        <v>72.0875880339196</v>
      </c>
      <c r="AE274" s="69">
        <f t="shared" si="143"/>
        <v>-3.08758803391959</v>
      </c>
    </row>
    <row r="275" customFormat="1" spans="1:31">
      <c r="A275" s="19"/>
      <c r="B275" s="20"/>
      <c r="C275" s="21">
        <v>241008000101</v>
      </c>
      <c r="D275" s="22">
        <v>45580</v>
      </c>
      <c r="E275" s="22" t="s">
        <v>41</v>
      </c>
      <c r="F275" s="20" t="s">
        <v>42</v>
      </c>
      <c r="G275" s="20" t="s">
        <v>157</v>
      </c>
      <c r="H275" s="20">
        <v>3</v>
      </c>
      <c r="I275" s="39">
        <v>204</v>
      </c>
      <c r="J275" s="40"/>
      <c r="K275" s="41"/>
      <c r="L275" s="20"/>
      <c r="M275" s="41"/>
      <c r="N275" s="42"/>
      <c r="O275" s="43">
        <f t="shared" si="151"/>
        <v>204</v>
      </c>
      <c r="P275" s="45"/>
      <c r="Q275" s="45"/>
      <c r="R275" s="69">
        <f t="shared" si="144"/>
        <v>129.30527638191</v>
      </c>
      <c r="S275" s="69"/>
      <c r="T275" s="70">
        <f t="shared" si="145"/>
        <v>0.414403266331658</v>
      </c>
      <c r="U275" s="69"/>
      <c r="V275" s="69"/>
      <c r="W275" s="71">
        <f t="shared" si="142"/>
        <v>129.719679648241</v>
      </c>
      <c r="X275" s="72">
        <f t="shared" si="146"/>
        <v>2.03312185929648</v>
      </c>
      <c r="Y275" s="72"/>
      <c r="Z275" s="72"/>
      <c r="AA275" s="72">
        <f t="shared" si="141"/>
        <v>2.03312185929648</v>
      </c>
      <c r="AB275" s="81">
        <v>7.11</v>
      </c>
      <c r="AC275" s="69">
        <f t="shared" si="138"/>
        <v>14.455496419598</v>
      </c>
      <c r="AD275" s="69">
        <f t="shared" si="139"/>
        <v>144.175176067839</v>
      </c>
      <c r="AE275" s="69">
        <f t="shared" si="143"/>
        <v>59.8248239321608</v>
      </c>
    </row>
    <row r="276" customFormat="1" spans="1:31">
      <c r="A276" s="19"/>
      <c r="B276" s="20"/>
      <c r="C276" s="21">
        <v>241009000002</v>
      </c>
      <c r="D276" s="22">
        <v>45580</v>
      </c>
      <c r="E276" s="22" t="s">
        <v>66</v>
      </c>
      <c r="F276" s="20" t="s">
        <v>67</v>
      </c>
      <c r="G276" s="20" t="s">
        <v>228</v>
      </c>
      <c r="H276" s="20">
        <v>4</v>
      </c>
      <c r="I276" s="39">
        <v>267</v>
      </c>
      <c r="J276" s="40"/>
      <c r="K276" s="41"/>
      <c r="L276" s="20"/>
      <c r="M276" s="41"/>
      <c r="N276" s="42"/>
      <c r="O276" s="43">
        <f t="shared" si="151"/>
        <v>267</v>
      </c>
      <c r="P276" s="45"/>
      <c r="Q276" s="45"/>
      <c r="R276" s="69">
        <f t="shared" si="144"/>
        <v>172.407035175879</v>
      </c>
      <c r="S276" s="69"/>
      <c r="T276" s="70">
        <f t="shared" si="145"/>
        <v>0.552537688442211</v>
      </c>
      <c r="U276" s="69"/>
      <c r="V276" s="69"/>
      <c r="W276" s="71">
        <f t="shared" si="142"/>
        <v>172.959572864322</v>
      </c>
      <c r="X276" s="72">
        <f t="shared" si="146"/>
        <v>2.71082914572864</v>
      </c>
      <c r="Y276" s="72"/>
      <c r="Z276" s="72"/>
      <c r="AA276" s="72">
        <f t="shared" si="141"/>
        <v>2.71082914572864</v>
      </c>
      <c r="AB276" s="81">
        <v>7.11</v>
      </c>
      <c r="AC276" s="69">
        <f t="shared" si="138"/>
        <v>19.2739952261307</v>
      </c>
      <c r="AD276" s="69">
        <f t="shared" si="139"/>
        <v>192.233568090452</v>
      </c>
      <c r="AE276" s="69">
        <f t="shared" si="143"/>
        <v>74.7664319095477</v>
      </c>
    </row>
    <row r="277" customFormat="1" spans="1:31">
      <c r="A277" s="19"/>
      <c r="B277" s="20"/>
      <c r="C277" s="21">
        <v>241009000003</v>
      </c>
      <c r="D277" s="22">
        <v>45580</v>
      </c>
      <c r="E277" s="22" t="s">
        <v>66</v>
      </c>
      <c r="F277" s="20" t="s">
        <v>67</v>
      </c>
      <c r="G277" s="20" t="s">
        <v>228</v>
      </c>
      <c r="H277" s="20">
        <v>10.5</v>
      </c>
      <c r="I277" s="39">
        <v>668</v>
      </c>
      <c r="J277" s="40"/>
      <c r="K277" s="41"/>
      <c r="L277" s="20"/>
      <c r="M277" s="41"/>
      <c r="N277" s="42"/>
      <c r="O277" s="43">
        <f t="shared" si="151"/>
        <v>668</v>
      </c>
      <c r="P277" s="45"/>
      <c r="Q277" s="45"/>
      <c r="R277" s="69">
        <f t="shared" si="144"/>
        <v>452.568467336683</v>
      </c>
      <c r="S277" s="69"/>
      <c r="T277" s="70">
        <f t="shared" si="145"/>
        <v>1.4504114321608</v>
      </c>
      <c r="U277" s="69"/>
      <c r="V277" s="69"/>
      <c r="W277" s="71">
        <f t="shared" si="142"/>
        <v>454.018878768844</v>
      </c>
      <c r="X277" s="72">
        <f t="shared" si="146"/>
        <v>7.11592650753769</v>
      </c>
      <c r="Y277" s="72"/>
      <c r="Z277" s="72"/>
      <c r="AA277" s="72">
        <f t="shared" si="141"/>
        <v>7.11592650753769</v>
      </c>
      <c r="AB277" s="81">
        <v>7.11</v>
      </c>
      <c r="AC277" s="69">
        <f t="shared" si="138"/>
        <v>50.594237468593</v>
      </c>
      <c r="AD277" s="69">
        <f t="shared" si="139"/>
        <v>504.613116237437</v>
      </c>
      <c r="AE277" s="69">
        <f t="shared" si="143"/>
        <v>163.386883762563</v>
      </c>
    </row>
    <row r="278" customFormat="1" spans="1:31">
      <c r="A278" s="19"/>
      <c r="B278" s="20"/>
      <c r="C278" s="21">
        <v>241009000004</v>
      </c>
      <c r="D278" s="22">
        <v>45580</v>
      </c>
      <c r="E278" s="22" t="s">
        <v>66</v>
      </c>
      <c r="F278" s="20" t="s">
        <v>67</v>
      </c>
      <c r="G278" s="20" t="s">
        <v>228</v>
      </c>
      <c r="H278" s="20">
        <v>6</v>
      </c>
      <c r="I278" s="39">
        <v>510</v>
      </c>
      <c r="J278" s="40"/>
      <c r="K278" s="41"/>
      <c r="L278" s="20"/>
      <c r="M278" s="41"/>
      <c r="N278" s="42"/>
      <c r="O278" s="43">
        <f t="shared" si="151"/>
        <v>510</v>
      </c>
      <c r="P278" s="45"/>
      <c r="Q278" s="45"/>
      <c r="R278" s="69">
        <f t="shared" si="144"/>
        <v>258.610552763819</v>
      </c>
      <c r="S278" s="69"/>
      <c r="T278" s="70">
        <f t="shared" si="145"/>
        <v>0.828806532663317</v>
      </c>
      <c r="U278" s="69"/>
      <c r="V278" s="69"/>
      <c r="W278" s="71">
        <f t="shared" si="142"/>
        <v>259.439359296482</v>
      </c>
      <c r="X278" s="72">
        <f t="shared" si="146"/>
        <v>4.06624371859296</v>
      </c>
      <c r="Y278" s="72"/>
      <c r="Z278" s="72"/>
      <c r="AA278" s="72">
        <f t="shared" si="141"/>
        <v>4.06624371859296</v>
      </c>
      <c r="AB278" s="81">
        <v>7.11</v>
      </c>
      <c r="AC278" s="69">
        <f t="shared" ref="AC278:AC310" si="152">SUM(AA278*AB278)</f>
        <v>28.910992839196</v>
      </c>
      <c r="AD278" s="69">
        <f t="shared" ref="AD278:AD309" si="153">SUM(W278+AC278)</f>
        <v>288.350352135678</v>
      </c>
      <c r="AE278" s="69">
        <f t="shared" si="143"/>
        <v>221.649647864322</v>
      </c>
    </row>
    <row r="279" customFormat="1" spans="1:31">
      <c r="A279" s="19"/>
      <c r="B279" s="20"/>
      <c r="C279" s="21">
        <v>241009000005</v>
      </c>
      <c r="D279" s="22">
        <v>45580</v>
      </c>
      <c r="E279" s="22" t="s">
        <v>66</v>
      </c>
      <c r="F279" s="20" t="s">
        <v>67</v>
      </c>
      <c r="G279" s="20" t="s">
        <v>269</v>
      </c>
      <c r="H279" s="20">
        <v>5</v>
      </c>
      <c r="I279" s="39">
        <v>275</v>
      </c>
      <c r="J279" s="40"/>
      <c r="K279" s="41"/>
      <c r="L279" s="20"/>
      <c r="M279" s="41"/>
      <c r="N279" s="42"/>
      <c r="O279" s="43">
        <f t="shared" si="151"/>
        <v>275</v>
      </c>
      <c r="P279" s="45"/>
      <c r="Q279" s="45"/>
      <c r="R279" s="69">
        <f t="shared" si="144"/>
        <v>215.508793969849</v>
      </c>
      <c r="S279" s="69"/>
      <c r="T279" s="70">
        <f t="shared" si="145"/>
        <v>0.690672110552764</v>
      </c>
      <c r="U279" s="69"/>
      <c r="V279" s="69"/>
      <c r="W279" s="71">
        <f t="shared" si="142"/>
        <v>216.199466080402</v>
      </c>
      <c r="X279" s="72">
        <f t="shared" si="146"/>
        <v>3.3885364321608</v>
      </c>
      <c r="Y279" s="72"/>
      <c r="Z279" s="72"/>
      <c r="AA279" s="72">
        <f t="shared" ref="AA279:AA310" si="154">SUM(X279:Z279)</f>
        <v>3.3885364321608</v>
      </c>
      <c r="AB279" s="81">
        <v>7.11</v>
      </c>
      <c r="AC279" s="69">
        <f t="shared" si="152"/>
        <v>24.0924940326633</v>
      </c>
      <c r="AD279" s="69">
        <f t="shared" si="153"/>
        <v>240.291960113065</v>
      </c>
      <c r="AE279" s="69">
        <f t="shared" si="143"/>
        <v>34.7080398869347</v>
      </c>
    </row>
    <row r="280" customFormat="1" spans="1:31">
      <c r="A280" s="19"/>
      <c r="B280" s="20"/>
      <c r="C280" s="21">
        <v>241009000006</v>
      </c>
      <c r="D280" s="22">
        <v>45580</v>
      </c>
      <c r="E280" s="22" t="s">
        <v>66</v>
      </c>
      <c r="F280" s="20" t="s">
        <v>67</v>
      </c>
      <c r="G280" s="20" t="s">
        <v>269</v>
      </c>
      <c r="H280" s="20">
        <v>146</v>
      </c>
      <c r="I280" s="39">
        <v>8493.699</v>
      </c>
      <c r="J280" s="40"/>
      <c r="K280" s="41"/>
      <c r="L280" s="20"/>
      <c r="M280" s="41"/>
      <c r="N280" s="42"/>
      <c r="O280" s="43">
        <f t="shared" si="151"/>
        <v>8493.699</v>
      </c>
      <c r="P280" s="45"/>
      <c r="Q280" s="45"/>
      <c r="R280" s="69">
        <f t="shared" si="144"/>
        <v>6292.8567839196</v>
      </c>
      <c r="S280" s="69"/>
      <c r="T280" s="70">
        <f t="shared" si="145"/>
        <v>20.1676256281407</v>
      </c>
      <c r="U280" s="69"/>
      <c r="V280" s="70">
        <f>SUM(400+91.2)</f>
        <v>491.2</v>
      </c>
      <c r="W280" s="71">
        <f t="shared" ref="W280:W311" si="155">SUM(R280:V280)</f>
        <v>6804.22440954774</v>
      </c>
      <c r="X280" s="72">
        <f t="shared" si="146"/>
        <v>98.9452638190955</v>
      </c>
      <c r="Y280" s="72"/>
      <c r="Z280" s="72"/>
      <c r="AA280" s="72">
        <f t="shared" si="154"/>
        <v>98.9452638190955</v>
      </c>
      <c r="AB280" s="81">
        <v>7.11</v>
      </c>
      <c r="AC280" s="69">
        <f t="shared" si="152"/>
        <v>703.500825753769</v>
      </c>
      <c r="AD280" s="69">
        <f t="shared" si="153"/>
        <v>7507.72523530151</v>
      </c>
      <c r="AE280" s="69">
        <f t="shared" ref="AE280:AE311" si="156">SUM(O280-AD280)</f>
        <v>985.973764698492</v>
      </c>
    </row>
    <row r="281" customFormat="1" spans="1:31">
      <c r="A281" s="19"/>
      <c r="B281" s="20"/>
      <c r="C281" s="21">
        <v>241009000010</v>
      </c>
      <c r="D281" s="22">
        <v>45580</v>
      </c>
      <c r="E281" s="22" t="s">
        <v>37</v>
      </c>
      <c r="F281" s="20" t="s">
        <v>38</v>
      </c>
      <c r="G281" s="20" t="s">
        <v>270</v>
      </c>
      <c r="H281" s="20">
        <v>0.38</v>
      </c>
      <c r="I281" s="50"/>
      <c r="J281" s="46">
        <v>15340.5</v>
      </c>
      <c r="K281" s="41"/>
      <c r="L281" s="47">
        <f t="shared" ref="L281:L285" si="157">SUM(J281/M281)</f>
        <v>1731.43340857788</v>
      </c>
      <c r="M281" s="48">
        <v>8.86</v>
      </c>
      <c r="N281" s="42">
        <v>7.11</v>
      </c>
      <c r="O281" s="43">
        <f t="shared" ref="O281:O283" si="158">SUM(M281*N281)</f>
        <v>62.9946</v>
      </c>
      <c r="P281" s="45"/>
      <c r="Q281" s="45"/>
      <c r="R281" s="69">
        <f t="shared" si="144"/>
        <v>16.3786683417085</v>
      </c>
      <c r="S281" s="69"/>
      <c r="T281" s="70">
        <f t="shared" si="145"/>
        <v>0.0524910804020101</v>
      </c>
      <c r="U281" s="69"/>
      <c r="V281" s="69"/>
      <c r="W281" s="71">
        <f t="shared" si="155"/>
        <v>16.4311594221106</v>
      </c>
      <c r="X281" s="72">
        <f t="shared" si="146"/>
        <v>0.257528768844221</v>
      </c>
      <c r="Y281" s="72"/>
      <c r="Z281" s="72"/>
      <c r="AA281" s="72">
        <f t="shared" si="154"/>
        <v>0.257528768844221</v>
      </c>
      <c r="AB281" s="81">
        <v>7.11</v>
      </c>
      <c r="AC281" s="69">
        <f t="shared" si="152"/>
        <v>1.83102954648241</v>
      </c>
      <c r="AD281" s="69">
        <f t="shared" si="153"/>
        <v>18.262188968593</v>
      </c>
      <c r="AE281" s="69">
        <f t="shared" si="156"/>
        <v>44.732411031407</v>
      </c>
    </row>
    <row r="282" customFormat="1" spans="1:31">
      <c r="A282" s="19"/>
      <c r="B282" s="20"/>
      <c r="C282" s="21">
        <v>241009000022</v>
      </c>
      <c r="D282" s="22">
        <v>45580</v>
      </c>
      <c r="E282" s="22" t="s">
        <v>47</v>
      </c>
      <c r="F282" s="20" t="s">
        <v>47</v>
      </c>
      <c r="G282" s="20" t="s">
        <v>140</v>
      </c>
      <c r="H282" s="20">
        <v>11</v>
      </c>
      <c r="I282" s="43"/>
      <c r="J282" s="40"/>
      <c r="K282" s="41"/>
      <c r="L282" s="20"/>
      <c r="M282" s="41">
        <v>81.72</v>
      </c>
      <c r="N282" s="42">
        <v>7.11</v>
      </c>
      <c r="O282" s="43">
        <f t="shared" si="158"/>
        <v>581.0292</v>
      </c>
      <c r="P282" s="45"/>
      <c r="Q282" s="45"/>
      <c r="R282" s="69">
        <f t="shared" si="144"/>
        <v>474.119346733668</v>
      </c>
      <c r="S282" s="69"/>
      <c r="T282" s="70">
        <f t="shared" si="145"/>
        <v>1.51947864321608</v>
      </c>
      <c r="U282" s="69"/>
      <c r="V282" s="69"/>
      <c r="W282" s="71">
        <f t="shared" si="155"/>
        <v>475.638825376884</v>
      </c>
      <c r="X282" s="72">
        <f t="shared" si="146"/>
        <v>7.45478015075377</v>
      </c>
      <c r="Y282" s="72"/>
      <c r="Z282" s="72"/>
      <c r="AA282" s="72">
        <f t="shared" si="154"/>
        <v>7.45478015075377</v>
      </c>
      <c r="AB282" s="81">
        <v>7.11</v>
      </c>
      <c r="AC282" s="69">
        <f t="shared" si="152"/>
        <v>53.0034868718593</v>
      </c>
      <c r="AD282" s="69">
        <f t="shared" si="153"/>
        <v>528.642312248744</v>
      </c>
      <c r="AE282" s="69">
        <f t="shared" si="156"/>
        <v>52.3868877512563</v>
      </c>
    </row>
    <row r="283" customFormat="1" spans="1:31">
      <c r="A283" s="19"/>
      <c r="B283" s="20"/>
      <c r="C283" s="21">
        <v>241009000026</v>
      </c>
      <c r="D283" s="22">
        <v>45580</v>
      </c>
      <c r="E283" s="22" t="s">
        <v>66</v>
      </c>
      <c r="F283" s="20" t="s">
        <v>67</v>
      </c>
      <c r="G283" s="20" t="s">
        <v>269</v>
      </c>
      <c r="H283" s="20">
        <v>20</v>
      </c>
      <c r="I283" s="50"/>
      <c r="J283" s="46">
        <v>270600</v>
      </c>
      <c r="K283" s="41"/>
      <c r="L283" s="47">
        <f t="shared" si="157"/>
        <v>1749.07892185379</v>
      </c>
      <c r="M283" s="48">
        <v>154.71</v>
      </c>
      <c r="N283" s="42">
        <v>7.11</v>
      </c>
      <c r="O283" s="43">
        <f t="shared" si="158"/>
        <v>1099.9881</v>
      </c>
      <c r="P283" s="45"/>
      <c r="Q283" s="45"/>
      <c r="R283" s="69">
        <f t="shared" ref="R283:R312" si="159">SUM(68618/1592)*H283</f>
        <v>862.035175879397</v>
      </c>
      <c r="S283" s="69"/>
      <c r="T283" s="70">
        <f t="shared" ref="T283:T312" si="160">SUM(219.91/1592)*H283</f>
        <v>2.76268844221105</v>
      </c>
      <c r="U283" s="69"/>
      <c r="V283" s="69"/>
      <c r="W283" s="71">
        <f t="shared" si="155"/>
        <v>864.797864321608</v>
      </c>
      <c r="X283" s="72">
        <f t="shared" ref="X283:X312" si="161">SUM(1078.91/1592)*H283</f>
        <v>13.5541457286432</v>
      </c>
      <c r="Y283" s="72"/>
      <c r="Z283" s="72"/>
      <c r="AA283" s="72">
        <f t="shared" si="154"/>
        <v>13.5541457286432</v>
      </c>
      <c r="AB283" s="81">
        <v>7.11</v>
      </c>
      <c r="AC283" s="69">
        <f t="shared" si="152"/>
        <v>96.3699761306533</v>
      </c>
      <c r="AD283" s="69">
        <f t="shared" si="153"/>
        <v>961.167840452261</v>
      </c>
      <c r="AE283" s="69">
        <f t="shared" si="156"/>
        <v>138.820259547739</v>
      </c>
    </row>
    <row r="284" customFormat="1" spans="1:31">
      <c r="A284" s="19"/>
      <c r="B284" s="20"/>
      <c r="C284" s="21">
        <v>241009000029</v>
      </c>
      <c r="D284" s="22">
        <v>45580</v>
      </c>
      <c r="E284" s="22" t="s">
        <v>55</v>
      </c>
      <c r="F284" s="20" t="s">
        <v>56</v>
      </c>
      <c r="G284" s="20" t="s">
        <v>112</v>
      </c>
      <c r="H284" s="20">
        <v>4</v>
      </c>
      <c r="I284" s="39">
        <v>243</v>
      </c>
      <c r="J284" s="40"/>
      <c r="K284" s="41"/>
      <c r="L284" s="20"/>
      <c r="M284" s="41"/>
      <c r="N284" s="42"/>
      <c r="O284" s="43">
        <f t="shared" ref="O284:O290" si="162">SUM(I284)</f>
        <v>243</v>
      </c>
      <c r="P284" s="45"/>
      <c r="Q284" s="45"/>
      <c r="R284" s="69">
        <f t="shared" si="159"/>
        <v>172.407035175879</v>
      </c>
      <c r="S284" s="69"/>
      <c r="T284" s="70">
        <f t="shared" si="160"/>
        <v>0.552537688442211</v>
      </c>
      <c r="U284" s="69"/>
      <c r="V284" s="69"/>
      <c r="W284" s="71">
        <f t="shared" si="155"/>
        <v>172.959572864322</v>
      </c>
      <c r="X284" s="72">
        <f t="shared" si="161"/>
        <v>2.71082914572864</v>
      </c>
      <c r="Y284" s="72"/>
      <c r="Z284" s="72"/>
      <c r="AA284" s="72">
        <f t="shared" si="154"/>
        <v>2.71082914572864</v>
      </c>
      <c r="AB284" s="81">
        <v>7.11</v>
      </c>
      <c r="AC284" s="69">
        <f t="shared" si="152"/>
        <v>19.2739952261307</v>
      </c>
      <c r="AD284" s="69">
        <f t="shared" si="153"/>
        <v>192.233568090452</v>
      </c>
      <c r="AE284" s="69">
        <f t="shared" si="156"/>
        <v>50.7664319095477</v>
      </c>
    </row>
    <row r="285" customFormat="1" spans="1:31">
      <c r="A285" s="19"/>
      <c r="B285" s="20"/>
      <c r="C285" s="21">
        <v>241009000036</v>
      </c>
      <c r="D285" s="22">
        <v>45580</v>
      </c>
      <c r="E285" s="22" t="s">
        <v>88</v>
      </c>
      <c r="F285" s="20" t="s">
        <v>118</v>
      </c>
      <c r="G285" s="20" t="s">
        <v>119</v>
      </c>
      <c r="H285" s="20">
        <v>6.5</v>
      </c>
      <c r="I285" s="43"/>
      <c r="J285" s="46">
        <v>106013.56</v>
      </c>
      <c r="K285" s="41"/>
      <c r="L285" s="47">
        <f t="shared" si="157"/>
        <v>1711</v>
      </c>
      <c r="M285" s="48">
        <v>61.96</v>
      </c>
      <c r="N285" s="42">
        <v>7.11</v>
      </c>
      <c r="O285" s="43">
        <f>SUM(M285*N285)</f>
        <v>440.5356</v>
      </c>
      <c r="P285" s="45"/>
      <c r="Q285" s="45"/>
      <c r="R285" s="69">
        <f t="shared" si="159"/>
        <v>280.161432160804</v>
      </c>
      <c r="S285" s="69"/>
      <c r="T285" s="70">
        <f t="shared" si="160"/>
        <v>0.897873743718593</v>
      </c>
      <c r="U285" s="69"/>
      <c r="V285" s="70">
        <v>57</v>
      </c>
      <c r="W285" s="71">
        <f t="shared" si="155"/>
        <v>338.059305904523</v>
      </c>
      <c r="X285" s="72">
        <f t="shared" si="161"/>
        <v>4.40509736180905</v>
      </c>
      <c r="Y285" s="72"/>
      <c r="Z285" s="72"/>
      <c r="AA285" s="72">
        <f t="shared" si="154"/>
        <v>4.40509736180905</v>
      </c>
      <c r="AB285" s="81">
        <v>7.11</v>
      </c>
      <c r="AC285" s="69">
        <f t="shared" si="152"/>
        <v>31.3202422424623</v>
      </c>
      <c r="AD285" s="69">
        <f t="shared" si="153"/>
        <v>369.379548146985</v>
      </c>
      <c r="AE285" s="69">
        <f t="shared" si="156"/>
        <v>71.1560518530151</v>
      </c>
    </row>
    <row r="286" customFormat="1" spans="1:31">
      <c r="A286" s="19"/>
      <c r="B286" s="20"/>
      <c r="C286" s="21">
        <v>241009000037</v>
      </c>
      <c r="D286" s="22">
        <v>45580</v>
      </c>
      <c r="E286" s="22" t="s">
        <v>76</v>
      </c>
      <c r="F286" s="20" t="s">
        <v>77</v>
      </c>
      <c r="G286" s="20" t="s">
        <v>271</v>
      </c>
      <c r="H286" s="20">
        <v>5</v>
      </c>
      <c r="I286" s="39">
        <v>303</v>
      </c>
      <c r="J286" s="40"/>
      <c r="K286" s="41"/>
      <c r="L286" s="20"/>
      <c r="M286" s="41"/>
      <c r="N286" s="42"/>
      <c r="O286" s="43">
        <f t="shared" si="162"/>
        <v>303</v>
      </c>
      <c r="P286" s="45"/>
      <c r="Q286" s="45"/>
      <c r="R286" s="69">
        <f t="shared" si="159"/>
        <v>215.508793969849</v>
      </c>
      <c r="S286" s="69"/>
      <c r="T286" s="70">
        <f t="shared" si="160"/>
        <v>0.690672110552764</v>
      </c>
      <c r="U286" s="69"/>
      <c r="V286" s="69"/>
      <c r="W286" s="71">
        <f t="shared" si="155"/>
        <v>216.199466080402</v>
      </c>
      <c r="X286" s="72">
        <f t="shared" si="161"/>
        <v>3.3885364321608</v>
      </c>
      <c r="Y286" s="72"/>
      <c r="Z286" s="72"/>
      <c r="AA286" s="72">
        <f t="shared" si="154"/>
        <v>3.3885364321608</v>
      </c>
      <c r="AB286" s="81">
        <v>7.11</v>
      </c>
      <c r="AC286" s="69">
        <f t="shared" si="152"/>
        <v>24.0924940326633</v>
      </c>
      <c r="AD286" s="69">
        <f t="shared" si="153"/>
        <v>240.291960113065</v>
      </c>
      <c r="AE286" s="69">
        <f t="shared" si="156"/>
        <v>62.7080398869347</v>
      </c>
    </row>
    <row r="287" customFormat="1" spans="1:31">
      <c r="A287" s="19"/>
      <c r="B287" s="20"/>
      <c r="C287" s="21">
        <v>241009000041</v>
      </c>
      <c r="D287" s="22">
        <v>45580</v>
      </c>
      <c r="E287" s="22" t="s">
        <v>37</v>
      </c>
      <c r="F287" s="20" t="s">
        <v>38</v>
      </c>
      <c r="G287" s="20" t="s">
        <v>272</v>
      </c>
      <c r="H287" s="20">
        <v>2</v>
      </c>
      <c r="I287" s="39">
        <v>156.3</v>
      </c>
      <c r="J287" s="40"/>
      <c r="K287" s="41"/>
      <c r="L287" s="20"/>
      <c r="M287" s="41"/>
      <c r="N287" s="42"/>
      <c r="O287" s="43">
        <f t="shared" si="162"/>
        <v>156.3</v>
      </c>
      <c r="P287" s="45"/>
      <c r="Q287" s="45"/>
      <c r="R287" s="69">
        <f t="shared" si="159"/>
        <v>86.2035175879397</v>
      </c>
      <c r="S287" s="69"/>
      <c r="T287" s="70">
        <f t="shared" si="160"/>
        <v>0.276268844221106</v>
      </c>
      <c r="U287" s="69"/>
      <c r="V287" s="69"/>
      <c r="W287" s="71">
        <f t="shared" si="155"/>
        <v>86.4797864321608</v>
      </c>
      <c r="X287" s="72">
        <f t="shared" si="161"/>
        <v>1.35541457286432</v>
      </c>
      <c r="Y287" s="72"/>
      <c r="Z287" s="72"/>
      <c r="AA287" s="72">
        <f t="shared" si="154"/>
        <v>1.35541457286432</v>
      </c>
      <c r="AB287" s="81">
        <v>7.11</v>
      </c>
      <c r="AC287" s="69">
        <f t="shared" si="152"/>
        <v>9.63699761306533</v>
      </c>
      <c r="AD287" s="69">
        <f t="shared" si="153"/>
        <v>96.1167840452261</v>
      </c>
      <c r="AE287" s="69">
        <f t="shared" si="156"/>
        <v>60.1832159547739</v>
      </c>
    </row>
    <row r="288" customFormat="1" spans="1:31">
      <c r="A288" s="19"/>
      <c r="B288" s="20"/>
      <c r="C288" s="21">
        <v>241009000048</v>
      </c>
      <c r="D288" s="22">
        <v>45580</v>
      </c>
      <c r="E288" s="22" t="s">
        <v>55</v>
      </c>
      <c r="F288" s="20" t="s">
        <v>56</v>
      </c>
      <c r="G288" s="20" t="s">
        <v>112</v>
      </c>
      <c r="H288" s="20">
        <v>11</v>
      </c>
      <c r="I288" s="39">
        <v>633</v>
      </c>
      <c r="J288" s="40"/>
      <c r="K288" s="41"/>
      <c r="L288" s="20"/>
      <c r="M288" s="41"/>
      <c r="N288" s="42"/>
      <c r="O288" s="43">
        <f t="shared" si="162"/>
        <v>633</v>
      </c>
      <c r="P288" s="45"/>
      <c r="Q288" s="45"/>
      <c r="R288" s="69">
        <f t="shared" si="159"/>
        <v>474.119346733668</v>
      </c>
      <c r="S288" s="69"/>
      <c r="T288" s="70">
        <f t="shared" si="160"/>
        <v>1.51947864321608</v>
      </c>
      <c r="U288" s="69"/>
      <c r="V288" s="69"/>
      <c r="W288" s="71">
        <f t="shared" si="155"/>
        <v>475.638825376884</v>
      </c>
      <c r="X288" s="72">
        <f t="shared" si="161"/>
        <v>7.45478015075377</v>
      </c>
      <c r="Y288" s="72"/>
      <c r="Z288" s="72"/>
      <c r="AA288" s="72">
        <f t="shared" si="154"/>
        <v>7.45478015075377</v>
      </c>
      <c r="AB288" s="81">
        <v>7.11</v>
      </c>
      <c r="AC288" s="69">
        <f t="shared" si="152"/>
        <v>53.0034868718593</v>
      </c>
      <c r="AD288" s="69">
        <f t="shared" si="153"/>
        <v>528.642312248744</v>
      </c>
      <c r="AE288" s="69">
        <f t="shared" si="156"/>
        <v>104.357687751256</v>
      </c>
    </row>
    <row r="289" customFormat="1" spans="1:31">
      <c r="A289" s="19"/>
      <c r="B289" s="20"/>
      <c r="C289" s="21">
        <v>241009000049</v>
      </c>
      <c r="D289" s="22">
        <v>45580</v>
      </c>
      <c r="E289" s="22" t="s">
        <v>55</v>
      </c>
      <c r="F289" s="20" t="s">
        <v>56</v>
      </c>
      <c r="G289" s="20" t="s">
        <v>273</v>
      </c>
      <c r="H289" s="20">
        <v>0.71</v>
      </c>
      <c r="I289" s="39">
        <v>63</v>
      </c>
      <c r="J289" s="40"/>
      <c r="K289" s="41"/>
      <c r="L289" s="20"/>
      <c r="M289" s="41"/>
      <c r="N289" s="42"/>
      <c r="O289" s="43">
        <f t="shared" si="162"/>
        <v>63</v>
      </c>
      <c r="P289" s="45"/>
      <c r="Q289" s="45"/>
      <c r="R289" s="69">
        <f t="shared" si="159"/>
        <v>30.6022487437186</v>
      </c>
      <c r="S289" s="69"/>
      <c r="T289" s="70">
        <f t="shared" si="160"/>
        <v>0.0980754396984925</v>
      </c>
      <c r="U289" s="69"/>
      <c r="V289" s="69"/>
      <c r="W289" s="71">
        <f t="shared" si="155"/>
        <v>30.7003241834171</v>
      </c>
      <c r="X289" s="72">
        <f t="shared" si="161"/>
        <v>0.481172173366834</v>
      </c>
      <c r="Y289" s="72"/>
      <c r="Z289" s="72"/>
      <c r="AA289" s="72">
        <f t="shared" si="154"/>
        <v>0.481172173366834</v>
      </c>
      <c r="AB289" s="81">
        <v>7.11</v>
      </c>
      <c r="AC289" s="69">
        <f t="shared" si="152"/>
        <v>3.42113415263819</v>
      </c>
      <c r="AD289" s="69">
        <f t="shared" si="153"/>
        <v>34.1214583360553</v>
      </c>
      <c r="AE289" s="69">
        <f t="shared" si="156"/>
        <v>28.8785416639447</v>
      </c>
    </row>
    <row r="290" customFormat="1" spans="1:31">
      <c r="A290" s="19"/>
      <c r="B290" s="20"/>
      <c r="C290" s="21">
        <v>241009000050</v>
      </c>
      <c r="D290" s="22">
        <v>45580</v>
      </c>
      <c r="E290" s="22" t="s">
        <v>55</v>
      </c>
      <c r="F290" s="20" t="s">
        <v>56</v>
      </c>
      <c r="G290" s="20" t="s">
        <v>274</v>
      </c>
      <c r="H290" s="20">
        <v>3</v>
      </c>
      <c r="I290" s="39">
        <v>200</v>
      </c>
      <c r="J290" s="40"/>
      <c r="K290" s="41"/>
      <c r="L290" s="20"/>
      <c r="M290" s="41"/>
      <c r="N290" s="42"/>
      <c r="O290" s="43">
        <f t="shared" si="162"/>
        <v>200</v>
      </c>
      <c r="P290" s="45"/>
      <c r="Q290" s="45"/>
      <c r="R290" s="69">
        <f t="shared" si="159"/>
        <v>129.30527638191</v>
      </c>
      <c r="S290" s="69"/>
      <c r="T290" s="70">
        <f t="shared" si="160"/>
        <v>0.414403266331658</v>
      </c>
      <c r="U290" s="69"/>
      <c r="V290" s="69"/>
      <c r="W290" s="71">
        <f t="shared" si="155"/>
        <v>129.719679648241</v>
      </c>
      <c r="X290" s="72">
        <f t="shared" si="161"/>
        <v>2.03312185929648</v>
      </c>
      <c r="Y290" s="72"/>
      <c r="Z290" s="72"/>
      <c r="AA290" s="72">
        <f t="shared" si="154"/>
        <v>2.03312185929648</v>
      </c>
      <c r="AB290" s="81">
        <v>7.11</v>
      </c>
      <c r="AC290" s="69">
        <f t="shared" si="152"/>
        <v>14.455496419598</v>
      </c>
      <c r="AD290" s="69">
        <f t="shared" si="153"/>
        <v>144.175176067839</v>
      </c>
      <c r="AE290" s="69">
        <f t="shared" si="156"/>
        <v>55.8248239321608</v>
      </c>
    </row>
    <row r="291" customFormat="1" spans="1:31">
      <c r="A291" s="19"/>
      <c r="B291" s="20"/>
      <c r="C291" s="21">
        <v>241009000051</v>
      </c>
      <c r="D291" s="22">
        <v>45580</v>
      </c>
      <c r="E291" s="22" t="s">
        <v>88</v>
      </c>
      <c r="F291" s="20" t="s">
        <v>275</v>
      </c>
      <c r="G291" s="20" t="s">
        <v>276</v>
      </c>
      <c r="H291" s="20">
        <v>2</v>
      </c>
      <c r="I291" s="43"/>
      <c r="J291" s="40"/>
      <c r="K291" s="41"/>
      <c r="L291" s="20"/>
      <c r="M291" s="41">
        <v>19.29</v>
      </c>
      <c r="N291" s="42">
        <v>7.11</v>
      </c>
      <c r="O291" s="43">
        <f>SUM(M291*N291)</f>
        <v>137.1519</v>
      </c>
      <c r="P291" s="45"/>
      <c r="Q291" s="45"/>
      <c r="R291" s="69">
        <f t="shared" si="159"/>
        <v>86.2035175879397</v>
      </c>
      <c r="S291" s="69"/>
      <c r="T291" s="70">
        <f t="shared" si="160"/>
        <v>0.276268844221106</v>
      </c>
      <c r="U291" s="69"/>
      <c r="V291" s="69"/>
      <c r="W291" s="71">
        <f t="shared" si="155"/>
        <v>86.4797864321608</v>
      </c>
      <c r="X291" s="72">
        <f t="shared" si="161"/>
        <v>1.35541457286432</v>
      </c>
      <c r="Y291" s="72"/>
      <c r="Z291" s="72"/>
      <c r="AA291" s="72">
        <f t="shared" si="154"/>
        <v>1.35541457286432</v>
      </c>
      <c r="AB291" s="81">
        <v>7.11</v>
      </c>
      <c r="AC291" s="69">
        <f t="shared" si="152"/>
        <v>9.63699761306533</v>
      </c>
      <c r="AD291" s="69">
        <f t="shared" si="153"/>
        <v>96.1167840452261</v>
      </c>
      <c r="AE291" s="69">
        <f t="shared" si="156"/>
        <v>41.0351159547739</v>
      </c>
    </row>
    <row r="292" customFormat="1" spans="1:31">
      <c r="A292" s="19"/>
      <c r="B292" s="20"/>
      <c r="C292" s="21">
        <v>241009000054</v>
      </c>
      <c r="D292" s="22">
        <v>45580</v>
      </c>
      <c r="E292" s="22" t="s">
        <v>41</v>
      </c>
      <c r="F292" s="20" t="s">
        <v>42</v>
      </c>
      <c r="G292" s="20" t="s">
        <v>277</v>
      </c>
      <c r="H292" s="20">
        <v>4</v>
      </c>
      <c r="I292" s="39">
        <v>240</v>
      </c>
      <c r="J292" s="40"/>
      <c r="K292" s="41"/>
      <c r="L292" s="20"/>
      <c r="M292" s="41"/>
      <c r="N292" s="42"/>
      <c r="O292" s="43">
        <f t="shared" ref="O292:O298" si="163">SUM(I292)</f>
        <v>240</v>
      </c>
      <c r="P292" s="45"/>
      <c r="Q292" s="45"/>
      <c r="R292" s="69">
        <f t="shared" si="159"/>
        <v>172.407035175879</v>
      </c>
      <c r="S292" s="69"/>
      <c r="T292" s="70">
        <f t="shared" si="160"/>
        <v>0.552537688442211</v>
      </c>
      <c r="U292" s="69"/>
      <c r="V292" s="69"/>
      <c r="W292" s="71">
        <f t="shared" si="155"/>
        <v>172.959572864322</v>
      </c>
      <c r="X292" s="72">
        <f t="shared" si="161"/>
        <v>2.71082914572864</v>
      </c>
      <c r="Y292" s="72"/>
      <c r="Z292" s="72"/>
      <c r="AA292" s="72">
        <f t="shared" si="154"/>
        <v>2.71082914572864</v>
      </c>
      <c r="AB292" s="81">
        <v>7.11</v>
      </c>
      <c r="AC292" s="69">
        <f t="shared" si="152"/>
        <v>19.2739952261307</v>
      </c>
      <c r="AD292" s="69">
        <f t="shared" si="153"/>
        <v>192.233568090452</v>
      </c>
      <c r="AE292" s="69">
        <f t="shared" si="156"/>
        <v>47.7664319095477</v>
      </c>
    </row>
    <row r="293" customFormat="1" spans="1:31">
      <c r="A293" s="19"/>
      <c r="B293" s="20"/>
      <c r="C293" s="82">
        <v>241009000055</v>
      </c>
      <c r="D293" s="83">
        <v>45580</v>
      </c>
      <c r="E293" s="22" t="s">
        <v>41</v>
      </c>
      <c r="F293" s="84" t="s">
        <v>42</v>
      </c>
      <c r="G293" s="84" t="s">
        <v>278</v>
      </c>
      <c r="H293" s="84">
        <v>4.5</v>
      </c>
      <c r="I293" s="88">
        <v>308</v>
      </c>
      <c r="J293" s="97"/>
      <c r="K293" s="85"/>
      <c r="L293" s="84"/>
      <c r="M293" s="85"/>
      <c r="N293" s="42"/>
      <c r="O293" s="43">
        <f>SUBTOTAL(9,I293)</f>
        <v>308</v>
      </c>
      <c r="P293" s="45"/>
      <c r="Q293" s="45"/>
      <c r="R293" s="69">
        <f t="shared" si="159"/>
        <v>193.957914572864</v>
      </c>
      <c r="S293" s="69"/>
      <c r="T293" s="70">
        <f t="shared" si="160"/>
        <v>0.621604899497487</v>
      </c>
      <c r="U293" s="69"/>
      <c r="V293" s="69"/>
      <c r="W293" s="71">
        <f t="shared" si="155"/>
        <v>194.579519472362</v>
      </c>
      <c r="X293" s="72">
        <f t="shared" si="161"/>
        <v>3.04968278894472</v>
      </c>
      <c r="Y293" s="72"/>
      <c r="Z293" s="72"/>
      <c r="AA293" s="72">
        <f t="shared" si="154"/>
        <v>3.04968278894472</v>
      </c>
      <c r="AB293" s="81">
        <v>7.11</v>
      </c>
      <c r="AC293" s="69">
        <f t="shared" si="152"/>
        <v>21.683244629397</v>
      </c>
      <c r="AD293" s="69">
        <f t="shared" si="153"/>
        <v>216.262764101759</v>
      </c>
      <c r="AE293" s="69">
        <f t="shared" si="156"/>
        <v>91.737235898241</v>
      </c>
    </row>
    <row r="294" customFormat="1" spans="1:31">
      <c r="A294" s="19"/>
      <c r="B294" s="20"/>
      <c r="C294" s="21">
        <v>241009000056</v>
      </c>
      <c r="D294" s="22">
        <v>45580</v>
      </c>
      <c r="E294" s="22" t="s">
        <v>44</v>
      </c>
      <c r="F294" s="20" t="s">
        <v>45</v>
      </c>
      <c r="G294" s="20" t="s">
        <v>279</v>
      </c>
      <c r="H294" s="20">
        <v>13.5</v>
      </c>
      <c r="I294" s="39">
        <v>775.5</v>
      </c>
      <c r="J294" s="40"/>
      <c r="K294" s="41"/>
      <c r="L294" s="20"/>
      <c r="M294" s="41"/>
      <c r="N294" s="42"/>
      <c r="O294" s="43">
        <f t="shared" si="163"/>
        <v>775.5</v>
      </c>
      <c r="P294" s="45"/>
      <c r="Q294" s="45"/>
      <c r="R294" s="69">
        <f t="shared" si="159"/>
        <v>581.873743718593</v>
      </c>
      <c r="S294" s="69"/>
      <c r="T294" s="70">
        <f t="shared" si="160"/>
        <v>1.86481469849246</v>
      </c>
      <c r="U294" s="69"/>
      <c r="V294" s="69"/>
      <c r="W294" s="71">
        <f t="shared" si="155"/>
        <v>583.738558417085</v>
      </c>
      <c r="X294" s="72">
        <f t="shared" si="161"/>
        <v>9.14904836683417</v>
      </c>
      <c r="Y294" s="72"/>
      <c r="Z294" s="72"/>
      <c r="AA294" s="72">
        <f t="shared" si="154"/>
        <v>9.14904836683417</v>
      </c>
      <c r="AB294" s="81">
        <v>7.11</v>
      </c>
      <c r="AC294" s="69">
        <f t="shared" si="152"/>
        <v>65.049733888191</v>
      </c>
      <c r="AD294" s="69">
        <f t="shared" si="153"/>
        <v>648.788292305276</v>
      </c>
      <c r="AE294" s="69">
        <f t="shared" si="156"/>
        <v>126.711707694724</v>
      </c>
    </row>
    <row r="295" customFormat="1" spans="1:31">
      <c r="A295" s="19"/>
      <c r="B295" s="20"/>
      <c r="C295" s="21">
        <v>241010000007</v>
      </c>
      <c r="D295" s="22">
        <v>45580</v>
      </c>
      <c r="E295" s="22" t="s">
        <v>47</v>
      </c>
      <c r="F295" s="20" t="s">
        <v>47</v>
      </c>
      <c r="G295" s="20" t="s">
        <v>280</v>
      </c>
      <c r="H295" s="20">
        <v>0.38</v>
      </c>
      <c r="I295" s="39">
        <v>77</v>
      </c>
      <c r="J295" s="40"/>
      <c r="K295" s="41"/>
      <c r="L295" s="20"/>
      <c r="M295" s="41"/>
      <c r="N295" s="42"/>
      <c r="O295" s="43">
        <f t="shared" si="163"/>
        <v>77</v>
      </c>
      <c r="P295" s="45"/>
      <c r="Q295" s="45"/>
      <c r="R295" s="69">
        <f t="shared" si="159"/>
        <v>16.3786683417085</v>
      </c>
      <c r="S295" s="69"/>
      <c r="T295" s="70">
        <f t="shared" si="160"/>
        <v>0.0524910804020101</v>
      </c>
      <c r="U295" s="69"/>
      <c r="V295" s="70">
        <v>14</v>
      </c>
      <c r="W295" s="71">
        <f t="shared" si="155"/>
        <v>30.4311594221106</v>
      </c>
      <c r="X295" s="72">
        <f t="shared" si="161"/>
        <v>0.257528768844221</v>
      </c>
      <c r="Y295" s="72"/>
      <c r="Z295" s="72"/>
      <c r="AA295" s="72">
        <f t="shared" si="154"/>
        <v>0.257528768844221</v>
      </c>
      <c r="AB295" s="81">
        <v>7.11</v>
      </c>
      <c r="AC295" s="69">
        <f t="shared" si="152"/>
        <v>1.83102954648241</v>
      </c>
      <c r="AD295" s="69">
        <f t="shared" si="153"/>
        <v>32.262188968593</v>
      </c>
      <c r="AE295" s="69">
        <f t="shared" si="156"/>
        <v>44.737811031407</v>
      </c>
    </row>
    <row r="296" customFormat="1" spans="1:31">
      <c r="A296" s="19"/>
      <c r="B296" s="20"/>
      <c r="C296" s="21">
        <v>241010000009</v>
      </c>
      <c r="D296" s="22">
        <v>45580</v>
      </c>
      <c r="E296" s="22" t="s">
        <v>47</v>
      </c>
      <c r="F296" s="20" t="s">
        <v>47</v>
      </c>
      <c r="G296" s="20" t="s">
        <v>49</v>
      </c>
      <c r="H296" s="20">
        <v>4</v>
      </c>
      <c r="I296" s="39">
        <v>243</v>
      </c>
      <c r="J296" s="40"/>
      <c r="K296" s="41"/>
      <c r="L296" s="20"/>
      <c r="M296" s="41"/>
      <c r="N296" s="42"/>
      <c r="O296" s="43">
        <f t="shared" si="163"/>
        <v>243</v>
      </c>
      <c r="P296" s="45"/>
      <c r="Q296" s="45"/>
      <c r="R296" s="69">
        <f t="shared" si="159"/>
        <v>172.407035175879</v>
      </c>
      <c r="S296" s="69"/>
      <c r="T296" s="70">
        <f t="shared" si="160"/>
        <v>0.552537688442211</v>
      </c>
      <c r="U296" s="69"/>
      <c r="V296" s="69"/>
      <c r="W296" s="71">
        <f t="shared" si="155"/>
        <v>172.959572864322</v>
      </c>
      <c r="X296" s="72">
        <f t="shared" si="161"/>
        <v>2.71082914572864</v>
      </c>
      <c r="Y296" s="72"/>
      <c r="Z296" s="72"/>
      <c r="AA296" s="72">
        <f t="shared" si="154"/>
        <v>2.71082914572864</v>
      </c>
      <c r="AB296" s="81">
        <v>7.11</v>
      </c>
      <c r="AC296" s="69">
        <f t="shared" si="152"/>
        <v>19.2739952261307</v>
      </c>
      <c r="AD296" s="69">
        <f t="shared" si="153"/>
        <v>192.233568090452</v>
      </c>
      <c r="AE296" s="69">
        <f t="shared" si="156"/>
        <v>50.7664319095477</v>
      </c>
    </row>
    <row r="297" customFormat="1" spans="1:31">
      <c r="A297" s="19"/>
      <c r="B297" s="20"/>
      <c r="C297" s="21">
        <v>241010000012</v>
      </c>
      <c r="D297" s="22">
        <v>45580</v>
      </c>
      <c r="E297" s="22" t="s">
        <v>66</v>
      </c>
      <c r="F297" s="20" t="s">
        <v>67</v>
      </c>
      <c r="G297" s="20" t="s">
        <v>83</v>
      </c>
      <c r="H297" s="20">
        <v>35.5</v>
      </c>
      <c r="I297" s="39">
        <v>1960.5</v>
      </c>
      <c r="J297" s="40"/>
      <c r="K297" s="41"/>
      <c r="L297" s="20"/>
      <c r="M297" s="41"/>
      <c r="N297" s="42"/>
      <c r="O297" s="43">
        <f t="shared" si="163"/>
        <v>1960.5</v>
      </c>
      <c r="P297" s="45"/>
      <c r="Q297" s="45"/>
      <c r="R297" s="69">
        <f t="shared" si="159"/>
        <v>1530.11243718593</v>
      </c>
      <c r="S297" s="69"/>
      <c r="T297" s="70">
        <f t="shared" si="160"/>
        <v>4.90377198492462</v>
      </c>
      <c r="U297" s="69"/>
      <c r="V297" s="69"/>
      <c r="W297" s="71">
        <f t="shared" si="155"/>
        <v>1535.01620917085</v>
      </c>
      <c r="X297" s="72">
        <f t="shared" si="161"/>
        <v>24.0586086683417</v>
      </c>
      <c r="Y297" s="72"/>
      <c r="Z297" s="72"/>
      <c r="AA297" s="72">
        <f t="shared" si="154"/>
        <v>24.0586086683417</v>
      </c>
      <c r="AB297" s="81">
        <v>7.11</v>
      </c>
      <c r="AC297" s="69">
        <f t="shared" si="152"/>
        <v>171.05670763191</v>
      </c>
      <c r="AD297" s="69">
        <f t="shared" si="153"/>
        <v>1706.07291680276</v>
      </c>
      <c r="AE297" s="69">
        <f t="shared" si="156"/>
        <v>254.427083197236</v>
      </c>
    </row>
    <row r="298" customFormat="1" spans="1:31">
      <c r="A298" s="19"/>
      <c r="B298" s="20"/>
      <c r="C298" s="21">
        <v>241010000016</v>
      </c>
      <c r="D298" s="22">
        <v>45580</v>
      </c>
      <c r="E298" s="22" t="s">
        <v>66</v>
      </c>
      <c r="F298" s="20" t="s">
        <v>67</v>
      </c>
      <c r="G298" s="20" t="s">
        <v>281</v>
      </c>
      <c r="H298" s="20">
        <v>0.7</v>
      </c>
      <c r="I298" s="39">
        <v>69</v>
      </c>
      <c r="J298" s="40"/>
      <c r="K298" s="41"/>
      <c r="L298" s="20"/>
      <c r="M298" s="41"/>
      <c r="N298" s="42"/>
      <c r="O298" s="43">
        <f t="shared" si="163"/>
        <v>69</v>
      </c>
      <c r="P298" s="45"/>
      <c r="Q298" s="45"/>
      <c r="R298" s="69">
        <f t="shared" si="159"/>
        <v>30.1712311557789</v>
      </c>
      <c r="S298" s="69"/>
      <c r="T298" s="70">
        <f t="shared" si="160"/>
        <v>0.0966940954773869</v>
      </c>
      <c r="U298" s="69"/>
      <c r="V298" s="69"/>
      <c r="W298" s="71">
        <f t="shared" si="155"/>
        <v>30.2679252512563</v>
      </c>
      <c r="X298" s="72">
        <f t="shared" si="161"/>
        <v>0.474395100502513</v>
      </c>
      <c r="Y298" s="72"/>
      <c r="Z298" s="72"/>
      <c r="AA298" s="72">
        <f t="shared" si="154"/>
        <v>0.474395100502513</v>
      </c>
      <c r="AB298" s="81">
        <v>7.11</v>
      </c>
      <c r="AC298" s="69">
        <f t="shared" si="152"/>
        <v>3.37294916457286</v>
      </c>
      <c r="AD298" s="69">
        <f t="shared" si="153"/>
        <v>33.6408744158291</v>
      </c>
      <c r="AE298" s="69">
        <f t="shared" si="156"/>
        <v>35.3591255841709</v>
      </c>
    </row>
    <row r="299" customFormat="1" spans="1:31">
      <c r="A299" s="19"/>
      <c r="B299" s="20"/>
      <c r="C299" s="21">
        <v>241010000017</v>
      </c>
      <c r="D299" s="22">
        <v>45580</v>
      </c>
      <c r="E299" s="22" t="s">
        <v>41</v>
      </c>
      <c r="F299" s="20" t="s">
        <v>42</v>
      </c>
      <c r="G299" s="20" t="s">
        <v>255</v>
      </c>
      <c r="H299" s="20">
        <v>3.5</v>
      </c>
      <c r="I299" s="43"/>
      <c r="J299" s="46">
        <v>52613</v>
      </c>
      <c r="K299" s="41"/>
      <c r="L299" s="47">
        <f>SUM(J299/M299)</f>
        <v>1725.01639344262</v>
      </c>
      <c r="M299" s="48">
        <v>30.5</v>
      </c>
      <c r="N299" s="42">
        <v>7.11</v>
      </c>
      <c r="O299" s="43">
        <f t="shared" ref="O299:O306" si="164">SUM(M299*N299)</f>
        <v>216.855</v>
      </c>
      <c r="P299" s="45"/>
      <c r="Q299" s="45"/>
      <c r="R299" s="69">
        <f t="shared" si="159"/>
        <v>150.856155778894</v>
      </c>
      <c r="S299" s="69"/>
      <c r="T299" s="70">
        <f t="shared" si="160"/>
        <v>0.483470477386935</v>
      </c>
      <c r="U299" s="69"/>
      <c r="V299" s="69"/>
      <c r="W299" s="71">
        <f t="shared" si="155"/>
        <v>151.339626256281</v>
      </c>
      <c r="X299" s="72">
        <f t="shared" si="161"/>
        <v>2.37197550251256</v>
      </c>
      <c r="Y299" s="72"/>
      <c r="Z299" s="72"/>
      <c r="AA299" s="72">
        <f t="shared" si="154"/>
        <v>2.37197550251256</v>
      </c>
      <c r="AB299" s="81">
        <v>7.11</v>
      </c>
      <c r="AC299" s="69">
        <f t="shared" si="152"/>
        <v>16.8647458228643</v>
      </c>
      <c r="AD299" s="69">
        <f t="shared" si="153"/>
        <v>168.204372079146</v>
      </c>
      <c r="AE299" s="69">
        <f t="shared" si="156"/>
        <v>48.6506279208542</v>
      </c>
    </row>
    <row r="300" customFormat="1" spans="1:31">
      <c r="A300" s="19"/>
      <c r="B300" s="20"/>
      <c r="C300" s="21">
        <v>241010000021</v>
      </c>
      <c r="D300" s="22">
        <v>45580</v>
      </c>
      <c r="E300" s="22" t="s">
        <v>41</v>
      </c>
      <c r="F300" s="20" t="s">
        <v>42</v>
      </c>
      <c r="G300" s="20" t="s">
        <v>185</v>
      </c>
      <c r="H300" s="20">
        <v>5</v>
      </c>
      <c r="I300" s="39">
        <v>303</v>
      </c>
      <c r="J300" s="40"/>
      <c r="K300" s="41"/>
      <c r="L300" s="20"/>
      <c r="M300" s="41"/>
      <c r="N300" s="42"/>
      <c r="O300" s="43">
        <f t="shared" ref="O300:O302" si="165">SUM(I300)</f>
        <v>303</v>
      </c>
      <c r="P300" s="45"/>
      <c r="Q300" s="45"/>
      <c r="R300" s="69">
        <f t="shared" si="159"/>
        <v>215.508793969849</v>
      </c>
      <c r="S300" s="69"/>
      <c r="T300" s="70">
        <f t="shared" si="160"/>
        <v>0.690672110552764</v>
      </c>
      <c r="U300" s="69"/>
      <c r="V300" s="70"/>
      <c r="W300" s="71">
        <f t="shared" si="155"/>
        <v>216.199466080402</v>
      </c>
      <c r="X300" s="72">
        <f t="shared" si="161"/>
        <v>3.3885364321608</v>
      </c>
      <c r="Y300" s="72"/>
      <c r="Z300" s="72"/>
      <c r="AA300" s="72">
        <f t="shared" si="154"/>
        <v>3.3885364321608</v>
      </c>
      <c r="AB300" s="81">
        <v>7.11</v>
      </c>
      <c r="AC300" s="69">
        <f t="shared" si="152"/>
        <v>24.0924940326633</v>
      </c>
      <c r="AD300" s="69">
        <f t="shared" si="153"/>
        <v>240.291960113065</v>
      </c>
      <c r="AE300" s="69">
        <f t="shared" si="156"/>
        <v>62.7080398869347</v>
      </c>
    </row>
    <row r="301" customFormat="1" spans="1:31">
      <c r="A301" s="19"/>
      <c r="B301" s="20"/>
      <c r="C301" s="21">
        <v>241010000027</v>
      </c>
      <c r="D301" s="22">
        <v>45580</v>
      </c>
      <c r="E301" s="22" t="s">
        <v>41</v>
      </c>
      <c r="F301" s="20" t="s">
        <v>42</v>
      </c>
      <c r="G301" s="20" t="s">
        <v>185</v>
      </c>
      <c r="H301" s="20">
        <v>2.5</v>
      </c>
      <c r="I301" s="39">
        <v>153</v>
      </c>
      <c r="J301" s="40"/>
      <c r="K301" s="41"/>
      <c r="L301" s="20"/>
      <c r="M301" s="41"/>
      <c r="N301" s="42"/>
      <c r="O301" s="43">
        <f t="shared" si="165"/>
        <v>153</v>
      </c>
      <c r="P301" s="45"/>
      <c r="Q301" s="45"/>
      <c r="R301" s="69">
        <f t="shared" si="159"/>
        <v>107.754396984925</v>
      </c>
      <c r="S301" s="69"/>
      <c r="T301" s="70">
        <f t="shared" si="160"/>
        <v>0.345336055276382</v>
      </c>
      <c r="U301" s="69"/>
      <c r="V301" s="69"/>
      <c r="W301" s="71">
        <f t="shared" si="155"/>
        <v>108.099733040201</v>
      </c>
      <c r="X301" s="72">
        <f t="shared" si="161"/>
        <v>1.6942682160804</v>
      </c>
      <c r="Y301" s="72"/>
      <c r="Z301" s="72"/>
      <c r="AA301" s="72">
        <f t="shared" si="154"/>
        <v>1.6942682160804</v>
      </c>
      <c r="AB301" s="81">
        <v>7.11</v>
      </c>
      <c r="AC301" s="69">
        <f t="shared" si="152"/>
        <v>12.0462470163317</v>
      </c>
      <c r="AD301" s="69">
        <f t="shared" si="153"/>
        <v>120.145980056533</v>
      </c>
      <c r="AE301" s="69">
        <f t="shared" si="156"/>
        <v>32.8540199434673</v>
      </c>
    </row>
    <row r="302" customFormat="1" spans="1:31">
      <c r="A302" s="19"/>
      <c r="B302" s="20"/>
      <c r="C302" s="21">
        <v>241010000028</v>
      </c>
      <c r="D302" s="22">
        <v>45580</v>
      </c>
      <c r="E302" s="22" t="s">
        <v>41</v>
      </c>
      <c r="F302" s="20" t="s">
        <v>42</v>
      </c>
      <c r="G302" s="20" t="s">
        <v>185</v>
      </c>
      <c r="H302" s="20">
        <v>4</v>
      </c>
      <c r="I302" s="39">
        <v>243</v>
      </c>
      <c r="J302" s="40"/>
      <c r="K302" s="41"/>
      <c r="L302" s="20"/>
      <c r="M302" s="41"/>
      <c r="N302" s="42"/>
      <c r="O302" s="43">
        <f t="shared" si="165"/>
        <v>243</v>
      </c>
      <c r="P302" s="45"/>
      <c r="Q302" s="45"/>
      <c r="R302" s="69">
        <f t="shared" si="159"/>
        <v>172.407035175879</v>
      </c>
      <c r="S302" s="69"/>
      <c r="T302" s="70">
        <f t="shared" si="160"/>
        <v>0.552537688442211</v>
      </c>
      <c r="U302" s="69"/>
      <c r="V302" s="69"/>
      <c r="W302" s="71">
        <f t="shared" si="155"/>
        <v>172.959572864322</v>
      </c>
      <c r="X302" s="72">
        <f t="shared" si="161"/>
        <v>2.71082914572864</v>
      </c>
      <c r="Y302" s="72"/>
      <c r="Z302" s="72"/>
      <c r="AA302" s="72">
        <f t="shared" si="154"/>
        <v>2.71082914572864</v>
      </c>
      <c r="AB302" s="81">
        <v>7.11</v>
      </c>
      <c r="AC302" s="69">
        <f t="shared" si="152"/>
        <v>19.2739952261307</v>
      </c>
      <c r="AD302" s="69">
        <f t="shared" si="153"/>
        <v>192.233568090452</v>
      </c>
      <c r="AE302" s="69">
        <f t="shared" si="156"/>
        <v>50.7664319095477</v>
      </c>
    </row>
    <row r="303" customFormat="1" spans="1:31">
      <c r="A303" s="19"/>
      <c r="B303" s="20"/>
      <c r="C303" s="21">
        <v>241010000029</v>
      </c>
      <c r="D303" s="22">
        <v>45580</v>
      </c>
      <c r="E303" s="22" t="s">
        <v>41</v>
      </c>
      <c r="F303" s="20" t="s">
        <v>42</v>
      </c>
      <c r="G303" s="20" t="s">
        <v>282</v>
      </c>
      <c r="H303" s="20">
        <v>3.5</v>
      </c>
      <c r="I303" s="43"/>
      <c r="J303" s="46">
        <v>57667</v>
      </c>
      <c r="K303" s="41"/>
      <c r="L303" s="47">
        <f t="shared" ref="L303:L306" si="166">SUM(J303/M303)</f>
        <v>1725.00747831289</v>
      </c>
      <c r="M303" s="48">
        <v>33.43</v>
      </c>
      <c r="N303" s="42">
        <v>7.11</v>
      </c>
      <c r="O303" s="43">
        <f t="shared" si="164"/>
        <v>237.6873</v>
      </c>
      <c r="P303" s="45"/>
      <c r="Q303" s="45"/>
      <c r="R303" s="69">
        <f t="shared" si="159"/>
        <v>150.856155778894</v>
      </c>
      <c r="S303" s="69"/>
      <c r="T303" s="70">
        <f t="shared" si="160"/>
        <v>0.483470477386935</v>
      </c>
      <c r="U303" s="69"/>
      <c r="V303" s="69"/>
      <c r="W303" s="71">
        <f t="shared" si="155"/>
        <v>151.339626256281</v>
      </c>
      <c r="X303" s="72">
        <f t="shared" si="161"/>
        <v>2.37197550251256</v>
      </c>
      <c r="Y303" s="72"/>
      <c r="Z303" s="72"/>
      <c r="AA303" s="72">
        <f t="shared" si="154"/>
        <v>2.37197550251256</v>
      </c>
      <c r="AB303" s="81">
        <v>7.11</v>
      </c>
      <c r="AC303" s="69">
        <f t="shared" si="152"/>
        <v>16.8647458228643</v>
      </c>
      <c r="AD303" s="69">
        <f t="shared" si="153"/>
        <v>168.204372079146</v>
      </c>
      <c r="AE303" s="69">
        <f t="shared" si="156"/>
        <v>69.4829279208543</v>
      </c>
    </row>
    <row r="304" customFormat="1" spans="1:31">
      <c r="A304" s="19"/>
      <c r="B304" s="20"/>
      <c r="C304" s="21">
        <v>241010000037</v>
      </c>
      <c r="D304" s="22">
        <v>45580</v>
      </c>
      <c r="E304" s="22" t="s">
        <v>41</v>
      </c>
      <c r="F304" s="20" t="s">
        <v>42</v>
      </c>
      <c r="G304" s="20" t="s">
        <v>283</v>
      </c>
      <c r="H304" s="20">
        <v>7</v>
      </c>
      <c r="I304" s="43"/>
      <c r="J304" s="46">
        <v>92103</v>
      </c>
      <c r="K304" s="41"/>
      <c r="L304" s="47">
        <f t="shared" si="166"/>
        <v>1710.99764856019</v>
      </c>
      <c r="M304" s="48">
        <v>53.829998</v>
      </c>
      <c r="N304" s="42">
        <v>7.11</v>
      </c>
      <c r="O304" s="43">
        <f t="shared" si="164"/>
        <v>382.73128578</v>
      </c>
      <c r="P304" s="45"/>
      <c r="Q304" s="45"/>
      <c r="R304" s="69">
        <f t="shared" si="159"/>
        <v>301.712311557789</v>
      </c>
      <c r="S304" s="69"/>
      <c r="T304" s="70">
        <f t="shared" si="160"/>
        <v>0.966940954773869</v>
      </c>
      <c r="U304" s="69"/>
      <c r="V304" s="69"/>
      <c r="W304" s="71">
        <f t="shared" si="155"/>
        <v>302.679252512563</v>
      </c>
      <c r="X304" s="72">
        <f t="shared" si="161"/>
        <v>4.74395100502513</v>
      </c>
      <c r="Y304" s="72"/>
      <c r="Z304" s="72"/>
      <c r="AA304" s="72">
        <f t="shared" si="154"/>
        <v>4.74395100502513</v>
      </c>
      <c r="AB304" s="81">
        <v>7.11</v>
      </c>
      <c r="AC304" s="69">
        <f t="shared" si="152"/>
        <v>33.7294916457287</v>
      </c>
      <c r="AD304" s="69">
        <f t="shared" si="153"/>
        <v>336.408744158291</v>
      </c>
      <c r="AE304" s="69">
        <f t="shared" si="156"/>
        <v>46.3225416217085</v>
      </c>
    </row>
    <row r="305" customFormat="1" spans="1:31">
      <c r="A305" s="19"/>
      <c r="B305" s="20"/>
      <c r="C305" s="21">
        <v>241010000051</v>
      </c>
      <c r="D305" s="22">
        <v>45580</v>
      </c>
      <c r="E305" s="22" t="s">
        <v>88</v>
      </c>
      <c r="F305" s="20" t="s">
        <v>120</v>
      </c>
      <c r="G305" s="20" t="s">
        <v>284</v>
      </c>
      <c r="H305" s="20">
        <v>0.4</v>
      </c>
      <c r="I305" s="43"/>
      <c r="J305" s="46">
        <v>15525</v>
      </c>
      <c r="K305" s="41"/>
      <c r="L305" s="47">
        <f t="shared" si="166"/>
        <v>1725</v>
      </c>
      <c r="M305" s="48">
        <v>9</v>
      </c>
      <c r="N305" s="42">
        <v>7.11</v>
      </c>
      <c r="O305" s="43">
        <f t="shared" si="164"/>
        <v>63.99</v>
      </c>
      <c r="P305" s="45"/>
      <c r="Q305" s="45"/>
      <c r="R305" s="69">
        <f t="shared" si="159"/>
        <v>17.2407035175879</v>
      </c>
      <c r="S305" s="69"/>
      <c r="T305" s="70">
        <f t="shared" si="160"/>
        <v>0.0552537688442211</v>
      </c>
      <c r="U305" s="69"/>
      <c r="V305" s="69"/>
      <c r="W305" s="71">
        <f t="shared" si="155"/>
        <v>17.2959572864322</v>
      </c>
      <c r="X305" s="72">
        <f t="shared" si="161"/>
        <v>0.271082914572864</v>
      </c>
      <c r="Y305" s="72"/>
      <c r="Z305" s="72"/>
      <c r="AA305" s="72">
        <f t="shared" si="154"/>
        <v>0.271082914572864</v>
      </c>
      <c r="AB305" s="81">
        <v>7.11</v>
      </c>
      <c r="AC305" s="69">
        <f t="shared" si="152"/>
        <v>1.92739952261307</v>
      </c>
      <c r="AD305" s="69">
        <f t="shared" si="153"/>
        <v>19.2233568090452</v>
      </c>
      <c r="AE305" s="69">
        <f t="shared" si="156"/>
        <v>44.7666431909548</v>
      </c>
    </row>
    <row r="306" customFormat="1" spans="1:31">
      <c r="A306" s="19"/>
      <c r="B306" s="20"/>
      <c r="C306" s="21">
        <v>241011000001</v>
      </c>
      <c r="D306" s="22">
        <v>45580</v>
      </c>
      <c r="E306" s="22" t="s">
        <v>47</v>
      </c>
      <c r="F306" s="20" t="s">
        <v>47</v>
      </c>
      <c r="G306" s="20" t="s">
        <v>285</v>
      </c>
      <c r="H306" s="20">
        <v>17</v>
      </c>
      <c r="I306" s="50"/>
      <c r="J306" s="46">
        <v>240000</v>
      </c>
      <c r="K306" s="41"/>
      <c r="L306" s="47">
        <f t="shared" si="166"/>
        <v>1750.1640778823</v>
      </c>
      <c r="M306" s="48">
        <v>137.13</v>
      </c>
      <c r="N306" s="42">
        <v>7.11</v>
      </c>
      <c r="O306" s="43">
        <f t="shared" si="164"/>
        <v>974.9943</v>
      </c>
      <c r="P306" s="45"/>
      <c r="Q306" s="45"/>
      <c r="R306" s="69">
        <f t="shared" si="159"/>
        <v>732.729899497487</v>
      </c>
      <c r="S306" s="69"/>
      <c r="T306" s="70">
        <f t="shared" si="160"/>
        <v>2.3482851758794</v>
      </c>
      <c r="U306" s="69"/>
      <c r="V306" s="69"/>
      <c r="W306" s="71">
        <f t="shared" si="155"/>
        <v>735.078184673367</v>
      </c>
      <c r="X306" s="72">
        <f t="shared" si="161"/>
        <v>11.5210238693467</v>
      </c>
      <c r="Y306" s="72"/>
      <c r="Z306" s="72"/>
      <c r="AA306" s="72">
        <f t="shared" si="154"/>
        <v>11.5210238693467</v>
      </c>
      <c r="AB306" s="81">
        <v>7.11</v>
      </c>
      <c r="AC306" s="69">
        <f t="shared" si="152"/>
        <v>81.9144797110553</v>
      </c>
      <c r="AD306" s="69">
        <f t="shared" si="153"/>
        <v>816.992664384422</v>
      </c>
      <c r="AE306" s="69">
        <f t="shared" si="156"/>
        <v>158.001635615578</v>
      </c>
    </row>
    <row r="307" customFormat="1" spans="1:31">
      <c r="A307" s="19"/>
      <c r="B307" s="20"/>
      <c r="C307" s="21">
        <v>241011000019</v>
      </c>
      <c r="D307" s="22">
        <v>45580</v>
      </c>
      <c r="E307" s="22" t="s">
        <v>44</v>
      </c>
      <c r="F307" s="20" t="s">
        <v>45</v>
      </c>
      <c r="G307" s="20" t="s">
        <v>286</v>
      </c>
      <c r="H307" s="20">
        <v>5.5</v>
      </c>
      <c r="I307" s="39">
        <v>352.5</v>
      </c>
      <c r="J307" s="40"/>
      <c r="K307" s="41"/>
      <c r="L307" s="20"/>
      <c r="M307" s="41"/>
      <c r="N307" s="42"/>
      <c r="O307" s="43">
        <f t="shared" ref="O307:O315" si="167">SUM(I307)</f>
        <v>352.5</v>
      </c>
      <c r="P307" s="45"/>
      <c r="Q307" s="45"/>
      <c r="R307" s="69">
        <f t="shared" si="159"/>
        <v>237.059673366834</v>
      </c>
      <c r="S307" s="69"/>
      <c r="T307" s="70">
        <f t="shared" si="160"/>
        <v>0.75973932160804</v>
      </c>
      <c r="U307" s="69"/>
      <c r="V307" s="69"/>
      <c r="W307" s="71">
        <f t="shared" si="155"/>
        <v>237.819412688442</v>
      </c>
      <c r="X307" s="72">
        <f t="shared" si="161"/>
        <v>3.72739007537688</v>
      </c>
      <c r="Y307" s="72"/>
      <c r="Z307" s="72"/>
      <c r="AA307" s="72">
        <f t="shared" si="154"/>
        <v>3.72739007537688</v>
      </c>
      <c r="AB307" s="81">
        <v>7.11</v>
      </c>
      <c r="AC307" s="69">
        <f t="shared" si="152"/>
        <v>26.5017434359297</v>
      </c>
      <c r="AD307" s="69">
        <f t="shared" si="153"/>
        <v>264.321156124372</v>
      </c>
      <c r="AE307" s="69">
        <f t="shared" si="156"/>
        <v>88.1788438756282</v>
      </c>
    </row>
    <row r="308" customFormat="1" spans="1:31">
      <c r="A308" s="19"/>
      <c r="B308" s="20"/>
      <c r="C308" s="21">
        <v>241011000021</v>
      </c>
      <c r="D308" s="22">
        <v>45580</v>
      </c>
      <c r="E308" s="22" t="s">
        <v>41</v>
      </c>
      <c r="F308" s="20" t="s">
        <v>42</v>
      </c>
      <c r="G308" s="20" t="s">
        <v>287</v>
      </c>
      <c r="H308" s="20">
        <v>259.5</v>
      </c>
      <c r="I308" s="43"/>
      <c r="J308" s="46">
        <v>3443531</v>
      </c>
      <c r="K308" s="41"/>
      <c r="L308" s="47">
        <f>SUM(J308/M308)</f>
        <v>1724.99987476518</v>
      </c>
      <c r="M308" s="48">
        <v>1996.25</v>
      </c>
      <c r="N308" s="42">
        <v>7.11</v>
      </c>
      <c r="O308" s="43">
        <f t="shared" ref="O308:O310" si="168">SUM(M308*N308)</f>
        <v>14193.3375</v>
      </c>
      <c r="P308" s="45"/>
      <c r="Q308" s="45"/>
      <c r="R308" s="69">
        <f t="shared" si="159"/>
        <v>11184.9064070352</v>
      </c>
      <c r="S308" s="69"/>
      <c r="T308" s="70">
        <f t="shared" si="160"/>
        <v>35.8458825376884</v>
      </c>
      <c r="U308" s="69"/>
      <c r="V308" s="70">
        <v>350</v>
      </c>
      <c r="W308" s="71">
        <f t="shared" si="155"/>
        <v>11570.7522895729</v>
      </c>
      <c r="X308" s="72">
        <f t="shared" si="161"/>
        <v>175.865040829146</v>
      </c>
      <c r="Y308" s="72"/>
      <c r="Z308" s="72"/>
      <c r="AA308" s="72">
        <f t="shared" si="154"/>
        <v>175.865040829146</v>
      </c>
      <c r="AB308" s="81">
        <v>7.11</v>
      </c>
      <c r="AC308" s="69">
        <f t="shared" si="152"/>
        <v>1250.40044029523</v>
      </c>
      <c r="AD308" s="69">
        <f t="shared" si="153"/>
        <v>12821.1527298681</v>
      </c>
      <c r="AE308" s="69">
        <f t="shared" si="156"/>
        <v>1372.1847701319</v>
      </c>
    </row>
    <row r="309" customFormat="1" spans="1:31">
      <c r="A309" s="19"/>
      <c r="B309" s="20"/>
      <c r="C309" s="21">
        <v>241011000022</v>
      </c>
      <c r="D309" s="22">
        <v>45580</v>
      </c>
      <c r="E309" s="22" t="s">
        <v>41</v>
      </c>
      <c r="F309" s="20" t="s">
        <v>42</v>
      </c>
      <c r="G309" s="20" t="s">
        <v>255</v>
      </c>
      <c r="H309" s="20">
        <v>2</v>
      </c>
      <c r="I309" s="43"/>
      <c r="J309" s="46">
        <v>30360</v>
      </c>
      <c r="K309" s="41"/>
      <c r="L309" s="47">
        <f>SUM(J309/M309)</f>
        <v>1725</v>
      </c>
      <c r="M309" s="48">
        <v>17.6</v>
      </c>
      <c r="N309" s="42">
        <v>7.11</v>
      </c>
      <c r="O309" s="43">
        <f t="shared" si="168"/>
        <v>125.136</v>
      </c>
      <c r="P309" s="45"/>
      <c r="Q309" s="45"/>
      <c r="R309" s="69">
        <f t="shared" si="159"/>
        <v>86.2035175879397</v>
      </c>
      <c r="S309" s="69"/>
      <c r="T309" s="70">
        <f t="shared" si="160"/>
        <v>0.276268844221106</v>
      </c>
      <c r="U309" s="69"/>
      <c r="V309" s="69"/>
      <c r="W309" s="71">
        <f t="shared" si="155"/>
        <v>86.4797864321608</v>
      </c>
      <c r="X309" s="72">
        <f t="shared" si="161"/>
        <v>1.35541457286432</v>
      </c>
      <c r="Y309" s="72"/>
      <c r="Z309" s="72"/>
      <c r="AA309" s="72">
        <f t="shared" si="154"/>
        <v>1.35541457286432</v>
      </c>
      <c r="AB309" s="81">
        <v>7.11</v>
      </c>
      <c r="AC309" s="69">
        <f t="shared" si="152"/>
        <v>9.63699761306533</v>
      </c>
      <c r="AD309" s="69">
        <f t="shared" si="153"/>
        <v>96.1167840452261</v>
      </c>
      <c r="AE309" s="69">
        <f t="shared" si="156"/>
        <v>29.0192159547739</v>
      </c>
    </row>
    <row r="310" customFormat="1" spans="1:31">
      <c r="A310" s="19"/>
      <c r="B310" s="20"/>
      <c r="C310" s="21">
        <v>241011000023</v>
      </c>
      <c r="D310" s="22">
        <v>45580</v>
      </c>
      <c r="E310" s="22" t="s">
        <v>66</v>
      </c>
      <c r="F310" s="20" t="s">
        <v>67</v>
      </c>
      <c r="G310" s="20" t="s">
        <v>124</v>
      </c>
      <c r="H310" s="20">
        <v>338.5</v>
      </c>
      <c r="I310" s="50"/>
      <c r="J310" s="46">
        <v>4780636</v>
      </c>
      <c r="K310" s="41"/>
      <c r="L310" s="47">
        <f>SUM(J310/M310)</f>
        <v>1731.28648617328</v>
      </c>
      <c r="M310" s="48">
        <v>2761.32</v>
      </c>
      <c r="N310" s="42">
        <v>7.11</v>
      </c>
      <c r="O310" s="43">
        <f t="shared" si="168"/>
        <v>19632.9852</v>
      </c>
      <c r="P310" s="45"/>
      <c r="Q310" s="45"/>
      <c r="R310" s="69">
        <f t="shared" si="159"/>
        <v>14589.9453517588</v>
      </c>
      <c r="S310" s="69"/>
      <c r="T310" s="70">
        <f t="shared" si="160"/>
        <v>46.7585018844221</v>
      </c>
      <c r="U310" s="69"/>
      <c r="V310" s="69"/>
      <c r="W310" s="71">
        <f t="shared" si="155"/>
        <v>14636.7038536432</v>
      </c>
      <c r="X310" s="72">
        <f t="shared" si="161"/>
        <v>229.403916457286</v>
      </c>
      <c r="Y310" s="72"/>
      <c r="Z310" s="72"/>
      <c r="AA310" s="72">
        <f t="shared" si="154"/>
        <v>229.403916457286</v>
      </c>
      <c r="AB310" s="81">
        <v>7.11</v>
      </c>
      <c r="AC310" s="69">
        <f t="shared" si="152"/>
        <v>1631.06184601131</v>
      </c>
      <c r="AD310" s="69">
        <f t="shared" ref="AD310:AD330" si="169">SUM(W310+AC310)</f>
        <v>16267.7656996545</v>
      </c>
      <c r="AE310" s="69">
        <f t="shared" si="156"/>
        <v>3365.2195003455</v>
      </c>
    </row>
    <row r="311" customFormat="1" spans="1:31">
      <c r="A311" s="19"/>
      <c r="B311" s="20"/>
      <c r="C311" s="21">
        <v>241011000048</v>
      </c>
      <c r="D311" s="22">
        <v>45580</v>
      </c>
      <c r="E311" s="22" t="s">
        <v>66</v>
      </c>
      <c r="F311" s="20" t="s">
        <v>67</v>
      </c>
      <c r="G311" s="20" t="s">
        <v>129</v>
      </c>
      <c r="H311" s="20">
        <v>87.5</v>
      </c>
      <c r="I311" s="39">
        <v>5580</v>
      </c>
      <c r="J311" s="40"/>
      <c r="K311" s="41"/>
      <c r="L311" s="20"/>
      <c r="M311" s="41"/>
      <c r="N311" s="42"/>
      <c r="O311" s="43">
        <f t="shared" si="167"/>
        <v>5580</v>
      </c>
      <c r="P311" s="45"/>
      <c r="Q311" s="45"/>
      <c r="R311" s="69">
        <f t="shared" si="159"/>
        <v>3771.40389447236</v>
      </c>
      <c r="S311" s="69"/>
      <c r="T311" s="70">
        <f t="shared" si="160"/>
        <v>12.0867619346734</v>
      </c>
      <c r="U311" s="70">
        <v>330</v>
      </c>
      <c r="V311" s="69"/>
      <c r="W311" s="71">
        <f t="shared" si="155"/>
        <v>4113.49065640704</v>
      </c>
      <c r="X311" s="72">
        <f t="shared" si="161"/>
        <v>59.2993875628141</v>
      </c>
      <c r="Y311" s="72"/>
      <c r="Z311" s="72"/>
      <c r="AA311" s="72">
        <f t="shared" ref="AA311:AA330" si="170">SUM(X311:Z311)</f>
        <v>59.2993875628141</v>
      </c>
      <c r="AB311" s="81">
        <v>7.11</v>
      </c>
      <c r="AC311" s="69">
        <f t="shared" ref="AC311:AC330" si="171">SUM(AA311*AB311)</f>
        <v>421.618645571608</v>
      </c>
      <c r="AD311" s="69">
        <f t="shared" si="169"/>
        <v>4535.10930197864</v>
      </c>
      <c r="AE311" s="69">
        <f t="shared" ref="AE311:AE330" si="172">SUM(O311-AD311)</f>
        <v>1044.89069802136</v>
      </c>
    </row>
    <row r="312" customFormat="1" spans="1:31">
      <c r="A312" s="19"/>
      <c r="B312" s="20"/>
      <c r="C312" s="21">
        <v>241011000053</v>
      </c>
      <c r="D312" s="22">
        <v>45580</v>
      </c>
      <c r="E312" s="22" t="s">
        <v>47</v>
      </c>
      <c r="F312" s="20" t="s">
        <v>47</v>
      </c>
      <c r="G312" s="20" t="s">
        <v>288</v>
      </c>
      <c r="H312" s="20">
        <v>55</v>
      </c>
      <c r="I312" s="39">
        <v>3432</v>
      </c>
      <c r="J312" s="40"/>
      <c r="K312" s="41"/>
      <c r="L312" s="20"/>
      <c r="M312" s="41"/>
      <c r="N312" s="42"/>
      <c r="O312" s="43">
        <f t="shared" si="167"/>
        <v>3432</v>
      </c>
      <c r="P312" s="49"/>
      <c r="Q312" s="49"/>
      <c r="R312" s="69">
        <f t="shared" si="159"/>
        <v>2370.59673366834</v>
      </c>
      <c r="S312" s="69"/>
      <c r="T312" s="70">
        <f t="shared" si="160"/>
        <v>7.5973932160804</v>
      </c>
      <c r="U312" s="69"/>
      <c r="V312" s="69"/>
      <c r="W312" s="71">
        <f t="shared" ref="W312:W330" si="173">SUM(R312:V312)</f>
        <v>2378.19412688442</v>
      </c>
      <c r="X312" s="72">
        <f t="shared" si="161"/>
        <v>37.2739007537688</v>
      </c>
      <c r="Y312" s="72"/>
      <c r="Z312" s="72"/>
      <c r="AA312" s="72">
        <f t="shared" si="170"/>
        <v>37.2739007537688</v>
      </c>
      <c r="AB312" s="81">
        <v>7.11</v>
      </c>
      <c r="AC312" s="69">
        <f t="shared" si="171"/>
        <v>265.017434359296</v>
      </c>
      <c r="AD312" s="69">
        <f t="shared" si="169"/>
        <v>2643.21156124372</v>
      </c>
      <c r="AE312" s="69">
        <f t="shared" si="172"/>
        <v>788.788438756281</v>
      </c>
    </row>
    <row r="313" customFormat="1" spans="1:31">
      <c r="A313" s="19" t="s">
        <v>289</v>
      </c>
      <c r="B313" s="20" t="s">
        <v>290</v>
      </c>
      <c r="C313" s="21">
        <v>241010000010</v>
      </c>
      <c r="D313" s="22">
        <v>45583</v>
      </c>
      <c r="E313" s="22" t="s">
        <v>37</v>
      </c>
      <c r="F313" s="20" t="s">
        <v>38</v>
      </c>
      <c r="G313" s="20" t="s">
        <v>291</v>
      </c>
      <c r="H313" s="20">
        <v>0.6</v>
      </c>
      <c r="I313" s="39">
        <v>115</v>
      </c>
      <c r="J313" s="40"/>
      <c r="K313" s="41"/>
      <c r="L313" s="20"/>
      <c r="M313" s="41"/>
      <c r="N313" s="42"/>
      <c r="O313" s="43">
        <f t="shared" si="167"/>
        <v>115</v>
      </c>
      <c r="P313" s="44">
        <f>SUM(O313:O330)</f>
        <v>7050.3732711</v>
      </c>
      <c r="Q313" s="44" t="s">
        <v>40</v>
      </c>
      <c r="R313" s="69">
        <f>SUM(2953/32)*H313</f>
        <v>55.36875</v>
      </c>
      <c r="S313" s="69"/>
      <c r="T313" s="70">
        <f>SUM(55.98/32)*H313</f>
        <v>1.049625</v>
      </c>
      <c r="U313" s="69"/>
      <c r="V313" s="69"/>
      <c r="W313" s="71">
        <f t="shared" si="173"/>
        <v>56.418375</v>
      </c>
      <c r="X313" s="72">
        <f>SUM(134.22/32)*H313</f>
        <v>2.516625</v>
      </c>
      <c r="Y313" s="72"/>
      <c r="Z313" s="72"/>
      <c r="AA313" s="72">
        <f t="shared" si="170"/>
        <v>2.516625</v>
      </c>
      <c r="AB313" s="81">
        <v>7.11</v>
      </c>
      <c r="AC313" s="69">
        <f t="shared" si="171"/>
        <v>17.89320375</v>
      </c>
      <c r="AD313" s="69">
        <f t="shared" si="169"/>
        <v>74.31157875</v>
      </c>
      <c r="AE313" s="69">
        <f t="shared" si="172"/>
        <v>40.68842125</v>
      </c>
    </row>
    <row r="314" customFormat="1" spans="1:31">
      <c r="A314" s="19"/>
      <c r="B314" s="20"/>
      <c r="C314" s="21">
        <v>241010000032</v>
      </c>
      <c r="D314" s="22">
        <v>45583</v>
      </c>
      <c r="E314" s="22" t="s">
        <v>47</v>
      </c>
      <c r="F314" s="20" t="s">
        <v>47</v>
      </c>
      <c r="G314" s="20" t="s">
        <v>292</v>
      </c>
      <c r="H314" s="20">
        <v>0.5</v>
      </c>
      <c r="I314" s="39">
        <v>95</v>
      </c>
      <c r="J314" s="40"/>
      <c r="K314" s="41"/>
      <c r="L314" s="20"/>
      <c r="M314" s="41"/>
      <c r="N314" s="42"/>
      <c r="O314" s="43">
        <f t="shared" si="167"/>
        <v>95</v>
      </c>
      <c r="P314" s="45"/>
      <c r="Q314" s="45"/>
      <c r="R314" s="69">
        <f t="shared" ref="R314:R330" si="174">SUM(2953/32)*H314</f>
        <v>46.140625</v>
      </c>
      <c r="S314" s="69"/>
      <c r="T314" s="70">
        <f t="shared" ref="T314:T330" si="175">SUM(55.98/32)*H314</f>
        <v>0.8746875</v>
      </c>
      <c r="U314" s="69"/>
      <c r="V314" s="69"/>
      <c r="W314" s="71">
        <f t="shared" si="173"/>
        <v>47.0153125</v>
      </c>
      <c r="X314" s="72">
        <f t="shared" ref="X314:X330" si="176">SUM(134.22/32)*H314</f>
        <v>2.0971875</v>
      </c>
      <c r="Y314" s="72"/>
      <c r="Z314" s="72"/>
      <c r="AA314" s="72">
        <f t="shared" si="170"/>
        <v>2.0971875</v>
      </c>
      <c r="AB314" s="81">
        <v>7.11</v>
      </c>
      <c r="AC314" s="69">
        <f t="shared" si="171"/>
        <v>14.911003125</v>
      </c>
      <c r="AD314" s="69">
        <f t="shared" si="169"/>
        <v>61.926315625</v>
      </c>
      <c r="AE314" s="69">
        <f t="shared" si="172"/>
        <v>33.073684375</v>
      </c>
    </row>
    <row r="315" customFormat="1" spans="1:31">
      <c r="A315" s="19"/>
      <c r="B315" s="20"/>
      <c r="C315" s="21">
        <v>241010000045</v>
      </c>
      <c r="D315" s="22">
        <v>45583</v>
      </c>
      <c r="E315" s="22" t="s">
        <v>37</v>
      </c>
      <c r="F315" s="20" t="s">
        <v>38</v>
      </c>
      <c r="G315" s="20" t="s">
        <v>293</v>
      </c>
      <c r="H315" s="20">
        <v>0.22</v>
      </c>
      <c r="I315" s="39">
        <v>115</v>
      </c>
      <c r="J315" s="40"/>
      <c r="K315" s="41"/>
      <c r="L315" s="20"/>
      <c r="M315" s="41"/>
      <c r="N315" s="42"/>
      <c r="O315" s="43">
        <f t="shared" si="167"/>
        <v>115</v>
      </c>
      <c r="P315" s="45"/>
      <c r="Q315" s="45"/>
      <c r="R315" s="69">
        <f t="shared" si="174"/>
        <v>20.301875</v>
      </c>
      <c r="S315" s="69"/>
      <c r="T315" s="70">
        <f t="shared" si="175"/>
        <v>0.3848625</v>
      </c>
      <c r="U315" s="69"/>
      <c r="V315" s="69"/>
      <c r="W315" s="71">
        <f t="shared" si="173"/>
        <v>20.6867375</v>
      </c>
      <c r="X315" s="72">
        <f t="shared" si="176"/>
        <v>0.9227625</v>
      </c>
      <c r="Y315" s="72"/>
      <c r="Z315" s="72"/>
      <c r="AA315" s="72">
        <f t="shared" si="170"/>
        <v>0.9227625</v>
      </c>
      <c r="AB315" s="81">
        <v>7.11</v>
      </c>
      <c r="AC315" s="69">
        <f t="shared" si="171"/>
        <v>6.560841375</v>
      </c>
      <c r="AD315" s="69">
        <f t="shared" si="169"/>
        <v>27.247578875</v>
      </c>
      <c r="AE315" s="69">
        <f t="shared" si="172"/>
        <v>87.752421125</v>
      </c>
    </row>
    <row r="316" customFormat="1" spans="1:31">
      <c r="A316" s="19"/>
      <c r="B316" s="20"/>
      <c r="C316" s="21">
        <v>241010000050</v>
      </c>
      <c r="D316" s="22">
        <v>45583</v>
      </c>
      <c r="E316" s="22" t="s">
        <v>37</v>
      </c>
      <c r="F316" s="20" t="s">
        <v>53</v>
      </c>
      <c r="G316" s="20" t="s">
        <v>54</v>
      </c>
      <c r="H316" s="20">
        <v>1.5</v>
      </c>
      <c r="I316" s="43"/>
      <c r="J316" s="46">
        <v>56223</v>
      </c>
      <c r="K316" s="41"/>
      <c r="L316" s="47">
        <f>SUM(J316/M316)</f>
        <v>1710.98600121729</v>
      </c>
      <c r="M316" s="48">
        <v>32.86</v>
      </c>
      <c r="N316" s="42">
        <v>7.11</v>
      </c>
      <c r="O316" s="43">
        <f>SUM(M316*N316)</f>
        <v>233.6346</v>
      </c>
      <c r="P316" s="45"/>
      <c r="Q316" s="45"/>
      <c r="R316" s="69">
        <f t="shared" si="174"/>
        <v>138.421875</v>
      </c>
      <c r="S316" s="69"/>
      <c r="T316" s="70">
        <f t="shared" si="175"/>
        <v>2.6240625</v>
      </c>
      <c r="U316" s="69"/>
      <c r="V316" s="69"/>
      <c r="W316" s="71">
        <f t="shared" si="173"/>
        <v>141.0459375</v>
      </c>
      <c r="X316" s="72">
        <f t="shared" si="176"/>
        <v>6.2915625</v>
      </c>
      <c r="Y316" s="72"/>
      <c r="Z316" s="72"/>
      <c r="AA316" s="72">
        <f t="shared" si="170"/>
        <v>6.2915625</v>
      </c>
      <c r="AB316" s="81">
        <v>7.11</v>
      </c>
      <c r="AC316" s="69">
        <f t="shared" si="171"/>
        <v>44.733009375</v>
      </c>
      <c r="AD316" s="69">
        <f t="shared" si="169"/>
        <v>185.778946875</v>
      </c>
      <c r="AE316" s="69">
        <f t="shared" si="172"/>
        <v>47.855653125</v>
      </c>
    </row>
    <row r="317" customFormat="1" spans="1:31">
      <c r="A317" s="19"/>
      <c r="B317" s="20"/>
      <c r="C317" s="21">
        <v>241011000015</v>
      </c>
      <c r="D317" s="22">
        <v>45583</v>
      </c>
      <c r="E317" s="22" t="s">
        <v>66</v>
      </c>
      <c r="F317" s="20" t="s">
        <v>67</v>
      </c>
      <c r="G317" s="20" t="s">
        <v>294</v>
      </c>
      <c r="H317" s="20">
        <v>1.5</v>
      </c>
      <c r="I317" s="39">
        <v>245</v>
      </c>
      <c r="J317" s="40"/>
      <c r="K317" s="41"/>
      <c r="L317" s="20"/>
      <c r="M317" s="41"/>
      <c r="N317" s="42"/>
      <c r="O317" s="43">
        <f t="shared" ref="O317:O320" si="177">SUM(I317)</f>
        <v>245</v>
      </c>
      <c r="P317" s="45"/>
      <c r="Q317" s="45"/>
      <c r="R317" s="69">
        <f t="shared" si="174"/>
        <v>138.421875</v>
      </c>
      <c r="S317" s="69"/>
      <c r="T317" s="70">
        <f t="shared" si="175"/>
        <v>2.6240625</v>
      </c>
      <c r="U317" s="69"/>
      <c r="V317" s="69"/>
      <c r="W317" s="71">
        <f t="shared" si="173"/>
        <v>141.0459375</v>
      </c>
      <c r="X317" s="72">
        <f t="shared" si="176"/>
        <v>6.2915625</v>
      </c>
      <c r="Y317" s="72">
        <v>2</v>
      </c>
      <c r="Z317" s="72"/>
      <c r="AA317" s="72">
        <f t="shared" si="170"/>
        <v>8.2915625</v>
      </c>
      <c r="AB317" s="81">
        <v>7.11</v>
      </c>
      <c r="AC317" s="69">
        <f t="shared" si="171"/>
        <v>58.953009375</v>
      </c>
      <c r="AD317" s="69">
        <f t="shared" si="169"/>
        <v>199.998946875</v>
      </c>
      <c r="AE317" s="69">
        <f t="shared" si="172"/>
        <v>45.001053125</v>
      </c>
    </row>
    <row r="318" customFormat="1" spans="1:31">
      <c r="A318" s="19"/>
      <c r="B318" s="20"/>
      <c r="C318" s="21">
        <v>241011000042</v>
      </c>
      <c r="D318" s="22">
        <v>45583</v>
      </c>
      <c r="E318" s="22" t="s">
        <v>41</v>
      </c>
      <c r="F318" s="20" t="s">
        <v>42</v>
      </c>
      <c r="G318" s="20" t="s">
        <v>148</v>
      </c>
      <c r="H318" s="20">
        <v>5.5</v>
      </c>
      <c r="I318" s="39">
        <v>825</v>
      </c>
      <c r="J318" s="40"/>
      <c r="K318" s="41"/>
      <c r="L318" s="20"/>
      <c r="M318" s="41"/>
      <c r="N318" s="42"/>
      <c r="O318" s="43">
        <f t="shared" si="177"/>
        <v>825</v>
      </c>
      <c r="P318" s="45"/>
      <c r="Q318" s="45"/>
      <c r="R318" s="69">
        <f t="shared" si="174"/>
        <v>507.546875</v>
      </c>
      <c r="S318" s="69"/>
      <c r="T318" s="70">
        <f t="shared" si="175"/>
        <v>9.6215625</v>
      </c>
      <c r="U318" s="69"/>
      <c r="V318" s="69"/>
      <c r="W318" s="71">
        <f t="shared" si="173"/>
        <v>517.1684375</v>
      </c>
      <c r="X318" s="72">
        <f t="shared" si="176"/>
        <v>23.0690625</v>
      </c>
      <c r="Y318" s="72"/>
      <c r="Z318" s="72"/>
      <c r="AA318" s="72">
        <f t="shared" si="170"/>
        <v>23.0690625</v>
      </c>
      <c r="AB318" s="81">
        <v>7.11</v>
      </c>
      <c r="AC318" s="69">
        <f t="shared" si="171"/>
        <v>164.021034375</v>
      </c>
      <c r="AD318" s="69">
        <f t="shared" si="169"/>
        <v>681.189471875</v>
      </c>
      <c r="AE318" s="69">
        <f t="shared" si="172"/>
        <v>143.810528125</v>
      </c>
    </row>
    <row r="319" customFormat="1" spans="1:31">
      <c r="A319" s="19"/>
      <c r="B319" s="20"/>
      <c r="C319" s="21">
        <v>241011000045</v>
      </c>
      <c r="D319" s="22">
        <v>45583</v>
      </c>
      <c r="E319" s="22" t="s">
        <v>47</v>
      </c>
      <c r="F319" s="20" t="s">
        <v>47</v>
      </c>
      <c r="G319" s="20" t="s">
        <v>243</v>
      </c>
      <c r="H319" s="20">
        <v>4</v>
      </c>
      <c r="I319" s="39">
        <v>800</v>
      </c>
      <c r="J319" s="40"/>
      <c r="K319" s="41"/>
      <c r="L319" s="20"/>
      <c r="M319" s="41"/>
      <c r="N319" s="42"/>
      <c r="O319" s="43">
        <f t="shared" si="177"/>
        <v>800</v>
      </c>
      <c r="P319" s="45"/>
      <c r="Q319" s="45"/>
      <c r="R319" s="69">
        <f t="shared" si="174"/>
        <v>369.125</v>
      </c>
      <c r="S319" s="69"/>
      <c r="T319" s="70">
        <f t="shared" si="175"/>
        <v>6.9975</v>
      </c>
      <c r="U319" s="69"/>
      <c r="V319" s="69"/>
      <c r="W319" s="71">
        <f t="shared" si="173"/>
        <v>376.1225</v>
      </c>
      <c r="X319" s="72">
        <f t="shared" si="176"/>
        <v>16.7775</v>
      </c>
      <c r="Y319" s="72"/>
      <c r="Z319" s="72"/>
      <c r="AA319" s="72">
        <f t="shared" si="170"/>
        <v>16.7775</v>
      </c>
      <c r="AB319" s="81">
        <v>7.11</v>
      </c>
      <c r="AC319" s="69">
        <f t="shared" si="171"/>
        <v>119.288025</v>
      </c>
      <c r="AD319" s="69">
        <f t="shared" si="169"/>
        <v>495.410525</v>
      </c>
      <c r="AE319" s="69">
        <f t="shared" si="172"/>
        <v>304.589475</v>
      </c>
    </row>
    <row r="320" customFormat="1" spans="1:31">
      <c r="A320" s="19"/>
      <c r="B320" s="20"/>
      <c r="C320" s="21">
        <v>241011000046</v>
      </c>
      <c r="D320" s="22">
        <v>45583</v>
      </c>
      <c r="E320" s="22" t="s">
        <v>47</v>
      </c>
      <c r="F320" s="20" t="s">
        <v>47</v>
      </c>
      <c r="G320" s="20" t="s">
        <v>49</v>
      </c>
      <c r="H320" s="20">
        <v>0.76</v>
      </c>
      <c r="I320" s="39">
        <v>115</v>
      </c>
      <c r="J320" s="40"/>
      <c r="K320" s="41"/>
      <c r="L320" s="20"/>
      <c r="M320" s="41"/>
      <c r="N320" s="42"/>
      <c r="O320" s="43">
        <f t="shared" si="177"/>
        <v>115</v>
      </c>
      <c r="P320" s="45"/>
      <c r="Q320" s="45"/>
      <c r="R320" s="69">
        <f t="shared" si="174"/>
        <v>70.13375</v>
      </c>
      <c r="S320" s="69"/>
      <c r="T320" s="70">
        <f t="shared" si="175"/>
        <v>1.329525</v>
      </c>
      <c r="U320" s="69"/>
      <c r="V320" s="69"/>
      <c r="W320" s="71">
        <f t="shared" si="173"/>
        <v>71.463275</v>
      </c>
      <c r="X320" s="72">
        <f t="shared" si="176"/>
        <v>3.187725</v>
      </c>
      <c r="Y320" s="72"/>
      <c r="Z320" s="72"/>
      <c r="AA320" s="72">
        <f t="shared" si="170"/>
        <v>3.187725</v>
      </c>
      <c r="AB320" s="81">
        <v>7.11</v>
      </c>
      <c r="AC320" s="69">
        <f t="shared" si="171"/>
        <v>22.66472475</v>
      </c>
      <c r="AD320" s="69">
        <f t="shared" si="169"/>
        <v>94.12799975</v>
      </c>
      <c r="AE320" s="69">
        <f t="shared" si="172"/>
        <v>20.87200025</v>
      </c>
    </row>
    <row r="321" customFormat="1" spans="1:31">
      <c r="A321" s="19"/>
      <c r="B321" s="20"/>
      <c r="C321" s="21">
        <v>241011000054</v>
      </c>
      <c r="D321" s="22">
        <v>45583</v>
      </c>
      <c r="E321" s="22" t="s">
        <v>41</v>
      </c>
      <c r="F321" s="20" t="s">
        <v>42</v>
      </c>
      <c r="G321" s="20" t="s">
        <v>106</v>
      </c>
      <c r="H321" s="20">
        <v>0.42</v>
      </c>
      <c r="I321" s="43"/>
      <c r="J321" s="46">
        <v>61100</v>
      </c>
      <c r="K321" s="41"/>
      <c r="L321" s="47">
        <f>SUM(J321/M321)</f>
        <v>1711.00532063848</v>
      </c>
      <c r="M321" s="48">
        <v>35.71</v>
      </c>
      <c r="N321" s="42">
        <v>7.11</v>
      </c>
      <c r="O321" s="43">
        <f>SUM(M321*N321)</f>
        <v>253.8981</v>
      </c>
      <c r="P321" s="45"/>
      <c r="Q321" s="45"/>
      <c r="R321" s="69">
        <f t="shared" si="174"/>
        <v>38.758125</v>
      </c>
      <c r="S321" s="69"/>
      <c r="T321" s="70">
        <f t="shared" si="175"/>
        <v>0.7347375</v>
      </c>
      <c r="U321" s="69"/>
      <c r="V321" s="69"/>
      <c r="W321" s="71">
        <f t="shared" si="173"/>
        <v>39.4928625</v>
      </c>
      <c r="X321" s="72">
        <f t="shared" si="176"/>
        <v>1.7616375</v>
      </c>
      <c r="Y321" s="72"/>
      <c r="Z321" s="72"/>
      <c r="AA321" s="72">
        <f t="shared" si="170"/>
        <v>1.7616375</v>
      </c>
      <c r="AB321" s="81">
        <v>7.11</v>
      </c>
      <c r="AC321" s="69">
        <f t="shared" si="171"/>
        <v>12.525242625</v>
      </c>
      <c r="AD321" s="69">
        <f t="shared" si="169"/>
        <v>52.018105125</v>
      </c>
      <c r="AE321" s="69">
        <f t="shared" si="172"/>
        <v>201.879994875</v>
      </c>
    </row>
    <row r="322" customFormat="1" spans="1:31">
      <c r="A322" s="19"/>
      <c r="B322" s="20"/>
      <c r="C322" s="21">
        <v>241012000003</v>
      </c>
      <c r="D322" s="22">
        <v>45583</v>
      </c>
      <c r="E322" s="22" t="s">
        <v>37</v>
      </c>
      <c r="F322" s="20" t="s">
        <v>38</v>
      </c>
      <c r="G322" s="20" t="s">
        <v>267</v>
      </c>
      <c r="H322" s="20">
        <v>2</v>
      </c>
      <c r="I322" s="39">
        <v>230</v>
      </c>
      <c r="J322" s="40"/>
      <c r="K322" s="41"/>
      <c r="L322" s="20"/>
      <c r="M322" s="41"/>
      <c r="N322" s="42"/>
      <c r="O322" s="43">
        <f t="shared" ref="O322:O326" si="178">SUM(I322)</f>
        <v>230</v>
      </c>
      <c r="P322" s="45"/>
      <c r="Q322" s="45"/>
      <c r="R322" s="69">
        <f t="shared" si="174"/>
        <v>184.5625</v>
      </c>
      <c r="S322" s="69"/>
      <c r="T322" s="70">
        <f t="shared" si="175"/>
        <v>3.49875</v>
      </c>
      <c r="U322" s="69"/>
      <c r="V322" s="69"/>
      <c r="W322" s="71">
        <f t="shared" si="173"/>
        <v>188.06125</v>
      </c>
      <c r="X322" s="72">
        <f t="shared" si="176"/>
        <v>8.38875</v>
      </c>
      <c r="Y322" s="72"/>
      <c r="Z322" s="72"/>
      <c r="AA322" s="72">
        <f t="shared" si="170"/>
        <v>8.38875</v>
      </c>
      <c r="AB322" s="81">
        <v>7.11</v>
      </c>
      <c r="AC322" s="69">
        <f t="shared" si="171"/>
        <v>59.6440125</v>
      </c>
      <c r="AD322" s="69">
        <f t="shared" si="169"/>
        <v>247.7052625</v>
      </c>
      <c r="AE322" s="69">
        <f t="shared" si="172"/>
        <v>-17.7052625</v>
      </c>
    </row>
    <row r="323" customFormat="1" spans="1:31">
      <c r="A323" s="19"/>
      <c r="B323" s="20"/>
      <c r="C323" s="21">
        <v>241012000016</v>
      </c>
      <c r="D323" s="22">
        <v>45583</v>
      </c>
      <c r="E323" s="22" t="s">
        <v>37</v>
      </c>
      <c r="F323" s="20" t="s">
        <v>53</v>
      </c>
      <c r="G323" s="20" t="s">
        <v>54</v>
      </c>
      <c r="H323" s="20">
        <v>0.48</v>
      </c>
      <c r="I323" s="43"/>
      <c r="J323" s="46">
        <v>28112</v>
      </c>
      <c r="K323" s="41"/>
      <c r="L323" s="47">
        <f>SUM(J323/M323)</f>
        <v>1711.01643335362</v>
      </c>
      <c r="M323" s="48">
        <v>16.43</v>
      </c>
      <c r="N323" s="42">
        <v>7.11</v>
      </c>
      <c r="O323" s="43">
        <f>SUM(M323*N323)</f>
        <v>116.8173</v>
      </c>
      <c r="P323" s="45"/>
      <c r="Q323" s="45"/>
      <c r="R323" s="69">
        <f t="shared" si="174"/>
        <v>44.295</v>
      </c>
      <c r="S323" s="69"/>
      <c r="T323" s="70">
        <f t="shared" si="175"/>
        <v>0.8397</v>
      </c>
      <c r="U323" s="69"/>
      <c r="V323" s="69"/>
      <c r="W323" s="71">
        <f t="shared" si="173"/>
        <v>45.1347</v>
      </c>
      <c r="X323" s="72">
        <f t="shared" si="176"/>
        <v>2.0133</v>
      </c>
      <c r="Y323" s="72"/>
      <c r="Z323" s="72"/>
      <c r="AA323" s="72">
        <f t="shared" si="170"/>
        <v>2.0133</v>
      </c>
      <c r="AB323" s="81">
        <v>7.11</v>
      </c>
      <c r="AC323" s="69">
        <f t="shared" si="171"/>
        <v>14.314563</v>
      </c>
      <c r="AD323" s="69">
        <f t="shared" si="169"/>
        <v>59.449263</v>
      </c>
      <c r="AE323" s="69">
        <f t="shared" si="172"/>
        <v>57.368037</v>
      </c>
    </row>
    <row r="324" customFormat="1" spans="1:31">
      <c r="A324" s="19"/>
      <c r="B324" s="20"/>
      <c r="C324" s="21">
        <v>241012000026</v>
      </c>
      <c r="D324" s="22">
        <v>45583</v>
      </c>
      <c r="E324" s="22" t="s">
        <v>41</v>
      </c>
      <c r="F324" s="20" t="s">
        <v>42</v>
      </c>
      <c r="G324" s="20" t="s">
        <v>43</v>
      </c>
      <c r="H324" s="20">
        <v>3.5</v>
      </c>
      <c r="I324" s="39">
        <v>850</v>
      </c>
      <c r="J324" s="40"/>
      <c r="K324" s="41"/>
      <c r="L324" s="20"/>
      <c r="M324" s="41"/>
      <c r="N324" s="42"/>
      <c r="O324" s="43">
        <f t="shared" si="178"/>
        <v>850</v>
      </c>
      <c r="P324" s="45"/>
      <c r="Q324" s="45"/>
      <c r="R324" s="69">
        <f t="shared" si="174"/>
        <v>322.984375</v>
      </c>
      <c r="S324" s="69"/>
      <c r="T324" s="70">
        <f t="shared" si="175"/>
        <v>6.1228125</v>
      </c>
      <c r="U324" s="69"/>
      <c r="V324" s="69"/>
      <c r="W324" s="71">
        <f t="shared" si="173"/>
        <v>329.1071875</v>
      </c>
      <c r="X324" s="72">
        <f t="shared" si="176"/>
        <v>14.6803125</v>
      </c>
      <c r="Y324" s="72"/>
      <c r="Z324" s="72"/>
      <c r="AA324" s="72">
        <f t="shared" si="170"/>
        <v>14.6803125</v>
      </c>
      <c r="AB324" s="81">
        <v>7.11</v>
      </c>
      <c r="AC324" s="69">
        <f t="shared" si="171"/>
        <v>104.377021875</v>
      </c>
      <c r="AD324" s="69">
        <f t="shared" si="169"/>
        <v>433.484209375</v>
      </c>
      <c r="AE324" s="69">
        <f t="shared" si="172"/>
        <v>416.515790625</v>
      </c>
    </row>
    <row r="325" customFormat="1" spans="1:31">
      <c r="A325" s="19"/>
      <c r="B325" s="20"/>
      <c r="C325" s="21">
        <v>241012000027</v>
      </c>
      <c r="D325" s="22">
        <v>45583</v>
      </c>
      <c r="E325" s="22" t="s">
        <v>41</v>
      </c>
      <c r="F325" s="20" t="s">
        <v>42</v>
      </c>
      <c r="G325" s="20" t="s">
        <v>43</v>
      </c>
      <c r="H325" s="20">
        <v>3</v>
      </c>
      <c r="I325" s="39">
        <v>850</v>
      </c>
      <c r="J325" s="40"/>
      <c r="K325" s="41"/>
      <c r="L325" s="20"/>
      <c r="M325" s="41"/>
      <c r="N325" s="42"/>
      <c r="O325" s="43">
        <f t="shared" si="178"/>
        <v>850</v>
      </c>
      <c r="P325" s="45"/>
      <c r="Q325" s="45"/>
      <c r="R325" s="69">
        <f t="shared" si="174"/>
        <v>276.84375</v>
      </c>
      <c r="S325" s="69"/>
      <c r="T325" s="70">
        <f t="shared" si="175"/>
        <v>5.248125</v>
      </c>
      <c r="U325" s="69"/>
      <c r="V325" s="69"/>
      <c r="W325" s="71">
        <f t="shared" si="173"/>
        <v>282.091875</v>
      </c>
      <c r="X325" s="72">
        <f t="shared" si="176"/>
        <v>12.583125</v>
      </c>
      <c r="Y325" s="72"/>
      <c r="Z325" s="72"/>
      <c r="AA325" s="72">
        <f t="shared" si="170"/>
        <v>12.583125</v>
      </c>
      <c r="AB325" s="81">
        <v>7.11</v>
      </c>
      <c r="AC325" s="69">
        <f t="shared" si="171"/>
        <v>89.46601875</v>
      </c>
      <c r="AD325" s="69">
        <f t="shared" si="169"/>
        <v>371.55789375</v>
      </c>
      <c r="AE325" s="69">
        <f t="shared" si="172"/>
        <v>478.44210625</v>
      </c>
    </row>
    <row r="326" customFormat="1" spans="1:31">
      <c r="A326" s="19"/>
      <c r="B326" s="20"/>
      <c r="C326" s="21">
        <v>241012000036</v>
      </c>
      <c r="D326" s="22">
        <v>45583</v>
      </c>
      <c r="E326" s="22" t="s">
        <v>41</v>
      </c>
      <c r="F326" s="20" t="s">
        <v>42</v>
      </c>
      <c r="G326" s="20" t="s">
        <v>43</v>
      </c>
      <c r="H326" s="20">
        <v>2</v>
      </c>
      <c r="I326" s="39">
        <v>750</v>
      </c>
      <c r="J326" s="40"/>
      <c r="K326" s="41"/>
      <c r="L326" s="20"/>
      <c r="M326" s="41"/>
      <c r="N326" s="42"/>
      <c r="O326" s="43">
        <f t="shared" si="178"/>
        <v>750</v>
      </c>
      <c r="P326" s="45"/>
      <c r="Q326" s="45"/>
      <c r="R326" s="69">
        <f t="shared" si="174"/>
        <v>184.5625</v>
      </c>
      <c r="S326" s="69"/>
      <c r="T326" s="70">
        <f t="shared" si="175"/>
        <v>3.49875</v>
      </c>
      <c r="U326" s="69"/>
      <c r="V326" s="69"/>
      <c r="W326" s="71">
        <f t="shared" si="173"/>
        <v>188.06125</v>
      </c>
      <c r="X326" s="72">
        <f t="shared" si="176"/>
        <v>8.38875</v>
      </c>
      <c r="Y326" s="72"/>
      <c r="Z326" s="72"/>
      <c r="AA326" s="72">
        <f t="shared" si="170"/>
        <v>8.38875</v>
      </c>
      <c r="AB326" s="81">
        <v>7.11</v>
      </c>
      <c r="AC326" s="69">
        <f t="shared" si="171"/>
        <v>59.6440125</v>
      </c>
      <c r="AD326" s="69">
        <f t="shared" si="169"/>
        <v>247.7052625</v>
      </c>
      <c r="AE326" s="69">
        <f t="shared" si="172"/>
        <v>502.2947375</v>
      </c>
    </row>
    <row r="327" customFormat="1" spans="1:31">
      <c r="A327" s="19"/>
      <c r="B327" s="20"/>
      <c r="C327" s="21">
        <v>241012000041</v>
      </c>
      <c r="D327" s="22">
        <v>45583</v>
      </c>
      <c r="E327" s="22" t="s">
        <v>66</v>
      </c>
      <c r="F327" s="20" t="s">
        <v>67</v>
      </c>
      <c r="G327" s="20" t="s">
        <v>295</v>
      </c>
      <c r="H327" s="20">
        <v>0.95</v>
      </c>
      <c r="I327" s="50"/>
      <c r="J327" s="46">
        <v>41395</v>
      </c>
      <c r="K327" s="41"/>
      <c r="L327" s="47">
        <f>SUM(J327/M327)</f>
        <v>1731.28398159766</v>
      </c>
      <c r="M327" s="48">
        <v>23.91</v>
      </c>
      <c r="N327" s="42">
        <v>7.11</v>
      </c>
      <c r="O327" s="43">
        <f t="shared" ref="O327:O332" si="179">SUM(M327*N327)</f>
        <v>170.0001</v>
      </c>
      <c r="P327" s="45"/>
      <c r="Q327" s="45"/>
      <c r="R327" s="69">
        <f t="shared" si="174"/>
        <v>87.6671875</v>
      </c>
      <c r="S327" s="69"/>
      <c r="T327" s="70">
        <f t="shared" si="175"/>
        <v>1.66190625</v>
      </c>
      <c r="U327" s="69"/>
      <c r="V327" s="69"/>
      <c r="W327" s="71">
        <f t="shared" si="173"/>
        <v>89.32909375</v>
      </c>
      <c r="X327" s="72">
        <f t="shared" si="176"/>
        <v>3.98465625</v>
      </c>
      <c r="Y327" s="72"/>
      <c r="Z327" s="72"/>
      <c r="AA327" s="72">
        <f t="shared" si="170"/>
        <v>3.98465625</v>
      </c>
      <c r="AB327" s="81">
        <v>7.11</v>
      </c>
      <c r="AC327" s="69">
        <f t="shared" ref="AC327:AC358" si="180">SUM(AA327*AB327)</f>
        <v>28.3309059375</v>
      </c>
      <c r="AD327" s="69">
        <f t="shared" si="169"/>
        <v>117.6599996875</v>
      </c>
      <c r="AE327" s="69">
        <f t="shared" si="172"/>
        <v>52.3401003125</v>
      </c>
    </row>
    <row r="328" customFormat="1" spans="1:31">
      <c r="A328" s="19"/>
      <c r="B328" s="20"/>
      <c r="C328" s="21">
        <v>241014000049</v>
      </c>
      <c r="D328" s="22">
        <v>45583</v>
      </c>
      <c r="E328" s="22" t="s">
        <v>66</v>
      </c>
      <c r="F328" s="20" t="s">
        <v>67</v>
      </c>
      <c r="G328" s="20" t="s">
        <v>256</v>
      </c>
      <c r="H328" s="20">
        <v>0.22</v>
      </c>
      <c r="I328" s="39">
        <v>120</v>
      </c>
      <c r="J328" s="40"/>
      <c r="K328" s="41"/>
      <c r="L328" s="20"/>
      <c r="M328" s="41"/>
      <c r="N328" s="42"/>
      <c r="O328" s="43">
        <f t="shared" ref="O328:O331" si="181">SUM(I328)</f>
        <v>120</v>
      </c>
      <c r="P328" s="45"/>
      <c r="Q328" s="45"/>
      <c r="R328" s="69">
        <f t="shared" si="174"/>
        <v>20.301875</v>
      </c>
      <c r="S328" s="69"/>
      <c r="T328" s="70">
        <f t="shared" si="175"/>
        <v>0.3848625</v>
      </c>
      <c r="U328" s="69"/>
      <c r="V328" s="69"/>
      <c r="W328" s="71">
        <f t="shared" si="173"/>
        <v>20.6867375</v>
      </c>
      <c r="X328" s="72">
        <f t="shared" si="176"/>
        <v>0.9227625</v>
      </c>
      <c r="Y328" s="72"/>
      <c r="Z328" s="72"/>
      <c r="AA328" s="72">
        <f t="shared" si="170"/>
        <v>0.9227625</v>
      </c>
      <c r="AB328" s="81">
        <v>7.11</v>
      </c>
      <c r="AC328" s="69">
        <f t="shared" si="180"/>
        <v>6.560841375</v>
      </c>
      <c r="AD328" s="69">
        <f t="shared" si="169"/>
        <v>27.247578875</v>
      </c>
      <c r="AE328" s="69">
        <f t="shared" si="172"/>
        <v>92.752421125</v>
      </c>
    </row>
    <row r="329" customFormat="1" spans="1:31">
      <c r="A329" s="19"/>
      <c r="B329" s="20"/>
      <c r="C329" s="21">
        <v>241014000055</v>
      </c>
      <c r="D329" s="22">
        <v>45583</v>
      </c>
      <c r="E329" s="22" t="s">
        <v>41</v>
      </c>
      <c r="F329" s="20" t="s">
        <v>42</v>
      </c>
      <c r="G329" s="20" t="s">
        <v>296</v>
      </c>
      <c r="H329" s="20">
        <v>2</v>
      </c>
      <c r="I329" s="39">
        <v>290</v>
      </c>
      <c r="J329" s="40"/>
      <c r="K329" s="41"/>
      <c r="L329" s="20"/>
      <c r="M329" s="41"/>
      <c r="N329" s="42"/>
      <c r="O329" s="43">
        <f t="shared" si="181"/>
        <v>290</v>
      </c>
      <c r="P329" s="45"/>
      <c r="Q329" s="45"/>
      <c r="R329" s="69">
        <f t="shared" si="174"/>
        <v>184.5625</v>
      </c>
      <c r="S329" s="69"/>
      <c r="T329" s="70">
        <f t="shared" si="175"/>
        <v>3.49875</v>
      </c>
      <c r="U329" s="69"/>
      <c r="V329" s="69"/>
      <c r="W329" s="71">
        <f t="shared" si="173"/>
        <v>188.06125</v>
      </c>
      <c r="X329" s="72">
        <f t="shared" si="176"/>
        <v>8.38875</v>
      </c>
      <c r="Y329" s="72"/>
      <c r="Z329" s="72"/>
      <c r="AA329" s="72">
        <f t="shared" ref="AA329:AA360" si="182">SUM(X329:Z329)</f>
        <v>8.38875</v>
      </c>
      <c r="AB329" s="81">
        <v>7.11</v>
      </c>
      <c r="AC329" s="69">
        <f t="shared" si="180"/>
        <v>59.6440125</v>
      </c>
      <c r="AD329" s="69">
        <f t="shared" ref="AD329:AD360" si="183">SUM(W329+AC329)</f>
        <v>247.7052625</v>
      </c>
      <c r="AE329" s="69">
        <f t="shared" ref="AE329:AE360" si="184">SUM(O329-AD329)</f>
        <v>42.2947375</v>
      </c>
    </row>
    <row r="330" customFormat="1" spans="1:31">
      <c r="A330" s="19"/>
      <c r="B330" s="20"/>
      <c r="C330" s="21">
        <v>241015000022</v>
      </c>
      <c r="D330" s="22">
        <v>45583</v>
      </c>
      <c r="E330" s="22" t="s">
        <v>47</v>
      </c>
      <c r="F330" s="20" t="s">
        <v>297</v>
      </c>
      <c r="G330" s="20" t="s">
        <v>298</v>
      </c>
      <c r="H330" s="20">
        <v>6.5</v>
      </c>
      <c r="I330" s="43"/>
      <c r="J330" s="46">
        <v>210812</v>
      </c>
      <c r="K330" s="41"/>
      <c r="L330" s="47">
        <f>SUM(J330/M330)</f>
        <v>1710.99734510207</v>
      </c>
      <c r="M330" s="48">
        <v>123.21001</v>
      </c>
      <c r="N330" s="42">
        <v>7.11</v>
      </c>
      <c r="O330" s="43">
        <f t="shared" si="179"/>
        <v>876.0231711</v>
      </c>
      <c r="P330" s="49"/>
      <c r="Q330" s="49"/>
      <c r="R330" s="69">
        <f t="shared" si="174"/>
        <v>599.828125</v>
      </c>
      <c r="S330" s="69"/>
      <c r="T330" s="70">
        <f t="shared" si="175"/>
        <v>11.3709375</v>
      </c>
      <c r="U330" s="69"/>
      <c r="V330" s="69"/>
      <c r="W330" s="71">
        <f t="shared" ref="W330:W361" si="185">SUM(R330:V330)</f>
        <v>611.1990625</v>
      </c>
      <c r="X330" s="72">
        <f t="shared" si="176"/>
        <v>27.2634375</v>
      </c>
      <c r="Y330" s="72"/>
      <c r="Z330" s="72"/>
      <c r="AA330" s="72">
        <f t="shared" si="182"/>
        <v>27.2634375</v>
      </c>
      <c r="AB330" s="81">
        <v>7.11</v>
      </c>
      <c r="AC330" s="69">
        <f t="shared" si="180"/>
        <v>193.843040625</v>
      </c>
      <c r="AD330" s="69">
        <f t="shared" si="183"/>
        <v>805.042103125</v>
      </c>
      <c r="AE330" s="69">
        <f t="shared" si="184"/>
        <v>70.9810679750001</v>
      </c>
    </row>
    <row r="331" customFormat="1" spans="1:31">
      <c r="A331" s="19" t="s">
        <v>299</v>
      </c>
      <c r="B331" s="20" t="s">
        <v>300</v>
      </c>
      <c r="C331" s="21">
        <v>241002000005</v>
      </c>
      <c r="D331" s="22">
        <v>45583</v>
      </c>
      <c r="E331" s="22" t="s">
        <v>55</v>
      </c>
      <c r="F331" s="20" t="s">
        <v>56</v>
      </c>
      <c r="G331" s="20" t="s">
        <v>152</v>
      </c>
      <c r="H331" s="20">
        <v>26</v>
      </c>
      <c r="I331" s="39">
        <v>1438</v>
      </c>
      <c r="J331" s="40"/>
      <c r="K331" s="41"/>
      <c r="L331" s="20"/>
      <c r="M331" s="41"/>
      <c r="N331" s="42"/>
      <c r="O331" s="43">
        <f t="shared" si="181"/>
        <v>1438</v>
      </c>
      <c r="P331" s="44">
        <f>SUM(O331:O392)</f>
        <v>101851.8578156</v>
      </c>
      <c r="Q331" s="44" t="s">
        <v>95</v>
      </c>
      <c r="R331" s="69">
        <f>SUM(75119.5/1703)*H331</f>
        <v>1146.86259541985</v>
      </c>
      <c r="S331" s="69">
        <f>SUM(270/1703)*H331</f>
        <v>4.12213740458015</v>
      </c>
      <c r="T331" s="70">
        <f>SUM(208/1703)*H331</f>
        <v>3.17557251908397</v>
      </c>
      <c r="U331" s="69"/>
      <c r="V331" s="69"/>
      <c r="W331" s="71">
        <f t="shared" si="185"/>
        <v>1154.16030534351</v>
      </c>
      <c r="X331" s="72">
        <f>SUM(1108.05/1703)*H331</f>
        <v>16.9167938931298</v>
      </c>
      <c r="Y331" s="72"/>
      <c r="Z331" s="72"/>
      <c r="AA331" s="72">
        <f t="shared" si="182"/>
        <v>16.9167938931298</v>
      </c>
      <c r="AB331" s="81">
        <v>7.11</v>
      </c>
      <c r="AC331" s="69">
        <f t="shared" si="180"/>
        <v>120.278404580153</v>
      </c>
      <c r="AD331" s="69">
        <f t="shared" si="183"/>
        <v>1274.43870992366</v>
      </c>
      <c r="AE331" s="69">
        <f t="shared" si="184"/>
        <v>163.561290076336</v>
      </c>
    </row>
    <row r="332" customFormat="1" spans="1:31">
      <c r="A332" s="19"/>
      <c r="B332" s="20"/>
      <c r="C332" s="21">
        <v>241005000003</v>
      </c>
      <c r="D332" s="22">
        <v>45583</v>
      </c>
      <c r="E332" s="22" t="s">
        <v>37</v>
      </c>
      <c r="F332" s="20" t="s">
        <v>38</v>
      </c>
      <c r="G332" s="20" t="s">
        <v>163</v>
      </c>
      <c r="H332" s="20">
        <v>32.5</v>
      </c>
      <c r="I332" s="50"/>
      <c r="J332" s="46">
        <v>449379</v>
      </c>
      <c r="K332" s="41"/>
      <c r="L332" s="47">
        <f t="shared" ref="L332:L337" si="186">SUM(J332/M332)</f>
        <v>1731.31067961165</v>
      </c>
      <c r="M332" s="48">
        <v>259.56</v>
      </c>
      <c r="N332" s="42">
        <v>7.11</v>
      </c>
      <c r="O332" s="43">
        <f t="shared" si="179"/>
        <v>1845.4716</v>
      </c>
      <c r="P332" s="45"/>
      <c r="Q332" s="45"/>
      <c r="R332" s="69">
        <f t="shared" ref="R332:R363" si="187">SUM(75119.5/1703)*H332</f>
        <v>1433.57824427481</v>
      </c>
      <c r="S332" s="69">
        <f t="shared" ref="S332:S363" si="188">SUM(270/1703)*H332</f>
        <v>5.15267175572519</v>
      </c>
      <c r="T332" s="70">
        <f t="shared" ref="T332:T363" si="189">SUM(208/1703)*H332</f>
        <v>3.96946564885496</v>
      </c>
      <c r="U332" s="70">
        <v>50</v>
      </c>
      <c r="V332" s="69"/>
      <c r="W332" s="71">
        <f t="shared" si="185"/>
        <v>1492.70038167939</v>
      </c>
      <c r="X332" s="72">
        <f t="shared" ref="X332:X363" si="190">SUM(1108.05/1703)*H332</f>
        <v>21.1459923664122</v>
      </c>
      <c r="Y332" s="72"/>
      <c r="Z332" s="72"/>
      <c r="AA332" s="72">
        <f t="shared" si="182"/>
        <v>21.1459923664122</v>
      </c>
      <c r="AB332" s="81">
        <v>7.11</v>
      </c>
      <c r="AC332" s="69">
        <f t="shared" si="180"/>
        <v>150.348005725191</v>
      </c>
      <c r="AD332" s="69">
        <f t="shared" si="183"/>
        <v>1643.04838740458</v>
      </c>
      <c r="AE332" s="69">
        <f t="shared" si="184"/>
        <v>202.42321259542</v>
      </c>
    </row>
    <row r="333" customFormat="1" spans="1:31">
      <c r="A333" s="19"/>
      <c r="B333" s="20"/>
      <c r="C333" s="21">
        <v>241008000108</v>
      </c>
      <c r="D333" s="22">
        <v>45583</v>
      </c>
      <c r="E333" s="22" t="s">
        <v>47</v>
      </c>
      <c r="F333" s="20" t="s">
        <v>47</v>
      </c>
      <c r="G333" s="20" t="s">
        <v>65</v>
      </c>
      <c r="H333" s="20">
        <v>23.5</v>
      </c>
      <c r="I333" s="39">
        <v>1335.5</v>
      </c>
      <c r="J333" s="40"/>
      <c r="K333" s="41"/>
      <c r="L333" s="20"/>
      <c r="M333" s="41"/>
      <c r="N333" s="42"/>
      <c r="O333" s="43">
        <f t="shared" ref="O333:O339" si="191">SUM(I333)</f>
        <v>1335.5</v>
      </c>
      <c r="P333" s="45"/>
      <c r="Q333" s="45"/>
      <c r="R333" s="69">
        <f t="shared" si="187"/>
        <v>1036.58734586025</v>
      </c>
      <c r="S333" s="69">
        <f t="shared" si="188"/>
        <v>3.72577803875514</v>
      </c>
      <c r="T333" s="70">
        <f t="shared" si="189"/>
        <v>2.87022900763359</v>
      </c>
      <c r="U333" s="69"/>
      <c r="V333" s="69"/>
      <c r="W333" s="71">
        <f t="shared" si="185"/>
        <v>1043.18335290664</v>
      </c>
      <c r="X333" s="72">
        <f t="shared" si="190"/>
        <v>15.2901790957134</v>
      </c>
      <c r="Y333" s="72"/>
      <c r="Z333" s="72"/>
      <c r="AA333" s="72">
        <f t="shared" si="182"/>
        <v>15.2901790957134</v>
      </c>
      <c r="AB333" s="81">
        <v>7.11</v>
      </c>
      <c r="AC333" s="69">
        <f t="shared" si="180"/>
        <v>108.713173370523</v>
      </c>
      <c r="AD333" s="69">
        <f t="shared" si="183"/>
        <v>1151.89652627716</v>
      </c>
      <c r="AE333" s="69">
        <f t="shared" si="184"/>
        <v>183.603473722842</v>
      </c>
    </row>
    <row r="334" customFormat="1" spans="1:31">
      <c r="A334" s="19"/>
      <c r="B334" s="20"/>
      <c r="C334" s="21">
        <v>241009000014</v>
      </c>
      <c r="D334" s="22">
        <v>45583</v>
      </c>
      <c r="E334" s="22" t="s">
        <v>41</v>
      </c>
      <c r="F334" s="20" t="s">
        <v>42</v>
      </c>
      <c r="G334" s="20" t="s">
        <v>283</v>
      </c>
      <c r="H334" s="20">
        <v>6</v>
      </c>
      <c r="I334" s="43"/>
      <c r="J334" s="46">
        <v>85819</v>
      </c>
      <c r="K334" s="41"/>
      <c r="L334" s="47">
        <f t="shared" si="186"/>
        <v>1725.00502512563</v>
      </c>
      <c r="M334" s="48">
        <v>49.75</v>
      </c>
      <c r="N334" s="42">
        <v>7.11</v>
      </c>
      <c r="O334" s="43">
        <f t="shared" ref="O334:O337" si="192">SUM(M334*N334)</f>
        <v>353.7225</v>
      </c>
      <c r="P334" s="45"/>
      <c r="Q334" s="45"/>
      <c r="R334" s="69">
        <f t="shared" si="187"/>
        <v>264.660598943042</v>
      </c>
      <c r="S334" s="69">
        <f t="shared" si="188"/>
        <v>0.951262477980035</v>
      </c>
      <c r="T334" s="70">
        <f t="shared" si="189"/>
        <v>0.732824427480916</v>
      </c>
      <c r="U334" s="69"/>
      <c r="V334" s="69"/>
      <c r="W334" s="71">
        <f t="shared" si="185"/>
        <v>266.344685848503</v>
      </c>
      <c r="X334" s="72">
        <f t="shared" si="190"/>
        <v>3.90387551379918</v>
      </c>
      <c r="Y334" s="72"/>
      <c r="Z334" s="72"/>
      <c r="AA334" s="72">
        <f t="shared" si="182"/>
        <v>3.90387551379918</v>
      </c>
      <c r="AB334" s="81">
        <v>7.11</v>
      </c>
      <c r="AC334" s="69">
        <f t="shared" si="180"/>
        <v>27.7565549031122</v>
      </c>
      <c r="AD334" s="69">
        <f t="shared" si="183"/>
        <v>294.101240751615</v>
      </c>
      <c r="AE334" s="69">
        <f t="shared" si="184"/>
        <v>59.6212592483852</v>
      </c>
    </row>
    <row r="335" customFormat="1" spans="1:31">
      <c r="A335" s="19"/>
      <c r="B335" s="20"/>
      <c r="C335" s="21">
        <v>241009000032</v>
      </c>
      <c r="D335" s="22">
        <v>45583</v>
      </c>
      <c r="E335" s="22" t="s">
        <v>88</v>
      </c>
      <c r="F335" s="20" t="s">
        <v>301</v>
      </c>
      <c r="G335" s="20" t="s">
        <v>302</v>
      </c>
      <c r="H335" s="20">
        <v>2.5</v>
      </c>
      <c r="I335" s="43"/>
      <c r="J335" s="40"/>
      <c r="K335" s="41"/>
      <c r="L335" s="20"/>
      <c r="M335" s="41">
        <v>23.4</v>
      </c>
      <c r="N335" s="42">
        <v>7.11</v>
      </c>
      <c r="O335" s="43">
        <f t="shared" si="192"/>
        <v>166.374</v>
      </c>
      <c r="P335" s="45"/>
      <c r="Q335" s="45"/>
      <c r="R335" s="69">
        <f t="shared" si="187"/>
        <v>110.275249559601</v>
      </c>
      <c r="S335" s="69">
        <f t="shared" si="188"/>
        <v>0.396359365825015</v>
      </c>
      <c r="T335" s="70">
        <f t="shared" si="189"/>
        <v>0.305343511450382</v>
      </c>
      <c r="U335" s="69"/>
      <c r="V335" s="69"/>
      <c r="W335" s="71">
        <f t="shared" si="185"/>
        <v>110.976952436876</v>
      </c>
      <c r="X335" s="72">
        <f t="shared" si="190"/>
        <v>1.62661479741632</v>
      </c>
      <c r="Y335" s="72"/>
      <c r="Z335" s="72"/>
      <c r="AA335" s="72">
        <f t="shared" si="182"/>
        <v>1.62661479741632</v>
      </c>
      <c r="AB335" s="81">
        <v>7.11</v>
      </c>
      <c r="AC335" s="69">
        <f t="shared" si="180"/>
        <v>11.5652312096301</v>
      </c>
      <c r="AD335" s="69">
        <f t="shared" si="183"/>
        <v>122.542183646506</v>
      </c>
      <c r="AE335" s="69">
        <f t="shared" si="184"/>
        <v>43.8318163534938</v>
      </c>
    </row>
    <row r="336" customFormat="1" spans="1:31">
      <c r="A336" s="19"/>
      <c r="B336" s="20"/>
      <c r="C336" s="21">
        <v>241009000043</v>
      </c>
      <c r="D336" s="22">
        <v>45583</v>
      </c>
      <c r="E336" s="22" t="s">
        <v>37</v>
      </c>
      <c r="F336" s="20" t="s">
        <v>38</v>
      </c>
      <c r="G336" s="20" t="s">
        <v>303</v>
      </c>
      <c r="H336" s="20">
        <v>6</v>
      </c>
      <c r="I336" s="39">
        <v>348</v>
      </c>
      <c r="J336" s="40"/>
      <c r="K336" s="41"/>
      <c r="L336" s="20"/>
      <c r="M336" s="41"/>
      <c r="N336" s="42"/>
      <c r="O336" s="43">
        <f t="shared" si="191"/>
        <v>348</v>
      </c>
      <c r="P336" s="45"/>
      <c r="Q336" s="45"/>
      <c r="R336" s="69">
        <f t="shared" si="187"/>
        <v>264.660598943042</v>
      </c>
      <c r="S336" s="69">
        <f t="shared" si="188"/>
        <v>0.951262477980035</v>
      </c>
      <c r="T336" s="70">
        <f t="shared" si="189"/>
        <v>0.732824427480916</v>
      </c>
      <c r="U336" s="69"/>
      <c r="V336" s="69"/>
      <c r="W336" s="71">
        <f t="shared" si="185"/>
        <v>266.344685848503</v>
      </c>
      <c r="X336" s="72">
        <f t="shared" si="190"/>
        <v>3.90387551379918</v>
      </c>
      <c r="Y336" s="72"/>
      <c r="Z336" s="72"/>
      <c r="AA336" s="72">
        <f t="shared" si="182"/>
        <v>3.90387551379918</v>
      </c>
      <c r="AB336" s="81">
        <v>7.11</v>
      </c>
      <c r="AC336" s="69">
        <f t="shared" si="180"/>
        <v>27.7565549031122</v>
      </c>
      <c r="AD336" s="69">
        <f t="shared" si="183"/>
        <v>294.101240751615</v>
      </c>
      <c r="AE336" s="69">
        <f t="shared" si="184"/>
        <v>53.8987592483852</v>
      </c>
    </row>
    <row r="337" customFormat="1" spans="1:31">
      <c r="A337" s="19"/>
      <c r="B337" s="20"/>
      <c r="C337" s="21">
        <v>241010000008</v>
      </c>
      <c r="D337" s="22">
        <v>45583</v>
      </c>
      <c r="E337" s="22" t="s">
        <v>55</v>
      </c>
      <c r="F337" s="20" t="s">
        <v>56</v>
      </c>
      <c r="G337" s="20" t="s">
        <v>103</v>
      </c>
      <c r="H337" s="20">
        <v>64</v>
      </c>
      <c r="I337" s="43"/>
      <c r="J337" s="46">
        <v>917224</v>
      </c>
      <c r="K337" s="41"/>
      <c r="L337" s="47">
        <f t="shared" si="186"/>
        <v>1760.00013508588</v>
      </c>
      <c r="M337" s="48">
        <v>521.14996</v>
      </c>
      <c r="N337" s="42">
        <v>7.11</v>
      </c>
      <c r="O337" s="43">
        <f t="shared" si="192"/>
        <v>3705.3762156</v>
      </c>
      <c r="P337" s="45"/>
      <c r="Q337" s="45"/>
      <c r="R337" s="69">
        <f t="shared" si="187"/>
        <v>2823.04638872578</v>
      </c>
      <c r="S337" s="69">
        <f t="shared" si="188"/>
        <v>10.1467997651204</v>
      </c>
      <c r="T337" s="70">
        <f t="shared" si="189"/>
        <v>7.81679389312977</v>
      </c>
      <c r="U337" s="69"/>
      <c r="V337" s="69"/>
      <c r="W337" s="71">
        <f t="shared" si="185"/>
        <v>2841.00998238403</v>
      </c>
      <c r="X337" s="72">
        <f t="shared" si="190"/>
        <v>41.6413388138579</v>
      </c>
      <c r="Y337" s="72"/>
      <c r="Z337" s="72"/>
      <c r="AA337" s="72">
        <f t="shared" si="182"/>
        <v>41.6413388138579</v>
      </c>
      <c r="AB337" s="81">
        <v>7.11</v>
      </c>
      <c r="AC337" s="69">
        <f t="shared" si="180"/>
        <v>296.06991896653</v>
      </c>
      <c r="AD337" s="69">
        <f t="shared" si="183"/>
        <v>3137.07990135056</v>
      </c>
      <c r="AE337" s="69">
        <f t="shared" si="184"/>
        <v>568.296314249442</v>
      </c>
    </row>
    <row r="338" customFormat="1" spans="1:31">
      <c r="A338" s="19"/>
      <c r="B338" s="20"/>
      <c r="C338" s="21">
        <v>241010000013</v>
      </c>
      <c r="D338" s="22">
        <v>45583</v>
      </c>
      <c r="E338" s="22" t="s">
        <v>66</v>
      </c>
      <c r="F338" s="20" t="s">
        <v>67</v>
      </c>
      <c r="G338" s="20" t="s">
        <v>304</v>
      </c>
      <c r="H338" s="20">
        <v>0.62</v>
      </c>
      <c r="I338" s="39">
        <v>69</v>
      </c>
      <c r="J338" s="40"/>
      <c r="K338" s="41"/>
      <c r="L338" s="20"/>
      <c r="M338" s="41"/>
      <c r="N338" s="42"/>
      <c r="O338" s="43">
        <f t="shared" si="191"/>
        <v>69</v>
      </c>
      <c r="P338" s="45"/>
      <c r="Q338" s="45"/>
      <c r="R338" s="69">
        <f t="shared" si="187"/>
        <v>27.348261890781</v>
      </c>
      <c r="S338" s="69">
        <f t="shared" si="188"/>
        <v>0.0982971227246036</v>
      </c>
      <c r="T338" s="70">
        <f t="shared" si="189"/>
        <v>0.0757251908396947</v>
      </c>
      <c r="U338" s="69"/>
      <c r="V338" s="69"/>
      <c r="W338" s="71">
        <f t="shared" si="185"/>
        <v>27.5222842043453</v>
      </c>
      <c r="X338" s="72">
        <f t="shared" si="190"/>
        <v>0.403400469759248</v>
      </c>
      <c r="Y338" s="72"/>
      <c r="Z338" s="72"/>
      <c r="AA338" s="72">
        <f t="shared" si="182"/>
        <v>0.403400469759248</v>
      </c>
      <c r="AB338" s="81">
        <v>7.11</v>
      </c>
      <c r="AC338" s="69">
        <f t="shared" si="180"/>
        <v>2.86817733998826</v>
      </c>
      <c r="AD338" s="69">
        <f t="shared" si="183"/>
        <v>30.3904615443335</v>
      </c>
      <c r="AE338" s="69">
        <f t="shared" si="184"/>
        <v>38.6095384556665</v>
      </c>
    </row>
    <row r="339" customFormat="1" spans="1:31">
      <c r="A339" s="19"/>
      <c r="B339" s="20"/>
      <c r="C339" s="21">
        <v>241010000019</v>
      </c>
      <c r="D339" s="22">
        <v>45583</v>
      </c>
      <c r="E339" s="22" t="s">
        <v>66</v>
      </c>
      <c r="F339" s="20" t="s">
        <v>67</v>
      </c>
      <c r="G339" s="20" t="s">
        <v>257</v>
      </c>
      <c r="H339" s="20">
        <v>3</v>
      </c>
      <c r="I339" s="39">
        <v>201</v>
      </c>
      <c r="J339" s="40"/>
      <c r="K339" s="41"/>
      <c r="L339" s="20"/>
      <c r="M339" s="41"/>
      <c r="N339" s="42"/>
      <c r="O339" s="43">
        <f t="shared" si="191"/>
        <v>201</v>
      </c>
      <c r="P339" s="45"/>
      <c r="Q339" s="45"/>
      <c r="R339" s="69">
        <f t="shared" si="187"/>
        <v>132.330299471521</v>
      </c>
      <c r="S339" s="69">
        <f t="shared" si="188"/>
        <v>0.475631238990018</v>
      </c>
      <c r="T339" s="70">
        <f t="shared" si="189"/>
        <v>0.366412213740458</v>
      </c>
      <c r="U339" s="69"/>
      <c r="V339" s="69"/>
      <c r="W339" s="71">
        <f t="shared" si="185"/>
        <v>133.172342924251</v>
      </c>
      <c r="X339" s="72">
        <f t="shared" si="190"/>
        <v>1.95193775689959</v>
      </c>
      <c r="Y339" s="72"/>
      <c r="Z339" s="72"/>
      <c r="AA339" s="72">
        <f t="shared" si="182"/>
        <v>1.95193775689959</v>
      </c>
      <c r="AB339" s="81">
        <v>7.11</v>
      </c>
      <c r="AC339" s="69">
        <f t="shared" si="180"/>
        <v>13.8782774515561</v>
      </c>
      <c r="AD339" s="69">
        <f t="shared" si="183"/>
        <v>147.050620375807</v>
      </c>
      <c r="AE339" s="69">
        <f t="shared" si="184"/>
        <v>53.9493796241926</v>
      </c>
    </row>
    <row r="340" customFormat="1" spans="1:31">
      <c r="A340" s="19"/>
      <c r="B340" s="20"/>
      <c r="C340" s="21">
        <v>241010000023</v>
      </c>
      <c r="D340" s="22">
        <v>45583</v>
      </c>
      <c r="E340" s="22" t="s">
        <v>37</v>
      </c>
      <c r="F340" s="20" t="s">
        <v>38</v>
      </c>
      <c r="G340" s="20" t="s">
        <v>305</v>
      </c>
      <c r="H340" s="20">
        <v>4</v>
      </c>
      <c r="I340" s="50"/>
      <c r="J340" s="46">
        <v>58320</v>
      </c>
      <c r="K340" s="41"/>
      <c r="L340" s="47">
        <f>SUM(J340/M340)</f>
        <v>1728</v>
      </c>
      <c r="M340" s="48">
        <v>33.75</v>
      </c>
      <c r="N340" s="42">
        <v>7.11</v>
      </c>
      <c r="O340" s="43">
        <f>SUM(M340*N340)</f>
        <v>239.9625</v>
      </c>
      <c r="P340" s="45"/>
      <c r="Q340" s="45"/>
      <c r="R340" s="69">
        <f t="shared" si="187"/>
        <v>176.440399295361</v>
      </c>
      <c r="S340" s="69">
        <f t="shared" si="188"/>
        <v>0.634174985320023</v>
      </c>
      <c r="T340" s="70">
        <f t="shared" si="189"/>
        <v>0.488549618320611</v>
      </c>
      <c r="U340" s="69"/>
      <c r="V340" s="69"/>
      <c r="W340" s="71">
        <f t="shared" si="185"/>
        <v>177.563123899002</v>
      </c>
      <c r="X340" s="72">
        <f t="shared" si="190"/>
        <v>2.60258367586612</v>
      </c>
      <c r="Y340" s="72"/>
      <c r="Z340" s="72"/>
      <c r="AA340" s="72">
        <f t="shared" si="182"/>
        <v>2.60258367586612</v>
      </c>
      <c r="AB340" s="81">
        <v>7.11</v>
      </c>
      <c r="AC340" s="69">
        <f t="shared" si="180"/>
        <v>18.5043699354081</v>
      </c>
      <c r="AD340" s="69">
        <f t="shared" si="183"/>
        <v>196.06749383441</v>
      </c>
      <c r="AE340" s="69">
        <f t="shared" si="184"/>
        <v>43.8950061655902</v>
      </c>
    </row>
    <row r="341" customFormat="1" spans="1:31">
      <c r="A341" s="19"/>
      <c r="B341" s="20"/>
      <c r="C341" s="21">
        <v>241010000025</v>
      </c>
      <c r="D341" s="22">
        <v>45583</v>
      </c>
      <c r="E341" s="22" t="s">
        <v>37</v>
      </c>
      <c r="F341" s="20" t="s">
        <v>38</v>
      </c>
      <c r="G341" s="20" t="s">
        <v>306</v>
      </c>
      <c r="H341" s="20">
        <v>4.5</v>
      </c>
      <c r="I341" s="50"/>
      <c r="J341" s="46">
        <v>66476</v>
      </c>
      <c r="K341" s="41"/>
      <c r="L341" s="47">
        <f>SUM(J341/M341)</f>
        <v>1731.59676999219</v>
      </c>
      <c r="M341" s="48">
        <v>38.39</v>
      </c>
      <c r="N341" s="42">
        <v>7.11</v>
      </c>
      <c r="O341" s="43">
        <f>SUM(M341*N341)</f>
        <v>272.9529</v>
      </c>
      <c r="P341" s="45"/>
      <c r="Q341" s="45"/>
      <c r="R341" s="69">
        <f t="shared" si="187"/>
        <v>198.495449207281</v>
      </c>
      <c r="S341" s="69">
        <f t="shared" si="188"/>
        <v>0.713446858485026</v>
      </c>
      <c r="T341" s="70">
        <f t="shared" si="189"/>
        <v>0.549618320610687</v>
      </c>
      <c r="U341" s="69"/>
      <c r="V341" s="69"/>
      <c r="W341" s="71">
        <f t="shared" si="185"/>
        <v>199.758514386377</v>
      </c>
      <c r="X341" s="72">
        <f t="shared" si="190"/>
        <v>2.92790663534938</v>
      </c>
      <c r="Y341" s="72"/>
      <c r="Z341" s="72"/>
      <c r="AA341" s="72">
        <f t="shared" si="182"/>
        <v>2.92790663534938</v>
      </c>
      <c r="AB341" s="81">
        <v>7.11</v>
      </c>
      <c r="AC341" s="69">
        <f t="shared" si="180"/>
        <v>20.8174161773341</v>
      </c>
      <c r="AD341" s="69">
        <f t="shared" si="183"/>
        <v>220.575930563711</v>
      </c>
      <c r="AE341" s="69">
        <f t="shared" si="184"/>
        <v>52.3769694362889</v>
      </c>
    </row>
    <row r="342" customFormat="1" spans="1:31">
      <c r="A342" s="19"/>
      <c r="B342" s="20"/>
      <c r="C342" s="21">
        <v>241010000026</v>
      </c>
      <c r="D342" s="22">
        <v>45583</v>
      </c>
      <c r="E342" s="22" t="s">
        <v>37</v>
      </c>
      <c r="F342" s="20" t="s">
        <v>38</v>
      </c>
      <c r="G342" s="20" t="s">
        <v>96</v>
      </c>
      <c r="H342" s="20">
        <v>152</v>
      </c>
      <c r="I342" s="39">
        <v>9424</v>
      </c>
      <c r="J342" s="40"/>
      <c r="K342" s="41"/>
      <c r="L342" s="20"/>
      <c r="M342" s="41"/>
      <c r="N342" s="42"/>
      <c r="O342" s="43">
        <f t="shared" ref="O342:O345" si="193">SUM(I342)</f>
        <v>9424</v>
      </c>
      <c r="P342" s="45"/>
      <c r="Q342" s="45"/>
      <c r="R342" s="69">
        <f t="shared" si="187"/>
        <v>6704.73517322372</v>
      </c>
      <c r="S342" s="69">
        <f t="shared" si="188"/>
        <v>24.0986494421609</v>
      </c>
      <c r="T342" s="70">
        <f t="shared" si="189"/>
        <v>18.5648854961832</v>
      </c>
      <c r="U342" s="69"/>
      <c r="V342" s="69"/>
      <c r="W342" s="71">
        <f t="shared" si="185"/>
        <v>6747.39870816207</v>
      </c>
      <c r="X342" s="72">
        <f t="shared" si="190"/>
        <v>98.8981796829125</v>
      </c>
      <c r="Y342" s="72"/>
      <c r="Z342" s="72"/>
      <c r="AA342" s="72">
        <f t="shared" si="182"/>
        <v>98.8981796829125</v>
      </c>
      <c r="AB342" s="81">
        <v>7.11</v>
      </c>
      <c r="AC342" s="69">
        <f t="shared" si="180"/>
        <v>703.166057545508</v>
      </c>
      <c r="AD342" s="69">
        <f t="shared" si="183"/>
        <v>7450.56476570757</v>
      </c>
      <c r="AE342" s="69">
        <f t="shared" si="184"/>
        <v>1973.43523429243</v>
      </c>
    </row>
    <row r="343" customFormat="1" spans="1:31">
      <c r="A343" s="19"/>
      <c r="B343" s="20"/>
      <c r="C343" s="21">
        <v>241010000038</v>
      </c>
      <c r="D343" s="22">
        <v>45583</v>
      </c>
      <c r="E343" s="22" t="s">
        <v>55</v>
      </c>
      <c r="F343" s="20" t="s">
        <v>56</v>
      </c>
      <c r="G343" s="20" t="s">
        <v>112</v>
      </c>
      <c r="H343" s="20">
        <v>9</v>
      </c>
      <c r="I343" s="39">
        <v>519</v>
      </c>
      <c r="J343" s="40"/>
      <c r="K343" s="41"/>
      <c r="L343" s="20"/>
      <c r="M343" s="41"/>
      <c r="N343" s="42"/>
      <c r="O343" s="43">
        <f t="shared" si="193"/>
        <v>519</v>
      </c>
      <c r="P343" s="45"/>
      <c r="Q343" s="45"/>
      <c r="R343" s="69">
        <f t="shared" si="187"/>
        <v>396.990898414563</v>
      </c>
      <c r="S343" s="69">
        <f t="shared" si="188"/>
        <v>1.42689371697005</v>
      </c>
      <c r="T343" s="70">
        <f t="shared" si="189"/>
        <v>1.09923664122137</v>
      </c>
      <c r="U343" s="69"/>
      <c r="V343" s="69"/>
      <c r="W343" s="71">
        <f t="shared" si="185"/>
        <v>399.517028772754</v>
      </c>
      <c r="X343" s="72">
        <f t="shared" si="190"/>
        <v>5.85581327069877</v>
      </c>
      <c r="Y343" s="72"/>
      <c r="Z343" s="72"/>
      <c r="AA343" s="72">
        <f t="shared" si="182"/>
        <v>5.85581327069877</v>
      </c>
      <c r="AB343" s="81">
        <v>7.11</v>
      </c>
      <c r="AC343" s="69">
        <f t="shared" si="180"/>
        <v>41.6348323546682</v>
      </c>
      <c r="AD343" s="69">
        <f t="shared" si="183"/>
        <v>441.151861127422</v>
      </c>
      <c r="AE343" s="69">
        <f t="shared" si="184"/>
        <v>77.8481388725779</v>
      </c>
    </row>
    <row r="344" customFormat="1" spans="1:31">
      <c r="A344" s="19"/>
      <c r="B344" s="20"/>
      <c r="C344" s="21">
        <v>241010000041</v>
      </c>
      <c r="D344" s="22">
        <v>45583</v>
      </c>
      <c r="E344" s="22" t="s">
        <v>55</v>
      </c>
      <c r="F344" s="20" t="s">
        <v>56</v>
      </c>
      <c r="G344" s="20" t="s">
        <v>307</v>
      </c>
      <c r="H344" s="20">
        <v>10</v>
      </c>
      <c r="I344" s="39">
        <v>636</v>
      </c>
      <c r="J344" s="40"/>
      <c r="K344" s="41"/>
      <c r="L344" s="20"/>
      <c r="M344" s="41"/>
      <c r="N344" s="42"/>
      <c r="O344" s="43">
        <f t="shared" si="193"/>
        <v>636</v>
      </c>
      <c r="P344" s="45"/>
      <c r="Q344" s="45"/>
      <c r="R344" s="69">
        <f t="shared" si="187"/>
        <v>441.100998238403</v>
      </c>
      <c r="S344" s="69">
        <f t="shared" si="188"/>
        <v>1.58543746330006</v>
      </c>
      <c r="T344" s="70">
        <f t="shared" si="189"/>
        <v>1.22137404580153</v>
      </c>
      <c r="U344" s="69"/>
      <c r="V344" s="69"/>
      <c r="W344" s="71">
        <f t="shared" si="185"/>
        <v>443.907809747504</v>
      </c>
      <c r="X344" s="72">
        <f t="shared" si="190"/>
        <v>6.5064591896653</v>
      </c>
      <c r="Y344" s="72"/>
      <c r="Z344" s="72"/>
      <c r="AA344" s="72">
        <f t="shared" si="182"/>
        <v>6.5064591896653</v>
      </c>
      <c r="AB344" s="81">
        <v>7.11</v>
      </c>
      <c r="AC344" s="69">
        <f t="shared" si="180"/>
        <v>46.2609248385203</v>
      </c>
      <c r="AD344" s="69">
        <f t="shared" si="183"/>
        <v>490.168734586025</v>
      </c>
      <c r="AE344" s="69">
        <f t="shared" si="184"/>
        <v>145.831265413975</v>
      </c>
    </row>
    <row r="345" customFormat="1" spans="1:31">
      <c r="A345" s="19"/>
      <c r="B345" s="20"/>
      <c r="C345" s="21">
        <v>241010000047</v>
      </c>
      <c r="D345" s="22">
        <v>45583</v>
      </c>
      <c r="E345" s="22" t="s">
        <v>47</v>
      </c>
      <c r="F345" s="20" t="s">
        <v>47</v>
      </c>
      <c r="G345" s="20" t="s">
        <v>308</v>
      </c>
      <c r="H345" s="20">
        <v>7.5</v>
      </c>
      <c r="I345" s="39">
        <v>433.5</v>
      </c>
      <c r="J345" s="40"/>
      <c r="K345" s="41"/>
      <c r="L345" s="20"/>
      <c r="M345" s="41"/>
      <c r="N345" s="42"/>
      <c r="O345" s="43">
        <f t="shared" si="193"/>
        <v>433.5</v>
      </c>
      <c r="P345" s="45"/>
      <c r="Q345" s="45"/>
      <c r="R345" s="69">
        <f t="shared" si="187"/>
        <v>330.825748678802</v>
      </c>
      <c r="S345" s="69">
        <f t="shared" si="188"/>
        <v>1.18907809747504</v>
      </c>
      <c r="T345" s="70">
        <f t="shared" si="189"/>
        <v>0.916030534351145</v>
      </c>
      <c r="U345" s="69"/>
      <c r="V345" s="69"/>
      <c r="W345" s="71">
        <f t="shared" si="185"/>
        <v>332.930857310628</v>
      </c>
      <c r="X345" s="72">
        <f t="shared" si="190"/>
        <v>4.87984439224897</v>
      </c>
      <c r="Y345" s="72"/>
      <c r="Z345" s="72"/>
      <c r="AA345" s="72">
        <f t="shared" si="182"/>
        <v>4.87984439224897</v>
      </c>
      <c r="AB345" s="81">
        <v>7.11</v>
      </c>
      <c r="AC345" s="69">
        <f t="shared" si="180"/>
        <v>34.6956936288902</v>
      </c>
      <c r="AD345" s="69">
        <f t="shared" si="183"/>
        <v>367.626550939518</v>
      </c>
      <c r="AE345" s="69">
        <f t="shared" si="184"/>
        <v>65.8734490604816</v>
      </c>
    </row>
    <row r="346" customFormat="1" spans="1:31">
      <c r="A346" s="19"/>
      <c r="B346" s="20"/>
      <c r="C346" s="21">
        <v>241010000049</v>
      </c>
      <c r="D346" s="22">
        <v>45583</v>
      </c>
      <c r="E346" s="22" t="s">
        <v>88</v>
      </c>
      <c r="F346" s="20" t="s">
        <v>120</v>
      </c>
      <c r="G346" s="20" t="s">
        <v>309</v>
      </c>
      <c r="H346" s="20">
        <v>104.5</v>
      </c>
      <c r="I346" s="43"/>
      <c r="J346" s="40"/>
      <c r="K346" s="48">
        <v>821.47</v>
      </c>
      <c r="L346" s="47">
        <f>SUM(J346/M346)</f>
        <v>0</v>
      </c>
      <c r="M346" s="48">
        <v>821.47</v>
      </c>
      <c r="N346" s="42">
        <v>7.11</v>
      </c>
      <c r="O346" s="43">
        <f>SUM(M346*N346)</f>
        <v>5840.6517</v>
      </c>
      <c r="P346" s="45"/>
      <c r="Q346" s="45"/>
      <c r="R346" s="69">
        <f t="shared" si="187"/>
        <v>4609.50543159131</v>
      </c>
      <c r="S346" s="69">
        <f t="shared" si="188"/>
        <v>16.5678214914856</v>
      </c>
      <c r="T346" s="70">
        <f t="shared" si="189"/>
        <v>12.763358778626</v>
      </c>
      <c r="U346" s="69"/>
      <c r="V346" s="69"/>
      <c r="W346" s="71">
        <f t="shared" si="185"/>
        <v>4638.83661186142</v>
      </c>
      <c r="X346" s="72">
        <f t="shared" si="190"/>
        <v>67.9924985320024</v>
      </c>
      <c r="Y346" s="72"/>
      <c r="Z346" s="72"/>
      <c r="AA346" s="72">
        <f t="shared" si="182"/>
        <v>67.9924985320024</v>
      </c>
      <c r="AB346" s="81">
        <v>7.11</v>
      </c>
      <c r="AC346" s="69">
        <f t="shared" si="180"/>
        <v>483.426664562537</v>
      </c>
      <c r="AD346" s="69">
        <f t="shared" si="183"/>
        <v>5122.26327642396</v>
      </c>
      <c r="AE346" s="69">
        <f t="shared" si="184"/>
        <v>718.388423576042</v>
      </c>
    </row>
    <row r="347" customFormat="1" spans="1:31">
      <c r="A347" s="19"/>
      <c r="B347" s="20"/>
      <c r="C347" s="21">
        <v>241011000002</v>
      </c>
      <c r="D347" s="22">
        <v>45583</v>
      </c>
      <c r="E347" s="22" t="s">
        <v>37</v>
      </c>
      <c r="F347" s="20" t="s">
        <v>38</v>
      </c>
      <c r="G347" s="20" t="s">
        <v>310</v>
      </c>
      <c r="H347" s="20">
        <v>0.58</v>
      </c>
      <c r="I347" s="39">
        <v>88</v>
      </c>
      <c r="J347" s="40"/>
      <c r="K347" s="41"/>
      <c r="L347" s="20"/>
      <c r="M347" s="41"/>
      <c r="N347" s="42"/>
      <c r="O347" s="43">
        <f t="shared" ref="O347:O350" si="194">SUM(I347)</f>
        <v>88</v>
      </c>
      <c r="P347" s="45"/>
      <c r="Q347" s="45"/>
      <c r="R347" s="69">
        <f t="shared" si="187"/>
        <v>25.5838578978274</v>
      </c>
      <c r="S347" s="69">
        <f t="shared" si="188"/>
        <v>0.0919553728714034</v>
      </c>
      <c r="T347" s="70">
        <f t="shared" si="189"/>
        <v>0.0708396946564885</v>
      </c>
      <c r="U347" s="69"/>
      <c r="V347" s="69"/>
      <c r="W347" s="71">
        <f t="shared" si="185"/>
        <v>25.7466529653553</v>
      </c>
      <c r="X347" s="72">
        <f t="shared" si="190"/>
        <v>0.377374633000587</v>
      </c>
      <c r="Y347" s="72"/>
      <c r="Z347" s="72"/>
      <c r="AA347" s="72">
        <f t="shared" si="182"/>
        <v>0.377374633000587</v>
      </c>
      <c r="AB347" s="81">
        <v>7.11</v>
      </c>
      <c r="AC347" s="69">
        <f t="shared" si="180"/>
        <v>2.68313364063418</v>
      </c>
      <c r="AD347" s="69">
        <f t="shared" si="183"/>
        <v>28.4297866059894</v>
      </c>
      <c r="AE347" s="69">
        <f t="shared" si="184"/>
        <v>59.5702133940106</v>
      </c>
    </row>
    <row r="348" customFormat="1" spans="1:31">
      <c r="A348" s="19"/>
      <c r="B348" s="20"/>
      <c r="C348" s="21">
        <v>241011000003</v>
      </c>
      <c r="D348" s="22">
        <v>45583</v>
      </c>
      <c r="E348" s="22" t="s">
        <v>37</v>
      </c>
      <c r="F348" s="20" t="s">
        <v>38</v>
      </c>
      <c r="G348" s="20" t="s">
        <v>311</v>
      </c>
      <c r="H348" s="20">
        <v>2</v>
      </c>
      <c r="I348" s="39">
        <v>123</v>
      </c>
      <c r="J348" s="40"/>
      <c r="K348" s="41"/>
      <c r="L348" s="20"/>
      <c r="M348" s="41"/>
      <c r="N348" s="42"/>
      <c r="O348" s="43">
        <f t="shared" si="194"/>
        <v>123</v>
      </c>
      <c r="P348" s="45"/>
      <c r="Q348" s="45"/>
      <c r="R348" s="69">
        <f t="shared" si="187"/>
        <v>88.2201996476806</v>
      </c>
      <c r="S348" s="69">
        <f t="shared" si="188"/>
        <v>0.317087492660012</v>
      </c>
      <c r="T348" s="70">
        <f t="shared" si="189"/>
        <v>0.244274809160305</v>
      </c>
      <c r="U348" s="69"/>
      <c r="V348" s="69"/>
      <c r="W348" s="71">
        <f t="shared" si="185"/>
        <v>88.7815619495009</v>
      </c>
      <c r="X348" s="72">
        <f t="shared" si="190"/>
        <v>1.30129183793306</v>
      </c>
      <c r="Y348" s="72"/>
      <c r="Z348" s="72"/>
      <c r="AA348" s="72">
        <f t="shared" si="182"/>
        <v>1.30129183793306</v>
      </c>
      <c r="AB348" s="81">
        <v>7.11</v>
      </c>
      <c r="AC348" s="69">
        <f t="shared" si="180"/>
        <v>9.25218496770405</v>
      </c>
      <c r="AD348" s="69">
        <f t="shared" si="183"/>
        <v>98.0337469172049</v>
      </c>
      <c r="AE348" s="69">
        <f t="shared" si="184"/>
        <v>24.9662530827951</v>
      </c>
    </row>
    <row r="349" customFormat="1" spans="1:31">
      <c r="A349" s="19"/>
      <c r="B349" s="20"/>
      <c r="C349" s="21">
        <v>241011000008</v>
      </c>
      <c r="D349" s="22">
        <v>45583</v>
      </c>
      <c r="E349" s="22" t="s">
        <v>66</v>
      </c>
      <c r="F349" s="20" t="s">
        <v>67</v>
      </c>
      <c r="G349" s="20" t="s">
        <v>84</v>
      </c>
      <c r="H349" s="20">
        <v>5</v>
      </c>
      <c r="I349" s="39">
        <v>275</v>
      </c>
      <c r="J349" s="40"/>
      <c r="K349" s="41"/>
      <c r="L349" s="20"/>
      <c r="M349" s="41"/>
      <c r="N349" s="42"/>
      <c r="O349" s="43">
        <f t="shared" si="194"/>
        <v>275</v>
      </c>
      <c r="P349" s="45"/>
      <c r="Q349" s="45"/>
      <c r="R349" s="69">
        <f t="shared" si="187"/>
        <v>220.550499119201</v>
      </c>
      <c r="S349" s="69">
        <f t="shared" si="188"/>
        <v>0.792718731650029</v>
      </c>
      <c r="T349" s="70">
        <f t="shared" si="189"/>
        <v>0.610687022900763</v>
      </c>
      <c r="U349" s="69"/>
      <c r="V349" s="69"/>
      <c r="W349" s="71">
        <f t="shared" si="185"/>
        <v>221.953904873752</v>
      </c>
      <c r="X349" s="72">
        <f t="shared" si="190"/>
        <v>3.25322959483265</v>
      </c>
      <c r="Y349" s="72"/>
      <c r="Z349" s="72"/>
      <c r="AA349" s="72">
        <f t="shared" si="182"/>
        <v>3.25322959483265</v>
      </c>
      <c r="AB349" s="81">
        <v>7.11</v>
      </c>
      <c r="AC349" s="69">
        <f t="shared" si="180"/>
        <v>23.1304624192601</v>
      </c>
      <c r="AD349" s="69">
        <f t="shared" si="183"/>
        <v>245.084367293012</v>
      </c>
      <c r="AE349" s="69">
        <f t="shared" si="184"/>
        <v>29.9156327069877</v>
      </c>
    </row>
    <row r="350" customFormat="1" spans="1:31">
      <c r="A350" s="19"/>
      <c r="B350" s="20"/>
      <c r="C350" s="21">
        <v>241011000011</v>
      </c>
      <c r="D350" s="22">
        <v>45583</v>
      </c>
      <c r="E350" s="22" t="s">
        <v>37</v>
      </c>
      <c r="F350" s="20" t="s">
        <v>38</v>
      </c>
      <c r="G350" s="20" t="s">
        <v>312</v>
      </c>
      <c r="H350" s="20">
        <v>2.5</v>
      </c>
      <c r="I350" s="39">
        <v>168</v>
      </c>
      <c r="J350" s="40"/>
      <c r="K350" s="41"/>
      <c r="L350" s="20"/>
      <c r="M350" s="41"/>
      <c r="N350" s="42"/>
      <c r="O350" s="43">
        <f t="shared" si="194"/>
        <v>168</v>
      </c>
      <c r="P350" s="45"/>
      <c r="Q350" s="45"/>
      <c r="R350" s="69">
        <f t="shared" si="187"/>
        <v>110.275249559601</v>
      </c>
      <c r="S350" s="69">
        <f t="shared" si="188"/>
        <v>0.396359365825015</v>
      </c>
      <c r="T350" s="70">
        <f t="shared" si="189"/>
        <v>0.305343511450382</v>
      </c>
      <c r="U350" s="69"/>
      <c r="V350" s="69"/>
      <c r="W350" s="71">
        <f t="shared" si="185"/>
        <v>110.976952436876</v>
      </c>
      <c r="X350" s="72">
        <f t="shared" si="190"/>
        <v>1.62661479741632</v>
      </c>
      <c r="Y350" s="72"/>
      <c r="Z350" s="72"/>
      <c r="AA350" s="72">
        <f t="shared" si="182"/>
        <v>1.62661479741632</v>
      </c>
      <c r="AB350" s="81">
        <v>7.11</v>
      </c>
      <c r="AC350" s="69">
        <f t="shared" si="180"/>
        <v>11.5652312096301</v>
      </c>
      <c r="AD350" s="69">
        <f t="shared" si="183"/>
        <v>122.542183646506</v>
      </c>
      <c r="AE350" s="69">
        <f t="shared" si="184"/>
        <v>45.4578163534938</v>
      </c>
    </row>
    <row r="351" customFormat="1" spans="1:31">
      <c r="A351" s="19"/>
      <c r="B351" s="20"/>
      <c r="C351" s="21">
        <v>241011000013</v>
      </c>
      <c r="D351" s="22">
        <v>45583</v>
      </c>
      <c r="E351" s="22" t="s">
        <v>66</v>
      </c>
      <c r="F351" s="20" t="s">
        <v>67</v>
      </c>
      <c r="G351" s="20" t="s">
        <v>179</v>
      </c>
      <c r="H351" s="20">
        <v>5</v>
      </c>
      <c r="I351" s="43"/>
      <c r="J351" s="46">
        <v>74865</v>
      </c>
      <c r="K351" s="41"/>
      <c r="L351" s="47">
        <f>SUM(J351/M351)</f>
        <v>1725</v>
      </c>
      <c r="M351" s="48">
        <v>43.4</v>
      </c>
      <c r="N351" s="42">
        <v>7.11</v>
      </c>
      <c r="O351" s="43">
        <f>SUM(M351*N351)</f>
        <v>308.574</v>
      </c>
      <c r="P351" s="45"/>
      <c r="Q351" s="45"/>
      <c r="R351" s="69">
        <f t="shared" si="187"/>
        <v>220.550499119201</v>
      </c>
      <c r="S351" s="69">
        <f t="shared" si="188"/>
        <v>0.792718731650029</v>
      </c>
      <c r="T351" s="70">
        <f t="shared" si="189"/>
        <v>0.610687022900763</v>
      </c>
      <c r="U351" s="69"/>
      <c r="V351" s="69"/>
      <c r="W351" s="71">
        <f t="shared" si="185"/>
        <v>221.953904873752</v>
      </c>
      <c r="X351" s="72">
        <f t="shared" si="190"/>
        <v>3.25322959483265</v>
      </c>
      <c r="Y351" s="72"/>
      <c r="Z351" s="72"/>
      <c r="AA351" s="72">
        <f t="shared" si="182"/>
        <v>3.25322959483265</v>
      </c>
      <c r="AB351" s="81">
        <v>7.11</v>
      </c>
      <c r="AC351" s="69">
        <f t="shared" si="180"/>
        <v>23.1304624192601</v>
      </c>
      <c r="AD351" s="69">
        <f t="shared" si="183"/>
        <v>245.084367293012</v>
      </c>
      <c r="AE351" s="69">
        <f t="shared" si="184"/>
        <v>63.4896327069877</v>
      </c>
    </row>
    <row r="352" customFormat="1" spans="1:31">
      <c r="A352" s="19"/>
      <c r="B352" s="20"/>
      <c r="C352" s="82">
        <v>241011000014</v>
      </c>
      <c r="D352" s="83">
        <v>45583</v>
      </c>
      <c r="E352" s="22" t="s">
        <v>37</v>
      </c>
      <c r="F352" s="84" t="s">
        <v>38</v>
      </c>
      <c r="G352" s="84" t="s">
        <v>313</v>
      </c>
      <c r="H352" s="84">
        <v>2</v>
      </c>
      <c r="I352" s="88">
        <v>135</v>
      </c>
      <c r="J352" s="40"/>
      <c r="K352" s="41"/>
      <c r="L352" s="20"/>
      <c r="M352" s="41"/>
      <c r="N352" s="42"/>
      <c r="O352" s="43">
        <f t="shared" ref="O352:O357" si="195">SUM(I352)</f>
        <v>135</v>
      </c>
      <c r="P352" s="45"/>
      <c r="Q352" s="45"/>
      <c r="R352" s="69">
        <f t="shared" si="187"/>
        <v>88.2201996476806</v>
      </c>
      <c r="S352" s="69">
        <f t="shared" si="188"/>
        <v>0.317087492660012</v>
      </c>
      <c r="T352" s="70">
        <f t="shared" si="189"/>
        <v>0.244274809160305</v>
      </c>
      <c r="U352" s="69"/>
      <c r="V352" s="69"/>
      <c r="W352" s="71">
        <f t="shared" si="185"/>
        <v>88.7815619495009</v>
      </c>
      <c r="X352" s="72">
        <f t="shared" si="190"/>
        <v>1.30129183793306</v>
      </c>
      <c r="Y352" s="72"/>
      <c r="Z352" s="72"/>
      <c r="AA352" s="72">
        <f t="shared" si="182"/>
        <v>1.30129183793306</v>
      </c>
      <c r="AB352" s="81">
        <v>7.11</v>
      </c>
      <c r="AC352" s="69">
        <f t="shared" si="180"/>
        <v>9.25218496770405</v>
      </c>
      <c r="AD352" s="69">
        <f t="shared" si="183"/>
        <v>98.0337469172049</v>
      </c>
      <c r="AE352" s="69">
        <f t="shared" si="184"/>
        <v>36.9662530827951</v>
      </c>
    </row>
    <row r="353" customFormat="1" spans="1:31">
      <c r="A353" s="19"/>
      <c r="B353" s="20"/>
      <c r="C353" s="21">
        <v>241011000024</v>
      </c>
      <c r="D353" s="22">
        <v>45583</v>
      </c>
      <c r="E353" s="22" t="s">
        <v>41</v>
      </c>
      <c r="F353" s="20" t="s">
        <v>42</v>
      </c>
      <c r="G353" s="20" t="s">
        <v>314</v>
      </c>
      <c r="H353" s="20">
        <v>303</v>
      </c>
      <c r="I353" s="50"/>
      <c r="J353" s="46">
        <v>4087989</v>
      </c>
      <c r="K353" s="41"/>
      <c r="L353" s="47">
        <f>SUM(J353/M353)</f>
        <v>1727.73297831875</v>
      </c>
      <c r="M353" s="48">
        <v>2366.1</v>
      </c>
      <c r="N353" s="42">
        <v>7.11</v>
      </c>
      <c r="O353" s="43">
        <f>SUM(M353*N353)</f>
        <v>16822.971</v>
      </c>
      <c r="P353" s="45"/>
      <c r="Q353" s="45"/>
      <c r="R353" s="69">
        <f t="shared" si="187"/>
        <v>13365.3602466236</v>
      </c>
      <c r="S353" s="69">
        <f t="shared" si="188"/>
        <v>48.0387551379918</v>
      </c>
      <c r="T353" s="70">
        <f t="shared" si="189"/>
        <v>37.0076335877863</v>
      </c>
      <c r="U353" s="70">
        <v>30</v>
      </c>
      <c r="V353" s="69"/>
      <c r="W353" s="71">
        <f t="shared" si="185"/>
        <v>13480.4066353494</v>
      </c>
      <c r="X353" s="72">
        <f t="shared" si="190"/>
        <v>197.145713446858</v>
      </c>
      <c r="Y353" s="72"/>
      <c r="Z353" s="72"/>
      <c r="AA353" s="72">
        <f t="shared" si="182"/>
        <v>197.145713446858</v>
      </c>
      <c r="AB353" s="81">
        <v>7.11</v>
      </c>
      <c r="AC353" s="69">
        <f t="shared" si="180"/>
        <v>1401.70602260716</v>
      </c>
      <c r="AD353" s="69">
        <f t="shared" si="183"/>
        <v>14882.1126579565</v>
      </c>
      <c r="AE353" s="69">
        <f t="shared" si="184"/>
        <v>1940.85834204346</v>
      </c>
    </row>
    <row r="354" customFormat="1" spans="1:31">
      <c r="A354" s="19"/>
      <c r="B354" s="20"/>
      <c r="C354" s="21">
        <v>241011000038</v>
      </c>
      <c r="D354" s="22">
        <v>45583</v>
      </c>
      <c r="E354" s="22" t="s">
        <v>41</v>
      </c>
      <c r="F354" s="20" t="s">
        <v>42</v>
      </c>
      <c r="G354" s="20" t="s">
        <v>185</v>
      </c>
      <c r="H354" s="20">
        <v>0.6</v>
      </c>
      <c r="I354" s="39">
        <v>63</v>
      </c>
      <c r="J354" s="40"/>
      <c r="K354" s="41"/>
      <c r="L354" s="20"/>
      <c r="M354" s="41"/>
      <c r="N354" s="42"/>
      <c r="O354" s="43">
        <f t="shared" si="195"/>
        <v>63</v>
      </c>
      <c r="P354" s="45"/>
      <c r="Q354" s="45"/>
      <c r="R354" s="69">
        <f t="shared" si="187"/>
        <v>26.4660598943042</v>
      </c>
      <c r="S354" s="69">
        <f t="shared" si="188"/>
        <v>0.0951262477980035</v>
      </c>
      <c r="T354" s="70">
        <f t="shared" si="189"/>
        <v>0.0732824427480916</v>
      </c>
      <c r="U354" s="69"/>
      <c r="V354" s="69"/>
      <c r="W354" s="71">
        <f t="shared" si="185"/>
        <v>26.6344685848503</v>
      </c>
      <c r="X354" s="72">
        <f t="shared" si="190"/>
        <v>0.390387551379918</v>
      </c>
      <c r="Y354" s="72"/>
      <c r="Z354" s="72"/>
      <c r="AA354" s="72">
        <f t="shared" si="182"/>
        <v>0.390387551379918</v>
      </c>
      <c r="AB354" s="81">
        <v>7.11</v>
      </c>
      <c r="AC354" s="69">
        <f t="shared" si="180"/>
        <v>2.77565549031122</v>
      </c>
      <c r="AD354" s="69">
        <f t="shared" si="183"/>
        <v>29.4101240751615</v>
      </c>
      <c r="AE354" s="69">
        <f t="shared" si="184"/>
        <v>33.5898759248385</v>
      </c>
    </row>
    <row r="355" customFormat="1" spans="1:31">
      <c r="A355" s="19"/>
      <c r="B355" s="20"/>
      <c r="C355" s="21">
        <v>241011000041</v>
      </c>
      <c r="D355" s="22">
        <v>45583</v>
      </c>
      <c r="E355" s="22" t="s">
        <v>37</v>
      </c>
      <c r="F355" s="20" t="s">
        <v>38</v>
      </c>
      <c r="G355" s="20" t="s">
        <v>315</v>
      </c>
      <c r="H355" s="20">
        <v>4.5</v>
      </c>
      <c r="I355" s="39">
        <v>273</v>
      </c>
      <c r="J355" s="40"/>
      <c r="K355" s="41"/>
      <c r="L355" s="20"/>
      <c r="M355" s="41"/>
      <c r="N355" s="42"/>
      <c r="O355" s="43">
        <f t="shared" si="195"/>
        <v>273</v>
      </c>
      <c r="P355" s="45"/>
      <c r="Q355" s="45"/>
      <c r="R355" s="69">
        <f t="shared" si="187"/>
        <v>198.495449207281</v>
      </c>
      <c r="S355" s="69">
        <f t="shared" si="188"/>
        <v>0.713446858485026</v>
      </c>
      <c r="T355" s="70">
        <f t="shared" si="189"/>
        <v>0.549618320610687</v>
      </c>
      <c r="U355" s="69"/>
      <c r="V355" s="69"/>
      <c r="W355" s="71">
        <f t="shared" si="185"/>
        <v>199.758514386377</v>
      </c>
      <c r="X355" s="72">
        <f t="shared" si="190"/>
        <v>2.92790663534938</v>
      </c>
      <c r="Y355" s="72"/>
      <c r="Z355" s="72"/>
      <c r="AA355" s="72">
        <f t="shared" si="182"/>
        <v>2.92790663534938</v>
      </c>
      <c r="AB355" s="81">
        <v>7.11</v>
      </c>
      <c r="AC355" s="69">
        <f t="shared" si="180"/>
        <v>20.8174161773341</v>
      </c>
      <c r="AD355" s="69">
        <f t="shared" si="183"/>
        <v>220.575930563711</v>
      </c>
      <c r="AE355" s="69">
        <f t="shared" si="184"/>
        <v>52.4240694362889</v>
      </c>
    </row>
    <row r="356" customFormat="1" spans="1:31">
      <c r="A356" s="19"/>
      <c r="B356" s="20"/>
      <c r="C356" s="21">
        <v>241011000044</v>
      </c>
      <c r="D356" s="22">
        <v>45583</v>
      </c>
      <c r="E356" s="22" t="s">
        <v>55</v>
      </c>
      <c r="F356" s="20" t="s">
        <v>56</v>
      </c>
      <c r="G356" s="20" t="s">
        <v>316</v>
      </c>
      <c r="H356" s="20">
        <v>77</v>
      </c>
      <c r="I356" s="39">
        <v>4774</v>
      </c>
      <c r="J356" s="40"/>
      <c r="K356" s="41"/>
      <c r="L356" s="20"/>
      <c r="M356" s="41"/>
      <c r="N356" s="42"/>
      <c r="O356" s="43">
        <f t="shared" si="195"/>
        <v>4774</v>
      </c>
      <c r="P356" s="45"/>
      <c r="Q356" s="45"/>
      <c r="R356" s="69">
        <f t="shared" si="187"/>
        <v>3396.4776864357</v>
      </c>
      <c r="S356" s="69">
        <f t="shared" si="188"/>
        <v>12.2078684674105</v>
      </c>
      <c r="T356" s="70">
        <f t="shared" si="189"/>
        <v>9.40458015267176</v>
      </c>
      <c r="U356" s="69"/>
      <c r="V356" s="69"/>
      <c r="W356" s="71">
        <f t="shared" si="185"/>
        <v>3418.09013505578</v>
      </c>
      <c r="X356" s="72">
        <f t="shared" si="190"/>
        <v>50.0997357604228</v>
      </c>
      <c r="Y356" s="72"/>
      <c r="Z356" s="72"/>
      <c r="AA356" s="72">
        <f t="shared" si="182"/>
        <v>50.0997357604228</v>
      </c>
      <c r="AB356" s="81">
        <v>7.11</v>
      </c>
      <c r="AC356" s="69">
        <f t="shared" si="180"/>
        <v>356.209121256606</v>
      </c>
      <c r="AD356" s="69">
        <f t="shared" si="183"/>
        <v>3774.29925631239</v>
      </c>
      <c r="AE356" s="69">
        <f t="shared" si="184"/>
        <v>999.70074368761</v>
      </c>
    </row>
    <row r="357" customFormat="1" spans="1:31">
      <c r="A357" s="19"/>
      <c r="B357" s="20"/>
      <c r="C357" s="21">
        <v>241011000047</v>
      </c>
      <c r="D357" s="22">
        <v>45583</v>
      </c>
      <c r="E357" s="22" t="s">
        <v>41</v>
      </c>
      <c r="F357" s="20" t="s">
        <v>42</v>
      </c>
      <c r="G357" s="20" t="s">
        <v>317</v>
      </c>
      <c r="H357" s="20">
        <v>6</v>
      </c>
      <c r="I357" s="39">
        <v>330</v>
      </c>
      <c r="J357" s="40"/>
      <c r="K357" s="41"/>
      <c r="L357" s="20"/>
      <c r="M357" s="41"/>
      <c r="N357" s="42"/>
      <c r="O357" s="43">
        <f t="shared" si="195"/>
        <v>330</v>
      </c>
      <c r="P357" s="45"/>
      <c r="Q357" s="45"/>
      <c r="R357" s="69">
        <f t="shared" si="187"/>
        <v>264.660598943042</v>
      </c>
      <c r="S357" s="69">
        <f t="shared" si="188"/>
        <v>0.951262477980035</v>
      </c>
      <c r="T357" s="70">
        <f t="shared" si="189"/>
        <v>0.732824427480916</v>
      </c>
      <c r="U357" s="69"/>
      <c r="V357" s="69"/>
      <c r="W357" s="71">
        <f t="shared" si="185"/>
        <v>266.344685848503</v>
      </c>
      <c r="X357" s="72">
        <f t="shared" si="190"/>
        <v>3.90387551379918</v>
      </c>
      <c r="Y357" s="72"/>
      <c r="Z357" s="72"/>
      <c r="AA357" s="72">
        <f t="shared" si="182"/>
        <v>3.90387551379918</v>
      </c>
      <c r="AB357" s="81">
        <v>7.11</v>
      </c>
      <c r="AC357" s="69">
        <f t="shared" si="180"/>
        <v>27.7565549031122</v>
      </c>
      <c r="AD357" s="69">
        <f t="shared" si="183"/>
        <v>294.101240751615</v>
      </c>
      <c r="AE357" s="69">
        <f t="shared" si="184"/>
        <v>35.8987592483852</v>
      </c>
    </row>
    <row r="358" customFormat="1" spans="1:31">
      <c r="A358" s="19"/>
      <c r="B358" s="20"/>
      <c r="C358" s="21">
        <v>241011000049</v>
      </c>
      <c r="D358" s="22">
        <v>45583</v>
      </c>
      <c r="E358" s="22" t="s">
        <v>76</v>
      </c>
      <c r="F358" s="20" t="s">
        <v>77</v>
      </c>
      <c r="G358" s="20" t="s">
        <v>318</v>
      </c>
      <c r="H358" s="20">
        <v>15</v>
      </c>
      <c r="I358" s="50"/>
      <c r="J358" s="46">
        <v>232995</v>
      </c>
      <c r="K358" s="41"/>
      <c r="L358" s="47">
        <f>SUM(J358/M358)</f>
        <v>1742.01869158879</v>
      </c>
      <c r="M358" s="48">
        <v>133.75</v>
      </c>
      <c r="N358" s="42">
        <v>7.11</v>
      </c>
      <c r="O358" s="43">
        <f t="shared" ref="O358:O361" si="196">SUM(M358*N358)</f>
        <v>950.9625</v>
      </c>
      <c r="P358" s="45"/>
      <c r="Q358" s="45"/>
      <c r="R358" s="69">
        <f t="shared" si="187"/>
        <v>661.651497357604</v>
      </c>
      <c r="S358" s="69">
        <f t="shared" si="188"/>
        <v>2.37815619495009</v>
      </c>
      <c r="T358" s="70">
        <f t="shared" si="189"/>
        <v>1.83206106870229</v>
      </c>
      <c r="U358" s="69"/>
      <c r="V358" s="69"/>
      <c r="W358" s="71">
        <f t="shared" si="185"/>
        <v>665.861714621257</v>
      </c>
      <c r="X358" s="72">
        <f t="shared" si="190"/>
        <v>9.75968878449794</v>
      </c>
      <c r="Y358" s="72"/>
      <c r="Z358" s="72"/>
      <c r="AA358" s="72">
        <f t="shared" si="182"/>
        <v>9.75968878449794</v>
      </c>
      <c r="AB358" s="81">
        <v>7.11</v>
      </c>
      <c r="AC358" s="69">
        <f t="shared" si="180"/>
        <v>69.3913872577804</v>
      </c>
      <c r="AD358" s="69">
        <f t="shared" si="183"/>
        <v>735.253101879037</v>
      </c>
      <c r="AE358" s="69">
        <f t="shared" si="184"/>
        <v>215.709398120963</v>
      </c>
    </row>
    <row r="359" customFormat="1" spans="1:31">
      <c r="A359" s="19"/>
      <c r="B359" s="20"/>
      <c r="C359" s="21">
        <v>241011000051</v>
      </c>
      <c r="D359" s="22">
        <v>45583</v>
      </c>
      <c r="E359" s="22" t="s">
        <v>88</v>
      </c>
      <c r="F359" s="20" t="s">
        <v>120</v>
      </c>
      <c r="G359" s="20" t="s">
        <v>309</v>
      </c>
      <c r="H359" s="20">
        <v>42.5</v>
      </c>
      <c r="I359" s="43"/>
      <c r="J359" s="46">
        <v>577478.25</v>
      </c>
      <c r="K359" s="41"/>
      <c r="L359" s="47">
        <f>SUM(J359/M359)</f>
        <v>1725</v>
      </c>
      <c r="M359" s="48">
        <v>334.77</v>
      </c>
      <c r="N359" s="42">
        <v>7.11</v>
      </c>
      <c r="O359" s="43">
        <f t="shared" si="196"/>
        <v>2380.2147</v>
      </c>
      <c r="P359" s="45"/>
      <c r="Q359" s="45"/>
      <c r="R359" s="69">
        <f t="shared" si="187"/>
        <v>1874.67924251321</v>
      </c>
      <c r="S359" s="69">
        <f t="shared" si="188"/>
        <v>6.73810921902525</v>
      </c>
      <c r="T359" s="70">
        <f t="shared" si="189"/>
        <v>5.19083969465649</v>
      </c>
      <c r="U359" s="69"/>
      <c r="V359" s="69"/>
      <c r="W359" s="71">
        <f t="shared" si="185"/>
        <v>1886.60819142689</v>
      </c>
      <c r="X359" s="72">
        <f t="shared" si="190"/>
        <v>27.6524515560775</v>
      </c>
      <c r="Y359" s="72"/>
      <c r="Z359" s="72"/>
      <c r="AA359" s="72">
        <f t="shared" si="182"/>
        <v>27.6524515560775</v>
      </c>
      <c r="AB359" s="81">
        <v>7.11</v>
      </c>
      <c r="AC359" s="69">
        <f t="shared" ref="AC359:AC393" si="197">SUM(AA359*AB359)</f>
        <v>196.608930563711</v>
      </c>
      <c r="AD359" s="69">
        <f t="shared" si="183"/>
        <v>2083.2171219906</v>
      </c>
      <c r="AE359" s="69">
        <f t="shared" si="184"/>
        <v>296.997578009399</v>
      </c>
    </row>
    <row r="360" customFormat="1" spans="1:31">
      <c r="A360" s="19"/>
      <c r="B360" s="20"/>
      <c r="C360" s="21">
        <v>241011000059</v>
      </c>
      <c r="D360" s="22">
        <v>45583</v>
      </c>
      <c r="E360" s="22" t="s">
        <v>88</v>
      </c>
      <c r="F360" s="20" t="s">
        <v>120</v>
      </c>
      <c r="G360" s="20" t="s">
        <v>319</v>
      </c>
      <c r="H360" s="20">
        <v>0.18</v>
      </c>
      <c r="I360" s="43"/>
      <c r="J360" s="46">
        <v>15525</v>
      </c>
      <c r="K360" s="41"/>
      <c r="L360" s="47">
        <f>SUM(J360/M360)</f>
        <v>1725</v>
      </c>
      <c r="M360" s="48">
        <v>9</v>
      </c>
      <c r="N360" s="42">
        <v>7.11</v>
      </c>
      <c r="O360" s="43">
        <f t="shared" si="196"/>
        <v>63.99</v>
      </c>
      <c r="P360" s="45"/>
      <c r="Q360" s="45"/>
      <c r="R360" s="69">
        <f t="shared" si="187"/>
        <v>7.93981796829125</v>
      </c>
      <c r="S360" s="69">
        <f t="shared" si="188"/>
        <v>0.0285378743394011</v>
      </c>
      <c r="T360" s="70">
        <f t="shared" si="189"/>
        <v>0.0219847328244275</v>
      </c>
      <c r="U360" s="69"/>
      <c r="V360" s="69"/>
      <c r="W360" s="71">
        <f t="shared" si="185"/>
        <v>7.99034057545508</v>
      </c>
      <c r="X360" s="72">
        <f t="shared" si="190"/>
        <v>0.117116265413975</v>
      </c>
      <c r="Y360" s="72"/>
      <c r="Z360" s="72"/>
      <c r="AA360" s="72">
        <f t="shared" si="182"/>
        <v>0.117116265413975</v>
      </c>
      <c r="AB360" s="81">
        <v>7.11</v>
      </c>
      <c r="AC360" s="69">
        <f t="shared" si="197"/>
        <v>0.832696647093362</v>
      </c>
      <c r="AD360" s="69">
        <f t="shared" si="183"/>
        <v>8.82303722254844</v>
      </c>
      <c r="AE360" s="69">
        <f t="shared" si="184"/>
        <v>55.1669627774516</v>
      </c>
    </row>
    <row r="361" customFormat="1" spans="1:31">
      <c r="A361" s="19"/>
      <c r="B361" s="20"/>
      <c r="C361" s="21">
        <v>241012000006</v>
      </c>
      <c r="D361" s="22">
        <v>45583</v>
      </c>
      <c r="E361" s="22" t="s">
        <v>41</v>
      </c>
      <c r="F361" s="20" t="s">
        <v>42</v>
      </c>
      <c r="G361" s="20" t="s">
        <v>320</v>
      </c>
      <c r="H361" s="20">
        <v>85.5</v>
      </c>
      <c r="I361" s="43"/>
      <c r="J361" s="46">
        <v>1159752</v>
      </c>
      <c r="K361" s="41"/>
      <c r="L361" s="47">
        <f>SUM(J361/M361)</f>
        <v>1725</v>
      </c>
      <c r="M361" s="48">
        <v>672.32</v>
      </c>
      <c r="N361" s="42">
        <v>7.11</v>
      </c>
      <c r="O361" s="43">
        <f t="shared" si="196"/>
        <v>4780.1952</v>
      </c>
      <c r="P361" s="45"/>
      <c r="Q361" s="45"/>
      <c r="R361" s="69">
        <f t="shared" si="187"/>
        <v>3771.41353493834</v>
      </c>
      <c r="S361" s="69">
        <f t="shared" si="188"/>
        <v>13.5554903112155</v>
      </c>
      <c r="T361" s="70">
        <f t="shared" si="189"/>
        <v>10.4427480916031</v>
      </c>
      <c r="U361" s="69"/>
      <c r="V361" s="69"/>
      <c r="W361" s="71">
        <f t="shared" si="185"/>
        <v>3795.41177334116</v>
      </c>
      <c r="X361" s="72">
        <f t="shared" si="190"/>
        <v>55.6302260716383</v>
      </c>
      <c r="Y361" s="72"/>
      <c r="Z361" s="72"/>
      <c r="AA361" s="72">
        <f t="shared" ref="AA361:AA392" si="198">SUM(X361:Z361)</f>
        <v>55.6302260716383</v>
      </c>
      <c r="AB361" s="81">
        <v>7.11</v>
      </c>
      <c r="AC361" s="69">
        <f t="shared" si="197"/>
        <v>395.530907369348</v>
      </c>
      <c r="AD361" s="69">
        <f t="shared" ref="AD361:AD393" si="199">SUM(W361+AC361)</f>
        <v>4190.94268071051</v>
      </c>
      <c r="AE361" s="69">
        <f t="shared" ref="AE361:AE392" si="200">SUM(O361-AD361)</f>
        <v>589.252519289492</v>
      </c>
    </row>
    <row r="362" customFormat="1" spans="1:31">
      <c r="A362" s="19"/>
      <c r="B362" s="20"/>
      <c r="C362" s="21">
        <v>241012000008</v>
      </c>
      <c r="D362" s="22">
        <v>45583</v>
      </c>
      <c r="E362" s="22" t="s">
        <v>41</v>
      </c>
      <c r="F362" s="20" t="s">
        <v>42</v>
      </c>
      <c r="G362" s="20" t="s">
        <v>91</v>
      </c>
      <c r="H362" s="20">
        <v>2.5</v>
      </c>
      <c r="I362" s="39">
        <v>153</v>
      </c>
      <c r="J362" s="40"/>
      <c r="K362" s="41"/>
      <c r="L362" s="20"/>
      <c r="M362" s="41"/>
      <c r="N362" s="42"/>
      <c r="O362" s="43">
        <f t="shared" ref="O362:O366" si="201">SUM(I362)</f>
        <v>153</v>
      </c>
      <c r="P362" s="45"/>
      <c r="Q362" s="45"/>
      <c r="R362" s="69">
        <f t="shared" si="187"/>
        <v>110.275249559601</v>
      </c>
      <c r="S362" s="69">
        <f t="shared" si="188"/>
        <v>0.396359365825015</v>
      </c>
      <c r="T362" s="70">
        <f t="shared" si="189"/>
        <v>0.305343511450382</v>
      </c>
      <c r="U362" s="69"/>
      <c r="V362" s="69"/>
      <c r="W362" s="71">
        <f t="shared" ref="W362:W392" si="202">SUM(R362:V362)</f>
        <v>110.976952436876</v>
      </c>
      <c r="X362" s="72">
        <f t="shared" si="190"/>
        <v>1.62661479741632</v>
      </c>
      <c r="Y362" s="72"/>
      <c r="Z362" s="72"/>
      <c r="AA362" s="72">
        <f t="shared" si="198"/>
        <v>1.62661479741632</v>
      </c>
      <c r="AB362" s="81">
        <v>7.11</v>
      </c>
      <c r="AC362" s="69">
        <f t="shared" si="197"/>
        <v>11.56523120963</v>
      </c>
      <c r="AD362" s="69">
        <f t="shared" si="199"/>
        <v>122.542183646506</v>
      </c>
      <c r="AE362" s="69">
        <f t="shared" si="200"/>
        <v>30.457816353494</v>
      </c>
    </row>
    <row r="363" customFormat="1" spans="1:31">
      <c r="A363" s="19"/>
      <c r="B363" s="20"/>
      <c r="C363" s="21">
        <v>241012000011</v>
      </c>
      <c r="D363" s="22">
        <v>45583</v>
      </c>
      <c r="E363" s="22" t="s">
        <v>37</v>
      </c>
      <c r="F363" s="20" t="s">
        <v>38</v>
      </c>
      <c r="G363" s="20" t="s">
        <v>321</v>
      </c>
      <c r="H363" s="20">
        <v>1</v>
      </c>
      <c r="I363" s="39">
        <v>63</v>
      </c>
      <c r="J363" s="40"/>
      <c r="K363" s="41"/>
      <c r="L363" s="20"/>
      <c r="M363" s="41"/>
      <c r="N363" s="42"/>
      <c r="O363" s="43">
        <f t="shared" si="201"/>
        <v>63</v>
      </c>
      <c r="P363" s="45"/>
      <c r="Q363" s="45"/>
      <c r="R363" s="69">
        <f t="shared" si="187"/>
        <v>44.1100998238403</v>
      </c>
      <c r="S363" s="69">
        <f t="shared" si="188"/>
        <v>0.158543746330006</v>
      </c>
      <c r="T363" s="70">
        <f t="shared" si="189"/>
        <v>0.122137404580153</v>
      </c>
      <c r="U363" s="69"/>
      <c r="V363" s="69"/>
      <c r="W363" s="71">
        <f t="shared" si="202"/>
        <v>44.3907809747504</v>
      </c>
      <c r="X363" s="72">
        <f t="shared" si="190"/>
        <v>0.65064591896653</v>
      </c>
      <c r="Y363" s="72"/>
      <c r="Z363" s="72"/>
      <c r="AA363" s="72">
        <f t="shared" si="198"/>
        <v>0.65064591896653</v>
      </c>
      <c r="AB363" s="81">
        <v>7.11</v>
      </c>
      <c r="AC363" s="69">
        <f t="shared" si="197"/>
        <v>4.62609248385203</v>
      </c>
      <c r="AD363" s="69">
        <f t="shared" si="199"/>
        <v>49.0168734586024</v>
      </c>
      <c r="AE363" s="69">
        <f t="shared" si="200"/>
        <v>13.9831265413976</v>
      </c>
    </row>
    <row r="364" customFormat="1" spans="1:31">
      <c r="A364" s="19"/>
      <c r="B364" s="20"/>
      <c r="C364" s="21">
        <v>241012000017</v>
      </c>
      <c r="D364" s="22">
        <v>45583</v>
      </c>
      <c r="E364" s="22" t="s">
        <v>37</v>
      </c>
      <c r="F364" s="20" t="s">
        <v>38</v>
      </c>
      <c r="G364" s="20" t="s">
        <v>100</v>
      </c>
      <c r="H364" s="20">
        <v>18</v>
      </c>
      <c r="I364" s="39">
        <v>1140</v>
      </c>
      <c r="J364" s="40"/>
      <c r="K364" s="41"/>
      <c r="L364" s="20"/>
      <c r="M364" s="41"/>
      <c r="N364" s="42"/>
      <c r="O364" s="43">
        <f t="shared" si="201"/>
        <v>1140</v>
      </c>
      <c r="P364" s="45"/>
      <c r="Q364" s="45"/>
      <c r="R364" s="69">
        <f t="shared" ref="R364:R392" si="203">SUM(75119.5/1703)*H364</f>
        <v>793.981796829125</v>
      </c>
      <c r="S364" s="69">
        <f t="shared" ref="S364:S392" si="204">SUM(270/1703)*H364</f>
        <v>2.85378743394011</v>
      </c>
      <c r="T364" s="70">
        <f t="shared" ref="T364:T392" si="205">SUM(208/1703)*H364</f>
        <v>2.19847328244275</v>
      </c>
      <c r="U364" s="69"/>
      <c r="V364" s="69"/>
      <c r="W364" s="71">
        <f t="shared" si="202"/>
        <v>799.034057545508</v>
      </c>
      <c r="X364" s="72">
        <f t="shared" ref="X364:X392" si="206">SUM(1108.05/1703)*H364</f>
        <v>11.7116265413975</v>
      </c>
      <c r="Y364" s="72"/>
      <c r="Z364" s="72"/>
      <c r="AA364" s="72">
        <f t="shared" si="198"/>
        <v>11.7116265413975</v>
      </c>
      <c r="AB364" s="81">
        <v>7.11</v>
      </c>
      <c r="AC364" s="69">
        <f t="shared" si="197"/>
        <v>83.2696647093362</v>
      </c>
      <c r="AD364" s="69">
        <f t="shared" si="199"/>
        <v>882.303722254844</v>
      </c>
      <c r="AE364" s="69">
        <f t="shared" si="200"/>
        <v>257.696277745156</v>
      </c>
    </row>
    <row r="365" customFormat="1" spans="1:31">
      <c r="A365" s="19"/>
      <c r="B365" s="20"/>
      <c r="C365" s="21">
        <v>241012000019</v>
      </c>
      <c r="D365" s="22">
        <v>45583</v>
      </c>
      <c r="E365" s="22" t="s">
        <v>37</v>
      </c>
      <c r="F365" s="20" t="s">
        <v>38</v>
      </c>
      <c r="G365" s="20" t="s">
        <v>322</v>
      </c>
      <c r="H365" s="20">
        <v>11.5</v>
      </c>
      <c r="I365" s="39">
        <v>724.5</v>
      </c>
      <c r="J365" s="40"/>
      <c r="K365" s="41"/>
      <c r="L365" s="20"/>
      <c r="M365" s="41"/>
      <c r="N365" s="42"/>
      <c r="O365" s="43">
        <f t="shared" si="201"/>
        <v>724.5</v>
      </c>
      <c r="P365" s="45"/>
      <c r="Q365" s="45"/>
      <c r="R365" s="69">
        <f t="shared" si="203"/>
        <v>507.266147974163</v>
      </c>
      <c r="S365" s="69">
        <f t="shared" si="204"/>
        <v>1.82325308279507</v>
      </c>
      <c r="T365" s="70">
        <f t="shared" si="205"/>
        <v>1.40458015267176</v>
      </c>
      <c r="U365" s="69"/>
      <c r="V365" s="69"/>
      <c r="W365" s="71">
        <f t="shared" si="202"/>
        <v>510.49398120963</v>
      </c>
      <c r="X365" s="72">
        <f t="shared" si="206"/>
        <v>7.48242806811509</v>
      </c>
      <c r="Y365" s="72"/>
      <c r="Z365" s="72"/>
      <c r="AA365" s="72">
        <f t="shared" si="198"/>
        <v>7.48242806811509</v>
      </c>
      <c r="AB365" s="81">
        <v>7.11</v>
      </c>
      <c r="AC365" s="69">
        <f t="shared" si="197"/>
        <v>53.2000635642983</v>
      </c>
      <c r="AD365" s="69">
        <f t="shared" si="199"/>
        <v>563.694044773928</v>
      </c>
      <c r="AE365" s="69">
        <f t="shared" si="200"/>
        <v>160.805955226072</v>
      </c>
    </row>
    <row r="366" customFormat="1" spans="1:31">
      <c r="A366" s="19"/>
      <c r="B366" s="20"/>
      <c r="C366" s="21">
        <v>241012000021</v>
      </c>
      <c r="D366" s="22">
        <v>45583</v>
      </c>
      <c r="E366" s="22" t="s">
        <v>37</v>
      </c>
      <c r="F366" s="20" t="s">
        <v>38</v>
      </c>
      <c r="G366" s="20" t="s">
        <v>186</v>
      </c>
      <c r="H366" s="20">
        <v>11.5</v>
      </c>
      <c r="I366" s="39">
        <v>661.5</v>
      </c>
      <c r="J366" s="40"/>
      <c r="K366" s="41"/>
      <c r="L366" s="20"/>
      <c r="M366" s="41"/>
      <c r="N366" s="42"/>
      <c r="O366" s="43">
        <f t="shared" si="201"/>
        <v>661.5</v>
      </c>
      <c r="P366" s="45"/>
      <c r="Q366" s="45"/>
      <c r="R366" s="69">
        <f t="shared" si="203"/>
        <v>507.266147974163</v>
      </c>
      <c r="S366" s="69">
        <f t="shared" si="204"/>
        <v>1.82325308279507</v>
      </c>
      <c r="T366" s="70">
        <f t="shared" si="205"/>
        <v>1.40458015267176</v>
      </c>
      <c r="U366" s="69"/>
      <c r="V366" s="69"/>
      <c r="W366" s="71">
        <f t="shared" si="202"/>
        <v>510.49398120963</v>
      </c>
      <c r="X366" s="72">
        <f t="shared" si="206"/>
        <v>7.48242806811509</v>
      </c>
      <c r="Y366" s="72"/>
      <c r="Z366" s="72"/>
      <c r="AA366" s="72">
        <f t="shared" si="198"/>
        <v>7.48242806811509</v>
      </c>
      <c r="AB366" s="81">
        <v>7.11</v>
      </c>
      <c r="AC366" s="69">
        <f t="shared" si="197"/>
        <v>53.2000635642983</v>
      </c>
      <c r="AD366" s="69">
        <f t="shared" si="199"/>
        <v>563.694044773928</v>
      </c>
      <c r="AE366" s="69">
        <f t="shared" si="200"/>
        <v>97.8059552260717</v>
      </c>
    </row>
    <row r="367" customFormat="1" spans="1:31">
      <c r="A367" s="19"/>
      <c r="B367" s="20"/>
      <c r="C367" s="21">
        <v>241012000023</v>
      </c>
      <c r="D367" s="22">
        <v>45583</v>
      </c>
      <c r="E367" s="22" t="s">
        <v>41</v>
      </c>
      <c r="F367" s="20" t="s">
        <v>42</v>
      </c>
      <c r="G367" s="20" t="s">
        <v>283</v>
      </c>
      <c r="H367" s="20">
        <v>8</v>
      </c>
      <c r="I367" s="43"/>
      <c r="J367" s="46">
        <v>113936</v>
      </c>
      <c r="K367" s="41"/>
      <c r="L367" s="47">
        <f>SUM(J367/M367)</f>
        <v>1724.99621498865</v>
      </c>
      <c r="M367" s="48">
        <v>66.05</v>
      </c>
      <c r="N367" s="42">
        <v>7.11</v>
      </c>
      <c r="O367" s="43">
        <f>SUM(M367*N367)</f>
        <v>469.6155</v>
      </c>
      <c r="P367" s="45"/>
      <c r="Q367" s="45"/>
      <c r="R367" s="69">
        <f t="shared" si="203"/>
        <v>352.880798590722</v>
      </c>
      <c r="S367" s="69">
        <f t="shared" si="204"/>
        <v>1.26834997064005</v>
      </c>
      <c r="T367" s="70">
        <f t="shared" si="205"/>
        <v>0.977099236641221</v>
      </c>
      <c r="U367" s="69"/>
      <c r="V367" s="69"/>
      <c r="W367" s="71">
        <f t="shared" si="202"/>
        <v>355.126247798003</v>
      </c>
      <c r="X367" s="72">
        <f t="shared" si="206"/>
        <v>5.20516735173224</v>
      </c>
      <c r="Y367" s="72"/>
      <c r="Z367" s="72"/>
      <c r="AA367" s="72">
        <f t="shared" si="198"/>
        <v>5.20516735173224</v>
      </c>
      <c r="AB367" s="81">
        <v>7.11</v>
      </c>
      <c r="AC367" s="69">
        <f t="shared" si="197"/>
        <v>37.0087398708162</v>
      </c>
      <c r="AD367" s="69">
        <f t="shared" si="199"/>
        <v>392.134987668819</v>
      </c>
      <c r="AE367" s="69">
        <f t="shared" si="200"/>
        <v>77.4805123311808</v>
      </c>
    </row>
    <row r="368" customFormat="1" spans="1:31">
      <c r="A368" s="19"/>
      <c r="B368" s="20"/>
      <c r="C368" s="21">
        <v>241012000024</v>
      </c>
      <c r="D368" s="22">
        <v>45583</v>
      </c>
      <c r="E368" s="22" t="s">
        <v>37</v>
      </c>
      <c r="F368" s="20" t="s">
        <v>38</v>
      </c>
      <c r="G368" s="20" t="s">
        <v>323</v>
      </c>
      <c r="H368" s="20">
        <v>23</v>
      </c>
      <c r="I368" s="50"/>
      <c r="J368" s="46">
        <v>370440</v>
      </c>
      <c r="K368" s="41"/>
      <c r="L368" s="47">
        <f>SUM(J368/M368)</f>
        <v>1742.01739948272</v>
      </c>
      <c r="M368" s="48">
        <v>212.65</v>
      </c>
      <c r="N368" s="42">
        <v>7.11</v>
      </c>
      <c r="O368" s="43">
        <f>SUM(M368*N368)</f>
        <v>1511.9415</v>
      </c>
      <c r="P368" s="45"/>
      <c r="Q368" s="45"/>
      <c r="R368" s="69">
        <f t="shared" si="203"/>
        <v>1014.53229594833</v>
      </c>
      <c r="S368" s="69">
        <f t="shared" si="204"/>
        <v>3.64650616559013</v>
      </c>
      <c r="T368" s="70">
        <f t="shared" si="205"/>
        <v>2.80916030534351</v>
      </c>
      <c r="U368" s="69"/>
      <c r="V368" s="69"/>
      <c r="W368" s="71">
        <f t="shared" si="202"/>
        <v>1020.98796241926</v>
      </c>
      <c r="X368" s="72">
        <f t="shared" si="206"/>
        <v>14.9648561362302</v>
      </c>
      <c r="Y368" s="72"/>
      <c r="Z368" s="72"/>
      <c r="AA368" s="72">
        <f t="shared" si="198"/>
        <v>14.9648561362302</v>
      </c>
      <c r="AB368" s="81">
        <v>7.11</v>
      </c>
      <c r="AC368" s="69">
        <f t="shared" si="197"/>
        <v>106.400127128597</v>
      </c>
      <c r="AD368" s="69">
        <f t="shared" si="199"/>
        <v>1127.38808954786</v>
      </c>
      <c r="AE368" s="69">
        <f t="shared" si="200"/>
        <v>384.553410452143</v>
      </c>
    </row>
    <row r="369" customFormat="1" spans="1:31">
      <c r="A369" s="19"/>
      <c r="B369" s="20"/>
      <c r="C369" s="21">
        <v>241012000033</v>
      </c>
      <c r="D369" s="22">
        <v>45583</v>
      </c>
      <c r="E369" s="22" t="s">
        <v>55</v>
      </c>
      <c r="F369" s="20" t="s">
        <v>56</v>
      </c>
      <c r="G369" s="20" t="s">
        <v>324</v>
      </c>
      <c r="H369" s="20">
        <v>3</v>
      </c>
      <c r="I369" s="39">
        <v>201</v>
      </c>
      <c r="J369" s="40"/>
      <c r="K369" s="41"/>
      <c r="L369" s="20"/>
      <c r="M369" s="41"/>
      <c r="N369" s="42"/>
      <c r="O369" s="43">
        <f t="shared" ref="O369:O373" si="207">SUM(I369)</f>
        <v>201</v>
      </c>
      <c r="P369" s="45"/>
      <c r="Q369" s="45"/>
      <c r="R369" s="69">
        <f t="shared" si="203"/>
        <v>132.330299471521</v>
      </c>
      <c r="S369" s="69">
        <f t="shared" si="204"/>
        <v>0.475631238990018</v>
      </c>
      <c r="T369" s="70">
        <f t="shared" si="205"/>
        <v>0.366412213740458</v>
      </c>
      <c r="U369" s="69"/>
      <c r="V369" s="69"/>
      <c r="W369" s="71">
        <f t="shared" si="202"/>
        <v>133.172342924251</v>
      </c>
      <c r="X369" s="72">
        <f t="shared" si="206"/>
        <v>1.95193775689959</v>
      </c>
      <c r="Y369" s="72"/>
      <c r="Z369" s="72"/>
      <c r="AA369" s="72">
        <f t="shared" si="198"/>
        <v>1.95193775689959</v>
      </c>
      <c r="AB369" s="81">
        <v>7.11</v>
      </c>
      <c r="AC369" s="69">
        <f t="shared" si="197"/>
        <v>13.8782774515561</v>
      </c>
      <c r="AD369" s="69">
        <f t="shared" si="199"/>
        <v>147.050620375807</v>
      </c>
      <c r="AE369" s="69">
        <f t="shared" si="200"/>
        <v>53.9493796241929</v>
      </c>
    </row>
    <row r="370" customFormat="1" spans="1:31">
      <c r="A370" s="19"/>
      <c r="B370" s="20"/>
      <c r="C370" s="21">
        <v>241012000034</v>
      </c>
      <c r="D370" s="22">
        <v>45583</v>
      </c>
      <c r="E370" s="22" t="s">
        <v>55</v>
      </c>
      <c r="F370" s="20" t="s">
        <v>56</v>
      </c>
      <c r="G370" s="20" t="s">
        <v>112</v>
      </c>
      <c r="H370" s="20">
        <v>10</v>
      </c>
      <c r="I370" s="39">
        <v>576</v>
      </c>
      <c r="J370" s="40"/>
      <c r="K370" s="41"/>
      <c r="L370" s="20"/>
      <c r="M370" s="41"/>
      <c r="N370" s="42"/>
      <c r="O370" s="43">
        <f t="shared" si="207"/>
        <v>576</v>
      </c>
      <c r="P370" s="45"/>
      <c r="Q370" s="45"/>
      <c r="R370" s="69">
        <f t="shared" si="203"/>
        <v>441.100998238403</v>
      </c>
      <c r="S370" s="69">
        <f t="shared" si="204"/>
        <v>1.58543746330006</v>
      </c>
      <c r="T370" s="70">
        <f t="shared" si="205"/>
        <v>1.22137404580153</v>
      </c>
      <c r="U370" s="69"/>
      <c r="V370" s="69"/>
      <c r="W370" s="71">
        <f t="shared" si="202"/>
        <v>443.907809747504</v>
      </c>
      <c r="X370" s="72">
        <f t="shared" si="206"/>
        <v>6.5064591896653</v>
      </c>
      <c r="Y370" s="72"/>
      <c r="Z370" s="72"/>
      <c r="AA370" s="72">
        <f t="shared" si="198"/>
        <v>6.5064591896653</v>
      </c>
      <c r="AB370" s="81">
        <v>7.11</v>
      </c>
      <c r="AC370" s="69">
        <f t="shared" si="197"/>
        <v>46.2609248385203</v>
      </c>
      <c r="AD370" s="69">
        <f t="shared" si="199"/>
        <v>490.168734586024</v>
      </c>
      <c r="AE370" s="69">
        <f t="shared" si="200"/>
        <v>85.8312654139757</v>
      </c>
    </row>
    <row r="371" customFormat="1" spans="1:31">
      <c r="A371" s="19"/>
      <c r="B371" s="20"/>
      <c r="C371" s="21">
        <v>241012000035</v>
      </c>
      <c r="D371" s="22">
        <v>45583</v>
      </c>
      <c r="E371" s="22" t="s">
        <v>55</v>
      </c>
      <c r="F371" s="20" t="s">
        <v>56</v>
      </c>
      <c r="G371" s="20" t="s">
        <v>211</v>
      </c>
      <c r="H371" s="20">
        <v>0.46</v>
      </c>
      <c r="I371" s="39">
        <v>69</v>
      </c>
      <c r="J371" s="40"/>
      <c r="K371" s="41"/>
      <c r="L371" s="20"/>
      <c r="M371" s="41"/>
      <c r="N371" s="42"/>
      <c r="O371" s="43">
        <f t="shared" si="207"/>
        <v>69</v>
      </c>
      <c r="P371" s="45"/>
      <c r="Q371" s="45"/>
      <c r="R371" s="69">
        <f t="shared" si="203"/>
        <v>20.2906459189665</v>
      </c>
      <c r="S371" s="69">
        <f t="shared" si="204"/>
        <v>0.0729301233118027</v>
      </c>
      <c r="T371" s="70">
        <f t="shared" si="205"/>
        <v>0.0561832061068702</v>
      </c>
      <c r="U371" s="69"/>
      <c r="V371" s="69"/>
      <c r="W371" s="71">
        <f t="shared" si="202"/>
        <v>20.4197592483852</v>
      </c>
      <c r="X371" s="72">
        <f t="shared" si="206"/>
        <v>0.299297122724604</v>
      </c>
      <c r="Y371" s="72"/>
      <c r="Z371" s="72"/>
      <c r="AA371" s="72">
        <f t="shared" si="198"/>
        <v>0.299297122724604</v>
      </c>
      <c r="AB371" s="81">
        <v>7.11</v>
      </c>
      <c r="AC371" s="69">
        <f t="shared" si="197"/>
        <v>2.12800254257193</v>
      </c>
      <c r="AD371" s="69">
        <f t="shared" si="199"/>
        <v>22.5477617909571</v>
      </c>
      <c r="AE371" s="69">
        <f t="shared" si="200"/>
        <v>46.4522382090429</v>
      </c>
    </row>
    <row r="372" customFormat="1" spans="1:31">
      <c r="A372" s="19"/>
      <c r="B372" s="20"/>
      <c r="C372" s="21">
        <v>241012000038</v>
      </c>
      <c r="D372" s="22">
        <v>45583</v>
      </c>
      <c r="E372" s="22" t="s">
        <v>66</v>
      </c>
      <c r="F372" s="20" t="s">
        <v>67</v>
      </c>
      <c r="G372" s="20" t="s">
        <v>129</v>
      </c>
      <c r="H372" s="20">
        <v>19</v>
      </c>
      <c r="I372" s="39">
        <v>1140</v>
      </c>
      <c r="J372" s="40"/>
      <c r="K372" s="41"/>
      <c r="L372" s="20"/>
      <c r="M372" s="41"/>
      <c r="N372" s="42"/>
      <c r="O372" s="43">
        <f t="shared" si="207"/>
        <v>1140</v>
      </c>
      <c r="P372" s="45"/>
      <c r="Q372" s="45"/>
      <c r="R372" s="69">
        <f t="shared" si="203"/>
        <v>838.091896652965</v>
      </c>
      <c r="S372" s="69">
        <f t="shared" si="204"/>
        <v>3.01233118027011</v>
      </c>
      <c r="T372" s="70">
        <f t="shared" si="205"/>
        <v>2.3206106870229</v>
      </c>
      <c r="U372" s="69"/>
      <c r="V372" s="69"/>
      <c r="W372" s="71">
        <f t="shared" si="202"/>
        <v>843.424838520258</v>
      </c>
      <c r="X372" s="72">
        <f t="shared" si="206"/>
        <v>12.3622724603641</v>
      </c>
      <c r="Y372" s="72"/>
      <c r="Z372" s="72"/>
      <c r="AA372" s="72">
        <f t="shared" si="198"/>
        <v>12.3622724603641</v>
      </c>
      <c r="AB372" s="81">
        <v>7.11</v>
      </c>
      <c r="AC372" s="69">
        <f t="shared" si="197"/>
        <v>87.8957571931888</v>
      </c>
      <c r="AD372" s="69">
        <f t="shared" si="199"/>
        <v>931.320595713447</v>
      </c>
      <c r="AE372" s="69">
        <f t="shared" si="200"/>
        <v>208.679404286553</v>
      </c>
    </row>
    <row r="373" customFormat="1" spans="1:31">
      <c r="A373" s="19"/>
      <c r="B373" s="20"/>
      <c r="C373" s="21">
        <v>241014000007</v>
      </c>
      <c r="D373" s="22">
        <v>45583</v>
      </c>
      <c r="E373" s="22" t="s">
        <v>66</v>
      </c>
      <c r="F373" s="20" t="s">
        <v>67</v>
      </c>
      <c r="G373" s="20" t="s">
        <v>226</v>
      </c>
      <c r="H373" s="20">
        <v>3.5</v>
      </c>
      <c r="I373" s="39">
        <v>234</v>
      </c>
      <c r="J373" s="40"/>
      <c r="K373" s="41"/>
      <c r="L373" s="20"/>
      <c r="M373" s="41"/>
      <c r="N373" s="42"/>
      <c r="O373" s="43">
        <f t="shared" si="207"/>
        <v>234</v>
      </c>
      <c r="P373" s="45"/>
      <c r="Q373" s="45"/>
      <c r="R373" s="69">
        <f t="shared" si="203"/>
        <v>154.385349383441</v>
      </c>
      <c r="S373" s="69">
        <f t="shared" si="204"/>
        <v>0.554903112155021</v>
      </c>
      <c r="T373" s="70">
        <f t="shared" si="205"/>
        <v>0.427480916030534</v>
      </c>
      <c r="U373" s="69"/>
      <c r="V373" s="69"/>
      <c r="W373" s="71">
        <f t="shared" si="202"/>
        <v>155.367733411627</v>
      </c>
      <c r="X373" s="72">
        <f t="shared" si="206"/>
        <v>2.27726071638285</v>
      </c>
      <c r="Y373" s="72"/>
      <c r="Z373" s="72"/>
      <c r="AA373" s="72">
        <f t="shared" si="198"/>
        <v>2.27726071638285</v>
      </c>
      <c r="AB373" s="81">
        <v>7.11</v>
      </c>
      <c r="AC373" s="69">
        <f t="shared" si="197"/>
        <v>16.1913236934821</v>
      </c>
      <c r="AD373" s="69">
        <f t="shared" si="199"/>
        <v>171.559057105109</v>
      </c>
      <c r="AE373" s="69">
        <f t="shared" si="200"/>
        <v>62.4409428948909</v>
      </c>
    </row>
    <row r="374" customFormat="1" spans="1:31">
      <c r="A374" s="19"/>
      <c r="B374" s="20"/>
      <c r="C374" s="82">
        <v>241014000011</v>
      </c>
      <c r="D374" s="83">
        <v>45583</v>
      </c>
      <c r="E374" s="22" t="s">
        <v>66</v>
      </c>
      <c r="F374" s="84" t="s">
        <v>67</v>
      </c>
      <c r="G374" s="84" t="s">
        <v>269</v>
      </c>
      <c r="H374" s="84">
        <v>151.5</v>
      </c>
      <c r="I374" s="50"/>
      <c r="J374" s="46">
        <v>2049795</v>
      </c>
      <c r="K374" s="41"/>
      <c r="L374" s="47">
        <f t="shared" ref="L374:L377" si="208">SUM(J374/M374)</f>
        <v>1749.06138539516</v>
      </c>
      <c r="M374" s="48">
        <v>1171.94</v>
      </c>
      <c r="N374" s="42">
        <v>7.11</v>
      </c>
      <c r="O374" s="43">
        <f t="shared" ref="O374:O377" si="209">SUM(M374*N374)</f>
        <v>8332.4934</v>
      </c>
      <c r="P374" s="45"/>
      <c r="Q374" s="45"/>
      <c r="R374" s="69">
        <f t="shared" si="203"/>
        <v>6682.6801233118</v>
      </c>
      <c r="S374" s="69">
        <f t="shared" si="204"/>
        <v>24.0193775689959</v>
      </c>
      <c r="T374" s="70">
        <f t="shared" si="205"/>
        <v>18.5038167938931</v>
      </c>
      <c r="U374" s="69"/>
      <c r="V374" s="69"/>
      <c r="W374" s="71">
        <f t="shared" si="202"/>
        <v>6725.20331767469</v>
      </c>
      <c r="X374" s="72">
        <f t="shared" si="206"/>
        <v>98.5728567234292</v>
      </c>
      <c r="Y374" s="72"/>
      <c r="Z374" s="72"/>
      <c r="AA374" s="72">
        <f t="shared" si="198"/>
        <v>98.5728567234292</v>
      </c>
      <c r="AB374" s="81">
        <v>7.11</v>
      </c>
      <c r="AC374" s="69">
        <f t="shared" si="197"/>
        <v>700.853011303582</v>
      </c>
      <c r="AD374" s="69">
        <f t="shared" si="199"/>
        <v>7426.05632897827</v>
      </c>
      <c r="AE374" s="69">
        <f t="shared" si="200"/>
        <v>906.437071021728</v>
      </c>
    </row>
    <row r="375" customFormat="1" spans="1:31">
      <c r="A375" s="19"/>
      <c r="B375" s="20"/>
      <c r="C375" s="21">
        <v>241014000012</v>
      </c>
      <c r="D375" s="22">
        <v>45583</v>
      </c>
      <c r="E375" s="22" t="s">
        <v>66</v>
      </c>
      <c r="F375" s="20" t="s">
        <v>67</v>
      </c>
      <c r="G375" s="20" t="s">
        <v>325</v>
      </c>
      <c r="H375" s="20">
        <v>14</v>
      </c>
      <c r="I375" s="50"/>
      <c r="J375" s="46">
        <v>215351</v>
      </c>
      <c r="K375" s="41"/>
      <c r="L375" s="47">
        <f t="shared" si="208"/>
        <v>1731.39572278501</v>
      </c>
      <c r="M375" s="48">
        <v>124.38</v>
      </c>
      <c r="N375" s="42">
        <v>7.11</v>
      </c>
      <c r="O375" s="43">
        <f t="shared" si="209"/>
        <v>884.3418</v>
      </c>
      <c r="P375" s="45"/>
      <c r="Q375" s="45"/>
      <c r="R375" s="69">
        <f t="shared" si="203"/>
        <v>617.541397533764</v>
      </c>
      <c r="S375" s="69">
        <f t="shared" si="204"/>
        <v>2.21961244862008</v>
      </c>
      <c r="T375" s="70">
        <f t="shared" si="205"/>
        <v>1.70992366412214</v>
      </c>
      <c r="U375" s="69"/>
      <c r="V375" s="69"/>
      <c r="W375" s="71">
        <f t="shared" si="202"/>
        <v>621.470933646506</v>
      </c>
      <c r="X375" s="72">
        <f t="shared" si="206"/>
        <v>9.10904286553142</v>
      </c>
      <c r="Y375" s="72"/>
      <c r="Z375" s="72"/>
      <c r="AA375" s="72">
        <f t="shared" si="198"/>
        <v>9.10904286553142</v>
      </c>
      <c r="AB375" s="81">
        <v>7.11</v>
      </c>
      <c r="AC375" s="69">
        <f t="shared" si="197"/>
        <v>64.7652947739284</v>
      </c>
      <c r="AD375" s="69">
        <f t="shared" si="199"/>
        <v>686.236228420434</v>
      </c>
      <c r="AE375" s="69">
        <f t="shared" si="200"/>
        <v>198.105571579566</v>
      </c>
    </row>
    <row r="376" customFormat="1" spans="1:31">
      <c r="A376" s="19"/>
      <c r="B376" s="20"/>
      <c r="C376" s="21">
        <v>241014000016</v>
      </c>
      <c r="D376" s="22">
        <v>45583</v>
      </c>
      <c r="E376" s="22" t="s">
        <v>66</v>
      </c>
      <c r="F376" s="20" t="s">
        <v>67</v>
      </c>
      <c r="G376" s="20" t="s">
        <v>269</v>
      </c>
      <c r="H376" s="20">
        <v>26.5</v>
      </c>
      <c r="I376" s="50"/>
      <c r="J376" s="46">
        <v>365310</v>
      </c>
      <c r="K376" s="41"/>
      <c r="L376" s="47">
        <f t="shared" si="208"/>
        <v>1749.06636024131</v>
      </c>
      <c r="M376" s="48">
        <v>208.86</v>
      </c>
      <c r="N376" s="42">
        <v>7.11</v>
      </c>
      <c r="O376" s="43">
        <f t="shared" si="209"/>
        <v>1484.9946</v>
      </c>
      <c r="P376" s="45"/>
      <c r="Q376" s="45"/>
      <c r="R376" s="69">
        <f t="shared" si="203"/>
        <v>1168.91764533177</v>
      </c>
      <c r="S376" s="69">
        <f t="shared" si="204"/>
        <v>4.20140927774516</v>
      </c>
      <c r="T376" s="70">
        <f t="shared" si="205"/>
        <v>3.23664122137405</v>
      </c>
      <c r="U376" s="69"/>
      <c r="V376" s="70">
        <v>18</v>
      </c>
      <c r="W376" s="71">
        <f t="shared" si="202"/>
        <v>1194.35569583089</v>
      </c>
      <c r="X376" s="72">
        <f t="shared" si="206"/>
        <v>17.242116852613</v>
      </c>
      <c r="Y376" s="72"/>
      <c r="Z376" s="72"/>
      <c r="AA376" s="72">
        <f t="shared" si="198"/>
        <v>17.242116852613</v>
      </c>
      <c r="AB376" s="81">
        <v>7.11</v>
      </c>
      <c r="AC376" s="69">
        <f t="shared" si="197"/>
        <v>122.591450822078</v>
      </c>
      <c r="AD376" s="69">
        <f t="shared" si="199"/>
        <v>1316.94714665297</v>
      </c>
      <c r="AE376" s="69">
        <f t="shared" si="200"/>
        <v>168.047453347031</v>
      </c>
    </row>
    <row r="377" customFormat="1" spans="1:31">
      <c r="A377" s="19"/>
      <c r="B377" s="20"/>
      <c r="C377" s="21">
        <v>241014000020</v>
      </c>
      <c r="D377" s="22">
        <v>45583</v>
      </c>
      <c r="E377" s="22" t="s">
        <v>41</v>
      </c>
      <c r="F377" s="20" t="s">
        <v>42</v>
      </c>
      <c r="G377" s="20" t="s">
        <v>255</v>
      </c>
      <c r="H377" s="20">
        <v>3</v>
      </c>
      <c r="I377" s="43"/>
      <c r="J377" s="46">
        <v>45457</v>
      </c>
      <c r="K377" s="41"/>
      <c r="L377" s="47">
        <f t="shared" si="208"/>
        <v>1735</v>
      </c>
      <c r="M377" s="48">
        <v>26.2</v>
      </c>
      <c r="N377" s="42">
        <v>7.11</v>
      </c>
      <c r="O377" s="43">
        <f t="shared" si="209"/>
        <v>186.282</v>
      </c>
      <c r="P377" s="45"/>
      <c r="Q377" s="45"/>
      <c r="R377" s="69">
        <f t="shared" si="203"/>
        <v>132.330299471521</v>
      </c>
      <c r="S377" s="69">
        <f t="shared" si="204"/>
        <v>0.475631238990018</v>
      </c>
      <c r="T377" s="70">
        <f t="shared" si="205"/>
        <v>0.366412213740458</v>
      </c>
      <c r="U377" s="69"/>
      <c r="V377" s="69"/>
      <c r="W377" s="71">
        <f t="shared" si="202"/>
        <v>133.172342924251</v>
      </c>
      <c r="X377" s="72">
        <f t="shared" si="206"/>
        <v>1.95193775689959</v>
      </c>
      <c r="Y377" s="72"/>
      <c r="Z377" s="72"/>
      <c r="AA377" s="72">
        <f t="shared" si="198"/>
        <v>1.95193775689959</v>
      </c>
      <c r="AB377" s="81">
        <v>7.11</v>
      </c>
      <c r="AC377" s="69">
        <f t="shared" si="197"/>
        <v>13.8782774515561</v>
      </c>
      <c r="AD377" s="69">
        <f t="shared" si="199"/>
        <v>147.050620375807</v>
      </c>
      <c r="AE377" s="69">
        <f t="shared" si="200"/>
        <v>39.2313796241929</v>
      </c>
    </row>
    <row r="378" customFormat="1" spans="1:31">
      <c r="A378" s="19"/>
      <c r="B378" s="20"/>
      <c r="C378" s="21">
        <v>241014000024</v>
      </c>
      <c r="D378" s="22">
        <v>45583</v>
      </c>
      <c r="E378" s="22" t="s">
        <v>41</v>
      </c>
      <c r="F378" s="20" t="s">
        <v>42</v>
      </c>
      <c r="G378" s="20" t="s">
        <v>326</v>
      </c>
      <c r="H378" s="20">
        <v>4.5</v>
      </c>
      <c r="I378" s="39">
        <v>283</v>
      </c>
      <c r="J378" s="40"/>
      <c r="K378" s="41"/>
      <c r="L378" s="20"/>
      <c r="M378" s="41"/>
      <c r="N378" s="42"/>
      <c r="O378" s="43">
        <f t="shared" ref="O378:O388" si="210">SUM(I378)</f>
        <v>283</v>
      </c>
      <c r="P378" s="45"/>
      <c r="Q378" s="45"/>
      <c r="R378" s="69">
        <f t="shared" si="203"/>
        <v>198.495449207281</v>
      </c>
      <c r="S378" s="69">
        <f t="shared" si="204"/>
        <v>0.713446858485026</v>
      </c>
      <c r="T378" s="70">
        <f t="shared" si="205"/>
        <v>0.549618320610687</v>
      </c>
      <c r="U378" s="69"/>
      <c r="V378" s="69"/>
      <c r="W378" s="71">
        <f t="shared" si="202"/>
        <v>199.758514386377</v>
      </c>
      <c r="X378" s="72">
        <f t="shared" si="206"/>
        <v>2.92790663534938</v>
      </c>
      <c r="Y378" s="72"/>
      <c r="Z378" s="72"/>
      <c r="AA378" s="72">
        <f t="shared" si="198"/>
        <v>2.92790663534938</v>
      </c>
      <c r="AB378" s="81">
        <v>7.11</v>
      </c>
      <c r="AC378" s="69">
        <f t="shared" si="197"/>
        <v>20.8174161773341</v>
      </c>
      <c r="AD378" s="69">
        <f t="shared" si="199"/>
        <v>220.575930563711</v>
      </c>
      <c r="AE378" s="69">
        <f t="shared" si="200"/>
        <v>62.4240694362889</v>
      </c>
    </row>
    <row r="379" customFormat="1" spans="1:31">
      <c r="A379" s="19"/>
      <c r="B379" s="20"/>
      <c r="C379" s="21">
        <v>241014000025</v>
      </c>
      <c r="D379" s="22">
        <v>45583</v>
      </c>
      <c r="E379" s="22" t="s">
        <v>41</v>
      </c>
      <c r="F379" s="20" t="s">
        <v>42</v>
      </c>
      <c r="G379" s="20" t="s">
        <v>327</v>
      </c>
      <c r="H379" s="20">
        <v>20.5</v>
      </c>
      <c r="I379" s="43"/>
      <c r="J379" s="46">
        <v>289700</v>
      </c>
      <c r="K379" s="41"/>
      <c r="L379" s="47">
        <f t="shared" ref="L379:L381" si="211">SUM(J379/M379)</f>
        <v>1725.22629823726</v>
      </c>
      <c r="M379" s="48">
        <v>167.92</v>
      </c>
      <c r="N379" s="42">
        <v>7.11</v>
      </c>
      <c r="O379" s="43">
        <f t="shared" ref="O379:O381" si="212">SUM(M379*N379)</f>
        <v>1193.9112</v>
      </c>
      <c r="P379" s="45"/>
      <c r="Q379" s="45"/>
      <c r="R379" s="69">
        <f t="shared" si="203"/>
        <v>904.257046388726</v>
      </c>
      <c r="S379" s="69">
        <f t="shared" si="204"/>
        <v>3.25014679976512</v>
      </c>
      <c r="T379" s="70">
        <f t="shared" si="205"/>
        <v>2.50381679389313</v>
      </c>
      <c r="U379" s="69"/>
      <c r="V379" s="69"/>
      <c r="W379" s="71">
        <f t="shared" si="202"/>
        <v>910.011009982384</v>
      </c>
      <c r="X379" s="72">
        <f t="shared" si="206"/>
        <v>13.3382413388139</v>
      </c>
      <c r="Y379" s="72"/>
      <c r="Z379" s="72"/>
      <c r="AA379" s="72">
        <f t="shared" si="198"/>
        <v>13.3382413388139</v>
      </c>
      <c r="AB379" s="81">
        <v>7.11</v>
      </c>
      <c r="AC379" s="69">
        <f t="shared" si="197"/>
        <v>94.8348959189668</v>
      </c>
      <c r="AD379" s="69">
        <f t="shared" si="199"/>
        <v>1004.84590590135</v>
      </c>
      <c r="AE379" s="69">
        <f t="shared" si="200"/>
        <v>189.065294098649</v>
      </c>
    </row>
    <row r="380" customFormat="1" spans="1:31">
      <c r="A380" s="19"/>
      <c r="B380" s="20"/>
      <c r="C380" s="21">
        <v>241014000027</v>
      </c>
      <c r="D380" s="22">
        <v>45583</v>
      </c>
      <c r="E380" s="22" t="s">
        <v>41</v>
      </c>
      <c r="F380" s="20" t="s">
        <v>42</v>
      </c>
      <c r="G380" s="20" t="s">
        <v>105</v>
      </c>
      <c r="H380" s="20">
        <v>2</v>
      </c>
      <c r="I380" s="43"/>
      <c r="J380" s="46">
        <v>34500</v>
      </c>
      <c r="K380" s="41"/>
      <c r="L380" s="47">
        <f t="shared" si="211"/>
        <v>1707.92079207921</v>
      </c>
      <c r="M380" s="48">
        <v>20.2</v>
      </c>
      <c r="N380" s="42">
        <v>7.11</v>
      </c>
      <c r="O380" s="43">
        <f t="shared" si="212"/>
        <v>143.622</v>
      </c>
      <c r="P380" s="45"/>
      <c r="Q380" s="45"/>
      <c r="R380" s="69">
        <f t="shared" si="203"/>
        <v>88.2201996476806</v>
      </c>
      <c r="S380" s="69">
        <f t="shared" si="204"/>
        <v>0.317087492660012</v>
      </c>
      <c r="T380" s="70">
        <f t="shared" si="205"/>
        <v>0.244274809160305</v>
      </c>
      <c r="U380" s="69"/>
      <c r="V380" s="69"/>
      <c r="W380" s="71">
        <f t="shared" si="202"/>
        <v>88.7815619495009</v>
      </c>
      <c r="X380" s="72">
        <f t="shared" si="206"/>
        <v>1.30129183793306</v>
      </c>
      <c r="Y380" s="72"/>
      <c r="Z380" s="72"/>
      <c r="AA380" s="72">
        <f t="shared" si="198"/>
        <v>1.30129183793306</v>
      </c>
      <c r="AB380" s="81">
        <v>7.11</v>
      </c>
      <c r="AC380" s="69">
        <f t="shared" si="197"/>
        <v>9.25218496770406</v>
      </c>
      <c r="AD380" s="69">
        <f t="shared" si="199"/>
        <v>98.033746917205</v>
      </c>
      <c r="AE380" s="69">
        <f t="shared" si="200"/>
        <v>45.5882530827951</v>
      </c>
    </row>
    <row r="381" customFormat="1" spans="1:31">
      <c r="A381" s="19"/>
      <c r="B381" s="20"/>
      <c r="C381" s="21">
        <v>241014000028</v>
      </c>
      <c r="D381" s="22">
        <v>45583</v>
      </c>
      <c r="E381" s="22" t="s">
        <v>41</v>
      </c>
      <c r="F381" s="20" t="s">
        <v>42</v>
      </c>
      <c r="G381" s="20" t="s">
        <v>105</v>
      </c>
      <c r="H381" s="20">
        <v>155</v>
      </c>
      <c r="I381" s="43"/>
      <c r="J381" s="46">
        <v>2673750</v>
      </c>
      <c r="K381" s="41"/>
      <c r="L381" s="47">
        <f t="shared" si="211"/>
        <v>1725</v>
      </c>
      <c r="M381" s="86">
        <v>1550</v>
      </c>
      <c r="N381" s="42">
        <v>7.11</v>
      </c>
      <c r="O381" s="43">
        <f t="shared" si="212"/>
        <v>11020.5</v>
      </c>
      <c r="P381" s="45"/>
      <c r="Q381" s="45"/>
      <c r="R381" s="69">
        <f t="shared" si="203"/>
        <v>6837.06547269524</v>
      </c>
      <c r="S381" s="69">
        <f t="shared" si="204"/>
        <v>24.5742806811509</v>
      </c>
      <c r="T381" s="70">
        <f t="shared" si="205"/>
        <v>18.9312977099237</v>
      </c>
      <c r="U381" s="69"/>
      <c r="V381" s="69"/>
      <c r="W381" s="71">
        <f t="shared" si="202"/>
        <v>6880.57105108632</v>
      </c>
      <c r="X381" s="72">
        <f t="shared" si="206"/>
        <v>100.850117439812</v>
      </c>
      <c r="Y381" s="72"/>
      <c r="Z381" s="72"/>
      <c r="AA381" s="72">
        <f t="shared" si="198"/>
        <v>100.850117439812</v>
      </c>
      <c r="AB381" s="81">
        <v>7.11</v>
      </c>
      <c r="AC381" s="69">
        <f t="shared" si="197"/>
        <v>717.044334997063</v>
      </c>
      <c r="AD381" s="69">
        <f t="shared" si="199"/>
        <v>7597.61538608338</v>
      </c>
      <c r="AE381" s="69">
        <f t="shared" si="200"/>
        <v>3422.88461391662</v>
      </c>
    </row>
    <row r="382" customFormat="1" spans="1:31">
      <c r="A382" s="19"/>
      <c r="B382" s="20"/>
      <c r="C382" s="21">
        <v>241014000033</v>
      </c>
      <c r="D382" s="22">
        <v>45583</v>
      </c>
      <c r="E382" s="22" t="s">
        <v>37</v>
      </c>
      <c r="F382" s="20" t="s">
        <v>38</v>
      </c>
      <c r="G382" s="20" t="s">
        <v>186</v>
      </c>
      <c r="H382" s="20">
        <v>2</v>
      </c>
      <c r="I382" s="39">
        <v>123</v>
      </c>
      <c r="J382" s="40"/>
      <c r="K382" s="41"/>
      <c r="L382" s="20"/>
      <c r="M382" s="41"/>
      <c r="N382" s="42"/>
      <c r="O382" s="43">
        <f t="shared" si="210"/>
        <v>123</v>
      </c>
      <c r="P382" s="45"/>
      <c r="Q382" s="45"/>
      <c r="R382" s="69">
        <f t="shared" si="203"/>
        <v>88.2201996476806</v>
      </c>
      <c r="S382" s="69">
        <f t="shared" si="204"/>
        <v>0.317087492660012</v>
      </c>
      <c r="T382" s="70">
        <f t="shared" si="205"/>
        <v>0.244274809160305</v>
      </c>
      <c r="U382" s="69"/>
      <c r="V382" s="69"/>
      <c r="W382" s="71">
        <f t="shared" si="202"/>
        <v>88.7815619495009</v>
      </c>
      <c r="X382" s="72">
        <f t="shared" si="206"/>
        <v>1.30129183793306</v>
      </c>
      <c r="Y382" s="72"/>
      <c r="Z382" s="72"/>
      <c r="AA382" s="72">
        <f t="shared" si="198"/>
        <v>1.30129183793306</v>
      </c>
      <c r="AB382" s="81">
        <v>7.11</v>
      </c>
      <c r="AC382" s="69">
        <f t="shared" si="197"/>
        <v>9.25218496770406</v>
      </c>
      <c r="AD382" s="69">
        <f t="shared" si="199"/>
        <v>98.033746917205</v>
      </c>
      <c r="AE382" s="69">
        <f t="shared" si="200"/>
        <v>24.966253082795</v>
      </c>
    </row>
    <row r="383" customFormat="1" spans="1:31">
      <c r="A383" s="19"/>
      <c r="B383" s="20"/>
      <c r="C383" s="21">
        <v>241014000036</v>
      </c>
      <c r="D383" s="22">
        <v>45583</v>
      </c>
      <c r="E383" s="22" t="s">
        <v>41</v>
      </c>
      <c r="F383" s="20" t="s">
        <v>42</v>
      </c>
      <c r="G383" s="20" t="s">
        <v>157</v>
      </c>
      <c r="H383" s="20">
        <v>1.5</v>
      </c>
      <c r="I383" s="39">
        <v>102</v>
      </c>
      <c r="J383" s="40"/>
      <c r="K383" s="41"/>
      <c r="L383" s="20"/>
      <c r="M383" s="41"/>
      <c r="N383" s="42"/>
      <c r="O383" s="43">
        <f t="shared" si="210"/>
        <v>102</v>
      </c>
      <c r="P383" s="45"/>
      <c r="Q383" s="45"/>
      <c r="R383" s="69">
        <f t="shared" si="203"/>
        <v>66.1651497357604</v>
      </c>
      <c r="S383" s="69">
        <f t="shared" si="204"/>
        <v>0.237815619495009</v>
      </c>
      <c r="T383" s="70">
        <f t="shared" si="205"/>
        <v>0.183206106870229</v>
      </c>
      <c r="U383" s="69"/>
      <c r="V383" s="69"/>
      <c r="W383" s="71">
        <f t="shared" si="202"/>
        <v>66.5861714621257</v>
      </c>
      <c r="X383" s="72">
        <f t="shared" si="206"/>
        <v>0.975968878449795</v>
      </c>
      <c r="Y383" s="72"/>
      <c r="Z383" s="72"/>
      <c r="AA383" s="72">
        <f t="shared" si="198"/>
        <v>0.975968878449795</v>
      </c>
      <c r="AB383" s="81">
        <v>7.11</v>
      </c>
      <c r="AC383" s="69">
        <f t="shared" si="197"/>
        <v>6.93913872577804</v>
      </c>
      <c r="AD383" s="69">
        <f t="shared" si="199"/>
        <v>73.5253101879037</v>
      </c>
      <c r="AE383" s="69">
        <f t="shared" si="200"/>
        <v>28.4746898120963</v>
      </c>
    </row>
    <row r="384" customFormat="1" spans="1:31">
      <c r="A384" s="19"/>
      <c r="B384" s="20"/>
      <c r="C384" s="21">
        <v>241014000037</v>
      </c>
      <c r="D384" s="22">
        <v>45583</v>
      </c>
      <c r="E384" s="22" t="s">
        <v>55</v>
      </c>
      <c r="F384" s="20" t="s">
        <v>56</v>
      </c>
      <c r="G384" s="20" t="s">
        <v>165</v>
      </c>
      <c r="H384" s="20">
        <v>13</v>
      </c>
      <c r="I384" s="39">
        <v>825</v>
      </c>
      <c r="J384" s="40"/>
      <c r="K384" s="41"/>
      <c r="L384" s="20"/>
      <c r="M384" s="41"/>
      <c r="N384" s="42"/>
      <c r="O384" s="43">
        <f t="shared" si="210"/>
        <v>825</v>
      </c>
      <c r="P384" s="45"/>
      <c r="Q384" s="45"/>
      <c r="R384" s="69">
        <f t="shared" si="203"/>
        <v>573.431297709924</v>
      </c>
      <c r="S384" s="69">
        <f t="shared" si="204"/>
        <v>2.06106870229008</v>
      </c>
      <c r="T384" s="70">
        <f t="shared" si="205"/>
        <v>1.58778625954198</v>
      </c>
      <c r="U384" s="69"/>
      <c r="V384" s="69"/>
      <c r="W384" s="71">
        <f t="shared" si="202"/>
        <v>577.080152671756</v>
      </c>
      <c r="X384" s="72">
        <f t="shared" si="206"/>
        <v>8.45839694656489</v>
      </c>
      <c r="Y384" s="72"/>
      <c r="Z384" s="72"/>
      <c r="AA384" s="72">
        <f t="shared" si="198"/>
        <v>8.45839694656489</v>
      </c>
      <c r="AB384" s="81">
        <v>7.11</v>
      </c>
      <c r="AC384" s="69">
        <f t="shared" si="197"/>
        <v>60.1392022900764</v>
      </c>
      <c r="AD384" s="69">
        <f t="shared" si="199"/>
        <v>637.219354961832</v>
      </c>
      <c r="AE384" s="69">
        <f t="shared" si="200"/>
        <v>187.780645038168</v>
      </c>
    </row>
    <row r="385" customFormat="1" spans="1:31">
      <c r="A385" s="19"/>
      <c r="B385" s="20"/>
      <c r="C385" s="21">
        <v>241014000039</v>
      </c>
      <c r="D385" s="22">
        <v>45583</v>
      </c>
      <c r="E385" s="22" t="s">
        <v>55</v>
      </c>
      <c r="F385" s="20" t="s">
        <v>56</v>
      </c>
      <c r="G385" s="20" t="s">
        <v>112</v>
      </c>
      <c r="H385" s="20">
        <v>0.16</v>
      </c>
      <c r="I385" s="39">
        <v>63</v>
      </c>
      <c r="J385" s="40"/>
      <c r="K385" s="41"/>
      <c r="L385" s="20"/>
      <c r="M385" s="41"/>
      <c r="N385" s="42"/>
      <c r="O385" s="43">
        <f t="shared" si="210"/>
        <v>63</v>
      </c>
      <c r="P385" s="45"/>
      <c r="Q385" s="45"/>
      <c r="R385" s="69">
        <f t="shared" si="203"/>
        <v>7.05761597181445</v>
      </c>
      <c r="S385" s="69">
        <f t="shared" si="204"/>
        <v>0.0253669994128009</v>
      </c>
      <c r="T385" s="70">
        <f t="shared" si="205"/>
        <v>0.0195419847328244</v>
      </c>
      <c r="U385" s="69"/>
      <c r="V385" s="69"/>
      <c r="W385" s="71">
        <f t="shared" si="202"/>
        <v>7.10252495596007</v>
      </c>
      <c r="X385" s="72">
        <f t="shared" si="206"/>
        <v>0.104103347034645</v>
      </c>
      <c r="Y385" s="72"/>
      <c r="Z385" s="72"/>
      <c r="AA385" s="72">
        <f t="shared" si="198"/>
        <v>0.104103347034645</v>
      </c>
      <c r="AB385" s="81">
        <v>7.11</v>
      </c>
      <c r="AC385" s="69">
        <f t="shared" si="197"/>
        <v>0.740174797416326</v>
      </c>
      <c r="AD385" s="69">
        <f t="shared" si="199"/>
        <v>7.8426997533764</v>
      </c>
      <c r="AE385" s="69">
        <f t="shared" si="200"/>
        <v>55.1573002466236</v>
      </c>
    </row>
    <row r="386" customFormat="1" spans="1:31">
      <c r="A386" s="19"/>
      <c r="B386" s="20"/>
      <c r="C386" s="21">
        <v>241014000045</v>
      </c>
      <c r="D386" s="22">
        <v>45583</v>
      </c>
      <c r="E386" s="22" t="s">
        <v>55</v>
      </c>
      <c r="F386" s="20" t="s">
        <v>56</v>
      </c>
      <c r="G386" s="20" t="s">
        <v>328</v>
      </c>
      <c r="H386" s="20">
        <v>32.5</v>
      </c>
      <c r="I386" s="39">
        <v>1787.5</v>
      </c>
      <c r="J386" s="40"/>
      <c r="K386" s="41"/>
      <c r="L386" s="20"/>
      <c r="M386" s="41"/>
      <c r="N386" s="42"/>
      <c r="O386" s="43">
        <f t="shared" si="210"/>
        <v>1787.5</v>
      </c>
      <c r="P386" s="45"/>
      <c r="Q386" s="45"/>
      <c r="R386" s="69">
        <f t="shared" si="203"/>
        <v>1433.57824427481</v>
      </c>
      <c r="S386" s="69">
        <f t="shared" si="204"/>
        <v>5.15267175572519</v>
      </c>
      <c r="T386" s="70">
        <f t="shared" si="205"/>
        <v>3.96946564885496</v>
      </c>
      <c r="U386" s="69"/>
      <c r="V386" s="69"/>
      <c r="W386" s="71">
        <f t="shared" si="202"/>
        <v>1442.70038167939</v>
      </c>
      <c r="X386" s="72">
        <f t="shared" si="206"/>
        <v>21.1459923664122</v>
      </c>
      <c r="Y386" s="72"/>
      <c r="Z386" s="72"/>
      <c r="AA386" s="72">
        <f t="shared" si="198"/>
        <v>21.1459923664122</v>
      </c>
      <c r="AB386" s="81">
        <v>7.11</v>
      </c>
      <c r="AC386" s="69">
        <f t="shared" si="197"/>
        <v>150.348005725191</v>
      </c>
      <c r="AD386" s="69">
        <f t="shared" si="199"/>
        <v>1593.04838740458</v>
      </c>
      <c r="AE386" s="69">
        <f t="shared" si="200"/>
        <v>194.451612595419</v>
      </c>
    </row>
    <row r="387" customFormat="1" spans="1:31">
      <c r="A387" s="19"/>
      <c r="B387" s="20"/>
      <c r="C387" s="21">
        <v>241014000046</v>
      </c>
      <c r="D387" s="22">
        <v>45583</v>
      </c>
      <c r="E387" s="22" t="s">
        <v>37</v>
      </c>
      <c r="F387" s="20" t="s">
        <v>38</v>
      </c>
      <c r="G387" s="20" t="s">
        <v>272</v>
      </c>
      <c r="H387" s="20">
        <v>53</v>
      </c>
      <c r="I387" s="39">
        <v>2915</v>
      </c>
      <c r="J387" s="40"/>
      <c r="K387" s="41"/>
      <c r="L387" s="20"/>
      <c r="M387" s="41"/>
      <c r="N387" s="42"/>
      <c r="O387" s="43">
        <f t="shared" si="210"/>
        <v>2915</v>
      </c>
      <c r="P387" s="45"/>
      <c r="Q387" s="45"/>
      <c r="R387" s="69">
        <f t="shared" si="203"/>
        <v>2337.83529066354</v>
      </c>
      <c r="S387" s="69">
        <f t="shared" si="204"/>
        <v>8.40281855549031</v>
      </c>
      <c r="T387" s="70">
        <f t="shared" si="205"/>
        <v>6.47328244274809</v>
      </c>
      <c r="U387" s="69"/>
      <c r="V387" s="69"/>
      <c r="W387" s="71">
        <f t="shared" si="202"/>
        <v>2352.71139166177</v>
      </c>
      <c r="X387" s="72">
        <f t="shared" si="206"/>
        <v>34.4842337052261</v>
      </c>
      <c r="Y387" s="72"/>
      <c r="Z387" s="72"/>
      <c r="AA387" s="72">
        <f t="shared" si="198"/>
        <v>34.4842337052261</v>
      </c>
      <c r="AB387" s="81">
        <v>7.11</v>
      </c>
      <c r="AC387" s="69">
        <f t="shared" si="197"/>
        <v>245.182901644158</v>
      </c>
      <c r="AD387" s="69">
        <f t="shared" si="199"/>
        <v>2597.89429330593</v>
      </c>
      <c r="AE387" s="69">
        <f t="shared" si="200"/>
        <v>317.105706694073</v>
      </c>
    </row>
    <row r="388" customFormat="1" spans="1:31">
      <c r="A388" s="19"/>
      <c r="B388" s="20"/>
      <c r="C388" s="21">
        <v>241014000050</v>
      </c>
      <c r="D388" s="22">
        <v>45583</v>
      </c>
      <c r="E388" s="22" t="s">
        <v>41</v>
      </c>
      <c r="F388" s="20" t="s">
        <v>42</v>
      </c>
      <c r="G388" s="20" t="s">
        <v>157</v>
      </c>
      <c r="H388" s="20">
        <v>3.5</v>
      </c>
      <c r="I388" s="39">
        <v>204</v>
      </c>
      <c r="J388" s="40"/>
      <c r="K388" s="41"/>
      <c r="L388" s="20"/>
      <c r="M388" s="41"/>
      <c r="N388" s="42"/>
      <c r="O388" s="43">
        <f t="shared" si="210"/>
        <v>204</v>
      </c>
      <c r="P388" s="45"/>
      <c r="Q388" s="45"/>
      <c r="R388" s="69">
        <f t="shared" si="203"/>
        <v>154.385349383441</v>
      </c>
      <c r="S388" s="69">
        <f t="shared" si="204"/>
        <v>0.554903112155021</v>
      </c>
      <c r="T388" s="70">
        <f t="shared" si="205"/>
        <v>0.427480916030534</v>
      </c>
      <c r="U388" s="69"/>
      <c r="V388" s="69"/>
      <c r="W388" s="71">
        <f t="shared" si="202"/>
        <v>155.367733411627</v>
      </c>
      <c r="X388" s="72">
        <f t="shared" si="206"/>
        <v>2.27726071638285</v>
      </c>
      <c r="Y388" s="72"/>
      <c r="Z388" s="72"/>
      <c r="AA388" s="72">
        <f t="shared" si="198"/>
        <v>2.27726071638285</v>
      </c>
      <c r="AB388" s="81">
        <v>7.11</v>
      </c>
      <c r="AC388" s="69">
        <f t="shared" si="197"/>
        <v>16.1913236934821</v>
      </c>
      <c r="AD388" s="69">
        <f t="shared" si="199"/>
        <v>171.559057105109</v>
      </c>
      <c r="AE388" s="69">
        <f t="shared" si="200"/>
        <v>32.4409428948909</v>
      </c>
    </row>
    <row r="389" customFormat="1" spans="1:31">
      <c r="A389" s="19"/>
      <c r="B389" s="20"/>
      <c r="C389" s="21">
        <v>241014000058</v>
      </c>
      <c r="D389" s="22">
        <v>45583</v>
      </c>
      <c r="E389" s="22" t="s">
        <v>41</v>
      </c>
      <c r="F389" s="20" t="s">
        <v>42</v>
      </c>
      <c r="G389" s="20" t="s">
        <v>225</v>
      </c>
      <c r="H389" s="20">
        <v>7.5</v>
      </c>
      <c r="I389" s="50"/>
      <c r="J389" s="46">
        <v>105340</v>
      </c>
      <c r="K389" s="41"/>
      <c r="L389" s="47">
        <f>SUM(J389/M389)</f>
        <v>1727.73495161555</v>
      </c>
      <c r="M389" s="48">
        <v>60.97</v>
      </c>
      <c r="N389" s="42">
        <v>7.11</v>
      </c>
      <c r="O389" s="43">
        <f>SUM(M389*N389)</f>
        <v>433.4967</v>
      </c>
      <c r="P389" s="45"/>
      <c r="Q389" s="45"/>
      <c r="R389" s="69">
        <f t="shared" si="203"/>
        <v>330.825748678802</v>
      </c>
      <c r="S389" s="69">
        <f t="shared" si="204"/>
        <v>1.18907809747504</v>
      </c>
      <c r="T389" s="70">
        <f t="shared" si="205"/>
        <v>0.916030534351145</v>
      </c>
      <c r="U389" s="69"/>
      <c r="V389" s="69"/>
      <c r="W389" s="71">
        <f t="shared" si="202"/>
        <v>332.930857310628</v>
      </c>
      <c r="X389" s="72">
        <f t="shared" si="206"/>
        <v>4.87984439224897</v>
      </c>
      <c r="Y389" s="72"/>
      <c r="Z389" s="72"/>
      <c r="AA389" s="72">
        <f t="shared" si="198"/>
        <v>4.87984439224897</v>
      </c>
      <c r="AB389" s="81">
        <v>7.11</v>
      </c>
      <c r="AC389" s="69">
        <f t="shared" si="197"/>
        <v>34.6956936288902</v>
      </c>
      <c r="AD389" s="69">
        <f t="shared" si="199"/>
        <v>367.626550939518</v>
      </c>
      <c r="AE389" s="69">
        <f t="shared" si="200"/>
        <v>65.8701490604818</v>
      </c>
    </row>
    <row r="390" customFormat="1" spans="1:31">
      <c r="A390" s="19"/>
      <c r="B390" s="20"/>
      <c r="C390" s="21">
        <v>241014000066</v>
      </c>
      <c r="D390" s="22">
        <v>45583</v>
      </c>
      <c r="E390" s="22" t="s">
        <v>66</v>
      </c>
      <c r="F390" s="20" t="s">
        <v>67</v>
      </c>
      <c r="G390" s="20" t="s">
        <v>79</v>
      </c>
      <c r="H390" s="20">
        <v>6.5</v>
      </c>
      <c r="I390" s="39">
        <v>357.5</v>
      </c>
      <c r="J390" s="40"/>
      <c r="K390" s="41"/>
      <c r="L390" s="20"/>
      <c r="M390" s="41"/>
      <c r="N390" s="42"/>
      <c r="O390" s="43">
        <f t="shared" ref="O390:O404" si="213">SUM(I390)</f>
        <v>357.5</v>
      </c>
      <c r="P390" s="45"/>
      <c r="Q390" s="45"/>
      <c r="R390" s="69">
        <f t="shared" si="203"/>
        <v>286.715648854962</v>
      </c>
      <c r="S390" s="69">
        <f t="shared" si="204"/>
        <v>1.03053435114504</v>
      </c>
      <c r="T390" s="70">
        <f t="shared" si="205"/>
        <v>0.793893129770992</v>
      </c>
      <c r="U390" s="69"/>
      <c r="V390" s="69"/>
      <c r="W390" s="71">
        <f t="shared" si="202"/>
        <v>288.540076335878</v>
      </c>
      <c r="X390" s="72">
        <f t="shared" si="206"/>
        <v>4.22919847328244</v>
      </c>
      <c r="Y390" s="72"/>
      <c r="Z390" s="72"/>
      <c r="AA390" s="72">
        <f t="shared" si="198"/>
        <v>4.22919847328244</v>
      </c>
      <c r="AB390" s="81">
        <v>7.11</v>
      </c>
      <c r="AC390" s="69">
        <f t="shared" si="197"/>
        <v>30.0696011450381</v>
      </c>
      <c r="AD390" s="69">
        <f t="shared" si="199"/>
        <v>318.609677480916</v>
      </c>
      <c r="AE390" s="69">
        <f t="shared" si="200"/>
        <v>38.8903225190838</v>
      </c>
    </row>
    <row r="391" customFormat="1" spans="1:31">
      <c r="A391" s="19"/>
      <c r="B391" s="20"/>
      <c r="C391" s="21">
        <v>241014000068</v>
      </c>
      <c r="D391" s="22">
        <v>45583</v>
      </c>
      <c r="E391" s="22" t="s">
        <v>66</v>
      </c>
      <c r="F391" s="20" t="s">
        <v>67</v>
      </c>
      <c r="G391" s="20" t="s">
        <v>79</v>
      </c>
      <c r="H391" s="20">
        <v>26</v>
      </c>
      <c r="I391" s="39">
        <v>1364.25</v>
      </c>
      <c r="J391" s="40"/>
      <c r="K391" s="41"/>
      <c r="L391" s="20"/>
      <c r="M391" s="41"/>
      <c r="N391" s="42"/>
      <c r="O391" s="43">
        <f t="shared" si="213"/>
        <v>1364.25</v>
      </c>
      <c r="P391" s="45"/>
      <c r="Q391" s="45"/>
      <c r="R391" s="69">
        <f t="shared" si="203"/>
        <v>1146.86259541985</v>
      </c>
      <c r="S391" s="69">
        <f t="shared" si="204"/>
        <v>4.12213740458015</v>
      </c>
      <c r="T391" s="70">
        <f t="shared" si="205"/>
        <v>3.17557251908397</v>
      </c>
      <c r="U391" s="69"/>
      <c r="V391" s="69"/>
      <c r="W391" s="71">
        <f t="shared" si="202"/>
        <v>1154.16030534351</v>
      </c>
      <c r="X391" s="72">
        <f t="shared" si="206"/>
        <v>16.9167938931298</v>
      </c>
      <c r="Y391" s="72"/>
      <c r="Z391" s="72"/>
      <c r="AA391" s="72">
        <f t="shared" si="198"/>
        <v>16.9167938931298</v>
      </c>
      <c r="AB391" s="81">
        <v>7.11</v>
      </c>
      <c r="AC391" s="69">
        <f t="shared" si="197"/>
        <v>120.278404580153</v>
      </c>
      <c r="AD391" s="69">
        <f t="shared" ref="AD391:AD413" si="214">SUM(W391+AC391)</f>
        <v>1274.43870992366</v>
      </c>
      <c r="AE391" s="69">
        <f t="shared" ref="AE391:AE413" si="215">SUM(O391-AD391)</f>
        <v>89.8112900763399</v>
      </c>
    </row>
    <row r="392" customFormat="1" spans="1:31">
      <c r="A392" s="19"/>
      <c r="B392" s="20"/>
      <c r="C392" s="82">
        <v>241014000070</v>
      </c>
      <c r="D392" s="83">
        <v>45583</v>
      </c>
      <c r="E392" s="22" t="s">
        <v>66</v>
      </c>
      <c r="F392" s="84" t="s">
        <v>67</v>
      </c>
      <c r="G392" s="84" t="s">
        <v>269</v>
      </c>
      <c r="H392" s="84">
        <v>88</v>
      </c>
      <c r="I392" s="50"/>
      <c r="J392" s="46">
        <v>1190640</v>
      </c>
      <c r="K392" s="41"/>
      <c r="L392" s="47">
        <f>SUM(J392/M392)</f>
        <v>1749.06350535455</v>
      </c>
      <c r="M392" s="48">
        <v>680.73</v>
      </c>
      <c r="N392" s="42">
        <v>7.11</v>
      </c>
      <c r="O392" s="43">
        <f>SUM(M392*N392)</f>
        <v>4839.9903</v>
      </c>
      <c r="P392" s="49"/>
      <c r="Q392" s="49"/>
      <c r="R392" s="69">
        <f t="shared" si="203"/>
        <v>3881.68878449794</v>
      </c>
      <c r="S392" s="69">
        <f t="shared" si="204"/>
        <v>13.9518496770405</v>
      </c>
      <c r="T392" s="70">
        <f t="shared" si="205"/>
        <v>10.7480916030534</v>
      </c>
      <c r="U392" s="69"/>
      <c r="V392" s="69"/>
      <c r="W392" s="71">
        <f t="shared" ref="W392:W413" si="216">SUM(R392:V392)</f>
        <v>3906.38872577803</v>
      </c>
      <c r="X392" s="72">
        <f t="shared" si="206"/>
        <v>57.2568408690546</v>
      </c>
      <c r="Y392" s="72"/>
      <c r="Z392" s="72"/>
      <c r="AA392" s="72">
        <f t="shared" ref="AA392:AA413" si="217">SUM(X392:Z392)</f>
        <v>57.2568408690546</v>
      </c>
      <c r="AB392" s="81">
        <v>7.11</v>
      </c>
      <c r="AC392" s="69">
        <f t="shared" ref="AC392:AC413" si="218">SUM(AA392*AB392)</f>
        <v>407.096138578978</v>
      </c>
      <c r="AD392" s="69">
        <f t="shared" si="214"/>
        <v>4313.48486435701</v>
      </c>
      <c r="AE392" s="69">
        <f t="shared" si="215"/>
        <v>526.50543564299</v>
      </c>
    </row>
    <row r="393" customFormat="1" spans="1:31">
      <c r="A393" s="19" t="s">
        <v>329</v>
      </c>
      <c r="B393" s="20" t="s">
        <v>330</v>
      </c>
      <c r="C393" s="21">
        <v>241011000055</v>
      </c>
      <c r="D393" s="22">
        <v>45585</v>
      </c>
      <c r="E393" s="22" t="s">
        <v>41</v>
      </c>
      <c r="F393" s="20" t="s">
        <v>42</v>
      </c>
      <c r="G393" s="20" t="s">
        <v>331</v>
      </c>
      <c r="H393" s="20">
        <v>6.5</v>
      </c>
      <c r="I393" s="39">
        <v>780</v>
      </c>
      <c r="J393" s="98"/>
      <c r="K393" s="41"/>
      <c r="L393" s="43"/>
      <c r="M393" s="41"/>
      <c r="N393" s="42"/>
      <c r="O393" s="43">
        <f t="shared" si="213"/>
        <v>780</v>
      </c>
      <c r="P393" s="44">
        <f>SUM(O393:O413)</f>
        <v>10917.3732</v>
      </c>
      <c r="Q393" s="44" t="s">
        <v>40</v>
      </c>
      <c r="R393" s="69">
        <f>SUM(5000/64)*H393</f>
        <v>507.8125</v>
      </c>
      <c r="S393" s="69"/>
      <c r="T393" s="70">
        <f>SUM(55.98/64)*H393</f>
        <v>5.68546875</v>
      </c>
      <c r="U393" s="100"/>
      <c r="V393" s="69"/>
      <c r="W393" s="71">
        <f t="shared" si="216"/>
        <v>513.49796875</v>
      </c>
      <c r="X393" s="72">
        <f>SUM(156.96/64)*H393</f>
        <v>15.94125</v>
      </c>
      <c r="Y393" s="72"/>
      <c r="Z393" s="72"/>
      <c r="AA393" s="72">
        <f t="shared" si="217"/>
        <v>15.94125</v>
      </c>
      <c r="AB393" s="81">
        <v>7.11</v>
      </c>
      <c r="AC393" s="69">
        <f t="shared" si="218"/>
        <v>113.3422875</v>
      </c>
      <c r="AD393" s="69">
        <f t="shared" si="214"/>
        <v>626.84025625</v>
      </c>
      <c r="AE393" s="69">
        <f t="shared" si="215"/>
        <v>153.15974375</v>
      </c>
    </row>
    <row r="394" customFormat="1" spans="1:31">
      <c r="A394" s="19"/>
      <c r="B394" s="20"/>
      <c r="C394" s="21">
        <v>241012000028</v>
      </c>
      <c r="D394" s="22">
        <v>45585</v>
      </c>
      <c r="E394" s="22" t="s">
        <v>41</v>
      </c>
      <c r="F394" s="20" t="s">
        <v>42</v>
      </c>
      <c r="G394" s="20" t="s">
        <v>43</v>
      </c>
      <c r="H394" s="20">
        <v>3</v>
      </c>
      <c r="I394" s="39">
        <v>850</v>
      </c>
      <c r="J394" s="98"/>
      <c r="K394" s="41"/>
      <c r="L394" s="43"/>
      <c r="M394" s="41"/>
      <c r="N394" s="42"/>
      <c r="O394" s="43">
        <f t="shared" si="213"/>
        <v>850</v>
      </c>
      <c r="P394" s="45"/>
      <c r="Q394" s="45"/>
      <c r="R394" s="69">
        <f t="shared" ref="R394:R413" si="219">SUM(5000/64)*H394</f>
        <v>234.375</v>
      </c>
      <c r="S394" s="69"/>
      <c r="T394" s="70">
        <f t="shared" ref="T394:T413" si="220">SUM(55.98/64)*H394</f>
        <v>2.6240625</v>
      </c>
      <c r="U394" s="100"/>
      <c r="V394" s="69"/>
      <c r="W394" s="71">
        <f t="shared" si="216"/>
        <v>236.9990625</v>
      </c>
      <c r="X394" s="72">
        <f t="shared" ref="X394:X413" si="221">SUM(156.96/64)*H394</f>
        <v>7.3575</v>
      </c>
      <c r="Y394" s="72"/>
      <c r="Z394" s="72"/>
      <c r="AA394" s="72">
        <f t="shared" si="217"/>
        <v>7.3575</v>
      </c>
      <c r="AB394" s="81">
        <v>7.11</v>
      </c>
      <c r="AC394" s="69">
        <f t="shared" si="218"/>
        <v>52.311825</v>
      </c>
      <c r="AD394" s="69">
        <f t="shared" si="214"/>
        <v>289.3108875</v>
      </c>
      <c r="AE394" s="69">
        <f t="shared" si="215"/>
        <v>560.6891125</v>
      </c>
    </row>
    <row r="395" customFormat="1" spans="1:31">
      <c r="A395" s="19"/>
      <c r="B395" s="20"/>
      <c r="C395" s="21">
        <v>241012000029</v>
      </c>
      <c r="D395" s="22">
        <v>45585</v>
      </c>
      <c r="E395" s="22" t="s">
        <v>41</v>
      </c>
      <c r="F395" s="20" t="s">
        <v>42</v>
      </c>
      <c r="G395" s="20" t="s">
        <v>43</v>
      </c>
      <c r="H395" s="20">
        <v>3</v>
      </c>
      <c r="I395" s="39">
        <v>850</v>
      </c>
      <c r="J395" s="98"/>
      <c r="K395" s="41"/>
      <c r="L395" s="43"/>
      <c r="M395" s="41"/>
      <c r="N395" s="42"/>
      <c r="O395" s="43">
        <f t="shared" si="213"/>
        <v>850</v>
      </c>
      <c r="P395" s="45"/>
      <c r="Q395" s="45"/>
      <c r="R395" s="69">
        <f t="shared" si="219"/>
        <v>234.375</v>
      </c>
      <c r="S395" s="69"/>
      <c r="T395" s="70">
        <f t="shared" si="220"/>
        <v>2.6240625</v>
      </c>
      <c r="U395" s="100"/>
      <c r="V395" s="69"/>
      <c r="W395" s="71">
        <f t="shared" si="216"/>
        <v>236.9990625</v>
      </c>
      <c r="X395" s="72">
        <f t="shared" si="221"/>
        <v>7.3575</v>
      </c>
      <c r="Y395" s="72"/>
      <c r="Z395" s="72"/>
      <c r="AA395" s="72">
        <f t="shared" si="217"/>
        <v>7.3575</v>
      </c>
      <c r="AB395" s="81">
        <v>7.11</v>
      </c>
      <c r="AC395" s="69">
        <f t="shared" si="218"/>
        <v>52.311825</v>
      </c>
      <c r="AD395" s="69">
        <f t="shared" si="214"/>
        <v>289.3108875</v>
      </c>
      <c r="AE395" s="69">
        <f t="shared" si="215"/>
        <v>560.6891125</v>
      </c>
    </row>
    <row r="396" customFormat="1" spans="1:31">
      <c r="A396" s="19"/>
      <c r="B396" s="20"/>
      <c r="C396" s="21">
        <v>241012000030</v>
      </c>
      <c r="D396" s="22">
        <v>45585</v>
      </c>
      <c r="E396" s="22" t="s">
        <v>41</v>
      </c>
      <c r="F396" s="20" t="s">
        <v>42</v>
      </c>
      <c r="G396" s="20" t="s">
        <v>43</v>
      </c>
      <c r="H396" s="20">
        <v>3</v>
      </c>
      <c r="I396" s="39">
        <v>850</v>
      </c>
      <c r="J396" s="98"/>
      <c r="K396" s="41"/>
      <c r="L396" s="43"/>
      <c r="M396" s="41"/>
      <c r="N396" s="42"/>
      <c r="O396" s="43">
        <f t="shared" si="213"/>
        <v>850</v>
      </c>
      <c r="P396" s="45"/>
      <c r="Q396" s="45"/>
      <c r="R396" s="69">
        <f t="shared" si="219"/>
        <v>234.375</v>
      </c>
      <c r="S396" s="69"/>
      <c r="T396" s="70">
        <f t="shared" si="220"/>
        <v>2.6240625</v>
      </c>
      <c r="U396" s="100"/>
      <c r="V396" s="69"/>
      <c r="W396" s="71">
        <f t="shared" si="216"/>
        <v>236.9990625</v>
      </c>
      <c r="X396" s="72">
        <f t="shared" si="221"/>
        <v>7.3575</v>
      </c>
      <c r="Y396" s="72"/>
      <c r="Z396" s="72"/>
      <c r="AA396" s="72">
        <f t="shared" si="217"/>
        <v>7.3575</v>
      </c>
      <c r="AB396" s="81">
        <v>7.11</v>
      </c>
      <c r="AC396" s="69">
        <f t="shared" si="218"/>
        <v>52.311825</v>
      </c>
      <c r="AD396" s="69">
        <f t="shared" si="214"/>
        <v>289.3108875</v>
      </c>
      <c r="AE396" s="69">
        <f t="shared" si="215"/>
        <v>560.6891125</v>
      </c>
    </row>
    <row r="397" customFormat="1" spans="1:31">
      <c r="A397" s="19"/>
      <c r="B397" s="20"/>
      <c r="C397" s="21">
        <v>241013000003</v>
      </c>
      <c r="D397" s="22">
        <v>45585</v>
      </c>
      <c r="E397" s="22" t="s">
        <v>66</v>
      </c>
      <c r="F397" s="20" t="s">
        <v>67</v>
      </c>
      <c r="G397" s="20" t="s">
        <v>332</v>
      </c>
      <c r="H397" s="20">
        <v>1.5</v>
      </c>
      <c r="I397" s="39">
        <v>170</v>
      </c>
      <c r="J397" s="98"/>
      <c r="K397" s="41"/>
      <c r="L397" s="43"/>
      <c r="M397" s="41"/>
      <c r="N397" s="42"/>
      <c r="O397" s="43">
        <f t="shared" si="213"/>
        <v>170</v>
      </c>
      <c r="P397" s="45"/>
      <c r="Q397" s="45"/>
      <c r="R397" s="69">
        <f t="shared" si="219"/>
        <v>117.1875</v>
      </c>
      <c r="S397" s="69"/>
      <c r="T397" s="70">
        <f t="shared" si="220"/>
        <v>1.31203125</v>
      </c>
      <c r="U397" s="100"/>
      <c r="V397" s="69"/>
      <c r="W397" s="71">
        <f t="shared" si="216"/>
        <v>118.49953125</v>
      </c>
      <c r="X397" s="72">
        <f t="shared" si="221"/>
        <v>3.67875</v>
      </c>
      <c r="Y397" s="72"/>
      <c r="Z397" s="72"/>
      <c r="AA397" s="72">
        <f t="shared" si="217"/>
        <v>3.67875</v>
      </c>
      <c r="AB397" s="81">
        <v>7.11</v>
      </c>
      <c r="AC397" s="69">
        <f t="shared" si="218"/>
        <v>26.1559125</v>
      </c>
      <c r="AD397" s="69">
        <f t="shared" si="214"/>
        <v>144.65544375</v>
      </c>
      <c r="AE397" s="69">
        <f t="shared" si="215"/>
        <v>25.34455625</v>
      </c>
    </row>
    <row r="398" customFormat="1" spans="1:31">
      <c r="A398" s="19"/>
      <c r="B398" s="20"/>
      <c r="C398" s="21">
        <v>241014000004</v>
      </c>
      <c r="D398" s="22">
        <v>45585</v>
      </c>
      <c r="E398" s="22" t="s">
        <v>66</v>
      </c>
      <c r="F398" s="20" t="s">
        <v>67</v>
      </c>
      <c r="G398" s="20" t="s">
        <v>83</v>
      </c>
      <c r="H398" s="20">
        <v>0.24</v>
      </c>
      <c r="I398" s="39">
        <v>115</v>
      </c>
      <c r="J398" s="98"/>
      <c r="K398" s="41"/>
      <c r="L398" s="43"/>
      <c r="M398" s="41"/>
      <c r="N398" s="42"/>
      <c r="O398" s="43">
        <f t="shared" si="213"/>
        <v>115</v>
      </c>
      <c r="P398" s="45"/>
      <c r="Q398" s="45"/>
      <c r="R398" s="69">
        <f t="shared" si="219"/>
        <v>18.75</v>
      </c>
      <c r="S398" s="69"/>
      <c r="T398" s="70">
        <f t="shared" si="220"/>
        <v>0.209925</v>
      </c>
      <c r="U398" s="100"/>
      <c r="V398" s="69"/>
      <c r="W398" s="71">
        <f t="shared" si="216"/>
        <v>18.959925</v>
      </c>
      <c r="X398" s="72">
        <f t="shared" si="221"/>
        <v>0.5886</v>
      </c>
      <c r="Y398" s="72"/>
      <c r="Z398" s="72"/>
      <c r="AA398" s="72">
        <f t="shared" si="217"/>
        <v>0.5886</v>
      </c>
      <c r="AB398" s="81">
        <v>7.11</v>
      </c>
      <c r="AC398" s="69">
        <f t="shared" si="218"/>
        <v>4.184946</v>
      </c>
      <c r="AD398" s="69">
        <f t="shared" si="214"/>
        <v>23.144871</v>
      </c>
      <c r="AE398" s="69">
        <f t="shared" si="215"/>
        <v>91.855129</v>
      </c>
    </row>
    <row r="399" customFormat="1" spans="1:31">
      <c r="A399" s="19"/>
      <c r="B399" s="20"/>
      <c r="C399" s="21">
        <v>241014000019</v>
      </c>
      <c r="D399" s="22">
        <v>45585</v>
      </c>
      <c r="E399" s="22" t="s">
        <v>47</v>
      </c>
      <c r="F399" s="20" t="s">
        <v>47</v>
      </c>
      <c r="G399" s="20" t="s">
        <v>64</v>
      </c>
      <c r="H399" s="20">
        <v>6.5</v>
      </c>
      <c r="I399" s="39">
        <v>747.5</v>
      </c>
      <c r="J399" s="98"/>
      <c r="K399" s="41"/>
      <c r="L399" s="43"/>
      <c r="M399" s="41"/>
      <c r="N399" s="42"/>
      <c r="O399" s="43">
        <f t="shared" si="213"/>
        <v>747.5</v>
      </c>
      <c r="P399" s="45"/>
      <c r="Q399" s="45"/>
      <c r="R399" s="69">
        <f t="shared" si="219"/>
        <v>507.8125</v>
      </c>
      <c r="S399" s="69"/>
      <c r="T399" s="70">
        <f t="shared" si="220"/>
        <v>5.68546875</v>
      </c>
      <c r="U399" s="100"/>
      <c r="V399" s="69"/>
      <c r="W399" s="71">
        <f t="shared" si="216"/>
        <v>513.49796875</v>
      </c>
      <c r="X399" s="72">
        <f t="shared" si="221"/>
        <v>15.94125</v>
      </c>
      <c r="Y399" s="72"/>
      <c r="Z399" s="72"/>
      <c r="AA399" s="72">
        <f t="shared" si="217"/>
        <v>15.94125</v>
      </c>
      <c r="AB399" s="81">
        <v>7.11</v>
      </c>
      <c r="AC399" s="69">
        <f t="shared" si="218"/>
        <v>113.3422875</v>
      </c>
      <c r="AD399" s="69">
        <f t="shared" si="214"/>
        <v>626.84025625</v>
      </c>
      <c r="AE399" s="69">
        <f t="shared" si="215"/>
        <v>120.65974375</v>
      </c>
    </row>
    <row r="400" customFormat="1" spans="1:31">
      <c r="A400" s="19"/>
      <c r="B400" s="20"/>
      <c r="C400" s="21">
        <v>241014000069</v>
      </c>
      <c r="D400" s="22">
        <v>45585</v>
      </c>
      <c r="E400" s="22" t="s">
        <v>66</v>
      </c>
      <c r="F400" s="20" t="s">
        <v>67</v>
      </c>
      <c r="G400" s="20" t="s">
        <v>79</v>
      </c>
      <c r="H400" s="20">
        <v>9.5</v>
      </c>
      <c r="I400" s="39">
        <v>1092.5</v>
      </c>
      <c r="J400" s="98"/>
      <c r="K400" s="41"/>
      <c r="L400" s="43"/>
      <c r="M400" s="41"/>
      <c r="N400" s="42"/>
      <c r="O400" s="43">
        <f t="shared" si="213"/>
        <v>1092.5</v>
      </c>
      <c r="P400" s="45"/>
      <c r="Q400" s="45"/>
      <c r="R400" s="69">
        <f t="shared" si="219"/>
        <v>742.1875</v>
      </c>
      <c r="S400" s="69"/>
      <c r="T400" s="70">
        <f t="shared" si="220"/>
        <v>8.30953125</v>
      </c>
      <c r="U400" s="100"/>
      <c r="V400" s="69"/>
      <c r="W400" s="71">
        <f t="shared" si="216"/>
        <v>750.49703125</v>
      </c>
      <c r="X400" s="72">
        <f t="shared" si="221"/>
        <v>23.29875</v>
      </c>
      <c r="Y400" s="72"/>
      <c r="Z400" s="72"/>
      <c r="AA400" s="72">
        <f t="shared" si="217"/>
        <v>23.29875</v>
      </c>
      <c r="AB400" s="81">
        <v>7.11</v>
      </c>
      <c r="AC400" s="69">
        <f t="shared" si="218"/>
        <v>165.6541125</v>
      </c>
      <c r="AD400" s="69">
        <f t="shared" si="214"/>
        <v>916.15114375</v>
      </c>
      <c r="AE400" s="69">
        <f t="shared" si="215"/>
        <v>176.34885625</v>
      </c>
    </row>
    <row r="401" customFormat="1" spans="1:31">
      <c r="A401" s="19"/>
      <c r="B401" s="20"/>
      <c r="C401" s="21">
        <v>241015000001</v>
      </c>
      <c r="D401" s="22">
        <v>45585</v>
      </c>
      <c r="E401" s="22" t="s">
        <v>47</v>
      </c>
      <c r="F401" s="20" t="s">
        <v>51</v>
      </c>
      <c r="G401" s="20" t="s">
        <v>52</v>
      </c>
      <c r="H401" s="20">
        <v>11.5</v>
      </c>
      <c r="I401" s="39">
        <v>1024</v>
      </c>
      <c r="J401" s="98"/>
      <c r="K401" s="41"/>
      <c r="L401" s="43"/>
      <c r="M401" s="41"/>
      <c r="N401" s="42"/>
      <c r="O401" s="43">
        <f t="shared" si="213"/>
        <v>1024</v>
      </c>
      <c r="P401" s="45"/>
      <c r="Q401" s="45"/>
      <c r="R401" s="69">
        <f t="shared" si="219"/>
        <v>898.4375</v>
      </c>
      <c r="S401" s="69"/>
      <c r="T401" s="70">
        <f t="shared" si="220"/>
        <v>10.05890625</v>
      </c>
      <c r="U401" s="70">
        <v>75</v>
      </c>
      <c r="V401" s="69"/>
      <c r="W401" s="71">
        <f t="shared" si="216"/>
        <v>983.49640625</v>
      </c>
      <c r="X401" s="72">
        <f t="shared" si="221"/>
        <v>28.20375</v>
      </c>
      <c r="Y401" s="72"/>
      <c r="Z401" s="72"/>
      <c r="AA401" s="72">
        <f t="shared" si="217"/>
        <v>28.20375</v>
      </c>
      <c r="AB401" s="81">
        <v>7.11</v>
      </c>
      <c r="AC401" s="69">
        <f t="shared" si="218"/>
        <v>200.5286625</v>
      </c>
      <c r="AD401" s="69">
        <f t="shared" si="214"/>
        <v>1184.02506875</v>
      </c>
      <c r="AE401" s="69">
        <f t="shared" si="215"/>
        <v>-160.02506875</v>
      </c>
    </row>
    <row r="402" customFormat="1" spans="1:31">
      <c r="A402" s="19"/>
      <c r="B402" s="20"/>
      <c r="C402" s="21">
        <v>241015000003</v>
      </c>
      <c r="D402" s="22">
        <v>45585</v>
      </c>
      <c r="E402" s="22" t="s">
        <v>66</v>
      </c>
      <c r="F402" s="20" t="s">
        <v>67</v>
      </c>
      <c r="G402" s="20" t="s">
        <v>333</v>
      </c>
      <c r="H402" s="20">
        <v>1.5</v>
      </c>
      <c r="I402" s="39">
        <v>187</v>
      </c>
      <c r="J402" s="98"/>
      <c r="K402" s="41"/>
      <c r="L402" s="43"/>
      <c r="M402" s="41"/>
      <c r="N402" s="42"/>
      <c r="O402" s="43">
        <f t="shared" si="213"/>
        <v>187</v>
      </c>
      <c r="P402" s="45"/>
      <c r="Q402" s="45"/>
      <c r="R402" s="69">
        <f t="shared" si="219"/>
        <v>117.1875</v>
      </c>
      <c r="S402" s="69"/>
      <c r="T402" s="70">
        <f t="shared" si="220"/>
        <v>1.31203125</v>
      </c>
      <c r="U402" s="69"/>
      <c r="V402" s="69"/>
      <c r="W402" s="71">
        <f t="shared" si="216"/>
        <v>118.49953125</v>
      </c>
      <c r="X402" s="72">
        <f t="shared" si="221"/>
        <v>3.67875</v>
      </c>
      <c r="Y402" s="72"/>
      <c r="Z402" s="72"/>
      <c r="AA402" s="72">
        <f t="shared" si="217"/>
        <v>3.67875</v>
      </c>
      <c r="AB402" s="81">
        <v>7.11</v>
      </c>
      <c r="AC402" s="69">
        <f t="shared" si="218"/>
        <v>26.1559125</v>
      </c>
      <c r="AD402" s="69">
        <f t="shared" si="214"/>
        <v>144.65544375</v>
      </c>
      <c r="AE402" s="69">
        <f t="shared" si="215"/>
        <v>42.34455625</v>
      </c>
    </row>
    <row r="403" customFormat="1" spans="1:31">
      <c r="A403" s="19"/>
      <c r="B403" s="20"/>
      <c r="C403" s="21">
        <v>241015000005</v>
      </c>
      <c r="D403" s="22">
        <v>45585</v>
      </c>
      <c r="E403" s="22" t="s">
        <v>66</v>
      </c>
      <c r="F403" s="20" t="s">
        <v>67</v>
      </c>
      <c r="G403" s="20" t="s">
        <v>79</v>
      </c>
      <c r="H403" s="20">
        <v>2</v>
      </c>
      <c r="I403" s="39">
        <v>230</v>
      </c>
      <c r="J403" s="98"/>
      <c r="K403" s="41"/>
      <c r="L403" s="43"/>
      <c r="M403" s="41"/>
      <c r="N403" s="42"/>
      <c r="O403" s="43">
        <f t="shared" si="213"/>
        <v>230</v>
      </c>
      <c r="P403" s="45"/>
      <c r="Q403" s="45"/>
      <c r="R403" s="69">
        <f t="shared" si="219"/>
        <v>156.25</v>
      </c>
      <c r="S403" s="69"/>
      <c r="T403" s="70">
        <f t="shared" si="220"/>
        <v>1.749375</v>
      </c>
      <c r="U403" s="69"/>
      <c r="V403" s="69"/>
      <c r="W403" s="71">
        <f t="shared" si="216"/>
        <v>157.999375</v>
      </c>
      <c r="X403" s="72">
        <f t="shared" si="221"/>
        <v>4.905</v>
      </c>
      <c r="Y403" s="72"/>
      <c r="Z403" s="72"/>
      <c r="AA403" s="72">
        <f t="shared" si="217"/>
        <v>4.905</v>
      </c>
      <c r="AB403" s="81">
        <v>7.11</v>
      </c>
      <c r="AC403" s="69">
        <f t="shared" si="218"/>
        <v>34.87455</v>
      </c>
      <c r="AD403" s="69">
        <f t="shared" si="214"/>
        <v>192.873925</v>
      </c>
      <c r="AE403" s="69">
        <f t="shared" si="215"/>
        <v>37.126075</v>
      </c>
    </row>
    <row r="404" customFormat="1" spans="1:31">
      <c r="A404" s="19"/>
      <c r="B404" s="20"/>
      <c r="C404" s="21">
        <v>241015000007</v>
      </c>
      <c r="D404" s="22">
        <v>45585</v>
      </c>
      <c r="E404" s="22" t="s">
        <v>66</v>
      </c>
      <c r="F404" s="20" t="s">
        <v>67</v>
      </c>
      <c r="G404" s="20" t="s">
        <v>129</v>
      </c>
      <c r="H404" s="20">
        <v>8</v>
      </c>
      <c r="I404" s="39">
        <v>1000</v>
      </c>
      <c r="J404" s="98"/>
      <c r="K404" s="41"/>
      <c r="L404" s="43"/>
      <c r="M404" s="41"/>
      <c r="N404" s="42"/>
      <c r="O404" s="43">
        <f t="shared" si="213"/>
        <v>1000</v>
      </c>
      <c r="P404" s="45"/>
      <c r="Q404" s="45"/>
      <c r="R404" s="69">
        <f t="shared" si="219"/>
        <v>625</v>
      </c>
      <c r="S404" s="69"/>
      <c r="T404" s="70">
        <f t="shared" si="220"/>
        <v>6.9975</v>
      </c>
      <c r="U404" s="70">
        <v>40</v>
      </c>
      <c r="V404" s="69"/>
      <c r="W404" s="71">
        <f t="shared" si="216"/>
        <v>671.9975</v>
      </c>
      <c r="X404" s="72">
        <f t="shared" si="221"/>
        <v>19.62</v>
      </c>
      <c r="Y404" s="72"/>
      <c r="Z404" s="72"/>
      <c r="AA404" s="72">
        <f t="shared" si="217"/>
        <v>19.62</v>
      </c>
      <c r="AB404" s="81">
        <v>7.11</v>
      </c>
      <c r="AC404" s="69">
        <f t="shared" si="218"/>
        <v>139.4982</v>
      </c>
      <c r="AD404" s="69">
        <f t="shared" si="214"/>
        <v>811.4957</v>
      </c>
      <c r="AE404" s="69">
        <f t="shared" si="215"/>
        <v>188.5043</v>
      </c>
    </row>
    <row r="405" customFormat="1" spans="1:31">
      <c r="A405" s="19"/>
      <c r="B405" s="20"/>
      <c r="C405" s="21">
        <v>241015000017</v>
      </c>
      <c r="D405" s="22">
        <v>45585</v>
      </c>
      <c r="E405" s="22" t="s">
        <v>55</v>
      </c>
      <c r="F405" s="20" t="s">
        <v>56</v>
      </c>
      <c r="G405" s="20" t="s">
        <v>334</v>
      </c>
      <c r="H405" s="20">
        <v>0.3</v>
      </c>
      <c r="I405" s="50"/>
      <c r="J405" s="99">
        <v>27945</v>
      </c>
      <c r="K405" s="41"/>
      <c r="L405" s="47">
        <f>SUM(J405/M405)</f>
        <v>1720.75123152709</v>
      </c>
      <c r="M405" s="48">
        <v>16.24</v>
      </c>
      <c r="N405" s="42">
        <v>7.11</v>
      </c>
      <c r="O405" s="43">
        <f>SUM(M405*N405)</f>
        <v>115.4664</v>
      </c>
      <c r="P405" s="45"/>
      <c r="Q405" s="45"/>
      <c r="R405" s="69">
        <f t="shared" si="219"/>
        <v>23.4375</v>
      </c>
      <c r="S405" s="69"/>
      <c r="T405" s="70">
        <f t="shared" si="220"/>
        <v>0.26240625</v>
      </c>
      <c r="U405" s="69"/>
      <c r="V405" s="69"/>
      <c r="W405" s="71">
        <f t="shared" si="216"/>
        <v>23.69990625</v>
      </c>
      <c r="X405" s="72">
        <f t="shared" si="221"/>
        <v>0.73575</v>
      </c>
      <c r="Y405" s="72"/>
      <c r="Z405" s="72"/>
      <c r="AA405" s="72">
        <f t="shared" si="217"/>
        <v>0.73575</v>
      </c>
      <c r="AB405" s="81">
        <v>7.11</v>
      </c>
      <c r="AC405" s="69">
        <f t="shared" si="218"/>
        <v>5.2311825</v>
      </c>
      <c r="AD405" s="69">
        <f t="shared" si="214"/>
        <v>28.93108875</v>
      </c>
      <c r="AE405" s="69">
        <f t="shared" si="215"/>
        <v>86.53531125</v>
      </c>
    </row>
    <row r="406" customFormat="1" spans="1:31">
      <c r="A406" s="19"/>
      <c r="B406" s="20"/>
      <c r="C406" s="21">
        <v>241015000044</v>
      </c>
      <c r="D406" s="22">
        <v>45585</v>
      </c>
      <c r="E406" s="22" t="s">
        <v>41</v>
      </c>
      <c r="F406" s="20" t="s">
        <v>42</v>
      </c>
      <c r="G406" s="20" t="s">
        <v>331</v>
      </c>
      <c r="H406" s="20">
        <v>5</v>
      </c>
      <c r="I406" s="39">
        <v>600</v>
      </c>
      <c r="J406" s="98"/>
      <c r="K406" s="41"/>
      <c r="L406" s="43"/>
      <c r="M406" s="41"/>
      <c r="N406" s="42"/>
      <c r="O406" s="43">
        <f t="shared" ref="O406:O410" si="222">SUM(I406)</f>
        <v>600</v>
      </c>
      <c r="P406" s="45"/>
      <c r="Q406" s="45"/>
      <c r="R406" s="69">
        <f t="shared" si="219"/>
        <v>390.625</v>
      </c>
      <c r="S406" s="69"/>
      <c r="T406" s="70">
        <f t="shared" si="220"/>
        <v>4.3734375</v>
      </c>
      <c r="U406" s="69"/>
      <c r="V406" s="69"/>
      <c r="W406" s="71">
        <f t="shared" si="216"/>
        <v>394.9984375</v>
      </c>
      <c r="X406" s="72">
        <f t="shared" si="221"/>
        <v>12.2625</v>
      </c>
      <c r="Y406" s="72"/>
      <c r="Z406" s="72"/>
      <c r="AA406" s="72">
        <f t="shared" si="217"/>
        <v>12.2625</v>
      </c>
      <c r="AB406" s="81">
        <v>7.11</v>
      </c>
      <c r="AC406" s="69">
        <f t="shared" si="218"/>
        <v>87.186375</v>
      </c>
      <c r="AD406" s="69">
        <f t="shared" si="214"/>
        <v>482.1848125</v>
      </c>
      <c r="AE406" s="69">
        <f t="shared" si="215"/>
        <v>117.8151875</v>
      </c>
    </row>
    <row r="407" customFormat="1" spans="1:31">
      <c r="A407" s="19"/>
      <c r="B407" s="20"/>
      <c r="C407" s="21">
        <v>241015000045</v>
      </c>
      <c r="D407" s="22">
        <v>45585</v>
      </c>
      <c r="E407" s="22" t="s">
        <v>37</v>
      </c>
      <c r="F407" s="20" t="s">
        <v>38</v>
      </c>
      <c r="G407" s="20" t="s">
        <v>186</v>
      </c>
      <c r="H407" s="20">
        <v>0.98</v>
      </c>
      <c r="I407" s="39">
        <v>130</v>
      </c>
      <c r="J407" s="98"/>
      <c r="K407" s="41"/>
      <c r="L407" s="43"/>
      <c r="M407" s="41"/>
      <c r="N407" s="42"/>
      <c r="O407" s="43">
        <f t="shared" si="222"/>
        <v>130</v>
      </c>
      <c r="P407" s="45"/>
      <c r="Q407" s="45"/>
      <c r="R407" s="69">
        <f t="shared" si="219"/>
        <v>76.5625</v>
      </c>
      <c r="S407" s="69"/>
      <c r="T407" s="70">
        <f t="shared" si="220"/>
        <v>0.85719375</v>
      </c>
      <c r="U407" s="69"/>
      <c r="V407" s="69"/>
      <c r="W407" s="71">
        <f t="shared" si="216"/>
        <v>77.41969375</v>
      </c>
      <c r="X407" s="72">
        <f t="shared" si="221"/>
        <v>2.40345</v>
      </c>
      <c r="Y407" s="72"/>
      <c r="Z407" s="72"/>
      <c r="AA407" s="72">
        <f t="shared" si="217"/>
        <v>2.40345</v>
      </c>
      <c r="AB407" s="81">
        <v>7.11</v>
      </c>
      <c r="AC407" s="69">
        <f t="shared" si="218"/>
        <v>17.0885295</v>
      </c>
      <c r="AD407" s="69">
        <f t="shared" si="214"/>
        <v>94.50822325</v>
      </c>
      <c r="AE407" s="69">
        <f t="shared" si="215"/>
        <v>35.49177675</v>
      </c>
    </row>
    <row r="408" customFormat="1" spans="1:31">
      <c r="A408" s="19"/>
      <c r="B408" s="20"/>
      <c r="C408" s="21">
        <v>241015000057</v>
      </c>
      <c r="D408" s="22">
        <v>45585</v>
      </c>
      <c r="E408" s="22" t="s">
        <v>41</v>
      </c>
      <c r="F408" s="20" t="s">
        <v>42</v>
      </c>
      <c r="G408" s="20" t="s">
        <v>314</v>
      </c>
      <c r="H408" s="20">
        <v>4.5</v>
      </c>
      <c r="I408" s="50"/>
      <c r="J408" s="99">
        <v>125615</v>
      </c>
      <c r="K408" s="41"/>
      <c r="L408" s="47">
        <f>SUM(J408/M408)</f>
        <v>1725.95493267381</v>
      </c>
      <c r="M408" s="48">
        <v>72.78</v>
      </c>
      <c r="N408" s="42">
        <v>7.11</v>
      </c>
      <c r="O408" s="43">
        <f>SUM(M408*N408)</f>
        <v>517.4658</v>
      </c>
      <c r="P408" s="45"/>
      <c r="Q408" s="45"/>
      <c r="R408" s="69">
        <f t="shared" si="219"/>
        <v>351.5625</v>
      </c>
      <c r="S408" s="69"/>
      <c r="T408" s="70">
        <f t="shared" si="220"/>
        <v>3.93609375</v>
      </c>
      <c r="U408" s="69"/>
      <c r="V408" s="69"/>
      <c r="W408" s="71">
        <f t="shared" si="216"/>
        <v>355.49859375</v>
      </c>
      <c r="X408" s="72">
        <f t="shared" si="221"/>
        <v>11.03625</v>
      </c>
      <c r="Y408" s="72"/>
      <c r="Z408" s="72"/>
      <c r="AA408" s="72">
        <f t="shared" si="217"/>
        <v>11.03625</v>
      </c>
      <c r="AB408" s="81">
        <v>7.11</v>
      </c>
      <c r="AC408" s="69">
        <f t="shared" si="218"/>
        <v>78.4677375</v>
      </c>
      <c r="AD408" s="69">
        <f t="shared" si="214"/>
        <v>433.96633125</v>
      </c>
      <c r="AE408" s="69">
        <f t="shared" si="215"/>
        <v>83.4994687499999</v>
      </c>
    </row>
    <row r="409" customFormat="1" spans="1:31">
      <c r="A409" s="19"/>
      <c r="B409" s="20"/>
      <c r="C409" s="21">
        <v>241015000058</v>
      </c>
      <c r="D409" s="22">
        <v>45585</v>
      </c>
      <c r="E409" s="22" t="s">
        <v>37</v>
      </c>
      <c r="F409" s="20" t="s">
        <v>38</v>
      </c>
      <c r="G409" s="20" t="s">
        <v>305</v>
      </c>
      <c r="H409" s="20">
        <v>0.98</v>
      </c>
      <c r="I409" s="39">
        <v>555</v>
      </c>
      <c r="J409" s="98"/>
      <c r="K409" s="41"/>
      <c r="L409" s="43"/>
      <c r="M409" s="41"/>
      <c r="N409" s="42"/>
      <c r="O409" s="43">
        <f t="shared" si="222"/>
        <v>555</v>
      </c>
      <c r="P409" s="45"/>
      <c r="Q409" s="45"/>
      <c r="R409" s="69">
        <f t="shared" si="219"/>
        <v>76.5625</v>
      </c>
      <c r="S409" s="69"/>
      <c r="T409" s="70">
        <f t="shared" si="220"/>
        <v>0.85719375</v>
      </c>
      <c r="U409" s="69"/>
      <c r="V409" s="69"/>
      <c r="W409" s="71">
        <f t="shared" si="216"/>
        <v>77.41969375</v>
      </c>
      <c r="X409" s="72">
        <f t="shared" si="221"/>
        <v>2.40345</v>
      </c>
      <c r="Y409" s="72">
        <v>30.23</v>
      </c>
      <c r="Z409" s="72"/>
      <c r="AA409" s="72">
        <f t="shared" si="217"/>
        <v>32.63345</v>
      </c>
      <c r="AB409" s="81">
        <v>7.11</v>
      </c>
      <c r="AC409" s="69">
        <f t="shared" si="218"/>
        <v>232.0238295</v>
      </c>
      <c r="AD409" s="69">
        <f t="shared" si="214"/>
        <v>309.44352325</v>
      </c>
      <c r="AE409" s="69">
        <f t="shared" si="215"/>
        <v>245.55647675</v>
      </c>
    </row>
    <row r="410" customFormat="1" spans="1:31">
      <c r="A410" s="19"/>
      <c r="B410" s="20"/>
      <c r="C410" s="21">
        <v>241016000007</v>
      </c>
      <c r="D410" s="22">
        <v>45585</v>
      </c>
      <c r="E410" s="22" t="s">
        <v>37</v>
      </c>
      <c r="F410" s="20" t="s">
        <v>38</v>
      </c>
      <c r="G410" s="20" t="s">
        <v>39</v>
      </c>
      <c r="H410" s="20">
        <v>1.5</v>
      </c>
      <c r="I410" s="39">
        <v>225</v>
      </c>
      <c r="J410" s="98"/>
      <c r="K410" s="41"/>
      <c r="L410" s="43"/>
      <c r="M410" s="41"/>
      <c r="N410" s="42"/>
      <c r="O410" s="43">
        <f t="shared" si="222"/>
        <v>225</v>
      </c>
      <c r="P410" s="45"/>
      <c r="Q410" s="45"/>
      <c r="R410" s="69">
        <f t="shared" si="219"/>
        <v>117.1875</v>
      </c>
      <c r="S410" s="69"/>
      <c r="T410" s="70">
        <f t="shared" si="220"/>
        <v>1.31203125</v>
      </c>
      <c r="U410" s="69"/>
      <c r="V410" s="69"/>
      <c r="W410" s="71">
        <f t="shared" si="216"/>
        <v>118.49953125</v>
      </c>
      <c r="X410" s="72">
        <f t="shared" si="221"/>
        <v>3.67875</v>
      </c>
      <c r="Y410" s="72"/>
      <c r="Z410" s="72"/>
      <c r="AA410" s="72">
        <f t="shared" si="217"/>
        <v>3.67875</v>
      </c>
      <c r="AB410" s="81">
        <v>7.11</v>
      </c>
      <c r="AC410" s="69">
        <f t="shared" si="218"/>
        <v>26.1559125</v>
      </c>
      <c r="AD410" s="69">
        <f t="shared" ref="AD410:AD441" si="223">SUM(W410+AC410)</f>
        <v>144.65544375</v>
      </c>
      <c r="AE410" s="69">
        <f t="shared" si="215"/>
        <v>80.34455625</v>
      </c>
    </row>
    <row r="411" customFormat="1" spans="1:31">
      <c r="A411" s="19"/>
      <c r="B411" s="20"/>
      <c r="C411" s="21">
        <v>241016000043</v>
      </c>
      <c r="D411" s="22">
        <v>45585</v>
      </c>
      <c r="E411" s="22" t="s">
        <v>66</v>
      </c>
      <c r="F411" s="20" t="s">
        <v>67</v>
      </c>
      <c r="G411" s="20" t="s">
        <v>269</v>
      </c>
      <c r="H411" s="20">
        <v>1.5</v>
      </c>
      <c r="I411" s="88">
        <v>89.5</v>
      </c>
      <c r="J411" s="99">
        <v>27060</v>
      </c>
      <c r="K411" s="41"/>
      <c r="L411" s="47">
        <f>SUM(J411/M411)</f>
        <v>1749.1919844861</v>
      </c>
      <c r="M411" s="48">
        <v>15.47</v>
      </c>
      <c r="N411" s="42">
        <v>7.11</v>
      </c>
      <c r="O411" s="43">
        <f>SUM(M411*N411)+I411</f>
        <v>199.4917</v>
      </c>
      <c r="P411" s="45"/>
      <c r="Q411" s="45"/>
      <c r="R411" s="69">
        <f t="shared" si="219"/>
        <v>117.1875</v>
      </c>
      <c r="S411" s="69"/>
      <c r="T411" s="70">
        <f t="shared" si="220"/>
        <v>1.31203125</v>
      </c>
      <c r="U411" s="69"/>
      <c r="V411" s="70">
        <v>27</v>
      </c>
      <c r="W411" s="71">
        <f t="shared" si="216"/>
        <v>145.49953125</v>
      </c>
      <c r="X411" s="72">
        <f t="shared" si="221"/>
        <v>3.67875</v>
      </c>
      <c r="Y411" s="72"/>
      <c r="Z411" s="72"/>
      <c r="AA411" s="72">
        <f t="shared" si="217"/>
        <v>3.67875</v>
      </c>
      <c r="AB411" s="81">
        <v>7.11</v>
      </c>
      <c r="AC411" s="69">
        <f t="shared" ref="AC411:AC442" si="224">SUM(AA411*AB411)</f>
        <v>26.1559125</v>
      </c>
      <c r="AD411" s="69">
        <f t="shared" si="223"/>
        <v>171.65544375</v>
      </c>
      <c r="AE411" s="69">
        <f t="shared" si="215"/>
        <v>27.83625625</v>
      </c>
    </row>
    <row r="412" customFormat="1" spans="1:31">
      <c r="A412" s="19"/>
      <c r="B412" s="20"/>
      <c r="C412" s="21">
        <v>241016000051</v>
      </c>
      <c r="D412" s="22">
        <v>45585</v>
      </c>
      <c r="E412" s="22" t="s">
        <v>66</v>
      </c>
      <c r="F412" s="20" t="s">
        <v>67</v>
      </c>
      <c r="G412" s="20" t="s">
        <v>79</v>
      </c>
      <c r="H412" s="20">
        <v>0.51</v>
      </c>
      <c r="I412" s="39">
        <v>127</v>
      </c>
      <c r="J412" s="98"/>
      <c r="K412" s="41"/>
      <c r="L412" s="43"/>
      <c r="M412" s="41"/>
      <c r="N412" s="42"/>
      <c r="O412" s="43">
        <f t="shared" ref="O412:O418" si="225">SUM(I412)</f>
        <v>127</v>
      </c>
      <c r="P412" s="45"/>
      <c r="Q412" s="45"/>
      <c r="R412" s="69">
        <f t="shared" si="219"/>
        <v>39.84375</v>
      </c>
      <c r="S412" s="69"/>
      <c r="T412" s="70">
        <f t="shared" si="220"/>
        <v>0.446090625</v>
      </c>
      <c r="U412" s="69"/>
      <c r="V412" s="70">
        <v>12</v>
      </c>
      <c r="W412" s="71">
        <f t="shared" si="216"/>
        <v>52.289840625</v>
      </c>
      <c r="X412" s="72">
        <f t="shared" si="221"/>
        <v>1.250775</v>
      </c>
      <c r="Y412" s="72"/>
      <c r="Z412" s="72"/>
      <c r="AA412" s="72">
        <f t="shared" si="217"/>
        <v>1.250775</v>
      </c>
      <c r="AB412" s="81">
        <v>7.11</v>
      </c>
      <c r="AC412" s="69">
        <f t="shared" si="224"/>
        <v>8.89301025</v>
      </c>
      <c r="AD412" s="69">
        <f t="shared" si="223"/>
        <v>61.182850875</v>
      </c>
      <c r="AE412" s="69">
        <f t="shared" si="215"/>
        <v>65.817149125</v>
      </c>
    </row>
    <row r="413" customFormat="1" spans="1:31">
      <c r="A413" s="19"/>
      <c r="B413" s="20"/>
      <c r="C413" s="21">
        <v>241017000007</v>
      </c>
      <c r="D413" s="22">
        <v>45585</v>
      </c>
      <c r="E413" s="22" t="s">
        <v>66</v>
      </c>
      <c r="F413" s="20" t="s">
        <v>67</v>
      </c>
      <c r="G413" s="20" t="s">
        <v>130</v>
      </c>
      <c r="H413" s="20">
        <v>4.5</v>
      </c>
      <c r="I413" s="50"/>
      <c r="J413" s="99">
        <v>135240</v>
      </c>
      <c r="K413" s="41"/>
      <c r="L413" s="47">
        <f>SUM(J413/M413)</f>
        <v>1742.11000901713</v>
      </c>
      <c r="M413" s="48">
        <v>77.63</v>
      </c>
      <c r="N413" s="42">
        <v>7.11</v>
      </c>
      <c r="O413" s="43">
        <f>SUM(M413*N413)</f>
        <v>551.9493</v>
      </c>
      <c r="P413" s="49"/>
      <c r="Q413" s="49"/>
      <c r="R413" s="69">
        <f t="shared" si="219"/>
        <v>351.5625</v>
      </c>
      <c r="S413" s="69"/>
      <c r="T413" s="70">
        <f t="shared" si="220"/>
        <v>3.93609375</v>
      </c>
      <c r="U413" s="69"/>
      <c r="V413" s="70">
        <v>12</v>
      </c>
      <c r="W413" s="71">
        <f t="shared" ref="W413:W444" si="226">SUM(R413:V413)</f>
        <v>367.49859375</v>
      </c>
      <c r="X413" s="72">
        <f t="shared" si="221"/>
        <v>11.03625</v>
      </c>
      <c r="Y413" s="72"/>
      <c r="Z413" s="72"/>
      <c r="AA413" s="72">
        <f t="shared" ref="AA413:AA444" si="227">SUM(X413:Z413)</f>
        <v>11.03625</v>
      </c>
      <c r="AB413" s="81">
        <v>7.11</v>
      </c>
      <c r="AC413" s="69">
        <f t="shared" si="224"/>
        <v>78.4677375</v>
      </c>
      <c r="AD413" s="69">
        <f t="shared" si="223"/>
        <v>445.96633125</v>
      </c>
      <c r="AE413" s="69">
        <f t="shared" ref="AE413:AE444" si="228">SUM(O413-AD413)</f>
        <v>105.98296875</v>
      </c>
    </row>
    <row r="414" customFormat="1" spans="1:31">
      <c r="A414" s="19" t="s">
        <v>335</v>
      </c>
      <c r="B414" s="20" t="s">
        <v>336</v>
      </c>
      <c r="C414" s="21">
        <v>241008000006</v>
      </c>
      <c r="D414" s="22">
        <v>45587</v>
      </c>
      <c r="E414" s="22" t="s">
        <v>66</v>
      </c>
      <c r="F414" s="20" t="s">
        <v>67</v>
      </c>
      <c r="G414" s="20" t="s">
        <v>337</v>
      </c>
      <c r="H414" s="20">
        <v>8.5</v>
      </c>
      <c r="I414" s="39">
        <v>595.65</v>
      </c>
      <c r="J414" s="40"/>
      <c r="K414" s="41"/>
      <c r="L414" s="20"/>
      <c r="M414" s="41"/>
      <c r="N414" s="42"/>
      <c r="O414" s="43">
        <f t="shared" si="225"/>
        <v>595.65</v>
      </c>
      <c r="P414" s="44">
        <f>SUM(O414:O497)</f>
        <v>118238.8944</v>
      </c>
      <c r="Q414" s="44" t="s">
        <v>95</v>
      </c>
      <c r="R414" s="69">
        <f>SUM(100276/1881)*H414</f>
        <v>453.134502923977</v>
      </c>
      <c r="S414" s="69"/>
      <c r="T414" s="70">
        <f>SUM(125/1881)*H414</f>
        <v>0.564859117490697</v>
      </c>
      <c r="U414" s="69"/>
      <c r="V414" s="69"/>
      <c r="W414" s="71">
        <f t="shared" si="226"/>
        <v>453.699362041467</v>
      </c>
      <c r="X414" s="72">
        <f>SUM(1396.27/1881)*H414</f>
        <v>6.30956671982988</v>
      </c>
      <c r="Y414" s="72"/>
      <c r="Z414" s="72"/>
      <c r="AA414" s="72">
        <f t="shared" si="227"/>
        <v>6.30956671982988</v>
      </c>
      <c r="AB414" s="81">
        <v>7.11</v>
      </c>
      <c r="AC414" s="69">
        <f t="shared" si="224"/>
        <v>44.8610193779904</v>
      </c>
      <c r="AD414" s="69">
        <f t="shared" si="223"/>
        <v>498.560381419458</v>
      </c>
      <c r="AE414" s="69">
        <f t="shared" si="228"/>
        <v>97.0896185805422</v>
      </c>
    </row>
    <row r="415" customFormat="1" spans="1:31">
      <c r="A415" s="19"/>
      <c r="B415" s="20"/>
      <c r="C415" s="21">
        <v>241008000035</v>
      </c>
      <c r="D415" s="22">
        <v>45587</v>
      </c>
      <c r="E415" s="22" t="s">
        <v>66</v>
      </c>
      <c r="F415" s="20" t="s">
        <v>67</v>
      </c>
      <c r="G415" s="20" t="s">
        <v>257</v>
      </c>
      <c r="H415" s="20">
        <v>10</v>
      </c>
      <c r="I415" s="39">
        <v>699.6</v>
      </c>
      <c r="J415" s="40"/>
      <c r="K415" s="41"/>
      <c r="L415" s="20"/>
      <c r="M415" s="41"/>
      <c r="N415" s="42"/>
      <c r="O415" s="43">
        <f t="shared" si="225"/>
        <v>699.6</v>
      </c>
      <c r="P415" s="45"/>
      <c r="Q415" s="45"/>
      <c r="R415" s="69">
        <f t="shared" ref="R415:R446" si="229">SUM(100276/1881)*H415</f>
        <v>533.099415204678</v>
      </c>
      <c r="S415" s="69"/>
      <c r="T415" s="70">
        <f t="shared" ref="T415:T446" si="230">SUM(125/1881)*H415</f>
        <v>0.664540138224349</v>
      </c>
      <c r="U415" s="69"/>
      <c r="V415" s="69"/>
      <c r="W415" s="71">
        <f t="shared" si="226"/>
        <v>533.763955342903</v>
      </c>
      <c r="X415" s="72">
        <f t="shared" ref="X415:X446" si="231">SUM(1396.27/1881)*H415</f>
        <v>7.42301967038809</v>
      </c>
      <c r="Y415" s="72"/>
      <c r="Z415" s="72"/>
      <c r="AA415" s="72">
        <f t="shared" si="227"/>
        <v>7.42301967038809</v>
      </c>
      <c r="AB415" s="81">
        <v>7.11</v>
      </c>
      <c r="AC415" s="69">
        <f t="shared" si="224"/>
        <v>52.7776698564593</v>
      </c>
      <c r="AD415" s="69">
        <f t="shared" si="223"/>
        <v>586.541625199362</v>
      </c>
      <c r="AE415" s="69">
        <f t="shared" si="228"/>
        <v>113.058374800638</v>
      </c>
    </row>
    <row r="416" customFormat="1" spans="1:31">
      <c r="A416" s="19"/>
      <c r="B416" s="20"/>
      <c r="C416" s="21">
        <v>241008000037</v>
      </c>
      <c r="D416" s="22">
        <v>45587</v>
      </c>
      <c r="E416" s="22" t="s">
        <v>76</v>
      </c>
      <c r="F416" s="20" t="s">
        <v>77</v>
      </c>
      <c r="G416" s="20" t="s">
        <v>338</v>
      </c>
      <c r="H416" s="20">
        <v>7.5</v>
      </c>
      <c r="I416" s="39">
        <v>510</v>
      </c>
      <c r="J416" s="40"/>
      <c r="K416" s="41"/>
      <c r="L416" s="20"/>
      <c r="M416" s="41"/>
      <c r="N416" s="42"/>
      <c r="O416" s="43">
        <f t="shared" si="225"/>
        <v>510</v>
      </c>
      <c r="P416" s="45"/>
      <c r="Q416" s="45"/>
      <c r="R416" s="69">
        <f t="shared" si="229"/>
        <v>399.824561403509</v>
      </c>
      <c r="S416" s="69"/>
      <c r="T416" s="70">
        <f t="shared" si="230"/>
        <v>0.498405103668262</v>
      </c>
      <c r="U416" s="69"/>
      <c r="V416" s="69"/>
      <c r="W416" s="71">
        <f t="shared" si="226"/>
        <v>400.322966507177</v>
      </c>
      <c r="X416" s="72">
        <f t="shared" si="231"/>
        <v>5.56726475279107</v>
      </c>
      <c r="Y416" s="72">
        <v>4.6</v>
      </c>
      <c r="Z416" s="72"/>
      <c r="AA416" s="72">
        <f t="shared" si="227"/>
        <v>10.1672647527911</v>
      </c>
      <c r="AB416" s="81">
        <v>7.11</v>
      </c>
      <c r="AC416" s="69">
        <f t="shared" si="224"/>
        <v>72.2892523923445</v>
      </c>
      <c r="AD416" s="69">
        <f t="shared" si="223"/>
        <v>472.612218899522</v>
      </c>
      <c r="AE416" s="69">
        <f t="shared" si="228"/>
        <v>37.3877811004784</v>
      </c>
    </row>
    <row r="417" customFormat="1" spans="1:31">
      <c r="A417" s="19"/>
      <c r="B417" s="20"/>
      <c r="C417" s="21">
        <v>241008000075</v>
      </c>
      <c r="D417" s="22">
        <v>45587</v>
      </c>
      <c r="E417" s="22" t="s">
        <v>76</v>
      </c>
      <c r="F417" s="20" t="s">
        <v>77</v>
      </c>
      <c r="G417" s="20" t="s">
        <v>339</v>
      </c>
      <c r="H417" s="20">
        <v>30.5</v>
      </c>
      <c r="I417" s="39">
        <v>2631.6</v>
      </c>
      <c r="J417" s="40"/>
      <c r="K417" s="41"/>
      <c r="L417" s="20"/>
      <c r="M417" s="41"/>
      <c r="N417" s="42"/>
      <c r="O417" s="43">
        <f t="shared" si="225"/>
        <v>2631.6</v>
      </c>
      <c r="P417" s="45"/>
      <c r="Q417" s="45"/>
      <c r="R417" s="69">
        <f t="shared" si="229"/>
        <v>1625.95321637427</v>
      </c>
      <c r="S417" s="69"/>
      <c r="T417" s="70">
        <f t="shared" si="230"/>
        <v>2.02684742158426</v>
      </c>
      <c r="U417" s="69"/>
      <c r="V417" s="69"/>
      <c r="W417" s="71">
        <f t="shared" si="226"/>
        <v>1627.98006379585</v>
      </c>
      <c r="X417" s="72">
        <f t="shared" si="231"/>
        <v>22.6402099946837</v>
      </c>
      <c r="Y417" s="72">
        <v>7.45</v>
      </c>
      <c r="Z417" s="72"/>
      <c r="AA417" s="72">
        <f t="shared" si="227"/>
        <v>30.0902099946837</v>
      </c>
      <c r="AB417" s="81">
        <v>7.11</v>
      </c>
      <c r="AC417" s="69">
        <f t="shared" si="224"/>
        <v>213.941393062201</v>
      </c>
      <c r="AD417" s="69">
        <f t="shared" si="223"/>
        <v>1841.92145685805</v>
      </c>
      <c r="AE417" s="69">
        <f t="shared" si="228"/>
        <v>789.678543141946</v>
      </c>
    </row>
    <row r="418" customFormat="1" spans="1:31">
      <c r="A418" s="19"/>
      <c r="B418" s="20"/>
      <c r="C418" s="21">
        <v>241008000092</v>
      </c>
      <c r="D418" s="22">
        <v>45587</v>
      </c>
      <c r="E418" s="22" t="s">
        <v>76</v>
      </c>
      <c r="F418" s="20" t="s">
        <v>77</v>
      </c>
      <c r="G418" s="20" t="s">
        <v>340</v>
      </c>
      <c r="H418" s="20">
        <v>4.5</v>
      </c>
      <c r="I418" s="39">
        <v>330</v>
      </c>
      <c r="J418" s="40"/>
      <c r="K418" s="41"/>
      <c r="L418" s="20"/>
      <c r="M418" s="41"/>
      <c r="N418" s="42"/>
      <c r="O418" s="43">
        <f t="shared" si="225"/>
        <v>330</v>
      </c>
      <c r="P418" s="45"/>
      <c r="Q418" s="45"/>
      <c r="R418" s="69">
        <f t="shared" si="229"/>
        <v>239.894736842105</v>
      </c>
      <c r="S418" s="69"/>
      <c r="T418" s="70">
        <f t="shared" si="230"/>
        <v>0.299043062200957</v>
      </c>
      <c r="U418" s="69"/>
      <c r="V418" s="69"/>
      <c r="W418" s="71">
        <f t="shared" si="226"/>
        <v>240.193779904306</v>
      </c>
      <c r="X418" s="72">
        <f t="shared" si="231"/>
        <v>3.34035885167464</v>
      </c>
      <c r="Y418" s="72">
        <v>4.19</v>
      </c>
      <c r="Z418" s="72"/>
      <c r="AA418" s="72">
        <f t="shared" si="227"/>
        <v>7.53035885167464</v>
      </c>
      <c r="AB418" s="81">
        <v>7.11</v>
      </c>
      <c r="AC418" s="69">
        <f t="shared" si="224"/>
        <v>53.5408514354067</v>
      </c>
      <c r="AD418" s="69">
        <f t="shared" si="223"/>
        <v>293.734631339713</v>
      </c>
      <c r="AE418" s="69">
        <f t="shared" si="228"/>
        <v>36.2653686602871</v>
      </c>
    </row>
    <row r="419" customFormat="1" spans="1:31">
      <c r="A419" s="19"/>
      <c r="B419" s="20"/>
      <c r="C419" s="21">
        <v>241009000021</v>
      </c>
      <c r="D419" s="22">
        <v>45587</v>
      </c>
      <c r="E419" s="22" t="s">
        <v>37</v>
      </c>
      <c r="F419" s="20" t="s">
        <v>38</v>
      </c>
      <c r="G419" s="20" t="s">
        <v>305</v>
      </c>
      <c r="H419" s="20">
        <v>3.5</v>
      </c>
      <c r="I419" s="50"/>
      <c r="J419" s="46">
        <v>79453</v>
      </c>
      <c r="K419" s="41"/>
      <c r="L419" s="47">
        <f>SUM(J419/M419)</f>
        <v>1742.00833150625</v>
      </c>
      <c r="M419" s="48">
        <v>45.61</v>
      </c>
      <c r="N419" s="42">
        <v>7.11</v>
      </c>
      <c r="O419" s="43">
        <f>SUM(M419*N419)</f>
        <v>324.2871</v>
      </c>
      <c r="P419" s="45"/>
      <c r="Q419" s="45"/>
      <c r="R419" s="69">
        <f t="shared" si="229"/>
        <v>186.584795321637</v>
      </c>
      <c r="S419" s="69"/>
      <c r="T419" s="70">
        <f t="shared" si="230"/>
        <v>0.232589048378522</v>
      </c>
      <c r="U419" s="69"/>
      <c r="V419" s="69"/>
      <c r="W419" s="71">
        <f t="shared" si="226"/>
        <v>186.817384370016</v>
      </c>
      <c r="X419" s="72">
        <f t="shared" si="231"/>
        <v>2.59805688463583</v>
      </c>
      <c r="Y419" s="72">
        <v>12.65</v>
      </c>
      <c r="Z419" s="72"/>
      <c r="AA419" s="72">
        <f t="shared" si="227"/>
        <v>15.2480568846358</v>
      </c>
      <c r="AB419" s="81">
        <v>7.11</v>
      </c>
      <c r="AC419" s="69">
        <f t="shared" si="224"/>
        <v>108.413684449761</v>
      </c>
      <c r="AD419" s="69">
        <f t="shared" si="223"/>
        <v>295.231068819777</v>
      </c>
      <c r="AE419" s="69">
        <f t="shared" si="228"/>
        <v>29.0560311802233</v>
      </c>
    </row>
    <row r="420" customFormat="1" spans="1:31">
      <c r="A420" s="19"/>
      <c r="B420" s="20"/>
      <c r="C420" s="21">
        <v>241009000030</v>
      </c>
      <c r="D420" s="22">
        <v>45587</v>
      </c>
      <c r="E420" s="22" t="s">
        <v>37</v>
      </c>
      <c r="F420" s="20" t="s">
        <v>38</v>
      </c>
      <c r="G420" s="20" t="s">
        <v>341</v>
      </c>
      <c r="H420" s="20">
        <v>3</v>
      </c>
      <c r="I420" s="39">
        <v>201.3</v>
      </c>
      <c r="J420" s="40"/>
      <c r="K420" s="41"/>
      <c r="L420" s="20"/>
      <c r="M420" s="41"/>
      <c r="N420" s="42"/>
      <c r="O420" s="43">
        <f t="shared" ref="O420:O429" si="232">SUM(I420)</f>
        <v>201.3</v>
      </c>
      <c r="P420" s="45"/>
      <c r="Q420" s="45"/>
      <c r="R420" s="69">
        <f t="shared" si="229"/>
        <v>159.929824561404</v>
      </c>
      <c r="S420" s="69"/>
      <c r="T420" s="70">
        <f t="shared" si="230"/>
        <v>0.199362041467305</v>
      </c>
      <c r="U420" s="69"/>
      <c r="V420" s="69"/>
      <c r="W420" s="71">
        <f t="shared" si="226"/>
        <v>160.129186602871</v>
      </c>
      <c r="X420" s="72">
        <f t="shared" si="231"/>
        <v>2.22690590111643</v>
      </c>
      <c r="Y420" s="72"/>
      <c r="Z420" s="72"/>
      <c r="AA420" s="72">
        <f t="shared" si="227"/>
        <v>2.22690590111643</v>
      </c>
      <c r="AB420" s="81">
        <v>7.11</v>
      </c>
      <c r="AC420" s="69">
        <f t="shared" si="224"/>
        <v>15.8333009569378</v>
      </c>
      <c r="AD420" s="69">
        <f t="shared" si="223"/>
        <v>175.962487559809</v>
      </c>
      <c r="AE420" s="69">
        <f t="shared" si="228"/>
        <v>25.3375124401914</v>
      </c>
    </row>
    <row r="421" customFormat="1" spans="1:31">
      <c r="A421" s="19"/>
      <c r="B421" s="20"/>
      <c r="C421" s="21">
        <v>241009000044</v>
      </c>
      <c r="D421" s="22">
        <v>45587</v>
      </c>
      <c r="E421" s="22" t="s">
        <v>47</v>
      </c>
      <c r="F421" s="20" t="s">
        <v>47</v>
      </c>
      <c r="G421" s="20" t="s">
        <v>342</v>
      </c>
      <c r="H421" s="20">
        <v>3.5</v>
      </c>
      <c r="I421" s="39">
        <v>234.3</v>
      </c>
      <c r="J421" s="40"/>
      <c r="K421" s="41"/>
      <c r="L421" s="20"/>
      <c r="M421" s="41"/>
      <c r="N421" s="42"/>
      <c r="O421" s="43">
        <f t="shared" si="232"/>
        <v>234.3</v>
      </c>
      <c r="P421" s="45"/>
      <c r="Q421" s="45"/>
      <c r="R421" s="69">
        <f t="shared" si="229"/>
        <v>186.584795321637</v>
      </c>
      <c r="S421" s="69"/>
      <c r="T421" s="70">
        <f t="shared" si="230"/>
        <v>0.232589048378522</v>
      </c>
      <c r="U421" s="69"/>
      <c r="V421" s="69"/>
      <c r="W421" s="71">
        <f t="shared" si="226"/>
        <v>186.817384370016</v>
      </c>
      <c r="X421" s="72">
        <f t="shared" si="231"/>
        <v>2.59805688463583</v>
      </c>
      <c r="Y421" s="72"/>
      <c r="Z421" s="72"/>
      <c r="AA421" s="72">
        <f t="shared" si="227"/>
        <v>2.59805688463583</v>
      </c>
      <c r="AB421" s="81">
        <v>7.11</v>
      </c>
      <c r="AC421" s="69">
        <f t="shared" si="224"/>
        <v>18.4721844497608</v>
      </c>
      <c r="AD421" s="69">
        <f t="shared" si="223"/>
        <v>205.289568819777</v>
      </c>
      <c r="AE421" s="69">
        <f t="shared" si="228"/>
        <v>29.0104311802233</v>
      </c>
    </row>
    <row r="422" customFormat="1" spans="1:31">
      <c r="A422" s="19"/>
      <c r="B422" s="20"/>
      <c r="C422" s="21">
        <v>241009000053</v>
      </c>
      <c r="D422" s="22">
        <v>45587</v>
      </c>
      <c r="E422" s="22" t="s">
        <v>41</v>
      </c>
      <c r="F422" s="20" t="s">
        <v>42</v>
      </c>
      <c r="G422" s="20" t="s">
        <v>343</v>
      </c>
      <c r="H422" s="20">
        <v>3.5</v>
      </c>
      <c r="I422" s="39">
        <v>257</v>
      </c>
      <c r="J422" s="40"/>
      <c r="K422" s="41"/>
      <c r="L422" s="20"/>
      <c r="M422" s="41"/>
      <c r="N422" s="42"/>
      <c r="O422" s="43">
        <f t="shared" si="232"/>
        <v>257</v>
      </c>
      <c r="P422" s="45"/>
      <c r="Q422" s="45"/>
      <c r="R422" s="69">
        <f t="shared" si="229"/>
        <v>186.584795321637</v>
      </c>
      <c r="S422" s="69"/>
      <c r="T422" s="70">
        <f t="shared" si="230"/>
        <v>0.232589048378522</v>
      </c>
      <c r="U422" s="69"/>
      <c r="V422" s="69"/>
      <c r="W422" s="71">
        <f t="shared" si="226"/>
        <v>186.817384370016</v>
      </c>
      <c r="X422" s="72">
        <f t="shared" si="231"/>
        <v>2.59805688463583</v>
      </c>
      <c r="Y422" s="72"/>
      <c r="Z422" s="72"/>
      <c r="AA422" s="72">
        <f t="shared" si="227"/>
        <v>2.59805688463583</v>
      </c>
      <c r="AB422" s="81">
        <v>7.11</v>
      </c>
      <c r="AC422" s="69">
        <f t="shared" si="224"/>
        <v>18.4721844497608</v>
      </c>
      <c r="AD422" s="69">
        <f t="shared" si="223"/>
        <v>205.289568819777</v>
      </c>
      <c r="AE422" s="69">
        <f t="shared" si="228"/>
        <v>51.7104311802233</v>
      </c>
    </row>
    <row r="423" customFormat="1" spans="1:31">
      <c r="A423" s="19"/>
      <c r="B423" s="20"/>
      <c r="C423" s="21">
        <v>241009000058</v>
      </c>
      <c r="D423" s="22">
        <v>45587</v>
      </c>
      <c r="E423" s="22" t="s">
        <v>66</v>
      </c>
      <c r="F423" s="20" t="s">
        <v>67</v>
      </c>
      <c r="G423" s="20" t="s">
        <v>344</v>
      </c>
      <c r="H423" s="20">
        <v>21</v>
      </c>
      <c r="I423" s="39">
        <v>1680</v>
      </c>
      <c r="J423" s="40"/>
      <c r="K423" s="41"/>
      <c r="L423" s="20"/>
      <c r="M423" s="41"/>
      <c r="N423" s="42"/>
      <c r="O423" s="43">
        <f t="shared" si="232"/>
        <v>1680</v>
      </c>
      <c r="P423" s="45"/>
      <c r="Q423" s="45"/>
      <c r="R423" s="69">
        <f t="shared" si="229"/>
        <v>1119.50877192982</v>
      </c>
      <c r="S423" s="69"/>
      <c r="T423" s="70">
        <f t="shared" si="230"/>
        <v>1.39553429027113</v>
      </c>
      <c r="U423" s="69"/>
      <c r="V423" s="69"/>
      <c r="W423" s="71">
        <f t="shared" si="226"/>
        <v>1120.9043062201</v>
      </c>
      <c r="X423" s="72">
        <f t="shared" si="231"/>
        <v>15.588341307815</v>
      </c>
      <c r="Y423" s="72"/>
      <c r="Z423" s="72"/>
      <c r="AA423" s="72">
        <f t="shared" si="227"/>
        <v>15.588341307815</v>
      </c>
      <c r="AB423" s="81">
        <v>7.11</v>
      </c>
      <c r="AC423" s="69">
        <f t="shared" si="224"/>
        <v>110.833106698565</v>
      </c>
      <c r="AD423" s="69">
        <f t="shared" si="223"/>
        <v>1231.73741291866</v>
      </c>
      <c r="AE423" s="69">
        <f t="shared" si="228"/>
        <v>448.26258708134</v>
      </c>
    </row>
    <row r="424" customFormat="1" spans="1:31">
      <c r="A424" s="19"/>
      <c r="B424" s="20"/>
      <c r="C424" s="21">
        <v>241010000001</v>
      </c>
      <c r="D424" s="22">
        <v>45587</v>
      </c>
      <c r="E424" s="22" t="s">
        <v>47</v>
      </c>
      <c r="F424" s="20" t="s">
        <v>47</v>
      </c>
      <c r="G424" s="20" t="s">
        <v>49</v>
      </c>
      <c r="H424" s="20">
        <v>6</v>
      </c>
      <c r="I424" s="39">
        <v>510</v>
      </c>
      <c r="J424" s="40"/>
      <c r="K424" s="41"/>
      <c r="L424" s="20"/>
      <c r="M424" s="41"/>
      <c r="N424" s="42"/>
      <c r="O424" s="43">
        <f t="shared" si="232"/>
        <v>510</v>
      </c>
      <c r="P424" s="45"/>
      <c r="Q424" s="45"/>
      <c r="R424" s="69">
        <f t="shared" si="229"/>
        <v>319.859649122807</v>
      </c>
      <c r="S424" s="69"/>
      <c r="T424" s="70">
        <f t="shared" si="230"/>
        <v>0.398724082934609</v>
      </c>
      <c r="U424" s="69"/>
      <c r="V424" s="69"/>
      <c r="W424" s="71">
        <f t="shared" si="226"/>
        <v>320.258373205742</v>
      </c>
      <c r="X424" s="72">
        <f t="shared" si="231"/>
        <v>4.45381180223285</v>
      </c>
      <c r="Y424" s="72"/>
      <c r="Z424" s="72"/>
      <c r="AA424" s="72">
        <f t="shared" si="227"/>
        <v>4.45381180223285</v>
      </c>
      <c r="AB424" s="81">
        <v>7.11</v>
      </c>
      <c r="AC424" s="69">
        <f t="shared" si="224"/>
        <v>31.6666019138756</v>
      </c>
      <c r="AD424" s="69">
        <f t="shared" si="223"/>
        <v>351.924975119617</v>
      </c>
      <c r="AE424" s="69">
        <f t="shared" si="228"/>
        <v>158.075024880383</v>
      </c>
    </row>
    <row r="425" customFormat="1" spans="1:31">
      <c r="A425" s="19"/>
      <c r="B425" s="20"/>
      <c r="C425" s="21">
        <v>241010000003</v>
      </c>
      <c r="D425" s="22">
        <v>45587</v>
      </c>
      <c r="E425" s="22" t="s">
        <v>41</v>
      </c>
      <c r="F425" s="20" t="s">
        <v>42</v>
      </c>
      <c r="G425" s="20" t="s">
        <v>148</v>
      </c>
      <c r="H425" s="20">
        <v>4</v>
      </c>
      <c r="I425" s="39">
        <v>366</v>
      </c>
      <c r="J425" s="40"/>
      <c r="K425" s="41"/>
      <c r="L425" s="20"/>
      <c r="M425" s="41"/>
      <c r="N425" s="42"/>
      <c r="O425" s="43">
        <f t="shared" si="232"/>
        <v>366</v>
      </c>
      <c r="P425" s="45"/>
      <c r="Q425" s="45"/>
      <c r="R425" s="69">
        <f t="shared" si="229"/>
        <v>213.239766081871</v>
      </c>
      <c r="S425" s="69"/>
      <c r="T425" s="70">
        <f t="shared" si="230"/>
        <v>0.26581605528974</v>
      </c>
      <c r="U425" s="69"/>
      <c r="V425" s="69"/>
      <c r="W425" s="71">
        <f t="shared" si="226"/>
        <v>213.505582137161</v>
      </c>
      <c r="X425" s="72">
        <f t="shared" si="231"/>
        <v>2.96920786815524</v>
      </c>
      <c r="Y425" s="72"/>
      <c r="Z425" s="72"/>
      <c r="AA425" s="72">
        <f t="shared" si="227"/>
        <v>2.96920786815524</v>
      </c>
      <c r="AB425" s="81">
        <v>7.11</v>
      </c>
      <c r="AC425" s="69">
        <f t="shared" si="224"/>
        <v>21.1110679425837</v>
      </c>
      <c r="AD425" s="69">
        <f t="shared" si="223"/>
        <v>234.616650079745</v>
      </c>
      <c r="AE425" s="69">
        <f t="shared" si="228"/>
        <v>131.383349920255</v>
      </c>
    </row>
    <row r="426" customFormat="1" spans="1:31">
      <c r="A426" s="19"/>
      <c r="B426" s="20"/>
      <c r="C426" s="21">
        <v>241010000005</v>
      </c>
      <c r="D426" s="22">
        <v>45587</v>
      </c>
      <c r="E426" s="22" t="s">
        <v>55</v>
      </c>
      <c r="F426" s="20" t="s">
        <v>56</v>
      </c>
      <c r="G426" s="20" t="s">
        <v>152</v>
      </c>
      <c r="H426" s="20">
        <v>44.5</v>
      </c>
      <c r="I426" s="39">
        <v>2701.05</v>
      </c>
      <c r="J426" s="40"/>
      <c r="K426" s="41"/>
      <c r="L426" s="20"/>
      <c r="M426" s="41"/>
      <c r="N426" s="42"/>
      <c r="O426" s="43">
        <f t="shared" si="232"/>
        <v>2701.05</v>
      </c>
      <c r="P426" s="45"/>
      <c r="Q426" s="45"/>
      <c r="R426" s="69">
        <f t="shared" si="229"/>
        <v>2372.29239766082</v>
      </c>
      <c r="S426" s="69"/>
      <c r="T426" s="70">
        <f t="shared" si="230"/>
        <v>2.95720361509835</v>
      </c>
      <c r="U426" s="69"/>
      <c r="V426" s="69"/>
      <c r="W426" s="71">
        <f t="shared" si="226"/>
        <v>2375.24960127592</v>
      </c>
      <c r="X426" s="72">
        <f t="shared" si="231"/>
        <v>33.032437533227</v>
      </c>
      <c r="Y426" s="72"/>
      <c r="Z426" s="72"/>
      <c r="AA426" s="72">
        <f t="shared" si="227"/>
        <v>33.032437533227</v>
      </c>
      <c r="AB426" s="81">
        <v>7.11</v>
      </c>
      <c r="AC426" s="69">
        <f t="shared" si="224"/>
        <v>234.860630861244</v>
      </c>
      <c r="AD426" s="69">
        <f t="shared" si="223"/>
        <v>2610.11023213716</v>
      </c>
      <c r="AE426" s="69">
        <f t="shared" si="228"/>
        <v>90.9397678628388</v>
      </c>
    </row>
    <row r="427" customFormat="1" spans="1:31">
      <c r="A427" s="19"/>
      <c r="B427" s="20"/>
      <c r="C427" s="21">
        <v>241010000024</v>
      </c>
      <c r="D427" s="22">
        <v>45587</v>
      </c>
      <c r="E427" s="22" t="s">
        <v>37</v>
      </c>
      <c r="F427" s="20" t="s">
        <v>38</v>
      </c>
      <c r="G427" s="20" t="s">
        <v>345</v>
      </c>
      <c r="H427" s="20">
        <v>1.5</v>
      </c>
      <c r="I427" s="39">
        <v>172.3</v>
      </c>
      <c r="J427" s="40"/>
      <c r="K427" s="41"/>
      <c r="L427" s="20"/>
      <c r="M427" s="41"/>
      <c r="N427" s="42"/>
      <c r="O427" s="43">
        <f t="shared" si="232"/>
        <v>172.3</v>
      </c>
      <c r="P427" s="45"/>
      <c r="Q427" s="45"/>
      <c r="R427" s="69">
        <f t="shared" si="229"/>
        <v>79.9649122807018</v>
      </c>
      <c r="S427" s="69"/>
      <c r="T427" s="70">
        <f t="shared" si="230"/>
        <v>0.0996810207336523</v>
      </c>
      <c r="U427" s="69"/>
      <c r="V427" s="69"/>
      <c r="W427" s="71">
        <f t="shared" si="226"/>
        <v>80.0645933014354</v>
      </c>
      <c r="X427" s="72">
        <f t="shared" si="231"/>
        <v>1.11345295055821</v>
      </c>
      <c r="Y427" s="72">
        <v>9.88</v>
      </c>
      <c r="Z427" s="72"/>
      <c r="AA427" s="72">
        <f t="shared" si="227"/>
        <v>10.9934529505582</v>
      </c>
      <c r="AB427" s="81">
        <v>7.11</v>
      </c>
      <c r="AC427" s="69">
        <f t="shared" si="224"/>
        <v>78.1634504784689</v>
      </c>
      <c r="AD427" s="69">
        <f t="shared" si="223"/>
        <v>158.228043779904</v>
      </c>
      <c r="AE427" s="69">
        <f t="shared" si="228"/>
        <v>14.0719562200957</v>
      </c>
    </row>
    <row r="428" customFormat="1" spans="1:31">
      <c r="A428" s="19"/>
      <c r="B428" s="20"/>
      <c r="C428" s="21">
        <v>241010000033</v>
      </c>
      <c r="D428" s="22">
        <v>45587</v>
      </c>
      <c r="E428" s="22" t="s">
        <v>41</v>
      </c>
      <c r="F428" s="20" t="s">
        <v>42</v>
      </c>
      <c r="G428" s="20" t="s">
        <v>346</v>
      </c>
      <c r="H428" s="20">
        <v>11</v>
      </c>
      <c r="I428" s="39">
        <v>696</v>
      </c>
      <c r="J428" s="40"/>
      <c r="K428" s="41"/>
      <c r="L428" s="20"/>
      <c r="M428" s="41"/>
      <c r="N428" s="42"/>
      <c r="O428" s="43">
        <f t="shared" si="232"/>
        <v>696</v>
      </c>
      <c r="P428" s="45"/>
      <c r="Q428" s="45"/>
      <c r="R428" s="69">
        <f t="shared" si="229"/>
        <v>586.409356725146</v>
      </c>
      <c r="S428" s="69"/>
      <c r="T428" s="70">
        <f t="shared" si="230"/>
        <v>0.730994152046784</v>
      </c>
      <c r="U428" s="69"/>
      <c r="V428" s="69"/>
      <c r="W428" s="71">
        <f t="shared" si="226"/>
        <v>587.140350877193</v>
      </c>
      <c r="X428" s="72">
        <f t="shared" si="231"/>
        <v>8.1653216374269</v>
      </c>
      <c r="Y428" s="72"/>
      <c r="Z428" s="72"/>
      <c r="AA428" s="72">
        <f t="shared" si="227"/>
        <v>8.1653216374269</v>
      </c>
      <c r="AB428" s="81">
        <v>7.11</v>
      </c>
      <c r="AC428" s="69">
        <f t="shared" si="224"/>
        <v>58.0554368421053</v>
      </c>
      <c r="AD428" s="69">
        <f t="shared" si="223"/>
        <v>645.195787719298</v>
      </c>
      <c r="AE428" s="69">
        <f t="shared" si="228"/>
        <v>50.8042122807017</v>
      </c>
    </row>
    <row r="429" customFormat="1" spans="1:31">
      <c r="A429" s="19"/>
      <c r="B429" s="20"/>
      <c r="C429" s="21">
        <v>241010000036</v>
      </c>
      <c r="D429" s="22">
        <v>45587</v>
      </c>
      <c r="E429" s="22" t="s">
        <v>41</v>
      </c>
      <c r="F429" s="20" t="s">
        <v>42</v>
      </c>
      <c r="G429" s="20" t="s">
        <v>347</v>
      </c>
      <c r="H429" s="20">
        <v>6.5</v>
      </c>
      <c r="I429" s="39">
        <v>442</v>
      </c>
      <c r="J429" s="40"/>
      <c r="K429" s="41"/>
      <c r="L429" s="20"/>
      <c r="M429" s="41"/>
      <c r="N429" s="42"/>
      <c r="O429" s="43">
        <f t="shared" si="232"/>
        <v>442</v>
      </c>
      <c r="P429" s="45"/>
      <c r="Q429" s="45"/>
      <c r="R429" s="69">
        <f t="shared" si="229"/>
        <v>346.514619883041</v>
      </c>
      <c r="S429" s="69"/>
      <c r="T429" s="70">
        <f t="shared" si="230"/>
        <v>0.431951089845827</v>
      </c>
      <c r="U429" s="69"/>
      <c r="V429" s="69"/>
      <c r="W429" s="71">
        <f t="shared" si="226"/>
        <v>346.946570972887</v>
      </c>
      <c r="X429" s="72">
        <f t="shared" si="231"/>
        <v>4.82496278575226</v>
      </c>
      <c r="Y429" s="72"/>
      <c r="Z429" s="72"/>
      <c r="AA429" s="72">
        <f t="shared" si="227"/>
        <v>4.82496278575226</v>
      </c>
      <c r="AB429" s="81">
        <v>7.11</v>
      </c>
      <c r="AC429" s="69">
        <f t="shared" si="224"/>
        <v>34.3054854066986</v>
      </c>
      <c r="AD429" s="69">
        <f t="shared" si="223"/>
        <v>381.252056379585</v>
      </c>
      <c r="AE429" s="69">
        <f t="shared" si="228"/>
        <v>60.7479436204147</v>
      </c>
    </row>
    <row r="430" customFormat="1" spans="1:31">
      <c r="A430" s="19"/>
      <c r="B430" s="20"/>
      <c r="C430" s="21">
        <v>241010000039</v>
      </c>
      <c r="D430" s="22">
        <v>45587</v>
      </c>
      <c r="E430" s="22" t="s">
        <v>55</v>
      </c>
      <c r="F430" s="20" t="s">
        <v>56</v>
      </c>
      <c r="G430" s="20" t="s">
        <v>265</v>
      </c>
      <c r="H430" s="20">
        <v>0.72</v>
      </c>
      <c r="I430" s="50"/>
      <c r="J430" s="46">
        <v>18595</v>
      </c>
      <c r="K430" s="41"/>
      <c r="L430" s="47">
        <f>SUM(J430/M430)</f>
        <v>1742.7366447985</v>
      </c>
      <c r="M430" s="48">
        <v>10.67</v>
      </c>
      <c r="N430" s="42">
        <v>7.11</v>
      </c>
      <c r="O430" s="43">
        <f>SUM(M430*N430)</f>
        <v>75.8637</v>
      </c>
      <c r="P430" s="45"/>
      <c r="Q430" s="45"/>
      <c r="R430" s="69">
        <f t="shared" si="229"/>
        <v>38.3831578947368</v>
      </c>
      <c r="S430" s="69"/>
      <c r="T430" s="70">
        <f t="shared" si="230"/>
        <v>0.0478468899521531</v>
      </c>
      <c r="U430" s="69"/>
      <c r="V430" s="69"/>
      <c r="W430" s="71">
        <f t="shared" si="226"/>
        <v>38.431004784689</v>
      </c>
      <c r="X430" s="72">
        <f t="shared" si="231"/>
        <v>0.534457416267943</v>
      </c>
      <c r="Y430" s="72"/>
      <c r="Z430" s="72"/>
      <c r="AA430" s="72">
        <f t="shared" si="227"/>
        <v>0.534457416267943</v>
      </c>
      <c r="AB430" s="81">
        <v>7.11</v>
      </c>
      <c r="AC430" s="69">
        <f t="shared" si="224"/>
        <v>3.79999222966507</v>
      </c>
      <c r="AD430" s="69">
        <f t="shared" si="223"/>
        <v>42.2309970143541</v>
      </c>
      <c r="AE430" s="69">
        <f t="shared" si="228"/>
        <v>33.6327029856459</v>
      </c>
    </row>
    <row r="431" customFormat="1" spans="1:31">
      <c r="A431" s="19"/>
      <c r="B431" s="20"/>
      <c r="C431" s="21">
        <v>241010000042</v>
      </c>
      <c r="D431" s="22">
        <v>45587</v>
      </c>
      <c r="E431" s="22" t="s">
        <v>37</v>
      </c>
      <c r="F431" s="20" t="s">
        <v>38</v>
      </c>
      <c r="G431" s="20" t="s">
        <v>267</v>
      </c>
      <c r="H431" s="20">
        <v>30</v>
      </c>
      <c r="I431" s="39">
        <v>2310</v>
      </c>
      <c r="J431" s="40"/>
      <c r="K431" s="41"/>
      <c r="L431" s="20"/>
      <c r="M431" s="41"/>
      <c r="N431" s="42"/>
      <c r="O431" s="43">
        <f t="shared" ref="O431:O436" si="233">SUM(I431)</f>
        <v>2310</v>
      </c>
      <c r="P431" s="45"/>
      <c r="Q431" s="45"/>
      <c r="R431" s="69">
        <f t="shared" si="229"/>
        <v>1599.29824561404</v>
      </c>
      <c r="S431" s="69"/>
      <c r="T431" s="70">
        <f t="shared" si="230"/>
        <v>1.99362041467305</v>
      </c>
      <c r="U431" s="69"/>
      <c r="V431" s="69"/>
      <c r="W431" s="71">
        <f t="shared" si="226"/>
        <v>1601.29186602871</v>
      </c>
      <c r="X431" s="72">
        <f t="shared" si="231"/>
        <v>22.2690590111643</v>
      </c>
      <c r="Y431" s="72"/>
      <c r="Z431" s="72"/>
      <c r="AA431" s="72">
        <f t="shared" si="227"/>
        <v>22.2690590111643</v>
      </c>
      <c r="AB431" s="81">
        <v>7.11</v>
      </c>
      <c r="AC431" s="69">
        <f t="shared" si="224"/>
        <v>158.333009569378</v>
      </c>
      <c r="AD431" s="69">
        <f t="shared" si="223"/>
        <v>1759.62487559809</v>
      </c>
      <c r="AE431" s="69">
        <f t="shared" si="228"/>
        <v>550.375124401914</v>
      </c>
    </row>
    <row r="432" customFormat="1" spans="1:31">
      <c r="A432" s="19"/>
      <c r="B432" s="20"/>
      <c r="C432" s="21">
        <v>241011000012</v>
      </c>
      <c r="D432" s="22">
        <v>45587</v>
      </c>
      <c r="E432" s="22" t="s">
        <v>37</v>
      </c>
      <c r="F432" s="20" t="s">
        <v>38</v>
      </c>
      <c r="G432" s="20" t="s">
        <v>348</v>
      </c>
      <c r="H432" s="20">
        <v>2.5</v>
      </c>
      <c r="I432" s="39">
        <v>184.8</v>
      </c>
      <c r="J432" s="40"/>
      <c r="K432" s="41"/>
      <c r="L432" s="20"/>
      <c r="M432" s="41"/>
      <c r="N432" s="42"/>
      <c r="O432" s="43">
        <f t="shared" si="233"/>
        <v>184.8</v>
      </c>
      <c r="P432" s="45"/>
      <c r="Q432" s="45"/>
      <c r="R432" s="69">
        <f t="shared" si="229"/>
        <v>133.27485380117</v>
      </c>
      <c r="S432" s="69"/>
      <c r="T432" s="70">
        <f t="shared" si="230"/>
        <v>0.166135034556087</v>
      </c>
      <c r="U432" s="69"/>
      <c r="V432" s="69"/>
      <c r="W432" s="71">
        <f t="shared" si="226"/>
        <v>133.440988835726</v>
      </c>
      <c r="X432" s="72">
        <f t="shared" si="231"/>
        <v>1.85575491759702</v>
      </c>
      <c r="Y432" s="72"/>
      <c r="Z432" s="72"/>
      <c r="AA432" s="72">
        <f t="shared" si="227"/>
        <v>1.85575491759702</v>
      </c>
      <c r="AB432" s="81">
        <v>7.11</v>
      </c>
      <c r="AC432" s="69">
        <f t="shared" si="224"/>
        <v>13.1944174641148</v>
      </c>
      <c r="AD432" s="69">
        <f t="shared" si="223"/>
        <v>146.63540629984</v>
      </c>
      <c r="AE432" s="69">
        <f t="shared" si="228"/>
        <v>38.1645937001595</v>
      </c>
    </row>
    <row r="433" customFormat="1" spans="1:31">
      <c r="A433" s="19"/>
      <c r="B433" s="20"/>
      <c r="C433" s="21">
        <v>241011000016</v>
      </c>
      <c r="D433" s="22">
        <v>45587</v>
      </c>
      <c r="E433" s="22" t="s">
        <v>66</v>
      </c>
      <c r="F433" s="20" t="s">
        <v>67</v>
      </c>
      <c r="G433" s="20" t="s">
        <v>349</v>
      </c>
      <c r="H433" s="20">
        <v>6</v>
      </c>
      <c r="I433" s="39">
        <v>422.4</v>
      </c>
      <c r="J433" s="40"/>
      <c r="K433" s="41"/>
      <c r="L433" s="20"/>
      <c r="M433" s="41"/>
      <c r="N433" s="42"/>
      <c r="O433" s="43">
        <f t="shared" si="233"/>
        <v>422.4</v>
      </c>
      <c r="P433" s="45"/>
      <c r="Q433" s="45"/>
      <c r="R433" s="69">
        <f t="shared" si="229"/>
        <v>319.859649122807</v>
      </c>
      <c r="S433" s="69"/>
      <c r="T433" s="70">
        <f t="shared" si="230"/>
        <v>0.398724082934609</v>
      </c>
      <c r="U433" s="69"/>
      <c r="V433" s="69"/>
      <c r="W433" s="71">
        <f t="shared" si="226"/>
        <v>320.258373205742</v>
      </c>
      <c r="X433" s="72">
        <f t="shared" si="231"/>
        <v>4.45381180223285</v>
      </c>
      <c r="Y433" s="72"/>
      <c r="Z433" s="72"/>
      <c r="AA433" s="72">
        <f t="shared" si="227"/>
        <v>4.45381180223285</v>
      </c>
      <c r="AB433" s="81">
        <v>7.11</v>
      </c>
      <c r="AC433" s="69">
        <f t="shared" si="224"/>
        <v>31.6666019138756</v>
      </c>
      <c r="AD433" s="69">
        <f t="shared" si="223"/>
        <v>351.924975119617</v>
      </c>
      <c r="AE433" s="69">
        <f t="shared" si="228"/>
        <v>70.4750248803828</v>
      </c>
    </row>
    <row r="434" customFormat="1" spans="1:31">
      <c r="A434" s="19"/>
      <c r="B434" s="20"/>
      <c r="C434" s="21">
        <v>241011000036</v>
      </c>
      <c r="D434" s="22">
        <v>45587</v>
      </c>
      <c r="E434" s="22" t="s">
        <v>44</v>
      </c>
      <c r="F434" s="20" t="s">
        <v>45</v>
      </c>
      <c r="G434" s="20" t="s">
        <v>350</v>
      </c>
      <c r="H434" s="20">
        <v>0.78</v>
      </c>
      <c r="I434" s="39">
        <v>110.4</v>
      </c>
      <c r="J434" s="40"/>
      <c r="K434" s="41"/>
      <c r="L434" s="20"/>
      <c r="M434" s="41"/>
      <c r="N434" s="42"/>
      <c r="O434" s="43">
        <f t="shared" si="233"/>
        <v>110.4</v>
      </c>
      <c r="P434" s="45"/>
      <c r="Q434" s="45"/>
      <c r="R434" s="69">
        <f t="shared" si="229"/>
        <v>41.5817543859649</v>
      </c>
      <c r="S434" s="69"/>
      <c r="T434" s="70">
        <f t="shared" si="230"/>
        <v>0.0518341307814992</v>
      </c>
      <c r="U434" s="69"/>
      <c r="V434" s="69"/>
      <c r="W434" s="71">
        <f t="shared" si="226"/>
        <v>41.6335885167464</v>
      </c>
      <c r="X434" s="72">
        <f t="shared" si="231"/>
        <v>0.578995534290271</v>
      </c>
      <c r="Y434" s="72"/>
      <c r="Z434" s="72"/>
      <c r="AA434" s="72">
        <f t="shared" si="227"/>
        <v>0.578995534290271</v>
      </c>
      <c r="AB434" s="81">
        <v>7.11</v>
      </c>
      <c r="AC434" s="69">
        <f t="shared" si="224"/>
        <v>4.11665824880383</v>
      </c>
      <c r="AD434" s="69">
        <f t="shared" si="223"/>
        <v>45.7502467655502</v>
      </c>
      <c r="AE434" s="69">
        <f t="shared" si="228"/>
        <v>64.6497532344498</v>
      </c>
    </row>
    <row r="435" customFormat="1" spans="1:31">
      <c r="A435" s="19"/>
      <c r="B435" s="20"/>
      <c r="C435" s="82">
        <v>241011000037</v>
      </c>
      <c r="D435" s="83">
        <v>45587</v>
      </c>
      <c r="E435" s="22" t="s">
        <v>55</v>
      </c>
      <c r="F435" s="84" t="s">
        <v>56</v>
      </c>
      <c r="G435" s="84" t="s">
        <v>334</v>
      </c>
      <c r="H435" s="84">
        <v>4.5</v>
      </c>
      <c r="I435" s="39">
        <v>323</v>
      </c>
      <c r="J435" s="40"/>
      <c r="K435" s="41"/>
      <c r="L435" s="20"/>
      <c r="M435" s="41"/>
      <c r="N435" s="42"/>
      <c r="O435" s="43">
        <f t="shared" si="233"/>
        <v>323</v>
      </c>
      <c r="P435" s="45"/>
      <c r="Q435" s="45"/>
      <c r="R435" s="69">
        <f t="shared" si="229"/>
        <v>239.894736842105</v>
      </c>
      <c r="S435" s="69"/>
      <c r="T435" s="70">
        <f t="shared" si="230"/>
        <v>0.299043062200957</v>
      </c>
      <c r="U435" s="69"/>
      <c r="V435" s="70">
        <v>23</v>
      </c>
      <c r="W435" s="71">
        <f t="shared" si="226"/>
        <v>263.193779904306</v>
      </c>
      <c r="X435" s="72">
        <f t="shared" si="231"/>
        <v>3.34035885167464</v>
      </c>
      <c r="Y435" s="72">
        <v>3.23</v>
      </c>
      <c r="Z435" s="72"/>
      <c r="AA435" s="72">
        <f t="shared" si="227"/>
        <v>6.57035885167464</v>
      </c>
      <c r="AB435" s="81">
        <v>7.11</v>
      </c>
      <c r="AC435" s="69">
        <f t="shared" si="224"/>
        <v>46.7152514354067</v>
      </c>
      <c r="AD435" s="69">
        <f t="shared" si="223"/>
        <v>309.909031339713</v>
      </c>
      <c r="AE435" s="69">
        <f t="shared" si="228"/>
        <v>13.0909686602871</v>
      </c>
    </row>
    <row r="436" customFormat="1" spans="1:31">
      <c r="A436" s="19"/>
      <c r="B436" s="20"/>
      <c r="C436" s="21">
        <v>241011000039</v>
      </c>
      <c r="D436" s="22">
        <v>45587</v>
      </c>
      <c r="E436" s="22" t="s">
        <v>41</v>
      </c>
      <c r="F436" s="20" t="s">
        <v>42</v>
      </c>
      <c r="G436" s="20" t="s">
        <v>185</v>
      </c>
      <c r="H436" s="20">
        <v>5</v>
      </c>
      <c r="I436" s="39">
        <v>333</v>
      </c>
      <c r="J436" s="40"/>
      <c r="K436" s="41"/>
      <c r="L436" s="20"/>
      <c r="M436" s="41"/>
      <c r="N436" s="42"/>
      <c r="O436" s="43">
        <f t="shared" si="233"/>
        <v>333</v>
      </c>
      <c r="P436" s="45"/>
      <c r="Q436" s="45"/>
      <c r="R436" s="69">
        <f t="shared" si="229"/>
        <v>266.549707602339</v>
      </c>
      <c r="S436" s="69"/>
      <c r="T436" s="70">
        <f t="shared" si="230"/>
        <v>0.332270069112174</v>
      </c>
      <c r="U436" s="69"/>
      <c r="V436" s="69"/>
      <c r="W436" s="71">
        <f t="shared" si="226"/>
        <v>266.881977671451</v>
      </c>
      <c r="X436" s="72">
        <f t="shared" si="231"/>
        <v>3.71150983519405</v>
      </c>
      <c r="Y436" s="72"/>
      <c r="Z436" s="72"/>
      <c r="AA436" s="72">
        <f t="shared" si="227"/>
        <v>3.71150983519405</v>
      </c>
      <c r="AB436" s="81">
        <v>7.11</v>
      </c>
      <c r="AC436" s="69">
        <f t="shared" si="224"/>
        <v>26.3888349282297</v>
      </c>
      <c r="AD436" s="69">
        <f t="shared" si="223"/>
        <v>293.270812599681</v>
      </c>
      <c r="AE436" s="69">
        <f t="shared" si="228"/>
        <v>39.729187400319</v>
      </c>
    </row>
    <row r="437" customFormat="1" spans="1:31">
      <c r="A437" s="19"/>
      <c r="B437" s="20"/>
      <c r="C437" s="21">
        <v>241011000050</v>
      </c>
      <c r="D437" s="22">
        <v>45587</v>
      </c>
      <c r="E437" s="22" t="s">
        <v>76</v>
      </c>
      <c r="F437" s="20" t="s">
        <v>77</v>
      </c>
      <c r="G437" s="20" t="s">
        <v>318</v>
      </c>
      <c r="H437" s="20">
        <v>5.5</v>
      </c>
      <c r="I437" s="50"/>
      <c r="J437" s="46">
        <v>98637</v>
      </c>
      <c r="K437" s="41"/>
      <c r="L437" s="47">
        <f>SUM(J437/M437)</f>
        <v>1742.08760155422</v>
      </c>
      <c r="M437" s="48">
        <v>56.62</v>
      </c>
      <c r="N437" s="42">
        <v>7.11</v>
      </c>
      <c r="O437" s="43">
        <f t="shared" ref="O437:O441" si="234">SUM(M437*N437)</f>
        <v>402.5682</v>
      </c>
      <c r="P437" s="45"/>
      <c r="Q437" s="45"/>
      <c r="R437" s="69">
        <f t="shared" si="229"/>
        <v>293.204678362573</v>
      </c>
      <c r="S437" s="69"/>
      <c r="T437" s="70">
        <f t="shared" si="230"/>
        <v>0.365497076023392</v>
      </c>
      <c r="U437" s="69"/>
      <c r="V437" s="69"/>
      <c r="W437" s="71">
        <f t="shared" si="226"/>
        <v>293.570175438597</v>
      </c>
      <c r="X437" s="72">
        <f t="shared" si="231"/>
        <v>4.08266081871345</v>
      </c>
      <c r="Y437" s="72"/>
      <c r="Z437" s="72"/>
      <c r="AA437" s="72">
        <f t="shared" si="227"/>
        <v>4.08266081871345</v>
      </c>
      <c r="AB437" s="81">
        <v>7.11</v>
      </c>
      <c r="AC437" s="69">
        <f t="shared" si="224"/>
        <v>29.0277184210526</v>
      </c>
      <c r="AD437" s="69">
        <f t="shared" si="223"/>
        <v>322.597893859649</v>
      </c>
      <c r="AE437" s="69">
        <f t="shared" si="228"/>
        <v>79.9703061403508</v>
      </c>
    </row>
    <row r="438" customFormat="1" spans="1:31">
      <c r="A438" s="19"/>
      <c r="B438" s="20"/>
      <c r="C438" s="21">
        <v>241011000056</v>
      </c>
      <c r="D438" s="22">
        <v>45587</v>
      </c>
      <c r="E438" s="22" t="s">
        <v>37</v>
      </c>
      <c r="F438" s="20" t="s">
        <v>38</v>
      </c>
      <c r="G438" s="20" t="s">
        <v>351</v>
      </c>
      <c r="H438" s="20">
        <v>3</v>
      </c>
      <c r="I438" s="39">
        <v>216.3</v>
      </c>
      <c r="J438" s="40"/>
      <c r="K438" s="41"/>
      <c r="L438" s="20"/>
      <c r="M438" s="41"/>
      <c r="N438" s="42"/>
      <c r="O438" s="43">
        <f t="shared" ref="O438:O442" si="235">SUM(I438)</f>
        <v>216.3</v>
      </c>
      <c r="P438" s="45"/>
      <c r="Q438" s="45"/>
      <c r="R438" s="69">
        <f t="shared" si="229"/>
        <v>159.929824561404</v>
      </c>
      <c r="S438" s="69"/>
      <c r="T438" s="70">
        <f t="shared" si="230"/>
        <v>0.199362041467305</v>
      </c>
      <c r="U438" s="69"/>
      <c r="V438" s="69"/>
      <c r="W438" s="71">
        <f t="shared" si="226"/>
        <v>160.129186602871</v>
      </c>
      <c r="X438" s="72">
        <f t="shared" si="231"/>
        <v>2.22690590111643</v>
      </c>
      <c r="Y438" s="72"/>
      <c r="Z438" s="72"/>
      <c r="AA438" s="72">
        <f t="shared" si="227"/>
        <v>2.22690590111643</v>
      </c>
      <c r="AB438" s="81">
        <v>7.11</v>
      </c>
      <c r="AC438" s="69">
        <f t="shared" si="224"/>
        <v>15.8333009569378</v>
      </c>
      <c r="AD438" s="69">
        <f t="shared" si="223"/>
        <v>175.962487559809</v>
      </c>
      <c r="AE438" s="69">
        <f t="shared" si="228"/>
        <v>40.3375124401914</v>
      </c>
    </row>
    <row r="439" customFormat="1" spans="1:31">
      <c r="A439" s="19"/>
      <c r="B439" s="20"/>
      <c r="C439" s="21">
        <v>241011000058</v>
      </c>
      <c r="D439" s="22">
        <v>45587</v>
      </c>
      <c r="E439" s="22" t="s">
        <v>135</v>
      </c>
      <c r="F439" s="20" t="s">
        <v>136</v>
      </c>
      <c r="G439" s="20" t="s">
        <v>137</v>
      </c>
      <c r="H439" s="20">
        <v>5.5</v>
      </c>
      <c r="I439" s="39">
        <v>366.3</v>
      </c>
      <c r="J439" s="40"/>
      <c r="K439" s="41"/>
      <c r="L439" s="20"/>
      <c r="M439" s="41"/>
      <c r="N439" s="42"/>
      <c r="O439" s="43">
        <f t="shared" si="235"/>
        <v>366.3</v>
      </c>
      <c r="P439" s="45"/>
      <c r="Q439" s="45"/>
      <c r="R439" s="69">
        <f t="shared" si="229"/>
        <v>293.204678362573</v>
      </c>
      <c r="S439" s="69"/>
      <c r="T439" s="70">
        <f t="shared" si="230"/>
        <v>0.365497076023392</v>
      </c>
      <c r="U439" s="69"/>
      <c r="V439" s="69"/>
      <c r="W439" s="71">
        <f t="shared" si="226"/>
        <v>293.570175438597</v>
      </c>
      <c r="X439" s="72">
        <f t="shared" si="231"/>
        <v>4.08266081871345</v>
      </c>
      <c r="Y439" s="72"/>
      <c r="Z439" s="72"/>
      <c r="AA439" s="72">
        <f t="shared" si="227"/>
        <v>4.08266081871345</v>
      </c>
      <c r="AB439" s="81">
        <v>7.11</v>
      </c>
      <c r="AC439" s="69">
        <f t="shared" si="224"/>
        <v>29.0277184210526</v>
      </c>
      <c r="AD439" s="69">
        <f t="shared" si="223"/>
        <v>322.597893859649</v>
      </c>
      <c r="AE439" s="69">
        <f t="shared" si="228"/>
        <v>43.7021061403508</v>
      </c>
    </row>
    <row r="440" customFormat="1" spans="1:31">
      <c r="A440" s="19"/>
      <c r="B440" s="20"/>
      <c r="C440" s="21">
        <v>241012000001</v>
      </c>
      <c r="D440" s="22">
        <v>45587</v>
      </c>
      <c r="E440" s="22" t="s">
        <v>88</v>
      </c>
      <c r="F440" s="20" t="s">
        <v>120</v>
      </c>
      <c r="G440" s="20" t="s">
        <v>319</v>
      </c>
      <c r="H440" s="20">
        <v>1.5</v>
      </c>
      <c r="I440" s="43"/>
      <c r="J440" s="46">
        <v>26422</v>
      </c>
      <c r="K440" s="41"/>
      <c r="L440" s="47">
        <f>SUM(J440/M440)</f>
        <v>1625.96923076923</v>
      </c>
      <c r="M440" s="48">
        <v>16.25</v>
      </c>
      <c r="N440" s="42">
        <v>7.11</v>
      </c>
      <c r="O440" s="43">
        <f t="shared" si="234"/>
        <v>115.5375</v>
      </c>
      <c r="P440" s="45"/>
      <c r="Q440" s="45"/>
      <c r="R440" s="69">
        <f t="shared" si="229"/>
        <v>79.9649122807018</v>
      </c>
      <c r="S440" s="69"/>
      <c r="T440" s="70">
        <f t="shared" si="230"/>
        <v>0.0996810207336523</v>
      </c>
      <c r="U440" s="69"/>
      <c r="V440" s="69"/>
      <c r="W440" s="71">
        <f t="shared" si="226"/>
        <v>80.0645933014354</v>
      </c>
      <c r="X440" s="72">
        <f t="shared" si="231"/>
        <v>1.11345295055821</v>
      </c>
      <c r="Y440" s="72"/>
      <c r="Z440" s="72"/>
      <c r="AA440" s="72">
        <f t="shared" si="227"/>
        <v>1.11345295055821</v>
      </c>
      <c r="AB440" s="81">
        <v>7.11</v>
      </c>
      <c r="AC440" s="69">
        <f t="shared" si="224"/>
        <v>7.9166504784689</v>
      </c>
      <c r="AD440" s="69">
        <f t="shared" si="223"/>
        <v>87.9812437799043</v>
      </c>
      <c r="AE440" s="69">
        <f t="shared" si="228"/>
        <v>27.5562562200957</v>
      </c>
    </row>
    <row r="441" customFormat="1" spans="1:31">
      <c r="A441" s="19"/>
      <c r="B441" s="20"/>
      <c r="C441" s="21">
        <v>241012000002</v>
      </c>
      <c r="D441" s="22">
        <v>45587</v>
      </c>
      <c r="E441" s="22" t="s">
        <v>37</v>
      </c>
      <c r="F441" s="20" t="s">
        <v>38</v>
      </c>
      <c r="G441" s="20" t="s">
        <v>184</v>
      </c>
      <c r="H441" s="20">
        <v>5.5</v>
      </c>
      <c r="I441" s="50"/>
      <c r="J441" s="46">
        <v>89743.5</v>
      </c>
      <c r="K441" s="41"/>
      <c r="L441" s="47">
        <f t="shared" ref="L441:L444" si="236">SUM(J441/M441)</f>
        <v>1742.25393127548</v>
      </c>
      <c r="M441" s="48">
        <v>51.51</v>
      </c>
      <c r="N441" s="42">
        <v>7.11</v>
      </c>
      <c r="O441" s="43">
        <f t="shared" si="234"/>
        <v>366.2361</v>
      </c>
      <c r="P441" s="45"/>
      <c r="Q441" s="45"/>
      <c r="R441" s="69">
        <f t="shared" si="229"/>
        <v>293.204678362573</v>
      </c>
      <c r="S441" s="69"/>
      <c r="T441" s="70">
        <f t="shared" si="230"/>
        <v>0.365497076023392</v>
      </c>
      <c r="U441" s="69"/>
      <c r="V441" s="69"/>
      <c r="W441" s="71">
        <f t="shared" si="226"/>
        <v>293.570175438597</v>
      </c>
      <c r="X441" s="72">
        <f t="shared" si="231"/>
        <v>4.08266081871345</v>
      </c>
      <c r="Y441" s="72"/>
      <c r="Z441" s="72"/>
      <c r="AA441" s="72">
        <f t="shared" si="227"/>
        <v>4.08266081871345</v>
      </c>
      <c r="AB441" s="81">
        <v>7.11</v>
      </c>
      <c r="AC441" s="69">
        <f t="shared" si="224"/>
        <v>29.0277184210526</v>
      </c>
      <c r="AD441" s="69">
        <f t="shared" si="223"/>
        <v>322.597893859649</v>
      </c>
      <c r="AE441" s="69">
        <f t="shared" si="228"/>
        <v>43.6382061403509</v>
      </c>
    </row>
    <row r="442" customFormat="1" spans="1:31">
      <c r="A442" s="19"/>
      <c r="B442" s="20"/>
      <c r="C442" s="21">
        <v>241012000004</v>
      </c>
      <c r="D442" s="22">
        <v>45587</v>
      </c>
      <c r="E442" s="22" t="s">
        <v>44</v>
      </c>
      <c r="F442" s="20" t="s">
        <v>45</v>
      </c>
      <c r="G442" s="20" t="s">
        <v>352</v>
      </c>
      <c r="H442" s="20">
        <v>6</v>
      </c>
      <c r="I442" s="39">
        <v>422.4</v>
      </c>
      <c r="J442" s="40"/>
      <c r="K442" s="41"/>
      <c r="L442" s="20"/>
      <c r="M442" s="41"/>
      <c r="N442" s="42"/>
      <c r="O442" s="43">
        <f t="shared" si="235"/>
        <v>422.4</v>
      </c>
      <c r="P442" s="45"/>
      <c r="Q442" s="45"/>
      <c r="R442" s="69">
        <f t="shared" si="229"/>
        <v>319.859649122807</v>
      </c>
      <c r="S442" s="69"/>
      <c r="T442" s="70">
        <f t="shared" si="230"/>
        <v>0.398724082934609</v>
      </c>
      <c r="U442" s="69"/>
      <c r="V442" s="69"/>
      <c r="W442" s="71">
        <f t="shared" si="226"/>
        <v>320.258373205742</v>
      </c>
      <c r="X442" s="72">
        <f t="shared" si="231"/>
        <v>4.45381180223285</v>
      </c>
      <c r="Y442" s="72"/>
      <c r="Z442" s="72"/>
      <c r="AA442" s="72">
        <f t="shared" si="227"/>
        <v>4.45381180223285</v>
      </c>
      <c r="AB442" s="81">
        <v>7.11</v>
      </c>
      <c r="AC442" s="69">
        <f t="shared" si="224"/>
        <v>31.6666019138756</v>
      </c>
      <c r="AD442" s="69">
        <f t="shared" ref="AD442:AD473" si="237">SUM(W442+AC442)</f>
        <v>351.924975119617</v>
      </c>
      <c r="AE442" s="69">
        <f t="shared" si="228"/>
        <v>70.4750248803828</v>
      </c>
    </row>
    <row r="443" customFormat="1" spans="1:31">
      <c r="A443" s="19"/>
      <c r="B443" s="20"/>
      <c r="C443" s="21">
        <v>241012000005</v>
      </c>
      <c r="D443" s="22">
        <v>45587</v>
      </c>
      <c r="E443" s="22" t="s">
        <v>41</v>
      </c>
      <c r="F443" s="20" t="s">
        <v>42</v>
      </c>
      <c r="G443" s="20" t="s">
        <v>283</v>
      </c>
      <c r="H443" s="20">
        <v>1.5</v>
      </c>
      <c r="I443" s="43"/>
      <c r="J443" s="46">
        <v>23820</v>
      </c>
      <c r="K443" s="41"/>
      <c r="L443" s="47">
        <f t="shared" si="236"/>
        <v>1745.05494505494</v>
      </c>
      <c r="M443" s="48">
        <v>13.65</v>
      </c>
      <c r="N443" s="42">
        <v>7.11</v>
      </c>
      <c r="O443" s="43">
        <f t="shared" ref="O443:O447" si="238">SUM(M443*N443)</f>
        <v>97.0515</v>
      </c>
      <c r="P443" s="45"/>
      <c r="Q443" s="45"/>
      <c r="R443" s="69">
        <f t="shared" si="229"/>
        <v>79.9649122807018</v>
      </c>
      <c r="S443" s="69"/>
      <c r="T443" s="70">
        <f t="shared" si="230"/>
        <v>0.0996810207336523</v>
      </c>
      <c r="U443" s="69"/>
      <c r="V443" s="69"/>
      <c r="W443" s="71">
        <f t="shared" si="226"/>
        <v>80.0645933014354</v>
      </c>
      <c r="X443" s="72">
        <f t="shared" si="231"/>
        <v>1.11345295055821</v>
      </c>
      <c r="Y443" s="72"/>
      <c r="Z443" s="72"/>
      <c r="AA443" s="72">
        <f t="shared" si="227"/>
        <v>1.11345295055821</v>
      </c>
      <c r="AB443" s="81">
        <v>7.11</v>
      </c>
      <c r="AC443" s="69">
        <f t="shared" ref="AC443:AC474" si="239">SUM(AA443*AB443)</f>
        <v>7.9166504784689</v>
      </c>
      <c r="AD443" s="69">
        <f t="shared" si="237"/>
        <v>87.9812437799043</v>
      </c>
      <c r="AE443" s="69">
        <f t="shared" si="228"/>
        <v>9.0702562200957</v>
      </c>
    </row>
    <row r="444" customFormat="1" spans="1:31">
      <c r="A444" s="19"/>
      <c r="B444" s="20"/>
      <c r="C444" s="21">
        <v>241012000007</v>
      </c>
      <c r="D444" s="22">
        <v>45587</v>
      </c>
      <c r="E444" s="22" t="s">
        <v>41</v>
      </c>
      <c r="F444" s="20" t="s">
        <v>42</v>
      </c>
      <c r="G444" s="20" t="s">
        <v>91</v>
      </c>
      <c r="H444" s="20">
        <v>0.22</v>
      </c>
      <c r="I444" s="50"/>
      <c r="J444" s="46">
        <v>16905</v>
      </c>
      <c r="K444" s="41"/>
      <c r="L444" s="47">
        <f t="shared" si="236"/>
        <v>1735.62628336756</v>
      </c>
      <c r="M444" s="48">
        <v>9.74</v>
      </c>
      <c r="N444" s="42">
        <v>7.11</v>
      </c>
      <c r="O444" s="43">
        <f t="shared" si="238"/>
        <v>69.2514</v>
      </c>
      <c r="P444" s="45"/>
      <c r="Q444" s="45"/>
      <c r="R444" s="69">
        <f t="shared" si="229"/>
        <v>11.7281871345029</v>
      </c>
      <c r="S444" s="69"/>
      <c r="T444" s="70">
        <f t="shared" si="230"/>
        <v>0.0146198830409357</v>
      </c>
      <c r="U444" s="69"/>
      <c r="V444" s="69"/>
      <c r="W444" s="71">
        <f t="shared" si="226"/>
        <v>11.7428070175439</v>
      </c>
      <c r="X444" s="72">
        <f t="shared" si="231"/>
        <v>0.163306432748538</v>
      </c>
      <c r="Y444" s="72"/>
      <c r="Z444" s="72"/>
      <c r="AA444" s="72">
        <f t="shared" si="227"/>
        <v>0.163306432748538</v>
      </c>
      <c r="AB444" s="81">
        <v>7.11</v>
      </c>
      <c r="AC444" s="69">
        <f t="shared" si="239"/>
        <v>1.16110873684211</v>
      </c>
      <c r="AD444" s="69">
        <f t="shared" si="237"/>
        <v>12.903915754386</v>
      </c>
      <c r="AE444" s="69">
        <f t="shared" si="228"/>
        <v>56.347484245614</v>
      </c>
    </row>
    <row r="445" customFormat="1" spans="1:31">
      <c r="A445" s="19"/>
      <c r="B445" s="20"/>
      <c r="C445" s="21">
        <v>241012000014</v>
      </c>
      <c r="D445" s="22">
        <v>45587</v>
      </c>
      <c r="E445" s="22" t="s">
        <v>66</v>
      </c>
      <c r="F445" s="20" t="s">
        <v>67</v>
      </c>
      <c r="G445" s="20" t="s">
        <v>353</v>
      </c>
      <c r="H445" s="20">
        <v>2.5</v>
      </c>
      <c r="I445" s="39">
        <v>172</v>
      </c>
      <c r="J445" s="40"/>
      <c r="K445" s="41"/>
      <c r="L445" s="20"/>
      <c r="M445" s="41"/>
      <c r="N445" s="42"/>
      <c r="O445" s="43">
        <f t="shared" ref="O445:O451" si="240">SUM(I445)</f>
        <v>172</v>
      </c>
      <c r="P445" s="45"/>
      <c r="Q445" s="45"/>
      <c r="R445" s="69">
        <f t="shared" si="229"/>
        <v>133.27485380117</v>
      </c>
      <c r="S445" s="69"/>
      <c r="T445" s="70">
        <f t="shared" si="230"/>
        <v>0.166135034556087</v>
      </c>
      <c r="U445" s="69"/>
      <c r="V445" s="69"/>
      <c r="W445" s="71">
        <f t="shared" ref="W445:W476" si="241">SUM(R445:V445)</f>
        <v>133.440988835726</v>
      </c>
      <c r="X445" s="72">
        <f t="shared" si="231"/>
        <v>1.85575491759702</v>
      </c>
      <c r="Y445" s="72"/>
      <c r="Z445" s="72"/>
      <c r="AA445" s="72">
        <f t="shared" ref="AA445:AA476" si="242">SUM(X445:Z445)</f>
        <v>1.85575491759702</v>
      </c>
      <c r="AB445" s="81">
        <v>7.11</v>
      </c>
      <c r="AC445" s="69">
        <f t="shared" si="239"/>
        <v>13.1944174641148</v>
      </c>
      <c r="AD445" s="69">
        <f t="shared" si="237"/>
        <v>146.63540629984</v>
      </c>
      <c r="AE445" s="69">
        <f t="shared" ref="AE445:AE476" si="243">SUM(O445-AD445)</f>
        <v>25.3645937001595</v>
      </c>
    </row>
    <row r="446" customFormat="1" spans="1:31">
      <c r="A446" s="19"/>
      <c r="B446" s="20"/>
      <c r="C446" s="21">
        <v>241012000015</v>
      </c>
      <c r="D446" s="22">
        <v>45587</v>
      </c>
      <c r="E446" s="22" t="s">
        <v>66</v>
      </c>
      <c r="F446" s="20" t="s">
        <v>67</v>
      </c>
      <c r="G446" s="20" t="s">
        <v>354</v>
      </c>
      <c r="H446" s="20">
        <v>5</v>
      </c>
      <c r="I446" s="39">
        <v>362.5</v>
      </c>
      <c r="J446" s="40"/>
      <c r="K446" s="41"/>
      <c r="L446" s="20"/>
      <c r="M446" s="41"/>
      <c r="N446" s="42"/>
      <c r="O446" s="43">
        <f t="shared" si="240"/>
        <v>362.5</v>
      </c>
      <c r="P446" s="45"/>
      <c r="Q446" s="45"/>
      <c r="R446" s="69">
        <f t="shared" si="229"/>
        <v>266.549707602339</v>
      </c>
      <c r="S446" s="69"/>
      <c r="T446" s="70">
        <f t="shared" si="230"/>
        <v>0.332270069112174</v>
      </c>
      <c r="U446" s="69"/>
      <c r="V446" s="69"/>
      <c r="W446" s="71">
        <f t="shared" si="241"/>
        <v>266.881977671451</v>
      </c>
      <c r="X446" s="72">
        <f t="shared" si="231"/>
        <v>3.71150983519405</v>
      </c>
      <c r="Y446" s="72"/>
      <c r="Z446" s="72"/>
      <c r="AA446" s="72">
        <f t="shared" si="242"/>
        <v>3.71150983519405</v>
      </c>
      <c r="AB446" s="81">
        <v>7.11</v>
      </c>
      <c r="AC446" s="69">
        <f t="shared" si="239"/>
        <v>26.3888349282297</v>
      </c>
      <c r="AD446" s="69">
        <f t="shared" si="237"/>
        <v>293.270812599681</v>
      </c>
      <c r="AE446" s="69">
        <f t="shared" si="243"/>
        <v>69.229187400319</v>
      </c>
    </row>
    <row r="447" customFormat="1" spans="1:31">
      <c r="A447" s="19"/>
      <c r="B447" s="20"/>
      <c r="C447" s="21">
        <v>241012000018</v>
      </c>
      <c r="D447" s="22">
        <v>45587</v>
      </c>
      <c r="E447" s="22" t="s">
        <v>41</v>
      </c>
      <c r="F447" s="20" t="s">
        <v>42</v>
      </c>
      <c r="G447" s="20" t="s">
        <v>105</v>
      </c>
      <c r="H447" s="20">
        <v>21</v>
      </c>
      <c r="I447" s="43"/>
      <c r="J447" s="46">
        <v>366450</v>
      </c>
      <c r="K447" s="41"/>
      <c r="L447" s="47">
        <f>SUM(J447/M447)</f>
        <v>1745</v>
      </c>
      <c r="M447" s="48">
        <v>210</v>
      </c>
      <c r="N447" s="42">
        <v>7.11</v>
      </c>
      <c r="O447" s="43">
        <f t="shared" si="238"/>
        <v>1493.1</v>
      </c>
      <c r="P447" s="45"/>
      <c r="Q447" s="45"/>
      <c r="R447" s="69">
        <f t="shared" ref="R447:R478" si="244">SUM(100276/1881)*H447</f>
        <v>1119.50877192982</v>
      </c>
      <c r="S447" s="69"/>
      <c r="T447" s="70">
        <f t="shared" ref="T447:T478" si="245">SUM(125/1881)*H447</f>
        <v>1.39553429027113</v>
      </c>
      <c r="U447" s="69"/>
      <c r="V447" s="69"/>
      <c r="W447" s="71">
        <f t="shared" si="241"/>
        <v>1120.9043062201</v>
      </c>
      <c r="X447" s="72">
        <f t="shared" ref="X447:X478" si="246">SUM(1396.27/1881)*H447</f>
        <v>15.588341307815</v>
      </c>
      <c r="Y447" s="72"/>
      <c r="Z447" s="72"/>
      <c r="AA447" s="72">
        <f t="shared" si="242"/>
        <v>15.588341307815</v>
      </c>
      <c r="AB447" s="81">
        <v>7.11</v>
      </c>
      <c r="AC447" s="69">
        <f t="shared" si="239"/>
        <v>110.833106698565</v>
      </c>
      <c r="AD447" s="69">
        <f t="shared" si="237"/>
        <v>1231.73741291866</v>
      </c>
      <c r="AE447" s="69">
        <f t="shared" si="243"/>
        <v>261.36258708134</v>
      </c>
    </row>
    <row r="448" customFormat="1" spans="1:31">
      <c r="A448" s="19"/>
      <c r="B448" s="20"/>
      <c r="C448" s="21">
        <v>241012000020</v>
      </c>
      <c r="D448" s="22">
        <v>45587</v>
      </c>
      <c r="E448" s="22" t="s">
        <v>41</v>
      </c>
      <c r="F448" s="20" t="s">
        <v>42</v>
      </c>
      <c r="G448" s="20" t="s">
        <v>244</v>
      </c>
      <c r="H448" s="20">
        <v>6</v>
      </c>
      <c r="I448" s="39">
        <v>382</v>
      </c>
      <c r="J448" s="40"/>
      <c r="K448" s="41"/>
      <c r="L448" s="20"/>
      <c r="M448" s="41"/>
      <c r="N448" s="42"/>
      <c r="O448" s="43">
        <f t="shared" si="240"/>
        <v>382</v>
      </c>
      <c r="P448" s="45"/>
      <c r="Q448" s="45"/>
      <c r="R448" s="69">
        <f t="shared" si="244"/>
        <v>319.859649122807</v>
      </c>
      <c r="S448" s="69"/>
      <c r="T448" s="70">
        <f t="shared" si="245"/>
        <v>0.398724082934609</v>
      </c>
      <c r="U448" s="69"/>
      <c r="V448" s="69"/>
      <c r="W448" s="71">
        <f t="shared" si="241"/>
        <v>320.258373205742</v>
      </c>
      <c r="X448" s="72">
        <f t="shared" si="246"/>
        <v>4.45381180223285</v>
      </c>
      <c r="Y448" s="72"/>
      <c r="Z448" s="72"/>
      <c r="AA448" s="72">
        <f t="shared" si="242"/>
        <v>4.45381180223285</v>
      </c>
      <c r="AB448" s="81">
        <v>7.11</v>
      </c>
      <c r="AC448" s="69">
        <f t="shared" si="239"/>
        <v>31.6666019138756</v>
      </c>
      <c r="AD448" s="69">
        <f t="shared" si="237"/>
        <v>351.924975119617</v>
      </c>
      <c r="AE448" s="69">
        <f t="shared" si="243"/>
        <v>30.0750248803828</v>
      </c>
    </row>
    <row r="449" customFormat="1" spans="1:31">
      <c r="A449" s="19"/>
      <c r="B449" s="20"/>
      <c r="C449" s="21">
        <v>241012000032</v>
      </c>
      <c r="D449" s="22">
        <v>45587</v>
      </c>
      <c r="E449" s="22" t="s">
        <v>55</v>
      </c>
      <c r="F449" s="20" t="s">
        <v>56</v>
      </c>
      <c r="G449" s="20" t="s">
        <v>178</v>
      </c>
      <c r="H449" s="20">
        <v>13.5</v>
      </c>
      <c r="I449" s="39">
        <v>853</v>
      </c>
      <c r="J449" s="40"/>
      <c r="K449" s="41"/>
      <c r="L449" s="20"/>
      <c r="M449" s="41"/>
      <c r="N449" s="42"/>
      <c r="O449" s="43">
        <f t="shared" si="240"/>
        <v>853</v>
      </c>
      <c r="P449" s="45"/>
      <c r="Q449" s="45"/>
      <c r="R449" s="69">
        <f t="shared" si="244"/>
        <v>719.684210526316</v>
      </c>
      <c r="S449" s="69"/>
      <c r="T449" s="70">
        <f t="shared" si="245"/>
        <v>0.897129186602871</v>
      </c>
      <c r="U449" s="69"/>
      <c r="V449" s="69"/>
      <c r="W449" s="71">
        <f t="shared" si="241"/>
        <v>720.581339712919</v>
      </c>
      <c r="X449" s="72">
        <f t="shared" si="246"/>
        <v>10.0210765550239</v>
      </c>
      <c r="Y449" s="72"/>
      <c r="Z449" s="72"/>
      <c r="AA449" s="72">
        <f t="shared" si="242"/>
        <v>10.0210765550239</v>
      </c>
      <c r="AB449" s="81">
        <v>7.11</v>
      </c>
      <c r="AC449" s="69">
        <f t="shared" si="239"/>
        <v>71.2498543062201</v>
      </c>
      <c r="AD449" s="69">
        <f t="shared" si="237"/>
        <v>791.831194019139</v>
      </c>
      <c r="AE449" s="69">
        <f t="shared" si="243"/>
        <v>61.1688059808612</v>
      </c>
    </row>
    <row r="450" customFormat="1" spans="1:31">
      <c r="A450" s="19"/>
      <c r="B450" s="20"/>
      <c r="C450" s="21">
        <v>241012000037</v>
      </c>
      <c r="D450" s="22">
        <v>45587</v>
      </c>
      <c r="E450" s="22" t="s">
        <v>66</v>
      </c>
      <c r="F450" s="20" t="s">
        <v>67</v>
      </c>
      <c r="G450" s="20" t="s">
        <v>129</v>
      </c>
      <c r="H450" s="20">
        <v>8</v>
      </c>
      <c r="I450" s="39">
        <v>520</v>
      </c>
      <c r="J450" s="40"/>
      <c r="K450" s="41"/>
      <c r="L450" s="20"/>
      <c r="M450" s="41"/>
      <c r="N450" s="42"/>
      <c r="O450" s="43">
        <f t="shared" si="240"/>
        <v>520</v>
      </c>
      <c r="P450" s="45"/>
      <c r="Q450" s="45"/>
      <c r="R450" s="69">
        <f t="shared" si="244"/>
        <v>426.479532163743</v>
      </c>
      <c r="S450" s="69"/>
      <c r="T450" s="70">
        <f t="shared" si="245"/>
        <v>0.531632110579479</v>
      </c>
      <c r="U450" s="69"/>
      <c r="V450" s="69"/>
      <c r="W450" s="71">
        <f t="shared" si="241"/>
        <v>427.011164274322</v>
      </c>
      <c r="X450" s="72">
        <f t="shared" si="246"/>
        <v>5.93841573631047</v>
      </c>
      <c r="Y450" s="72"/>
      <c r="Z450" s="72"/>
      <c r="AA450" s="72">
        <f t="shared" si="242"/>
        <v>5.93841573631047</v>
      </c>
      <c r="AB450" s="81">
        <v>7.11</v>
      </c>
      <c r="AC450" s="69">
        <f t="shared" si="239"/>
        <v>42.2221358851675</v>
      </c>
      <c r="AD450" s="69">
        <f t="shared" si="237"/>
        <v>469.23330015949</v>
      </c>
      <c r="AE450" s="69">
        <f t="shared" si="243"/>
        <v>50.7666998405103</v>
      </c>
    </row>
    <row r="451" customFormat="1" spans="1:31">
      <c r="A451" s="19"/>
      <c r="B451" s="20"/>
      <c r="C451" s="21">
        <v>241012000043</v>
      </c>
      <c r="D451" s="22">
        <v>45587</v>
      </c>
      <c r="E451" s="22" t="s">
        <v>66</v>
      </c>
      <c r="F451" s="20" t="s">
        <v>67</v>
      </c>
      <c r="G451" s="20" t="s">
        <v>355</v>
      </c>
      <c r="H451" s="20">
        <v>35</v>
      </c>
      <c r="I451" s="39">
        <v>2100</v>
      </c>
      <c r="J451" s="40"/>
      <c r="K451" s="41"/>
      <c r="L451" s="20"/>
      <c r="M451" s="41"/>
      <c r="N451" s="42"/>
      <c r="O451" s="43">
        <f t="shared" si="240"/>
        <v>2100</v>
      </c>
      <c r="P451" s="45"/>
      <c r="Q451" s="45"/>
      <c r="R451" s="69">
        <f t="shared" si="244"/>
        <v>1865.84795321637</v>
      </c>
      <c r="S451" s="69"/>
      <c r="T451" s="70">
        <f t="shared" si="245"/>
        <v>2.32589048378522</v>
      </c>
      <c r="U451" s="69"/>
      <c r="V451" s="69"/>
      <c r="W451" s="71">
        <f t="shared" si="241"/>
        <v>1868.17384370016</v>
      </c>
      <c r="X451" s="72">
        <f t="shared" si="246"/>
        <v>25.9805688463583</v>
      </c>
      <c r="Y451" s="72"/>
      <c r="Z451" s="72"/>
      <c r="AA451" s="72">
        <f t="shared" si="242"/>
        <v>25.9805688463583</v>
      </c>
      <c r="AB451" s="81">
        <v>7.11</v>
      </c>
      <c r="AC451" s="69">
        <f t="shared" si="239"/>
        <v>184.721844497608</v>
      </c>
      <c r="AD451" s="69">
        <f t="shared" si="237"/>
        <v>2052.89568819777</v>
      </c>
      <c r="AE451" s="69">
        <f t="shared" si="243"/>
        <v>47.1043118022326</v>
      </c>
    </row>
    <row r="452" customFormat="1" spans="1:31">
      <c r="A452" s="19"/>
      <c r="B452" s="20"/>
      <c r="C452" s="21">
        <v>241012000045</v>
      </c>
      <c r="D452" s="22">
        <v>45587</v>
      </c>
      <c r="E452" s="22" t="s">
        <v>66</v>
      </c>
      <c r="F452" s="20" t="s">
        <v>67</v>
      </c>
      <c r="G452" s="20" t="s">
        <v>356</v>
      </c>
      <c r="H452" s="20">
        <v>2</v>
      </c>
      <c r="I452" s="50"/>
      <c r="J452" s="46">
        <v>33000</v>
      </c>
      <c r="K452" s="41"/>
      <c r="L452" s="47">
        <f t="shared" ref="L452:L455" si="247">SUM(J452/M452)</f>
        <v>1735.01577287066</v>
      </c>
      <c r="M452" s="48">
        <v>19.02</v>
      </c>
      <c r="N452" s="42">
        <v>7.11</v>
      </c>
      <c r="O452" s="43">
        <f t="shared" ref="O452:O455" si="248">SUM(M452*N452)</f>
        <v>135.2322</v>
      </c>
      <c r="P452" s="45"/>
      <c r="Q452" s="45"/>
      <c r="R452" s="69">
        <f t="shared" si="244"/>
        <v>106.619883040936</v>
      </c>
      <c r="S452" s="69"/>
      <c r="T452" s="70">
        <f t="shared" si="245"/>
        <v>0.13290802764487</v>
      </c>
      <c r="U452" s="69"/>
      <c r="V452" s="69"/>
      <c r="W452" s="71">
        <f t="shared" si="241"/>
        <v>106.752791068581</v>
      </c>
      <c r="X452" s="72">
        <f t="shared" si="246"/>
        <v>1.48460393407762</v>
      </c>
      <c r="Y452" s="72"/>
      <c r="Z452" s="72"/>
      <c r="AA452" s="72">
        <f t="shared" si="242"/>
        <v>1.48460393407762</v>
      </c>
      <c r="AB452" s="81">
        <v>7.11</v>
      </c>
      <c r="AC452" s="69">
        <f t="shared" si="239"/>
        <v>10.5555339712919</v>
      </c>
      <c r="AD452" s="69">
        <f t="shared" si="237"/>
        <v>117.308325039872</v>
      </c>
      <c r="AE452" s="69">
        <f t="shared" si="243"/>
        <v>17.9238749601276</v>
      </c>
    </row>
    <row r="453" customFormat="1" spans="1:31">
      <c r="A453" s="19"/>
      <c r="B453" s="20"/>
      <c r="C453" s="21">
        <v>241012000048</v>
      </c>
      <c r="D453" s="22">
        <v>45587</v>
      </c>
      <c r="E453" s="22" t="s">
        <v>66</v>
      </c>
      <c r="F453" s="20" t="s">
        <v>67</v>
      </c>
      <c r="G453" s="20" t="s">
        <v>181</v>
      </c>
      <c r="H453" s="20">
        <v>99</v>
      </c>
      <c r="I453" s="50"/>
      <c r="J453" s="46">
        <v>1430154</v>
      </c>
      <c r="K453" s="41"/>
      <c r="L453" s="47">
        <f t="shared" si="247"/>
        <v>1656.63218617151</v>
      </c>
      <c r="M453" s="48">
        <v>863.29</v>
      </c>
      <c r="N453" s="42">
        <v>7.11</v>
      </c>
      <c r="O453" s="43">
        <f t="shared" si="248"/>
        <v>6137.9919</v>
      </c>
      <c r="P453" s="45"/>
      <c r="Q453" s="45"/>
      <c r="R453" s="69">
        <f t="shared" si="244"/>
        <v>5277.68421052632</v>
      </c>
      <c r="S453" s="69"/>
      <c r="T453" s="70">
        <f t="shared" si="245"/>
        <v>6.57894736842105</v>
      </c>
      <c r="U453" s="69"/>
      <c r="V453" s="69"/>
      <c r="W453" s="71">
        <f t="shared" si="241"/>
        <v>5284.26315789474</v>
      </c>
      <c r="X453" s="72">
        <f t="shared" si="246"/>
        <v>73.4878947368421</v>
      </c>
      <c r="Y453" s="72"/>
      <c r="Z453" s="72"/>
      <c r="AA453" s="72">
        <f t="shared" si="242"/>
        <v>73.4878947368421</v>
      </c>
      <c r="AB453" s="81">
        <v>7.11</v>
      </c>
      <c r="AC453" s="69">
        <f t="shared" si="239"/>
        <v>522.498931578947</v>
      </c>
      <c r="AD453" s="69">
        <f t="shared" si="237"/>
        <v>5806.76208947368</v>
      </c>
      <c r="AE453" s="69">
        <f t="shared" si="243"/>
        <v>331.229810526316</v>
      </c>
    </row>
    <row r="454" customFormat="1" spans="1:31">
      <c r="A454" s="19"/>
      <c r="B454" s="20"/>
      <c r="C454" s="21">
        <v>241012000050</v>
      </c>
      <c r="D454" s="22">
        <v>45587</v>
      </c>
      <c r="E454" s="22" t="s">
        <v>66</v>
      </c>
      <c r="F454" s="20" t="s">
        <v>67</v>
      </c>
      <c r="G454" s="20" t="s">
        <v>144</v>
      </c>
      <c r="H454" s="20">
        <v>4</v>
      </c>
      <c r="I454" s="39">
        <v>295</v>
      </c>
      <c r="J454" s="40"/>
      <c r="K454" s="41"/>
      <c r="L454" s="20"/>
      <c r="M454" s="41"/>
      <c r="N454" s="42"/>
      <c r="O454" s="43">
        <f t="shared" ref="O454:O462" si="249">SUM(I454)</f>
        <v>295</v>
      </c>
      <c r="P454" s="45"/>
      <c r="Q454" s="45"/>
      <c r="R454" s="69">
        <f t="shared" si="244"/>
        <v>213.239766081871</v>
      </c>
      <c r="S454" s="69"/>
      <c r="T454" s="70">
        <f t="shared" si="245"/>
        <v>0.26581605528974</v>
      </c>
      <c r="U454" s="69"/>
      <c r="V454" s="69"/>
      <c r="W454" s="71">
        <f t="shared" si="241"/>
        <v>213.505582137161</v>
      </c>
      <c r="X454" s="72">
        <f t="shared" si="246"/>
        <v>2.96920786815524</v>
      </c>
      <c r="Y454" s="72"/>
      <c r="Z454" s="72"/>
      <c r="AA454" s="72">
        <f t="shared" si="242"/>
        <v>2.96920786815524</v>
      </c>
      <c r="AB454" s="81">
        <v>7.11</v>
      </c>
      <c r="AC454" s="69">
        <f t="shared" si="239"/>
        <v>21.1110679425837</v>
      </c>
      <c r="AD454" s="69">
        <f t="shared" si="237"/>
        <v>234.616650079745</v>
      </c>
      <c r="AE454" s="69">
        <f t="shared" si="243"/>
        <v>60.3833499202552</v>
      </c>
    </row>
    <row r="455" customFormat="1" spans="1:31">
      <c r="A455" s="19"/>
      <c r="B455" s="20"/>
      <c r="C455" s="21">
        <v>241012000051</v>
      </c>
      <c r="D455" s="22">
        <v>45587</v>
      </c>
      <c r="E455" s="22" t="s">
        <v>66</v>
      </c>
      <c r="F455" s="20" t="s">
        <v>67</v>
      </c>
      <c r="G455" s="20" t="s">
        <v>357</v>
      </c>
      <c r="H455" s="20">
        <v>4.5</v>
      </c>
      <c r="I455" s="50"/>
      <c r="J455" s="46">
        <v>71663</v>
      </c>
      <c r="K455" s="41"/>
      <c r="L455" s="47">
        <f t="shared" si="247"/>
        <v>1742.35351325067</v>
      </c>
      <c r="M455" s="48">
        <v>41.13</v>
      </c>
      <c r="N455" s="42">
        <v>7.11</v>
      </c>
      <c r="O455" s="43">
        <f t="shared" si="248"/>
        <v>292.4343</v>
      </c>
      <c r="P455" s="45"/>
      <c r="Q455" s="45"/>
      <c r="R455" s="69">
        <f t="shared" si="244"/>
        <v>239.894736842105</v>
      </c>
      <c r="S455" s="69"/>
      <c r="T455" s="70">
        <f t="shared" si="245"/>
        <v>0.299043062200957</v>
      </c>
      <c r="U455" s="69"/>
      <c r="V455" s="69"/>
      <c r="W455" s="71">
        <f t="shared" si="241"/>
        <v>240.193779904306</v>
      </c>
      <c r="X455" s="72">
        <f t="shared" si="246"/>
        <v>3.34035885167464</v>
      </c>
      <c r="Y455" s="72"/>
      <c r="Z455" s="72"/>
      <c r="AA455" s="72">
        <f t="shared" si="242"/>
        <v>3.34035885167464</v>
      </c>
      <c r="AB455" s="81">
        <v>7.11</v>
      </c>
      <c r="AC455" s="69">
        <f t="shared" si="239"/>
        <v>23.7499514354067</v>
      </c>
      <c r="AD455" s="69">
        <f t="shared" si="237"/>
        <v>263.943731339713</v>
      </c>
      <c r="AE455" s="69">
        <f t="shared" si="243"/>
        <v>28.4905686602871</v>
      </c>
    </row>
    <row r="456" customFormat="1" spans="1:31">
      <c r="A456" s="19"/>
      <c r="B456" s="20"/>
      <c r="C456" s="21">
        <v>241012000052</v>
      </c>
      <c r="D456" s="22">
        <v>45587</v>
      </c>
      <c r="E456" s="22" t="s">
        <v>66</v>
      </c>
      <c r="F456" s="20" t="s">
        <v>67</v>
      </c>
      <c r="G456" s="20" t="s">
        <v>358</v>
      </c>
      <c r="H456" s="20">
        <v>16</v>
      </c>
      <c r="I456" s="39">
        <v>992</v>
      </c>
      <c r="J456" s="40"/>
      <c r="K456" s="41"/>
      <c r="L456" s="20"/>
      <c r="M456" s="41"/>
      <c r="N456" s="42"/>
      <c r="O456" s="43">
        <f t="shared" si="249"/>
        <v>992</v>
      </c>
      <c r="P456" s="45"/>
      <c r="Q456" s="45"/>
      <c r="R456" s="69">
        <f t="shared" si="244"/>
        <v>852.959064327485</v>
      </c>
      <c r="S456" s="69"/>
      <c r="T456" s="70">
        <f t="shared" si="245"/>
        <v>1.06326422115896</v>
      </c>
      <c r="U456" s="69"/>
      <c r="V456" s="69"/>
      <c r="W456" s="71">
        <f t="shared" si="241"/>
        <v>854.022328548644</v>
      </c>
      <c r="X456" s="72">
        <f t="shared" si="246"/>
        <v>11.8768314726209</v>
      </c>
      <c r="Y456" s="72"/>
      <c r="Z456" s="72"/>
      <c r="AA456" s="72">
        <f t="shared" si="242"/>
        <v>11.8768314726209</v>
      </c>
      <c r="AB456" s="81">
        <v>7.11</v>
      </c>
      <c r="AC456" s="69">
        <f t="shared" si="239"/>
        <v>84.4442717703349</v>
      </c>
      <c r="AD456" s="69">
        <f t="shared" si="237"/>
        <v>938.466600318979</v>
      </c>
      <c r="AE456" s="69">
        <f t="shared" si="243"/>
        <v>53.5333996810207</v>
      </c>
    </row>
    <row r="457" customFormat="1" spans="1:31">
      <c r="A457" s="19"/>
      <c r="B457" s="20"/>
      <c r="C457" s="82">
        <v>241013000006</v>
      </c>
      <c r="D457" s="83">
        <v>45587</v>
      </c>
      <c r="E457" s="22" t="s">
        <v>88</v>
      </c>
      <c r="F457" s="84" t="s">
        <v>118</v>
      </c>
      <c r="G457" s="84" t="s">
        <v>359</v>
      </c>
      <c r="H457" s="84">
        <v>9.5</v>
      </c>
      <c r="I457" s="50"/>
      <c r="J457" s="47">
        <v>165758</v>
      </c>
      <c r="K457" s="85"/>
      <c r="L457" s="47">
        <f>SUM(J457/M457)</f>
        <v>1745.00473734077</v>
      </c>
      <c r="M457" s="86">
        <v>94.99</v>
      </c>
      <c r="N457" s="42">
        <v>7.11</v>
      </c>
      <c r="O457" s="43">
        <f>SUM(M457*N457)</f>
        <v>675.3789</v>
      </c>
      <c r="P457" s="45"/>
      <c r="Q457" s="45"/>
      <c r="R457" s="69">
        <f t="shared" si="244"/>
        <v>506.444444444444</v>
      </c>
      <c r="S457" s="69"/>
      <c r="T457" s="70">
        <f t="shared" si="245"/>
        <v>0.631313131313131</v>
      </c>
      <c r="U457" s="69"/>
      <c r="V457" s="69"/>
      <c r="W457" s="71">
        <f t="shared" si="241"/>
        <v>507.075757575758</v>
      </c>
      <c r="X457" s="72">
        <f t="shared" si="246"/>
        <v>7.05186868686869</v>
      </c>
      <c r="Y457" s="72"/>
      <c r="Z457" s="72"/>
      <c r="AA457" s="72">
        <f t="shared" si="242"/>
        <v>7.05186868686869</v>
      </c>
      <c r="AB457" s="81">
        <v>7.11</v>
      </c>
      <c r="AC457" s="69">
        <f t="shared" si="239"/>
        <v>50.1387863636364</v>
      </c>
      <c r="AD457" s="69">
        <f t="shared" si="237"/>
        <v>557.214543939394</v>
      </c>
      <c r="AE457" s="69">
        <f t="shared" si="243"/>
        <v>118.164356060606</v>
      </c>
    </row>
    <row r="458" customFormat="1" spans="1:31">
      <c r="A458" s="19"/>
      <c r="B458" s="20"/>
      <c r="C458" s="21">
        <v>241014000001</v>
      </c>
      <c r="D458" s="22">
        <v>45587</v>
      </c>
      <c r="E458" s="22" t="s">
        <v>66</v>
      </c>
      <c r="F458" s="20" t="s">
        <v>67</v>
      </c>
      <c r="G458" s="20" t="s">
        <v>242</v>
      </c>
      <c r="H458" s="20">
        <v>16.5</v>
      </c>
      <c r="I458" s="39">
        <v>1089</v>
      </c>
      <c r="J458" s="40"/>
      <c r="K458" s="41"/>
      <c r="L458" s="20"/>
      <c r="M458" s="41"/>
      <c r="N458" s="42"/>
      <c r="O458" s="43">
        <f t="shared" si="249"/>
        <v>1089</v>
      </c>
      <c r="P458" s="45"/>
      <c r="Q458" s="45"/>
      <c r="R458" s="69">
        <f t="shared" si="244"/>
        <v>879.614035087719</v>
      </c>
      <c r="S458" s="69"/>
      <c r="T458" s="70">
        <f t="shared" si="245"/>
        <v>1.09649122807018</v>
      </c>
      <c r="U458" s="69"/>
      <c r="V458" s="69"/>
      <c r="W458" s="71">
        <f t="shared" si="241"/>
        <v>880.710526315789</v>
      </c>
      <c r="X458" s="72">
        <f t="shared" si="246"/>
        <v>12.2479824561404</v>
      </c>
      <c r="Y458" s="72"/>
      <c r="Z458" s="72"/>
      <c r="AA458" s="72">
        <f t="shared" si="242"/>
        <v>12.2479824561404</v>
      </c>
      <c r="AB458" s="81">
        <v>7.11</v>
      </c>
      <c r="AC458" s="69">
        <f t="shared" si="239"/>
        <v>87.0831552631579</v>
      </c>
      <c r="AD458" s="69">
        <f t="shared" si="237"/>
        <v>967.793681578947</v>
      </c>
      <c r="AE458" s="69">
        <f t="shared" si="243"/>
        <v>121.206318421053</v>
      </c>
    </row>
    <row r="459" customFormat="1" spans="1:31">
      <c r="A459" s="19"/>
      <c r="B459" s="20"/>
      <c r="C459" s="21">
        <v>241014000005</v>
      </c>
      <c r="D459" s="22">
        <v>45587</v>
      </c>
      <c r="E459" s="22" t="s">
        <v>66</v>
      </c>
      <c r="F459" s="20" t="s">
        <v>67</v>
      </c>
      <c r="G459" s="20" t="s">
        <v>257</v>
      </c>
      <c r="H459" s="20">
        <v>3.5</v>
      </c>
      <c r="I459" s="39">
        <v>257.4</v>
      </c>
      <c r="J459" s="40"/>
      <c r="K459" s="41"/>
      <c r="L459" s="20"/>
      <c r="M459" s="41"/>
      <c r="N459" s="42"/>
      <c r="O459" s="43">
        <f t="shared" si="249"/>
        <v>257.4</v>
      </c>
      <c r="P459" s="45"/>
      <c r="Q459" s="45"/>
      <c r="R459" s="69">
        <f t="shared" si="244"/>
        <v>186.584795321637</v>
      </c>
      <c r="S459" s="69"/>
      <c r="T459" s="70">
        <f t="shared" si="245"/>
        <v>0.232589048378522</v>
      </c>
      <c r="U459" s="69"/>
      <c r="V459" s="69"/>
      <c r="W459" s="71">
        <f t="shared" si="241"/>
        <v>186.817384370016</v>
      </c>
      <c r="X459" s="72">
        <f t="shared" si="246"/>
        <v>2.59805688463583</v>
      </c>
      <c r="Y459" s="72"/>
      <c r="Z459" s="72"/>
      <c r="AA459" s="72">
        <f t="shared" si="242"/>
        <v>2.59805688463583</v>
      </c>
      <c r="AB459" s="81">
        <v>7.11</v>
      </c>
      <c r="AC459" s="69">
        <f t="shared" si="239"/>
        <v>18.4721844497608</v>
      </c>
      <c r="AD459" s="69">
        <f t="shared" si="237"/>
        <v>205.289568819777</v>
      </c>
      <c r="AE459" s="69">
        <f t="shared" si="243"/>
        <v>52.1104311802233</v>
      </c>
    </row>
    <row r="460" customFormat="1" spans="1:31">
      <c r="A460" s="19"/>
      <c r="B460" s="20"/>
      <c r="C460" s="21">
        <v>241014000008</v>
      </c>
      <c r="D460" s="22">
        <v>45587</v>
      </c>
      <c r="E460" s="22" t="s">
        <v>66</v>
      </c>
      <c r="F460" s="20" t="s">
        <v>67</v>
      </c>
      <c r="G460" s="20" t="s">
        <v>360</v>
      </c>
      <c r="H460" s="20">
        <v>3</v>
      </c>
      <c r="I460" s="50"/>
      <c r="J460" s="46">
        <v>46920</v>
      </c>
      <c r="K460" s="41"/>
      <c r="L460" s="47">
        <f>SUM(J460/M460)</f>
        <v>1635.41303590101</v>
      </c>
      <c r="M460" s="48">
        <v>28.69</v>
      </c>
      <c r="N460" s="42">
        <v>7.11</v>
      </c>
      <c r="O460" s="43">
        <f>SUM(M460*N460)</f>
        <v>203.9859</v>
      </c>
      <c r="P460" s="45"/>
      <c r="Q460" s="45"/>
      <c r="R460" s="69">
        <f t="shared" si="244"/>
        <v>159.929824561404</v>
      </c>
      <c r="S460" s="69"/>
      <c r="T460" s="70">
        <f t="shared" si="245"/>
        <v>0.199362041467305</v>
      </c>
      <c r="U460" s="69"/>
      <c r="V460" s="69"/>
      <c r="W460" s="71">
        <f t="shared" si="241"/>
        <v>160.129186602871</v>
      </c>
      <c r="X460" s="72">
        <f t="shared" si="246"/>
        <v>2.22690590111643</v>
      </c>
      <c r="Y460" s="72"/>
      <c r="Z460" s="72"/>
      <c r="AA460" s="72">
        <f t="shared" si="242"/>
        <v>2.22690590111643</v>
      </c>
      <c r="AB460" s="81">
        <v>7.11</v>
      </c>
      <c r="AC460" s="69">
        <f t="shared" si="239"/>
        <v>15.8333009569378</v>
      </c>
      <c r="AD460" s="69">
        <f t="shared" si="237"/>
        <v>175.962487559809</v>
      </c>
      <c r="AE460" s="69">
        <f t="shared" si="243"/>
        <v>28.0234124401914</v>
      </c>
    </row>
    <row r="461" customFormat="1" spans="1:31">
      <c r="A461" s="19"/>
      <c r="B461" s="20"/>
      <c r="C461" s="21">
        <v>241014000009</v>
      </c>
      <c r="D461" s="22">
        <v>45587</v>
      </c>
      <c r="E461" s="22" t="s">
        <v>66</v>
      </c>
      <c r="F461" s="20" t="s">
        <v>67</v>
      </c>
      <c r="G461" s="20" t="s">
        <v>361</v>
      </c>
      <c r="H461" s="20">
        <v>30.5</v>
      </c>
      <c r="I461" s="39">
        <v>1769</v>
      </c>
      <c r="J461" s="40"/>
      <c r="K461" s="41"/>
      <c r="L461" s="20"/>
      <c r="M461" s="41"/>
      <c r="N461" s="42"/>
      <c r="O461" s="43">
        <f t="shared" si="249"/>
        <v>1769</v>
      </c>
      <c r="P461" s="45"/>
      <c r="Q461" s="45"/>
      <c r="R461" s="69">
        <f t="shared" si="244"/>
        <v>1625.95321637427</v>
      </c>
      <c r="S461" s="69"/>
      <c r="T461" s="70">
        <f t="shared" si="245"/>
        <v>2.02684742158426</v>
      </c>
      <c r="U461" s="69"/>
      <c r="V461" s="69"/>
      <c r="W461" s="71">
        <f t="shared" si="241"/>
        <v>1627.98006379585</v>
      </c>
      <c r="X461" s="72">
        <f t="shared" si="246"/>
        <v>22.6402099946837</v>
      </c>
      <c r="Y461" s="72"/>
      <c r="Z461" s="72"/>
      <c r="AA461" s="72">
        <f t="shared" si="242"/>
        <v>22.6402099946837</v>
      </c>
      <c r="AB461" s="81">
        <v>7.11</v>
      </c>
      <c r="AC461" s="69">
        <f t="shared" si="239"/>
        <v>160.971893062201</v>
      </c>
      <c r="AD461" s="69">
        <f t="shared" si="237"/>
        <v>1788.95195685805</v>
      </c>
      <c r="AE461" s="69">
        <f t="shared" si="243"/>
        <v>-19.9519568580542</v>
      </c>
    </row>
    <row r="462" customFormat="1" spans="1:31">
      <c r="A462" s="19"/>
      <c r="B462" s="20"/>
      <c r="C462" s="21">
        <v>241014000015</v>
      </c>
      <c r="D462" s="22">
        <v>45587</v>
      </c>
      <c r="E462" s="22" t="s">
        <v>66</v>
      </c>
      <c r="F462" s="20" t="s">
        <v>67</v>
      </c>
      <c r="G462" s="20" t="s">
        <v>362</v>
      </c>
      <c r="H462" s="20">
        <v>22</v>
      </c>
      <c r="I462" s="39">
        <v>1355</v>
      </c>
      <c r="J462" s="40"/>
      <c r="K462" s="41"/>
      <c r="L462" s="20"/>
      <c r="M462" s="41"/>
      <c r="N462" s="42"/>
      <c r="O462" s="43">
        <f t="shared" si="249"/>
        <v>1355</v>
      </c>
      <c r="P462" s="45"/>
      <c r="Q462" s="45"/>
      <c r="R462" s="69">
        <f t="shared" si="244"/>
        <v>1172.81871345029</v>
      </c>
      <c r="S462" s="69"/>
      <c r="T462" s="70">
        <f t="shared" si="245"/>
        <v>1.46198830409357</v>
      </c>
      <c r="U462" s="69"/>
      <c r="V462" s="69"/>
      <c r="W462" s="71">
        <f t="shared" si="241"/>
        <v>1174.28070175439</v>
      </c>
      <c r="X462" s="72">
        <f t="shared" si="246"/>
        <v>16.3306432748538</v>
      </c>
      <c r="Y462" s="72"/>
      <c r="Z462" s="72"/>
      <c r="AA462" s="72">
        <f t="shared" si="242"/>
        <v>16.3306432748538</v>
      </c>
      <c r="AB462" s="81">
        <v>7.11</v>
      </c>
      <c r="AC462" s="69">
        <f t="shared" si="239"/>
        <v>116.110873684211</v>
      </c>
      <c r="AD462" s="69">
        <f t="shared" si="237"/>
        <v>1290.3915754386</v>
      </c>
      <c r="AE462" s="69">
        <f t="shared" si="243"/>
        <v>64.6084245614034</v>
      </c>
    </row>
    <row r="463" customFormat="1" spans="1:31">
      <c r="A463" s="19"/>
      <c r="B463" s="20"/>
      <c r="C463" s="21">
        <v>241014000018</v>
      </c>
      <c r="D463" s="22">
        <v>45587</v>
      </c>
      <c r="E463" s="22" t="s">
        <v>41</v>
      </c>
      <c r="F463" s="20" t="s">
        <v>42</v>
      </c>
      <c r="G463" s="20" t="s">
        <v>363</v>
      </c>
      <c r="H463" s="20">
        <v>5.5</v>
      </c>
      <c r="I463" s="43"/>
      <c r="J463" s="46">
        <v>91560.15</v>
      </c>
      <c r="K463" s="41"/>
      <c r="L463" s="47">
        <f>SUM(J463/M463)</f>
        <v>1745</v>
      </c>
      <c r="M463" s="48">
        <v>52.47</v>
      </c>
      <c r="N463" s="42">
        <v>7.11</v>
      </c>
      <c r="O463" s="43">
        <f>SUM(M463*N463)</f>
        <v>373.0617</v>
      </c>
      <c r="P463" s="45"/>
      <c r="Q463" s="45"/>
      <c r="R463" s="69">
        <f t="shared" si="244"/>
        <v>293.204678362573</v>
      </c>
      <c r="S463" s="69"/>
      <c r="T463" s="70">
        <f t="shared" si="245"/>
        <v>0.365497076023392</v>
      </c>
      <c r="U463" s="69"/>
      <c r="V463" s="69"/>
      <c r="W463" s="71">
        <f t="shared" si="241"/>
        <v>293.570175438597</v>
      </c>
      <c r="X463" s="72">
        <f t="shared" si="246"/>
        <v>4.08266081871345</v>
      </c>
      <c r="Y463" s="72"/>
      <c r="Z463" s="72"/>
      <c r="AA463" s="72">
        <f t="shared" si="242"/>
        <v>4.08266081871345</v>
      </c>
      <c r="AB463" s="81">
        <v>7.11</v>
      </c>
      <c r="AC463" s="69">
        <f t="shared" si="239"/>
        <v>29.0277184210526</v>
      </c>
      <c r="AD463" s="69">
        <f t="shared" si="237"/>
        <v>322.597893859649</v>
      </c>
      <c r="AE463" s="69">
        <f t="shared" si="243"/>
        <v>50.4638061403508</v>
      </c>
    </row>
    <row r="464" customFormat="1" spans="1:31">
      <c r="A464" s="19"/>
      <c r="B464" s="20"/>
      <c r="C464" s="21">
        <v>241014000023</v>
      </c>
      <c r="D464" s="22">
        <v>45587</v>
      </c>
      <c r="E464" s="22" t="s">
        <v>66</v>
      </c>
      <c r="F464" s="20" t="s">
        <v>67</v>
      </c>
      <c r="G464" s="20" t="s">
        <v>364</v>
      </c>
      <c r="H464" s="20">
        <v>0.18</v>
      </c>
      <c r="I464" s="39">
        <v>88.2</v>
      </c>
      <c r="J464" s="40"/>
      <c r="K464" s="41"/>
      <c r="L464" s="20"/>
      <c r="M464" s="41"/>
      <c r="N464" s="42"/>
      <c r="O464" s="43">
        <f t="shared" ref="O464:O470" si="250">SUM(I464)</f>
        <v>88.2</v>
      </c>
      <c r="P464" s="45"/>
      <c r="Q464" s="45"/>
      <c r="R464" s="69">
        <f t="shared" si="244"/>
        <v>9.59578947368421</v>
      </c>
      <c r="S464" s="69"/>
      <c r="T464" s="70">
        <f t="shared" si="245"/>
        <v>0.0119617224880383</v>
      </c>
      <c r="U464" s="69"/>
      <c r="V464" s="69"/>
      <c r="W464" s="71">
        <f t="shared" si="241"/>
        <v>9.60775119617225</v>
      </c>
      <c r="X464" s="72">
        <f t="shared" si="246"/>
        <v>0.133614354066986</v>
      </c>
      <c r="Y464" s="72"/>
      <c r="Z464" s="72"/>
      <c r="AA464" s="72">
        <f t="shared" si="242"/>
        <v>0.133614354066986</v>
      </c>
      <c r="AB464" s="81">
        <v>7.11</v>
      </c>
      <c r="AC464" s="69">
        <f t="shared" si="239"/>
        <v>0.949998057416268</v>
      </c>
      <c r="AD464" s="69">
        <f t="shared" si="237"/>
        <v>10.5577492535885</v>
      </c>
      <c r="AE464" s="69">
        <f t="shared" si="243"/>
        <v>77.6422507464115</v>
      </c>
    </row>
    <row r="465" customFormat="1" spans="1:31">
      <c r="A465" s="19"/>
      <c r="B465" s="20"/>
      <c r="C465" s="21">
        <v>241014000029</v>
      </c>
      <c r="D465" s="22">
        <v>45587</v>
      </c>
      <c r="E465" s="22" t="s">
        <v>37</v>
      </c>
      <c r="F465" s="20" t="s">
        <v>38</v>
      </c>
      <c r="G465" s="20" t="s">
        <v>365</v>
      </c>
      <c r="H465" s="20">
        <v>1</v>
      </c>
      <c r="I465" s="39">
        <v>69.3</v>
      </c>
      <c r="J465" s="40"/>
      <c r="K465" s="41"/>
      <c r="L465" s="20"/>
      <c r="M465" s="41"/>
      <c r="N465" s="42"/>
      <c r="O465" s="43">
        <f t="shared" si="250"/>
        <v>69.3</v>
      </c>
      <c r="P465" s="45"/>
      <c r="Q465" s="45"/>
      <c r="R465" s="69">
        <f t="shared" si="244"/>
        <v>53.3099415204678</v>
      </c>
      <c r="S465" s="69"/>
      <c r="T465" s="70">
        <f t="shared" si="245"/>
        <v>0.0664540138224349</v>
      </c>
      <c r="U465" s="69"/>
      <c r="V465" s="69"/>
      <c r="W465" s="71">
        <f t="shared" si="241"/>
        <v>53.3763955342903</v>
      </c>
      <c r="X465" s="72">
        <f t="shared" si="246"/>
        <v>0.742301967038809</v>
      </c>
      <c r="Y465" s="72"/>
      <c r="Z465" s="72"/>
      <c r="AA465" s="72">
        <f t="shared" si="242"/>
        <v>0.742301967038809</v>
      </c>
      <c r="AB465" s="81">
        <v>7.11</v>
      </c>
      <c r="AC465" s="69">
        <f t="shared" si="239"/>
        <v>5.27776698564593</v>
      </c>
      <c r="AD465" s="69">
        <f t="shared" si="237"/>
        <v>58.6541625199362</v>
      </c>
      <c r="AE465" s="69">
        <f t="shared" si="243"/>
        <v>10.6458374800638</v>
      </c>
    </row>
    <row r="466" customFormat="1" spans="1:31">
      <c r="A466" s="19"/>
      <c r="B466" s="20"/>
      <c r="C466" s="21">
        <v>241014000034</v>
      </c>
      <c r="D466" s="22">
        <v>45587</v>
      </c>
      <c r="E466" s="22" t="s">
        <v>37</v>
      </c>
      <c r="F466" s="20" t="s">
        <v>38</v>
      </c>
      <c r="G466" s="20" t="s">
        <v>366</v>
      </c>
      <c r="H466" s="20">
        <v>1.5</v>
      </c>
      <c r="I466" s="39">
        <v>148.8</v>
      </c>
      <c r="J466" s="40"/>
      <c r="K466" s="41"/>
      <c r="L466" s="20"/>
      <c r="M466" s="41"/>
      <c r="N466" s="42"/>
      <c r="O466" s="43">
        <f t="shared" si="250"/>
        <v>148.8</v>
      </c>
      <c r="P466" s="45"/>
      <c r="Q466" s="45"/>
      <c r="R466" s="69">
        <f t="shared" si="244"/>
        <v>79.9649122807018</v>
      </c>
      <c r="S466" s="69"/>
      <c r="T466" s="70">
        <f t="shared" si="245"/>
        <v>0.0996810207336523</v>
      </c>
      <c r="U466" s="69"/>
      <c r="V466" s="69"/>
      <c r="W466" s="71">
        <f t="shared" si="241"/>
        <v>80.0645933014354</v>
      </c>
      <c r="X466" s="72">
        <f t="shared" si="246"/>
        <v>1.11345295055821</v>
      </c>
      <c r="Y466" s="72"/>
      <c r="Z466" s="72"/>
      <c r="AA466" s="72">
        <f t="shared" si="242"/>
        <v>1.11345295055821</v>
      </c>
      <c r="AB466" s="81">
        <v>7.11</v>
      </c>
      <c r="AC466" s="69">
        <f t="shared" si="239"/>
        <v>7.9166504784689</v>
      </c>
      <c r="AD466" s="69">
        <f t="shared" si="237"/>
        <v>87.9812437799043</v>
      </c>
      <c r="AE466" s="69">
        <f t="shared" si="243"/>
        <v>60.8187562200957</v>
      </c>
    </row>
    <row r="467" customFormat="1" spans="1:31">
      <c r="A467" s="19"/>
      <c r="B467" s="20"/>
      <c r="C467" s="21">
        <v>241014000035</v>
      </c>
      <c r="D467" s="22">
        <v>45587</v>
      </c>
      <c r="E467" s="22" t="s">
        <v>37</v>
      </c>
      <c r="F467" s="20" t="s">
        <v>38</v>
      </c>
      <c r="G467" s="20" t="s">
        <v>367</v>
      </c>
      <c r="H467" s="20">
        <v>6.5</v>
      </c>
      <c r="I467" s="39">
        <v>414.1</v>
      </c>
      <c r="J467" s="40"/>
      <c r="K467" s="41"/>
      <c r="L467" s="20"/>
      <c r="M467" s="41"/>
      <c r="N467" s="42"/>
      <c r="O467" s="43">
        <f t="shared" si="250"/>
        <v>414.1</v>
      </c>
      <c r="P467" s="45"/>
      <c r="Q467" s="45"/>
      <c r="R467" s="69">
        <f t="shared" si="244"/>
        <v>346.514619883041</v>
      </c>
      <c r="S467" s="69"/>
      <c r="T467" s="70">
        <f t="shared" si="245"/>
        <v>0.431951089845827</v>
      </c>
      <c r="U467" s="69"/>
      <c r="V467" s="69"/>
      <c r="W467" s="71">
        <f t="shared" si="241"/>
        <v>346.946570972887</v>
      </c>
      <c r="X467" s="72">
        <f t="shared" si="246"/>
        <v>4.82496278575226</v>
      </c>
      <c r="Y467" s="72"/>
      <c r="Z467" s="72"/>
      <c r="AA467" s="72">
        <f t="shared" si="242"/>
        <v>4.82496278575226</v>
      </c>
      <c r="AB467" s="81">
        <v>7.11</v>
      </c>
      <c r="AC467" s="69">
        <f t="shared" si="239"/>
        <v>34.3054854066986</v>
      </c>
      <c r="AD467" s="69">
        <f t="shared" si="237"/>
        <v>381.252056379585</v>
      </c>
      <c r="AE467" s="69">
        <f t="shared" si="243"/>
        <v>32.8479436204147</v>
      </c>
    </row>
    <row r="468" customFormat="1" spans="1:31">
      <c r="A468" s="19"/>
      <c r="B468" s="20"/>
      <c r="C468" s="21">
        <v>241014000041</v>
      </c>
      <c r="D468" s="22">
        <v>45587</v>
      </c>
      <c r="E468" s="22" t="s">
        <v>55</v>
      </c>
      <c r="F468" s="20" t="s">
        <v>56</v>
      </c>
      <c r="G468" s="20" t="s">
        <v>152</v>
      </c>
      <c r="H468" s="20">
        <v>6</v>
      </c>
      <c r="I468" s="39">
        <v>487.2</v>
      </c>
      <c r="J468" s="40"/>
      <c r="K468" s="41"/>
      <c r="L468" s="20"/>
      <c r="M468" s="41"/>
      <c r="N468" s="42"/>
      <c r="O468" s="43">
        <f t="shared" si="250"/>
        <v>487.2</v>
      </c>
      <c r="P468" s="45"/>
      <c r="Q468" s="45"/>
      <c r="R468" s="69">
        <f t="shared" si="244"/>
        <v>319.859649122807</v>
      </c>
      <c r="S468" s="69"/>
      <c r="T468" s="70">
        <f t="shared" si="245"/>
        <v>0.398724082934609</v>
      </c>
      <c r="U468" s="69"/>
      <c r="V468" s="69"/>
      <c r="W468" s="71">
        <f t="shared" si="241"/>
        <v>320.258373205742</v>
      </c>
      <c r="X468" s="72">
        <f t="shared" si="246"/>
        <v>4.45381180223285</v>
      </c>
      <c r="Y468" s="72"/>
      <c r="Z468" s="72"/>
      <c r="AA468" s="72">
        <f t="shared" si="242"/>
        <v>4.45381180223285</v>
      </c>
      <c r="AB468" s="81">
        <v>7.11</v>
      </c>
      <c r="AC468" s="69">
        <f t="shared" si="239"/>
        <v>31.6666019138756</v>
      </c>
      <c r="AD468" s="69">
        <f t="shared" si="237"/>
        <v>351.924975119617</v>
      </c>
      <c r="AE468" s="69">
        <f t="shared" si="243"/>
        <v>135.275024880383</v>
      </c>
    </row>
    <row r="469" customFormat="1" spans="1:31">
      <c r="A469" s="19"/>
      <c r="B469" s="20"/>
      <c r="C469" s="21">
        <v>241014000043</v>
      </c>
      <c r="D469" s="22">
        <v>45587</v>
      </c>
      <c r="E469" s="22" t="s">
        <v>55</v>
      </c>
      <c r="F469" s="20" t="s">
        <v>56</v>
      </c>
      <c r="G469" s="20" t="s">
        <v>268</v>
      </c>
      <c r="H469" s="20">
        <v>3.5</v>
      </c>
      <c r="I469" s="39">
        <v>231.8</v>
      </c>
      <c r="J469" s="40"/>
      <c r="K469" s="41"/>
      <c r="L469" s="20"/>
      <c r="M469" s="41"/>
      <c r="N469" s="42"/>
      <c r="O469" s="43">
        <f t="shared" si="250"/>
        <v>231.8</v>
      </c>
      <c r="P469" s="45"/>
      <c r="Q469" s="45"/>
      <c r="R469" s="69">
        <f t="shared" si="244"/>
        <v>186.584795321637</v>
      </c>
      <c r="S469" s="69"/>
      <c r="T469" s="70">
        <f t="shared" si="245"/>
        <v>0.232589048378522</v>
      </c>
      <c r="U469" s="69"/>
      <c r="V469" s="69"/>
      <c r="W469" s="71">
        <f t="shared" si="241"/>
        <v>186.817384370016</v>
      </c>
      <c r="X469" s="72">
        <f t="shared" si="246"/>
        <v>2.59805688463583</v>
      </c>
      <c r="Y469" s="72"/>
      <c r="Z469" s="72"/>
      <c r="AA469" s="72">
        <f t="shared" si="242"/>
        <v>2.59805688463583</v>
      </c>
      <c r="AB469" s="81">
        <v>7.11</v>
      </c>
      <c r="AC469" s="69">
        <f t="shared" si="239"/>
        <v>18.4721844497608</v>
      </c>
      <c r="AD469" s="69">
        <f t="shared" si="237"/>
        <v>205.289568819777</v>
      </c>
      <c r="AE469" s="69">
        <f t="shared" si="243"/>
        <v>26.5104311802233</v>
      </c>
    </row>
    <row r="470" customFormat="1" spans="1:31">
      <c r="A470" s="19"/>
      <c r="B470" s="20"/>
      <c r="C470" s="21">
        <v>241014000048</v>
      </c>
      <c r="D470" s="22">
        <v>45587</v>
      </c>
      <c r="E470" s="22" t="s">
        <v>47</v>
      </c>
      <c r="F470" s="20" t="s">
        <v>47</v>
      </c>
      <c r="G470" s="20" t="s">
        <v>49</v>
      </c>
      <c r="H470" s="20">
        <v>38</v>
      </c>
      <c r="I470" s="39">
        <v>3007.2</v>
      </c>
      <c r="J470" s="40"/>
      <c r="K470" s="41"/>
      <c r="L470" s="20"/>
      <c r="M470" s="41"/>
      <c r="N470" s="42"/>
      <c r="O470" s="43">
        <f t="shared" si="250"/>
        <v>3007.2</v>
      </c>
      <c r="P470" s="45"/>
      <c r="Q470" s="45"/>
      <c r="R470" s="69">
        <f t="shared" si="244"/>
        <v>2025.77777777778</v>
      </c>
      <c r="S470" s="69"/>
      <c r="T470" s="70">
        <f t="shared" si="245"/>
        <v>2.52525252525252</v>
      </c>
      <c r="U470" s="70">
        <v>70</v>
      </c>
      <c r="V470" s="69"/>
      <c r="W470" s="71">
        <f t="shared" si="241"/>
        <v>2098.30303030303</v>
      </c>
      <c r="X470" s="72">
        <f t="shared" si="246"/>
        <v>28.2074747474747</v>
      </c>
      <c r="Y470" s="72"/>
      <c r="Z470" s="72"/>
      <c r="AA470" s="72">
        <f t="shared" si="242"/>
        <v>28.2074747474747</v>
      </c>
      <c r="AB470" s="81">
        <v>7.11</v>
      </c>
      <c r="AC470" s="69">
        <f t="shared" si="239"/>
        <v>200.555145454545</v>
      </c>
      <c r="AD470" s="69">
        <f t="shared" si="237"/>
        <v>2298.85817575758</v>
      </c>
      <c r="AE470" s="69">
        <f t="shared" si="243"/>
        <v>708.341824242424</v>
      </c>
    </row>
    <row r="471" customFormat="1" spans="1:31">
      <c r="A471" s="19"/>
      <c r="B471" s="20"/>
      <c r="C471" s="21">
        <v>241014000057</v>
      </c>
      <c r="D471" s="22">
        <v>45587</v>
      </c>
      <c r="E471" s="22" t="s">
        <v>41</v>
      </c>
      <c r="F471" s="20" t="s">
        <v>42</v>
      </c>
      <c r="G471" s="20" t="s">
        <v>225</v>
      </c>
      <c r="H471" s="20">
        <v>3</v>
      </c>
      <c r="I471" s="50"/>
      <c r="J471" s="46">
        <v>49245</v>
      </c>
      <c r="K471" s="41"/>
      <c r="L471" s="47">
        <f>SUM(J471/M471)</f>
        <v>1739.4913458142</v>
      </c>
      <c r="M471" s="48">
        <v>28.31</v>
      </c>
      <c r="N471" s="42">
        <v>7.11</v>
      </c>
      <c r="O471" s="43">
        <f>SUM(M471*N471)</f>
        <v>201.2841</v>
      </c>
      <c r="P471" s="45"/>
      <c r="Q471" s="45"/>
      <c r="R471" s="69">
        <f t="shared" si="244"/>
        <v>159.929824561404</v>
      </c>
      <c r="S471" s="69"/>
      <c r="T471" s="70">
        <f t="shared" si="245"/>
        <v>0.199362041467305</v>
      </c>
      <c r="U471" s="69"/>
      <c r="V471" s="69"/>
      <c r="W471" s="71">
        <f t="shared" si="241"/>
        <v>160.129186602871</v>
      </c>
      <c r="X471" s="72">
        <f t="shared" si="246"/>
        <v>2.22690590111643</v>
      </c>
      <c r="Y471" s="72"/>
      <c r="Z471" s="72"/>
      <c r="AA471" s="72">
        <f t="shared" si="242"/>
        <v>2.22690590111643</v>
      </c>
      <c r="AB471" s="81">
        <v>7.11</v>
      </c>
      <c r="AC471" s="69">
        <f t="shared" si="239"/>
        <v>15.8333009569378</v>
      </c>
      <c r="AD471" s="69">
        <f t="shared" si="237"/>
        <v>175.962487559809</v>
      </c>
      <c r="AE471" s="69">
        <f t="shared" si="243"/>
        <v>25.3216124401914</v>
      </c>
    </row>
    <row r="472" customFormat="1" spans="1:31">
      <c r="A472" s="19"/>
      <c r="B472" s="20"/>
      <c r="C472" s="21">
        <v>241014000067</v>
      </c>
      <c r="D472" s="22">
        <v>45587</v>
      </c>
      <c r="E472" s="22" t="s">
        <v>66</v>
      </c>
      <c r="F472" s="20" t="s">
        <v>67</v>
      </c>
      <c r="G472" s="20" t="s">
        <v>79</v>
      </c>
      <c r="H472" s="20">
        <v>2</v>
      </c>
      <c r="I472" s="39">
        <v>120</v>
      </c>
      <c r="J472" s="40"/>
      <c r="K472" s="41"/>
      <c r="L472" s="20"/>
      <c r="M472" s="41"/>
      <c r="N472" s="42"/>
      <c r="O472" s="43">
        <f t="shared" ref="O472:O475" si="251">SUM(I472)</f>
        <v>120</v>
      </c>
      <c r="P472" s="45"/>
      <c r="Q472" s="45"/>
      <c r="R472" s="69">
        <f t="shared" si="244"/>
        <v>106.619883040936</v>
      </c>
      <c r="S472" s="69"/>
      <c r="T472" s="70">
        <f t="shared" si="245"/>
        <v>0.13290802764487</v>
      </c>
      <c r="U472" s="69"/>
      <c r="V472" s="69"/>
      <c r="W472" s="71">
        <f t="shared" si="241"/>
        <v>106.752791068581</v>
      </c>
      <c r="X472" s="72">
        <f t="shared" si="246"/>
        <v>1.48460393407762</v>
      </c>
      <c r="Y472" s="72"/>
      <c r="Z472" s="72"/>
      <c r="AA472" s="72">
        <f t="shared" si="242"/>
        <v>1.48460393407762</v>
      </c>
      <c r="AB472" s="81">
        <v>7.11</v>
      </c>
      <c r="AC472" s="69">
        <f t="shared" si="239"/>
        <v>10.5555339712919</v>
      </c>
      <c r="AD472" s="69">
        <f t="shared" si="237"/>
        <v>117.308325039872</v>
      </c>
      <c r="AE472" s="69">
        <f t="shared" si="243"/>
        <v>2.69167496012759</v>
      </c>
    </row>
    <row r="473" customFormat="1" spans="1:31">
      <c r="A473" s="19"/>
      <c r="B473" s="20"/>
      <c r="C473" s="21">
        <v>241015000006</v>
      </c>
      <c r="D473" s="22">
        <v>45587</v>
      </c>
      <c r="E473" s="22" t="s">
        <v>66</v>
      </c>
      <c r="F473" s="20" t="s">
        <v>67</v>
      </c>
      <c r="G473" s="20" t="s">
        <v>79</v>
      </c>
      <c r="H473" s="20">
        <v>1.5</v>
      </c>
      <c r="I473" s="39">
        <v>90</v>
      </c>
      <c r="J473" s="40"/>
      <c r="K473" s="41"/>
      <c r="L473" s="20"/>
      <c r="M473" s="41"/>
      <c r="N473" s="42"/>
      <c r="O473" s="43">
        <f t="shared" si="251"/>
        <v>90</v>
      </c>
      <c r="P473" s="45"/>
      <c r="Q473" s="45"/>
      <c r="R473" s="69">
        <f t="shared" si="244"/>
        <v>79.9649122807018</v>
      </c>
      <c r="S473" s="69"/>
      <c r="T473" s="70">
        <f t="shared" si="245"/>
        <v>0.0996810207336523</v>
      </c>
      <c r="U473" s="69"/>
      <c r="V473" s="69"/>
      <c r="W473" s="71">
        <f t="shared" si="241"/>
        <v>80.0645933014354</v>
      </c>
      <c r="X473" s="72">
        <f t="shared" si="246"/>
        <v>1.11345295055821</v>
      </c>
      <c r="Y473" s="72"/>
      <c r="Z473" s="72"/>
      <c r="AA473" s="72">
        <f t="shared" si="242"/>
        <v>1.11345295055821</v>
      </c>
      <c r="AB473" s="81">
        <v>7.11</v>
      </c>
      <c r="AC473" s="69">
        <f t="shared" si="239"/>
        <v>7.9166504784689</v>
      </c>
      <c r="AD473" s="69">
        <f t="shared" si="237"/>
        <v>87.9812437799043</v>
      </c>
      <c r="AE473" s="69">
        <f t="shared" si="243"/>
        <v>2.0187562200957</v>
      </c>
    </row>
    <row r="474" customFormat="1" spans="1:31">
      <c r="A474" s="19"/>
      <c r="B474" s="20"/>
      <c r="C474" s="21">
        <v>241015000008</v>
      </c>
      <c r="D474" s="22">
        <v>45587</v>
      </c>
      <c r="E474" s="22" t="s">
        <v>66</v>
      </c>
      <c r="F474" s="20" t="s">
        <v>67</v>
      </c>
      <c r="G474" s="20" t="s">
        <v>257</v>
      </c>
      <c r="H474" s="20">
        <v>4</v>
      </c>
      <c r="I474" s="39">
        <v>293.7</v>
      </c>
      <c r="J474" s="40"/>
      <c r="K474" s="41"/>
      <c r="L474" s="20"/>
      <c r="M474" s="41"/>
      <c r="N474" s="42"/>
      <c r="O474" s="43">
        <f t="shared" si="251"/>
        <v>293.7</v>
      </c>
      <c r="P474" s="45"/>
      <c r="Q474" s="45"/>
      <c r="R474" s="69">
        <f t="shared" si="244"/>
        <v>213.239766081871</v>
      </c>
      <c r="S474" s="69"/>
      <c r="T474" s="70">
        <f t="shared" si="245"/>
        <v>0.26581605528974</v>
      </c>
      <c r="U474" s="69"/>
      <c r="V474" s="69"/>
      <c r="W474" s="71">
        <f t="shared" si="241"/>
        <v>213.505582137161</v>
      </c>
      <c r="X474" s="72">
        <f t="shared" si="246"/>
        <v>2.96920786815524</v>
      </c>
      <c r="Y474" s="72"/>
      <c r="Z474" s="72"/>
      <c r="AA474" s="72">
        <f t="shared" si="242"/>
        <v>2.96920786815524</v>
      </c>
      <c r="AB474" s="81">
        <v>7.11</v>
      </c>
      <c r="AC474" s="69">
        <f t="shared" si="239"/>
        <v>21.1110679425837</v>
      </c>
      <c r="AD474" s="69">
        <f t="shared" ref="AD474:AD498" si="252">SUM(W474+AC474)</f>
        <v>234.616650079745</v>
      </c>
      <c r="AE474" s="69">
        <f t="shared" si="243"/>
        <v>59.0833499202552</v>
      </c>
    </row>
    <row r="475" customFormat="1" spans="1:31">
      <c r="A475" s="19"/>
      <c r="B475" s="20"/>
      <c r="C475" s="21">
        <v>241015000011</v>
      </c>
      <c r="D475" s="22">
        <v>45587</v>
      </c>
      <c r="E475" s="22" t="s">
        <v>66</v>
      </c>
      <c r="F475" s="20" t="s">
        <v>67</v>
      </c>
      <c r="G475" s="20" t="s">
        <v>368</v>
      </c>
      <c r="H475" s="20">
        <v>8</v>
      </c>
      <c r="I475" s="39">
        <v>561</v>
      </c>
      <c r="J475" s="40"/>
      <c r="K475" s="41"/>
      <c r="L475" s="20"/>
      <c r="M475" s="41"/>
      <c r="N475" s="42"/>
      <c r="O475" s="43">
        <f t="shared" si="251"/>
        <v>561</v>
      </c>
      <c r="P475" s="45"/>
      <c r="Q475" s="45"/>
      <c r="R475" s="69">
        <f t="shared" si="244"/>
        <v>426.479532163743</v>
      </c>
      <c r="S475" s="69"/>
      <c r="T475" s="70">
        <f t="shared" si="245"/>
        <v>0.531632110579479</v>
      </c>
      <c r="U475" s="69"/>
      <c r="V475" s="69"/>
      <c r="W475" s="71">
        <f t="shared" si="241"/>
        <v>427.011164274322</v>
      </c>
      <c r="X475" s="72">
        <f t="shared" si="246"/>
        <v>5.93841573631047</v>
      </c>
      <c r="Y475" s="72"/>
      <c r="Z475" s="72"/>
      <c r="AA475" s="72">
        <f t="shared" si="242"/>
        <v>5.93841573631047</v>
      </c>
      <c r="AB475" s="81">
        <v>7.11</v>
      </c>
      <c r="AC475" s="69">
        <f t="shared" ref="AC475:AC498" si="253">SUM(AA475*AB475)</f>
        <v>42.2221358851675</v>
      </c>
      <c r="AD475" s="69">
        <f t="shared" si="252"/>
        <v>469.23330015949</v>
      </c>
      <c r="AE475" s="69">
        <f t="shared" si="243"/>
        <v>91.7666998405103</v>
      </c>
    </row>
    <row r="476" customFormat="1" spans="1:31">
      <c r="A476" s="19"/>
      <c r="B476" s="20"/>
      <c r="C476" s="21">
        <v>241015000016</v>
      </c>
      <c r="D476" s="22">
        <v>45587</v>
      </c>
      <c r="E476" s="22" t="s">
        <v>55</v>
      </c>
      <c r="F476" s="20" t="s">
        <v>56</v>
      </c>
      <c r="G476" s="20" t="s">
        <v>123</v>
      </c>
      <c r="H476" s="20">
        <v>10</v>
      </c>
      <c r="I476" s="43"/>
      <c r="J476" s="40"/>
      <c r="K476" s="48">
        <v>91</v>
      </c>
      <c r="L476" s="20"/>
      <c r="M476" s="48">
        <v>91</v>
      </c>
      <c r="N476" s="42">
        <v>7.11</v>
      </c>
      <c r="O476" s="43">
        <f>SUM(M476*N476)</f>
        <v>647.01</v>
      </c>
      <c r="P476" s="45"/>
      <c r="Q476" s="45"/>
      <c r="R476" s="69">
        <f t="shared" si="244"/>
        <v>533.099415204678</v>
      </c>
      <c r="S476" s="69"/>
      <c r="T476" s="70">
        <f t="shared" si="245"/>
        <v>0.664540138224349</v>
      </c>
      <c r="U476" s="69"/>
      <c r="V476" s="69"/>
      <c r="W476" s="71">
        <f t="shared" si="241"/>
        <v>533.763955342903</v>
      </c>
      <c r="X476" s="72">
        <f t="shared" si="246"/>
        <v>7.42301967038809</v>
      </c>
      <c r="Y476" s="72"/>
      <c r="Z476" s="72"/>
      <c r="AA476" s="72">
        <f t="shared" si="242"/>
        <v>7.42301967038809</v>
      </c>
      <c r="AB476" s="81">
        <v>7.11</v>
      </c>
      <c r="AC476" s="69">
        <f t="shared" si="253"/>
        <v>52.7776698564593</v>
      </c>
      <c r="AD476" s="69">
        <f t="shared" si="252"/>
        <v>586.541625199362</v>
      </c>
      <c r="AE476" s="69">
        <f t="shared" si="243"/>
        <v>60.468374800638</v>
      </c>
    </row>
    <row r="477" customFormat="1" spans="1:31">
      <c r="A477" s="19"/>
      <c r="B477" s="20"/>
      <c r="C477" s="21">
        <v>241015000018</v>
      </c>
      <c r="D477" s="22">
        <v>45587</v>
      </c>
      <c r="E477" s="22" t="s">
        <v>240</v>
      </c>
      <c r="F477" s="20" t="s">
        <v>241</v>
      </c>
      <c r="G477" s="20" t="s">
        <v>222</v>
      </c>
      <c r="H477" s="20">
        <v>297.5</v>
      </c>
      <c r="I477" s="39">
        <v>17942.58</v>
      </c>
      <c r="J477" s="40"/>
      <c r="K477" s="41"/>
      <c r="L477" s="20"/>
      <c r="M477" s="41"/>
      <c r="N477" s="42"/>
      <c r="O477" s="43">
        <f t="shared" ref="O477:O483" si="254">SUM(I477)</f>
        <v>17942.58</v>
      </c>
      <c r="P477" s="45"/>
      <c r="Q477" s="45"/>
      <c r="R477" s="69">
        <f t="shared" si="244"/>
        <v>15859.7076023392</v>
      </c>
      <c r="S477" s="69"/>
      <c r="T477" s="70">
        <f t="shared" si="245"/>
        <v>19.7700691121744</v>
      </c>
      <c r="U477" s="69"/>
      <c r="V477" s="69"/>
      <c r="W477" s="71">
        <f t="shared" ref="W477:W497" si="255">SUM(R477:V477)</f>
        <v>15879.4776714514</v>
      </c>
      <c r="X477" s="72">
        <f t="shared" si="246"/>
        <v>220.834835194046</v>
      </c>
      <c r="Y477" s="72"/>
      <c r="Z477" s="72"/>
      <c r="AA477" s="72">
        <f t="shared" ref="AA477:AA498" si="256">SUM(X477:Z477)</f>
        <v>220.834835194046</v>
      </c>
      <c r="AB477" s="81">
        <v>7.11</v>
      </c>
      <c r="AC477" s="69">
        <f t="shared" si="253"/>
        <v>1570.13567822967</v>
      </c>
      <c r="AD477" s="69">
        <f t="shared" si="252"/>
        <v>17449.613349681</v>
      </c>
      <c r="AE477" s="69">
        <f t="shared" ref="AE477:AE498" si="257">SUM(O477-AD477)</f>
        <v>492.96665031898</v>
      </c>
    </row>
    <row r="478" customFormat="1" spans="1:31">
      <c r="A478" s="19"/>
      <c r="B478" s="20"/>
      <c r="C478" s="21">
        <v>241015000020</v>
      </c>
      <c r="D478" s="22">
        <v>45587</v>
      </c>
      <c r="E478" s="22" t="s">
        <v>41</v>
      </c>
      <c r="F478" s="20" t="s">
        <v>42</v>
      </c>
      <c r="G478" s="20" t="s">
        <v>369</v>
      </c>
      <c r="H478" s="20">
        <v>0.82</v>
      </c>
      <c r="I478" s="43"/>
      <c r="J478" s="46">
        <v>16229</v>
      </c>
      <c r="K478" s="41"/>
      <c r="L478" s="47">
        <f>SUM(J478/M478)</f>
        <v>1745.05376344086</v>
      </c>
      <c r="M478" s="48">
        <v>9.3</v>
      </c>
      <c r="N478" s="42">
        <v>7.11</v>
      </c>
      <c r="O478" s="43">
        <f>SUM(M478*N478)</f>
        <v>66.123</v>
      </c>
      <c r="P478" s="45"/>
      <c r="Q478" s="45"/>
      <c r="R478" s="69">
        <f t="shared" si="244"/>
        <v>43.7141520467836</v>
      </c>
      <c r="S478" s="69"/>
      <c r="T478" s="70">
        <f t="shared" si="245"/>
        <v>0.0544922913343966</v>
      </c>
      <c r="U478" s="69"/>
      <c r="V478" s="69"/>
      <c r="W478" s="71">
        <f t="shared" si="255"/>
        <v>43.768644338118</v>
      </c>
      <c r="X478" s="72">
        <f t="shared" si="246"/>
        <v>0.608687612971823</v>
      </c>
      <c r="Y478" s="72"/>
      <c r="Z478" s="72"/>
      <c r="AA478" s="72">
        <f t="shared" si="256"/>
        <v>0.608687612971823</v>
      </c>
      <c r="AB478" s="81">
        <v>7.11</v>
      </c>
      <c r="AC478" s="69">
        <f t="shared" si="253"/>
        <v>4.32776892822967</v>
      </c>
      <c r="AD478" s="69">
        <f t="shared" si="252"/>
        <v>48.0964132663477</v>
      </c>
      <c r="AE478" s="69">
        <f t="shared" si="257"/>
        <v>18.0265867336523</v>
      </c>
    </row>
    <row r="479" customFormat="1" spans="1:31">
      <c r="A479" s="19"/>
      <c r="B479" s="20"/>
      <c r="C479" s="82">
        <v>241015000023</v>
      </c>
      <c r="D479" s="83">
        <v>45587</v>
      </c>
      <c r="E479" s="22" t="s">
        <v>41</v>
      </c>
      <c r="F479" s="84" t="s">
        <v>42</v>
      </c>
      <c r="G479" s="84" t="s">
        <v>370</v>
      </c>
      <c r="H479" s="84">
        <v>7</v>
      </c>
      <c r="I479" s="39">
        <v>445</v>
      </c>
      <c r="J479" s="40"/>
      <c r="K479" s="41"/>
      <c r="L479" s="20"/>
      <c r="M479" s="41"/>
      <c r="N479" s="42"/>
      <c r="O479" s="43">
        <f t="shared" si="254"/>
        <v>445</v>
      </c>
      <c r="P479" s="45"/>
      <c r="Q479" s="45"/>
      <c r="R479" s="69">
        <f t="shared" ref="R479:R497" si="258">SUM(100276/1881)*H479</f>
        <v>373.169590643275</v>
      </c>
      <c r="S479" s="69"/>
      <c r="T479" s="70">
        <f t="shared" ref="T479:T497" si="259">SUM(125/1881)*H479</f>
        <v>0.465178096757044</v>
      </c>
      <c r="U479" s="69"/>
      <c r="V479" s="69"/>
      <c r="W479" s="71">
        <f t="shared" si="255"/>
        <v>373.634768740032</v>
      </c>
      <c r="X479" s="72">
        <f t="shared" ref="X479:X497" si="260">SUM(1396.27/1881)*H479</f>
        <v>5.19611376927166</v>
      </c>
      <c r="Y479" s="72"/>
      <c r="Z479" s="72"/>
      <c r="AA479" s="72">
        <f t="shared" si="256"/>
        <v>5.19611376927166</v>
      </c>
      <c r="AB479" s="81">
        <v>7.11</v>
      </c>
      <c r="AC479" s="69">
        <f t="shared" si="253"/>
        <v>36.9443688995215</v>
      </c>
      <c r="AD479" s="69">
        <f t="shared" si="252"/>
        <v>410.579137639553</v>
      </c>
      <c r="AE479" s="69">
        <f t="shared" si="257"/>
        <v>34.4208623604466</v>
      </c>
    </row>
    <row r="480" customFormat="1" spans="1:31">
      <c r="A480" s="19"/>
      <c r="B480" s="20"/>
      <c r="C480" s="21">
        <v>241015000024</v>
      </c>
      <c r="D480" s="22">
        <v>45587</v>
      </c>
      <c r="E480" s="22" t="s">
        <v>41</v>
      </c>
      <c r="F480" s="20" t="s">
        <v>42</v>
      </c>
      <c r="G480" s="20" t="s">
        <v>370</v>
      </c>
      <c r="H480" s="20">
        <v>5</v>
      </c>
      <c r="I480" s="39">
        <v>374</v>
      </c>
      <c r="J480" s="40"/>
      <c r="K480" s="41"/>
      <c r="L480" s="20"/>
      <c r="M480" s="41"/>
      <c r="N480" s="42"/>
      <c r="O480" s="43">
        <f t="shared" si="254"/>
        <v>374</v>
      </c>
      <c r="P480" s="45"/>
      <c r="Q480" s="45"/>
      <c r="R480" s="69">
        <f t="shared" si="258"/>
        <v>266.549707602339</v>
      </c>
      <c r="S480" s="69"/>
      <c r="T480" s="70">
        <f t="shared" si="259"/>
        <v>0.332270069112174</v>
      </c>
      <c r="U480" s="69"/>
      <c r="V480" s="69"/>
      <c r="W480" s="71">
        <f t="shared" si="255"/>
        <v>266.881977671451</v>
      </c>
      <c r="X480" s="72">
        <f t="shared" si="260"/>
        <v>3.71150983519405</v>
      </c>
      <c r="Y480" s="72">
        <v>4.36</v>
      </c>
      <c r="Z480" s="72"/>
      <c r="AA480" s="72">
        <f t="shared" si="256"/>
        <v>8.07150983519405</v>
      </c>
      <c r="AB480" s="81">
        <v>7.11</v>
      </c>
      <c r="AC480" s="69">
        <f t="shared" si="253"/>
        <v>57.3884349282297</v>
      </c>
      <c r="AD480" s="69">
        <f t="shared" si="252"/>
        <v>324.270412599681</v>
      </c>
      <c r="AE480" s="69">
        <f t="shared" si="257"/>
        <v>49.729587400319</v>
      </c>
    </row>
    <row r="481" customFormat="1" spans="1:31">
      <c r="A481" s="19"/>
      <c r="B481" s="20"/>
      <c r="C481" s="21">
        <v>241015000030</v>
      </c>
      <c r="D481" s="22">
        <v>45587</v>
      </c>
      <c r="E481" s="22" t="s">
        <v>37</v>
      </c>
      <c r="F481" s="20" t="s">
        <v>38</v>
      </c>
      <c r="G481" s="20" t="s">
        <v>371</v>
      </c>
      <c r="H481" s="20">
        <v>4</v>
      </c>
      <c r="I481" s="39">
        <v>267.3</v>
      </c>
      <c r="J481" s="40"/>
      <c r="K481" s="41"/>
      <c r="L481" s="20"/>
      <c r="M481" s="41"/>
      <c r="N481" s="42"/>
      <c r="O481" s="43">
        <f t="shared" si="254"/>
        <v>267.3</v>
      </c>
      <c r="P481" s="45"/>
      <c r="Q481" s="45"/>
      <c r="R481" s="69">
        <f t="shared" si="258"/>
        <v>213.239766081871</v>
      </c>
      <c r="S481" s="69"/>
      <c r="T481" s="70">
        <f t="shared" si="259"/>
        <v>0.26581605528974</v>
      </c>
      <c r="U481" s="69"/>
      <c r="V481" s="69"/>
      <c r="W481" s="71">
        <f t="shared" si="255"/>
        <v>213.505582137161</v>
      </c>
      <c r="X481" s="72">
        <f t="shared" si="260"/>
        <v>2.96920786815524</v>
      </c>
      <c r="Y481" s="72"/>
      <c r="Z481" s="72"/>
      <c r="AA481" s="72">
        <f t="shared" si="256"/>
        <v>2.96920786815524</v>
      </c>
      <c r="AB481" s="81">
        <v>7.11</v>
      </c>
      <c r="AC481" s="69">
        <f t="shared" si="253"/>
        <v>21.1110679425837</v>
      </c>
      <c r="AD481" s="69">
        <f t="shared" si="252"/>
        <v>234.616650079745</v>
      </c>
      <c r="AE481" s="69">
        <f t="shared" si="257"/>
        <v>32.6833499202552</v>
      </c>
    </row>
    <row r="482" customFormat="1" spans="1:31">
      <c r="A482" s="19"/>
      <c r="B482" s="20"/>
      <c r="C482" s="21">
        <v>241015000032</v>
      </c>
      <c r="D482" s="22">
        <v>45587</v>
      </c>
      <c r="E482" s="22" t="s">
        <v>47</v>
      </c>
      <c r="F482" s="20" t="s">
        <v>47</v>
      </c>
      <c r="G482" s="20" t="s">
        <v>372</v>
      </c>
      <c r="H482" s="20">
        <v>13.5</v>
      </c>
      <c r="I482" s="39">
        <v>891</v>
      </c>
      <c r="J482" s="40"/>
      <c r="K482" s="41"/>
      <c r="L482" s="20"/>
      <c r="M482" s="41"/>
      <c r="N482" s="42"/>
      <c r="O482" s="43">
        <f t="shared" si="254"/>
        <v>891</v>
      </c>
      <c r="P482" s="45"/>
      <c r="Q482" s="45"/>
      <c r="R482" s="69">
        <f t="shared" si="258"/>
        <v>719.684210526316</v>
      </c>
      <c r="S482" s="69"/>
      <c r="T482" s="70">
        <f t="shared" si="259"/>
        <v>0.897129186602871</v>
      </c>
      <c r="U482" s="69"/>
      <c r="V482" s="69"/>
      <c r="W482" s="71">
        <f t="shared" si="255"/>
        <v>720.581339712919</v>
      </c>
      <c r="X482" s="72">
        <f t="shared" si="260"/>
        <v>10.0210765550239</v>
      </c>
      <c r="Y482" s="72"/>
      <c r="Z482" s="72"/>
      <c r="AA482" s="72">
        <f t="shared" si="256"/>
        <v>10.0210765550239</v>
      </c>
      <c r="AB482" s="81">
        <v>7.11</v>
      </c>
      <c r="AC482" s="69">
        <f t="shared" si="253"/>
        <v>71.2498543062201</v>
      </c>
      <c r="AD482" s="69">
        <f t="shared" si="252"/>
        <v>791.831194019139</v>
      </c>
      <c r="AE482" s="69">
        <f t="shared" si="257"/>
        <v>99.1688059808612</v>
      </c>
    </row>
    <row r="483" customFormat="1" spans="1:31">
      <c r="A483" s="19"/>
      <c r="B483" s="20"/>
      <c r="C483" s="21">
        <v>241015000038</v>
      </c>
      <c r="D483" s="22">
        <v>45587</v>
      </c>
      <c r="E483" s="22" t="s">
        <v>66</v>
      </c>
      <c r="F483" s="20" t="s">
        <v>67</v>
      </c>
      <c r="G483" s="20" t="s">
        <v>373</v>
      </c>
      <c r="H483" s="20">
        <v>5</v>
      </c>
      <c r="I483" s="39">
        <v>335</v>
      </c>
      <c r="J483" s="40"/>
      <c r="K483" s="41"/>
      <c r="L483" s="20"/>
      <c r="M483" s="41"/>
      <c r="N483" s="42"/>
      <c r="O483" s="43">
        <f t="shared" si="254"/>
        <v>335</v>
      </c>
      <c r="P483" s="45"/>
      <c r="Q483" s="45"/>
      <c r="R483" s="69">
        <f t="shared" si="258"/>
        <v>266.549707602339</v>
      </c>
      <c r="S483" s="69"/>
      <c r="T483" s="70">
        <f t="shared" si="259"/>
        <v>0.332270069112174</v>
      </c>
      <c r="U483" s="69"/>
      <c r="V483" s="69"/>
      <c r="W483" s="71">
        <f t="shared" si="255"/>
        <v>266.881977671451</v>
      </c>
      <c r="X483" s="72">
        <f t="shared" si="260"/>
        <v>3.71150983519405</v>
      </c>
      <c r="Y483" s="72"/>
      <c r="Z483" s="72"/>
      <c r="AA483" s="72">
        <f t="shared" si="256"/>
        <v>3.71150983519405</v>
      </c>
      <c r="AB483" s="81">
        <v>7.11</v>
      </c>
      <c r="AC483" s="69">
        <f t="shared" si="253"/>
        <v>26.3888349282297</v>
      </c>
      <c r="AD483" s="69">
        <f t="shared" si="252"/>
        <v>293.270812599681</v>
      </c>
      <c r="AE483" s="69">
        <f t="shared" si="257"/>
        <v>41.729187400319</v>
      </c>
    </row>
    <row r="484" customFormat="1" spans="1:31">
      <c r="A484" s="19"/>
      <c r="B484" s="20"/>
      <c r="C484" s="21">
        <v>241015000056</v>
      </c>
      <c r="D484" s="22">
        <v>45587</v>
      </c>
      <c r="E484" s="22" t="s">
        <v>55</v>
      </c>
      <c r="F484" s="20" t="s">
        <v>56</v>
      </c>
      <c r="G484" s="20" t="s">
        <v>193</v>
      </c>
      <c r="H484" s="20">
        <v>0.39</v>
      </c>
      <c r="I484" s="43"/>
      <c r="J484" s="46">
        <v>21987</v>
      </c>
      <c r="K484" s="41"/>
      <c r="L484" s="47">
        <f>SUM(J484/M484)</f>
        <v>1745</v>
      </c>
      <c r="M484" s="48">
        <v>12.6</v>
      </c>
      <c r="N484" s="42">
        <v>7.11</v>
      </c>
      <c r="O484" s="43">
        <f>SUM(M484*N484)</f>
        <v>89.586</v>
      </c>
      <c r="P484" s="45"/>
      <c r="Q484" s="45"/>
      <c r="R484" s="69">
        <f t="shared" si="258"/>
        <v>20.7908771929825</v>
      </c>
      <c r="S484" s="69"/>
      <c r="T484" s="70">
        <f t="shared" si="259"/>
        <v>0.0259170653907496</v>
      </c>
      <c r="U484" s="69"/>
      <c r="V484" s="69"/>
      <c r="W484" s="71">
        <f t="shared" si="255"/>
        <v>20.8167942583732</v>
      </c>
      <c r="X484" s="72">
        <f t="shared" si="260"/>
        <v>0.289497767145136</v>
      </c>
      <c r="Y484" s="72"/>
      <c r="Z484" s="72"/>
      <c r="AA484" s="72">
        <f t="shared" si="256"/>
        <v>0.289497767145136</v>
      </c>
      <c r="AB484" s="81">
        <v>7.11</v>
      </c>
      <c r="AC484" s="69">
        <f t="shared" si="253"/>
        <v>2.05832912440191</v>
      </c>
      <c r="AD484" s="69">
        <f t="shared" si="252"/>
        <v>22.8751233827751</v>
      </c>
      <c r="AE484" s="69">
        <f t="shared" si="257"/>
        <v>66.7108766172249</v>
      </c>
    </row>
    <row r="485" customFormat="1" spans="1:31">
      <c r="A485" s="19"/>
      <c r="B485" s="20"/>
      <c r="C485" s="21">
        <v>241015000060</v>
      </c>
      <c r="D485" s="22">
        <v>45587</v>
      </c>
      <c r="E485" s="22" t="s">
        <v>37</v>
      </c>
      <c r="F485" s="20" t="s">
        <v>38</v>
      </c>
      <c r="G485" s="20" t="s">
        <v>374</v>
      </c>
      <c r="H485" s="20">
        <v>0.6</v>
      </c>
      <c r="I485" s="39">
        <v>150.8</v>
      </c>
      <c r="J485" s="40"/>
      <c r="K485" s="41"/>
      <c r="L485" s="20"/>
      <c r="M485" s="41"/>
      <c r="N485" s="42"/>
      <c r="O485" s="43">
        <f t="shared" ref="O485:O487" si="261">SUM(I485)</f>
        <v>150.8</v>
      </c>
      <c r="P485" s="45"/>
      <c r="Q485" s="45"/>
      <c r="R485" s="69">
        <f t="shared" si="258"/>
        <v>31.9859649122807</v>
      </c>
      <c r="S485" s="69"/>
      <c r="T485" s="70">
        <f t="shared" si="259"/>
        <v>0.0398724082934609</v>
      </c>
      <c r="U485" s="69"/>
      <c r="V485" s="69"/>
      <c r="W485" s="71">
        <f t="shared" si="255"/>
        <v>32.0258373205742</v>
      </c>
      <c r="X485" s="72">
        <f t="shared" si="260"/>
        <v>0.445381180223285</v>
      </c>
      <c r="Y485" s="72"/>
      <c r="Z485" s="72"/>
      <c r="AA485" s="72">
        <f t="shared" si="256"/>
        <v>0.445381180223285</v>
      </c>
      <c r="AB485" s="81">
        <v>7.11</v>
      </c>
      <c r="AC485" s="69">
        <f t="shared" si="253"/>
        <v>3.16666019138756</v>
      </c>
      <c r="AD485" s="69">
        <f t="shared" si="252"/>
        <v>35.1924975119617</v>
      </c>
      <c r="AE485" s="69">
        <f t="shared" si="257"/>
        <v>115.607502488038</v>
      </c>
    </row>
    <row r="486" customFormat="1" spans="1:31">
      <c r="A486" s="19"/>
      <c r="B486" s="20"/>
      <c r="C486" s="21">
        <v>241016000006</v>
      </c>
      <c r="D486" s="22">
        <v>45587</v>
      </c>
      <c r="E486" s="22" t="s">
        <v>66</v>
      </c>
      <c r="F486" s="20" t="s">
        <v>67</v>
      </c>
      <c r="G486" s="20" t="s">
        <v>206</v>
      </c>
      <c r="H486" s="20">
        <v>2</v>
      </c>
      <c r="I486" s="39">
        <v>148.5</v>
      </c>
      <c r="J486" s="40"/>
      <c r="K486" s="41"/>
      <c r="L486" s="20"/>
      <c r="M486" s="41"/>
      <c r="N486" s="42"/>
      <c r="O486" s="43">
        <f t="shared" si="261"/>
        <v>148.5</v>
      </c>
      <c r="P486" s="45"/>
      <c r="Q486" s="45"/>
      <c r="R486" s="69">
        <f t="shared" si="258"/>
        <v>106.619883040936</v>
      </c>
      <c r="S486" s="69"/>
      <c r="T486" s="70">
        <f t="shared" si="259"/>
        <v>0.13290802764487</v>
      </c>
      <c r="U486" s="69"/>
      <c r="V486" s="69"/>
      <c r="W486" s="71">
        <f t="shared" si="255"/>
        <v>106.752791068581</v>
      </c>
      <c r="X486" s="72">
        <f t="shared" si="260"/>
        <v>1.48460393407762</v>
      </c>
      <c r="Y486" s="72"/>
      <c r="Z486" s="72"/>
      <c r="AA486" s="72">
        <f t="shared" si="256"/>
        <v>1.48460393407762</v>
      </c>
      <c r="AB486" s="81">
        <v>7.11</v>
      </c>
      <c r="AC486" s="69">
        <f t="shared" si="253"/>
        <v>10.5555339712919</v>
      </c>
      <c r="AD486" s="69">
        <f t="shared" si="252"/>
        <v>117.308325039872</v>
      </c>
      <c r="AE486" s="69">
        <f t="shared" si="257"/>
        <v>31.1916749601276</v>
      </c>
    </row>
    <row r="487" customFormat="1" spans="1:31">
      <c r="A487" s="19"/>
      <c r="B487" s="20"/>
      <c r="C487" s="21">
        <v>241016000008</v>
      </c>
      <c r="D487" s="22">
        <v>45587</v>
      </c>
      <c r="E487" s="22" t="s">
        <v>41</v>
      </c>
      <c r="F487" s="20" t="s">
        <v>42</v>
      </c>
      <c r="G487" s="20" t="s">
        <v>99</v>
      </c>
      <c r="H487" s="20">
        <v>2</v>
      </c>
      <c r="I487" s="39">
        <v>132</v>
      </c>
      <c r="J487" s="40"/>
      <c r="K487" s="41"/>
      <c r="L487" s="20"/>
      <c r="M487" s="41"/>
      <c r="N487" s="42"/>
      <c r="O487" s="43">
        <f t="shared" si="261"/>
        <v>132</v>
      </c>
      <c r="P487" s="45"/>
      <c r="Q487" s="45"/>
      <c r="R487" s="69">
        <f t="shared" si="258"/>
        <v>106.619883040936</v>
      </c>
      <c r="S487" s="69"/>
      <c r="T487" s="70">
        <f t="shared" si="259"/>
        <v>0.13290802764487</v>
      </c>
      <c r="U487" s="69"/>
      <c r="V487" s="69"/>
      <c r="W487" s="71">
        <f t="shared" si="255"/>
        <v>106.752791068581</v>
      </c>
      <c r="X487" s="72">
        <f t="shared" si="260"/>
        <v>1.48460393407762</v>
      </c>
      <c r="Y487" s="72"/>
      <c r="Z487" s="72"/>
      <c r="AA487" s="72">
        <f t="shared" si="256"/>
        <v>1.48460393407762</v>
      </c>
      <c r="AB487" s="81">
        <v>7.11</v>
      </c>
      <c r="AC487" s="69">
        <f t="shared" si="253"/>
        <v>10.5555339712919</v>
      </c>
      <c r="AD487" s="69">
        <f t="shared" si="252"/>
        <v>117.308325039872</v>
      </c>
      <c r="AE487" s="69">
        <f t="shared" si="257"/>
        <v>14.6916749601276</v>
      </c>
    </row>
    <row r="488" customFormat="1" spans="1:31">
      <c r="A488" s="19"/>
      <c r="B488" s="20"/>
      <c r="C488" s="21">
        <v>241016000011</v>
      </c>
      <c r="D488" s="22">
        <v>45587</v>
      </c>
      <c r="E488" s="22" t="s">
        <v>41</v>
      </c>
      <c r="F488" s="20" t="s">
        <v>42</v>
      </c>
      <c r="G488" s="20" t="s">
        <v>375</v>
      </c>
      <c r="H488" s="20">
        <v>4.5</v>
      </c>
      <c r="I488" s="43"/>
      <c r="J488" s="46">
        <v>73813</v>
      </c>
      <c r="K488" s="41"/>
      <c r="L488" s="47">
        <f>SUM(J488/M488)</f>
        <v>1744.98817966903</v>
      </c>
      <c r="M488" s="48">
        <v>42.3</v>
      </c>
      <c r="N488" s="42">
        <v>7.11</v>
      </c>
      <c r="O488" s="43">
        <f>SUM(M488*N488)</f>
        <v>300.753</v>
      </c>
      <c r="P488" s="45"/>
      <c r="Q488" s="45"/>
      <c r="R488" s="69">
        <f t="shared" si="258"/>
        <v>239.894736842105</v>
      </c>
      <c r="S488" s="69"/>
      <c r="T488" s="70">
        <f t="shared" si="259"/>
        <v>0.299043062200957</v>
      </c>
      <c r="U488" s="69"/>
      <c r="V488" s="69"/>
      <c r="W488" s="71">
        <f t="shared" si="255"/>
        <v>240.193779904306</v>
      </c>
      <c r="X488" s="72">
        <f t="shared" si="260"/>
        <v>3.34035885167464</v>
      </c>
      <c r="Y488" s="72"/>
      <c r="Z488" s="72"/>
      <c r="AA488" s="72">
        <f t="shared" si="256"/>
        <v>3.34035885167464</v>
      </c>
      <c r="AB488" s="81">
        <v>7.11</v>
      </c>
      <c r="AC488" s="69">
        <f t="shared" si="253"/>
        <v>23.7499514354067</v>
      </c>
      <c r="AD488" s="69">
        <f t="shared" si="252"/>
        <v>263.943731339713</v>
      </c>
      <c r="AE488" s="69">
        <f t="shared" si="257"/>
        <v>36.809268660287</v>
      </c>
    </row>
    <row r="489" customFormat="1" spans="1:31">
      <c r="A489" s="19"/>
      <c r="B489" s="20"/>
      <c r="C489" s="21">
        <v>241016000015</v>
      </c>
      <c r="D489" s="22">
        <v>45587</v>
      </c>
      <c r="E489" s="22" t="s">
        <v>240</v>
      </c>
      <c r="F489" s="20" t="s">
        <v>241</v>
      </c>
      <c r="G489" s="20" t="s">
        <v>221</v>
      </c>
      <c r="H489" s="20">
        <v>687</v>
      </c>
      <c r="I489" s="39">
        <v>38128.5</v>
      </c>
      <c r="J489" s="40"/>
      <c r="K489" s="41"/>
      <c r="L489" s="20"/>
      <c r="M489" s="41"/>
      <c r="N489" s="42"/>
      <c r="O489" s="43">
        <f t="shared" ref="O489:O496" si="262">SUM(I489)</f>
        <v>38128.5</v>
      </c>
      <c r="P489" s="45"/>
      <c r="Q489" s="45"/>
      <c r="R489" s="69">
        <f t="shared" si="258"/>
        <v>36623.9298245614</v>
      </c>
      <c r="S489" s="69"/>
      <c r="T489" s="70">
        <f t="shared" si="259"/>
        <v>45.6539074960128</v>
      </c>
      <c r="U489" s="69"/>
      <c r="V489" s="69"/>
      <c r="W489" s="71">
        <f t="shared" si="255"/>
        <v>36669.5837320574</v>
      </c>
      <c r="X489" s="72">
        <f t="shared" si="260"/>
        <v>509.961451355662</v>
      </c>
      <c r="Y489" s="72"/>
      <c r="Z489" s="72"/>
      <c r="AA489" s="72">
        <f t="shared" si="256"/>
        <v>509.961451355662</v>
      </c>
      <c r="AB489" s="81">
        <v>7.11</v>
      </c>
      <c r="AC489" s="69">
        <f t="shared" si="253"/>
        <v>3625.82591913876</v>
      </c>
      <c r="AD489" s="69">
        <f t="shared" si="252"/>
        <v>40295.4096511962</v>
      </c>
      <c r="AE489" s="69">
        <f t="shared" si="257"/>
        <v>-2166.90965119617</v>
      </c>
    </row>
    <row r="490" customFormat="1" spans="1:31">
      <c r="A490" s="19"/>
      <c r="B490" s="20"/>
      <c r="C490" s="21">
        <v>241016000018</v>
      </c>
      <c r="D490" s="22">
        <v>45587</v>
      </c>
      <c r="E490" s="22" t="s">
        <v>55</v>
      </c>
      <c r="F490" s="20" t="s">
        <v>56</v>
      </c>
      <c r="G490" s="20" t="s">
        <v>178</v>
      </c>
      <c r="H490" s="20">
        <v>3.5</v>
      </c>
      <c r="I490" s="39">
        <v>250</v>
      </c>
      <c r="J490" s="40"/>
      <c r="K490" s="41"/>
      <c r="L490" s="20"/>
      <c r="M490" s="41"/>
      <c r="N490" s="42"/>
      <c r="O490" s="43">
        <f t="shared" si="262"/>
        <v>250</v>
      </c>
      <c r="P490" s="45"/>
      <c r="Q490" s="45"/>
      <c r="R490" s="69">
        <f t="shared" si="258"/>
        <v>186.584795321637</v>
      </c>
      <c r="S490" s="69"/>
      <c r="T490" s="70">
        <f t="shared" si="259"/>
        <v>0.232589048378522</v>
      </c>
      <c r="U490" s="69"/>
      <c r="V490" s="69"/>
      <c r="W490" s="71">
        <f t="shared" si="255"/>
        <v>186.817384370016</v>
      </c>
      <c r="X490" s="72">
        <f t="shared" si="260"/>
        <v>2.59805688463583</v>
      </c>
      <c r="Y490" s="72">
        <v>2.25</v>
      </c>
      <c r="Z490" s="72"/>
      <c r="AA490" s="72">
        <f t="shared" si="256"/>
        <v>4.84805688463583</v>
      </c>
      <c r="AB490" s="81">
        <v>7.11</v>
      </c>
      <c r="AC490" s="69">
        <f t="shared" si="253"/>
        <v>34.4696844497608</v>
      </c>
      <c r="AD490" s="69">
        <f t="shared" si="252"/>
        <v>221.287068819777</v>
      </c>
      <c r="AE490" s="69">
        <f t="shared" si="257"/>
        <v>28.7129311802233</v>
      </c>
    </row>
    <row r="491" customFormat="1" spans="1:31">
      <c r="A491" s="19"/>
      <c r="B491" s="20"/>
      <c r="C491" s="21">
        <v>241016000019</v>
      </c>
      <c r="D491" s="22">
        <v>45587</v>
      </c>
      <c r="E491" s="22" t="s">
        <v>76</v>
      </c>
      <c r="F491" s="20" t="s">
        <v>77</v>
      </c>
      <c r="G491" s="20" t="s">
        <v>217</v>
      </c>
      <c r="H491" s="20">
        <v>110.5</v>
      </c>
      <c r="I491" s="50"/>
      <c r="J491" s="46">
        <v>1599802</v>
      </c>
      <c r="K491" s="41"/>
      <c r="L491" s="47">
        <f>SUM(J491/M491)</f>
        <v>1727.6666054709</v>
      </c>
      <c r="M491" s="48">
        <v>925.99</v>
      </c>
      <c r="N491" s="42">
        <v>7.11</v>
      </c>
      <c r="O491" s="43">
        <f>SUM(M491*N491)</f>
        <v>6583.7889</v>
      </c>
      <c r="P491" s="45"/>
      <c r="Q491" s="45"/>
      <c r="R491" s="69">
        <f t="shared" si="258"/>
        <v>5890.7485380117</v>
      </c>
      <c r="S491" s="69"/>
      <c r="T491" s="70">
        <f t="shared" si="259"/>
        <v>7.34316852737905</v>
      </c>
      <c r="U491" s="69"/>
      <c r="V491" s="69"/>
      <c r="W491" s="71">
        <f t="shared" si="255"/>
        <v>5898.09170653907</v>
      </c>
      <c r="X491" s="72">
        <f t="shared" si="260"/>
        <v>82.0243673577884</v>
      </c>
      <c r="Y491" s="72"/>
      <c r="Z491" s="72"/>
      <c r="AA491" s="72">
        <f t="shared" si="256"/>
        <v>82.0243673577884</v>
      </c>
      <c r="AB491" s="81">
        <v>7.11</v>
      </c>
      <c r="AC491" s="69">
        <f t="shared" si="253"/>
        <v>583.193251913876</v>
      </c>
      <c r="AD491" s="69">
        <f t="shared" si="252"/>
        <v>6481.28495845295</v>
      </c>
      <c r="AE491" s="69">
        <f t="shared" si="257"/>
        <v>102.503941547049</v>
      </c>
    </row>
    <row r="492" customFormat="1" spans="1:31">
      <c r="A492" s="19"/>
      <c r="B492" s="20"/>
      <c r="C492" s="21">
        <v>241016000021</v>
      </c>
      <c r="D492" s="22">
        <v>45587</v>
      </c>
      <c r="E492" s="22" t="s">
        <v>66</v>
      </c>
      <c r="F492" s="20" t="s">
        <v>67</v>
      </c>
      <c r="G492" s="20" t="s">
        <v>360</v>
      </c>
      <c r="H492" s="20">
        <v>12</v>
      </c>
      <c r="I492" s="39">
        <v>1180</v>
      </c>
      <c r="J492" s="40"/>
      <c r="K492" s="41"/>
      <c r="L492" s="20"/>
      <c r="M492" s="41"/>
      <c r="N492" s="42"/>
      <c r="O492" s="43">
        <f t="shared" si="262"/>
        <v>1180</v>
      </c>
      <c r="P492" s="45"/>
      <c r="Q492" s="45"/>
      <c r="R492" s="69">
        <f t="shared" si="258"/>
        <v>639.719298245614</v>
      </c>
      <c r="S492" s="69"/>
      <c r="T492" s="70">
        <f t="shared" si="259"/>
        <v>0.797448165869219</v>
      </c>
      <c r="U492" s="70">
        <v>40</v>
      </c>
      <c r="V492" s="69"/>
      <c r="W492" s="71">
        <f t="shared" si="255"/>
        <v>680.516746411483</v>
      </c>
      <c r="X492" s="72">
        <f t="shared" si="260"/>
        <v>8.90762360446571</v>
      </c>
      <c r="Y492" s="72"/>
      <c r="Z492" s="72"/>
      <c r="AA492" s="72">
        <f t="shared" si="256"/>
        <v>8.90762360446571</v>
      </c>
      <c r="AB492" s="81">
        <v>7.11</v>
      </c>
      <c r="AC492" s="69">
        <f t="shared" si="253"/>
        <v>63.3332038277512</v>
      </c>
      <c r="AD492" s="69">
        <f t="shared" si="252"/>
        <v>743.849950239234</v>
      </c>
      <c r="AE492" s="69">
        <f t="shared" si="257"/>
        <v>436.150049760766</v>
      </c>
    </row>
    <row r="493" customFormat="1" spans="1:31">
      <c r="A493" s="19"/>
      <c r="B493" s="20"/>
      <c r="C493" s="21">
        <v>241016000022</v>
      </c>
      <c r="D493" s="22">
        <v>45587</v>
      </c>
      <c r="E493" s="22" t="s">
        <v>66</v>
      </c>
      <c r="F493" s="20" t="s">
        <v>67</v>
      </c>
      <c r="G493" s="20" t="s">
        <v>360</v>
      </c>
      <c r="H493" s="20">
        <v>51</v>
      </c>
      <c r="I493" s="39">
        <v>4687.5</v>
      </c>
      <c r="J493" s="40"/>
      <c r="K493" s="41"/>
      <c r="L493" s="20"/>
      <c r="M493" s="41"/>
      <c r="N493" s="42"/>
      <c r="O493" s="43">
        <f t="shared" si="262"/>
        <v>4687.5</v>
      </c>
      <c r="P493" s="45"/>
      <c r="Q493" s="45"/>
      <c r="R493" s="69">
        <f t="shared" si="258"/>
        <v>2718.80701754386</v>
      </c>
      <c r="S493" s="69"/>
      <c r="T493" s="70">
        <f t="shared" si="259"/>
        <v>3.38915470494418</v>
      </c>
      <c r="U493" s="70">
        <v>150</v>
      </c>
      <c r="V493" s="69"/>
      <c r="W493" s="71">
        <f t="shared" si="255"/>
        <v>2872.1961722488</v>
      </c>
      <c r="X493" s="72">
        <f t="shared" si="260"/>
        <v>37.8574003189793</v>
      </c>
      <c r="Y493" s="72"/>
      <c r="Z493" s="72"/>
      <c r="AA493" s="72">
        <f t="shared" si="256"/>
        <v>37.8574003189793</v>
      </c>
      <c r="AB493" s="81">
        <v>7.11</v>
      </c>
      <c r="AC493" s="69">
        <f t="shared" si="253"/>
        <v>269.166116267943</v>
      </c>
      <c r="AD493" s="69">
        <f t="shared" si="252"/>
        <v>3141.36228851675</v>
      </c>
      <c r="AE493" s="69">
        <f t="shared" si="257"/>
        <v>1546.13771148325</v>
      </c>
    </row>
    <row r="494" customFormat="1" spans="1:31">
      <c r="A494" s="19"/>
      <c r="B494" s="20"/>
      <c r="C494" s="21">
        <v>241016000025</v>
      </c>
      <c r="D494" s="22">
        <v>45587</v>
      </c>
      <c r="E494" s="22" t="s">
        <v>66</v>
      </c>
      <c r="F494" s="20" t="s">
        <v>67</v>
      </c>
      <c r="G494" s="20" t="s">
        <v>360</v>
      </c>
      <c r="H494" s="20">
        <v>31</v>
      </c>
      <c r="I494" s="39">
        <v>2015</v>
      </c>
      <c r="J494" s="40"/>
      <c r="K494" s="41"/>
      <c r="L494" s="20"/>
      <c r="M494" s="41"/>
      <c r="N494" s="42"/>
      <c r="O494" s="43">
        <f t="shared" si="262"/>
        <v>2015</v>
      </c>
      <c r="P494" s="45"/>
      <c r="Q494" s="45"/>
      <c r="R494" s="69">
        <f t="shared" si="258"/>
        <v>1652.6081871345</v>
      </c>
      <c r="S494" s="69"/>
      <c r="T494" s="70">
        <f t="shared" si="259"/>
        <v>2.06007442849548</v>
      </c>
      <c r="U494" s="69"/>
      <c r="V494" s="69"/>
      <c r="W494" s="71">
        <f t="shared" si="255"/>
        <v>1654.668261563</v>
      </c>
      <c r="X494" s="72">
        <f t="shared" si="260"/>
        <v>23.0113609782031</v>
      </c>
      <c r="Y494" s="72"/>
      <c r="Z494" s="72"/>
      <c r="AA494" s="72">
        <f t="shared" si="256"/>
        <v>23.0113609782031</v>
      </c>
      <c r="AB494" s="81">
        <v>7.11</v>
      </c>
      <c r="AC494" s="69">
        <f t="shared" si="253"/>
        <v>163.610776555024</v>
      </c>
      <c r="AD494" s="69">
        <f t="shared" si="252"/>
        <v>1818.27903811802</v>
      </c>
      <c r="AE494" s="69">
        <f t="shared" si="257"/>
        <v>196.720961881978</v>
      </c>
    </row>
    <row r="495" customFormat="1" spans="1:31">
      <c r="A495" s="19"/>
      <c r="B495" s="20"/>
      <c r="C495" s="21">
        <v>241016000039</v>
      </c>
      <c r="D495" s="22">
        <v>45587</v>
      </c>
      <c r="E495" s="22" t="s">
        <v>66</v>
      </c>
      <c r="F495" s="20" t="s">
        <v>67</v>
      </c>
      <c r="G495" s="20" t="s">
        <v>73</v>
      </c>
      <c r="H495" s="20">
        <v>0.4</v>
      </c>
      <c r="I495" s="39">
        <v>85</v>
      </c>
      <c r="J495" s="40"/>
      <c r="K495" s="41"/>
      <c r="L495" s="20"/>
      <c r="M495" s="41"/>
      <c r="N495" s="42"/>
      <c r="O495" s="43">
        <f t="shared" si="262"/>
        <v>85</v>
      </c>
      <c r="P495" s="45"/>
      <c r="Q495" s="45"/>
      <c r="R495" s="69">
        <f t="shared" si="258"/>
        <v>21.3239766081871</v>
      </c>
      <c r="S495" s="69"/>
      <c r="T495" s="70">
        <f t="shared" si="259"/>
        <v>0.026581605528974</v>
      </c>
      <c r="U495" s="69"/>
      <c r="V495" s="69"/>
      <c r="W495" s="71">
        <f t="shared" si="255"/>
        <v>21.3505582137161</v>
      </c>
      <c r="X495" s="72">
        <f t="shared" si="260"/>
        <v>0.296920786815524</v>
      </c>
      <c r="Y495" s="72">
        <v>3.51</v>
      </c>
      <c r="Z495" s="72"/>
      <c r="AA495" s="72">
        <f t="shared" si="256"/>
        <v>3.80692078681552</v>
      </c>
      <c r="AB495" s="81">
        <v>7.11</v>
      </c>
      <c r="AC495" s="69">
        <f t="shared" si="253"/>
        <v>27.0672067942584</v>
      </c>
      <c r="AD495" s="69">
        <f t="shared" si="252"/>
        <v>48.4177650079745</v>
      </c>
      <c r="AE495" s="69">
        <f t="shared" si="257"/>
        <v>36.5822349920255</v>
      </c>
    </row>
    <row r="496" customFormat="1" spans="1:31">
      <c r="A496" s="19"/>
      <c r="B496" s="20"/>
      <c r="C496" s="21">
        <v>241016000040</v>
      </c>
      <c r="D496" s="22">
        <v>45587</v>
      </c>
      <c r="E496" s="22" t="s">
        <v>66</v>
      </c>
      <c r="F496" s="20" t="s">
        <v>67</v>
      </c>
      <c r="G496" s="20" t="s">
        <v>170</v>
      </c>
      <c r="H496" s="20">
        <v>1</v>
      </c>
      <c r="I496" s="39">
        <v>112.2</v>
      </c>
      <c r="J496" s="40"/>
      <c r="K496" s="41"/>
      <c r="L496" s="20"/>
      <c r="M496" s="41"/>
      <c r="N496" s="42"/>
      <c r="O496" s="43">
        <f t="shared" si="262"/>
        <v>112.2</v>
      </c>
      <c r="P496" s="45"/>
      <c r="Q496" s="45"/>
      <c r="R496" s="69">
        <f t="shared" si="258"/>
        <v>53.3099415204678</v>
      </c>
      <c r="S496" s="69"/>
      <c r="T496" s="70">
        <f t="shared" si="259"/>
        <v>0.0664540138224349</v>
      </c>
      <c r="U496" s="69"/>
      <c r="V496" s="69"/>
      <c r="W496" s="71">
        <f t="shared" si="255"/>
        <v>53.3763955342903</v>
      </c>
      <c r="X496" s="72">
        <f t="shared" si="260"/>
        <v>0.742301967038809</v>
      </c>
      <c r="Y496" s="72"/>
      <c r="Z496" s="72"/>
      <c r="AA496" s="72">
        <f t="shared" si="256"/>
        <v>0.742301967038809</v>
      </c>
      <c r="AB496" s="81">
        <v>7.11</v>
      </c>
      <c r="AC496" s="69">
        <f t="shared" si="253"/>
        <v>5.27776698564593</v>
      </c>
      <c r="AD496" s="69">
        <f t="shared" si="252"/>
        <v>58.6541625199362</v>
      </c>
      <c r="AE496" s="69">
        <f t="shared" si="257"/>
        <v>53.5458374800638</v>
      </c>
    </row>
    <row r="497" customFormat="1" spans="1:31">
      <c r="A497" s="19"/>
      <c r="B497" s="20"/>
      <c r="C497" s="21">
        <v>241016000046</v>
      </c>
      <c r="D497" s="22">
        <v>45587</v>
      </c>
      <c r="E497" s="22" t="s">
        <v>240</v>
      </c>
      <c r="F497" s="20" t="s">
        <v>241</v>
      </c>
      <c r="G497" s="20" t="s">
        <v>319</v>
      </c>
      <c r="H497" s="20">
        <v>0.19</v>
      </c>
      <c r="I497" s="43"/>
      <c r="J497" s="46">
        <v>17078</v>
      </c>
      <c r="K497" s="41"/>
      <c r="L497" s="47">
        <f t="shared" ref="L497:L500" si="263">SUM(J497/M497)</f>
        <v>1725.05050505051</v>
      </c>
      <c r="M497" s="48">
        <v>9.9</v>
      </c>
      <c r="N497" s="42">
        <v>7.11</v>
      </c>
      <c r="O497" s="43">
        <f t="shared" ref="O497:O500" si="264">SUM(M497*N497)</f>
        <v>70.389</v>
      </c>
      <c r="P497" s="49"/>
      <c r="Q497" s="49"/>
      <c r="R497" s="69">
        <f t="shared" si="258"/>
        <v>10.1288888888889</v>
      </c>
      <c r="S497" s="69"/>
      <c r="T497" s="70">
        <f t="shared" si="259"/>
        <v>0.0126262626262626</v>
      </c>
      <c r="U497" s="69"/>
      <c r="V497" s="69"/>
      <c r="W497" s="71">
        <f t="shared" si="255"/>
        <v>10.1415151515152</v>
      </c>
      <c r="X497" s="72">
        <f t="shared" si="260"/>
        <v>0.141037373737374</v>
      </c>
      <c r="Y497" s="72"/>
      <c r="Z497" s="72"/>
      <c r="AA497" s="72">
        <f t="shared" si="256"/>
        <v>0.141037373737374</v>
      </c>
      <c r="AB497" s="81">
        <v>7.11</v>
      </c>
      <c r="AC497" s="69">
        <f t="shared" ref="AC497:AC544" si="265">SUM(AA497*AB497)</f>
        <v>1.00277572727273</v>
      </c>
      <c r="AD497" s="69">
        <f t="shared" ref="AD497:AD544" si="266">SUM(W497+AC497)</f>
        <v>11.1442908787879</v>
      </c>
      <c r="AE497" s="69">
        <f t="shared" ref="AE497:AE544" si="267">SUM(O497-AD497)</f>
        <v>59.2447091212121</v>
      </c>
    </row>
    <row r="498" customFormat="1" ht="15" spans="1:31">
      <c r="A498" s="19" t="s">
        <v>376</v>
      </c>
      <c r="B498" s="20" t="s">
        <v>377</v>
      </c>
      <c r="C498" s="21">
        <v>241016000031</v>
      </c>
      <c r="D498" s="22">
        <v>45585</v>
      </c>
      <c r="E498" s="22" t="s">
        <v>135</v>
      </c>
      <c r="F498" s="20" t="s">
        <v>136</v>
      </c>
      <c r="G498" s="20" t="s">
        <v>378</v>
      </c>
      <c r="H498" s="20">
        <v>1055</v>
      </c>
      <c r="I498" s="88">
        <v>57320</v>
      </c>
      <c r="J498" s="98"/>
      <c r="K498" s="41"/>
      <c r="L498" s="43"/>
      <c r="M498" s="41"/>
      <c r="N498" s="92"/>
      <c r="O498" s="93">
        <f t="shared" ref="O498:O504" si="268">SUM(I498)</f>
        <v>57320</v>
      </c>
      <c r="P498" s="101">
        <f>SUM(O498)</f>
        <v>57320</v>
      </c>
      <c r="Q498" s="101" t="s">
        <v>95</v>
      </c>
      <c r="R498" s="102">
        <v>44100</v>
      </c>
      <c r="S498" s="102"/>
      <c r="T498" s="103">
        <v>158.75</v>
      </c>
      <c r="U498" s="95"/>
      <c r="V498" s="95"/>
      <c r="W498" s="71">
        <f t="shared" ref="W498:W544" si="269">SUM(R498:V498)</f>
        <v>44258.75</v>
      </c>
      <c r="X498" s="96">
        <v>462.83</v>
      </c>
      <c r="Y498" s="96">
        <v>23.14</v>
      </c>
      <c r="Z498" s="96"/>
      <c r="AA498" s="72">
        <f t="shared" ref="AA498:AA544" si="270">SUM(X498:Z498)</f>
        <v>485.97</v>
      </c>
      <c r="AB498" s="81">
        <v>7.11</v>
      </c>
      <c r="AC498" s="69">
        <f t="shared" si="265"/>
        <v>3455.2467</v>
      </c>
      <c r="AD498" s="69">
        <f t="shared" si="266"/>
        <v>47713.9967</v>
      </c>
      <c r="AE498" s="69">
        <f t="shared" si="267"/>
        <v>9606.0033</v>
      </c>
    </row>
    <row r="499" customFormat="1" spans="1:31">
      <c r="A499" s="19" t="s">
        <v>379</v>
      </c>
      <c r="B499" s="20" t="s">
        <v>380</v>
      </c>
      <c r="C499" s="21">
        <v>241008000032</v>
      </c>
      <c r="D499" s="22">
        <v>45585</v>
      </c>
      <c r="E499" s="22" t="s">
        <v>66</v>
      </c>
      <c r="F499" s="20" t="s">
        <v>67</v>
      </c>
      <c r="G499" s="20" t="s">
        <v>381</v>
      </c>
      <c r="H499" s="20">
        <v>5.5</v>
      </c>
      <c r="I499" s="50"/>
      <c r="J499" s="46">
        <v>94325</v>
      </c>
      <c r="K499" s="41"/>
      <c r="L499" s="47">
        <f t="shared" si="263"/>
        <v>1742.24233468785</v>
      </c>
      <c r="M499" s="48">
        <v>54.14</v>
      </c>
      <c r="N499" s="42">
        <v>7.11</v>
      </c>
      <c r="O499" s="43">
        <f t="shared" si="264"/>
        <v>384.9354</v>
      </c>
      <c r="P499" s="44">
        <f>SUM(O499:O544)</f>
        <v>141325.2151</v>
      </c>
      <c r="Q499" s="44" t="s">
        <v>95</v>
      </c>
      <c r="R499" s="69">
        <f>SUM(108662/2504)*H499</f>
        <v>238.674520766773</v>
      </c>
      <c r="S499" s="69"/>
      <c r="T499" s="70">
        <f>SUM(167.75/2504)*H499</f>
        <v>0.368460463258786</v>
      </c>
      <c r="U499" s="69"/>
      <c r="V499" s="69"/>
      <c r="W499" s="71">
        <f t="shared" si="269"/>
        <v>239.042981230032</v>
      </c>
      <c r="X499" s="72">
        <f>SUM(1506.7/2504)*H499</f>
        <v>3.30944488817891</v>
      </c>
      <c r="Y499" s="72"/>
      <c r="Z499" s="72"/>
      <c r="AA499" s="72">
        <f t="shared" si="270"/>
        <v>3.30944488817891</v>
      </c>
      <c r="AB499" s="81">
        <v>7.11</v>
      </c>
      <c r="AC499" s="69">
        <f t="shared" si="265"/>
        <v>23.5301531549521</v>
      </c>
      <c r="AD499" s="69">
        <f t="shared" si="266"/>
        <v>262.573134384984</v>
      </c>
      <c r="AE499" s="69">
        <f t="shared" si="267"/>
        <v>122.362265615016</v>
      </c>
    </row>
    <row r="500" customFormat="1" spans="1:31">
      <c r="A500" s="19"/>
      <c r="B500" s="20"/>
      <c r="C500" s="21">
        <v>241009000009</v>
      </c>
      <c r="D500" s="22">
        <v>45585</v>
      </c>
      <c r="E500" s="22" t="s">
        <v>66</v>
      </c>
      <c r="F500" s="20" t="s">
        <v>67</v>
      </c>
      <c r="G500" s="20" t="s">
        <v>269</v>
      </c>
      <c r="H500" s="20">
        <v>5</v>
      </c>
      <c r="I500" s="50"/>
      <c r="J500" s="46">
        <v>67650</v>
      </c>
      <c r="K500" s="41"/>
      <c r="L500" s="47">
        <f t="shared" si="263"/>
        <v>1749.41815360745</v>
      </c>
      <c r="M500" s="48">
        <v>38.67</v>
      </c>
      <c r="N500" s="42">
        <v>7.11</v>
      </c>
      <c r="O500" s="43">
        <f t="shared" si="264"/>
        <v>274.9437</v>
      </c>
      <c r="P500" s="45"/>
      <c r="Q500" s="45"/>
      <c r="R500" s="69">
        <f t="shared" ref="R500:R544" si="271">SUM(108662/2504)*H500</f>
        <v>216.976837060703</v>
      </c>
      <c r="S500" s="69"/>
      <c r="T500" s="70">
        <f t="shared" ref="T500:T544" si="272">SUM(167.75/2504)*H500</f>
        <v>0.334964057507987</v>
      </c>
      <c r="U500" s="69"/>
      <c r="V500" s="69"/>
      <c r="W500" s="71">
        <f t="shared" si="269"/>
        <v>217.311801118211</v>
      </c>
      <c r="X500" s="72">
        <f t="shared" ref="X500:X544" si="273">SUM(1506.7/2504)*H500</f>
        <v>3.00858626198083</v>
      </c>
      <c r="Y500" s="72"/>
      <c r="Z500" s="72"/>
      <c r="AA500" s="72">
        <f t="shared" si="270"/>
        <v>3.00858626198083</v>
      </c>
      <c r="AB500" s="81">
        <v>7.11</v>
      </c>
      <c r="AC500" s="69">
        <f t="shared" si="265"/>
        <v>21.3910483226837</v>
      </c>
      <c r="AD500" s="69">
        <f t="shared" si="266"/>
        <v>238.702849440895</v>
      </c>
      <c r="AE500" s="69">
        <f t="shared" si="267"/>
        <v>36.2408505591054</v>
      </c>
    </row>
    <row r="501" customFormat="1" spans="1:31">
      <c r="A501" s="19"/>
      <c r="B501" s="20"/>
      <c r="C501" s="21">
        <v>241009000059</v>
      </c>
      <c r="D501" s="22">
        <v>45585</v>
      </c>
      <c r="E501" s="22" t="s">
        <v>66</v>
      </c>
      <c r="F501" s="20" t="s">
        <v>67</v>
      </c>
      <c r="G501" s="20" t="s">
        <v>79</v>
      </c>
      <c r="H501" s="20">
        <v>2</v>
      </c>
      <c r="I501" s="39">
        <v>110</v>
      </c>
      <c r="J501" s="40"/>
      <c r="K501" s="41"/>
      <c r="L501" s="20"/>
      <c r="M501" s="41"/>
      <c r="N501" s="42"/>
      <c r="O501" s="43">
        <f t="shared" si="268"/>
        <v>110</v>
      </c>
      <c r="P501" s="45"/>
      <c r="Q501" s="45"/>
      <c r="R501" s="69">
        <f t="shared" si="271"/>
        <v>86.7907348242811</v>
      </c>
      <c r="S501" s="69"/>
      <c r="T501" s="70">
        <f t="shared" si="272"/>
        <v>0.133985623003195</v>
      </c>
      <c r="U501" s="69"/>
      <c r="V501" s="69"/>
      <c r="W501" s="71">
        <f t="shared" si="269"/>
        <v>86.9247204472843</v>
      </c>
      <c r="X501" s="72">
        <f t="shared" si="273"/>
        <v>1.20343450479233</v>
      </c>
      <c r="Y501" s="72"/>
      <c r="Z501" s="72"/>
      <c r="AA501" s="72">
        <f t="shared" si="270"/>
        <v>1.20343450479233</v>
      </c>
      <c r="AB501" s="81">
        <v>7.11</v>
      </c>
      <c r="AC501" s="69">
        <f t="shared" si="265"/>
        <v>8.55641932907348</v>
      </c>
      <c r="AD501" s="69">
        <f t="shared" si="266"/>
        <v>95.4811397763578</v>
      </c>
      <c r="AE501" s="69">
        <f t="shared" si="267"/>
        <v>14.5188602236422</v>
      </c>
    </row>
    <row r="502" customFormat="1" spans="1:31">
      <c r="A502" s="19"/>
      <c r="B502" s="20"/>
      <c r="C502" s="21">
        <v>241010000020</v>
      </c>
      <c r="D502" s="22">
        <v>45585</v>
      </c>
      <c r="E502" s="22" t="s">
        <v>66</v>
      </c>
      <c r="F502" s="20" t="s">
        <v>67</v>
      </c>
      <c r="G502" s="20" t="s">
        <v>257</v>
      </c>
      <c r="H502" s="20">
        <v>12</v>
      </c>
      <c r="I502" s="39">
        <v>762</v>
      </c>
      <c r="J502" s="40"/>
      <c r="K502" s="41"/>
      <c r="L502" s="20"/>
      <c r="M502" s="41"/>
      <c r="N502" s="42"/>
      <c r="O502" s="43">
        <f t="shared" si="268"/>
        <v>762</v>
      </c>
      <c r="P502" s="45"/>
      <c r="Q502" s="45"/>
      <c r="R502" s="69">
        <f t="shared" si="271"/>
        <v>520.744408945687</v>
      </c>
      <c r="S502" s="69"/>
      <c r="T502" s="70">
        <f t="shared" si="272"/>
        <v>0.803913738019169</v>
      </c>
      <c r="U502" s="69"/>
      <c r="V502" s="69"/>
      <c r="W502" s="71">
        <f t="shared" si="269"/>
        <v>521.548322683706</v>
      </c>
      <c r="X502" s="72">
        <f t="shared" si="273"/>
        <v>7.22060702875399</v>
      </c>
      <c r="Y502" s="72"/>
      <c r="Z502" s="72"/>
      <c r="AA502" s="72">
        <f t="shared" si="270"/>
        <v>7.22060702875399</v>
      </c>
      <c r="AB502" s="81">
        <v>7.11</v>
      </c>
      <c r="AC502" s="69">
        <f t="shared" si="265"/>
        <v>51.3385159744409</v>
      </c>
      <c r="AD502" s="69">
        <f t="shared" si="266"/>
        <v>572.886838658147</v>
      </c>
      <c r="AE502" s="69">
        <f t="shared" si="267"/>
        <v>189.113161341853</v>
      </c>
    </row>
    <row r="503" customFormat="1" spans="1:31">
      <c r="A503" s="19"/>
      <c r="B503" s="20"/>
      <c r="C503" s="21">
        <v>241011000004</v>
      </c>
      <c r="D503" s="22">
        <v>45585</v>
      </c>
      <c r="E503" s="22" t="s">
        <v>66</v>
      </c>
      <c r="F503" s="20" t="s">
        <v>67</v>
      </c>
      <c r="G503" s="20" t="s">
        <v>257</v>
      </c>
      <c r="H503" s="20">
        <v>9.5</v>
      </c>
      <c r="I503" s="39">
        <v>626.5</v>
      </c>
      <c r="J503" s="40"/>
      <c r="K503" s="41"/>
      <c r="L503" s="20"/>
      <c r="M503" s="41"/>
      <c r="N503" s="42"/>
      <c r="O503" s="43">
        <f t="shared" si="268"/>
        <v>626.5</v>
      </c>
      <c r="P503" s="45"/>
      <c r="Q503" s="45"/>
      <c r="R503" s="69">
        <f t="shared" si="271"/>
        <v>412.255990415335</v>
      </c>
      <c r="S503" s="69"/>
      <c r="T503" s="70">
        <f t="shared" si="272"/>
        <v>0.636431709265176</v>
      </c>
      <c r="U503" s="69"/>
      <c r="V503" s="69"/>
      <c r="W503" s="71">
        <f t="shared" si="269"/>
        <v>412.892422124601</v>
      </c>
      <c r="X503" s="72">
        <f t="shared" si="273"/>
        <v>5.71631389776358</v>
      </c>
      <c r="Y503" s="72"/>
      <c r="Z503" s="72"/>
      <c r="AA503" s="72">
        <f t="shared" si="270"/>
        <v>5.71631389776358</v>
      </c>
      <c r="AB503" s="81">
        <v>7.11</v>
      </c>
      <c r="AC503" s="69">
        <f t="shared" si="265"/>
        <v>40.642991813099</v>
      </c>
      <c r="AD503" s="69">
        <f t="shared" si="266"/>
        <v>453.5354139377</v>
      </c>
      <c r="AE503" s="69">
        <f t="shared" si="267"/>
        <v>172.9645860623</v>
      </c>
    </row>
    <row r="504" customFormat="1" spans="1:31">
      <c r="A504" s="19"/>
      <c r="B504" s="20"/>
      <c r="C504" s="21">
        <v>241011000006</v>
      </c>
      <c r="D504" s="22">
        <v>45585</v>
      </c>
      <c r="E504" s="22" t="s">
        <v>66</v>
      </c>
      <c r="F504" s="20" t="s">
        <v>67</v>
      </c>
      <c r="G504" s="20" t="s">
        <v>84</v>
      </c>
      <c r="H504" s="20">
        <v>6</v>
      </c>
      <c r="I504" s="39">
        <v>380</v>
      </c>
      <c r="J504" s="40"/>
      <c r="K504" s="41"/>
      <c r="L504" s="20"/>
      <c r="M504" s="41"/>
      <c r="N504" s="42"/>
      <c r="O504" s="43">
        <f t="shared" si="268"/>
        <v>380</v>
      </c>
      <c r="P504" s="45"/>
      <c r="Q504" s="45"/>
      <c r="R504" s="69">
        <f t="shared" si="271"/>
        <v>260.372204472843</v>
      </c>
      <c r="S504" s="69"/>
      <c r="T504" s="70">
        <f t="shared" si="272"/>
        <v>0.401956869009585</v>
      </c>
      <c r="U504" s="69"/>
      <c r="V504" s="70">
        <v>50</v>
      </c>
      <c r="W504" s="71">
        <f t="shared" si="269"/>
        <v>310.774161341853</v>
      </c>
      <c r="X504" s="72">
        <f t="shared" si="273"/>
        <v>3.610303514377</v>
      </c>
      <c r="Y504" s="72"/>
      <c r="Z504" s="72"/>
      <c r="AA504" s="72">
        <f t="shared" si="270"/>
        <v>3.610303514377</v>
      </c>
      <c r="AB504" s="81">
        <v>7.11</v>
      </c>
      <c r="AC504" s="69">
        <f t="shared" si="265"/>
        <v>25.6692579872205</v>
      </c>
      <c r="AD504" s="69">
        <f t="shared" si="266"/>
        <v>336.443419329074</v>
      </c>
      <c r="AE504" s="69">
        <f t="shared" si="267"/>
        <v>43.5565806709265</v>
      </c>
    </row>
    <row r="505" customFormat="1" spans="1:31">
      <c r="A505" s="19"/>
      <c r="B505" s="20"/>
      <c r="C505" s="21">
        <v>241011000007</v>
      </c>
      <c r="D505" s="22">
        <v>45585</v>
      </c>
      <c r="E505" s="22" t="s">
        <v>37</v>
      </c>
      <c r="F505" s="20" t="s">
        <v>38</v>
      </c>
      <c r="G505" s="20" t="s">
        <v>382</v>
      </c>
      <c r="H505" s="20">
        <v>14.5</v>
      </c>
      <c r="I505" s="50"/>
      <c r="J505" s="46">
        <v>203130</v>
      </c>
      <c r="K505" s="41"/>
      <c r="L505" s="47">
        <f>SUM(J505/M505)</f>
        <v>1734.96754355996</v>
      </c>
      <c r="M505" s="48">
        <v>117.08</v>
      </c>
      <c r="N505" s="42">
        <v>7.11</v>
      </c>
      <c r="O505" s="43">
        <f>SUM(M505*N505)</f>
        <v>832.4388</v>
      </c>
      <c r="P505" s="45"/>
      <c r="Q505" s="45"/>
      <c r="R505" s="69">
        <f t="shared" si="271"/>
        <v>629.232827476038</v>
      </c>
      <c r="S505" s="69"/>
      <c r="T505" s="70">
        <f t="shared" si="272"/>
        <v>0.971395766773163</v>
      </c>
      <c r="U505" s="69"/>
      <c r="V505" s="69"/>
      <c r="W505" s="71">
        <f t="shared" si="269"/>
        <v>630.204223242812</v>
      </c>
      <c r="X505" s="72">
        <f t="shared" si="273"/>
        <v>8.72490015974441</v>
      </c>
      <c r="Y505" s="72"/>
      <c r="Z505" s="72"/>
      <c r="AA505" s="72">
        <f t="shared" si="270"/>
        <v>8.72490015974441</v>
      </c>
      <c r="AB505" s="81">
        <v>7.11</v>
      </c>
      <c r="AC505" s="69">
        <f t="shared" si="265"/>
        <v>62.0340401357828</v>
      </c>
      <c r="AD505" s="69">
        <f t="shared" si="266"/>
        <v>692.238263378594</v>
      </c>
      <c r="AE505" s="69">
        <f t="shared" si="267"/>
        <v>140.200536621406</v>
      </c>
    </row>
    <row r="506" customFormat="1" spans="1:31">
      <c r="A506" s="19"/>
      <c r="B506" s="20"/>
      <c r="C506" s="21">
        <v>241011000026</v>
      </c>
      <c r="D506" s="22">
        <v>45585</v>
      </c>
      <c r="E506" s="22" t="s">
        <v>66</v>
      </c>
      <c r="F506" s="20" t="s">
        <v>67</v>
      </c>
      <c r="G506" s="20" t="s">
        <v>304</v>
      </c>
      <c r="H506" s="20">
        <v>2</v>
      </c>
      <c r="I506" s="39">
        <v>135</v>
      </c>
      <c r="J506" s="40"/>
      <c r="K506" s="41"/>
      <c r="L506" s="20"/>
      <c r="M506" s="41"/>
      <c r="N506" s="42"/>
      <c r="O506" s="43">
        <f t="shared" ref="O506:O510" si="274">SUM(I506)</f>
        <v>135</v>
      </c>
      <c r="P506" s="45"/>
      <c r="Q506" s="45"/>
      <c r="R506" s="69">
        <f t="shared" si="271"/>
        <v>86.7907348242811</v>
      </c>
      <c r="S506" s="69"/>
      <c r="T506" s="70">
        <f t="shared" si="272"/>
        <v>0.133985623003195</v>
      </c>
      <c r="U506" s="69"/>
      <c r="V506" s="69"/>
      <c r="W506" s="71">
        <f t="shared" si="269"/>
        <v>86.9247204472843</v>
      </c>
      <c r="X506" s="72">
        <f t="shared" si="273"/>
        <v>1.20343450479233</v>
      </c>
      <c r="Y506" s="72"/>
      <c r="Z506" s="72"/>
      <c r="AA506" s="72">
        <f t="shared" si="270"/>
        <v>1.20343450479233</v>
      </c>
      <c r="AB506" s="81">
        <v>7.11</v>
      </c>
      <c r="AC506" s="69">
        <f t="shared" si="265"/>
        <v>8.55641932907348</v>
      </c>
      <c r="AD506" s="69">
        <f t="shared" si="266"/>
        <v>95.4811397763578</v>
      </c>
      <c r="AE506" s="69">
        <f t="shared" si="267"/>
        <v>39.5188602236422</v>
      </c>
    </row>
    <row r="507" customFormat="1" spans="1:31">
      <c r="A507" s="19"/>
      <c r="B507" s="20"/>
      <c r="C507" s="21">
        <v>241012000040</v>
      </c>
      <c r="D507" s="22">
        <v>45585</v>
      </c>
      <c r="E507" s="22" t="s">
        <v>66</v>
      </c>
      <c r="F507" s="20" t="s">
        <v>67</v>
      </c>
      <c r="G507" s="20" t="s">
        <v>295</v>
      </c>
      <c r="H507" s="20">
        <v>1.5</v>
      </c>
      <c r="I507" s="50"/>
      <c r="J507" s="46">
        <v>24990</v>
      </c>
      <c r="K507" s="41"/>
      <c r="L507" s="47">
        <f>SUM(J507/M507)</f>
        <v>1742.67782426778</v>
      </c>
      <c r="M507" s="48">
        <v>14.34</v>
      </c>
      <c r="N507" s="42">
        <v>7.11</v>
      </c>
      <c r="O507" s="43">
        <f>SUM(M507*N507)</f>
        <v>101.9574</v>
      </c>
      <c r="P507" s="45"/>
      <c r="Q507" s="45"/>
      <c r="R507" s="69">
        <f t="shared" si="271"/>
        <v>65.0930511182109</v>
      </c>
      <c r="S507" s="69"/>
      <c r="T507" s="70">
        <f t="shared" si="272"/>
        <v>0.100489217252396</v>
      </c>
      <c r="U507" s="69"/>
      <c r="V507" s="69"/>
      <c r="W507" s="71">
        <f t="shared" si="269"/>
        <v>65.1935403354633</v>
      </c>
      <c r="X507" s="72">
        <f t="shared" si="273"/>
        <v>0.902575878594249</v>
      </c>
      <c r="Y507" s="72"/>
      <c r="Z507" s="72"/>
      <c r="AA507" s="72">
        <f t="shared" si="270"/>
        <v>0.902575878594249</v>
      </c>
      <c r="AB507" s="81">
        <v>7.11</v>
      </c>
      <c r="AC507" s="69">
        <f t="shared" si="265"/>
        <v>6.41731449680511</v>
      </c>
      <c r="AD507" s="69">
        <f t="shared" si="266"/>
        <v>71.6108548322684</v>
      </c>
      <c r="AE507" s="69">
        <f t="shared" si="267"/>
        <v>30.3465451677316</v>
      </c>
    </row>
    <row r="508" customFormat="1" spans="1:31">
      <c r="A508" s="19"/>
      <c r="B508" s="20"/>
      <c r="C508" s="21">
        <v>241012000042</v>
      </c>
      <c r="D508" s="22">
        <v>45585</v>
      </c>
      <c r="E508" s="22" t="s">
        <v>66</v>
      </c>
      <c r="F508" s="20" t="s">
        <v>67</v>
      </c>
      <c r="G508" s="20" t="s">
        <v>360</v>
      </c>
      <c r="H508" s="20">
        <v>129</v>
      </c>
      <c r="I508" s="39">
        <v>8573</v>
      </c>
      <c r="J508" s="40"/>
      <c r="K508" s="41"/>
      <c r="L508" s="20"/>
      <c r="M508" s="41"/>
      <c r="N508" s="42"/>
      <c r="O508" s="43">
        <f t="shared" si="274"/>
        <v>8573</v>
      </c>
      <c r="P508" s="45"/>
      <c r="Q508" s="45"/>
      <c r="R508" s="69">
        <f t="shared" si="271"/>
        <v>5598.00239616613</v>
      </c>
      <c r="S508" s="69"/>
      <c r="T508" s="70">
        <f t="shared" si="272"/>
        <v>8.64207268370607</v>
      </c>
      <c r="U508" s="70">
        <v>370</v>
      </c>
      <c r="V508" s="69"/>
      <c r="W508" s="71">
        <f t="shared" si="269"/>
        <v>5976.64446884984</v>
      </c>
      <c r="X508" s="72">
        <f t="shared" si="273"/>
        <v>77.6215255591054</v>
      </c>
      <c r="Y508" s="72"/>
      <c r="Z508" s="72"/>
      <c r="AA508" s="72">
        <f t="shared" si="270"/>
        <v>77.6215255591054</v>
      </c>
      <c r="AB508" s="81">
        <v>7.11</v>
      </c>
      <c r="AC508" s="69">
        <f t="shared" si="265"/>
        <v>551.88904672524</v>
      </c>
      <c r="AD508" s="69">
        <f t="shared" si="266"/>
        <v>6528.53351557508</v>
      </c>
      <c r="AE508" s="69">
        <f t="shared" si="267"/>
        <v>2044.46648442492</v>
      </c>
    </row>
    <row r="509" customFormat="1" spans="1:31">
      <c r="A509" s="19"/>
      <c r="B509" s="20"/>
      <c r="C509" s="21">
        <v>241012000044</v>
      </c>
      <c r="D509" s="22">
        <v>45585</v>
      </c>
      <c r="E509" s="22" t="s">
        <v>66</v>
      </c>
      <c r="F509" s="20" t="s">
        <v>67</v>
      </c>
      <c r="G509" s="20" t="s">
        <v>383</v>
      </c>
      <c r="H509" s="20">
        <v>72</v>
      </c>
      <c r="I509" s="39">
        <v>3960</v>
      </c>
      <c r="J509" s="40"/>
      <c r="K509" s="41"/>
      <c r="L509" s="20"/>
      <c r="M509" s="41"/>
      <c r="N509" s="42"/>
      <c r="O509" s="43">
        <f t="shared" si="274"/>
        <v>3960</v>
      </c>
      <c r="P509" s="45"/>
      <c r="Q509" s="45"/>
      <c r="R509" s="69">
        <f t="shared" si="271"/>
        <v>3124.46645367412</v>
      </c>
      <c r="S509" s="69"/>
      <c r="T509" s="70">
        <f t="shared" si="272"/>
        <v>4.82348242811502</v>
      </c>
      <c r="U509" s="69"/>
      <c r="V509" s="69"/>
      <c r="W509" s="71">
        <f t="shared" si="269"/>
        <v>3129.28993610224</v>
      </c>
      <c r="X509" s="72">
        <f t="shared" si="273"/>
        <v>43.323642172524</v>
      </c>
      <c r="Y509" s="72"/>
      <c r="Z509" s="72"/>
      <c r="AA509" s="72">
        <f t="shared" si="270"/>
        <v>43.323642172524</v>
      </c>
      <c r="AB509" s="81">
        <v>7.11</v>
      </c>
      <c r="AC509" s="69">
        <f t="shared" si="265"/>
        <v>308.031095846645</v>
      </c>
      <c r="AD509" s="69">
        <f t="shared" si="266"/>
        <v>3437.32103194888</v>
      </c>
      <c r="AE509" s="69">
        <f t="shared" si="267"/>
        <v>522.678968051119</v>
      </c>
    </row>
    <row r="510" customFormat="1" spans="1:31">
      <c r="A510" s="19"/>
      <c r="B510" s="20"/>
      <c r="C510" s="21">
        <v>241012000046</v>
      </c>
      <c r="D510" s="22">
        <v>45585</v>
      </c>
      <c r="E510" s="22" t="s">
        <v>66</v>
      </c>
      <c r="F510" s="20" t="s">
        <v>67</v>
      </c>
      <c r="G510" s="20" t="s">
        <v>79</v>
      </c>
      <c r="H510" s="20">
        <v>0.39</v>
      </c>
      <c r="I510" s="39">
        <v>58</v>
      </c>
      <c r="J510" s="40"/>
      <c r="K510" s="41"/>
      <c r="L510" s="20"/>
      <c r="M510" s="41"/>
      <c r="N510" s="42"/>
      <c r="O510" s="43">
        <f t="shared" si="274"/>
        <v>58</v>
      </c>
      <c r="P510" s="45"/>
      <c r="Q510" s="45"/>
      <c r="R510" s="69">
        <f t="shared" si="271"/>
        <v>16.9241932907348</v>
      </c>
      <c r="S510" s="69"/>
      <c r="T510" s="70">
        <f t="shared" si="272"/>
        <v>0.026127196485623</v>
      </c>
      <c r="U510" s="69"/>
      <c r="V510" s="69"/>
      <c r="W510" s="71">
        <f t="shared" si="269"/>
        <v>16.9503204872204</v>
      </c>
      <c r="X510" s="72">
        <f t="shared" si="273"/>
        <v>0.234669728434505</v>
      </c>
      <c r="Y510" s="72"/>
      <c r="Z510" s="72"/>
      <c r="AA510" s="72">
        <f t="shared" si="270"/>
        <v>0.234669728434505</v>
      </c>
      <c r="AB510" s="81">
        <v>7.11</v>
      </c>
      <c r="AC510" s="69">
        <f t="shared" si="265"/>
        <v>1.66850176916933</v>
      </c>
      <c r="AD510" s="69">
        <f t="shared" si="266"/>
        <v>18.6188222563898</v>
      </c>
      <c r="AE510" s="69">
        <f t="shared" si="267"/>
        <v>39.3811777436102</v>
      </c>
    </row>
    <row r="511" customFormat="1" spans="1:31">
      <c r="A511" s="19"/>
      <c r="B511" s="20"/>
      <c r="C511" s="21">
        <v>241012000049</v>
      </c>
      <c r="D511" s="22">
        <v>45585</v>
      </c>
      <c r="E511" s="22" t="s">
        <v>66</v>
      </c>
      <c r="F511" s="20" t="s">
        <v>67</v>
      </c>
      <c r="G511" s="20" t="s">
        <v>130</v>
      </c>
      <c r="H511" s="20">
        <v>144.5</v>
      </c>
      <c r="I511" s="50"/>
      <c r="J511" s="46">
        <v>2124150</v>
      </c>
      <c r="K511" s="41"/>
      <c r="L511" s="47">
        <f>SUM(J511/M511)</f>
        <v>1741.96326061998</v>
      </c>
      <c r="M511" s="48">
        <v>1219.4</v>
      </c>
      <c r="N511" s="42">
        <v>7.11</v>
      </c>
      <c r="O511" s="43">
        <f>SUM(M511*N511)</f>
        <v>8669.934</v>
      </c>
      <c r="P511" s="45"/>
      <c r="Q511" s="45"/>
      <c r="R511" s="69">
        <f t="shared" si="271"/>
        <v>6270.63059105431</v>
      </c>
      <c r="S511" s="69"/>
      <c r="T511" s="70">
        <f t="shared" si="272"/>
        <v>9.68046126198083</v>
      </c>
      <c r="U511" s="69"/>
      <c r="V511" s="69"/>
      <c r="W511" s="71">
        <f t="shared" si="269"/>
        <v>6280.31105231629</v>
      </c>
      <c r="X511" s="72">
        <f t="shared" si="273"/>
        <v>86.948142971246</v>
      </c>
      <c r="Y511" s="72"/>
      <c r="Z511" s="72"/>
      <c r="AA511" s="72">
        <f t="shared" si="270"/>
        <v>86.948142971246</v>
      </c>
      <c r="AB511" s="81">
        <v>7.11</v>
      </c>
      <c r="AC511" s="69">
        <f t="shared" si="265"/>
        <v>618.201296525559</v>
      </c>
      <c r="AD511" s="69">
        <f t="shared" si="266"/>
        <v>6898.51234884185</v>
      </c>
      <c r="AE511" s="69">
        <f t="shared" si="267"/>
        <v>1771.42165115815</v>
      </c>
    </row>
    <row r="512" customFormat="1" spans="1:31">
      <c r="A512" s="19"/>
      <c r="B512" s="20"/>
      <c r="C512" s="21">
        <v>241013000004</v>
      </c>
      <c r="D512" s="22">
        <v>45585</v>
      </c>
      <c r="E512" s="22" t="s">
        <v>66</v>
      </c>
      <c r="F512" s="20" t="s">
        <v>67</v>
      </c>
      <c r="G512" s="20" t="s">
        <v>84</v>
      </c>
      <c r="H512" s="20">
        <v>12.5</v>
      </c>
      <c r="I512" s="39">
        <v>687.5</v>
      </c>
      <c r="J512" s="40"/>
      <c r="K512" s="41"/>
      <c r="L512" s="20"/>
      <c r="M512" s="41"/>
      <c r="N512" s="42"/>
      <c r="O512" s="43">
        <f t="shared" ref="O512:O515" si="275">SUM(I512)</f>
        <v>687.5</v>
      </c>
      <c r="P512" s="45"/>
      <c r="Q512" s="45"/>
      <c r="R512" s="69">
        <f t="shared" si="271"/>
        <v>542.442092651757</v>
      </c>
      <c r="S512" s="69"/>
      <c r="T512" s="70">
        <f t="shared" si="272"/>
        <v>0.837410143769968</v>
      </c>
      <c r="U512" s="69"/>
      <c r="V512" s="69"/>
      <c r="W512" s="71">
        <f t="shared" si="269"/>
        <v>543.279502795527</v>
      </c>
      <c r="X512" s="72">
        <f t="shared" si="273"/>
        <v>7.52146565495208</v>
      </c>
      <c r="Y512" s="72"/>
      <c r="Z512" s="72"/>
      <c r="AA512" s="72">
        <f t="shared" si="270"/>
        <v>7.52146565495208</v>
      </c>
      <c r="AB512" s="81">
        <v>7.11</v>
      </c>
      <c r="AC512" s="69">
        <f t="shared" si="265"/>
        <v>53.4776208067093</v>
      </c>
      <c r="AD512" s="69">
        <f t="shared" si="266"/>
        <v>596.757123602236</v>
      </c>
      <c r="AE512" s="69">
        <f t="shared" si="267"/>
        <v>90.7428763977636</v>
      </c>
    </row>
    <row r="513" customFormat="1" spans="1:31">
      <c r="A513" s="19"/>
      <c r="B513" s="20"/>
      <c r="C513" s="21">
        <v>241013000005</v>
      </c>
      <c r="D513" s="22">
        <v>45585</v>
      </c>
      <c r="E513" s="22" t="s">
        <v>66</v>
      </c>
      <c r="F513" s="20" t="s">
        <v>67</v>
      </c>
      <c r="G513" s="20" t="s">
        <v>384</v>
      </c>
      <c r="H513" s="20">
        <v>2</v>
      </c>
      <c r="I513" s="39">
        <v>120</v>
      </c>
      <c r="J513" s="40"/>
      <c r="K513" s="41"/>
      <c r="L513" s="20"/>
      <c r="M513" s="41"/>
      <c r="N513" s="42"/>
      <c r="O513" s="43">
        <f t="shared" si="275"/>
        <v>120</v>
      </c>
      <c r="P513" s="45"/>
      <c r="Q513" s="45"/>
      <c r="R513" s="69">
        <f t="shared" si="271"/>
        <v>86.7907348242811</v>
      </c>
      <c r="S513" s="69"/>
      <c r="T513" s="70">
        <f t="shared" si="272"/>
        <v>0.133985623003195</v>
      </c>
      <c r="U513" s="69"/>
      <c r="V513" s="69"/>
      <c r="W513" s="71">
        <f t="shared" si="269"/>
        <v>86.9247204472843</v>
      </c>
      <c r="X513" s="72">
        <f t="shared" si="273"/>
        <v>1.20343450479233</v>
      </c>
      <c r="Y513" s="72"/>
      <c r="Z513" s="72"/>
      <c r="AA513" s="72">
        <f t="shared" si="270"/>
        <v>1.20343450479233</v>
      </c>
      <c r="AB513" s="81">
        <v>7.11</v>
      </c>
      <c r="AC513" s="69">
        <f t="shared" si="265"/>
        <v>8.55641932907348</v>
      </c>
      <c r="AD513" s="69">
        <f t="shared" si="266"/>
        <v>95.4811397763578</v>
      </c>
      <c r="AE513" s="69">
        <f t="shared" si="267"/>
        <v>24.5188602236422</v>
      </c>
    </row>
    <row r="514" customFormat="1" spans="1:31">
      <c r="A514" s="19"/>
      <c r="B514" s="20"/>
      <c r="C514" s="21">
        <v>241014000002</v>
      </c>
      <c r="D514" s="22">
        <v>45585</v>
      </c>
      <c r="E514" s="22" t="s">
        <v>66</v>
      </c>
      <c r="F514" s="20" t="s">
        <v>67</v>
      </c>
      <c r="G514" s="20" t="s">
        <v>170</v>
      </c>
      <c r="H514" s="20">
        <v>5</v>
      </c>
      <c r="I514" s="39">
        <v>358.2</v>
      </c>
      <c r="J514" s="40"/>
      <c r="K514" s="41"/>
      <c r="L514" s="20"/>
      <c r="M514" s="41"/>
      <c r="N514" s="42"/>
      <c r="O514" s="43">
        <f t="shared" si="275"/>
        <v>358.2</v>
      </c>
      <c r="P514" s="45"/>
      <c r="Q514" s="45"/>
      <c r="R514" s="69">
        <f t="shared" si="271"/>
        <v>216.976837060703</v>
      </c>
      <c r="S514" s="69"/>
      <c r="T514" s="70">
        <f t="shared" si="272"/>
        <v>0.334964057507987</v>
      </c>
      <c r="U514" s="69"/>
      <c r="V514" s="69"/>
      <c r="W514" s="71">
        <f t="shared" si="269"/>
        <v>217.311801118211</v>
      </c>
      <c r="X514" s="72">
        <f t="shared" si="273"/>
        <v>3.00858626198083</v>
      </c>
      <c r="Y514" s="72"/>
      <c r="Z514" s="72"/>
      <c r="AA514" s="72">
        <f t="shared" si="270"/>
        <v>3.00858626198083</v>
      </c>
      <c r="AB514" s="81">
        <v>7.11</v>
      </c>
      <c r="AC514" s="69">
        <f t="shared" si="265"/>
        <v>21.3910483226837</v>
      </c>
      <c r="AD514" s="69">
        <f t="shared" si="266"/>
        <v>238.702849440895</v>
      </c>
      <c r="AE514" s="69">
        <f t="shared" si="267"/>
        <v>119.497150559105</v>
      </c>
    </row>
    <row r="515" customFormat="1" spans="1:31">
      <c r="A515" s="19"/>
      <c r="B515" s="20"/>
      <c r="C515" s="21">
        <v>241014000006</v>
      </c>
      <c r="D515" s="22">
        <v>45585</v>
      </c>
      <c r="E515" s="22" t="s">
        <v>66</v>
      </c>
      <c r="F515" s="20" t="s">
        <v>67</v>
      </c>
      <c r="G515" s="20" t="s">
        <v>257</v>
      </c>
      <c r="H515" s="20">
        <v>3.5</v>
      </c>
      <c r="I515" s="39">
        <v>234</v>
      </c>
      <c r="J515" s="40"/>
      <c r="K515" s="41"/>
      <c r="L515" s="20"/>
      <c r="M515" s="41"/>
      <c r="N515" s="42"/>
      <c r="O515" s="43">
        <f t="shared" si="275"/>
        <v>234</v>
      </c>
      <c r="P515" s="45"/>
      <c r="Q515" s="45"/>
      <c r="R515" s="69">
        <f t="shared" si="271"/>
        <v>151.883785942492</v>
      </c>
      <c r="S515" s="69"/>
      <c r="T515" s="70">
        <f t="shared" si="272"/>
        <v>0.234474840255591</v>
      </c>
      <c r="U515" s="69"/>
      <c r="V515" s="69"/>
      <c r="W515" s="71">
        <f t="shared" si="269"/>
        <v>152.118260782748</v>
      </c>
      <c r="X515" s="72">
        <f t="shared" si="273"/>
        <v>2.10601038338658</v>
      </c>
      <c r="Y515" s="72"/>
      <c r="Z515" s="72"/>
      <c r="AA515" s="72">
        <f t="shared" si="270"/>
        <v>2.10601038338658</v>
      </c>
      <c r="AB515" s="81">
        <v>7.11</v>
      </c>
      <c r="AC515" s="69">
        <f t="shared" si="265"/>
        <v>14.9737338258786</v>
      </c>
      <c r="AD515" s="69">
        <f t="shared" si="266"/>
        <v>167.091994608626</v>
      </c>
      <c r="AE515" s="69">
        <f t="shared" si="267"/>
        <v>66.9080053913738</v>
      </c>
    </row>
    <row r="516" customFormat="1" spans="1:31">
      <c r="A516" s="19"/>
      <c r="B516" s="20"/>
      <c r="C516" s="21">
        <v>241014000013</v>
      </c>
      <c r="D516" s="22">
        <v>45585</v>
      </c>
      <c r="E516" s="22" t="s">
        <v>66</v>
      </c>
      <c r="F516" s="20" t="s">
        <v>67</v>
      </c>
      <c r="G516" s="20" t="s">
        <v>325</v>
      </c>
      <c r="H516" s="20">
        <v>14.5</v>
      </c>
      <c r="I516" s="50"/>
      <c r="J516" s="46">
        <v>253760</v>
      </c>
      <c r="K516" s="41"/>
      <c r="L516" s="47">
        <f>SUM(J516/M516)</f>
        <v>1734.8738634033</v>
      </c>
      <c r="M516" s="48">
        <v>146.27</v>
      </c>
      <c r="N516" s="42">
        <v>7.11</v>
      </c>
      <c r="O516" s="43">
        <f>SUM(M516*N516)</f>
        <v>1039.9797</v>
      </c>
      <c r="P516" s="45"/>
      <c r="Q516" s="45"/>
      <c r="R516" s="69">
        <f t="shared" si="271"/>
        <v>629.232827476038</v>
      </c>
      <c r="S516" s="69"/>
      <c r="T516" s="70">
        <f t="shared" si="272"/>
        <v>0.971395766773163</v>
      </c>
      <c r="U516" s="69"/>
      <c r="V516" s="69"/>
      <c r="W516" s="71">
        <f t="shared" si="269"/>
        <v>630.204223242812</v>
      </c>
      <c r="X516" s="72">
        <f t="shared" si="273"/>
        <v>8.72490015974441</v>
      </c>
      <c r="Y516" s="72"/>
      <c r="Z516" s="72"/>
      <c r="AA516" s="72">
        <f t="shared" si="270"/>
        <v>8.72490015974441</v>
      </c>
      <c r="AB516" s="81">
        <v>7.11</v>
      </c>
      <c r="AC516" s="69">
        <f t="shared" si="265"/>
        <v>62.0340401357828</v>
      </c>
      <c r="AD516" s="69">
        <f t="shared" si="266"/>
        <v>692.238263378594</v>
      </c>
      <c r="AE516" s="69">
        <f t="shared" si="267"/>
        <v>347.741436621406</v>
      </c>
    </row>
    <row r="517" customFormat="1" spans="1:31">
      <c r="A517" s="19"/>
      <c r="B517" s="20"/>
      <c r="C517" s="21">
        <v>241014000014</v>
      </c>
      <c r="D517" s="22">
        <v>45585</v>
      </c>
      <c r="E517" s="22" t="s">
        <v>66</v>
      </c>
      <c r="F517" s="20" t="s">
        <v>67</v>
      </c>
      <c r="G517" s="20" t="s">
        <v>361</v>
      </c>
      <c r="H517" s="20">
        <v>25</v>
      </c>
      <c r="I517" s="39">
        <v>1337.5</v>
      </c>
      <c r="J517" s="40"/>
      <c r="K517" s="41"/>
      <c r="L517" s="20"/>
      <c r="M517" s="41"/>
      <c r="N517" s="42"/>
      <c r="O517" s="43">
        <f t="shared" ref="O517:O521" si="276">SUM(I517)</f>
        <v>1337.5</v>
      </c>
      <c r="P517" s="45"/>
      <c r="Q517" s="45"/>
      <c r="R517" s="69">
        <f t="shared" si="271"/>
        <v>1084.88418530351</v>
      </c>
      <c r="S517" s="69"/>
      <c r="T517" s="70">
        <f t="shared" si="272"/>
        <v>1.67482028753994</v>
      </c>
      <c r="U517" s="69"/>
      <c r="V517" s="69"/>
      <c r="W517" s="71">
        <f t="shared" si="269"/>
        <v>1086.55900559105</v>
      </c>
      <c r="X517" s="72">
        <f t="shared" si="273"/>
        <v>15.0429313099042</v>
      </c>
      <c r="Y517" s="72"/>
      <c r="Z517" s="72"/>
      <c r="AA517" s="72">
        <f t="shared" si="270"/>
        <v>15.0429313099042</v>
      </c>
      <c r="AB517" s="81">
        <v>7.11</v>
      </c>
      <c r="AC517" s="69">
        <f t="shared" si="265"/>
        <v>106.955241613419</v>
      </c>
      <c r="AD517" s="69">
        <f t="shared" si="266"/>
        <v>1193.51424720447</v>
      </c>
      <c r="AE517" s="69">
        <f t="shared" si="267"/>
        <v>143.985752795527</v>
      </c>
    </row>
    <row r="518" customFormat="1" spans="1:31">
      <c r="A518" s="19"/>
      <c r="B518" s="20"/>
      <c r="C518" s="21">
        <v>241014000017</v>
      </c>
      <c r="D518" s="22">
        <v>45585</v>
      </c>
      <c r="E518" s="22" t="s">
        <v>37</v>
      </c>
      <c r="F518" s="20" t="s">
        <v>38</v>
      </c>
      <c r="G518" s="20" t="s">
        <v>305</v>
      </c>
      <c r="H518" s="20">
        <v>0.46</v>
      </c>
      <c r="I518" s="50"/>
      <c r="J518" s="46">
        <v>14175</v>
      </c>
      <c r="K518" s="41"/>
      <c r="L518" s="47">
        <f>SUM(J518/M518)</f>
        <v>1599.88713318284</v>
      </c>
      <c r="M518" s="48">
        <v>8.86</v>
      </c>
      <c r="N518" s="42">
        <v>7.11</v>
      </c>
      <c r="O518" s="43">
        <f>SUM(M518*N518)</f>
        <v>62.9946</v>
      </c>
      <c r="P518" s="45"/>
      <c r="Q518" s="45"/>
      <c r="R518" s="69">
        <f t="shared" si="271"/>
        <v>19.9618690095847</v>
      </c>
      <c r="S518" s="69"/>
      <c r="T518" s="70">
        <f t="shared" si="272"/>
        <v>0.0308166932907348</v>
      </c>
      <c r="U518" s="69"/>
      <c r="V518" s="69"/>
      <c r="W518" s="71">
        <f t="shared" si="269"/>
        <v>19.9926857028754</v>
      </c>
      <c r="X518" s="72">
        <f t="shared" si="273"/>
        <v>0.276789936102236</v>
      </c>
      <c r="Y518" s="72"/>
      <c r="Z518" s="72"/>
      <c r="AA518" s="72">
        <f t="shared" si="270"/>
        <v>0.276789936102236</v>
      </c>
      <c r="AB518" s="81">
        <v>7.11</v>
      </c>
      <c r="AC518" s="69">
        <f t="shared" si="265"/>
        <v>1.9679764456869</v>
      </c>
      <c r="AD518" s="69">
        <f t="shared" si="266"/>
        <v>21.9606621485623</v>
      </c>
      <c r="AE518" s="69">
        <f t="shared" si="267"/>
        <v>41.0339378514377</v>
      </c>
    </row>
    <row r="519" customFormat="1" spans="1:31">
      <c r="A519" s="19"/>
      <c r="B519" s="20"/>
      <c r="C519" s="21">
        <v>241014000021</v>
      </c>
      <c r="D519" s="22">
        <v>45585</v>
      </c>
      <c r="E519" s="22" t="s">
        <v>66</v>
      </c>
      <c r="F519" s="20" t="s">
        <v>67</v>
      </c>
      <c r="G519" s="20" t="s">
        <v>364</v>
      </c>
      <c r="H519" s="20">
        <v>16.5</v>
      </c>
      <c r="I519" s="39">
        <v>942.5</v>
      </c>
      <c r="J519" s="40"/>
      <c r="K519" s="41"/>
      <c r="L519" s="20"/>
      <c r="M519" s="41"/>
      <c r="N519" s="42"/>
      <c r="O519" s="43">
        <f t="shared" si="276"/>
        <v>942.5</v>
      </c>
      <c r="P519" s="45"/>
      <c r="Q519" s="45"/>
      <c r="R519" s="69">
        <f t="shared" si="271"/>
        <v>716.023562300319</v>
      </c>
      <c r="S519" s="69"/>
      <c r="T519" s="70">
        <f t="shared" si="272"/>
        <v>1.10538138977636</v>
      </c>
      <c r="U519" s="69"/>
      <c r="V519" s="70">
        <v>35</v>
      </c>
      <c r="W519" s="71">
        <f t="shared" si="269"/>
        <v>752.128943690096</v>
      </c>
      <c r="X519" s="72">
        <f t="shared" si="273"/>
        <v>9.92833466453674</v>
      </c>
      <c r="Y519" s="72"/>
      <c r="Z519" s="72"/>
      <c r="AA519" s="72">
        <f t="shared" si="270"/>
        <v>9.92833466453674</v>
      </c>
      <c r="AB519" s="81">
        <v>7.11</v>
      </c>
      <c r="AC519" s="69">
        <f t="shared" si="265"/>
        <v>70.5904594648562</v>
      </c>
      <c r="AD519" s="69">
        <f t="shared" si="266"/>
        <v>822.719403154952</v>
      </c>
      <c r="AE519" s="69">
        <f t="shared" si="267"/>
        <v>119.780596845048</v>
      </c>
    </row>
    <row r="520" customFormat="1" spans="1:31">
      <c r="A520" s="19"/>
      <c r="B520" s="20"/>
      <c r="C520" s="82">
        <v>241014000030</v>
      </c>
      <c r="D520" s="83">
        <v>45585</v>
      </c>
      <c r="E520" s="22" t="s">
        <v>37</v>
      </c>
      <c r="F520" s="84" t="s">
        <v>38</v>
      </c>
      <c r="G520" s="84" t="s">
        <v>101</v>
      </c>
      <c r="H520" s="84">
        <v>3</v>
      </c>
      <c r="I520" s="39">
        <v>213</v>
      </c>
      <c r="J520" s="40"/>
      <c r="K520" s="41"/>
      <c r="L520" s="20"/>
      <c r="M520" s="41"/>
      <c r="N520" s="42"/>
      <c r="O520" s="43">
        <f t="shared" si="276"/>
        <v>213</v>
      </c>
      <c r="P520" s="45"/>
      <c r="Q520" s="45"/>
      <c r="R520" s="69">
        <f t="shared" si="271"/>
        <v>130.186102236422</v>
      </c>
      <c r="S520" s="69"/>
      <c r="T520" s="70">
        <f t="shared" si="272"/>
        <v>0.200978434504792</v>
      </c>
      <c r="U520" s="69"/>
      <c r="V520" s="69"/>
      <c r="W520" s="71">
        <f t="shared" si="269"/>
        <v>130.387080670927</v>
      </c>
      <c r="X520" s="72">
        <f t="shared" si="273"/>
        <v>1.8051517571885</v>
      </c>
      <c r="Y520" s="72"/>
      <c r="Z520" s="72"/>
      <c r="AA520" s="72">
        <f t="shared" si="270"/>
        <v>1.8051517571885</v>
      </c>
      <c r="AB520" s="81">
        <v>7.11</v>
      </c>
      <c r="AC520" s="69">
        <f t="shared" si="265"/>
        <v>12.8346289936102</v>
      </c>
      <c r="AD520" s="69">
        <f t="shared" si="266"/>
        <v>143.221709664537</v>
      </c>
      <c r="AE520" s="69">
        <f t="shared" si="267"/>
        <v>69.7782903354632</v>
      </c>
    </row>
    <row r="521" customFormat="1" spans="1:31">
      <c r="A521" s="19"/>
      <c r="B521" s="20"/>
      <c r="C521" s="21">
        <v>241014000031</v>
      </c>
      <c r="D521" s="22">
        <v>45585</v>
      </c>
      <c r="E521" s="22" t="s">
        <v>37</v>
      </c>
      <c r="F521" s="20" t="s">
        <v>38</v>
      </c>
      <c r="G521" s="20" t="s">
        <v>108</v>
      </c>
      <c r="H521" s="20">
        <v>4</v>
      </c>
      <c r="I521" s="39">
        <v>243</v>
      </c>
      <c r="J521" s="40"/>
      <c r="K521" s="41"/>
      <c r="L521" s="20"/>
      <c r="M521" s="41"/>
      <c r="N521" s="42"/>
      <c r="O521" s="43">
        <f t="shared" si="276"/>
        <v>243</v>
      </c>
      <c r="P521" s="45"/>
      <c r="Q521" s="45"/>
      <c r="R521" s="69">
        <f t="shared" si="271"/>
        <v>173.581469648562</v>
      </c>
      <c r="S521" s="69"/>
      <c r="T521" s="70">
        <f t="shared" si="272"/>
        <v>0.26797124600639</v>
      </c>
      <c r="U521" s="69"/>
      <c r="V521" s="69"/>
      <c r="W521" s="71">
        <f t="shared" si="269"/>
        <v>173.849440894569</v>
      </c>
      <c r="X521" s="72">
        <f t="shared" si="273"/>
        <v>2.40686900958466</v>
      </c>
      <c r="Y521" s="72"/>
      <c r="Z521" s="72"/>
      <c r="AA521" s="72">
        <f t="shared" si="270"/>
        <v>2.40686900958466</v>
      </c>
      <c r="AB521" s="81">
        <v>7.11</v>
      </c>
      <c r="AC521" s="69">
        <f t="shared" si="265"/>
        <v>17.112838658147</v>
      </c>
      <c r="AD521" s="69">
        <f t="shared" si="266"/>
        <v>190.962279552716</v>
      </c>
      <c r="AE521" s="69">
        <f t="shared" si="267"/>
        <v>52.0377204472844</v>
      </c>
    </row>
    <row r="522" customFormat="1" spans="1:31">
      <c r="A522" s="19"/>
      <c r="B522" s="20"/>
      <c r="C522" s="21">
        <v>241014000038</v>
      </c>
      <c r="D522" s="22">
        <v>45585</v>
      </c>
      <c r="E522" s="22" t="s">
        <v>55</v>
      </c>
      <c r="F522" s="20" t="s">
        <v>56</v>
      </c>
      <c r="G522" s="20" t="s">
        <v>385</v>
      </c>
      <c r="H522" s="20">
        <v>2</v>
      </c>
      <c r="I522" s="43"/>
      <c r="J522" s="46">
        <v>30712</v>
      </c>
      <c r="K522" s="41"/>
      <c r="L522" s="47">
        <f>SUM(J522/M522)</f>
        <v>1745</v>
      </c>
      <c r="M522" s="48">
        <v>17.6</v>
      </c>
      <c r="N522" s="42">
        <v>7.11</v>
      </c>
      <c r="O522" s="43">
        <f>SUM(M522*N522)</f>
        <v>125.136</v>
      </c>
      <c r="P522" s="45"/>
      <c r="Q522" s="45"/>
      <c r="R522" s="69">
        <f t="shared" si="271"/>
        <v>86.7907348242811</v>
      </c>
      <c r="S522" s="69"/>
      <c r="T522" s="70">
        <f t="shared" si="272"/>
        <v>0.133985623003195</v>
      </c>
      <c r="U522" s="69"/>
      <c r="V522" s="69"/>
      <c r="W522" s="71">
        <f t="shared" si="269"/>
        <v>86.9247204472843</v>
      </c>
      <c r="X522" s="72">
        <f t="shared" si="273"/>
        <v>1.20343450479233</v>
      </c>
      <c r="Y522" s="72"/>
      <c r="Z522" s="72"/>
      <c r="AA522" s="72">
        <f t="shared" si="270"/>
        <v>1.20343450479233</v>
      </c>
      <c r="AB522" s="81">
        <v>7.11</v>
      </c>
      <c r="AC522" s="69">
        <f t="shared" si="265"/>
        <v>8.55641932907348</v>
      </c>
      <c r="AD522" s="69">
        <f t="shared" si="266"/>
        <v>95.4811397763578</v>
      </c>
      <c r="AE522" s="69">
        <f t="shared" si="267"/>
        <v>29.6548602236422</v>
      </c>
    </row>
    <row r="523" customFormat="1" spans="1:31">
      <c r="A523" s="19"/>
      <c r="B523" s="20"/>
      <c r="C523" s="21">
        <v>241014000040</v>
      </c>
      <c r="D523" s="22">
        <v>45585</v>
      </c>
      <c r="E523" s="22" t="s">
        <v>55</v>
      </c>
      <c r="F523" s="20" t="s">
        <v>56</v>
      </c>
      <c r="G523" s="20" t="s">
        <v>152</v>
      </c>
      <c r="H523" s="20">
        <v>1.5</v>
      </c>
      <c r="I523" s="39">
        <v>93</v>
      </c>
      <c r="J523" s="40"/>
      <c r="K523" s="41"/>
      <c r="L523" s="20"/>
      <c r="M523" s="41"/>
      <c r="N523" s="42"/>
      <c r="O523" s="43">
        <f t="shared" ref="O523:O530" si="277">SUM(I523)</f>
        <v>93</v>
      </c>
      <c r="P523" s="45"/>
      <c r="Q523" s="45"/>
      <c r="R523" s="69">
        <f t="shared" si="271"/>
        <v>65.0930511182109</v>
      </c>
      <c r="S523" s="69"/>
      <c r="T523" s="70">
        <f t="shared" si="272"/>
        <v>0.100489217252396</v>
      </c>
      <c r="U523" s="69"/>
      <c r="V523" s="69"/>
      <c r="W523" s="71">
        <f t="shared" si="269"/>
        <v>65.1935403354633</v>
      </c>
      <c r="X523" s="72">
        <f t="shared" si="273"/>
        <v>0.902575878594249</v>
      </c>
      <c r="Y523" s="72"/>
      <c r="Z523" s="72"/>
      <c r="AA523" s="72">
        <f t="shared" si="270"/>
        <v>0.902575878594249</v>
      </c>
      <c r="AB523" s="81">
        <v>7.11</v>
      </c>
      <c r="AC523" s="69">
        <f t="shared" si="265"/>
        <v>6.41731449680511</v>
      </c>
      <c r="AD523" s="69">
        <f t="shared" si="266"/>
        <v>71.6108548322684</v>
      </c>
      <c r="AE523" s="69">
        <f t="shared" si="267"/>
        <v>21.3891451677316</v>
      </c>
    </row>
    <row r="524" customFormat="1" spans="1:31">
      <c r="A524" s="19"/>
      <c r="B524" s="20"/>
      <c r="C524" s="21">
        <v>241014000042</v>
      </c>
      <c r="D524" s="22">
        <v>45585</v>
      </c>
      <c r="E524" s="22" t="s">
        <v>135</v>
      </c>
      <c r="F524" s="20" t="s">
        <v>136</v>
      </c>
      <c r="G524" s="20" t="s">
        <v>386</v>
      </c>
      <c r="H524" s="20">
        <v>17</v>
      </c>
      <c r="I524" s="39">
        <v>975</v>
      </c>
      <c r="J524" s="40"/>
      <c r="K524" s="41"/>
      <c r="L524" s="20"/>
      <c r="M524" s="41"/>
      <c r="N524" s="42"/>
      <c r="O524" s="43">
        <f t="shared" si="277"/>
        <v>975</v>
      </c>
      <c r="P524" s="45"/>
      <c r="Q524" s="45"/>
      <c r="R524" s="69">
        <f t="shared" si="271"/>
        <v>737.72124600639</v>
      </c>
      <c r="S524" s="69"/>
      <c r="T524" s="70">
        <f t="shared" si="272"/>
        <v>1.13887779552716</v>
      </c>
      <c r="U524" s="69"/>
      <c r="V524" s="69"/>
      <c r="W524" s="71">
        <f t="shared" si="269"/>
        <v>738.860123801917</v>
      </c>
      <c r="X524" s="72">
        <f t="shared" si="273"/>
        <v>10.2291932907348</v>
      </c>
      <c r="Y524" s="72"/>
      <c r="Z524" s="72"/>
      <c r="AA524" s="72">
        <f t="shared" si="270"/>
        <v>10.2291932907348</v>
      </c>
      <c r="AB524" s="81">
        <v>7.11</v>
      </c>
      <c r="AC524" s="69">
        <f t="shared" si="265"/>
        <v>72.7295642971246</v>
      </c>
      <c r="AD524" s="69">
        <f t="shared" si="266"/>
        <v>811.589688099041</v>
      </c>
      <c r="AE524" s="69">
        <f t="shared" si="267"/>
        <v>163.410311900959</v>
      </c>
    </row>
    <row r="525" customFormat="1" spans="1:31">
      <c r="A525" s="19"/>
      <c r="B525" s="20"/>
      <c r="C525" s="21">
        <v>241014000051</v>
      </c>
      <c r="D525" s="22">
        <v>45585</v>
      </c>
      <c r="E525" s="22" t="s">
        <v>55</v>
      </c>
      <c r="F525" s="20" t="s">
        <v>56</v>
      </c>
      <c r="G525" s="20" t="s">
        <v>385</v>
      </c>
      <c r="H525" s="20">
        <v>0.51</v>
      </c>
      <c r="I525" s="43"/>
      <c r="J525" s="46">
        <v>15705</v>
      </c>
      <c r="K525" s="41"/>
      <c r="L525" s="47">
        <f>SUM(J525/M525)</f>
        <v>1745</v>
      </c>
      <c r="M525" s="48">
        <v>9</v>
      </c>
      <c r="N525" s="42">
        <v>7.11</v>
      </c>
      <c r="O525" s="43">
        <f>SUM(M525*N525)</f>
        <v>63.99</v>
      </c>
      <c r="P525" s="45"/>
      <c r="Q525" s="45"/>
      <c r="R525" s="69">
        <f t="shared" si="271"/>
        <v>22.1316373801917</v>
      </c>
      <c r="S525" s="69"/>
      <c r="T525" s="70">
        <f t="shared" si="272"/>
        <v>0.0341663338658147</v>
      </c>
      <c r="U525" s="69"/>
      <c r="V525" s="69"/>
      <c r="W525" s="71">
        <f t="shared" si="269"/>
        <v>22.1658037140575</v>
      </c>
      <c r="X525" s="72">
        <f t="shared" si="273"/>
        <v>0.306875798722045</v>
      </c>
      <c r="Y525" s="72"/>
      <c r="Z525" s="72"/>
      <c r="AA525" s="72">
        <f t="shared" si="270"/>
        <v>0.306875798722045</v>
      </c>
      <c r="AB525" s="81">
        <v>7.11</v>
      </c>
      <c r="AC525" s="69">
        <f t="shared" si="265"/>
        <v>2.18188692891374</v>
      </c>
      <c r="AD525" s="69">
        <f t="shared" si="266"/>
        <v>24.3476906429712</v>
      </c>
      <c r="AE525" s="69">
        <f t="shared" si="267"/>
        <v>39.6423093570288</v>
      </c>
    </row>
    <row r="526" customFormat="1" spans="1:31">
      <c r="A526" s="19"/>
      <c r="B526" s="20"/>
      <c r="C526" s="21">
        <v>241014000060</v>
      </c>
      <c r="D526" s="22">
        <v>45585</v>
      </c>
      <c r="E526" s="22" t="s">
        <v>55</v>
      </c>
      <c r="F526" s="20" t="s">
        <v>56</v>
      </c>
      <c r="G526" s="20" t="s">
        <v>165</v>
      </c>
      <c r="H526" s="20">
        <v>0.31</v>
      </c>
      <c r="I526" s="39">
        <v>69</v>
      </c>
      <c r="J526" s="40"/>
      <c r="K526" s="41"/>
      <c r="L526" s="20"/>
      <c r="M526" s="41"/>
      <c r="N526" s="42"/>
      <c r="O526" s="43">
        <f t="shared" si="277"/>
        <v>69</v>
      </c>
      <c r="P526" s="45"/>
      <c r="Q526" s="45"/>
      <c r="R526" s="69">
        <f t="shared" si="271"/>
        <v>13.4525638977636</v>
      </c>
      <c r="S526" s="69"/>
      <c r="T526" s="70">
        <f t="shared" si="272"/>
        <v>0.0207677715654952</v>
      </c>
      <c r="U526" s="69"/>
      <c r="V526" s="69"/>
      <c r="W526" s="71">
        <f t="shared" si="269"/>
        <v>13.4733316693291</v>
      </c>
      <c r="X526" s="72">
        <f t="shared" si="273"/>
        <v>0.186532348242812</v>
      </c>
      <c r="Y526" s="72"/>
      <c r="Z526" s="72"/>
      <c r="AA526" s="72">
        <f t="shared" si="270"/>
        <v>0.186532348242812</v>
      </c>
      <c r="AB526" s="81">
        <v>7.11</v>
      </c>
      <c r="AC526" s="69">
        <f t="shared" si="265"/>
        <v>1.32624499600639</v>
      </c>
      <c r="AD526" s="69">
        <f t="shared" si="266"/>
        <v>14.7995766653355</v>
      </c>
      <c r="AE526" s="69">
        <f t="shared" si="267"/>
        <v>54.2004233346645</v>
      </c>
    </row>
    <row r="527" customFormat="1" spans="1:31">
      <c r="A527" s="19"/>
      <c r="B527" s="20"/>
      <c r="C527" s="21">
        <v>241014000062</v>
      </c>
      <c r="D527" s="22">
        <v>45585</v>
      </c>
      <c r="E527" s="22" t="s">
        <v>37</v>
      </c>
      <c r="F527" s="20" t="s">
        <v>38</v>
      </c>
      <c r="G527" s="20" t="s">
        <v>272</v>
      </c>
      <c r="H527" s="20">
        <v>4</v>
      </c>
      <c r="I527" s="39">
        <v>243</v>
      </c>
      <c r="J527" s="40"/>
      <c r="K527" s="41"/>
      <c r="L527" s="20"/>
      <c r="M527" s="41"/>
      <c r="N527" s="42"/>
      <c r="O527" s="43">
        <f t="shared" si="277"/>
        <v>243</v>
      </c>
      <c r="P527" s="45"/>
      <c r="Q527" s="45"/>
      <c r="R527" s="69">
        <f t="shared" si="271"/>
        <v>173.581469648562</v>
      </c>
      <c r="S527" s="69"/>
      <c r="T527" s="70">
        <f t="shared" si="272"/>
        <v>0.26797124600639</v>
      </c>
      <c r="U527" s="69"/>
      <c r="V527" s="69"/>
      <c r="W527" s="71">
        <f t="shared" si="269"/>
        <v>173.849440894569</v>
      </c>
      <c r="X527" s="72">
        <f t="shared" si="273"/>
        <v>2.40686900958466</v>
      </c>
      <c r="Y527" s="72"/>
      <c r="Z527" s="72"/>
      <c r="AA527" s="72">
        <f t="shared" si="270"/>
        <v>2.40686900958466</v>
      </c>
      <c r="AB527" s="81">
        <v>7.11</v>
      </c>
      <c r="AC527" s="69">
        <f t="shared" si="265"/>
        <v>17.112838658147</v>
      </c>
      <c r="AD527" s="69">
        <f t="shared" si="266"/>
        <v>190.962279552716</v>
      </c>
      <c r="AE527" s="69">
        <f t="shared" si="267"/>
        <v>52.0377204472844</v>
      </c>
    </row>
    <row r="528" customFormat="1" spans="1:31">
      <c r="A528" s="19"/>
      <c r="B528" s="20"/>
      <c r="C528" s="21">
        <v>241014000065</v>
      </c>
      <c r="D528" s="22">
        <v>45585</v>
      </c>
      <c r="E528" s="22" t="s">
        <v>37</v>
      </c>
      <c r="F528" s="20" t="s">
        <v>38</v>
      </c>
      <c r="G528" s="20" t="s">
        <v>267</v>
      </c>
      <c r="H528" s="20">
        <v>2</v>
      </c>
      <c r="I528" s="39">
        <v>110</v>
      </c>
      <c r="J528" s="40"/>
      <c r="K528" s="41"/>
      <c r="L528" s="20"/>
      <c r="M528" s="41"/>
      <c r="N528" s="42"/>
      <c r="O528" s="43">
        <f t="shared" si="277"/>
        <v>110</v>
      </c>
      <c r="P528" s="45"/>
      <c r="Q528" s="45"/>
      <c r="R528" s="69">
        <f t="shared" si="271"/>
        <v>86.7907348242811</v>
      </c>
      <c r="S528" s="69"/>
      <c r="T528" s="70">
        <f t="shared" si="272"/>
        <v>0.133985623003195</v>
      </c>
      <c r="U528" s="69"/>
      <c r="V528" s="69"/>
      <c r="W528" s="71">
        <f t="shared" si="269"/>
        <v>86.9247204472843</v>
      </c>
      <c r="X528" s="72">
        <f t="shared" si="273"/>
        <v>1.20343450479233</v>
      </c>
      <c r="Y528" s="72"/>
      <c r="Z528" s="72"/>
      <c r="AA528" s="72">
        <f t="shared" si="270"/>
        <v>1.20343450479233</v>
      </c>
      <c r="AB528" s="81">
        <v>7.11</v>
      </c>
      <c r="AC528" s="69">
        <f t="shared" si="265"/>
        <v>8.55641932907348</v>
      </c>
      <c r="AD528" s="69">
        <f t="shared" si="266"/>
        <v>95.4811397763578</v>
      </c>
      <c r="AE528" s="69">
        <f t="shared" si="267"/>
        <v>14.5188602236422</v>
      </c>
    </row>
    <row r="529" customFormat="1" spans="1:31">
      <c r="A529" s="19"/>
      <c r="B529" s="20"/>
      <c r="C529" s="21">
        <v>241014000071</v>
      </c>
      <c r="D529" s="22">
        <v>45585</v>
      </c>
      <c r="E529" s="22" t="s">
        <v>47</v>
      </c>
      <c r="F529" s="20" t="s">
        <v>47</v>
      </c>
      <c r="G529" s="20" t="s">
        <v>122</v>
      </c>
      <c r="H529" s="20">
        <v>7</v>
      </c>
      <c r="I529" s="50">
        <v>552</v>
      </c>
      <c r="J529" s="40"/>
      <c r="K529" s="41"/>
      <c r="L529" s="20"/>
      <c r="M529" s="41"/>
      <c r="N529" s="42"/>
      <c r="O529" s="43">
        <f t="shared" si="277"/>
        <v>552</v>
      </c>
      <c r="P529" s="45"/>
      <c r="Q529" s="45"/>
      <c r="R529" s="69">
        <f t="shared" si="271"/>
        <v>303.767571884984</v>
      </c>
      <c r="S529" s="69"/>
      <c r="T529" s="70">
        <f t="shared" si="272"/>
        <v>0.468949680511182</v>
      </c>
      <c r="U529" s="69"/>
      <c r="V529" s="70">
        <f>SUM(20+20+21)</f>
        <v>61</v>
      </c>
      <c r="W529" s="71">
        <f t="shared" si="269"/>
        <v>365.236521565495</v>
      </c>
      <c r="X529" s="72">
        <f t="shared" si="273"/>
        <v>4.21202076677316</v>
      </c>
      <c r="Y529" s="72"/>
      <c r="Z529" s="72"/>
      <c r="AA529" s="72">
        <f t="shared" si="270"/>
        <v>4.21202076677316</v>
      </c>
      <c r="AB529" s="81">
        <v>7.11</v>
      </c>
      <c r="AC529" s="69">
        <f t="shared" si="265"/>
        <v>29.9474676517572</v>
      </c>
      <c r="AD529" s="69">
        <f t="shared" si="266"/>
        <v>395.183989217252</v>
      </c>
      <c r="AE529" s="69">
        <f t="shared" si="267"/>
        <v>156.816010782748</v>
      </c>
    </row>
    <row r="530" customFormat="1" spans="1:31">
      <c r="A530" s="19"/>
      <c r="B530" s="20"/>
      <c r="C530" s="21">
        <v>241014000072</v>
      </c>
      <c r="D530" s="22">
        <v>45585</v>
      </c>
      <c r="E530" s="22" t="s">
        <v>47</v>
      </c>
      <c r="F530" s="20" t="s">
        <v>47</v>
      </c>
      <c r="G530" s="20" t="s">
        <v>220</v>
      </c>
      <c r="H530" s="20">
        <v>4.5</v>
      </c>
      <c r="I530" s="39">
        <v>273</v>
      </c>
      <c r="J530" s="40"/>
      <c r="K530" s="41"/>
      <c r="L530" s="20"/>
      <c r="M530" s="41"/>
      <c r="N530" s="42"/>
      <c r="O530" s="43">
        <f t="shared" si="277"/>
        <v>273</v>
      </c>
      <c r="P530" s="45"/>
      <c r="Q530" s="45"/>
      <c r="R530" s="69">
        <f t="shared" si="271"/>
        <v>195.279153354633</v>
      </c>
      <c r="S530" s="69"/>
      <c r="T530" s="70">
        <f t="shared" si="272"/>
        <v>0.301467651757188</v>
      </c>
      <c r="U530" s="69"/>
      <c r="V530" s="69"/>
      <c r="W530" s="71">
        <f t="shared" si="269"/>
        <v>195.58062100639</v>
      </c>
      <c r="X530" s="72">
        <f t="shared" si="273"/>
        <v>2.70772763578275</v>
      </c>
      <c r="Y530" s="72"/>
      <c r="Z530" s="72"/>
      <c r="AA530" s="72">
        <f t="shared" si="270"/>
        <v>2.70772763578275</v>
      </c>
      <c r="AB530" s="81">
        <v>7.11</v>
      </c>
      <c r="AC530" s="69">
        <f t="shared" si="265"/>
        <v>19.2519434904153</v>
      </c>
      <c r="AD530" s="69">
        <f t="shared" si="266"/>
        <v>214.832564496805</v>
      </c>
      <c r="AE530" s="69">
        <f t="shared" si="267"/>
        <v>58.1674355031949</v>
      </c>
    </row>
    <row r="531" s="2" customFormat="1" spans="1:31">
      <c r="A531" s="104"/>
      <c r="B531" s="105"/>
      <c r="C531" s="106">
        <v>241015000004</v>
      </c>
      <c r="D531" s="107">
        <v>45585</v>
      </c>
      <c r="E531" s="107" t="s">
        <v>88</v>
      </c>
      <c r="F531" s="105"/>
      <c r="G531" s="105" t="s">
        <v>387</v>
      </c>
      <c r="H531" s="105">
        <v>0.12</v>
      </c>
      <c r="I531" s="108"/>
      <c r="J531" s="109">
        <v>20678.25</v>
      </c>
      <c r="K531" s="110"/>
      <c r="L531" s="109">
        <f t="shared" ref="L531:L536" si="278">SUM(J531/M531)</f>
        <v>1745</v>
      </c>
      <c r="M531" s="111">
        <v>11.85</v>
      </c>
      <c r="N531" s="112">
        <v>7.11</v>
      </c>
      <c r="O531" s="108">
        <f t="shared" ref="O531:O536" si="279">SUM(M531*N531)</f>
        <v>84.2535</v>
      </c>
      <c r="P531" s="113"/>
      <c r="Q531" s="113"/>
      <c r="R531" s="114">
        <f t="shared" si="271"/>
        <v>5.20744408945687</v>
      </c>
      <c r="S531" s="114"/>
      <c r="T531" s="114">
        <f t="shared" si="272"/>
        <v>0.00803913738019169</v>
      </c>
      <c r="U531" s="114"/>
      <c r="V531" s="114">
        <v>20</v>
      </c>
      <c r="W531" s="115">
        <f t="shared" si="269"/>
        <v>25.2154832268371</v>
      </c>
      <c r="X531" s="116">
        <f t="shared" si="273"/>
        <v>0.0722060702875399</v>
      </c>
      <c r="Y531" s="116"/>
      <c r="Z531" s="116"/>
      <c r="AA531" s="116">
        <f t="shared" si="270"/>
        <v>0.0722060702875399</v>
      </c>
      <c r="AB531" s="117">
        <v>7.11</v>
      </c>
      <c r="AC531" s="114">
        <f t="shared" si="265"/>
        <v>0.513385159744409</v>
      </c>
      <c r="AD531" s="114">
        <f t="shared" si="266"/>
        <v>25.7288683865815</v>
      </c>
      <c r="AE531" s="114">
        <f t="shared" si="267"/>
        <v>58.5246316134185</v>
      </c>
    </row>
    <row r="532" customFormat="1" spans="1:31">
      <c r="A532" s="19"/>
      <c r="B532" s="20"/>
      <c r="C532" s="21">
        <v>241015000010</v>
      </c>
      <c r="D532" s="22">
        <v>45585</v>
      </c>
      <c r="E532" s="22" t="s">
        <v>66</v>
      </c>
      <c r="F532" s="20" t="s">
        <v>67</v>
      </c>
      <c r="G532" s="20" t="s">
        <v>164</v>
      </c>
      <c r="H532" s="20">
        <v>2</v>
      </c>
      <c r="I532" s="39">
        <v>135</v>
      </c>
      <c r="J532" s="40"/>
      <c r="K532" s="41"/>
      <c r="L532" s="20"/>
      <c r="M532" s="41"/>
      <c r="N532" s="42"/>
      <c r="O532" s="43">
        <f t="shared" ref="O532:O538" si="280">SUM(I532)</f>
        <v>135</v>
      </c>
      <c r="P532" s="45"/>
      <c r="Q532" s="45"/>
      <c r="R532" s="69">
        <f t="shared" si="271"/>
        <v>86.7907348242811</v>
      </c>
      <c r="S532" s="69"/>
      <c r="T532" s="70">
        <f t="shared" si="272"/>
        <v>0.133985623003195</v>
      </c>
      <c r="U532" s="69"/>
      <c r="V532" s="69"/>
      <c r="W532" s="71">
        <f t="shared" si="269"/>
        <v>86.9247204472843</v>
      </c>
      <c r="X532" s="72">
        <f t="shared" si="273"/>
        <v>1.20343450479233</v>
      </c>
      <c r="Y532" s="72"/>
      <c r="Z532" s="72"/>
      <c r="AA532" s="72">
        <f t="shared" si="270"/>
        <v>1.20343450479233</v>
      </c>
      <c r="AB532" s="81">
        <v>7.11</v>
      </c>
      <c r="AC532" s="69">
        <f t="shared" si="265"/>
        <v>8.55641932907348</v>
      </c>
      <c r="AD532" s="69">
        <f t="shared" si="266"/>
        <v>95.4811397763578</v>
      </c>
      <c r="AE532" s="69">
        <f t="shared" si="267"/>
        <v>39.5188602236422</v>
      </c>
    </row>
    <row r="533" customFormat="1" spans="1:31">
      <c r="A533" s="19"/>
      <c r="B533" s="20"/>
      <c r="C533" s="21">
        <v>241015000014</v>
      </c>
      <c r="D533" s="22">
        <v>45585</v>
      </c>
      <c r="E533" s="22" t="s">
        <v>55</v>
      </c>
      <c r="F533" s="20" t="s">
        <v>56</v>
      </c>
      <c r="G533" s="20" t="s">
        <v>385</v>
      </c>
      <c r="H533" s="20">
        <v>5</v>
      </c>
      <c r="I533" s="43"/>
      <c r="J533" s="46">
        <v>75733</v>
      </c>
      <c r="K533" s="41"/>
      <c r="L533" s="47">
        <f t="shared" si="278"/>
        <v>1745</v>
      </c>
      <c r="M533" s="48">
        <v>43.4</v>
      </c>
      <c r="N533" s="42">
        <v>7.11</v>
      </c>
      <c r="O533" s="43">
        <f t="shared" si="279"/>
        <v>308.574</v>
      </c>
      <c r="P533" s="45"/>
      <c r="Q533" s="45"/>
      <c r="R533" s="69">
        <f t="shared" si="271"/>
        <v>216.976837060703</v>
      </c>
      <c r="S533" s="69"/>
      <c r="T533" s="70">
        <f t="shared" si="272"/>
        <v>0.334964057507987</v>
      </c>
      <c r="U533" s="69"/>
      <c r="V533" s="69"/>
      <c r="W533" s="71">
        <f t="shared" si="269"/>
        <v>217.311801118211</v>
      </c>
      <c r="X533" s="72">
        <f t="shared" si="273"/>
        <v>3.00858626198083</v>
      </c>
      <c r="Y533" s="72"/>
      <c r="Z533" s="72"/>
      <c r="AA533" s="72">
        <f t="shared" si="270"/>
        <v>3.00858626198083</v>
      </c>
      <c r="AB533" s="81">
        <v>7.11</v>
      </c>
      <c r="AC533" s="69">
        <f t="shared" si="265"/>
        <v>21.3910483226837</v>
      </c>
      <c r="AD533" s="69">
        <f t="shared" si="266"/>
        <v>238.702849440895</v>
      </c>
      <c r="AE533" s="69">
        <f t="shared" si="267"/>
        <v>69.8711505591055</v>
      </c>
    </row>
    <row r="534" customFormat="1" spans="1:31">
      <c r="A534" s="19"/>
      <c r="B534" s="20"/>
      <c r="C534" s="21">
        <v>241015000015</v>
      </c>
      <c r="D534" s="22">
        <v>45585</v>
      </c>
      <c r="E534" s="22" t="s">
        <v>55</v>
      </c>
      <c r="F534" s="20" t="s">
        <v>56</v>
      </c>
      <c r="G534" s="20" t="s">
        <v>152</v>
      </c>
      <c r="H534" s="20">
        <v>2.5</v>
      </c>
      <c r="I534" s="39">
        <v>153</v>
      </c>
      <c r="J534" s="40"/>
      <c r="K534" s="41"/>
      <c r="L534" s="20"/>
      <c r="M534" s="41"/>
      <c r="N534" s="42"/>
      <c r="O534" s="43">
        <f t="shared" si="280"/>
        <v>153</v>
      </c>
      <c r="P534" s="45"/>
      <c r="Q534" s="45"/>
      <c r="R534" s="69">
        <f t="shared" si="271"/>
        <v>108.488418530351</v>
      </c>
      <c r="S534" s="69"/>
      <c r="T534" s="70">
        <f t="shared" si="272"/>
        <v>0.167482028753994</v>
      </c>
      <c r="U534" s="69"/>
      <c r="V534" s="69"/>
      <c r="W534" s="71">
        <f t="shared" si="269"/>
        <v>108.655900559105</v>
      </c>
      <c r="X534" s="72">
        <f t="shared" si="273"/>
        <v>1.50429313099042</v>
      </c>
      <c r="Y534" s="72"/>
      <c r="Z534" s="72"/>
      <c r="AA534" s="72">
        <f t="shared" si="270"/>
        <v>1.50429313099042</v>
      </c>
      <c r="AB534" s="81">
        <v>7.11</v>
      </c>
      <c r="AC534" s="69">
        <f t="shared" si="265"/>
        <v>10.6955241613419</v>
      </c>
      <c r="AD534" s="69">
        <f t="shared" si="266"/>
        <v>119.351424720447</v>
      </c>
      <c r="AE534" s="69">
        <f t="shared" si="267"/>
        <v>33.6485752795527</v>
      </c>
    </row>
    <row r="535" customFormat="1" spans="1:31">
      <c r="A535" s="19"/>
      <c r="B535" s="20"/>
      <c r="C535" s="21">
        <v>241015000019</v>
      </c>
      <c r="D535" s="22">
        <v>45585</v>
      </c>
      <c r="E535" s="22" t="s">
        <v>41</v>
      </c>
      <c r="F535" s="20" t="s">
        <v>42</v>
      </c>
      <c r="G535" s="20" t="s">
        <v>255</v>
      </c>
      <c r="H535" s="20">
        <v>0.72</v>
      </c>
      <c r="I535" s="43"/>
      <c r="J535" s="46">
        <v>15705</v>
      </c>
      <c r="K535" s="41"/>
      <c r="L535" s="47">
        <f t="shared" si="278"/>
        <v>1745</v>
      </c>
      <c r="M535" s="48">
        <v>9</v>
      </c>
      <c r="N535" s="42">
        <v>7.11</v>
      </c>
      <c r="O535" s="43">
        <f t="shared" si="279"/>
        <v>63.99</v>
      </c>
      <c r="P535" s="45"/>
      <c r="Q535" s="45"/>
      <c r="R535" s="69">
        <f t="shared" si="271"/>
        <v>31.2446645367412</v>
      </c>
      <c r="S535" s="69"/>
      <c r="T535" s="70">
        <f t="shared" si="272"/>
        <v>0.0482348242811502</v>
      </c>
      <c r="U535" s="69"/>
      <c r="V535" s="69"/>
      <c r="W535" s="71">
        <f t="shared" si="269"/>
        <v>31.2928993610224</v>
      </c>
      <c r="X535" s="72">
        <f t="shared" si="273"/>
        <v>0.43323642172524</v>
      </c>
      <c r="Y535" s="72"/>
      <c r="Z535" s="72"/>
      <c r="AA535" s="72">
        <f t="shared" si="270"/>
        <v>0.43323642172524</v>
      </c>
      <c r="AB535" s="81">
        <v>7.11</v>
      </c>
      <c r="AC535" s="69">
        <f t="shared" si="265"/>
        <v>3.08031095846645</v>
      </c>
      <c r="AD535" s="69">
        <f t="shared" si="266"/>
        <v>34.3732103194888</v>
      </c>
      <c r="AE535" s="69">
        <f t="shared" si="267"/>
        <v>29.6167896805112</v>
      </c>
    </row>
    <row r="536" customFormat="1" spans="1:31">
      <c r="A536" s="19"/>
      <c r="B536" s="20"/>
      <c r="C536" s="21">
        <v>241015000025</v>
      </c>
      <c r="D536" s="22">
        <v>45585</v>
      </c>
      <c r="E536" s="22" t="s">
        <v>41</v>
      </c>
      <c r="F536" s="20" t="s">
        <v>42</v>
      </c>
      <c r="G536" s="20" t="s">
        <v>388</v>
      </c>
      <c r="H536" s="20">
        <v>3.5</v>
      </c>
      <c r="I536" s="50"/>
      <c r="J536" s="46">
        <v>59045</v>
      </c>
      <c r="K536" s="41"/>
      <c r="L536" s="47">
        <f t="shared" si="278"/>
        <v>1738.66313309776</v>
      </c>
      <c r="M536" s="48">
        <v>33.96</v>
      </c>
      <c r="N536" s="42">
        <v>7.11</v>
      </c>
      <c r="O536" s="43">
        <f t="shared" si="279"/>
        <v>241.4556</v>
      </c>
      <c r="P536" s="45"/>
      <c r="Q536" s="45"/>
      <c r="R536" s="69">
        <f t="shared" si="271"/>
        <v>151.883785942492</v>
      </c>
      <c r="S536" s="69"/>
      <c r="T536" s="70">
        <f t="shared" si="272"/>
        <v>0.234474840255591</v>
      </c>
      <c r="U536" s="69"/>
      <c r="V536" s="69"/>
      <c r="W536" s="71">
        <f t="shared" si="269"/>
        <v>152.118260782748</v>
      </c>
      <c r="X536" s="72">
        <f t="shared" si="273"/>
        <v>2.10601038338658</v>
      </c>
      <c r="Y536" s="72"/>
      <c r="Z536" s="72"/>
      <c r="AA536" s="72">
        <f t="shared" si="270"/>
        <v>2.10601038338658</v>
      </c>
      <c r="AB536" s="81">
        <v>7.11</v>
      </c>
      <c r="AC536" s="69">
        <f t="shared" si="265"/>
        <v>14.9737338258786</v>
      </c>
      <c r="AD536" s="69">
        <f t="shared" si="266"/>
        <v>167.091994608626</v>
      </c>
      <c r="AE536" s="69">
        <f t="shared" si="267"/>
        <v>74.3636053913738</v>
      </c>
    </row>
    <row r="537" customFormat="1" spans="1:31">
      <c r="A537" s="19"/>
      <c r="B537" s="20"/>
      <c r="C537" s="21">
        <v>241015000039</v>
      </c>
      <c r="D537" s="22">
        <v>45585</v>
      </c>
      <c r="E537" s="22" t="s">
        <v>37</v>
      </c>
      <c r="F537" s="20" t="s">
        <v>38</v>
      </c>
      <c r="G537" s="20" t="s">
        <v>389</v>
      </c>
      <c r="H537" s="20">
        <v>3</v>
      </c>
      <c r="I537" s="39">
        <v>213</v>
      </c>
      <c r="J537" s="40"/>
      <c r="K537" s="41"/>
      <c r="L537" s="20"/>
      <c r="M537" s="41"/>
      <c r="N537" s="42"/>
      <c r="O537" s="43">
        <f t="shared" si="280"/>
        <v>213</v>
      </c>
      <c r="P537" s="45"/>
      <c r="Q537" s="45"/>
      <c r="R537" s="69">
        <f t="shared" si="271"/>
        <v>130.186102236422</v>
      </c>
      <c r="S537" s="69"/>
      <c r="T537" s="70">
        <f t="shared" si="272"/>
        <v>0.200978434504792</v>
      </c>
      <c r="U537" s="69"/>
      <c r="V537" s="69"/>
      <c r="W537" s="71">
        <f t="shared" si="269"/>
        <v>130.387080670927</v>
      </c>
      <c r="X537" s="72">
        <f t="shared" si="273"/>
        <v>1.8051517571885</v>
      </c>
      <c r="Y537" s="72">
        <v>4.23</v>
      </c>
      <c r="Z537" s="72"/>
      <c r="AA537" s="72">
        <f t="shared" si="270"/>
        <v>6.0351517571885</v>
      </c>
      <c r="AB537" s="81">
        <v>7.11</v>
      </c>
      <c r="AC537" s="69">
        <f t="shared" si="265"/>
        <v>42.9099289936102</v>
      </c>
      <c r="AD537" s="69">
        <f t="shared" si="266"/>
        <v>173.297009664537</v>
      </c>
      <c r="AE537" s="69">
        <f t="shared" si="267"/>
        <v>39.7029903354632</v>
      </c>
    </row>
    <row r="538" customFormat="1" spans="1:31">
      <c r="A538" s="19"/>
      <c r="B538" s="20"/>
      <c r="C538" s="21">
        <v>241015000049</v>
      </c>
      <c r="D538" s="22">
        <v>45585</v>
      </c>
      <c r="E538" s="22" t="s">
        <v>55</v>
      </c>
      <c r="F538" s="20" t="s">
        <v>56</v>
      </c>
      <c r="G538" s="20" t="s">
        <v>390</v>
      </c>
      <c r="H538" s="20">
        <v>0.66</v>
      </c>
      <c r="I538" s="39">
        <v>63</v>
      </c>
      <c r="J538" s="40"/>
      <c r="K538" s="41"/>
      <c r="L538" s="20"/>
      <c r="M538" s="41"/>
      <c r="N538" s="42"/>
      <c r="O538" s="43">
        <f t="shared" si="280"/>
        <v>63</v>
      </c>
      <c r="P538" s="45"/>
      <c r="Q538" s="45"/>
      <c r="R538" s="69">
        <f t="shared" si="271"/>
        <v>28.6409424920128</v>
      </c>
      <c r="S538" s="69"/>
      <c r="T538" s="70">
        <f t="shared" si="272"/>
        <v>0.0442152555910543</v>
      </c>
      <c r="U538" s="69"/>
      <c r="V538" s="69"/>
      <c r="W538" s="71">
        <f t="shared" si="269"/>
        <v>28.6851577476038</v>
      </c>
      <c r="X538" s="72">
        <f t="shared" si="273"/>
        <v>0.39713338658147</v>
      </c>
      <c r="Y538" s="72"/>
      <c r="Z538" s="72"/>
      <c r="AA538" s="72">
        <f t="shared" si="270"/>
        <v>0.39713338658147</v>
      </c>
      <c r="AB538" s="81">
        <v>7.11</v>
      </c>
      <c r="AC538" s="69">
        <f t="shared" si="265"/>
        <v>2.82361837859425</v>
      </c>
      <c r="AD538" s="69">
        <f t="shared" si="266"/>
        <v>31.5087761261981</v>
      </c>
      <c r="AE538" s="69">
        <f t="shared" si="267"/>
        <v>31.4912238738019</v>
      </c>
    </row>
    <row r="539" customFormat="1" spans="1:31">
      <c r="A539" s="19"/>
      <c r="B539" s="20"/>
      <c r="C539" s="21">
        <v>241015000059</v>
      </c>
      <c r="D539" s="22">
        <v>45585</v>
      </c>
      <c r="E539" s="22" t="s">
        <v>37</v>
      </c>
      <c r="F539" s="20" t="s">
        <v>38</v>
      </c>
      <c r="G539" s="20" t="s">
        <v>382</v>
      </c>
      <c r="H539" s="20">
        <v>1.5</v>
      </c>
      <c r="I539" s="43"/>
      <c r="J539" s="46">
        <v>23208.5</v>
      </c>
      <c r="K539" s="41"/>
      <c r="L539" s="47">
        <f>SUM(J539/M539)</f>
        <v>1745</v>
      </c>
      <c r="M539" s="48">
        <v>13.3</v>
      </c>
      <c r="N539" s="42">
        <v>7.11</v>
      </c>
      <c r="O539" s="43">
        <f t="shared" ref="O539:O541" si="281">SUM(M539*N539)</f>
        <v>94.563</v>
      </c>
      <c r="P539" s="45"/>
      <c r="Q539" s="45"/>
      <c r="R539" s="69">
        <f t="shared" si="271"/>
        <v>65.0930511182109</v>
      </c>
      <c r="S539" s="69"/>
      <c r="T539" s="70">
        <f t="shared" si="272"/>
        <v>0.100489217252396</v>
      </c>
      <c r="U539" s="69"/>
      <c r="V539" s="69"/>
      <c r="W539" s="71">
        <f t="shared" si="269"/>
        <v>65.1935403354633</v>
      </c>
      <c r="X539" s="72">
        <f t="shared" si="273"/>
        <v>0.902575878594249</v>
      </c>
      <c r="Y539" s="72"/>
      <c r="Z539" s="72"/>
      <c r="AA539" s="72">
        <f t="shared" si="270"/>
        <v>0.902575878594249</v>
      </c>
      <c r="AB539" s="81">
        <v>7.11</v>
      </c>
      <c r="AC539" s="69">
        <f t="shared" si="265"/>
        <v>6.41731449680511</v>
      </c>
      <c r="AD539" s="69">
        <f t="shared" si="266"/>
        <v>71.6108548322684</v>
      </c>
      <c r="AE539" s="69">
        <f t="shared" si="267"/>
        <v>22.9521451677316</v>
      </c>
    </row>
    <row r="540" customFormat="1" spans="1:31">
      <c r="A540" s="19"/>
      <c r="B540" s="20"/>
      <c r="C540" s="21">
        <v>241015000061</v>
      </c>
      <c r="D540" s="22">
        <v>45585</v>
      </c>
      <c r="E540" s="22" t="s">
        <v>88</v>
      </c>
      <c r="F540" s="20" t="s">
        <v>118</v>
      </c>
      <c r="G540" s="20" t="s">
        <v>391</v>
      </c>
      <c r="H540" s="20">
        <v>479</v>
      </c>
      <c r="I540" s="43"/>
      <c r="J540" s="40"/>
      <c r="K540" s="41"/>
      <c r="L540" s="20"/>
      <c r="M540" s="41">
        <v>4169.4</v>
      </c>
      <c r="N540" s="42">
        <v>7.11</v>
      </c>
      <c r="O540" s="43">
        <f t="shared" si="281"/>
        <v>29644.434</v>
      </c>
      <c r="P540" s="45"/>
      <c r="Q540" s="45"/>
      <c r="R540" s="69">
        <f t="shared" si="271"/>
        <v>20786.3809904153</v>
      </c>
      <c r="S540" s="69"/>
      <c r="T540" s="70">
        <f t="shared" si="272"/>
        <v>32.0895567092652</v>
      </c>
      <c r="U540" s="69"/>
      <c r="V540" s="69"/>
      <c r="W540" s="71">
        <f t="shared" si="269"/>
        <v>20818.4705471246</v>
      </c>
      <c r="X540" s="72">
        <f t="shared" si="273"/>
        <v>288.222563897764</v>
      </c>
      <c r="Y540" s="72"/>
      <c r="Z540" s="72"/>
      <c r="AA540" s="72">
        <f t="shared" si="270"/>
        <v>288.222563897764</v>
      </c>
      <c r="AB540" s="81">
        <v>7.11</v>
      </c>
      <c r="AC540" s="69">
        <f t="shared" si="265"/>
        <v>2049.2624293131</v>
      </c>
      <c r="AD540" s="69">
        <f t="shared" si="266"/>
        <v>22867.7329764377</v>
      </c>
      <c r="AE540" s="69">
        <f t="shared" si="267"/>
        <v>6776.7010235623</v>
      </c>
    </row>
    <row r="541" customFormat="1" spans="1:31">
      <c r="A541" s="19"/>
      <c r="B541" s="20"/>
      <c r="C541" s="21">
        <v>241016000026</v>
      </c>
      <c r="D541" s="22">
        <v>45585</v>
      </c>
      <c r="E541" s="22" t="s">
        <v>66</v>
      </c>
      <c r="F541" s="20" t="s">
        <v>67</v>
      </c>
      <c r="G541" s="20" t="s">
        <v>269</v>
      </c>
      <c r="H541" s="20">
        <v>5.5</v>
      </c>
      <c r="I541" s="50"/>
      <c r="J541" s="46">
        <v>94710</v>
      </c>
      <c r="K541" s="41"/>
      <c r="L541" s="47">
        <f>SUM(J541/M541)</f>
        <v>1749.35352789065</v>
      </c>
      <c r="M541" s="48">
        <v>54.14</v>
      </c>
      <c r="N541" s="42">
        <v>7.11</v>
      </c>
      <c r="O541" s="43">
        <f t="shared" si="281"/>
        <v>384.9354</v>
      </c>
      <c r="P541" s="45"/>
      <c r="Q541" s="45"/>
      <c r="R541" s="69">
        <f t="shared" si="271"/>
        <v>238.674520766773</v>
      </c>
      <c r="S541" s="69"/>
      <c r="T541" s="70">
        <f t="shared" si="272"/>
        <v>0.368460463258786</v>
      </c>
      <c r="U541" s="69"/>
      <c r="V541" s="70">
        <v>66</v>
      </c>
      <c r="W541" s="71">
        <f t="shared" si="269"/>
        <v>305.042981230032</v>
      </c>
      <c r="X541" s="72">
        <f t="shared" si="273"/>
        <v>3.30944488817891</v>
      </c>
      <c r="Y541" s="72"/>
      <c r="Z541" s="72"/>
      <c r="AA541" s="72">
        <f t="shared" si="270"/>
        <v>3.30944488817891</v>
      </c>
      <c r="AB541" s="81">
        <v>7.11</v>
      </c>
      <c r="AC541" s="69">
        <f t="shared" si="265"/>
        <v>23.5301531549521</v>
      </c>
      <c r="AD541" s="69">
        <f t="shared" si="266"/>
        <v>328.573134384984</v>
      </c>
      <c r="AE541" s="69">
        <f t="shared" si="267"/>
        <v>56.362265615016</v>
      </c>
    </row>
    <row r="542" customFormat="1" spans="1:31">
      <c r="A542" s="19"/>
      <c r="B542" s="20"/>
      <c r="C542" s="21">
        <v>241016000032</v>
      </c>
      <c r="D542" s="22">
        <v>45585</v>
      </c>
      <c r="E542" s="22" t="s">
        <v>135</v>
      </c>
      <c r="F542" s="20" t="s">
        <v>136</v>
      </c>
      <c r="G542" s="20" t="s">
        <v>392</v>
      </c>
      <c r="H542" s="20">
        <v>1198.5</v>
      </c>
      <c r="I542" s="39">
        <v>62672</v>
      </c>
      <c r="J542" s="40"/>
      <c r="K542" s="41"/>
      <c r="L542" s="20"/>
      <c r="M542" s="41"/>
      <c r="N542" s="42"/>
      <c r="O542" s="43">
        <f t="shared" ref="O542:O546" si="282">SUM(I542)</f>
        <v>62672</v>
      </c>
      <c r="P542" s="45"/>
      <c r="Q542" s="45"/>
      <c r="R542" s="69">
        <f t="shared" si="271"/>
        <v>52009.3478434505</v>
      </c>
      <c r="S542" s="69"/>
      <c r="T542" s="70">
        <f t="shared" si="272"/>
        <v>80.2908845846645</v>
      </c>
      <c r="U542" s="69"/>
      <c r="V542" s="69"/>
      <c r="W542" s="71">
        <f t="shared" si="269"/>
        <v>52089.6387280351</v>
      </c>
      <c r="X542" s="72">
        <f t="shared" si="273"/>
        <v>721.158126996805</v>
      </c>
      <c r="Y542" s="72"/>
      <c r="Z542" s="72"/>
      <c r="AA542" s="72">
        <f t="shared" si="270"/>
        <v>721.158126996805</v>
      </c>
      <c r="AB542" s="81">
        <v>7.11</v>
      </c>
      <c r="AC542" s="69">
        <f t="shared" si="265"/>
        <v>5127.43428294728</v>
      </c>
      <c r="AD542" s="69">
        <f t="shared" si="266"/>
        <v>57217.0730109824</v>
      </c>
      <c r="AE542" s="69">
        <f t="shared" ref="AE542:AE565" si="283">SUM(O542-AD542)</f>
        <v>5454.92698901758</v>
      </c>
    </row>
    <row r="543" customFormat="1" spans="1:31">
      <c r="A543" s="19"/>
      <c r="B543" s="20"/>
      <c r="C543" s="21">
        <v>241016000038</v>
      </c>
      <c r="D543" s="22">
        <v>45585</v>
      </c>
      <c r="E543" s="22" t="s">
        <v>37</v>
      </c>
      <c r="F543" s="20" t="s">
        <v>38</v>
      </c>
      <c r="G543" s="20" t="s">
        <v>183</v>
      </c>
      <c r="H543" s="20">
        <v>7.5</v>
      </c>
      <c r="I543" s="39">
        <v>433.5</v>
      </c>
      <c r="J543" s="40"/>
      <c r="K543" s="41"/>
      <c r="L543" s="20"/>
      <c r="M543" s="41"/>
      <c r="N543" s="42"/>
      <c r="O543" s="43">
        <f t="shared" si="282"/>
        <v>433.5</v>
      </c>
      <c r="P543" s="45"/>
      <c r="Q543" s="45"/>
      <c r="R543" s="69">
        <f t="shared" si="271"/>
        <v>325.465255591054</v>
      </c>
      <c r="S543" s="69"/>
      <c r="T543" s="70">
        <f t="shared" si="272"/>
        <v>0.502446086261981</v>
      </c>
      <c r="U543" s="69"/>
      <c r="V543" s="69"/>
      <c r="W543" s="71">
        <f t="shared" si="269"/>
        <v>325.967701677316</v>
      </c>
      <c r="X543" s="72">
        <f t="shared" si="273"/>
        <v>4.51287939297125</v>
      </c>
      <c r="Y543" s="72"/>
      <c r="Z543" s="72"/>
      <c r="AA543" s="72">
        <f t="shared" ref="AA543:AA565" si="284">SUM(X543:Z543)</f>
        <v>4.51287939297125</v>
      </c>
      <c r="AB543" s="81">
        <v>7.11</v>
      </c>
      <c r="AC543" s="69">
        <f t="shared" ref="AC543:AC565" si="285">SUM(AA543*AB543)</f>
        <v>32.0865724840256</v>
      </c>
      <c r="AD543" s="69">
        <f t="shared" ref="AD543:AD565" si="286">SUM(W543+AC543)</f>
        <v>358.054274161342</v>
      </c>
      <c r="AE543" s="69">
        <f t="shared" si="283"/>
        <v>75.4457258386582</v>
      </c>
    </row>
    <row r="544" customFormat="1" spans="1:31">
      <c r="A544" s="19"/>
      <c r="B544" s="20"/>
      <c r="C544" s="21">
        <v>241016000041</v>
      </c>
      <c r="D544" s="22">
        <v>45585</v>
      </c>
      <c r="E544" s="22" t="s">
        <v>135</v>
      </c>
      <c r="F544" s="20" t="s">
        <v>136</v>
      </c>
      <c r="G544" s="20" t="s">
        <v>392</v>
      </c>
      <c r="H544" s="20">
        <v>273.5</v>
      </c>
      <c r="I544" s="39">
        <v>14222</v>
      </c>
      <c r="J544" s="40"/>
      <c r="K544" s="41"/>
      <c r="L544" s="20"/>
      <c r="M544" s="41"/>
      <c r="N544" s="42"/>
      <c r="O544" s="43">
        <f t="shared" si="282"/>
        <v>14222</v>
      </c>
      <c r="P544" s="49"/>
      <c r="Q544" s="49"/>
      <c r="R544" s="69">
        <f t="shared" si="271"/>
        <v>11868.6329872204</v>
      </c>
      <c r="S544" s="69"/>
      <c r="T544" s="70">
        <f t="shared" si="272"/>
        <v>18.3225339456869</v>
      </c>
      <c r="U544" s="69"/>
      <c r="V544" s="69"/>
      <c r="W544" s="71">
        <f t="shared" ref="W544:W565" si="287">SUM(R544:V544)</f>
        <v>11886.9555211661</v>
      </c>
      <c r="X544" s="72">
        <f t="shared" si="273"/>
        <v>164.569668530351</v>
      </c>
      <c r="Y544" s="72"/>
      <c r="Z544" s="72"/>
      <c r="AA544" s="72">
        <f t="shared" si="284"/>
        <v>164.569668530351</v>
      </c>
      <c r="AB544" s="81">
        <v>7.11</v>
      </c>
      <c r="AC544" s="69">
        <f t="shared" si="285"/>
        <v>1170.0903432508</v>
      </c>
      <c r="AD544" s="69">
        <f t="shared" si="286"/>
        <v>13057.0458644169</v>
      </c>
      <c r="AE544" s="69">
        <f t="shared" si="283"/>
        <v>1164.95413558307</v>
      </c>
    </row>
    <row r="545" customFormat="1" spans="1:31">
      <c r="A545" s="19" t="s">
        <v>393</v>
      </c>
      <c r="B545" s="20" t="s">
        <v>394</v>
      </c>
      <c r="C545" s="21">
        <v>241016000004</v>
      </c>
      <c r="D545" s="22">
        <v>45587</v>
      </c>
      <c r="E545" s="22" t="s">
        <v>66</v>
      </c>
      <c r="F545" s="20" t="s">
        <v>67</v>
      </c>
      <c r="G545" s="20" t="s">
        <v>395</v>
      </c>
      <c r="H545" s="20">
        <v>1.5</v>
      </c>
      <c r="I545" s="39">
        <v>575</v>
      </c>
      <c r="J545" s="40"/>
      <c r="K545" s="41"/>
      <c r="L545" s="20"/>
      <c r="M545" s="41"/>
      <c r="N545" s="42"/>
      <c r="O545" s="43">
        <f t="shared" si="282"/>
        <v>575</v>
      </c>
      <c r="P545" s="44">
        <f>SUM(O545:O565)</f>
        <v>10644.941</v>
      </c>
      <c r="Q545" s="44" t="s">
        <v>40</v>
      </c>
      <c r="R545" s="69">
        <f>SUM(7200/96)*H545</f>
        <v>112.5</v>
      </c>
      <c r="S545" s="69"/>
      <c r="T545" s="70">
        <f>SUM(126.55/96)*H545</f>
        <v>1.97734375</v>
      </c>
      <c r="U545" s="69"/>
      <c r="V545" s="69"/>
      <c r="W545" s="71">
        <f t="shared" si="287"/>
        <v>114.47734375</v>
      </c>
      <c r="X545" s="72">
        <f>SUM(261.07/96)*H545</f>
        <v>4.07921875</v>
      </c>
      <c r="Y545" s="72"/>
      <c r="Z545" s="72"/>
      <c r="AA545" s="72">
        <f t="shared" si="284"/>
        <v>4.07921875</v>
      </c>
      <c r="AB545" s="81">
        <v>7.11</v>
      </c>
      <c r="AC545" s="69">
        <f t="shared" si="285"/>
        <v>29.0032453125</v>
      </c>
      <c r="AD545" s="69">
        <f t="shared" si="286"/>
        <v>143.4805890625</v>
      </c>
      <c r="AE545" s="69">
        <f t="shared" si="283"/>
        <v>431.5194109375</v>
      </c>
    </row>
    <row r="546" customFormat="1" spans="1:31">
      <c r="A546" s="19"/>
      <c r="B546" s="20"/>
      <c r="C546" s="21">
        <v>241016000024</v>
      </c>
      <c r="D546" s="22">
        <v>45587</v>
      </c>
      <c r="E546" s="22" t="s">
        <v>37</v>
      </c>
      <c r="F546" s="20" t="s">
        <v>38</v>
      </c>
      <c r="G546" s="20" t="s">
        <v>396</v>
      </c>
      <c r="H546" s="20">
        <v>0.33</v>
      </c>
      <c r="I546" s="39">
        <v>115</v>
      </c>
      <c r="J546" s="40"/>
      <c r="K546" s="41"/>
      <c r="L546" s="20"/>
      <c r="M546" s="41"/>
      <c r="N546" s="42"/>
      <c r="O546" s="43">
        <f t="shared" si="282"/>
        <v>115</v>
      </c>
      <c r="P546" s="45"/>
      <c r="Q546" s="45"/>
      <c r="R546" s="69">
        <f t="shared" ref="R546:R565" si="288">SUM(7200/96)*H546</f>
        <v>24.75</v>
      </c>
      <c r="S546" s="69"/>
      <c r="T546" s="70">
        <f t="shared" ref="T546:T565" si="289">SUM(126.55/96)*H546</f>
        <v>0.435015625</v>
      </c>
      <c r="U546" s="69"/>
      <c r="V546" s="69"/>
      <c r="W546" s="71">
        <f t="shared" si="287"/>
        <v>25.185015625</v>
      </c>
      <c r="X546" s="72">
        <f t="shared" ref="X546:X565" si="290">SUM(261.07/96)*H546</f>
        <v>0.897428125</v>
      </c>
      <c r="Y546" s="72"/>
      <c r="Z546" s="72"/>
      <c r="AA546" s="72">
        <f t="shared" si="284"/>
        <v>0.897428125</v>
      </c>
      <c r="AB546" s="81">
        <v>7.11</v>
      </c>
      <c r="AC546" s="69">
        <f t="shared" si="285"/>
        <v>6.38071396875</v>
      </c>
      <c r="AD546" s="69">
        <f t="shared" si="286"/>
        <v>31.56572959375</v>
      </c>
      <c r="AE546" s="69">
        <f t="shared" si="283"/>
        <v>83.43427040625</v>
      </c>
    </row>
    <row r="547" customFormat="1" spans="1:31">
      <c r="A547" s="19"/>
      <c r="B547" s="20"/>
      <c r="C547" s="21">
        <v>241017000002</v>
      </c>
      <c r="D547" s="22">
        <v>45587</v>
      </c>
      <c r="E547" s="22" t="s">
        <v>66</v>
      </c>
      <c r="F547" s="20" t="s">
        <v>67</v>
      </c>
      <c r="G547" s="20" t="s">
        <v>295</v>
      </c>
      <c r="H547" s="20">
        <v>2.5</v>
      </c>
      <c r="I547" s="50"/>
      <c r="J547" s="46">
        <v>124185</v>
      </c>
      <c r="K547" s="41"/>
      <c r="L547" s="47">
        <f>SUM(J547/M547)</f>
        <v>1731.28398159766</v>
      </c>
      <c r="M547" s="48">
        <v>71.73</v>
      </c>
      <c r="N547" s="42">
        <v>7.11</v>
      </c>
      <c r="O547" s="43">
        <f>SUM(M547*N547)</f>
        <v>510.0003</v>
      </c>
      <c r="P547" s="45"/>
      <c r="Q547" s="45"/>
      <c r="R547" s="69">
        <f t="shared" si="288"/>
        <v>187.5</v>
      </c>
      <c r="S547" s="69"/>
      <c r="T547" s="70">
        <f t="shared" si="289"/>
        <v>3.29557291666667</v>
      </c>
      <c r="U547" s="69"/>
      <c r="V547" s="69"/>
      <c r="W547" s="71">
        <f t="shared" si="287"/>
        <v>190.795572916667</v>
      </c>
      <c r="X547" s="72">
        <f t="shared" si="290"/>
        <v>6.79869791666667</v>
      </c>
      <c r="Y547" s="72"/>
      <c r="Z547" s="72"/>
      <c r="AA547" s="72">
        <f t="shared" si="284"/>
        <v>6.79869791666667</v>
      </c>
      <c r="AB547" s="81">
        <v>7.11</v>
      </c>
      <c r="AC547" s="69">
        <f t="shared" si="285"/>
        <v>48.3387421875</v>
      </c>
      <c r="AD547" s="69">
        <f t="shared" si="286"/>
        <v>239.134315104167</v>
      </c>
      <c r="AE547" s="69">
        <f t="shared" si="283"/>
        <v>270.865984895833</v>
      </c>
    </row>
    <row r="548" customFormat="1" spans="1:31">
      <c r="A548" s="19"/>
      <c r="B548" s="20"/>
      <c r="C548" s="21">
        <v>241017000028</v>
      </c>
      <c r="D548" s="22">
        <v>45587</v>
      </c>
      <c r="E548" s="22" t="s">
        <v>135</v>
      </c>
      <c r="F548" s="20" t="s">
        <v>136</v>
      </c>
      <c r="G548" s="20" t="s">
        <v>137</v>
      </c>
      <c r="H548" s="20">
        <v>14</v>
      </c>
      <c r="I548" s="39">
        <v>1610</v>
      </c>
      <c r="J548" s="40"/>
      <c r="K548" s="41"/>
      <c r="L548" s="20"/>
      <c r="M548" s="41"/>
      <c r="N548" s="42"/>
      <c r="O548" s="43">
        <f t="shared" ref="O548:O552" si="291">SUM(I548)</f>
        <v>1610</v>
      </c>
      <c r="P548" s="45"/>
      <c r="Q548" s="45"/>
      <c r="R548" s="69">
        <f t="shared" si="288"/>
        <v>1050</v>
      </c>
      <c r="S548" s="69"/>
      <c r="T548" s="70">
        <f t="shared" si="289"/>
        <v>18.4552083333333</v>
      </c>
      <c r="U548" s="69"/>
      <c r="V548" s="69"/>
      <c r="W548" s="71">
        <f t="shared" si="287"/>
        <v>1068.45520833333</v>
      </c>
      <c r="X548" s="72">
        <f t="shared" si="290"/>
        <v>38.0727083333333</v>
      </c>
      <c r="Y548" s="72"/>
      <c r="Z548" s="72"/>
      <c r="AA548" s="72">
        <f t="shared" si="284"/>
        <v>38.0727083333333</v>
      </c>
      <c r="AB548" s="81">
        <v>7.11</v>
      </c>
      <c r="AC548" s="69">
        <f t="shared" si="285"/>
        <v>270.69695625</v>
      </c>
      <c r="AD548" s="69">
        <f t="shared" si="286"/>
        <v>1339.15216458333</v>
      </c>
      <c r="AE548" s="69">
        <f t="shared" si="283"/>
        <v>270.847835416667</v>
      </c>
    </row>
    <row r="549" customFormat="1" spans="1:31">
      <c r="A549" s="19"/>
      <c r="B549" s="20"/>
      <c r="C549" s="21">
        <v>241017000033</v>
      </c>
      <c r="D549" s="22">
        <v>45587</v>
      </c>
      <c r="E549" s="22" t="s">
        <v>37</v>
      </c>
      <c r="F549" s="20" t="s">
        <v>38</v>
      </c>
      <c r="G549" s="20" t="s">
        <v>397</v>
      </c>
      <c r="H549" s="20">
        <v>4.5</v>
      </c>
      <c r="I549" s="39">
        <v>540</v>
      </c>
      <c r="J549" s="40"/>
      <c r="K549" s="41"/>
      <c r="L549" s="20"/>
      <c r="M549" s="41"/>
      <c r="N549" s="42"/>
      <c r="O549" s="43">
        <f t="shared" si="291"/>
        <v>540</v>
      </c>
      <c r="P549" s="45"/>
      <c r="Q549" s="45"/>
      <c r="R549" s="69">
        <f t="shared" si="288"/>
        <v>337.5</v>
      </c>
      <c r="S549" s="69"/>
      <c r="T549" s="70">
        <f t="shared" si="289"/>
        <v>5.93203125</v>
      </c>
      <c r="U549" s="69"/>
      <c r="V549" s="69"/>
      <c r="W549" s="71">
        <f t="shared" si="287"/>
        <v>343.43203125</v>
      </c>
      <c r="X549" s="72">
        <f t="shared" si="290"/>
        <v>12.23765625</v>
      </c>
      <c r="Y549" s="72"/>
      <c r="Z549" s="72"/>
      <c r="AA549" s="72">
        <f t="shared" si="284"/>
        <v>12.23765625</v>
      </c>
      <c r="AB549" s="81">
        <v>7.11</v>
      </c>
      <c r="AC549" s="69">
        <f t="shared" si="285"/>
        <v>87.0097359375</v>
      </c>
      <c r="AD549" s="69">
        <f t="shared" si="286"/>
        <v>430.4417671875</v>
      </c>
      <c r="AE549" s="69">
        <f t="shared" si="283"/>
        <v>109.5582328125</v>
      </c>
    </row>
    <row r="550" customFormat="1" spans="1:31">
      <c r="A550" s="19"/>
      <c r="B550" s="20"/>
      <c r="C550" s="21">
        <v>241017000043</v>
      </c>
      <c r="D550" s="22">
        <v>45587</v>
      </c>
      <c r="E550" s="22" t="s">
        <v>47</v>
      </c>
      <c r="F550" s="20" t="s">
        <v>47</v>
      </c>
      <c r="G550" s="20" t="s">
        <v>65</v>
      </c>
      <c r="H550" s="20">
        <v>2</v>
      </c>
      <c r="I550" s="39">
        <v>265</v>
      </c>
      <c r="J550" s="40"/>
      <c r="K550" s="41"/>
      <c r="L550" s="20"/>
      <c r="M550" s="41"/>
      <c r="N550" s="42"/>
      <c r="O550" s="43">
        <f t="shared" si="291"/>
        <v>265</v>
      </c>
      <c r="P550" s="45"/>
      <c r="Q550" s="45"/>
      <c r="R550" s="69">
        <f t="shared" si="288"/>
        <v>150</v>
      </c>
      <c r="S550" s="69"/>
      <c r="T550" s="70">
        <f t="shared" si="289"/>
        <v>2.63645833333333</v>
      </c>
      <c r="U550" s="69"/>
      <c r="V550" s="69"/>
      <c r="W550" s="71">
        <f t="shared" si="287"/>
        <v>152.636458333333</v>
      </c>
      <c r="X550" s="72">
        <f t="shared" si="290"/>
        <v>5.43895833333333</v>
      </c>
      <c r="Y550" s="72"/>
      <c r="Z550" s="72"/>
      <c r="AA550" s="72">
        <f t="shared" si="284"/>
        <v>5.43895833333333</v>
      </c>
      <c r="AB550" s="81">
        <v>7.11</v>
      </c>
      <c r="AC550" s="69">
        <f t="shared" si="285"/>
        <v>38.67099375</v>
      </c>
      <c r="AD550" s="69">
        <f t="shared" si="286"/>
        <v>191.307452083333</v>
      </c>
      <c r="AE550" s="69">
        <f t="shared" si="283"/>
        <v>73.6925479166667</v>
      </c>
    </row>
    <row r="551" customFormat="1" spans="1:31">
      <c r="A551" s="19"/>
      <c r="B551" s="20"/>
      <c r="C551" s="21">
        <v>241017000046</v>
      </c>
      <c r="D551" s="22">
        <v>45587</v>
      </c>
      <c r="E551" s="22" t="s">
        <v>66</v>
      </c>
      <c r="F551" s="20" t="s">
        <v>67</v>
      </c>
      <c r="G551" s="20" t="s">
        <v>79</v>
      </c>
      <c r="H551" s="20">
        <v>1.5</v>
      </c>
      <c r="I551" s="39">
        <v>172.5</v>
      </c>
      <c r="J551" s="40"/>
      <c r="K551" s="41"/>
      <c r="L551" s="20"/>
      <c r="M551" s="41"/>
      <c r="N551" s="42"/>
      <c r="O551" s="43">
        <f t="shared" si="291"/>
        <v>172.5</v>
      </c>
      <c r="P551" s="45"/>
      <c r="Q551" s="45"/>
      <c r="R551" s="69">
        <f t="shared" si="288"/>
        <v>112.5</v>
      </c>
      <c r="S551" s="69"/>
      <c r="T551" s="70">
        <f t="shared" si="289"/>
        <v>1.97734375</v>
      </c>
      <c r="U551" s="69"/>
      <c r="V551" s="69"/>
      <c r="W551" s="71">
        <f t="shared" si="287"/>
        <v>114.47734375</v>
      </c>
      <c r="X551" s="72">
        <f t="shared" si="290"/>
        <v>4.07921875</v>
      </c>
      <c r="Y551" s="72"/>
      <c r="Z551" s="72"/>
      <c r="AA551" s="72">
        <f t="shared" si="284"/>
        <v>4.07921875</v>
      </c>
      <c r="AB551" s="81">
        <v>7.11</v>
      </c>
      <c r="AC551" s="69">
        <f t="shared" si="285"/>
        <v>29.0032453125</v>
      </c>
      <c r="AD551" s="69">
        <f t="shared" si="286"/>
        <v>143.4805890625</v>
      </c>
      <c r="AE551" s="69">
        <f t="shared" si="283"/>
        <v>29.0194109375</v>
      </c>
    </row>
    <row r="552" customFormat="1" spans="1:31">
      <c r="A552" s="19"/>
      <c r="B552" s="20"/>
      <c r="C552" s="21">
        <v>241017000058</v>
      </c>
      <c r="D552" s="22">
        <v>45587</v>
      </c>
      <c r="E552" s="22" t="s">
        <v>55</v>
      </c>
      <c r="F552" s="20" t="s">
        <v>56</v>
      </c>
      <c r="G552" s="20" t="s">
        <v>398</v>
      </c>
      <c r="H552" s="20">
        <v>0.42</v>
      </c>
      <c r="I552" s="39">
        <v>180</v>
      </c>
      <c r="J552" s="40"/>
      <c r="K552" s="41"/>
      <c r="L552" s="20"/>
      <c r="M552" s="41"/>
      <c r="N552" s="42"/>
      <c r="O552" s="43">
        <f t="shared" si="291"/>
        <v>180</v>
      </c>
      <c r="P552" s="45"/>
      <c r="Q552" s="45"/>
      <c r="R552" s="69">
        <f t="shared" si="288"/>
        <v>31.5</v>
      </c>
      <c r="S552" s="69"/>
      <c r="T552" s="70">
        <f t="shared" si="289"/>
        <v>0.55365625</v>
      </c>
      <c r="U552" s="69"/>
      <c r="V552" s="69"/>
      <c r="W552" s="71">
        <f t="shared" si="287"/>
        <v>32.05365625</v>
      </c>
      <c r="X552" s="72">
        <f t="shared" si="290"/>
        <v>1.14218125</v>
      </c>
      <c r="Y552" s="72"/>
      <c r="Z552" s="72"/>
      <c r="AA552" s="72">
        <f t="shared" si="284"/>
        <v>1.14218125</v>
      </c>
      <c r="AB552" s="81">
        <v>7.11</v>
      </c>
      <c r="AC552" s="69">
        <f t="shared" si="285"/>
        <v>8.1209086875</v>
      </c>
      <c r="AD552" s="69">
        <f t="shared" si="286"/>
        <v>40.1745649375</v>
      </c>
      <c r="AE552" s="69">
        <f t="shared" si="283"/>
        <v>139.8254350625</v>
      </c>
    </row>
    <row r="553" customFormat="1" spans="1:31">
      <c r="A553" s="19"/>
      <c r="B553" s="20"/>
      <c r="C553" s="21">
        <v>241018000003</v>
      </c>
      <c r="D553" s="22">
        <v>45587</v>
      </c>
      <c r="E553" s="22" t="s">
        <v>66</v>
      </c>
      <c r="F553" s="20" t="s">
        <v>67</v>
      </c>
      <c r="G553" s="20" t="s">
        <v>138</v>
      </c>
      <c r="H553" s="20">
        <v>4</v>
      </c>
      <c r="I553" s="50"/>
      <c r="J553" s="46">
        <v>105800</v>
      </c>
      <c r="K553" s="41"/>
      <c r="L553" s="47">
        <f>SUM(J553/M553)</f>
        <v>1635.49234812181</v>
      </c>
      <c r="M553" s="48">
        <v>64.69</v>
      </c>
      <c r="N553" s="42">
        <v>7.11</v>
      </c>
      <c r="O553" s="43">
        <f>SUM(M553*N553)</f>
        <v>459.9459</v>
      </c>
      <c r="P553" s="45"/>
      <c r="Q553" s="45"/>
      <c r="R553" s="69">
        <f t="shared" si="288"/>
        <v>300</v>
      </c>
      <c r="S553" s="69"/>
      <c r="T553" s="70">
        <f t="shared" si="289"/>
        <v>5.27291666666667</v>
      </c>
      <c r="U553" s="69"/>
      <c r="V553" s="69"/>
      <c r="W553" s="71">
        <f t="shared" si="287"/>
        <v>305.272916666667</v>
      </c>
      <c r="X553" s="72">
        <f t="shared" si="290"/>
        <v>10.8779166666667</v>
      </c>
      <c r="Y553" s="72"/>
      <c r="Z553" s="72"/>
      <c r="AA553" s="72">
        <f t="shared" si="284"/>
        <v>10.8779166666667</v>
      </c>
      <c r="AB553" s="81">
        <v>7.11</v>
      </c>
      <c r="AC553" s="69">
        <f t="shared" si="285"/>
        <v>77.3419875</v>
      </c>
      <c r="AD553" s="69">
        <f t="shared" si="286"/>
        <v>382.614904166667</v>
      </c>
      <c r="AE553" s="69">
        <f t="shared" si="283"/>
        <v>77.3309958333333</v>
      </c>
    </row>
    <row r="554" customFormat="1" spans="1:31">
      <c r="A554" s="19"/>
      <c r="B554" s="20"/>
      <c r="C554" s="21">
        <v>241018000047</v>
      </c>
      <c r="D554" s="22">
        <v>45587</v>
      </c>
      <c r="E554" s="22" t="s">
        <v>66</v>
      </c>
      <c r="F554" s="20" t="s">
        <v>67</v>
      </c>
      <c r="G554" s="20" t="s">
        <v>84</v>
      </c>
      <c r="H554" s="20">
        <v>4.5</v>
      </c>
      <c r="I554" s="39">
        <v>517.5</v>
      </c>
      <c r="J554" s="40"/>
      <c r="K554" s="41"/>
      <c r="L554" s="20"/>
      <c r="M554" s="41"/>
      <c r="N554" s="42"/>
      <c r="O554" s="43">
        <f t="shared" ref="O554:O559" si="292">SUM(I554)</f>
        <v>517.5</v>
      </c>
      <c r="P554" s="45"/>
      <c r="Q554" s="45"/>
      <c r="R554" s="69">
        <f t="shared" si="288"/>
        <v>337.5</v>
      </c>
      <c r="S554" s="69"/>
      <c r="T554" s="70">
        <f t="shared" si="289"/>
        <v>5.93203125</v>
      </c>
      <c r="U554" s="69"/>
      <c r="V554" s="69"/>
      <c r="W554" s="71">
        <f t="shared" si="287"/>
        <v>343.43203125</v>
      </c>
      <c r="X554" s="72">
        <f t="shared" si="290"/>
        <v>12.23765625</v>
      </c>
      <c r="Y554" s="72"/>
      <c r="Z554" s="72"/>
      <c r="AA554" s="72">
        <f t="shared" si="284"/>
        <v>12.23765625</v>
      </c>
      <c r="AB554" s="81">
        <v>7.11</v>
      </c>
      <c r="AC554" s="69">
        <f t="shared" si="285"/>
        <v>87.0097359375</v>
      </c>
      <c r="AD554" s="69">
        <f t="shared" si="286"/>
        <v>430.4417671875</v>
      </c>
      <c r="AE554" s="69">
        <f t="shared" si="283"/>
        <v>87.0582328125</v>
      </c>
    </row>
    <row r="555" customFormat="1" spans="1:31">
      <c r="A555" s="19"/>
      <c r="B555" s="20"/>
      <c r="C555" s="21">
        <v>241019000004</v>
      </c>
      <c r="D555" s="22">
        <v>45587</v>
      </c>
      <c r="E555" s="22" t="s">
        <v>66</v>
      </c>
      <c r="F555" s="20" t="s">
        <v>67</v>
      </c>
      <c r="G555" s="20" t="s">
        <v>263</v>
      </c>
      <c r="H555" s="20">
        <v>0.6</v>
      </c>
      <c r="I555" s="39">
        <v>170</v>
      </c>
      <c r="J555" s="40"/>
      <c r="K555" s="41"/>
      <c r="L555" s="20"/>
      <c r="M555" s="41"/>
      <c r="N555" s="42"/>
      <c r="O555" s="43">
        <f t="shared" si="292"/>
        <v>170</v>
      </c>
      <c r="P555" s="45"/>
      <c r="Q555" s="45"/>
      <c r="R555" s="69">
        <f t="shared" si="288"/>
        <v>45</v>
      </c>
      <c r="S555" s="69"/>
      <c r="T555" s="70">
        <f t="shared" si="289"/>
        <v>0.7909375</v>
      </c>
      <c r="U555" s="69"/>
      <c r="V555" s="69"/>
      <c r="W555" s="71">
        <f t="shared" si="287"/>
        <v>45.7909375</v>
      </c>
      <c r="X555" s="72">
        <f t="shared" si="290"/>
        <v>1.6316875</v>
      </c>
      <c r="Y555" s="72"/>
      <c r="Z555" s="72"/>
      <c r="AA555" s="72">
        <f t="shared" si="284"/>
        <v>1.6316875</v>
      </c>
      <c r="AB555" s="81">
        <v>7.11</v>
      </c>
      <c r="AC555" s="69">
        <f t="shared" si="285"/>
        <v>11.601298125</v>
      </c>
      <c r="AD555" s="69">
        <f t="shared" si="286"/>
        <v>57.392235625</v>
      </c>
      <c r="AE555" s="69">
        <f t="shared" si="283"/>
        <v>112.607764375</v>
      </c>
    </row>
    <row r="556" customFormat="1" spans="1:31">
      <c r="A556" s="19"/>
      <c r="B556" s="20"/>
      <c r="C556" s="21">
        <v>241019000009</v>
      </c>
      <c r="D556" s="22">
        <v>45587</v>
      </c>
      <c r="E556" s="22" t="s">
        <v>66</v>
      </c>
      <c r="F556" s="20" t="s">
        <v>67</v>
      </c>
      <c r="G556" s="20" t="s">
        <v>73</v>
      </c>
      <c r="H556" s="20">
        <v>0.34</v>
      </c>
      <c r="I556" s="39">
        <v>160</v>
      </c>
      <c r="J556" s="40"/>
      <c r="K556" s="41"/>
      <c r="L556" s="20"/>
      <c r="M556" s="41"/>
      <c r="N556" s="42"/>
      <c r="O556" s="43">
        <f t="shared" si="292"/>
        <v>160</v>
      </c>
      <c r="P556" s="45"/>
      <c r="Q556" s="45"/>
      <c r="R556" s="69">
        <f t="shared" si="288"/>
        <v>25.5</v>
      </c>
      <c r="S556" s="69"/>
      <c r="T556" s="70">
        <f t="shared" si="289"/>
        <v>0.448197916666667</v>
      </c>
      <c r="U556" s="69"/>
      <c r="V556" s="69"/>
      <c r="W556" s="71">
        <f t="shared" si="287"/>
        <v>25.9481979166667</v>
      </c>
      <c r="X556" s="72">
        <f t="shared" si="290"/>
        <v>0.924622916666667</v>
      </c>
      <c r="Y556" s="72">
        <v>6.32</v>
      </c>
      <c r="Z556" s="72"/>
      <c r="AA556" s="72">
        <f t="shared" si="284"/>
        <v>7.24462291666667</v>
      </c>
      <c r="AB556" s="81">
        <v>7.11</v>
      </c>
      <c r="AC556" s="69">
        <f t="shared" si="285"/>
        <v>51.5092689375</v>
      </c>
      <c r="AD556" s="69">
        <f t="shared" si="286"/>
        <v>77.4574668541667</v>
      </c>
      <c r="AE556" s="69">
        <f t="shared" si="283"/>
        <v>82.5425331458333</v>
      </c>
    </row>
    <row r="557" customFormat="1" spans="1:31">
      <c r="A557" s="19"/>
      <c r="B557" s="20"/>
      <c r="C557" s="21">
        <v>241019000015</v>
      </c>
      <c r="D557" s="22">
        <v>45587</v>
      </c>
      <c r="E557" s="22" t="s">
        <v>47</v>
      </c>
      <c r="F557" s="20" t="s">
        <v>47</v>
      </c>
      <c r="G557" s="20" t="s">
        <v>48</v>
      </c>
      <c r="H557" s="20">
        <v>10.5</v>
      </c>
      <c r="I557" s="39">
        <v>2460</v>
      </c>
      <c r="J557" s="40"/>
      <c r="K557" s="41"/>
      <c r="L557" s="20"/>
      <c r="M557" s="41"/>
      <c r="N557" s="42"/>
      <c r="O557" s="43">
        <f t="shared" si="292"/>
        <v>2460</v>
      </c>
      <c r="P557" s="45"/>
      <c r="Q557" s="45"/>
      <c r="R557" s="69">
        <f t="shared" si="288"/>
        <v>787.5</v>
      </c>
      <c r="S557" s="69"/>
      <c r="T557" s="70">
        <f t="shared" si="289"/>
        <v>13.84140625</v>
      </c>
      <c r="U557" s="69"/>
      <c r="V557" s="69"/>
      <c r="W557" s="71">
        <f t="shared" si="287"/>
        <v>801.34140625</v>
      </c>
      <c r="X557" s="72">
        <f t="shared" si="290"/>
        <v>28.55453125</v>
      </c>
      <c r="Y557" s="72"/>
      <c r="Z557" s="72"/>
      <c r="AA557" s="72">
        <f t="shared" si="284"/>
        <v>28.55453125</v>
      </c>
      <c r="AB557" s="81">
        <v>7.11</v>
      </c>
      <c r="AC557" s="69">
        <f t="shared" si="285"/>
        <v>203.0227171875</v>
      </c>
      <c r="AD557" s="69">
        <f t="shared" si="286"/>
        <v>1004.3641234375</v>
      </c>
      <c r="AE557" s="69">
        <f t="shared" si="283"/>
        <v>1455.6358765625</v>
      </c>
    </row>
    <row r="558" customFormat="1" spans="1:31">
      <c r="A558" s="19"/>
      <c r="B558" s="20"/>
      <c r="C558" s="21">
        <v>241020000001</v>
      </c>
      <c r="D558" s="22">
        <v>45587</v>
      </c>
      <c r="E558" s="22" t="s">
        <v>47</v>
      </c>
      <c r="F558" s="20" t="s">
        <v>47</v>
      </c>
      <c r="G558" s="20" t="s">
        <v>399</v>
      </c>
      <c r="H558" s="20">
        <v>0.98</v>
      </c>
      <c r="I558" s="39">
        <v>350</v>
      </c>
      <c r="J558" s="40"/>
      <c r="K558" s="41"/>
      <c r="L558" s="20"/>
      <c r="M558" s="41"/>
      <c r="N558" s="42"/>
      <c r="O558" s="43">
        <f t="shared" si="292"/>
        <v>350</v>
      </c>
      <c r="P558" s="45"/>
      <c r="Q558" s="45"/>
      <c r="R558" s="69">
        <f t="shared" si="288"/>
        <v>73.5</v>
      </c>
      <c r="S558" s="69"/>
      <c r="T558" s="70">
        <f t="shared" si="289"/>
        <v>1.29186458333333</v>
      </c>
      <c r="U558" s="69"/>
      <c r="V558" s="69"/>
      <c r="W558" s="71">
        <f t="shared" si="287"/>
        <v>74.7918645833333</v>
      </c>
      <c r="X558" s="72">
        <f t="shared" si="290"/>
        <v>2.66508958333333</v>
      </c>
      <c r="Y558" s="72"/>
      <c r="Z558" s="72"/>
      <c r="AA558" s="72">
        <f t="shared" si="284"/>
        <v>2.66508958333333</v>
      </c>
      <c r="AB558" s="81">
        <v>7.11</v>
      </c>
      <c r="AC558" s="69">
        <f t="shared" si="285"/>
        <v>18.9487869375</v>
      </c>
      <c r="AD558" s="69">
        <f t="shared" si="286"/>
        <v>93.7406515208333</v>
      </c>
      <c r="AE558" s="69">
        <f t="shared" si="283"/>
        <v>256.259348479167</v>
      </c>
    </row>
    <row r="559" customFormat="1" spans="1:31">
      <c r="A559" s="19"/>
      <c r="B559" s="20"/>
      <c r="C559" s="21">
        <v>241021000004</v>
      </c>
      <c r="D559" s="22">
        <v>45587</v>
      </c>
      <c r="E559" s="22" t="s">
        <v>66</v>
      </c>
      <c r="F559" s="20" t="s">
        <v>67</v>
      </c>
      <c r="G559" s="20" t="s">
        <v>129</v>
      </c>
      <c r="H559" s="20">
        <v>2.5</v>
      </c>
      <c r="I559" s="39">
        <v>300</v>
      </c>
      <c r="J559" s="40"/>
      <c r="K559" s="41"/>
      <c r="L559" s="20"/>
      <c r="M559" s="41"/>
      <c r="N559" s="42"/>
      <c r="O559" s="43">
        <f t="shared" si="292"/>
        <v>300</v>
      </c>
      <c r="P559" s="45"/>
      <c r="Q559" s="45"/>
      <c r="R559" s="69">
        <f t="shared" si="288"/>
        <v>187.5</v>
      </c>
      <c r="S559" s="69"/>
      <c r="T559" s="70">
        <f t="shared" si="289"/>
        <v>3.29557291666667</v>
      </c>
      <c r="U559" s="69"/>
      <c r="V559" s="69"/>
      <c r="W559" s="71">
        <f t="shared" si="287"/>
        <v>190.795572916667</v>
      </c>
      <c r="X559" s="72">
        <f t="shared" si="290"/>
        <v>6.79869791666667</v>
      </c>
      <c r="Y559" s="72"/>
      <c r="Z559" s="72"/>
      <c r="AA559" s="72">
        <f t="shared" si="284"/>
        <v>6.79869791666667</v>
      </c>
      <c r="AB559" s="81">
        <v>7.11</v>
      </c>
      <c r="AC559" s="69">
        <f t="shared" si="285"/>
        <v>48.3387421875</v>
      </c>
      <c r="AD559" s="69">
        <f t="shared" si="286"/>
        <v>239.134315104167</v>
      </c>
      <c r="AE559" s="69">
        <f t="shared" si="283"/>
        <v>60.8656848958333</v>
      </c>
    </row>
    <row r="560" customFormat="1" spans="1:31">
      <c r="A560" s="19"/>
      <c r="B560" s="20"/>
      <c r="C560" s="21">
        <v>241021000020</v>
      </c>
      <c r="D560" s="22">
        <v>45587</v>
      </c>
      <c r="E560" s="22" t="s">
        <v>41</v>
      </c>
      <c r="F560" s="20" t="s">
        <v>42</v>
      </c>
      <c r="G560" s="20" t="s">
        <v>400</v>
      </c>
      <c r="H560" s="20">
        <v>7</v>
      </c>
      <c r="I560" s="50"/>
      <c r="J560" s="46">
        <v>206550</v>
      </c>
      <c r="K560" s="41"/>
      <c r="L560" s="47">
        <f t="shared" ref="L560:L563" si="293">SUM(J560/M560)</f>
        <v>1727.72898368883</v>
      </c>
      <c r="M560" s="48">
        <v>119.55</v>
      </c>
      <c r="N560" s="42">
        <v>7.11</v>
      </c>
      <c r="O560" s="43">
        <f t="shared" ref="O560:O563" si="294">SUM(M560*N560)</f>
        <v>850.0005</v>
      </c>
      <c r="P560" s="45"/>
      <c r="Q560" s="45"/>
      <c r="R560" s="69">
        <f t="shared" si="288"/>
        <v>525</v>
      </c>
      <c r="S560" s="69"/>
      <c r="T560" s="70">
        <f t="shared" si="289"/>
        <v>9.22760416666667</v>
      </c>
      <c r="U560" s="69"/>
      <c r="V560" s="69"/>
      <c r="W560" s="71">
        <f t="shared" si="287"/>
        <v>534.227604166667</v>
      </c>
      <c r="X560" s="72">
        <f t="shared" si="290"/>
        <v>19.0363541666667</v>
      </c>
      <c r="Y560" s="72"/>
      <c r="Z560" s="72"/>
      <c r="AA560" s="72">
        <f t="shared" si="284"/>
        <v>19.0363541666667</v>
      </c>
      <c r="AB560" s="81">
        <v>7.11</v>
      </c>
      <c r="AC560" s="69">
        <f t="shared" si="285"/>
        <v>135.348478125</v>
      </c>
      <c r="AD560" s="69">
        <f t="shared" si="286"/>
        <v>669.576082291667</v>
      </c>
      <c r="AE560" s="69">
        <f t="shared" si="283"/>
        <v>180.424417708333</v>
      </c>
    </row>
    <row r="561" customFormat="1" spans="1:31">
      <c r="A561" s="19"/>
      <c r="B561" s="20"/>
      <c r="C561" s="21">
        <v>241021000022</v>
      </c>
      <c r="D561" s="22">
        <v>45587</v>
      </c>
      <c r="E561" s="22" t="s">
        <v>41</v>
      </c>
      <c r="F561" s="20" t="s">
        <v>42</v>
      </c>
      <c r="G561" s="20" t="s">
        <v>62</v>
      </c>
      <c r="H561" s="20">
        <v>4</v>
      </c>
      <c r="I561" s="50"/>
      <c r="J561" s="46">
        <v>111780</v>
      </c>
      <c r="K561" s="41"/>
      <c r="L561" s="47">
        <f t="shared" si="293"/>
        <v>1727.93321997218</v>
      </c>
      <c r="M561" s="48">
        <v>64.69</v>
      </c>
      <c r="N561" s="42">
        <v>7.11</v>
      </c>
      <c r="O561" s="43">
        <f t="shared" si="294"/>
        <v>459.9459</v>
      </c>
      <c r="P561" s="45"/>
      <c r="Q561" s="45"/>
      <c r="R561" s="69">
        <f t="shared" si="288"/>
        <v>300</v>
      </c>
      <c r="S561" s="69"/>
      <c r="T561" s="70">
        <f t="shared" si="289"/>
        <v>5.27291666666667</v>
      </c>
      <c r="U561" s="69"/>
      <c r="V561" s="69"/>
      <c r="W561" s="71">
        <f t="shared" si="287"/>
        <v>305.272916666667</v>
      </c>
      <c r="X561" s="72">
        <f t="shared" si="290"/>
        <v>10.8779166666667</v>
      </c>
      <c r="Y561" s="72"/>
      <c r="Z561" s="72"/>
      <c r="AA561" s="72">
        <f t="shared" si="284"/>
        <v>10.8779166666667</v>
      </c>
      <c r="AB561" s="81">
        <v>7.11</v>
      </c>
      <c r="AC561" s="69">
        <f t="shared" si="285"/>
        <v>77.3419875</v>
      </c>
      <c r="AD561" s="69">
        <f t="shared" si="286"/>
        <v>382.614904166667</v>
      </c>
      <c r="AE561" s="69">
        <f t="shared" si="283"/>
        <v>77.3309958333333</v>
      </c>
    </row>
    <row r="562" customFormat="1" spans="1:31">
      <c r="A562" s="19"/>
      <c r="B562" s="20"/>
      <c r="C562" s="21">
        <v>241021000024</v>
      </c>
      <c r="D562" s="22">
        <v>45587</v>
      </c>
      <c r="E562" s="22" t="s">
        <v>41</v>
      </c>
      <c r="F562" s="20" t="s">
        <v>42</v>
      </c>
      <c r="G562" s="20" t="s">
        <v>85</v>
      </c>
      <c r="H562" s="20">
        <v>2</v>
      </c>
      <c r="I562" s="50"/>
      <c r="J562" s="46">
        <v>58320</v>
      </c>
      <c r="K562" s="41"/>
      <c r="L562" s="47">
        <f t="shared" si="293"/>
        <v>1728</v>
      </c>
      <c r="M562" s="48">
        <v>33.75</v>
      </c>
      <c r="N562" s="42">
        <v>7.11</v>
      </c>
      <c r="O562" s="43">
        <f t="shared" si="294"/>
        <v>239.9625</v>
      </c>
      <c r="P562" s="45"/>
      <c r="Q562" s="45"/>
      <c r="R562" s="69">
        <f t="shared" si="288"/>
        <v>150</v>
      </c>
      <c r="S562" s="69"/>
      <c r="T562" s="70">
        <f t="shared" si="289"/>
        <v>2.63645833333333</v>
      </c>
      <c r="U562" s="69"/>
      <c r="V562" s="69"/>
      <c r="W562" s="71">
        <f t="shared" si="287"/>
        <v>152.636458333333</v>
      </c>
      <c r="X562" s="72">
        <f t="shared" si="290"/>
        <v>5.43895833333333</v>
      </c>
      <c r="Y562" s="72"/>
      <c r="Z562" s="72"/>
      <c r="AA562" s="72">
        <f t="shared" si="284"/>
        <v>5.43895833333333</v>
      </c>
      <c r="AB562" s="81">
        <v>7.11</v>
      </c>
      <c r="AC562" s="69">
        <f t="shared" ref="AC562:AC575" si="295">SUM(AA562*AB562)</f>
        <v>38.67099375</v>
      </c>
      <c r="AD562" s="69">
        <f t="shared" si="286"/>
        <v>191.307452083333</v>
      </c>
      <c r="AE562" s="69">
        <f t="shared" si="283"/>
        <v>48.6550479166667</v>
      </c>
    </row>
    <row r="563" customFormat="1" spans="1:31">
      <c r="A563" s="19"/>
      <c r="B563" s="20"/>
      <c r="C563" s="21">
        <v>241021000025</v>
      </c>
      <c r="D563" s="22">
        <v>45587</v>
      </c>
      <c r="E563" s="22" t="s">
        <v>88</v>
      </c>
      <c r="F563" s="20" t="s">
        <v>120</v>
      </c>
      <c r="G563" s="20" t="s">
        <v>401</v>
      </c>
      <c r="H563" s="20">
        <v>0.33</v>
      </c>
      <c r="I563" s="43"/>
      <c r="J563" s="46">
        <v>27928</v>
      </c>
      <c r="K563" s="41"/>
      <c r="L563" s="47">
        <f t="shared" si="293"/>
        <v>1725.01544163064</v>
      </c>
      <c r="M563" s="48">
        <v>16.19</v>
      </c>
      <c r="N563" s="42">
        <v>7.11</v>
      </c>
      <c r="O563" s="43">
        <f t="shared" si="294"/>
        <v>115.1109</v>
      </c>
      <c r="P563" s="45"/>
      <c r="Q563" s="45"/>
      <c r="R563" s="69">
        <f t="shared" si="288"/>
        <v>24.75</v>
      </c>
      <c r="S563" s="69"/>
      <c r="T563" s="70">
        <f t="shared" si="289"/>
        <v>0.435015625</v>
      </c>
      <c r="U563" s="69"/>
      <c r="V563" s="69"/>
      <c r="W563" s="71">
        <f t="shared" si="287"/>
        <v>25.185015625</v>
      </c>
      <c r="X563" s="72">
        <f t="shared" si="290"/>
        <v>0.897428125</v>
      </c>
      <c r="Y563" s="72"/>
      <c r="Z563" s="72"/>
      <c r="AA563" s="72">
        <f t="shared" si="284"/>
        <v>0.897428125</v>
      </c>
      <c r="AB563" s="81">
        <v>7.11</v>
      </c>
      <c r="AC563" s="69">
        <f t="shared" si="295"/>
        <v>6.38071396875</v>
      </c>
      <c r="AD563" s="69">
        <f t="shared" si="286"/>
        <v>31.56572959375</v>
      </c>
      <c r="AE563" s="69">
        <f t="shared" ref="AE563:AE575" si="296">SUM(O563-AD563)</f>
        <v>83.54517040625</v>
      </c>
    </row>
    <row r="564" customFormat="1" spans="1:31">
      <c r="A564" s="19"/>
      <c r="B564" s="20"/>
      <c r="C564" s="21">
        <v>241021000028</v>
      </c>
      <c r="D564" s="22">
        <v>45587</v>
      </c>
      <c r="E564" s="22" t="s">
        <v>41</v>
      </c>
      <c r="F564" s="20" t="s">
        <v>42</v>
      </c>
      <c r="G564" s="20" t="s">
        <v>43</v>
      </c>
      <c r="H564" s="20">
        <v>3</v>
      </c>
      <c r="I564" s="39">
        <v>435</v>
      </c>
      <c r="J564" s="40"/>
      <c r="K564" s="41"/>
      <c r="L564" s="20"/>
      <c r="M564" s="41"/>
      <c r="N564" s="42"/>
      <c r="O564" s="43">
        <f t="shared" ref="O564:O569" si="297">SUM(I564)</f>
        <v>435</v>
      </c>
      <c r="P564" s="45"/>
      <c r="Q564" s="45"/>
      <c r="R564" s="69">
        <f t="shared" si="288"/>
        <v>225</v>
      </c>
      <c r="S564" s="69"/>
      <c r="T564" s="70">
        <f t="shared" si="289"/>
        <v>3.9546875</v>
      </c>
      <c r="U564" s="69"/>
      <c r="V564" s="69"/>
      <c r="W564" s="71">
        <f t="shared" si="287"/>
        <v>228.9546875</v>
      </c>
      <c r="X564" s="72">
        <f t="shared" si="290"/>
        <v>8.1584375</v>
      </c>
      <c r="Y564" s="72"/>
      <c r="Z564" s="72"/>
      <c r="AA564" s="72">
        <f t="shared" ref="AA564:AA575" si="298">SUM(X564:Z564)</f>
        <v>8.1584375</v>
      </c>
      <c r="AB564" s="81">
        <v>7.11</v>
      </c>
      <c r="AC564" s="69">
        <f t="shared" si="295"/>
        <v>58.006490625</v>
      </c>
      <c r="AD564" s="69">
        <f t="shared" ref="AD564:AD575" si="299">SUM(W564+AC564)</f>
        <v>286.961178125</v>
      </c>
      <c r="AE564" s="69">
        <f t="shared" si="296"/>
        <v>148.038821875</v>
      </c>
    </row>
    <row r="565" customFormat="1" spans="1:31">
      <c r="A565" s="19"/>
      <c r="B565" s="20"/>
      <c r="C565" s="21">
        <v>241021000059</v>
      </c>
      <c r="D565" s="22">
        <v>45587</v>
      </c>
      <c r="E565" s="22" t="s">
        <v>76</v>
      </c>
      <c r="F565" s="20" t="s">
        <v>77</v>
      </c>
      <c r="G565" s="20" t="s">
        <v>402</v>
      </c>
      <c r="H565" s="20">
        <v>0.6</v>
      </c>
      <c r="I565" s="39"/>
      <c r="J565" s="46">
        <v>38960</v>
      </c>
      <c r="K565" s="41"/>
      <c r="L565" s="47">
        <f>SUM(J565/M565)</f>
        <v>1731.55555555556</v>
      </c>
      <c r="M565" s="48">
        <v>22.5</v>
      </c>
      <c r="N565" s="42">
        <v>7.11</v>
      </c>
      <c r="O565" s="43">
        <f>SUM(M565*N565)</f>
        <v>159.975</v>
      </c>
      <c r="P565" s="49"/>
      <c r="Q565" s="49"/>
      <c r="R565" s="69">
        <f t="shared" si="288"/>
        <v>45</v>
      </c>
      <c r="S565" s="69"/>
      <c r="T565" s="70">
        <f t="shared" si="289"/>
        <v>0.7909375</v>
      </c>
      <c r="U565" s="69"/>
      <c r="V565" s="69"/>
      <c r="W565" s="71">
        <f t="shared" ref="W565:W575" si="300">SUM(R565:V565)</f>
        <v>45.7909375</v>
      </c>
      <c r="X565" s="72">
        <f t="shared" si="290"/>
        <v>1.6316875</v>
      </c>
      <c r="Y565" s="72"/>
      <c r="Z565" s="72"/>
      <c r="AA565" s="72">
        <f t="shared" si="298"/>
        <v>1.6316875</v>
      </c>
      <c r="AB565" s="81">
        <v>7.11</v>
      </c>
      <c r="AC565" s="69">
        <f t="shared" si="295"/>
        <v>11.601298125</v>
      </c>
      <c r="AD565" s="69">
        <f t="shared" si="299"/>
        <v>57.392235625</v>
      </c>
      <c r="AE565" s="69">
        <f t="shared" si="296"/>
        <v>102.582764375</v>
      </c>
    </row>
    <row r="566" customFormat="1" spans="1:31">
      <c r="A566" s="19" t="s">
        <v>403</v>
      </c>
      <c r="B566" s="20" t="s">
        <v>404</v>
      </c>
      <c r="C566" s="21">
        <v>241014000063</v>
      </c>
      <c r="D566" s="22">
        <v>45587</v>
      </c>
      <c r="E566" s="22" t="s">
        <v>55</v>
      </c>
      <c r="F566" s="20" t="s">
        <v>56</v>
      </c>
      <c r="G566" s="20" t="s">
        <v>405</v>
      </c>
      <c r="H566" s="20">
        <v>2.5</v>
      </c>
      <c r="I566" s="39">
        <v>300</v>
      </c>
      <c r="J566" s="40"/>
      <c r="K566" s="41"/>
      <c r="L566" s="20"/>
      <c r="M566" s="41"/>
      <c r="N566" s="42"/>
      <c r="O566" s="43">
        <f t="shared" si="297"/>
        <v>300</v>
      </c>
      <c r="P566" s="44">
        <f>SUM(O566:O575)</f>
        <v>4378.5879</v>
      </c>
      <c r="Q566" s="44" t="s">
        <v>40</v>
      </c>
      <c r="R566" s="69">
        <f>SUM(2400/32)*H566</f>
        <v>187.5</v>
      </c>
      <c r="S566" s="69"/>
      <c r="T566" s="70">
        <f>SUM(32.49/32)*H566</f>
        <v>2.53828125</v>
      </c>
      <c r="U566" s="69"/>
      <c r="V566" s="69"/>
      <c r="W566" s="71">
        <f t="shared" si="300"/>
        <v>190.03828125</v>
      </c>
      <c r="X566" s="72">
        <f>SUM(43.75/32)*H566</f>
        <v>3.41796875</v>
      </c>
      <c r="Y566" s="72"/>
      <c r="Z566" s="72"/>
      <c r="AA566" s="72">
        <f t="shared" si="298"/>
        <v>3.41796875</v>
      </c>
      <c r="AB566" s="81">
        <v>7.11</v>
      </c>
      <c r="AC566" s="69">
        <f t="shared" si="295"/>
        <v>24.3017578125</v>
      </c>
      <c r="AD566" s="69">
        <f t="shared" si="299"/>
        <v>214.3400390625</v>
      </c>
      <c r="AE566" s="69">
        <f t="shared" si="296"/>
        <v>85.6599609375</v>
      </c>
    </row>
    <row r="567" customFormat="1" spans="1:31">
      <c r="A567" s="19"/>
      <c r="B567" s="20"/>
      <c r="C567" s="21">
        <v>241015000002</v>
      </c>
      <c r="D567" s="22">
        <v>45587</v>
      </c>
      <c r="E567" s="22" t="s">
        <v>47</v>
      </c>
      <c r="F567" s="20" t="s">
        <v>51</v>
      </c>
      <c r="G567" s="20" t="s">
        <v>52</v>
      </c>
      <c r="H567" s="20">
        <v>0.99</v>
      </c>
      <c r="I567" s="39">
        <v>120</v>
      </c>
      <c r="J567" s="40"/>
      <c r="K567" s="41"/>
      <c r="L567" s="20"/>
      <c r="M567" s="41"/>
      <c r="N567" s="42"/>
      <c r="O567" s="43">
        <f t="shared" si="297"/>
        <v>120</v>
      </c>
      <c r="P567" s="45"/>
      <c r="Q567" s="45"/>
      <c r="R567" s="69">
        <f t="shared" ref="R567:R575" si="301">SUM(2400/32)*H567</f>
        <v>74.25</v>
      </c>
      <c r="S567" s="69"/>
      <c r="T567" s="70">
        <f t="shared" ref="T567:T575" si="302">SUM(32.49/32)*H567</f>
        <v>1.005159375</v>
      </c>
      <c r="U567" s="69"/>
      <c r="V567" s="69"/>
      <c r="W567" s="71">
        <f t="shared" si="300"/>
        <v>75.255159375</v>
      </c>
      <c r="X567" s="72">
        <f t="shared" ref="X567:X575" si="303">SUM(43.75/32)*H567</f>
        <v>1.353515625</v>
      </c>
      <c r="Y567" s="72"/>
      <c r="Z567" s="72"/>
      <c r="AA567" s="72">
        <f t="shared" si="298"/>
        <v>1.353515625</v>
      </c>
      <c r="AB567" s="81">
        <v>7.11</v>
      </c>
      <c r="AC567" s="69">
        <f t="shared" si="295"/>
        <v>9.62349609375</v>
      </c>
      <c r="AD567" s="69">
        <f t="shared" si="299"/>
        <v>84.87865546875</v>
      </c>
      <c r="AE567" s="69">
        <f t="shared" si="296"/>
        <v>35.12134453125</v>
      </c>
    </row>
    <row r="568" customFormat="1" spans="1:31">
      <c r="A568" s="19"/>
      <c r="B568" s="20"/>
      <c r="C568" s="21">
        <v>241015000021</v>
      </c>
      <c r="D568" s="22">
        <v>45587</v>
      </c>
      <c r="E568" s="22" t="s">
        <v>41</v>
      </c>
      <c r="F568" s="20" t="s">
        <v>42</v>
      </c>
      <c r="G568" s="20" t="s">
        <v>331</v>
      </c>
      <c r="H568" s="20">
        <v>4.5</v>
      </c>
      <c r="I568" s="39">
        <v>540</v>
      </c>
      <c r="J568" s="40"/>
      <c r="K568" s="41"/>
      <c r="L568" s="20"/>
      <c r="M568" s="41"/>
      <c r="N568" s="42"/>
      <c r="O568" s="43">
        <f t="shared" si="297"/>
        <v>540</v>
      </c>
      <c r="P568" s="45"/>
      <c r="Q568" s="45"/>
      <c r="R568" s="69">
        <f t="shared" si="301"/>
        <v>337.5</v>
      </c>
      <c r="S568" s="69"/>
      <c r="T568" s="70">
        <f t="shared" si="302"/>
        <v>4.56890625</v>
      </c>
      <c r="U568" s="69"/>
      <c r="V568" s="69"/>
      <c r="W568" s="71">
        <f t="shared" si="300"/>
        <v>342.06890625</v>
      </c>
      <c r="X568" s="72">
        <f t="shared" si="303"/>
        <v>6.15234375</v>
      </c>
      <c r="Y568" s="72"/>
      <c r="Z568" s="72"/>
      <c r="AA568" s="72">
        <f t="shared" si="298"/>
        <v>6.15234375</v>
      </c>
      <c r="AB568" s="81">
        <v>7.11</v>
      </c>
      <c r="AC568" s="69">
        <f t="shared" si="295"/>
        <v>43.7431640625</v>
      </c>
      <c r="AD568" s="69">
        <f t="shared" si="299"/>
        <v>385.8120703125</v>
      </c>
      <c r="AE568" s="69">
        <f t="shared" si="296"/>
        <v>154.1879296875</v>
      </c>
    </row>
    <row r="569" customFormat="1" spans="1:31">
      <c r="A569" s="19"/>
      <c r="B569" s="20"/>
      <c r="C569" s="21">
        <v>241015000055</v>
      </c>
      <c r="D569" s="22">
        <v>45587</v>
      </c>
      <c r="E569" s="22" t="s">
        <v>66</v>
      </c>
      <c r="F569" s="20" t="s">
        <v>67</v>
      </c>
      <c r="G569" s="20" t="s">
        <v>79</v>
      </c>
      <c r="H569" s="20">
        <v>0.62</v>
      </c>
      <c r="I569" s="39">
        <v>200</v>
      </c>
      <c r="J569" s="40"/>
      <c r="K569" s="41"/>
      <c r="L569" s="20"/>
      <c r="M569" s="41"/>
      <c r="N569" s="42"/>
      <c r="O569" s="43">
        <f t="shared" si="297"/>
        <v>200</v>
      </c>
      <c r="P569" s="45"/>
      <c r="Q569" s="45"/>
      <c r="R569" s="69">
        <f t="shared" si="301"/>
        <v>46.5</v>
      </c>
      <c r="S569" s="69"/>
      <c r="T569" s="70">
        <f t="shared" si="302"/>
        <v>0.62949375</v>
      </c>
      <c r="U569" s="69"/>
      <c r="V569" s="69"/>
      <c r="W569" s="71">
        <f t="shared" si="300"/>
        <v>47.12949375</v>
      </c>
      <c r="X569" s="72">
        <f t="shared" si="303"/>
        <v>0.84765625</v>
      </c>
      <c r="Y569" s="72"/>
      <c r="Z569" s="72"/>
      <c r="AA569" s="72">
        <f t="shared" si="298"/>
        <v>0.84765625</v>
      </c>
      <c r="AB569" s="81">
        <v>7.11</v>
      </c>
      <c r="AC569" s="69">
        <f t="shared" si="295"/>
        <v>6.0268359375</v>
      </c>
      <c r="AD569" s="69">
        <f t="shared" si="299"/>
        <v>53.1563296875</v>
      </c>
      <c r="AE569" s="69">
        <f t="shared" si="296"/>
        <v>146.8436703125</v>
      </c>
    </row>
    <row r="570" customFormat="1" spans="1:31">
      <c r="A570" s="19"/>
      <c r="B570" s="20"/>
      <c r="C570" s="21">
        <v>241018000002</v>
      </c>
      <c r="D570" s="22">
        <v>45587</v>
      </c>
      <c r="E570" s="22" t="s">
        <v>66</v>
      </c>
      <c r="F570" s="20" t="s">
        <v>67</v>
      </c>
      <c r="G570" s="20" t="s">
        <v>138</v>
      </c>
      <c r="H570" s="20">
        <v>5</v>
      </c>
      <c r="I570" s="50"/>
      <c r="J570" s="46">
        <v>144440</v>
      </c>
      <c r="K570" s="41"/>
      <c r="L570" s="47">
        <f t="shared" ref="L570:L575" si="304">SUM(J570/M570)</f>
        <v>1635.41666666667</v>
      </c>
      <c r="M570" s="48">
        <v>88.32</v>
      </c>
      <c r="N570" s="42">
        <v>7.11</v>
      </c>
      <c r="O570" s="43">
        <f t="shared" ref="O570:O576" si="305">SUM(M570*N570)</f>
        <v>627.9552</v>
      </c>
      <c r="P570" s="45"/>
      <c r="Q570" s="45"/>
      <c r="R570" s="69">
        <f t="shared" si="301"/>
        <v>375</v>
      </c>
      <c r="S570" s="69"/>
      <c r="T570" s="70">
        <f t="shared" si="302"/>
        <v>5.0765625</v>
      </c>
      <c r="U570" s="69"/>
      <c r="V570" s="70">
        <v>53</v>
      </c>
      <c r="W570" s="71">
        <f t="shared" si="300"/>
        <v>433.0765625</v>
      </c>
      <c r="X570" s="72">
        <f t="shared" si="303"/>
        <v>6.8359375</v>
      </c>
      <c r="Y570" s="72"/>
      <c r="Z570" s="72"/>
      <c r="AA570" s="72">
        <f t="shared" si="298"/>
        <v>6.8359375</v>
      </c>
      <c r="AB570" s="81">
        <v>7.11</v>
      </c>
      <c r="AC570" s="69">
        <f t="shared" si="295"/>
        <v>48.603515625</v>
      </c>
      <c r="AD570" s="69">
        <f t="shared" si="299"/>
        <v>481.680078125</v>
      </c>
      <c r="AE570" s="69">
        <f t="shared" si="296"/>
        <v>146.275121875</v>
      </c>
    </row>
    <row r="571" customFormat="1" spans="1:31">
      <c r="A571" s="19"/>
      <c r="B571" s="20"/>
      <c r="C571" s="21">
        <v>241018000007</v>
      </c>
      <c r="D571" s="22">
        <v>45587</v>
      </c>
      <c r="E571" s="22" t="s">
        <v>55</v>
      </c>
      <c r="F571" s="20" t="s">
        <v>56</v>
      </c>
      <c r="G571" s="20" t="s">
        <v>72</v>
      </c>
      <c r="H571" s="20">
        <v>3</v>
      </c>
      <c r="I571" s="50"/>
      <c r="J571" s="46">
        <v>84010</v>
      </c>
      <c r="K571" s="41"/>
      <c r="L571" s="47">
        <f t="shared" si="304"/>
        <v>1731.45094806265</v>
      </c>
      <c r="M571" s="48">
        <v>48.52</v>
      </c>
      <c r="N571" s="42">
        <v>7.11</v>
      </c>
      <c r="O571" s="43">
        <f t="shared" si="305"/>
        <v>344.9772</v>
      </c>
      <c r="P571" s="45"/>
      <c r="Q571" s="45"/>
      <c r="R571" s="69">
        <f t="shared" si="301"/>
        <v>225</v>
      </c>
      <c r="S571" s="69"/>
      <c r="T571" s="70">
        <f t="shared" si="302"/>
        <v>3.0459375</v>
      </c>
      <c r="U571" s="69"/>
      <c r="V571" s="69"/>
      <c r="W571" s="71">
        <f t="shared" si="300"/>
        <v>228.0459375</v>
      </c>
      <c r="X571" s="72">
        <f t="shared" si="303"/>
        <v>4.1015625</v>
      </c>
      <c r="Y571" s="72"/>
      <c r="Z571" s="72"/>
      <c r="AA571" s="72">
        <f t="shared" si="298"/>
        <v>4.1015625</v>
      </c>
      <c r="AB571" s="81">
        <v>7.11</v>
      </c>
      <c r="AC571" s="69">
        <f t="shared" si="295"/>
        <v>29.162109375</v>
      </c>
      <c r="AD571" s="69">
        <f t="shared" si="299"/>
        <v>257.208046875</v>
      </c>
      <c r="AE571" s="69">
        <f t="shared" si="296"/>
        <v>87.7691531249999</v>
      </c>
    </row>
    <row r="572" customFormat="1" spans="1:31">
      <c r="A572" s="19"/>
      <c r="B572" s="20"/>
      <c r="C572" s="21">
        <v>241018000014</v>
      </c>
      <c r="D572" s="22">
        <v>45587</v>
      </c>
      <c r="E572" s="22" t="s">
        <v>37</v>
      </c>
      <c r="F572" s="20" t="s">
        <v>38</v>
      </c>
      <c r="G572" s="20" t="s">
        <v>101</v>
      </c>
      <c r="H572" s="20">
        <v>0.1</v>
      </c>
      <c r="I572" s="39">
        <v>150</v>
      </c>
      <c r="J572" s="40"/>
      <c r="K572" s="41"/>
      <c r="L572" s="20"/>
      <c r="M572" s="41"/>
      <c r="N572" s="42"/>
      <c r="O572" s="43">
        <f t="shared" ref="O572:O574" si="306">SUM(I572)</f>
        <v>150</v>
      </c>
      <c r="P572" s="45"/>
      <c r="Q572" s="45"/>
      <c r="R572" s="69">
        <f t="shared" si="301"/>
        <v>7.5</v>
      </c>
      <c r="S572" s="69"/>
      <c r="T572" s="70">
        <f t="shared" si="302"/>
        <v>0.10153125</v>
      </c>
      <c r="U572" s="69"/>
      <c r="V572" s="69"/>
      <c r="W572" s="71">
        <f t="shared" si="300"/>
        <v>7.60153125</v>
      </c>
      <c r="X572" s="72">
        <f t="shared" si="303"/>
        <v>0.13671875</v>
      </c>
      <c r="Y572" s="72"/>
      <c r="Z572" s="72"/>
      <c r="AA572" s="72">
        <f t="shared" si="298"/>
        <v>0.13671875</v>
      </c>
      <c r="AB572" s="81">
        <v>7.11</v>
      </c>
      <c r="AC572" s="69">
        <f t="shared" si="295"/>
        <v>0.9720703125</v>
      </c>
      <c r="AD572" s="69">
        <f t="shared" si="299"/>
        <v>8.5736015625</v>
      </c>
      <c r="AE572" s="69">
        <f t="shared" si="296"/>
        <v>141.4263984375</v>
      </c>
    </row>
    <row r="573" customFormat="1" spans="1:31">
      <c r="A573" s="19"/>
      <c r="B573" s="20"/>
      <c r="C573" s="21">
        <v>241018000015</v>
      </c>
      <c r="D573" s="22">
        <v>45587</v>
      </c>
      <c r="E573" s="22" t="s">
        <v>37</v>
      </c>
      <c r="F573" s="20" t="s">
        <v>38</v>
      </c>
      <c r="G573" s="20" t="s">
        <v>186</v>
      </c>
      <c r="H573" s="20">
        <v>0.18</v>
      </c>
      <c r="I573" s="39">
        <v>115</v>
      </c>
      <c r="J573" s="40"/>
      <c r="K573" s="41"/>
      <c r="L573" s="20"/>
      <c r="M573" s="41"/>
      <c r="N573" s="42"/>
      <c r="O573" s="43">
        <f t="shared" si="306"/>
        <v>115</v>
      </c>
      <c r="P573" s="45"/>
      <c r="Q573" s="45"/>
      <c r="R573" s="69">
        <f t="shared" si="301"/>
        <v>13.5</v>
      </c>
      <c r="S573" s="69"/>
      <c r="T573" s="70">
        <f t="shared" si="302"/>
        <v>0.18275625</v>
      </c>
      <c r="U573" s="69"/>
      <c r="V573" s="69"/>
      <c r="W573" s="71">
        <f t="shared" si="300"/>
        <v>13.68275625</v>
      </c>
      <c r="X573" s="72">
        <f t="shared" si="303"/>
        <v>0.24609375</v>
      </c>
      <c r="Y573" s="72"/>
      <c r="Z573" s="72"/>
      <c r="AA573" s="72">
        <f t="shared" si="298"/>
        <v>0.24609375</v>
      </c>
      <c r="AB573" s="81">
        <v>7.11</v>
      </c>
      <c r="AC573" s="69">
        <f t="shared" ref="AC573:AC604" si="307">SUM(AA573*AB573)</f>
        <v>1.7497265625</v>
      </c>
      <c r="AD573" s="69">
        <f t="shared" ref="AD573:AD604" si="308">SUM(W573+AC573)</f>
        <v>15.4324828125</v>
      </c>
      <c r="AE573" s="69">
        <f t="shared" ref="AE573:AE604" si="309">SUM(O573-AD573)</f>
        <v>99.5675171875</v>
      </c>
    </row>
    <row r="574" customFormat="1" spans="1:31">
      <c r="A574" s="19"/>
      <c r="B574" s="20"/>
      <c r="C574" s="21">
        <v>241018000016</v>
      </c>
      <c r="D574" s="22">
        <v>45587</v>
      </c>
      <c r="E574" s="22" t="s">
        <v>37</v>
      </c>
      <c r="F574" s="20" t="s">
        <v>38</v>
      </c>
      <c r="G574" s="20" t="s">
        <v>406</v>
      </c>
      <c r="H574" s="20">
        <v>3</v>
      </c>
      <c r="I574" s="39">
        <v>345</v>
      </c>
      <c r="J574" s="40"/>
      <c r="K574" s="41"/>
      <c r="L574" s="20"/>
      <c r="M574" s="41"/>
      <c r="N574" s="42"/>
      <c r="O574" s="43">
        <f t="shared" si="306"/>
        <v>345</v>
      </c>
      <c r="P574" s="45"/>
      <c r="Q574" s="45"/>
      <c r="R574" s="69">
        <f t="shared" si="301"/>
        <v>225</v>
      </c>
      <c r="S574" s="69"/>
      <c r="T574" s="70">
        <f t="shared" si="302"/>
        <v>3.0459375</v>
      </c>
      <c r="U574" s="69"/>
      <c r="V574" s="69"/>
      <c r="W574" s="71">
        <f t="shared" ref="W574:W605" si="310">SUM(R574:V574)</f>
        <v>228.0459375</v>
      </c>
      <c r="X574" s="72">
        <f t="shared" si="303"/>
        <v>4.1015625</v>
      </c>
      <c r="Y574" s="72"/>
      <c r="Z574" s="72"/>
      <c r="AA574" s="72">
        <f t="shared" si="298"/>
        <v>4.1015625</v>
      </c>
      <c r="AB574" s="81">
        <v>7.11</v>
      </c>
      <c r="AC574" s="69">
        <f t="shared" si="307"/>
        <v>29.162109375</v>
      </c>
      <c r="AD574" s="69">
        <f t="shared" si="308"/>
        <v>257.208046875</v>
      </c>
      <c r="AE574" s="69">
        <f t="shared" si="309"/>
        <v>87.791953125</v>
      </c>
    </row>
    <row r="575" customFormat="1" spans="1:31">
      <c r="A575" s="19"/>
      <c r="B575" s="20"/>
      <c r="C575" s="21">
        <v>241019000012</v>
      </c>
      <c r="D575" s="22">
        <v>45587</v>
      </c>
      <c r="E575" s="22" t="s">
        <v>47</v>
      </c>
      <c r="F575" s="20" t="s">
        <v>297</v>
      </c>
      <c r="G575" s="20" t="s">
        <v>298</v>
      </c>
      <c r="H575" s="20">
        <v>14</v>
      </c>
      <c r="I575" s="43"/>
      <c r="J575" s="46">
        <v>396836</v>
      </c>
      <c r="K575" s="41"/>
      <c r="L575" s="47">
        <f t="shared" si="304"/>
        <v>1724.99891327972</v>
      </c>
      <c r="M575" s="48">
        <v>230.05</v>
      </c>
      <c r="N575" s="42">
        <v>7.11</v>
      </c>
      <c r="O575" s="43">
        <f t="shared" si="305"/>
        <v>1635.6555</v>
      </c>
      <c r="P575" s="49"/>
      <c r="Q575" s="49"/>
      <c r="R575" s="69">
        <f t="shared" si="301"/>
        <v>1050</v>
      </c>
      <c r="S575" s="69"/>
      <c r="T575" s="70">
        <f t="shared" si="302"/>
        <v>14.214375</v>
      </c>
      <c r="U575" s="69"/>
      <c r="V575" s="69"/>
      <c r="W575" s="71">
        <f t="shared" si="310"/>
        <v>1064.214375</v>
      </c>
      <c r="X575" s="72">
        <f t="shared" si="303"/>
        <v>19.140625</v>
      </c>
      <c r="Y575" s="72"/>
      <c r="Z575" s="72"/>
      <c r="AA575" s="72">
        <f t="shared" ref="AA575:AA606" si="311">SUM(X575:Z575)</f>
        <v>19.140625</v>
      </c>
      <c r="AB575" s="81">
        <v>7.11</v>
      </c>
      <c r="AC575" s="69">
        <f t="shared" si="307"/>
        <v>136.08984375</v>
      </c>
      <c r="AD575" s="69">
        <f t="shared" si="308"/>
        <v>1200.30421875</v>
      </c>
      <c r="AE575" s="69">
        <f t="shared" si="309"/>
        <v>435.35128125</v>
      </c>
    </row>
    <row r="576" customFormat="1" spans="1:31">
      <c r="A576" s="19" t="s">
        <v>407</v>
      </c>
      <c r="B576" s="20" t="s">
        <v>408</v>
      </c>
      <c r="C576" s="21">
        <v>241015000009</v>
      </c>
      <c r="D576" s="22">
        <v>45587</v>
      </c>
      <c r="E576" s="22" t="s">
        <v>66</v>
      </c>
      <c r="F576" s="20" t="s">
        <v>67</v>
      </c>
      <c r="G576" s="20" t="s">
        <v>205</v>
      </c>
      <c r="H576" s="20">
        <v>153</v>
      </c>
      <c r="I576" s="50"/>
      <c r="J576" s="46">
        <v>2249100</v>
      </c>
      <c r="K576" s="41"/>
      <c r="L576" s="47">
        <f t="shared" ref="L576:L582" si="312">SUM(J576/M576)</f>
        <v>1741.96246698628</v>
      </c>
      <c r="M576" s="48">
        <v>1291.13</v>
      </c>
      <c r="N576" s="42">
        <v>7.11</v>
      </c>
      <c r="O576" s="43">
        <f t="shared" si="305"/>
        <v>9179.9343</v>
      </c>
      <c r="P576" s="44">
        <f>SUM(O576:O625)</f>
        <v>177229.298</v>
      </c>
      <c r="Q576" s="44" t="s">
        <v>95</v>
      </c>
      <c r="R576" s="69">
        <f>SUM(123737/2854)*H576</f>
        <v>6633.41310441486</v>
      </c>
      <c r="S576" s="69"/>
      <c r="T576" s="70">
        <f>SUM(177.65/2854)*H576</f>
        <v>9.52363349684653</v>
      </c>
      <c r="U576" s="69"/>
      <c r="V576" s="69"/>
      <c r="W576" s="71">
        <f t="shared" si="310"/>
        <v>6642.9367379117</v>
      </c>
      <c r="X576" s="72">
        <f>SUM(2001.46/2854)*H576</f>
        <v>107.296208829713</v>
      </c>
      <c r="Y576" s="72"/>
      <c r="Z576" s="72"/>
      <c r="AA576" s="72">
        <f t="shared" si="311"/>
        <v>107.296208829713</v>
      </c>
      <c r="AB576" s="81">
        <v>7.11</v>
      </c>
      <c r="AC576" s="69">
        <f t="shared" si="307"/>
        <v>762.876044779257</v>
      </c>
      <c r="AD576" s="69">
        <f t="shared" si="308"/>
        <v>7405.81278269096</v>
      </c>
      <c r="AE576" s="69">
        <f t="shared" si="309"/>
        <v>1774.12151730904</v>
      </c>
    </row>
    <row r="577" customFormat="1" spans="1:31">
      <c r="A577" s="19"/>
      <c r="B577" s="20"/>
      <c r="C577" s="21">
        <v>241015000026</v>
      </c>
      <c r="D577" s="22">
        <v>45587</v>
      </c>
      <c r="E577" s="22" t="s">
        <v>66</v>
      </c>
      <c r="F577" s="20" t="s">
        <v>67</v>
      </c>
      <c r="G577" s="20" t="s">
        <v>228</v>
      </c>
      <c r="H577" s="20">
        <v>4</v>
      </c>
      <c r="I577" s="39">
        <v>267</v>
      </c>
      <c r="J577" s="40"/>
      <c r="K577" s="41"/>
      <c r="L577" s="20"/>
      <c r="M577" s="41"/>
      <c r="N577" s="42"/>
      <c r="O577" s="43">
        <f t="shared" ref="O577:O580" si="313">SUM(I577)</f>
        <v>267</v>
      </c>
      <c r="P577" s="45"/>
      <c r="Q577" s="45"/>
      <c r="R577" s="69">
        <f t="shared" ref="R577:R608" si="314">SUM(123737/2854)*H577</f>
        <v>173.422564821303</v>
      </c>
      <c r="S577" s="69"/>
      <c r="T577" s="70">
        <f t="shared" ref="T577:T608" si="315">SUM(177.65/2854)*H577</f>
        <v>0.248983882270498</v>
      </c>
      <c r="U577" s="69"/>
      <c r="V577" s="69"/>
      <c r="W577" s="71">
        <f t="shared" si="310"/>
        <v>173.671548703574</v>
      </c>
      <c r="X577" s="72">
        <f t="shared" ref="X577:X608" si="316">SUM(2001.46/2854)*H577</f>
        <v>2.80512964260687</v>
      </c>
      <c r="Y577" s="72"/>
      <c r="Z577" s="72"/>
      <c r="AA577" s="72">
        <f t="shared" si="311"/>
        <v>2.80512964260687</v>
      </c>
      <c r="AB577" s="81">
        <v>7.11</v>
      </c>
      <c r="AC577" s="69">
        <f t="shared" si="307"/>
        <v>19.9444717589348</v>
      </c>
      <c r="AD577" s="69">
        <f t="shared" si="308"/>
        <v>193.616020462509</v>
      </c>
      <c r="AE577" s="69">
        <f t="shared" si="309"/>
        <v>73.3839795374912</v>
      </c>
    </row>
    <row r="578" customFormat="1" spans="1:31">
      <c r="A578" s="19"/>
      <c r="B578" s="20"/>
      <c r="C578" s="21">
        <v>241015000042</v>
      </c>
      <c r="D578" s="22">
        <v>45587</v>
      </c>
      <c r="E578" s="22" t="s">
        <v>55</v>
      </c>
      <c r="F578" s="20" t="s">
        <v>56</v>
      </c>
      <c r="G578" s="20" t="s">
        <v>316</v>
      </c>
      <c r="H578" s="20">
        <v>48.5</v>
      </c>
      <c r="I578" s="39">
        <v>3152.5</v>
      </c>
      <c r="J578" s="40"/>
      <c r="K578" s="41"/>
      <c r="L578" s="20"/>
      <c r="M578" s="41"/>
      <c r="N578" s="42"/>
      <c r="O578" s="43">
        <f t="shared" si="313"/>
        <v>3152.5</v>
      </c>
      <c r="P578" s="45"/>
      <c r="Q578" s="45"/>
      <c r="R578" s="69">
        <f t="shared" si="314"/>
        <v>2102.7485984583</v>
      </c>
      <c r="S578" s="69"/>
      <c r="T578" s="70">
        <f t="shared" si="315"/>
        <v>3.01892957252978</v>
      </c>
      <c r="U578" s="69"/>
      <c r="V578" s="69"/>
      <c r="W578" s="71">
        <f t="shared" si="310"/>
        <v>2105.76752803083</v>
      </c>
      <c r="X578" s="72">
        <f t="shared" si="316"/>
        <v>34.0121969166083</v>
      </c>
      <c r="Y578" s="72">
        <v>11.95</v>
      </c>
      <c r="Z578" s="72"/>
      <c r="AA578" s="72">
        <f t="shared" si="311"/>
        <v>45.9621969166083</v>
      </c>
      <c r="AB578" s="81">
        <v>7.11</v>
      </c>
      <c r="AC578" s="69">
        <f t="shared" si="307"/>
        <v>326.791220077085</v>
      </c>
      <c r="AD578" s="69">
        <f t="shared" si="308"/>
        <v>2432.55874810792</v>
      </c>
      <c r="AE578" s="69">
        <f t="shared" si="309"/>
        <v>719.941251892081</v>
      </c>
    </row>
    <row r="579" customFormat="1" spans="1:31">
      <c r="A579" s="19"/>
      <c r="B579" s="20"/>
      <c r="C579" s="21">
        <v>241015000043</v>
      </c>
      <c r="D579" s="22">
        <v>45587</v>
      </c>
      <c r="E579" s="22" t="s">
        <v>44</v>
      </c>
      <c r="F579" s="20" t="s">
        <v>45</v>
      </c>
      <c r="G579" s="20" t="s">
        <v>409</v>
      </c>
      <c r="H579" s="20">
        <v>8</v>
      </c>
      <c r="I579" s="50"/>
      <c r="J579" s="46">
        <v>112728</v>
      </c>
      <c r="K579" s="41"/>
      <c r="L579" s="47">
        <f t="shared" si="312"/>
        <v>1735.07772818224</v>
      </c>
      <c r="M579" s="48">
        <v>64.97</v>
      </c>
      <c r="N579" s="42">
        <v>7.11</v>
      </c>
      <c r="O579" s="43">
        <f t="shared" ref="O579:O582" si="317">SUM(M579*N579)</f>
        <v>461.9367</v>
      </c>
      <c r="P579" s="45"/>
      <c r="Q579" s="45"/>
      <c r="R579" s="69">
        <f t="shared" si="314"/>
        <v>346.845129642607</v>
      </c>
      <c r="S579" s="69"/>
      <c r="T579" s="70">
        <f t="shared" si="315"/>
        <v>0.497967764540995</v>
      </c>
      <c r="U579" s="69"/>
      <c r="V579" s="69"/>
      <c r="W579" s="71">
        <f t="shared" si="310"/>
        <v>347.343097407148</v>
      </c>
      <c r="X579" s="72">
        <f t="shared" si="316"/>
        <v>5.61025928521374</v>
      </c>
      <c r="Y579" s="72"/>
      <c r="Z579" s="72"/>
      <c r="AA579" s="72">
        <f t="shared" si="311"/>
        <v>5.61025928521374</v>
      </c>
      <c r="AB579" s="81">
        <v>7.11</v>
      </c>
      <c r="AC579" s="69">
        <f t="shared" si="307"/>
        <v>39.8889435178697</v>
      </c>
      <c r="AD579" s="69">
        <f t="shared" si="308"/>
        <v>387.232040925018</v>
      </c>
      <c r="AE579" s="69">
        <f t="shared" si="309"/>
        <v>74.7046590749824</v>
      </c>
    </row>
    <row r="580" customFormat="1" spans="1:31">
      <c r="A580" s="19"/>
      <c r="B580" s="20"/>
      <c r="C580" s="21">
        <v>241015000048</v>
      </c>
      <c r="D580" s="22">
        <v>45587</v>
      </c>
      <c r="E580" s="22" t="s">
        <v>55</v>
      </c>
      <c r="F580" s="20" t="s">
        <v>56</v>
      </c>
      <c r="G580" s="20" t="s">
        <v>316</v>
      </c>
      <c r="H580" s="20">
        <v>52</v>
      </c>
      <c r="I580" s="39">
        <v>3380</v>
      </c>
      <c r="J580" s="40"/>
      <c r="K580" s="41"/>
      <c r="L580" s="20"/>
      <c r="M580" s="41"/>
      <c r="N580" s="42"/>
      <c r="O580" s="43">
        <f t="shared" si="313"/>
        <v>3380</v>
      </c>
      <c r="P580" s="45"/>
      <c r="Q580" s="45"/>
      <c r="R580" s="69">
        <f t="shared" si="314"/>
        <v>2254.49334267694</v>
      </c>
      <c r="S580" s="69"/>
      <c r="T580" s="70">
        <f t="shared" si="315"/>
        <v>3.23679046951647</v>
      </c>
      <c r="U580" s="69"/>
      <c r="V580" s="69"/>
      <c r="W580" s="71">
        <f t="shared" si="310"/>
        <v>2257.73013314646</v>
      </c>
      <c r="X580" s="72">
        <f t="shared" si="316"/>
        <v>36.4666853538893</v>
      </c>
      <c r="Y580" s="72">
        <v>11.95</v>
      </c>
      <c r="Z580" s="72"/>
      <c r="AA580" s="72">
        <f t="shared" si="311"/>
        <v>48.4166853538893</v>
      </c>
      <c r="AB580" s="81">
        <v>7.11</v>
      </c>
      <c r="AC580" s="69">
        <f t="shared" si="307"/>
        <v>344.242632866153</v>
      </c>
      <c r="AD580" s="69">
        <f t="shared" si="308"/>
        <v>2601.97276601261</v>
      </c>
      <c r="AE580" s="69">
        <f t="shared" si="309"/>
        <v>778.027233987386</v>
      </c>
    </row>
    <row r="581" customFormat="1" spans="1:31">
      <c r="A581" s="19"/>
      <c r="B581" s="20"/>
      <c r="C581" s="21">
        <v>241015000053</v>
      </c>
      <c r="D581" s="22">
        <v>45587</v>
      </c>
      <c r="E581" s="22" t="s">
        <v>55</v>
      </c>
      <c r="F581" s="20">
        <v>13635229849</v>
      </c>
      <c r="G581" s="20" t="s">
        <v>87</v>
      </c>
      <c r="H581" s="20">
        <v>4</v>
      </c>
      <c r="I581" s="43"/>
      <c r="J581" s="46">
        <v>66572</v>
      </c>
      <c r="K581" s="41"/>
      <c r="L581" s="47">
        <f t="shared" si="312"/>
        <v>1745.00655307995</v>
      </c>
      <c r="M581" s="48">
        <v>38.15</v>
      </c>
      <c r="N581" s="42">
        <v>7.11</v>
      </c>
      <c r="O581" s="43">
        <f t="shared" si="317"/>
        <v>271.2465</v>
      </c>
      <c r="P581" s="45"/>
      <c r="Q581" s="45"/>
      <c r="R581" s="69">
        <f t="shared" si="314"/>
        <v>173.422564821303</v>
      </c>
      <c r="S581" s="69"/>
      <c r="T581" s="70">
        <f t="shared" si="315"/>
        <v>0.248983882270498</v>
      </c>
      <c r="U581" s="69"/>
      <c r="V581" s="69"/>
      <c r="W581" s="71">
        <f t="shared" si="310"/>
        <v>173.671548703574</v>
      </c>
      <c r="X581" s="72">
        <f t="shared" si="316"/>
        <v>2.80512964260687</v>
      </c>
      <c r="Y581" s="72"/>
      <c r="Z581" s="72"/>
      <c r="AA581" s="72">
        <f t="shared" si="311"/>
        <v>2.80512964260687</v>
      </c>
      <c r="AB581" s="81">
        <v>7.11</v>
      </c>
      <c r="AC581" s="69">
        <f t="shared" si="307"/>
        <v>19.9444717589348</v>
      </c>
      <c r="AD581" s="69">
        <f t="shared" si="308"/>
        <v>193.616020462509</v>
      </c>
      <c r="AE581" s="69">
        <f t="shared" si="309"/>
        <v>77.6304795374913</v>
      </c>
    </row>
    <row r="582" customFormat="1" spans="1:31">
      <c r="A582" s="19"/>
      <c r="B582" s="20"/>
      <c r="C582" s="21">
        <v>241016000002</v>
      </c>
      <c r="D582" s="22">
        <v>45587</v>
      </c>
      <c r="E582" s="22" t="s">
        <v>66</v>
      </c>
      <c r="F582" s="20" t="s">
        <v>67</v>
      </c>
      <c r="G582" s="20" t="s">
        <v>179</v>
      </c>
      <c r="H582" s="20">
        <v>2</v>
      </c>
      <c r="I582" s="43"/>
      <c r="J582" s="46">
        <v>31924</v>
      </c>
      <c r="K582" s="41"/>
      <c r="L582" s="47">
        <f t="shared" si="312"/>
        <v>1735</v>
      </c>
      <c r="M582" s="48">
        <v>18.4</v>
      </c>
      <c r="N582" s="42">
        <v>7.11</v>
      </c>
      <c r="O582" s="43">
        <f t="shared" si="317"/>
        <v>130.824</v>
      </c>
      <c r="P582" s="45"/>
      <c r="Q582" s="45"/>
      <c r="R582" s="69">
        <f t="shared" si="314"/>
        <v>86.7112824106517</v>
      </c>
      <c r="S582" s="69"/>
      <c r="T582" s="70">
        <f t="shared" si="315"/>
        <v>0.124491941135249</v>
      </c>
      <c r="U582" s="69"/>
      <c r="V582" s="69"/>
      <c r="W582" s="71">
        <f t="shared" si="310"/>
        <v>86.835774351787</v>
      </c>
      <c r="X582" s="72">
        <f t="shared" si="316"/>
        <v>1.40256482130343</v>
      </c>
      <c r="Y582" s="72"/>
      <c r="Z582" s="72"/>
      <c r="AA582" s="72">
        <f t="shared" si="311"/>
        <v>1.40256482130343</v>
      </c>
      <c r="AB582" s="81">
        <v>7.11</v>
      </c>
      <c r="AC582" s="69">
        <f t="shared" si="307"/>
        <v>9.97223587946742</v>
      </c>
      <c r="AD582" s="69">
        <f t="shared" si="308"/>
        <v>96.8080102312544</v>
      </c>
      <c r="AE582" s="69">
        <f t="shared" si="309"/>
        <v>34.0159897687456</v>
      </c>
    </row>
    <row r="583" customFormat="1" spans="1:31">
      <c r="A583" s="19"/>
      <c r="B583" s="20"/>
      <c r="C583" s="21">
        <v>241016000003</v>
      </c>
      <c r="D583" s="22">
        <v>45587</v>
      </c>
      <c r="E583" s="22" t="s">
        <v>66</v>
      </c>
      <c r="F583" s="20" t="s">
        <v>67</v>
      </c>
      <c r="G583" s="20" t="s">
        <v>410</v>
      </c>
      <c r="H583" s="20">
        <v>2</v>
      </c>
      <c r="I583" s="39">
        <v>135</v>
      </c>
      <c r="J583" s="40"/>
      <c r="K583" s="41"/>
      <c r="L583" s="20"/>
      <c r="M583" s="41"/>
      <c r="N583" s="42"/>
      <c r="O583" s="43">
        <f t="shared" ref="O583:O589" si="318">SUM(I583)</f>
        <v>135</v>
      </c>
      <c r="P583" s="45"/>
      <c r="Q583" s="45"/>
      <c r="R583" s="69">
        <f t="shared" si="314"/>
        <v>86.7112824106517</v>
      </c>
      <c r="S583" s="69"/>
      <c r="T583" s="70">
        <f t="shared" si="315"/>
        <v>0.124491941135249</v>
      </c>
      <c r="U583" s="69"/>
      <c r="V583" s="69"/>
      <c r="W583" s="71">
        <f t="shared" si="310"/>
        <v>86.835774351787</v>
      </c>
      <c r="X583" s="72">
        <f t="shared" si="316"/>
        <v>1.40256482130343</v>
      </c>
      <c r="Y583" s="72"/>
      <c r="Z583" s="72"/>
      <c r="AA583" s="72">
        <f t="shared" si="311"/>
        <v>1.40256482130343</v>
      </c>
      <c r="AB583" s="81">
        <v>7.11</v>
      </c>
      <c r="AC583" s="69">
        <f t="shared" si="307"/>
        <v>9.97223587946742</v>
      </c>
      <c r="AD583" s="69">
        <f t="shared" si="308"/>
        <v>96.8080102312544</v>
      </c>
      <c r="AE583" s="69">
        <f t="shared" si="309"/>
        <v>38.1919897687456</v>
      </c>
    </row>
    <row r="584" customFormat="1" spans="1:31">
      <c r="A584" s="19"/>
      <c r="B584" s="20"/>
      <c r="C584" s="21">
        <v>241016000009</v>
      </c>
      <c r="D584" s="22">
        <v>45587</v>
      </c>
      <c r="E584" s="22" t="s">
        <v>41</v>
      </c>
      <c r="F584" s="20" t="s">
        <v>42</v>
      </c>
      <c r="G584" s="20" t="s">
        <v>91</v>
      </c>
      <c r="H584" s="20">
        <v>17</v>
      </c>
      <c r="I584" s="50"/>
      <c r="J584" s="46">
        <v>202370</v>
      </c>
      <c r="K584" s="41"/>
      <c r="L584" s="47">
        <f>SUM(J584/M584)</f>
        <v>1742.01601101834</v>
      </c>
      <c r="M584" s="48">
        <v>116.17</v>
      </c>
      <c r="N584" s="42">
        <v>7.11</v>
      </c>
      <c r="O584" s="43">
        <f>SUM(M584*N584)</f>
        <v>825.9687</v>
      </c>
      <c r="P584" s="45"/>
      <c r="Q584" s="45"/>
      <c r="R584" s="69">
        <f t="shared" si="314"/>
        <v>737.04590049054</v>
      </c>
      <c r="S584" s="69"/>
      <c r="T584" s="70">
        <f t="shared" si="315"/>
        <v>1.05818149964961</v>
      </c>
      <c r="U584" s="69"/>
      <c r="V584" s="69"/>
      <c r="W584" s="71">
        <f t="shared" si="310"/>
        <v>738.104081990189</v>
      </c>
      <c r="X584" s="72">
        <f t="shared" si="316"/>
        <v>11.9218009810792</v>
      </c>
      <c r="Y584" s="72"/>
      <c r="Z584" s="72"/>
      <c r="AA584" s="72">
        <f t="shared" si="311"/>
        <v>11.9218009810792</v>
      </c>
      <c r="AB584" s="81">
        <v>7.11</v>
      </c>
      <c r="AC584" s="69">
        <f t="shared" si="307"/>
        <v>84.764004975473</v>
      </c>
      <c r="AD584" s="69">
        <f t="shared" si="308"/>
        <v>822.868086965662</v>
      </c>
      <c r="AE584" s="69">
        <f t="shared" si="309"/>
        <v>3.1006130343377</v>
      </c>
    </row>
    <row r="585" customFormat="1" spans="1:31">
      <c r="A585" s="19"/>
      <c r="B585" s="20"/>
      <c r="C585" s="21">
        <v>241016000012</v>
      </c>
      <c r="D585" s="22">
        <v>45587</v>
      </c>
      <c r="E585" s="22" t="s">
        <v>66</v>
      </c>
      <c r="F585" s="20" t="s">
        <v>67</v>
      </c>
      <c r="G585" s="20" t="s">
        <v>84</v>
      </c>
      <c r="H585" s="20">
        <v>12</v>
      </c>
      <c r="I585" s="39">
        <v>660</v>
      </c>
      <c r="J585" s="40"/>
      <c r="K585" s="41"/>
      <c r="L585" s="20"/>
      <c r="M585" s="41"/>
      <c r="N585" s="42"/>
      <c r="O585" s="43">
        <f t="shared" si="318"/>
        <v>660</v>
      </c>
      <c r="P585" s="45"/>
      <c r="Q585" s="45"/>
      <c r="R585" s="69">
        <f t="shared" si="314"/>
        <v>520.26769446391</v>
      </c>
      <c r="S585" s="69"/>
      <c r="T585" s="70">
        <f t="shared" si="315"/>
        <v>0.746951646811493</v>
      </c>
      <c r="U585" s="69"/>
      <c r="V585" s="69"/>
      <c r="W585" s="71">
        <f t="shared" si="310"/>
        <v>521.014646110722</v>
      </c>
      <c r="X585" s="72">
        <f t="shared" si="316"/>
        <v>8.4153889278206</v>
      </c>
      <c r="Y585" s="72"/>
      <c r="Z585" s="72"/>
      <c r="AA585" s="72">
        <f t="shared" si="311"/>
        <v>8.4153889278206</v>
      </c>
      <c r="AB585" s="81">
        <v>7.11</v>
      </c>
      <c r="AC585" s="69">
        <f t="shared" si="307"/>
        <v>59.8334152768045</v>
      </c>
      <c r="AD585" s="69">
        <f t="shared" si="308"/>
        <v>580.848061387526</v>
      </c>
      <c r="AE585" s="69">
        <f t="shared" si="309"/>
        <v>79.1519386124737</v>
      </c>
    </row>
    <row r="586" customFormat="1" spans="1:31">
      <c r="A586" s="19"/>
      <c r="B586" s="20"/>
      <c r="C586" s="21">
        <v>241016000028</v>
      </c>
      <c r="D586" s="22">
        <v>45587</v>
      </c>
      <c r="E586" s="22" t="s">
        <v>55</v>
      </c>
      <c r="F586" s="20" t="s">
        <v>56</v>
      </c>
      <c r="G586" s="20" t="s">
        <v>103</v>
      </c>
      <c r="H586" s="20">
        <v>150</v>
      </c>
      <c r="I586" s="43"/>
      <c r="J586" s="46">
        <v>2074424</v>
      </c>
      <c r="K586" s="41"/>
      <c r="L586" s="47">
        <f>SUM(J586/M586)</f>
        <v>1760</v>
      </c>
      <c r="M586" s="48">
        <v>1178.65</v>
      </c>
      <c r="N586" s="42">
        <v>7.11</v>
      </c>
      <c r="O586" s="43">
        <f>SUM(M586*N586)</f>
        <v>8380.2015</v>
      </c>
      <c r="P586" s="45"/>
      <c r="Q586" s="45"/>
      <c r="R586" s="69">
        <f t="shared" si="314"/>
        <v>6503.34618079888</v>
      </c>
      <c r="S586" s="69"/>
      <c r="T586" s="70">
        <f t="shared" si="315"/>
        <v>9.33689558514366</v>
      </c>
      <c r="U586" s="69"/>
      <c r="V586" s="69"/>
      <c r="W586" s="71">
        <f t="shared" si="310"/>
        <v>6512.68307638402</v>
      </c>
      <c r="X586" s="72">
        <f t="shared" si="316"/>
        <v>105.192361597758</v>
      </c>
      <c r="Y586" s="72"/>
      <c r="Z586" s="72"/>
      <c r="AA586" s="72">
        <f t="shared" si="311"/>
        <v>105.192361597758</v>
      </c>
      <c r="AB586" s="81">
        <v>7.11</v>
      </c>
      <c r="AC586" s="69">
        <f t="shared" si="307"/>
        <v>747.917690960056</v>
      </c>
      <c r="AD586" s="69">
        <f t="shared" si="308"/>
        <v>7260.60076734408</v>
      </c>
      <c r="AE586" s="69">
        <f t="shared" si="309"/>
        <v>1119.60073265592</v>
      </c>
    </row>
    <row r="587" customFormat="1" spans="1:31">
      <c r="A587" s="19"/>
      <c r="B587" s="20"/>
      <c r="C587" s="21">
        <v>241016000033</v>
      </c>
      <c r="D587" s="22">
        <v>45587</v>
      </c>
      <c r="E587" s="22" t="s">
        <v>47</v>
      </c>
      <c r="F587" s="20" t="s">
        <v>47</v>
      </c>
      <c r="G587" s="20" t="s">
        <v>411</v>
      </c>
      <c r="H587" s="20">
        <v>0.72</v>
      </c>
      <c r="I587" s="50">
        <v>63</v>
      </c>
      <c r="J587" s="40"/>
      <c r="K587" s="41"/>
      <c r="L587" s="20"/>
      <c r="M587" s="41"/>
      <c r="N587" s="42"/>
      <c r="O587" s="43">
        <f t="shared" si="318"/>
        <v>63</v>
      </c>
      <c r="P587" s="45"/>
      <c r="Q587" s="45"/>
      <c r="R587" s="69">
        <f t="shared" si="314"/>
        <v>31.2160616678346</v>
      </c>
      <c r="S587" s="69"/>
      <c r="T587" s="70">
        <f t="shared" si="315"/>
        <v>0.0448170988086896</v>
      </c>
      <c r="U587" s="69"/>
      <c r="V587" s="69"/>
      <c r="W587" s="71">
        <f t="shared" si="310"/>
        <v>31.2608787666433</v>
      </c>
      <c r="X587" s="72">
        <f t="shared" si="316"/>
        <v>0.504923335669236</v>
      </c>
      <c r="Y587" s="72"/>
      <c r="Z587" s="72"/>
      <c r="AA587" s="72">
        <f t="shared" si="311"/>
        <v>0.504923335669236</v>
      </c>
      <c r="AB587" s="81">
        <v>7.11</v>
      </c>
      <c r="AC587" s="69">
        <f t="shared" si="307"/>
        <v>3.59000491660827</v>
      </c>
      <c r="AD587" s="69">
        <f t="shared" si="308"/>
        <v>34.8508836832516</v>
      </c>
      <c r="AE587" s="69">
        <f t="shared" si="309"/>
        <v>28.1491163167484</v>
      </c>
    </row>
    <row r="588" customFormat="1" spans="1:31">
      <c r="A588" s="19"/>
      <c r="B588" s="20"/>
      <c r="C588" s="21">
        <v>241016000034</v>
      </c>
      <c r="D588" s="22">
        <v>45587</v>
      </c>
      <c r="E588" s="22" t="s">
        <v>41</v>
      </c>
      <c r="F588" s="20" t="s">
        <v>42</v>
      </c>
      <c r="G588" s="20" t="s">
        <v>264</v>
      </c>
      <c r="H588" s="20">
        <v>5.5</v>
      </c>
      <c r="I588" s="39">
        <v>313.5</v>
      </c>
      <c r="J588" s="40"/>
      <c r="K588" s="41"/>
      <c r="L588" s="20"/>
      <c r="M588" s="41"/>
      <c r="N588" s="42"/>
      <c r="O588" s="43">
        <f t="shared" si="318"/>
        <v>313.5</v>
      </c>
      <c r="P588" s="45"/>
      <c r="Q588" s="45"/>
      <c r="R588" s="69">
        <f t="shared" si="314"/>
        <v>238.456026629292</v>
      </c>
      <c r="S588" s="69"/>
      <c r="T588" s="70">
        <f t="shared" si="315"/>
        <v>0.342352838121934</v>
      </c>
      <c r="U588" s="69"/>
      <c r="V588" s="69"/>
      <c r="W588" s="71">
        <f t="shared" si="310"/>
        <v>238.798379467414</v>
      </c>
      <c r="X588" s="72">
        <f t="shared" si="316"/>
        <v>3.85705325858444</v>
      </c>
      <c r="Y588" s="72"/>
      <c r="Z588" s="72"/>
      <c r="AA588" s="72">
        <f t="shared" si="311"/>
        <v>3.85705325858444</v>
      </c>
      <c r="AB588" s="81">
        <v>7.11</v>
      </c>
      <c r="AC588" s="69">
        <f t="shared" si="307"/>
        <v>27.4236486685354</v>
      </c>
      <c r="AD588" s="69">
        <f t="shared" si="308"/>
        <v>266.22202813595</v>
      </c>
      <c r="AE588" s="69">
        <f t="shared" si="309"/>
        <v>47.2779718640504</v>
      </c>
    </row>
    <row r="589" customFormat="1" spans="1:31">
      <c r="A589" s="19"/>
      <c r="B589" s="20"/>
      <c r="C589" s="21">
        <v>241016000036</v>
      </c>
      <c r="D589" s="22">
        <v>45587</v>
      </c>
      <c r="E589" s="22" t="s">
        <v>55</v>
      </c>
      <c r="F589" s="20" t="s">
        <v>56</v>
      </c>
      <c r="G589" s="20" t="s">
        <v>316</v>
      </c>
      <c r="H589" s="20">
        <v>31.5</v>
      </c>
      <c r="I589" s="39">
        <v>2047.5</v>
      </c>
      <c r="J589" s="40"/>
      <c r="K589" s="41"/>
      <c r="L589" s="20"/>
      <c r="M589" s="41"/>
      <c r="N589" s="42"/>
      <c r="O589" s="43">
        <f t="shared" si="318"/>
        <v>2047.5</v>
      </c>
      <c r="P589" s="45"/>
      <c r="Q589" s="45"/>
      <c r="R589" s="69">
        <f t="shared" si="314"/>
        <v>1365.70269796776</v>
      </c>
      <c r="S589" s="69"/>
      <c r="T589" s="70">
        <f t="shared" si="315"/>
        <v>1.96074807288017</v>
      </c>
      <c r="U589" s="69"/>
      <c r="V589" s="69"/>
      <c r="W589" s="71">
        <f t="shared" si="310"/>
        <v>1367.66344604064</v>
      </c>
      <c r="X589" s="72">
        <f t="shared" si="316"/>
        <v>22.0903959355291</v>
      </c>
      <c r="Y589" s="72">
        <v>7.95</v>
      </c>
      <c r="Z589" s="72"/>
      <c r="AA589" s="72">
        <f t="shared" si="311"/>
        <v>30.0403959355291</v>
      </c>
      <c r="AB589" s="81">
        <v>7.11</v>
      </c>
      <c r="AC589" s="69">
        <f t="shared" si="307"/>
        <v>213.587215101612</v>
      </c>
      <c r="AD589" s="69">
        <f t="shared" si="308"/>
        <v>1581.25066114226</v>
      </c>
      <c r="AE589" s="69">
        <f t="shared" si="309"/>
        <v>466.249338857743</v>
      </c>
    </row>
    <row r="590" customFormat="1" spans="1:31">
      <c r="A590" s="19"/>
      <c r="B590" s="20"/>
      <c r="C590" s="21">
        <v>241016000044</v>
      </c>
      <c r="D590" s="22">
        <v>45587</v>
      </c>
      <c r="E590" s="22" t="s">
        <v>55</v>
      </c>
      <c r="F590" s="20" t="s">
        <v>56</v>
      </c>
      <c r="G590" s="20" t="s">
        <v>385</v>
      </c>
      <c r="H590" s="20">
        <v>0.66</v>
      </c>
      <c r="I590" s="43"/>
      <c r="J590" s="46">
        <v>16403</v>
      </c>
      <c r="K590" s="41"/>
      <c r="L590" s="47">
        <f>SUM(J590/M590)</f>
        <v>1745</v>
      </c>
      <c r="M590" s="48">
        <v>9.4</v>
      </c>
      <c r="N590" s="42">
        <v>7.11</v>
      </c>
      <c r="O590" s="43">
        <f>SUM(M590*N590)</f>
        <v>66.834</v>
      </c>
      <c r="P590" s="45"/>
      <c r="Q590" s="45"/>
      <c r="R590" s="69">
        <f t="shared" si="314"/>
        <v>28.6147231955151</v>
      </c>
      <c r="S590" s="69"/>
      <c r="T590" s="70">
        <f t="shared" si="315"/>
        <v>0.0410823405746321</v>
      </c>
      <c r="U590" s="69"/>
      <c r="V590" s="69"/>
      <c r="W590" s="71">
        <f t="shared" si="310"/>
        <v>28.6558055360897</v>
      </c>
      <c r="X590" s="72">
        <f t="shared" si="316"/>
        <v>0.462846391030133</v>
      </c>
      <c r="Y590" s="72"/>
      <c r="Z590" s="72"/>
      <c r="AA590" s="72">
        <f t="shared" si="311"/>
        <v>0.462846391030133</v>
      </c>
      <c r="AB590" s="81">
        <v>7.11</v>
      </c>
      <c r="AC590" s="69">
        <f t="shared" si="307"/>
        <v>3.29083784022425</v>
      </c>
      <c r="AD590" s="69">
        <f t="shared" si="308"/>
        <v>31.946643376314</v>
      </c>
      <c r="AE590" s="69">
        <f t="shared" si="309"/>
        <v>34.8873566236861</v>
      </c>
    </row>
    <row r="591" customFormat="1" spans="1:31">
      <c r="A591" s="19"/>
      <c r="B591" s="20"/>
      <c r="C591" s="21">
        <v>241016000049</v>
      </c>
      <c r="D591" s="22">
        <v>45587</v>
      </c>
      <c r="E591" s="22" t="s">
        <v>41</v>
      </c>
      <c r="F591" s="20" t="s">
        <v>42</v>
      </c>
      <c r="G591" s="20" t="s">
        <v>99</v>
      </c>
      <c r="H591" s="20">
        <v>0.2</v>
      </c>
      <c r="I591" s="39">
        <v>63</v>
      </c>
      <c r="J591" s="40"/>
      <c r="K591" s="41"/>
      <c r="L591" s="20"/>
      <c r="M591" s="41"/>
      <c r="N591" s="42"/>
      <c r="O591" s="43">
        <f t="shared" ref="O591:O597" si="319">SUM(I591)</f>
        <v>63</v>
      </c>
      <c r="P591" s="45"/>
      <c r="Q591" s="45"/>
      <c r="R591" s="69">
        <f t="shared" si="314"/>
        <v>8.67112824106517</v>
      </c>
      <c r="S591" s="69"/>
      <c r="T591" s="70">
        <f t="shared" si="315"/>
        <v>0.0124491941135249</v>
      </c>
      <c r="U591" s="69"/>
      <c r="V591" s="69"/>
      <c r="W591" s="71">
        <f t="shared" si="310"/>
        <v>8.6835774351787</v>
      </c>
      <c r="X591" s="72">
        <f t="shared" si="316"/>
        <v>0.140256482130343</v>
      </c>
      <c r="Y591" s="72"/>
      <c r="Z591" s="72"/>
      <c r="AA591" s="72">
        <f t="shared" si="311"/>
        <v>0.140256482130343</v>
      </c>
      <c r="AB591" s="81">
        <v>7.11</v>
      </c>
      <c r="AC591" s="69">
        <f t="shared" si="307"/>
        <v>0.997223587946742</v>
      </c>
      <c r="AD591" s="69">
        <f t="shared" si="308"/>
        <v>9.68080102312544</v>
      </c>
      <c r="AE591" s="69">
        <f t="shared" si="309"/>
        <v>53.3191989768746</v>
      </c>
    </row>
    <row r="592" customFormat="1" spans="1:31">
      <c r="A592" s="19"/>
      <c r="B592" s="20"/>
      <c r="C592" s="21">
        <v>241017000003</v>
      </c>
      <c r="D592" s="22">
        <v>45587</v>
      </c>
      <c r="E592" s="22" t="s">
        <v>66</v>
      </c>
      <c r="F592" s="20" t="s">
        <v>67</v>
      </c>
      <c r="G592" s="20" t="s">
        <v>364</v>
      </c>
      <c r="H592" s="20">
        <v>13.5</v>
      </c>
      <c r="I592" s="39">
        <v>742.5</v>
      </c>
      <c r="J592" s="40"/>
      <c r="K592" s="41"/>
      <c r="L592" s="20"/>
      <c r="M592" s="41"/>
      <c r="N592" s="42"/>
      <c r="O592" s="43">
        <f t="shared" si="319"/>
        <v>742.5</v>
      </c>
      <c r="P592" s="45"/>
      <c r="Q592" s="45"/>
      <c r="R592" s="69">
        <f t="shared" si="314"/>
        <v>585.301156271899</v>
      </c>
      <c r="S592" s="69"/>
      <c r="T592" s="70">
        <f t="shared" si="315"/>
        <v>0.840320602662929</v>
      </c>
      <c r="U592" s="69"/>
      <c r="V592" s="69"/>
      <c r="W592" s="71">
        <f t="shared" si="310"/>
        <v>586.141476874562</v>
      </c>
      <c r="X592" s="72">
        <f t="shared" si="316"/>
        <v>9.46731254379818</v>
      </c>
      <c r="Y592" s="72"/>
      <c r="Z592" s="72"/>
      <c r="AA592" s="72">
        <f t="shared" si="311"/>
        <v>9.46731254379818</v>
      </c>
      <c r="AB592" s="81">
        <v>7.11</v>
      </c>
      <c r="AC592" s="69">
        <f t="shared" si="307"/>
        <v>67.312592186405</v>
      </c>
      <c r="AD592" s="69">
        <f t="shared" si="308"/>
        <v>653.454069060967</v>
      </c>
      <c r="AE592" s="69">
        <f t="shared" si="309"/>
        <v>89.0459309390329</v>
      </c>
    </row>
    <row r="593" customFormat="1" spans="1:31">
      <c r="A593" s="19"/>
      <c r="B593" s="20"/>
      <c r="C593" s="21">
        <v>241017000004</v>
      </c>
      <c r="D593" s="22">
        <v>45587</v>
      </c>
      <c r="E593" s="22" t="s">
        <v>66</v>
      </c>
      <c r="F593" s="20" t="s">
        <v>67</v>
      </c>
      <c r="G593" s="20" t="s">
        <v>412</v>
      </c>
      <c r="H593" s="20">
        <v>7.5</v>
      </c>
      <c r="I593" s="39">
        <v>456</v>
      </c>
      <c r="J593" s="40"/>
      <c r="K593" s="41"/>
      <c r="L593" s="20"/>
      <c r="M593" s="41"/>
      <c r="N593" s="42"/>
      <c r="O593" s="43">
        <f t="shared" si="319"/>
        <v>456</v>
      </c>
      <c r="P593" s="45"/>
      <c r="Q593" s="45"/>
      <c r="R593" s="69">
        <f t="shared" si="314"/>
        <v>325.167309039944</v>
      </c>
      <c r="S593" s="69"/>
      <c r="T593" s="70">
        <f t="shared" si="315"/>
        <v>0.466844779257183</v>
      </c>
      <c r="U593" s="69"/>
      <c r="V593" s="69"/>
      <c r="W593" s="71">
        <f t="shared" si="310"/>
        <v>325.634153819201</v>
      </c>
      <c r="X593" s="72">
        <f t="shared" si="316"/>
        <v>5.25961807988788</v>
      </c>
      <c r="Y593" s="72"/>
      <c r="Z593" s="72"/>
      <c r="AA593" s="72">
        <f t="shared" si="311"/>
        <v>5.25961807988788</v>
      </c>
      <c r="AB593" s="81">
        <v>7.11</v>
      </c>
      <c r="AC593" s="69">
        <f t="shared" si="307"/>
        <v>37.3958845480028</v>
      </c>
      <c r="AD593" s="69">
        <f t="shared" si="308"/>
        <v>363.030038367204</v>
      </c>
      <c r="AE593" s="69">
        <f t="shared" si="309"/>
        <v>92.969961632796</v>
      </c>
    </row>
    <row r="594" customFormat="1" spans="1:31">
      <c r="A594" s="19"/>
      <c r="B594" s="20"/>
      <c r="C594" s="21">
        <v>241017000008</v>
      </c>
      <c r="D594" s="22">
        <v>45587</v>
      </c>
      <c r="E594" s="22" t="s">
        <v>66</v>
      </c>
      <c r="F594" s="20" t="s">
        <v>67</v>
      </c>
      <c r="G594" s="20" t="s">
        <v>257</v>
      </c>
      <c r="H594" s="20">
        <v>1</v>
      </c>
      <c r="I594" s="39">
        <v>72</v>
      </c>
      <c r="J594" s="40"/>
      <c r="K594" s="41"/>
      <c r="L594" s="20"/>
      <c r="M594" s="41"/>
      <c r="N594" s="42"/>
      <c r="O594" s="43">
        <f t="shared" si="319"/>
        <v>72</v>
      </c>
      <c r="P594" s="45"/>
      <c r="Q594" s="45"/>
      <c r="R594" s="69">
        <f t="shared" si="314"/>
        <v>43.3556412053259</v>
      </c>
      <c r="S594" s="69"/>
      <c r="T594" s="70">
        <f t="shared" si="315"/>
        <v>0.0622459705676244</v>
      </c>
      <c r="U594" s="69"/>
      <c r="V594" s="69"/>
      <c r="W594" s="71">
        <f t="shared" si="310"/>
        <v>43.4178871758935</v>
      </c>
      <c r="X594" s="72">
        <f t="shared" si="316"/>
        <v>0.701282410651717</v>
      </c>
      <c r="Y594" s="72"/>
      <c r="Z594" s="72"/>
      <c r="AA594" s="72">
        <f t="shared" si="311"/>
        <v>0.701282410651717</v>
      </c>
      <c r="AB594" s="81">
        <v>7.11</v>
      </c>
      <c r="AC594" s="69">
        <f t="shared" si="307"/>
        <v>4.98611793973371</v>
      </c>
      <c r="AD594" s="69">
        <f t="shared" si="308"/>
        <v>48.4040051156272</v>
      </c>
      <c r="AE594" s="69">
        <f t="shared" si="309"/>
        <v>23.5959948843728</v>
      </c>
    </row>
    <row r="595" customFormat="1" spans="1:31">
      <c r="A595" s="19"/>
      <c r="B595" s="20"/>
      <c r="C595" s="21">
        <v>241017000009</v>
      </c>
      <c r="D595" s="22">
        <v>45587</v>
      </c>
      <c r="E595" s="22" t="s">
        <v>66</v>
      </c>
      <c r="F595" s="20" t="s">
        <v>67</v>
      </c>
      <c r="G595" s="20" t="s">
        <v>413</v>
      </c>
      <c r="H595" s="20">
        <v>247.5</v>
      </c>
      <c r="I595" s="39">
        <v>14355</v>
      </c>
      <c r="J595" s="40"/>
      <c r="K595" s="41"/>
      <c r="L595" s="20"/>
      <c r="M595" s="41"/>
      <c r="N595" s="42"/>
      <c r="O595" s="43">
        <f t="shared" si="319"/>
        <v>14355</v>
      </c>
      <c r="P595" s="45"/>
      <c r="Q595" s="45"/>
      <c r="R595" s="69">
        <f t="shared" si="314"/>
        <v>10730.5211983182</v>
      </c>
      <c r="S595" s="69"/>
      <c r="T595" s="70">
        <f t="shared" si="315"/>
        <v>15.405877715487</v>
      </c>
      <c r="U595" s="69"/>
      <c r="V595" s="69"/>
      <c r="W595" s="71">
        <f t="shared" si="310"/>
        <v>10745.9270760336</v>
      </c>
      <c r="X595" s="72">
        <f t="shared" si="316"/>
        <v>173.5673966363</v>
      </c>
      <c r="Y595" s="72"/>
      <c r="Z595" s="72"/>
      <c r="AA595" s="72">
        <f t="shared" si="311"/>
        <v>173.5673966363</v>
      </c>
      <c r="AB595" s="81">
        <v>7.11</v>
      </c>
      <c r="AC595" s="69">
        <f t="shared" si="307"/>
        <v>1234.06419008409</v>
      </c>
      <c r="AD595" s="69">
        <f t="shared" si="308"/>
        <v>11979.9912661177</v>
      </c>
      <c r="AE595" s="69">
        <f t="shared" si="309"/>
        <v>2375.00873388227</v>
      </c>
    </row>
    <row r="596" customFormat="1" spans="1:31">
      <c r="A596" s="19"/>
      <c r="B596" s="20"/>
      <c r="C596" s="21">
        <v>241017000012</v>
      </c>
      <c r="D596" s="22">
        <v>45587</v>
      </c>
      <c r="E596" s="22" t="s">
        <v>37</v>
      </c>
      <c r="F596" s="20" t="s">
        <v>38</v>
      </c>
      <c r="G596" s="20" t="s">
        <v>414</v>
      </c>
      <c r="H596" s="20">
        <v>0.28</v>
      </c>
      <c r="I596" s="39">
        <v>72</v>
      </c>
      <c r="J596" s="40"/>
      <c r="K596" s="41"/>
      <c r="L596" s="20"/>
      <c r="M596" s="41"/>
      <c r="N596" s="42"/>
      <c r="O596" s="43">
        <f t="shared" si="319"/>
        <v>72</v>
      </c>
      <c r="P596" s="45"/>
      <c r="Q596" s="45"/>
      <c r="R596" s="69">
        <f t="shared" si="314"/>
        <v>12.1395795374912</v>
      </c>
      <c r="S596" s="69"/>
      <c r="T596" s="70">
        <f t="shared" si="315"/>
        <v>0.0174288717589348</v>
      </c>
      <c r="U596" s="69"/>
      <c r="V596" s="69"/>
      <c r="W596" s="71">
        <f t="shared" si="310"/>
        <v>12.1570084092502</v>
      </c>
      <c r="X596" s="72">
        <f t="shared" si="316"/>
        <v>0.196359074982481</v>
      </c>
      <c r="Y596" s="72"/>
      <c r="Z596" s="72"/>
      <c r="AA596" s="72">
        <f t="shared" si="311"/>
        <v>0.196359074982481</v>
      </c>
      <c r="AB596" s="81">
        <v>7.11</v>
      </c>
      <c r="AC596" s="69">
        <f t="shared" si="307"/>
        <v>1.39611302312544</v>
      </c>
      <c r="AD596" s="69">
        <f t="shared" si="308"/>
        <v>13.5531214323756</v>
      </c>
      <c r="AE596" s="69">
        <f t="shared" si="309"/>
        <v>58.4468785676244</v>
      </c>
    </row>
    <row r="597" customFormat="1" spans="1:31">
      <c r="A597" s="19"/>
      <c r="B597" s="20"/>
      <c r="C597" s="21">
        <v>241017000013</v>
      </c>
      <c r="D597" s="22">
        <v>45587</v>
      </c>
      <c r="E597" s="22" t="s">
        <v>41</v>
      </c>
      <c r="F597" s="20" t="s">
        <v>42</v>
      </c>
      <c r="G597" s="20" t="s">
        <v>415</v>
      </c>
      <c r="H597" s="20">
        <v>3.5</v>
      </c>
      <c r="I597" s="39">
        <v>223</v>
      </c>
      <c r="J597" s="40"/>
      <c r="K597" s="41"/>
      <c r="L597" s="20"/>
      <c r="M597" s="41"/>
      <c r="N597" s="42"/>
      <c r="O597" s="43">
        <f t="shared" si="319"/>
        <v>223</v>
      </c>
      <c r="P597" s="45"/>
      <c r="Q597" s="45"/>
      <c r="R597" s="69">
        <f t="shared" si="314"/>
        <v>151.744744218641</v>
      </c>
      <c r="S597" s="69"/>
      <c r="T597" s="70">
        <f t="shared" si="315"/>
        <v>0.217860896986685</v>
      </c>
      <c r="U597" s="69"/>
      <c r="V597" s="69"/>
      <c r="W597" s="71">
        <f t="shared" si="310"/>
        <v>151.962605115627</v>
      </c>
      <c r="X597" s="72">
        <f t="shared" si="316"/>
        <v>2.45448843728101</v>
      </c>
      <c r="Y597" s="72"/>
      <c r="Z597" s="72"/>
      <c r="AA597" s="72">
        <f t="shared" si="311"/>
        <v>2.45448843728101</v>
      </c>
      <c r="AB597" s="81">
        <v>7.11</v>
      </c>
      <c r="AC597" s="69">
        <f t="shared" si="307"/>
        <v>17.451412789068</v>
      </c>
      <c r="AD597" s="69">
        <f t="shared" si="308"/>
        <v>169.414017904695</v>
      </c>
      <c r="AE597" s="69">
        <f t="shared" si="309"/>
        <v>53.5859820953048</v>
      </c>
    </row>
    <row r="598" customFormat="1" spans="1:31">
      <c r="A598" s="19"/>
      <c r="B598" s="20"/>
      <c r="C598" s="21">
        <v>241017000014</v>
      </c>
      <c r="D598" s="22">
        <v>45587</v>
      </c>
      <c r="E598" s="22" t="s">
        <v>41</v>
      </c>
      <c r="F598" s="20" t="s">
        <v>42</v>
      </c>
      <c r="G598" s="20" t="s">
        <v>255</v>
      </c>
      <c r="H598" s="20">
        <v>0.75</v>
      </c>
      <c r="I598" s="43"/>
      <c r="J598" s="46">
        <v>18846</v>
      </c>
      <c r="K598" s="41"/>
      <c r="L598" s="47">
        <f t="shared" ref="L598:L604" si="320">SUM(J598/M598)</f>
        <v>1745</v>
      </c>
      <c r="M598" s="48">
        <v>10.8</v>
      </c>
      <c r="N598" s="42">
        <v>7.11</v>
      </c>
      <c r="O598" s="43">
        <f t="shared" ref="O598:O604" si="321">SUM(M598*N598)</f>
        <v>76.788</v>
      </c>
      <c r="P598" s="45"/>
      <c r="Q598" s="45"/>
      <c r="R598" s="69">
        <f t="shared" si="314"/>
        <v>32.5167309039944</v>
      </c>
      <c r="S598" s="69"/>
      <c r="T598" s="70">
        <f t="shared" si="315"/>
        <v>0.0466844779257183</v>
      </c>
      <c r="U598" s="69"/>
      <c r="V598" s="70">
        <v>13</v>
      </c>
      <c r="W598" s="71">
        <f t="shared" si="310"/>
        <v>45.5634153819201</v>
      </c>
      <c r="X598" s="72">
        <f t="shared" si="316"/>
        <v>0.525961807988788</v>
      </c>
      <c r="Y598" s="72"/>
      <c r="Z598" s="72"/>
      <c r="AA598" s="72">
        <f t="shared" si="311"/>
        <v>0.525961807988788</v>
      </c>
      <c r="AB598" s="81">
        <v>7.11</v>
      </c>
      <c r="AC598" s="69">
        <f t="shared" si="307"/>
        <v>3.73958845480028</v>
      </c>
      <c r="AD598" s="69">
        <f t="shared" si="308"/>
        <v>49.3030038367204</v>
      </c>
      <c r="AE598" s="69">
        <f t="shared" si="309"/>
        <v>27.4849961632796</v>
      </c>
    </row>
    <row r="599" customFormat="1" spans="1:31">
      <c r="A599" s="19"/>
      <c r="B599" s="20"/>
      <c r="C599" s="21">
        <v>241017000015</v>
      </c>
      <c r="D599" s="22">
        <v>45587</v>
      </c>
      <c r="E599" s="22" t="s">
        <v>41</v>
      </c>
      <c r="F599" s="20" t="s">
        <v>42</v>
      </c>
      <c r="G599" s="20" t="s">
        <v>255</v>
      </c>
      <c r="H599" s="20">
        <v>1.5</v>
      </c>
      <c r="I599" s="43"/>
      <c r="J599" s="46">
        <v>23208.5</v>
      </c>
      <c r="K599" s="41"/>
      <c r="L599" s="47">
        <f t="shared" si="320"/>
        <v>1745</v>
      </c>
      <c r="M599" s="48">
        <v>13.3</v>
      </c>
      <c r="N599" s="42">
        <v>7.11</v>
      </c>
      <c r="O599" s="43">
        <f t="shared" si="321"/>
        <v>94.563</v>
      </c>
      <c r="P599" s="45"/>
      <c r="Q599" s="45"/>
      <c r="R599" s="69">
        <f t="shared" si="314"/>
        <v>65.0334618079888</v>
      </c>
      <c r="S599" s="69"/>
      <c r="T599" s="70">
        <f t="shared" si="315"/>
        <v>0.0933689558514366</v>
      </c>
      <c r="U599" s="69"/>
      <c r="V599" s="69"/>
      <c r="W599" s="71">
        <f t="shared" si="310"/>
        <v>65.1268307638402</v>
      </c>
      <c r="X599" s="72">
        <f t="shared" si="316"/>
        <v>1.05192361597758</v>
      </c>
      <c r="Y599" s="72"/>
      <c r="Z599" s="72"/>
      <c r="AA599" s="72">
        <f t="shared" si="311"/>
        <v>1.05192361597758</v>
      </c>
      <c r="AB599" s="81">
        <v>7.11</v>
      </c>
      <c r="AC599" s="69">
        <f t="shared" si="307"/>
        <v>7.47917690960056</v>
      </c>
      <c r="AD599" s="69">
        <f t="shared" si="308"/>
        <v>72.6060076734408</v>
      </c>
      <c r="AE599" s="69">
        <f t="shared" si="309"/>
        <v>21.9569923265592</v>
      </c>
    </row>
    <row r="600" customFormat="1" spans="1:31">
      <c r="A600" s="19"/>
      <c r="B600" s="20"/>
      <c r="C600" s="82">
        <v>241017000016</v>
      </c>
      <c r="D600" s="83">
        <v>45587</v>
      </c>
      <c r="E600" s="22" t="s">
        <v>37</v>
      </c>
      <c r="F600" s="84" t="s">
        <v>38</v>
      </c>
      <c r="G600" s="84" t="s">
        <v>416</v>
      </c>
      <c r="H600" s="84">
        <v>101.5</v>
      </c>
      <c r="I600" s="39">
        <v>5582.5</v>
      </c>
      <c r="J600" s="40"/>
      <c r="K600" s="41"/>
      <c r="L600" s="20"/>
      <c r="M600" s="41"/>
      <c r="N600" s="42"/>
      <c r="O600" s="43">
        <f t="shared" ref="O600:O602" si="322">SUM(I600)</f>
        <v>5582.5</v>
      </c>
      <c r="P600" s="45"/>
      <c r="Q600" s="45"/>
      <c r="R600" s="69">
        <f t="shared" si="314"/>
        <v>4400.59758234058</v>
      </c>
      <c r="S600" s="69"/>
      <c r="T600" s="70">
        <f t="shared" si="315"/>
        <v>6.31796601261388</v>
      </c>
      <c r="U600" s="69"/>
      <c r="V600" s="69"/>
      <c r="W600" s="71">
        <f t="shared" si="310"/>
        <v>4406.91554835319</v>
      </c>
      <c r="X600" s="72">
        <f t="shared" si="316"/>
        <v>71.1801646811493</v>
      </c>
      <c r="Y600" s="72"/>
      <c r="Z600" s="72"/>
      <c r="AA600" s="72">
        <f t="shared" si="311"/>
        <v>71.1801646811493</v>
      </c>
      <c r="AB600" s="81">
        <v>7.11</v>
      </c>
      <c r="AC600" s="69">
        <f t="shared" si="307"/>
        <v>506.090970882971</v>
      </c>
      <c r="AD600" s="69">
        <f t="shared" si="308"/>
        <v>4913.00651923616</v>
      </c>
      <c r="AE600" s="69">
        <f t="shared" si="309"/>
        <v>669.493480763839</v>
      </c>
    </row>
    <row r="601" customFormat="1" spans="1:31">
      <c r="A601" s="19"/>
      <c r="B601" s="20"/>
      <c r="C601" s="21">
        <v>241017000018</v>
      </c>
      <c r="D601" s="22">
        <v>45587</v>
      </c>
      <c r="E601" s="22" t="s">
        <v>55</v>
      </c>
      <c r="F601" s="20" t="s">
        <v>56</v>
      </c>
      <c r="G601" s="20" t="s">
        <v>211</v>
      </c>
      <c r="H601" s="20">
        <v>1.5</v>
      </c>
      <c r="I601" s="39">
        <v>102</v>
      </c>
      <c r="J601" s="40"/>
      <c r="K601" s="41"/>
      <c r="L601" s="20"/>
      <c r="M601" s="41"/>
      <c r="N601" s="42"/>
      <c r="O601" s="43">
        <f t="shared" si="322"/>
        <v>102</v>
      </c>
      <c r="P601" s="45"/>
      <c r="Q601" s="45"/>
      <c r="R601" s="69">
        <f t="shared" si="314"/>
        <v>65.0334618079888</v>
      </c>
      <c r="S601" s="69"/>
      <c r="T601" s="70">
        <f t="shared" si="315"/>
        <v>0.0933689558514366</v>
      </c>
      <c r="U601" s="69"/>
      <c r="V601" s="69"/>
      <c r="W601" s="71">
        <f t="shared" si="310"/>
        <v>65.1268307638402</v>
      </c>
      <c r="X601" s="72">
        <f t="shared" si="316"/>
        <v>1.05192361597758</v>
      </c>
      <c r="Y601" s="72"/>
      <c r="Z601" s="72"/>
      <c r="AA601" s="72">
        <f t="shared" si="311"/>
        <v>1.05192361597758</v>
      </c>
      <c r="AB601" s="81">
        <v>7.11</v>
      </c>
      <c r="AC601" s="69">
        <f t="shared" si="307"/>
        <v>7.47917690960056</v>
      </c>
      <c r="AD601" s="69">
        <f t="shared" si="308"/>
        <v>72.6060076734408</v>
      </c>
      <c r="AE601" s="69">
        <f t="shared" si="309"/>
        <v>29.3939923265592</v>
      </c>
    </row>
    <row r="602" customFormat="1" spans="1:31">
      <c r="A602" s="19"/>
      <c r="B602" s="20"/>
      <c r="C602" s="21">
        <v>241017000019</v>
      </c>
      <c r="D602" s="22">
        <v>45587</v>
      </c>
      <c r="E602" s="22" t="s">
        <v>66</v>
      </c>
      <c r="F602" s="20" t="s">
        <v>67</v>
      </c>
      <c r="G602" s="20" t="s">
        <v>139</v>
      </c>
      <c r="H602" s="20">
        <v>37</v>
      </c>
      <c r="I602" s="39">
        <v>1961</v>
      </c>
      <c r="J602" s="40"/>
      <c r="K602" s="41"/>
      <c r="L602" s="20"/>
      <c r="M602" s="41"/>
      <c r="N602" s="42"/>
      <c r="O602" s="43">
        <f t="shared" si="322"/>
        <v>1961</v>
      </c>
      <c r="P602" s="45"/>
      <c r="Q602" s="45"/>
      <c r="R602" s="69">
        <f t="shared" si="314"/>
        <v>1604.15872459706</v>
      </c>
      <c r="S602" s="69"/>
      <c r="T602" s="70">
        <f t="shared" si="315"/>
        <v>2.3031009110021</v>
      </c>
      <c r="U602" s="69"/>
      <c r="V602" s="69"/>
      <c r="W602" s="71">
        <f t="shared" si="310"/>
        <v>1606.46182550806</v>
      </c>
      <c r="X602" s="72">
        <f t="shared" si="316"/>
        <v>25.9474491941135</v>
      </c>
      <c r="Y602" s="72"/>
      <c r="Z602" s="72"/>
      <c r="AA602" s="72">
        <f t="shared" si="311"/>
        <v>25.9474491941135</v>
      </c>
      <c r="AB602" s="81">
        <v>7.11</v>
      </c>
      <c r="AC602" s="69">
        <f t="shared" si="307"/>
        <v>184.486363770147</v>
      </c>
      <c r="AD602" s="69">
        <f t="shared" si="308"/>
        <v>1790.94818927821</v>
      </c>
      <c r="AE602" s="69">
        <f t="shared" si="309"/>
        <v>170.051810721794</v>
      </c>
    </row>
    <row r="603" customFormat="1" spans="1:31">
      <c r="A603" s="19"/>
      <c r="B603" s="20"/>
      <c r="C603" s="21">
        <v>241017000027</v>
      </c>
      <c r="D603" s="22">
        <v>45587</v>
      </c>
      <c r="E603" s="22" t="s">
        <v>66</v>
      </c>
      <c r="F603" s="20" t="s">
        <v>67</v>
      </c>
      <c r="G603" s="20" t="s">
        <v>181</v>
      </c>
      <c r="H603" s="20">
        <v>26</v>
      </c>
      <c r="I603" s="50"/>
      <c r="J603" s="46">
        <v>381654</v>
      </c>
      <c r="K603" s="41"/>
      <c r="L603" s="47">
        <f t="shared" si="320"/>
        <v>1656.7000911577</v>
      </c>
      <c r="M603" s="48">
        <v>230.37</v>
      </c>
      <c r="N603" s="42">
        <v>7.11</v>
      </c>
      <c r="O603" s="43">
        <f t="shared" si="321"/>
        <v>1637.9307</v>
      </c>
      <c r="P603" s="45"/>
      <c r="Q603" s="45"/>
      <c r="R603" s="69">
        <f t="shared" si="314"/>
        <v>1127.24667133847</v>
      </c>
      <c r="S603" s="69"/>
      <c r="T603" s="70">
        <f t="shared" si="315"/>
        <v>1.61839523475823</v>
      </c>
      <c r="U603" s="69"/>
      <c r="V603" s="69"/>
      <c r="W603" s="71">
        <f t="shared" si="310"/>
        <v>1128.86506657323</v>
      </c>
      <c r="X603" s="72">
        <f t="shared" si="316"/>
        <v>18.2333426769446</v>
      </c>
      <c r="Y603" s="72"/>
      <c r="Z603" s="72"/>
      <c r="AA603" s="72">
        <f t="shared" si="311"/>
        <v>18.2333426769446</v>
      </c>
      <c r="AB603" s="81">
        <v>7.11</v>
      </c>
      <c r="AC603" s="69">
        <f t="shared" si="307"/>
        <v>129.639066433076</v>
      </c>
      <c r="AD603" s="69">
        <f t="shared" si="308"/>
        <v>1258.50413300631</v>
      </c>
      <c r="AE603" s="69">
        <f t="shared" si="309"/>
        <v>379.42656699369</v>
      </c>
    </row>
    <row r="604" customFormat="1" spans="1:31">
      <c r="A604" s="19"/>
      <c r="B604" s="20"/>
      <c r="C604" s="21">
        <v>241017000031</v>
      </c>
      <c r="D604" s="22">
        <v>45587</v>
      </c>
      <c r="E604" s="22" t="s">
        <v>55</v>
      </c>
      <c r="F604" s="20" t="s">
        <v>56</v>
      </c>
      <c r="G604" s="20" t="s">
        <v>417</v>
      </c>
      <c r="H604" s="20">
        <v>17.5</v>
      </c>
      <c r="I604" s="43"/>
      <c r="J604" s="46">
        <v>280508.75</v>
      </c>
      <c r="K604" s="41"/>
      <c r="L604" s="47">
        <f t="shared" si="320"/>
        <v>1745</v>
      </c>
      <c r="M604" s="48">
        <v>160.75</v>
      </c>
      <c r="N604" s="42">
        <v>7.11</v>
      </c>
      <c r="O604" s="43">
        <f t="shared" si="321"/>
        <v>1142.9325</v>
      </c>
      <c r="P604" s="45"/>
      <c r="Q604" s="45"/>
      <c r="R604" s="69">
        <f t="shared" si="314"/>
        <v>758.723721093203</v>
      </c>
      <c r="S604" s="69"/>
      <c r="T604" s="70">
        <f t="shared" si="315"/>
        <v>1.08930448493343</v>
      </c>
      <c r="U604" s="69"/>
      <c r="V604" s="69">
        <v>73</v>
      </c>
      <c r="W604" s="71">
        <f t="shared" si="310"/>
        <v>832.813025578136</v>
      </c>
      <c r="X604" s="72">
        <f t="shared" si="316"/>
        <v>12.272442186405</v>
      </c>
      <c r="Y604" s="72"/>
      <c r="Z604" s="72"/>
      <c r="AA604" s="72">
        <f t="shared" si="311"/>
        <v>12.272442186405</v>
      </c>
      <c r="AB604" s="81">
        <v>7.11</v>
      </c>
      <c r="AC604" s="69">
        <f t="shared" si="307"/>
        <v>87.2570639453399</v>
      </c>
      <c r="AD604" s="69">
        <f t="shared" si="308"/>
        <v>920.070089523476</v>
      </c>
      <c r="AE604" s="69">
        <f t="shared" si="309"/>
        <v>222.862410476524</v>
      </c>
    </row>
    <row r="605" customFormat="1" spans="1:31">
      <c r="A605" s="19"/>
      <c r="B605" s="20"/>
      <c r="C605" s="21">
        <v>241017000032</v>
      </c>
      <c r="D605" s="22">
        <v>45587</v>
      </c>
      <c r="E605" s="22" t="s">
        <v>47</v>
      </c>
      <c r="F605" s="20" t="s">
        <v>47</v>
      </c>
      <c r="G605" s="20" t="s">
        <v>98</v>
      </c>
      <c r="H605" s="20">
        <v>149</v>
      </c>
      <c r="I605" s="39">
        <v>9076</v>
      </c>
      <c r="J605" s="40"/>
      <c r="K605" s="41"/>
      <c r="L605" s="20"/>
      <c r="M605" s="41"/>
      <c r="N605" s="42"/>
      <c r="O605" s="43">
        <f t="shared" ref="O605:O610" si="323">SUM(I605)</f>
        <v>9076</v>
      </c>
      <c r="P605" s="45"/>
      <c r="Q605" s="45"/>
      <c r="R605" s="69">
        <f t="shared" si="314"/>
        <v>6459.99053959355</v>
      </c>
      <c r="S605" s="69"/>
      <c r="T605" s="70">
        <f t="shared" si="315"/>
        <v>9.27464961457603</v>
      </c>
      <c r="U605" s="69"/>
      <c r="V605" s="69"/>
      <c r="W605" s="71">
        <f t="shared" si="310"/>
        <v>6469.26518920813</v>
      </c>
      <c r="X605" s="72">
        <f t="shared" si="316"/>
        <v>104.491079187106</v>
      </c>
      <c r="Y605" s="72"/>
      <c r="Z605" s="72"/>
      <c r="AA605" s="72">
        <f t="shared" si="311"/>
        <v>104.491079187106</v>
      </c>
      <c r="AB605" s="81">
        <v>7.11</v>
      </c>
      <c r="AC605" s="69">
        <f t="shared" ref="AC605:AC625" si="324">SUM(AA605*AB605)</f>
        <v>742.931573020323</v>
      </c>
      <c r="AD605" s="69">
        <f t="shared" ref="AD605:AD625" si="325">SUM(W605+AC605)</f>
        <v>7212.19676222845</v>
      </c>
      <c r="AE605" s="69">
        <f t="shared" ref="AE605:AE625" si="326">SUM(O605-AD605)</f>
        <v>1863.80323777155</v>
      </c>
    </row>
    <row r="606" customFormat="1" spans="1:31">
      <c r="A606" s="19"/>
      <c r="B606" s="20"/>
      <c r="C606" s="21">
        <v>241017000034</v>
      </c>
      <c r="D606" s="22">
        <v>45587</v>
      </c>
      <c r="E606" s="22" t="s">
        <v>66</v>
      </c>
      <c r="F606" s="20" t="s">
        <v>67</v>
      </c>
      <c r="G606" s="20" t="s">
        <v>223</v>
      </c>
      <c r="H606" s="20">
        <v>136.5</v>
      </c>
      <c r="I606" s="39">
        <v>9857.5</v>
      </c>
      <c r="J606" s="40"/>
      <c r="K606" s="41"/>
      <c r="L606" s="20"/>
      <c r="M606" s="41"/>
      <c r="N606" s="42"/>
      <c r="O606" s="43">
        <f t="shared" si="323"/>
        <v>9857.5</v>
      </c>
      <c r="P606" s="45"/>
      <c r="Q606" s="45"/>
      <c r="R606" s="69">
        <f t="shared" si="314"/>
        <v>5918.04502452698</v>
      </c>
      <c r="S606" s="69"/>
      <c r="T606" s="70">
        <f t="shared" si="315"/>
        <v>8.49657498248073</v>
      </c>
      <c r="U606" s="70">
        <v>480</v>
      </c>
      <c r="V606" s="69"/>
      <c r="W606" s="71">
        <f t="shared" ref="W606:W625" si="327">SUM(R606:V606)</f>
        <v>6406.54159950946</v>
      </c>
      <c r="X606" s="72">
        <f t="shared" si="316"/>
        <v>95.7250490539594</v>
      </c>
      <c r="Y606" s="72"/>
      <c r="Z606" s="72"/>
      <c r="AA606" s="72">
        <f t="shared" si="311"/>
        <v>95.7250490539594</v>
      </c>
      <c r="AB606" s="81">
        <v>7.11</v>
      </c>
      <c r="AC606" s="69">
        <f t="shared" si="324"/>
        <v>680.605098773651</v>
      </c>
      <c r="AD606" s="69">
        <f t="shared" si="325"/>
        <v>7087.14669828311</v>
      </c>
      <c r="AE606" s="69">
        <f t="shared" si="326"/>
        <v>2770.35330171689</v>
      </c>
    </row>
    <row r="607" customFormat="1" spans="1:31">
      <c r="A607" s="19"/>
      <c r="B607" s="20"/>
      <c r="C607" s="21">
        <v>241017000035</v>
      </c>
      <c r="D607" s="22">
        <v>45587</v>
      </c>
      <c r="E607" s="22" t="s">
        <v>41</v>
      </c>
      <c r="F607" s="20" t="s">
        <v>42</v>
      </c>
      <c r="G607" s="20" t="s">
        <v>418</v>
      </c>
      <c r="H607" s="20">
        <v>104</v>
      </c>
      <c r="I607" s="43"/>
      <c r="J607" s="46">
        <v>1425476</v>
      </c>
      <c r="K607" s="41"/>
      <c r="L607" s="47">
        <f>SUM(J607/M607)</f>
        <v>1735</v>
      </c>
      <c r="M607" s="48">
        <v>821.6</v>
      </c>
      <c r="N607" s="42">
        <v>7.11</v>
      </c>
      <c r="O607" s="43">
        <f>SUM(M607*N607)</f>
        <v>5841.576</v>
      </c>
      <c r="P607" s="45"/>
      <c r="Q607" s="45"/>
      <c r="R607" s="69">
        <f t="shared" si="314"/>
        <v>4508.98668535389</v>
      </c>
      <c r="S607" s="69"/>
      <c r="T607" s="70">
        <f t="shared" si="315"/>
        <v>6.47358093903294</v>
      </c>
      <c r="U607" s="69"/>
      <c r="V607" s="69"/>
      <c r="W607" s="71">
        <f t="shared" si="327"/>
        <v>4515.46026629292</v>
      </c>
      <c r="X607" s="72">
        <f t="shared" si="316"/>
        <v>72.9333707077786</v>
      </c>
      <c r="Y607" s="72"/>
      <c r="Z607" s="72"/>
      <c r="AA607" s="72">
        <f t="shared" ref="AA607:AA625" si="328">SUM(X607:Z607)</f>
        <v>72.9333707077786</v>
      </c>
      <c r="AB607" s="81">
        <v>7.11</v>
      </c>
      <c r="AC607" s="69">
        <f t="shared" si="324"/>
        <v>518.556265732306</v>
      </c>
      <c r="AD607" s="69">
        <f t="shared" si="325"/>
        <v>5034.01653202523</v>
      </c>
      <c r="AE607" s="69">
        <f t="shared" si="326"/>
        <v>807.559467974772</v>
      </c>
    </row>
    <row r="608" customFormat="1" spans="1:31">
      <c r="A608" s="19"/>
      <c r="B608" s="20"/>
      <c r="C608" s="21">
        <v>241017000036</v>
      </c>
      <c r="D608" s="22">
        <v>45587</v>
      </c>
      <c r="E608" s="22" t="s">
        <v>55</v>
      </c>
      <c r="F608" s="20" t="s">
        <v>56</v>
      </c>
      <c r="G608" s="20" t="s">
        <v>152</v>
      </c>
      <c r="H608" s="20">
        <v>3.5</v>
      </c>
      <c r="I608" s="39">
        <v>223.5</v>
      </c>
      <c r="J608" s="40"/>
      <c r="K608" s="41"/>
      <c r="L608" s="20"/>
      <c r="M608" s="41"/>
      <c r="N608" s="42"/>
      <c r="O608" s="43">
        <f t="shared" si="323"/>
        <v>223.5</v>
      </c>
      <c r="P608" s="45"/>
      <c r="Q608" s="45"/>
      <c r="R608" s="69">
        <f t="shared" si="314"/>
        <v>151.744744218641</v>
      </c>
      <c r="S608" s="69"/>
      <c r="T608" s="70">
        <f t="shared" si="315"/>
        <v>0.217860896986685</v>
      </c>
      <c r="U608" s="69"/>
      <c r="V608" s="69"/>
      <c r="W608" s="71">
        <f t="shared" si="327"/>
        <v>151.962605115627</v>
      </c>
      <c r="X608" s="72">
        <f t="shared" si="316"/>
        <v>2.45448843728101</v>
      </c>
      <c r="Y608" s="72"/>
      <c r="Z608" s="72"/>
      <c r="AA608" s="72">
        <f t="shared" si="328"/>
        <v>2.45448843728101</v>
      </c>
      <c r="AB608" s="81">
        <v>7.11</v>
      </c>
      <c r="AC608" s="69">
        <f t="shared" si="324"/>
        <v>17.451412789068</v>
      </c>
      <c r="AD608" s="69">
        <f t="shared" si="325"/>
        <v>169.414017904695</v>
      </c>
      <c r="AE608" s="69">
        <f t="shared" si="326"/>
        <v>54.0859820953048</v>
      </c>
    </row>
    <row r="609" customFormat="1" spans="1:31">
      <c r="A609" s="19"/>
      <c r="B609" s="20"/>
      <c r="C609" s="21">
        <v>241017000038</v>
      </c>
      <c r="D609" s="22">
        <v>45587</v>
      </c>
      <c r="E609" s="22" t="s">
        <v>37</v>
      </c>
      <c r="F609" s="20" t="s">
        <v>38</v>
      </c>
      <c r="G609" s="20" t="s">
        <v>419</v>
      </c>
      <c r="H609" s="20">
        <v>7</v>
      </c>
      <c r="I609" s="39">
        <v>420</v>
      </c>
      <c r="J609" s="40"/>
      <c r="K609" s="41"/>
      <c r="L609" s="20"/>
      <c r="M609" s="41"/>
      <c r="N609" s="42"/>
      <c r="O609" s="43">
        <f t="shared" si="323"/>
        <v>420</v>
      </c>
      <c r="P609" s="45"/>
      <c r="Q609" s="45"/>
      <c r="R609" s="69">
        <f t="shared" ref="R609:R625" si="329">SUM(123737/2854)*H609</f>
        <v>303.489488437281</v>
      </c>
      <c r="S609" s="69"/>
      <c r="T609" s="70">
        <f t="shared" ref="T609:T625" si="330">SUM(177.65/2854)*H609</f>
        <v>0.435721793973371</v>
      </c>
      <c r="U609" s="69"/>
      <c r="V609" s="69"/>
      <c r="W609" s="71">
        <f t="shared" si="327"/>
        <v>303.925210231254</v>
      </c>
      <c r="X609" s="72">
        <f t="shared" ref="X609:X625" si="331">SUM(2001.46/2854)*H609</f>
        <v>4.90897687456202</v>
      </c>
      <c r="Y609" s="72"/>
      <c r="Z609" s="72"/>
      <c r="AA609" s="72">
        <f t="shared" si="328"/>
        <v>4.90897687456202</v>
      </c>
      <c r="AB609" s="81">
        <v>7.11</v>
      </c>
      <c r="AC609" s="69">
        <f t="shared" si="324"/>
        <v>34.902825578136</v>
      </c>
      <c r="AD609" s="69">
        <f t="shared" si="325"/>
        <v>338.82803580939</v>
      </c>
      <c r="AE609" s="69">
        <f t="shared" si="326"/>
        <v>81.1719641906097</v>
      </c>
    </row>
    <row r="610" customFormat="1" spans="1:31">
      <c r="A610" s="19"/>
      <c r="B610" s="20"/>
      <c r="C610" s="21">
        <v>241017000039</v>
      </c>
      <c r="D610" s="22">
        <v>45587</v>
      </c>
      <c r="E610" s="22" t="s">
        <v>37</v>
      </c>
      <c r="F610" s="20" t="s">
        <v>38</v>
      </c>
      <c r="G610" s="20" t="s">
        <v>267</v>
      </c>
      <c r="H610" s="20">
        <v>145</v>
      </c>
      <c r="I610" s="39">
        <v>8765</v>
      </c>
      <c r="J610" s="40"/>
      <c r="K610" s="41"/>
      <c r="L610" s="20"/>
      <c r="M610" s="41"/>
      <c r="N610" s="42"/>
      <c r="O610" s="43">
        <f t="shared" si="323"/>
        <v>8765</v>
      </c>
      <c r="P610" s="45"/>
      <c r="Q610" s="45"/>
      <c r="R610" s="69">
        <f t="shared" si="329"/>
        <v>6286.56797477225</v>
      </c>
      <c r="S610" s="69"/>
      <c r="T610" s="70">
        <f t="shared" si="330"/>
        <v>9.02566573230554</v>
      </c>
      <c r="U610" s="69"/>
      <c r="V610" s="69"/>
      <c r="W610" s="71">
        <f t="shared" si="327"/>
        <v>6295.59364050455</v>
      </c>
      <c r="X610" s="72">
        <f t="shared" si="331"/>
        <v>101.685949544499</v>
      </c>
      <c r="Y610" s="72"/>
      <c r="Z610" s="72"/>
      <c r="AA610" s="72">
        <f t="shared" si="328"/>
        <v>101.685949544499</v>
      </c>
      <c r="AB610" s="81">
        <v>7.11</v>
      </c>
      <c r="AC610" s="69">
        <f t="shared" si="324"/>
        <v>722.987101261388</v>
      </c>
      <c r="AD610" s="69">
        <f t="shared" si="325"/>
        <v>7018.58074176594</v>
      </c>
      <c r="AE610" s="69">
        <f t="shared" si="326"/>
        <v>1746.41925823406</v>
      </c>
    </row>
    <row r="611" customFormat="1" spans="1:31">
      <c r="A611" s="19"/>
      <c r="B611" s="20"/>
      <c r="C611" s="21">
        <v>241017000040</v>
      </c>
      <c r="D611" s="22">
        <v>45587</v>
      </c>
      <c r="E611" s="22" t="s">
        <v>37</v>
      </c>
      <c r="F611" s="20" t="s">
        <v>38</v>
      </c>
      <c r="G611" s="20" t="s">
        <v>420</v>
      </c>
      <c r="H611" s="20">
        <v>9</v>
      </c>
      <c r="I611" s="50"/>
      <c r="J611" s="46">
        <v>139895</v>
      </c>
      <c r="K611" s="41"/>
      <c r="L611" s="47">
        <f t="shared" ref="L611:L614" si="332">SUM(J611/M611)</f>
        <v>1742.15442092154</v>
      </c>
      <c r="M611" s="48">
        <v>80.3</v>
      </c>
      <c r="N611" s="42">
        <v>7.11</v>
      </c>
      <c r="O611" s="43">
        <f t="shared" ref="O611:O614" si="333">SUM(M611*N611)</f>
        <v>570.933</v>
      </c>
      <c r="P611" s="45"/>
      <c r="Q611" s="45"/>
      <c r="R611" s="69">
        <f t="shared" si="329"/>
        <v>390.200770847933</v>
      </c>
      <c r="S611" s="69"/>
      <c r="T611" s="70">
        <f t="shared" si="330"/>
        <v>0.560213735108619</v>
      </c>
      <c r="U611" s="69"/>
      <c r="V611" s="70">
        <f>SUM(25+27)</f>
        <v>52</v>
      </c>
      <c r="W611" s="71">
        <f t="shared" si="327"/>
        <v>442.760984583041</v>
      </c>
      <c r="X611" s="72">
        <f t="shared" si="331"/>
        <v>6.31154169586545</v>
      </c>
      <c r="Y611" s="72"/>
      <c r="Z611" s="72"/>
      <c r="AA611" s="72">
        <f t="shared" si="328"/>
        <v>6.31154169586545</v>
      </c>
      <c r="AB611" s="81">
        <v>7.11</v>
      </c>
      <c r="AC611" s="69">
        <f t="shared" si="324"/>
        <v>44.8750614576034</v>
      </c>
      <c r="AD611" s="69">
        <f t="shared" si="325"/>
        <v>487.636046040645</v>
      </c>
      <c r="AE611" s="69">
        <f t="shared" si="326"/>
        <v>83.2969539593553</v>
      </c>
    </row>
    <row r="612" customFormat="1" spans="1:31">
      <c r="A612" s="19"/>
      <c r="B612" s="20"/>
      <c r="C612" s="21">
        <v>241017000041</v>
      </c>
      <c r="D612" s="22">
        <v>45587</v>
      </c>
      <c r="E612" s="22" t="s">
        <v>66</v>
      </c>
      <c r="F612" s="20" t="s">
        <v>67</v>
      </c>
      <c r="G612" s="20" t="s">
        <v>421</v>
      </c>
      <c r="H612" s="20">
        <v>231.5</v>
      </c>
      <c r="I612" s="39">
        <v>14720</v>
      </c>
      <c r="J612" s="40"/>
      <c r="K612" s="41"/>
      <c r="L612" s="20"/>
      <c r="M612" s="41"/>
      <c r="N612" s="42"/>
      <c r="O612" s="43">
        <f t="shared" ref="O612:O616" si="334">SUM(I612)</f>
        <v>14720</v>
      </c>
      <c r="P612" s="45"/>
      <c r="Q612" s="45"/>
      <c r="R612" s="69">
        <f t="shared" si="329"/>
        <v>10036.8309390329</v>
      </c>
      <c r="S612" s="69"/>
      <c r="T612" s="70">
        <f t="shared" si="330"/>
        <v>14.409942186405</v>
      </c>
      <c r="U612" s="70">
        <v>250</v>
      </c>
      <c r="V612" s="69"/>
      <c r="W612" s="71">
        <f t="shared" si="327"/>
        <v>10301.2408812193</v>
      </c>
      <c r="X612" s="72">
        <f t="shared" si="331"/>
        <v>162.346878065872</v>
      </c>
      <c r="Y612" s="72"/>
      <c r="Z612" s="72"/>
      <c r="AA612" s="72">
        <f t="shared" si="328"/>
        <v>162.346878065872</v>
      </c>
      <c r="AB612" s="81">
        <v>7.11</v>
      </c>
      <c r="AC612" s="69">
        <f t="shared" si="324"/>
        <v>1154.28630304835</v>
      </c>
      <c r="AD612" s="69">
        <f t="shared" si="325"/>
        <v>11455.5271842677</v>
      </c>
      <c r="AE612" s="69">
        <f t="shared" si="326"/>
        <v>3264.47281573231</v>
      </c>
    </row>
    <row r="613" customFormat="1" spans="1:31">
      <c r="A613" s="19"/>
      <c r="B613" s="20"/>
      <c r="C613" s="21">
        <v>241017000042</v>
      </c>
      <c r="D613" s="22">
        <v>45587</v>
      </c>
      <c r="E613" s="22" t="s">
        <v>66</v>
      </c>
      <c r="F613" s="20" t="s">
        <v>67</v>
      </c>
      <c r="G613" s="20" t="s">
        <v>130</v>
      </c>
      <c r="H613" s="20">
        <v>15.5</v>
      </c>
      <c r="I613" s="50"/>
      <c r="J613" s="46">
        <v>274890</v>
      </c>
      <c r="K613" s="41"/>
      <c r="L613" s="47">
        <f t="shared" si="332"/>
        <v>1742.01520912548</v>
      </c>
      <c r="M613" s="48">
        <v>157.8</v>
      </c>
      <c r="N613" s="42">
        <v>7.11</v>
      </c>
      <c r="O613" s="43">
        <f t="shared" si="333"/>
        <v>1121.958</v>
      </c>
      <c r="P613" s="45"/>
      <c r="Q613" s="45"/>
      <c r="R613" s="69">
        <f t="shared" si="329"/>
        <v>672.012438682551</v>
      </c>
      <c r="S613" s="69"/>
      <c r="T613" s="70">
        <f t="shared" si="330"/>
        <v>0.964812543798178</v>
      </c>
      <c r="U613" s="69"/>
      <c r="V613" s="70">
        <v>192</v>
      </c>
      <c r="W613" s="71">
        <f t="shared" si="327"/>
        <v>864.977251226349</v>
      </c>
      <c r="X613" s="72">
        <f t="shared" si="331"/>
        <v>10.8698773651016</v>
      </c>
      <c r="Y613" s="72"/>
      <c r="Z613" s="72"/>
      <c r="AA613" s="72">
        <f t="shared" si="328"/>
        <v>10.8698773651016</v>
      </c>
      <c r="AB613" s="81">
        <v>7.11</v>
      </c>
      <c r="AC613" s="69">
        <f t="shared" si="324"/>
        <v>77.2848280658725</v>
      </c>
      <c r="AD613" s="69">
        <f t="shared" si="325"/>
        <v>942.262079292222</v>
      </c>
      <c r="AE613" s="69">
        <f t="shared" si="326"/>
        <v>179.695920707779</v>
      </c>
    </row>
    <row r="614" customFormat="1" spans="1:31">
      <c r="A614" s="19"/>
      <c r="B614" s="20"/>
      <c r="C614" s="21">
        <v>241017000053</v>
      </c>
      <c r="D614" s="22">
        <v>45587</v>
      </c>
      <c r="E614" s="22" t="s">
        <v>41</v>
      </c>
      <c r="F614" s="20" t="s">
        <v>42</v>
      </c>
      <c r="G614" s="20" t="s">
        <v>255</v>
      </c>
      <c r="H614" s="20">
        <v>0.51</v>
      </c>
      <c r="I614" s="43"/>
      <c r="J614" s="46">
        <v>16403</v>
      </c>
      <c r="K614" s="41"/>
      <c r="L614" s="47">
        <f t="shared" si="332"/>
        <v>1745</v>
      </c>
      <c r="M614" s="48">
        <v>9.4</v>
      </c>
      <c r="N614" s="42">
        <v>7.11</v>
      </c>
      <c r="O614" s="43">
        <f t="shared" si="333"/>
        <v>66.834</v>
      </c>
      <c r="P614" s="45"/>
      <c r="Q614" s="45"/>
      <c r="R614" s="69">
        <f t="shared" si="329"/>
        <v>22.1113770147162</v>
      </c>
      <c r="S614" s="69"/>
      <c r="T614" s="70">
        <f t="shared" si="330"/>
        <v>0.0317454449894884</v>
      </c>
      <c r="U614" s="69"/>
      <c r="V614" s="69"/>
      <c r="W614" s="71">
        <f t="shared" si="327"/>
        <v>22.1431224597057</v>
      </c>
      <c r="X614" s="72">
        <f t="shared" si="331"/>
        <v>0.357654029432376</v>
      </c>
      <c r="Y614" s="72"/>
      <c r="Z614" s="72"/>
      <c r="AA614" s="72">
        <f t="shared" si="328"/>
        <v>0.357654029432376</v>
      </c>
      <c r="AB614" s="81">
        <v>7.11</v>
      </c>
      <c r="AC614" s="69">
        <f t="shared" si="324"/>
        <v>2.54292014926419</v>
      </c>
      <c r="AD614" s="69">
        <f t="shared" si="325"/>
        <v>24.6860426089699</v>
      </c>
      <c r="AE614" s="69">
        <f t="shared" si="326"/>
        <v>42.1479573910301</v>
      </c>
    </row>
    <row r="615" customFormat="1" spans="1:31">
      <c r="A615" s="19"/>
      <c r="B615" s="20"/>
      <c r="C615" s="21">
        <v>241017000059</v>
      </c>
      <c r="D615" s="22">
        <v>45587</v>
      </c>
      <c r="E615" s="22" t="s">
        <v>55</v>
      </c>
      <c r="F615" s="20" t="s">
        <v>56</v>
      </c>
      <c r="G615" s="20" t="s">
        <v>422</v>
      </c>
      <c r="H615" s="20">
        <v>292.5</v>
      </c>
      <c r="I615" s="39">
        <v>16087</v>
      </c>
      <c r="J615" s="40"/>
      <c r="K615" s="41"/>
      <c r="L615" s="20"/>
      <c r="M615" s="41"/>
      <c r="N615" s="42"/>
      <c r="O615" s="43">
        <f t="shared" si="334"/>
        <v>16087</v>
      </c>
      <c r="P615" s="45"/>
      <c r="Q615" s="45"/>
      <c r="R615" s="69">
        <f t="shared" si="329"/>
        <v>12681.5250525578</v>
      </c>
      <c r="S615" s="69"/>
      <c r="T615" s="70">
        <f t="shared" si="330"/>
        <v>18.2069463910301</v>
      </c>
      <c r="U615" s="69"/>
      <c r="V615" s="69"/>
      <c r="W615" s="71">
        <f t="shared" si="327"/>
        <v>12699.7319989488</v>
      </c>
      <c r="X615" s="72">
        <f t="shared" si="331"/>
        <v>205.125105115627</v>
      </c>
      <c r="Y615" s="72"/>
      <c r="Z615" s="72"/>
      <c r="AA615" s="72">
        <f t="shared" si="328"/>
        <v>205.125105115627</v>
      </c>
      <c r="AB615" s="81">
        <v>7.11</v>
      </c>
      <c r="AC615" s="69">
        <f t="shared" si="324"/>
        <v>1458.43949737211</v>
      </c>
      <c r="AD615" s="69">
        <f t="shared" si="325"/>
        <v>14158.171496321</v>
      </c>
      <c r="AE615" s="69">
        <f t="shared" si="326"/>
        <v>1928.82850367905</v>
      </c>
    </row>
    <row r="616" customFormat="1" spans="1:31">
      <c r="A616" s="19"/>
      <c r="B616" s="20"/>
      <c r="C616" s="21">
        <v>241017000062</v>
      </c>
      <c r="D616" s="22">
        <v>45587</v>
      </c>
      <c r="E616" s="22" t="s">
        <v>55</v>
      </c>
      <c r="F616" s="20" t="s">
        <v>56</v>
      </c>
      <c r="G616" s="20" t="s">
        <v>116</v>
      </c>
      <c r="H616" s="20">
        <v>182</v>
      </c>
      <c r="I616" s="39">
        <v>11000</v>
      </c>
      <c r="J616" s="40"/>
      <c r="K616" s="41"/>
      <c r="L616" s="20"/>
      <c r="M616" s="41"/>
      <c r="N616" s="42"/>
      <c r="O616" s="43">
        <f t="shared" si="334"/>
        <v>11000</v>
      </c>
      <c r="P616" s="45"/>
      <c r="Q616" s="45"/>
      <c r="R616" s="69">
        <f t="shared" si="329"/>
        <v>7890.72669936931</v>
      </c>
      <c r="S616" s="69"/>
      <c r="T616" s="70">
        <f t="shared" si="330"/>
        <v>11.3287666433076</v>
      </c>
      <c r="U616" s="70">
        <v>500</v>
      </c>
      <c r="V616" s="69"/>
      <c r="W616" s="71">
        <f t="shared" si="327"/>
        <v>8402.05546601261</v>
      </c>
      <c r="X616" s="72">
        <f t="shared" si="331"/>
        <v>127.633398738612</v>
      </c>
      <c r="Y616" s="72"/>
      <c r="Z616" s="72"/>
      <c r="AA616" s="72">
        <f t="shared" si="328"/>
        <v>127.633398738612</v>
      </c>
      <c r="AB616" s="81">
        <v>7.11</v>
      </c>
      <c r="AC616" s="69">
        <f t="shared" si="324"/>
        <v>907.473465031535</v>
      </c>
      <c r="AD616" s="69">
        <f t="shared" si="325"/>
        <v>9309.52893104415</v>
      </c>
      <c r="AE616" s="69">
        <f t="shared" si="326"/>
        <v>1690.47106895585</v>
      </c>
    </row>
    <row r="617" customFormat="1" spans="1:31">
      <c r="A617" s="19"/>
      <c r="B617" s="20"/>
      <c r="C617" s="21">
        <v>241018000001</v>
      </c>
      <c r="D617" s="22">
        <v>45587</v>
      </c>
      <c r="E617" s="22" t="s">
        <v>66</v>
      </c>
      <c r="F617" s="20" t="s">
        <v>67</v>
      </c>
      <c r="G617" s="20" t="s">
        <v>138</v>
      </c>
      <c r="H617" s="20">
        <v>7</v>
      </c>
      <c r="I617" s="50"/>
      <c r="J617" s="46">
        <v>93380</v>
      </c>
      <c r="K617" s="41"/>
      <c r="L617" s="47">
        <f t="shared" ref="L617:L622" si="335">SUM(J617/M617)</f>
        <v>1635.3765323993</v>
      </c>
      <c r="M617" s="48">
        <v>57.1</v>
      </c>
      <c r="N617" s="42">
        <v>7.11</v>
      </c>
      <c r="O617" s="43">
        <f t="shared" ref="O617:O622" si="336">SUM(M617*N617)</f>
        <v>405.981</v>
      </c>
      <c r="P617" s="45"/>
      <c r="Q617" s="45"/>
      <c r="R617" s="69">
        <f t="shared" si="329"/>
        <v>303.489488437281</v>
      </c>
      <c r="S617" s="69"/>
      <c r="T617" s="70">
        <f t="shared" si="330"/>
        <v>0.435721793973371</v>
      </c>
      <c r="U617" s="69"/>
      <c r="V617" s="69"/>
      <c r="W617" s="71">
        <f t="shared" si="327"/>
        <v>303.925210231254</v>
      </c>
      <c r="X617" s="72">
        <f t="shared" si="331"/>
        <v>4.90897687456202</v>
      </c>
      <c r="Y617" s="72"/>
      <c r="Z617" s="72"/>
      <c r="AA617" s="72">
        <f t="shared" si="328"/>
        <v>4.90897687456202</v>
      </c>
      <c r="AB617" s="81">
        <v>7.11</v>
      </c>
      <c r="AC617" s="69">
        <f t="shared" si="324"/>
        <v>34.902825578136</v>
      </c>
      <c r="AD617" s="69">
        <f t="shared" si="325"/>
        <v>338.82803580939</v>
      </c>
      <c r="AE617" s="69">
        <f t="shared" si="326"/>
        <v>67.1529641906097</v>
      </c>
    </row>
    <row r="618" customFormat="1" spans="1:31">
      <c r="A618" s="19"/>
      <c r="B618" s="20"/>
      <c r="C618" s="21">
        <v>241018000009</v>
      </c>
      <c r="D618" s="22">
        <v>45587</v>
      </c>
      <c r="E618" s="22" t="s">
        <v>55</v>
      </c>
      <c r="F618" s="20" t="s">
        <v>56</v>
      </c>
      <c r="G618" s="20" t="s">
        <v>152</v>
      </c>
      <c r="H618" s="20">
        <v>30.5</v>
      </c>
      <c r="I618" s="39">
        <v>1777</v>
      </c>
      <c r="J618" s="40"/>
      <c r="K618" s="41"/>
      <c r="L618" s="20"/>
      <c r="M618" s="41"/>
      <c r="N618" s="42"/>
      <c r="O618" s="43">
        <f>SUM(I618)</f>
        <v>1777</v>
      </c>
      <c r="P618" s="45"/>
      <c r="Q618" s="45"/>
      <c r="R618" s="69">
        <f t="shared" si="329"/>
        <v>1322.34705676244</v>
      </c>
      <c r="S618" s="69"/>
      <c r="T618" s="70">
        <f t="shared" si="330"/>
        <v>1.89850210231254</v>
      </c>
      <c r="U618" s="69"/>
      <c r="V618" s="69"/>
      <c r="W618" s="71">
        <f t="shared" si="327"/>
        <v>1324.24555886475</v>
      </c>
      <c r="X618" s="72">
        <f t="shared" si="331"/>
        <v>21.3891135248774</v>
      </c>
      <c r="Y618" s="72"/>
      <c r="Z618" s="72"/>
      <c r="AA618" s="72">
        <f t="shared" si="328"/>
        <v>21.3891135248774</v>
      </c>
      <c r="AB618" s="81">
        <v>7.11</v>
      </c>
      <c r="AC618" s="69">
        <f t="shared" si="324"/>
        <v>152.076597161878</v>
      </c>
      <c r="AD618" s="69">
        <f t="shared" si="325"/>
        <v>1476.32215602663</v>
      </c>
      <c r="AE618" s="69">
        <f t="shared" si="326"/>
        <v>300.677843973371</v>
      </c>
    </row>
    <row r="619" customFormat="1" spans="1:31">
      <c r="A619" s="19"/>
      <c r="B619" s="20"/>
      <c r="C619" s="21">
        <v>241018000018</v>
      </c>
      <c r="D619" s="22">
        <v>45587</v>
      </c>
      <c r="E619" s="22" t="s">
        <v>41</v>
      </c>
      <c r="F619" s="20" t="s">
        <v>42</v>
      </c>
      <c r="G619" s="20" t="s">
        <v>423</v>
      </c>
      <c r="H619" s="20">
        <v>540.5</v>
      </c>
      <c r="I619" s="50"/>
      <c r="J619" s="46">
        <v>7602674</v>
      </c>
      <c r="K619" s="41"/>
      <c r="L619" s="47">
        <f t="shared" si="335"/>
        <v>1734.84348544385</v>
      </c>
      <c r="M619" s="48">
        <v>4382.34</v>
      </c>
      <c r="N619" s="42">
        <v>7.11</v>
      </c>
      <c r="O619" s="43">
        <f t="shared" si="336"/>
        <v>31158.4374</v>
      </c>
      <c r="P619" s="45"/>
      <c r="Q619" s="45"/>
      <c r="R619" s="69">
        <f t="shared" si="329"/>
        <v>23433.7240714786</v>
      </c>
      <c r="S619" s="69"/>
      <c r="T619" s="70">
        <f t="shared" si="330"/>
        <v>33.643947091801</v>
      </c>
      <c r="U619" s="69"/>
      <c r="V619" s="69"/>
      <c r="W619" s="71">
        <f t="shared" si="327"/>
        <v>23467.3680185704</v>
      </c>
      <c r="X619" s="72">
        <f t="shared" si="331"/>
        <v>379.043142957253</v>
      </c>
      <c r="Y619" s="72"/>
      <c r="Z619" s="72"/>
      <c r="AA619" s="72">
        <f t="shared" si="328"/>
        <v>379.043142957253</v>
      </c>
      <c r="AB619" s="81">
        <v>7.11</v>
      </c>
      <c r="AC619" s="69">
        <f t="shared" si="324"/>
        <v>2694.99674642607</v>
      </c>
      <c r="AD619" s="69">
        <f t="shared" si="325"/>
        <v>26162.3647649965</v>
      </c>
      <c r="AE619" s="69">
        <f t="shared" si="326"/>
        <v>4996.0726350035</v>
      </c>
    </row>
    <row r="620" customFormat="1" spans="1:31">
      <c r="A620" s="19"/>
      <c r="B620" s="20"/>
      <c r="C620" s="21">
        <v>241018000022</v>
      </c>
      <c r="D620" s="22">
        <v>45587</v>
      </c>
      <c r="E620" s="22" t="s">
        <v>66</v>
      </c>
      <c r="F620" s="20" t="s">
        <v>67</v>
      </c>
      <c r="G620" s="20" t="s">
        <v>269</v>
      </c>
      <c r="H620" s="20">
        <v>104</v>
      </c>
      <c r="I620" s="50"/>
      <c r="J620" s="46">
        <v>1455900</v>
      </c>
      <c r="K620" s="41"/>
      <c r="L620" s="47">
        <f t="shared" si="335"/>
        <v>1635.30984286019</v>
      </c>
      <c r="M620" s="48">
        <v>890.29</v>
      </c>
      <c r="N620" s="42">
        <v>7.11</v>
      </c>
      <c r="O620" s="43">
        <f t="shared" si="336"/>
        <v>6329.9619</v>
      </c>
      <c r="P620" s="45"/>
      <c r="Q620" s="45"/>
      <c r="R620" s="69">
        <f t="shared" si="329"/>
        <v>4508.98668535389</v>
      </c>
      <c r="S620" s="69"/>
      <c r="T620" s="70">
        <f t="shared" si="330"/>
        <v>6.47358093903294</v>
      </c>
      <c r="U620" s="70">
        <v>60</v>
      </c>
      <c r="V620" s="69"/>
      <c r="W620" s="71">
        <f t="shared" si="327"/>
        <v>4575.46026629292</v>
      </c>
      <c r="X620" s="72">
        <f t="shared" si="331"/>
        <v>72.9333707077786</v>
      </c>
      <c r="Y620" s="72"/>
      <c r="Z620" s="72"/>
      <c r="AA620" s="72">
        <f t="shared" si="328"/>
        <v>72.9333707077786</v>
      </c>
      <c r="AB620" s="81">
        <v>7.11</v>
      </c>
      <c r="AC620" s="69">
        <f t="shared" si="324"/>
        <v>518.556265732306</v>
      </c>
      <c r="AD620" s="69">
        <f t="shared" si="325"/>
        <v>5094.01653202523</v>
      </c>
      <c r="AE620" s="69">
        <f t="shared" si="326"/>
        <v>1235.94536797477</v>
      </c>
    </row>
    <row r="621" customFormat="1" spans="1:31">
      <c r="A621" s="19"/>
      <c r="B621" s="20"/>
      <c r="C621" s="21">
        <v>241018000028</v>
      </c>
      <c r="D621" s="22">
        <v>45587</v>
      </c>
      <c r="E621" s="22" t="s">
        <v>76</v>
      </c>
      <c r="F621" s="20" t="s">
        <v>77</v>
      </c>
      <c r="G621" s="20" t="s">
        <v>318</v>
      </c>
      <c r="H621" s="20">
        <v>20</v>
      </c>
      <c r="I621" s="50"/>
      <c r="J621" s="46">
        <v>324870</v>
      </c>
      <c r="K621" s="41"/>
      <c r="L621" s="47">
        <f t="shared" si="335"/>
        <v>1742.02370100273</v>
      </c>
      <c r="M621" s="48">
        <v>186.49</v>
      </c>
      <c r="N621" s="42">
        <v>7.11</v>
      </c>
      <c r="O621" s="43">
        <f t="shared" si="336"/>
        <v>1325.9439</v>
      </c>
      <c r="P621" s="45"/>
      <c r="Q621" s="45"/>
      <c r="R621" s="69">
        <f t="shared" si="329"/>
        <v>867.112824106517</v>
      </c>
      <c r="S621" s="69"/>
      <c r="T621" s="70">
        <f t="shared" si="330"/>
        <v>1.24491941135249</v>
      </c>
      <c r="U621" s="69"/>
      <c r="V621" s="69"/>
      <c r="W621" s="71">
        <f t="shared" si="327"/>
        <v>868.35774351787</v>
      </c>
      <c r="X621" s="72">
        <f t="shared" si="331"/>
        <v>14.0256482130343</v>
      </c>
      <c r="Y621" s="72"/>
      <c r="Z621" s="72"/>
      <c r="AA621" s="72">
        <f t="shared" si="328"/>
        <v>14.0256482130343</v>
      </c>
      <c r="AB621" s="81">
        <v>7.11</v>
      </c>
      <c r="AC621" s="69">
        <f t="shared" si="324"/>
        <v>99.7223587946742</v>
      </c>
      <c r="AD621" s="69">
        <f t="shared" si="325"/>
        <v>968.080102312544</v>
      </c>
      <c r="AE621" s="69">
        <f t="shared" si="326"/>
        <v>357.863797687456</v>
      </c>
    </row>
    <row r="622" customFormat="1" spans="1:31">
      <c r="A622" s="19"/>
      <c r="B622" s="20"/>
      <c r="C622" s="21">
        <v>241018000037</v>
      </c>
      <c r="D622" s="22">
        <v>45587</v>
      </c>
      <c r="E622" s="22" t="s">
        <v>55</v>
      </c>
      <c r="F622" s="20" t="s">
        <v>56</v>
      </c>
      <c r="G622" s="20" t="s">
        <v>417</v>
      </c>
      <c r="H622" s="20">
        <v>12</v>
      </c>
      <c r="I622" s="43"/>
      <c r="J622" s="46">
        <v>180520.25</v>
      </c>
      <c r="K622" s="41"/>
      <c r="L622" s="47">
        <f t="shared" si="335"/>
        <v>1745</v>
      </c>
      <c r="M622" s="48">
        <v>103.45</v>
      </c>
      <c r="N622" s="42">
        <v>7.11</v>
      </c>
      <c r="O622" s="43">
        <f t="shared" si="336"/>
        <v>735.5295</v>
      </c>
      <c r="P622" s="45"/>
      <c r="Q622" s="45"/>
      <c r="R622" s="69">
        <f t="shared" si="329"/>
        <v>520.26769446391</v>
      </c>
      <c r="S622" s="69"/>
      <c r="T622" s="70">
        <f t="shared" si="330"/>
        <v>0.746951646811493</v>
      </c>
      <c r="U622" s="69"/>
      <c r="V622" s="69"/>
      <c r="W622" s="71">
        <f t="shared" si="327"/>
        <v>521.014646110722</v>
      </c>
      <c r="X622" s="72">
        <f t="shared" si="331"/>
        <v>8.4153889278206</v>
      </c>
      <c r="Y622" s="72"/>
      <c r="Z622" s="72"/>
      <c r="AA622" s="72">
        <f t="shared" si="328"/>
        <v>8.4153889278206</v>
      </c>
      <c r="AB622" s="81">
        <v>7.11</v>
      </c>
      <c r="AC622" s="69">
        <f t="shared" si="324"/>
        <v>59.8334152768045</v>
      </c>
      <c r="AD622" s="69">
        <f t="shared" si="325"/>
        <v>580.848061387526</v>
      </c>
      <c r="AE622" s="69">
        <f t="shared" si="326"/>
        <v>154.681438612474</v>
      </c>
    </row>
    <row r="623" customFormat="1" spans="1:31">
      <c r="A623" s="19"/>
      <c r="B623" s="20"/>
      <c r="C623" s="21">
        <v>241018000038</v>
      </c>
      <c r="D623" s="22">
        <v>45587</v>
      </c>
      <c r="E623" s="22" t="s">
        <v>66</v>
      </c>
      <c r="F623" s="20" t="s">
        <v>67</v>
      </c>
      <c r="G623" s="20" t="s">
        <v>129</v>
      </c>
      <c r="H623" s="20">
        <v>21</v>
      </c>
      <c r="I623" s="39">
        <v>1260</v>
      </c>
      <c r="J623" s="40"/>
      <c r="K623" s="41"/>
      <c r="L623" s="20"/>
      <c r="M623" s="41"/>
      <c r="N623" s="42"/>
      <c r="O623" s="43">
        <f t="shared" ref="O623:O627" si="337">SUM(I623)</f>
        <v>1260</v>
      </c>
      <c r="P623" s="45"/>
      <c r="Q623" s="45"/>
      <c r="R623" s="69">
        <f t="shared" si="329"/>
        <v>910.468465311843</v>
      </c>
      <c r="S623" s="69"/>
      <c r="T623" s="70">
        <f t="shared" si="330"/>
        <v>1.30716538192011</v>
      </c>
      <c r="U623" s="69"/>
      <c r="V623" s="69"/>
      <c r="W623" s="71">
        <f t="shared" si="327"/>
        <v>911.775630693763</v>
      </c>
      <c r="X623" s="72">
        <f t="shared" si="331"/>
        <v>14.7269306236861</v>
      </c>
      <c r="Y623" s="72"/>
      <c r="Z623" s="72"/>
      <c r="AA623" s="72">
        <f t="shared" si="328"/>
        <v>14.7269306236861</v>
      </c>
      <c r="AB623" s="81">
        <v>7.11</v>
      </c>
      <c r="AC623" s="69">
        <f t="shared" si="324"/>
        <v>104.708476734408</v>
      </c>
      <c r="AD623" s="69">
        <f t="shared" si="325"/>
        <v>1016.48410742817</v>
      </c>
      <c r="AE623" s="69">
        <f t="shared" si="326"/>
        <v>243.515892571829</v>
      </c>
    </row>
    <row r="624" customFormat="1" spans="1:31">
      <c r="A624" s="19"/>
      <c r="B624" s="20"/>
      <c r="C624" s="21">
        <v>241018000039</v>
      </c>
      <c r="D624" s="22">
        <v>45587</v>
      </c>
      <c r="E624" s="22" t="s">
        <v>55</v>
      </c>
      <c r="F624" s="20" t="s">
        <v>56</v>
      </c>
      <c r="G624" s="20" t="s">
        <v>152</v>
      </c>
      <c r="H624" s="20">
        <v>5.5</v>
      </c>
      <c r="I624" s="39">
        <v>349.5</v>
      </c>
      <c r="J624" s="40"/>
      <c r="K624" s="41"/>
      <c r="L624" s="20"/>
      <c r="M624" s="41"/>
      <c r="N624" s="42"/>
      <c r="O624" s="43">
        <f t="shared" si="337"/>
        <v>349.5</v>
      </c>
      <c r="P624" s="45"/>
      <c r="Q624" s="45"/>
      <c r="R624" s="69">
        <f t="shared" si="329"/>
        <v>238.456026629292</v>
      </c>
      <c r="S624" s="69"/>
      <c r="T624" s="70">
        <f t="shared" si="330"/>
        <v>0.342352838121934</v>
      </c>
      <c r="U624" s="69"/>
      <c r="V624" s="69"/>
      <c r="W624" s="71">
        <f t="shared" si="327"/>
        <v>238.798379467414</v>
      </c>
      <c r="X624" s="72">
        <f t="shared" si="331"/>
        <v>3.85705325858444</v>
      </c>
      <c r="Y624" s="72"/>
      <c r="Z624" s="72"/>
      <c r="AA624" s="72">
        <f t="shared" si="328"/>
        <v>3.85705325858444</v>
      </c>
      <c r="AB624" s="81">
        <v>7.11</v>
      </c>
      <c r="AC624" s="69">
        <f t="shared" si="324"/>
        <v>27.4236486685354</v>
      </c>
      <c r="AD624" s="69">
        <f t="shared" si="325"/>
        <v>266.22202813595</v>
      </c>
      <c r="AE624" s="69">
        <f t="shared" ref="AE624:AE630" si="338">SUM(O624-AD624)</f>
        <v>83.2779718640504</v>
      </c>
    </row>
    <row r="625" customFormat="1" spans="1:31">
      <c r="A625" s="19"/>
      <c r="B625" s="20"/>
      <c r="C625" s="21">
        <v>241018000053</v>
      </c>
      <c r="D625" s="22">
        <v>45587</v>
      </c>
      <c r="E625" s="22" t="s">
        <v>66</v>
      </c>
      <c r="F625" s="20" t="s">
        <v>67</v>
      </c>
      <c r="G625" s="20" t="s">
        <v>424</v>
      </c>
      <c r="H625" s="20">
        <v>4</v>
      </c>
      <c r="I625" s="50"/>
      <c r="J625" s="46">
        <v>55660</v>
      </c>
      <c r="K625" s="41"/>
      <c r="L625" s="47">
        <f t="shared" ref="L625:L630" si="339">SUM(J625/M625)</f>
        <v>1798.96574014221</v>
      </c>
      <c r="M625" s="48">
        <v>30.94</v>
      </c>
      <c r="N625" s="42">
        <v>7.11</v>
      </c>
      <c r="O625" s="43">
        <f t="shared" ref="O625:O630" si="340">SUM(M625*N625)</f>
        <v>219.9834</v>
      </c>
      <c r="P625" s="49"/>
      <c r="Q625" s="49"/>
      <c r="R625" s="69">
        <f t="shared" si="329"/>
        <v>173.422564821303</v>
      </c>
      <c r="S625" s="69"/>
      <c r="T625" s="70">
        <f t="shared" si="330"/>
        <v>0.248983882270498</v>
      </c>
      <c r="U625" s="69"/>
      <c r="V625" s="69"/>
      <c r="W625" s="71">
        <f t="shared" ref="W625:W630" si="341">SUM(R625:V625)</f>
        <v>173.671548703574</v>
      </c>
      <c r="X625" s="72">
        <f t="shared" si="331"/>
        <v>2.80512964260687</v>
      </c>
      <c r="Y625" s="72"/>
      <c r="Z625" s="72"/>
      <c r="AA625" s="72">
        <f t="shared" ref="AA625:AA630" si="342">SUM(X625:Z625)</f>
        <v>2.80512964260687</v>
      </c>
      <c r="AB625" s="81">
        <v>7.11</v>
      </c>
      <c r="AC625" s="69">
        <f t="shared" ref="AC625:AC630" si="343">SUM(AA625*AB625)</f>
        <v>19.9444717589348</v>
      </c>
      <c r="AD625" s="69">
        <f t="shared" ref="AD625:AD630" si="344">SUM(W625+AC625)</f>
        <v>193.616020462509</v>
      </c>
      <c r="AE625" s="69">
        <f t="shared" si="338"/>
        <v>26.3673795374912</v>
      </c>
    </row>
    <row r="626" customFormat="1" spans="1:31">
      <c r="A626" s="19" t="s">
        <v>425</v>
      </c>
      <c r="B626" s="20" t="s">
        <v>426</v>
      </c>
      <c r="C626" s="21">
        <v>241017000054</v>
      </c>
      <c r="D626" s="22">
        <v>45587</v>
      </c>
      <c r="E626" s="22" t="s">
        <v>66</v>
      </c>
      <c r="F626" s="20" t="s">
        <v>67</v>
      </c>
      <c r="G626" s="20" t="s">
        <v>139</v>
      </c>
      <c r="H626" s="20">
        <v>9.5</v>
      </c>
      <c r="I626" s="39">
        <v>1092.5</v>
      </c>
      <c r="J626" s="40"/>
      <c r="K626" s="41"/>
      <c r="L626" s="20"/>
      <c r="M626" s="41"/>
      <c r="N626" s="42"/>
      <c r="O626" s="43">
        <f t="shared" si="337"/>
        <v>1092.5</v>
      </c>
      <c r="P626" s="44">
        <f>SUM(O626:O630)</f>
        <v>11085.05646445</v>
      </c>
      <c r="Q626" s="44" t="s">
        <v>40</v>
      </c>
      <c r="R626" s="69">
        <f>SUM(4800/64)*H626</f>
        <v>712.5</v>
      </c>
      <c r="S626" s="69"/>
      <c r="T626" s="70">
        <f>SUM(60.98/64)*H626</f>
        <v>9.05171875</v>
      </c>
      <c r="U626" s="69"/>
      <c r="V626" s="69"/>
      <c r="W626" s="71">
        <f t="shared" si="341"/>
        <v>721.55171875</v>
      </c>
      <c r="X626" s="72">
        <f>SUM(209.66/64)*H626</f>
        <v>31.12140625</v>
      </c>
      <c r="Y626" s="72"/>
      <c r="Z626" s="72"/>
      <c r="AA626" s="72">
        <f t="shared" si="342"/>
        <v>31.12140625</v>
      </c>
      <c r="AB626" s="81">
        <v>7.11</v>
      </c>
      <c r="AC626" s="69">
        <f t="shared" si="343"/>
        <v>221.2731984375</v>
      </c>
      <c r="AD626" s="69">
        <f t="shared" si="344"/>
        <v>942.8249171875</v>
      </c>
      <c r="AE626" s="69">
        <f t="shared" si="338"/>
        <v>149.6750828125</v>
      </c>
    </row>
    <row r="627" customFormat="1" spans="1:31">
      <c r="A627" s="19"/>
      <c r="B627" s="20"/>
      <c r="C627" s="21">
        <v>241021000035</v>
      </c>
      <c r="D627" s="22">
        <v>45587</v>
      </c>
      <c r="E627" s="22" t="s">
        <v>55</v>
      </c>
      <c r="F627" s="20" t="s">
        <v>56</v>
      </c>
      <c r="G627" s="20" t="s">
        <v>57</v>
      </c>
      <c r="H627" s="20">
        <v>66.5</v>
      </c>
      <c r="I627" s="39">
        <v>7980</v>
      </c>
      <c r="J627" s="40"/>
      <c r="K627" s="41"/>
      <c r="L627" s="20"/>
      <c r="M627" s="41"/>
      <c r="N627" s="42"/>
      <c r="O627" s="43">
        <f t="shared" si="337"/>
        <v>7980</v>
      </c>
      <c r="P627" s="45"/>
      <c r="Q627" s="45"/>
      <c r="R627" s="69">
        <f>SUM(4800/64)*H627</f>
        <v>4987.5</v>
      </c>
      <c r="S627" s="69"/>
      <c r="T627" s="70">
        <f>SUM(60.98/64)*H627</f>
        <v>63.36203125</v>
      </c>
      <c r="U627" s="69"/>
      <c r="V627" s="69"/>
      <c r="W627" s="71">
        <f t="shared" si="341"/>
        <v>5050.86203125</v>
      </c>
      <c r="X627" s="72">
        <f>SUM(209.66/64)*H627</f>
        <v>217.84984375</v>
      </c>
      <c r="Y627" s="72"/>
      <c r="Z627" s="72"/>
      <c r="AA627" s="72">
        <f t="shared" si="342"/>
        <v>217.84984375</v>
      </c>
      <c r="AB627" s="81">
        <v>7.11</v>
      </c>
      <c r="AC627" s="69">
        <f t="shared" si="343"/>
        <v>1548.9123890625</v>
      </c>
      <c r="AD627" s="69">
        <f t="shared" si="344"/>
        <v>6599.7744203125</v>
      </c>
      <c r="AE627" s="69">
        <f t="shared" si="338"/>
        <v>1380.2255796875</v>
      </c>
    </row>
    <row r="628" customFormat="1" spans="1:31">
      <c r="A628" s="19"/>
      <c r="B628" s="20"/>
      <c r="C628" s="21">
        <v>241021000040</v>
      </c>
      <c r="D628" s="22">
        <v>45587</v>
      </c>
      <c r="E628" s="22" t="s">
        <v>55</v>
      </c>
      <c r="F628" s="20" t="s">
        <v>56</v>
      </c>
      <c r="G628" s="20" t="s">
        <v>193</v>
      </c>
      <c r="H628" s="20">
        <v>4.5</v>
      </c>
      <c r="I628" s="43"/>
      <c r="J628" s="46">
        <v>126446</v>
      </c>
      <c r="K628" s="41"/>
      <c r="L628" s="47">
        <f t="shared" si="339"/>
        <v>1734.98890402107</v>
      </c>
      <c r="M628" s="48">
        <v>72.880005</v>
      </c>
      <c r="N628" s="42">
        <v>7.11</v>
      </c>
      <c r="O628" s="43">
        <f t="shared" si="340"/>
        <v>518.17683555</v>
      </c>
      <c r="P628" s="45"/>
      <c r="Q628" s="45"/>
      <c r="R628" s="69">
        <f>SUM(4800/64)*H628</f>
        <v>337.5</v>
      </c>
      <c r="S628" s="69"/>
      <c r="T628" s="70">
        <f>SUM(60.98/64)*H628</f>
        <v>4.28765625</v>
      </c>
      <c r="U628" s="69"/>
      <c r="V628" s="69"/>
      <c r="W628" s="71">
        <f t="shared" si="341"/>
        <v>341.78765625</v>
      </c>
      <c r="X628" s="72">
        <f>SUM(209.66/64)*H628</f>
        <v>14.74171875</v>
      </c>
      <c r="Y628" s="72"/>
      <c r="Z628" s="72"/>
      <c r="AA628" s="72">
        <f t="shared" si="342"/>
        <v>14.74171875</v>
      </c>
      <c r="AB628" s="81">
        <v>7.11</v>
      </c>
      <c r="AC628" s="69">
        <f t="shared" si="343"/>
        <v>104.8136203125</v>
      </c>
      <c r="AD628" s="69">
        <f t="shared" si="344"/>
        <v>446.6012765625</v>
      </c>
      <c r="AE628" s="69">
        <f t="shared" ref="AE628:AE640" si="345">SUM(O628-AD628)</f>
        <v>71.5755589875</v>
      </c>
    </row>
    <row r="629" customFormat="1" spans="1:31">
      <c r="A629" s="19"/>
      <c r="B629" s="20"/>
      <c r="C629" s="21">
        <v>241022000004</v>
      </c>
      <c r="D629" s="22">
        <v>45587</v>
      </c>
      <c r="E629" s="22" t="s">
        <v>66</v>
      </c>
      <c r="F629" s="20" t="s">
        <v>67</v>
      </c>
      <c r="G629" s="20">
        <v>81</v>
      </c>
      <c r="H629" s="20">
        <v>0.52</v>
      </c>
      <c r="I629" s="39">
        <v>170</v>
      </c>
      <c r="J629" s="40"/>
      <c r="K629" s="41"/>
      <c r="L629" s="20"/>
      <c r="M629" s="41"/>
      <c r="N629" s="42"/>
      <c r="O629" s="43">
        <f t="shared" ref="O629:O635" si="346">SUM(I629)</f>
        <v>170</v>
      </c>
      <c r="P629" s="45"/>
      <c r="Q629" s="45"/>
      <c r="R629" s="69">
        <f>SUM(4800/64)*H629</f>
        <v>39</v>
      </c>
      <c r="S629" s="69"/>
      <c r="T629" s="70">
        <f>SUM(60.98/64)*H629</f>
        <v>0.4954625</v>
      </c>
      <c r="U629" s="69"/>
      <c r="V629" s="69"/>
      <c r="W629" s="71">
        <f t="shared" ref="W629:W640" si="347">SUM(R629:V629)</f>
        <v>39.4954625</v>
      </c>
      <c r="X629" s="72">
        <f>SUM(209.66/64)*H629</f>
        <v>1.7034875</v>
      </c>
      <c r="Y629" s="72"/>
      <c r="Z629" s="72"/>
      <c r="AA629" s="72">
        <f t="shared" si="342"/>
        <v>1.7034875</v>
      </c>
      <c r="AB629" s="81">
        <v>7.11</v>
      </c>
      <c r="AC629" s="69">
        <f t="shared" ref="AC629:AC640" si="348">SUM(AA629*AB629)</f>
        <v>12.111796125</v>
      </c>
      <c r="AD629" s="69">
        <f t="shared" ref="AD629:AD640" si="349">SUM(W629+AC629)</f>
        <v>51.607258625</v>
      </c>
      <c r="AE629" s="69">
        <f t="shared" si="345"/>
        <v>118.392741375</v>
      </c>
    </row>
    <row r="630" customFormat="1" spans="1:31">
      <c r="A630" s="19"/>
      <c r="B630" s="20"/>
      <c r="C630" s="21">
        <v>241022000034</v>
      </c>
      <c r="D630" s="22">
        <v>45587</v>
      </c>
      <c r="E630" s="22" t="s">
        <v>47</v>
      </c>
      <c r="F630" s="20" t="s">
        <v>297</v>
      </c>
      <c r="G630" s="20" t="s">
        <v>298</v>
      </c>
      <c r="H630" s="20">
        <v>11.5</v>
      </c>
      <c r="I630" s="43"/>
      <c r="J630" s="46">
        <v>321316</v>
      </c>
      <c r="K630" s="41"/>
      <c r="L630" s="47">
        <f t="shared" si="339"/>
        <v>1725.00143474534</v>
      </c>
      <c r="M630" s="48">
        <v>186.26999</v>
      </c>
      <c r="N630" s="42">
        <v>7.11</v>
      </c>
      <c r="O630" s="43">
        <f t="shared" si="340"/>
        <v>1324.3796289</v>
      </c>
      <c r="P630" s="49"/>
      <c r="Q630" s="49"/>
      <c r="R630" s="69">
        <f>SUM(4800/64)*H630</f>
        <v>862.5</v>
      </c>
      <c r="S630" s="69"/>
      <c r="T630" s="70">
        <f>SUM(60.98/64)*H630</f>
        <v>10.95734375</v>
      </c>
      <c r="U630" s="69"/>
      <c r="V630" s="69"/>
      <c r="W630" s="71">
        <f t="shared" si="347"/>
        <v>873.45734375</v>
      </c>
      <c r="X630" s="72">
        <f>SUM(209.66/64)*H630</f>
        <v>37.67328125</v>
      </c>
      <c r="Y630" s="72"/>
      <c r="Z630" s="72"/>
      <c r="AA630" s="72">
        <f t="shared" ref="AA630:AA640" si="350">SUM(X630:Z630)</f>
        <v>37.67328125</v>
      </c>
      <c r="AB630" s="81">
        <v>7.11</v>
      </c>
      <c r="AC630" s="69">
        <f t="shared" si="348"/>
        <v>267.8570296875</v>
      </c>
      <c r="AD630" s="69">
        <f t="shared" si="349"/>
        <v>1141.3143734375</v>
      </c>
      <c r="AE630" s="69">
        <f t="shared" si="345"/>
        <v>183.0652554625</v>
      </c>
    </row>
    <row r="631" customFormat="1" spans="1:31">
      <c r="A631" s="19" t="s">
        <v>427</v>
      </c>
      <c r="B631" s="20" t="s">
        <v>428</v>
      </c>
      <c r="C631" s="21">
        <v>241021000019</v>
      </c>
      <c r="D631" s="22">
        <v>45587</v>
      </c>
      <c r="E631" s="22" t="s">
        <v>41</v>
      </c>
      <c r="F631" s="20" t="s">
        <v>42</v>
      </c>
      <c r="G631" s="20" t="s">
        <v>429</v>
      </c>
      <c r="H631" s="20">
        <v>4.5</v>
      </c>
      <c r="I631" s="39">
        <v>540</v>
      </c>
      <c r="J631" s="40"/>
      <c r="K631" s="41"/>
      <c r="L631" s="20"/>
      <c r="M631" s="41"/>
      <c r="N631" s="42"/>
      <c r="O631" s="43">
        <f t="shared" si="346"/>
        <v>540</v>
      </c>
      <c r="P631" s="44">
        <f>SUM(O631:O640)</f>
        <v>13479.6186</v>
      </c>
      <c r="Q631" s="44" t="s">
        <v>40</v>
      </c>
      <c r="R631" s="69">
        <f>SUM(6000/87)*H631</f>
        <v>310.344827586207</v>
      </c>
      <c r="S631" s="69"/>
      <c r="T631" s="70">
        <f>SUM(54.99/87)*H631</f>
        <v>2.84431034482759</v>
      </c>
      <c r="U631" s="69"/>
      <c r="V631" s="69"/>
      <c r="W631" s="71">
        <f t="shared" si="347"/>
        <v>313.189137931035</v>
      </c>
      <c r="X631" s="72">
        <f>SUM(330.88/87)*H631</f>
        <v>17.1144827586207</v>
      </c>
      <c r="Y631" s="72"/>
      <c r="Z631" s="72"/>
      <c r="AA631" s="72">
        <f t="shared" si="350"/>
        <v>17.1144827586207</v>
      </c>
      <c r="AB631" s="81">
        <v>7.11</v>
      </c>
      <c r="AC631" s="69">
        <f t="shared" si="348"/>
        <v>121.683972413793</v>
      </c>
      <c r="AD631" s="69">
        <f t="shared" si="349"/>
        <v>434.873110344828</v>
      </c>
      <c r="AE631" s="69">
        <f t="shared" si="345"/>
        <v>105.126889655172</v>
      </c>
    </row>
    <row r="632" customFormat="1" spans="1:31">
      <c r="A632" s="19"/>
      <c r="B632" s="20"/>
      <c r="C632" s="21">
        <v>241021000036</v>
      </c>
      <c r="D632" s="22">
        <v>45587</v>
      </c>
      <c r="E632" s="22" t="s">
        <v>37</v>
      </c>
      <c r="F632" s="20" t="s">
        <v>38</v>
      </c>
      <c r="G632" s="20" t="s">
        <v>430</v>
      </c>
      <c r="H632" s="20">
        <v>0.5</v>
      </c>
      <c r="I632" s="39">
        <v>250</v>
      </c>
      <c r="J632" s="40"/>
      <c r="K632" s="41"/>
      <c r="L632" s="20"/>
      <c r="M632" s="41"/>
      <c r="N632" s="42"/>
      <c r="O632" s="43">
        <f t="shared" si="346"/>
        <v>250</v>
      </c>
      <c r="P632" s="45"/>
      <c r="Q632" s="45"/>
      <c r="R632" s="69">
        <f t="shared" ref="R632:R640" si="351">SUM(6000/87)*H632</f>
        <v>34.4827586206897</v>
      </c>
      <c r="S632" s="69"/>
      <c r="T632" s="70">
        <f t="shared" ref="T632:T640" si="352">SUM(54.99/87)*H632</f>
        <v>0.316034482758621</v>
      </c>
      <c r="U632" s="69"/>
      <c r="V632" s="69"/>
      <c r="W632" s="71">
        <f t="shared" si="347"/>
        <v>34.7987931034483</v>
      </c>
      <c r="X632" s="72">
        <f t="shared" ref="X632:X640" si="353">SUM(330.88/87)*H632</f>
        <v>1.9016091954023</v>
      </c>
      <c r="Y632" s="72"/>
      <c r="Z632" s="72"/>
      <c r="AA632" s="72">
        <f t="shared" si="350"/>
        <v>1.9016091954023</v>
      </c>
      <c r="AB632" s="81">
        <v>7.11</v>
      </c>
      <c r="AC632" s="69">
        <f t="shared" si="348"/>
        <v>13.5204413793103</v>
      </c>
      <c r="AD632" s="69">
        <f t="shared" si="349"/>
        <v>48.3192344827586</v>
      </c>
      <c r="AE632" s="69">
        <f t="shared" si="345"/>
        <v>201.680765517241</v>
      </c>
    </row>
    <row r="633" customFormat="1" spans="1:31">
      <c r="A633" s="19"/>
      <c r="B633" s="20"/>
      <c r="C633" s="21">
        <v>241021000057</v>
      </c>
      <c r="D633" s="22">
        <v>45587</v>
      </c>
      <c r="E633" s="22" t="s">
        <v>47</v>
      </c>
      <c r="F633" s="20" t="s">
        <v>431</v>
      </c>
      <c r="G633" s="20" t="s">
        <v>432</v>
      </c>
      <c r="H633" s="20">
        <v>0.4</v>
      </c>
      <c r="I633" s="39">
        <v>150</v>
      </c>
      <c r="J633" s="40"/>
      <c r="K633" s="41"/>
      <c r="L633" s="20"/>
      <c r="M633" s="41"/>
      <c r="N633" s="42"/>
      <c r="O633" s="43">
        <f t="shared" si="346"/>
        <v>150</v>
      </c>
      <c r="P633" s="45"/>
      <c r="Q633" s="45"/>
      <c r="R633" s="69">
        <f t="shared" si="351"/>
        <v>27.5862068965517</v>
      </c>
      <c r="S633" s="69"/>
      <c r="T633" s="70">
        <f t="shared" si="352"/>
        <v>0.252827586206897</v>
      </c>
      <c r="U633" s="69"/>
      <c r="V633" s="69"/>
      <c r="W633" s="71">
        <f t="shared" si="347"/>
        <v>27.8390344827586</v>
      </c>
      <c r="X633" s="72">
        <f t="shared" si="353"/>
        <v>1.52128735632184</v>
      </c>
      <c r="Y633" s="72"/>
      <c r="Z633" s="72"/>
      <c r="AA633" s="72">
        <f t="shared" si="350"/>
        <v>1.52128735632184</v>
      </c>
      <c r="AB633" s="81">
        <v>7.11</v>
      </c>
      <c r="AC633" s="69">
        <f t="shared" si="348"/>
        <v>10.8163531034483</v>
      </c>
      <c r="AD633" s="69">
        <f t="shared" si="349"/>
        <v>38.6553875862069</v>
      </c>
      <c r="AE633" s="69">
        <f t="shared" si="345"/>
        <v>111.344612413793</v>
      </c>
    </row>
    <row r="634" customFormat="1" spans="1:31">
      <c r="A634" s="19"/>
      <c r="B634" s="20"/>
      <c r="C634" s="21">
        <v>241022000032</v>
      </c>
      <c r="D634" s="22">
        <v>45587</v>
      </c>
      <c r="E634" s="22" t="s">
        <v>66</v>
      </c>
      <c r="F634" s="20" t="s">
        <v>67</v>
      </c>
      <c r="G634" s="20" t="s">
        <v>79</v>
      </c>
      <c r="H634" s="20">
        <v>13</v>
      </c>
      <c r="I634" s="39">
        <v>3332</v>
      </c>
      <c r="J634" s="40"/>
      <c r="K634" s="41"/>
      <c r="L634" s="20"/>
      <c r="M634" s="41"/>
      <c r="N634" s="42"/>
      <c r="O634" s="43">
        <f t="shared" si="346"/>
        <v>3332</v>
      </c>
      <c r="P634" s="45"/>
      <c r="Q634" s="45"/>
      <c r="R634" s="69">
        <f t="shared" si="351"/>
        <v>896.551724137931</v>
      </c>
      <c r="S634" s="69"/>
      <c r="T634" s="70">
        <f t="shared" si="352"/>
        <v>8.21689655172414</v>
      </c>
      <c r="U634" s="69"/>
      <c r="V634" s="69"/>
      <c r="W634" s="71">
        <f t="shared" si="347"/>
        <v>904.768620689655</v>
      </c>
      <c r="X634" s="72">
        <f t="shared" si="353"/>
        <v>49.4418390804598</v>
      </c>
      <c r="Y634" s="72"/>
      <c r="Z634" s="72"/>
      <c r="AA634" s="72">
        <f t="shared" si="350"/>
        <v>49.4418390804598</v>
      </c>
      <c r="AB634" s="81">
        <v>7.11</v>
      </c>
      <c r="AC634" s="69">
        <f t="shared" si="348"/>
        <v>351.531475862069</v>
      </c>
      <c r="AD634" s="69">
        <f t="shared" si="349"/>
        <v>1256.30009655172</v>
      </c>
      <c r="AE634" s="69">
        <f t="shared" si="345"/>
        <v>2075.69990344828</v>
      </c>
    </row>
    <row r="635" customFormat="1" spans="1:31">
      <c r="A635" s="19"/>
      <c r="B635" s="20"/>
      <c r="C635" s="21">
        <v>241022000036</v>
      </c>
      <c r="D635" s="22">
        <v>45587</v>
      </c>
      <c r="E635" s="22" t="s">
        <v>55</v>
      </c>
      <c r="F635" s="20" t="s">
        <v>56</v>
      </c>
      <c r="G635" s="20" t="s">
        <v>324</v>
      </c>
      <c r="H635" s="20">
        <v>0.48</v>
      </c>
      <c r="I635" s="39">
        <v>150</v>
      </c>
      <c r="J635" s="40"/>
      <c r="K635" s="41"/>
      <c r="L635" s="20"/>
      <c r="M635" s="41"/>
      <c r="N635" s="42"/>
      <c r="O635" s="43">
        <f t="shared" si="346"/>
        <v>150</v>
      </c>
      <c r="P635" s="45"/>
      <c r="Q635" s="45"/>
      <c r="R635" s="69">
        <f t="shared" si="351"/>
        <v>33.1034482758621</v>
      </c>
      <c r="S635" s="69"/>
      <c r="T635" s="70">
        <f t="shared" si="352"/>
        <v>0.303393103448276</v>
      </c>
      <c r="U635" s="69"/>
      <c r="V635" s="69"/>
      <c r="W635" s="71">
        <f t="shared" si="347"/>
        <v>33.4068413793104</v>
      </c>
      <c r="X635" s="72">
        <f t="shared" si="353"/>
        <v>1.82554482758621</v>
      </c>
      <c r="Y635" s="72"/>
      <c r="Z635" s="72"/>
      <c r="AA635" s="72">
        <f t="shared" si="350"/>
        <v>1.82554482758621</v>
      </c>
      <c r="AB635" s="81">
        <v>7.11</v>
      </c>
      <c r="AC635" s="69">
        <f t="shared" si="348"/>
        <v>12.9796237241379</v>
      </c>
      <c r="AD635" s="69">
        <f t="shared" si="349"/>
        <v>46.3864651034483</v>
      </c>
      <c r="AE635" s="69">
        <f t="shared" si="345"/>
        <v>103.613534896552</v>
      </c>
    </row>
    <row r="636" customFormat="1" spans="1:31">
      <c r="A636" s="19"/>
      <c r="B636" s="20"/>
      <c r="C636" s="21">
        <v>241022000040</v>
      </c>
      <c r="D636" s="22">
        <v>45587</v>
      </c>
      <c r="E636" s="22" t="s">
        <v>88</v>
      </c>
      <c r="F636" s="20" t="s">
        <v>120</v>
      </c>
      <c r="G636" s="20" t="s">
        <v>401</v>
      </c>
      <c r="H636" s="20">
        <v>0.48</v>
      </c>
      <c r="I636" s="43"/>
      <c r="J636" s="46">
        <v>27479</v>
      </c>
      <c r="K636" s="41"/>
      <c r="L636" s="47">
        <f>SUM(J636/M636)</f>
        <v>1625.97633136095</v>
      </c>
      <c r="M636" s="48">
        <v>16.9</v>
      </c>
      <c r="N636" s="42">
        <v>7.11</v>
      </c>
      <c r="O636" s="43">
        <f>SUM(M636*N636)</f>
        <v>120.159</v>
      </c>
      <c r="P636" s="45"/>
      <c r="Q636" s="45"/>
      <c r="R636" s="69">
        <f t="shared" si="351"/>
        <v>33.1034482758621</v>
      </c>
      <c r="S636" s="69"/>
      <c r="T636" s="70">
        <f t="shared" si="352"/>
        <v>0.303393103448276</v>
      </c>
      <c r="U636" s="69"/>
      <c r="V636" s="69"/>
      <c r="W636" s="71">
        <f t="shared" si="347"/>
        <v>33.4068413793104</v>
      </c>
      <c r="X636" s="72">
        <f t="shared" si="353"/>
        <v>1.82554482758621</v>
      </c>
      <c r="Y636" s="72"/>
      <c r="Z636" s="72"/>
      <c r="AA636" s="72">
        <f t="shared" si="350"/>
        <v>1.82554482758621</v>
      </c>
      <c r="AB636" s="81">
        <v>7.11</v>
      </c>
      <c r="AC636" s="69">
        <f t="shared" si="348"/>
        <v>12.9796237241379</v>
      </c>
      <c r="AD636" s="69">
        <f t="shared" si="349"/>
        <v>46.3864651034483</v>
      </c>
      <c r="AE636" s="69">
        <f t="shared" si="345"/>
        <v>73.7725348965517</v>
      </c>
    </row>
    <row r="637" customFormat="1" spans="1:31">
      <c r="A637" s="19"/>
      <c r="B637" s="20"/>
      <c r="C637" s="21">
        <v>241023000002</v>
      </c>
      <c r="D637" s="22">
        <v>45587</v>
      </c>
      <c r="E637" s="22" t="s">
        <v>47</v>
      </c>
      <c r="F637" s="20" t="s">
        <v>51</v>
      </c>
      <c r="G637" s="20" t="s">
        <v>52</v>
      </c>
      <c r="H637" s="20">
        <v>7</v>
      </c>
      <c r="I637" s="39">
        <v>840</v>
      </c>
      <c r="J637" s="40"/>
      <c r="K637" s="41"/>
      <c r="L637" s="20"/>
      <c r="M637" s="41"/>
      <c r="N637" s="42"/>
      <c r="O637" s="43">
        <f t="shared" ref="O637:O642" si="354">SUM(I637)</f>
        <v>840</v>
      </c>
      <c r="P637" s="45"/>
      <c r="Q637" s="45"/>
      <c r="R637" s="69">
        <f t="shared" si="351"/>
        <v>482.758620689655</v>
      </c>
      <c r="S637" s="69"/>
      <c r="T637" s="70">
        <f t="shared" si="352"/>
        <v>4.42448275862069</v>
      </c>
      <c r="U637" s="69"/>
      <c r="V637" s="69"/>
      <c r="W637" s="71">
        <f t="shared" si="347"/>
        <v>487.183103448276</v>
      </c>
      <c r="X637" s="72">
        <f t="shared" si="353"/>
        <v>26.6225287356322</v>
      </c>
      <c r="Y637" s="72"/>
      <c r="Z637" s="72"/>
      <c r="AA637" s="72">
        <f t="shared" si="350"/>
        <v>26.6225287356322</v>
      </c>
      <c r="AB637" s="81">
        <v>7.11</v>
      </c>
      <c r="AC637" s="69">
        <f t="shared" si="348"/>
        <v>189.286179310345</v>
      </c>
      <c r="AD637" s="69">
        <f t="shared" si="349"/>
        <v>676.469282758621</v>
      </c>
      <c r="AE637" s="69">
        <f t="shared" ref="AE637:AE646" si="355">SUM(O637-AD637)</f>
        <v>163.530717241379</v>
      </c>
    </row>
    <row r="638" customFormat="1" spans="1:31">
      <c r="A638" s="19"/>
      <c r="B638" s="20"/>
      <c r="C638" s="21">
        <v>241023000011</v>
      </c>
      <c r="D638" s="22">
        <v>45587</v>
      </c>
      <c r="E638" s="22" t="s">
        <v>47</v>
      </c>
      <c r="F638" s="20" t="s">
        <v>47</v>
      </c>
      <c r="G638" s="20" t="s">
        <v>433</v>
      </c>
      <c r="H638" s="20">
        <v>36.5</v>
      </c>
      <c r="I638" s="50"/>
      <c r="J638" s="46">
        <v>1022100</v>
      </c>
      <c r="K638" s="41"/>
      <c r="L638" s="47">
        <f>SUM(J638/M638)</f>
        <v>1731.3164848567</v>
      </c>
      <c r="M638" s="48">
        <v>590.36</v>
      </c>
      <c r="N638" s="42">
        <v>7.11</v>
      </c>
      <c r="O638" s="43">
        <f>SUM(M638*N638)</f>
        <v>4197.4596</v>
      </c>
      <c r="P638" s="45"/>
      <c r="Q638" s="45"/>
      <c r="R638" s="69">
        <f t="shared" si="351"/>
        <v>2517.24137931035</v>
      </c>
      <c r="S638" s="69"/>
      <c r="T638" s="70">
        <f t="shared" si="352"/>
        <v>23.0705172413793</v>
      </c>
      <c r="U638" s="69"/>
      <c r="V638" s="69"/>
      <c r="W638" s="71">
        <f t="shared" si="347"/>
        <v>2540.31189655172</v>
      </c>
      <c r="X638" s="72">
        <f t="shared" si="353"/>
        <v>138.817471264368</v>
      </c>
      <c r="Y638" s="72"/>
      <c r="Z638" s="72"/>
      <c r="AA638" s="72">
        <f t="shared" si="350"/>
        <v>138.817471264368</v>
      </c>
      <c r="AB638" s="81">
        <v>7.11</v>
      </c>
      <c r="AC638" s="69">
        <f t="shared" si="348"/>
        <v>986.992220689655</v>
      </c>
      <c r="AD638" s="69">
        <f t="shared" si="349"/>
        <v>3527.30411724138</v>
      </c>
      <c r="AE638" s="69">
        <f t="shared" si="355"/>
        <v>670.155482758621</v>
      </c>
    </row>
    <row r="639" customFormat="1" spans="1:31">
      <c r="A639" s="19"/>
      <c r="B639" s="20"/>
      <c r="C639" s="21">
        <v>241023000017</v>
      </c>
      <c r="D639" s="22">
        <v>45587</v>
      </c>
      <c r="E639" s="22" t="s">
        <v>66</v>
      </c>
      <c r="F639" s="20" t="s">
        <v>67</v>
      </c>
      <c r="G639" s="20" t="s">
        <v>181</v>
      </c>
      <c r="H639" s="20">
        <v>22.5</v>
      </c>
      <c r="I639" s="39">
        <v>2700</v>
      </c>
      <c r="J639" s="40"/>
      <c r="K639" s="41"/>
      <c r="L639" s="20"/>
      <c r="M639" s="41"/>
      <c r="N639" s="42"/>
      <c r="O639" s="43">
        <f t="shared" si="354"/>
        <v>2700</v>
      </c>
      <c r="P639" s="45"/>
      <c r="Q639" s="45"/>
      <c r="R639" s="69">
        <f t="shared" si="351"/>
        <v>1551.72413793103</v>
      </c>
      <c r="S639" s="69"/>
      <c r="T639" s="70">
        <f t="shared" si="352"/>
        <v>14.2215517241379</v>
      </c>
      <c r="U639" s="69"/>
      <c r="V639" s="69"/>
      <c r="W639" s="71">
        <f t="shared" ref="W639:W646" si="356">SUM(R639:V639)</f>
        <v>1565.94568965517</v>
      </c>
      <c r="X639" s="72">
        <f t="shared" si="353"/>
        <v>85.5724137931035</v>
      </c>
      <c r="Y639" s="72"/>
      <c r="Z639" s="72"/>
      <c r="AA639" s="72">
        <f t="shared" si="350"/>
        <v>85.5724137931035</v>
      </c>
      <c r="AB639" s="81">
        <v>7.11</v>
      </c>
      <c r="AC639" s="69">
        <f t="shared" ref="AC639:AC646" si="357">SUM(AA639*AB639)</f>
        <v>608.419862068966</v>
      </c>
      <c r="AD639" s="69">
        <f t="shared" ref="AD639:AD646" si="358">SUM(W639+AC639)</f>
        <v>2174.36555172414</v>
      </c>
      <c r="AE639" s="69">
        <f t="shared" si="355"/>
        <v>525.634448275862</v>
      </c>
    </row>
    <row r="640" customFormat="1" spans="1:31">
      <c r="A640" s="19"/>
      <c r="B640" s="20"/>
      <c r="C640" s="21">
        <v>241023000027</v>
      </c>
      <c r="D640" s="22">
        <v>45587</v>
      </c>
      <c r="E640" s="22" t="s">
        <v>47</v>
      </c>
      <c r="F640" s="20" t="s">
        <v>47</v>
      </c>
      <c r="G640" s="20" t="s">
        <v>98</v>
      </c>
      <c r="H640" s="20">
        <v>10</v>
      </c>
      <c r="I640" s="39">
        <v>1200</v>
      </c>
      <c r="J640" s="40"/>
      <c r="K640" s="41"/>
      <c r="L640" s="20"/>
      <c r="M640" s="41"/>
      <c r="N640" s="42"/>
      <c r="O640" s="43">
        <f t="shared" si="354"/>
        <v>1200</v>
      </c>
      <c r="P640" s="49"/>
      <c r="Q640" s="49"/>
      <c r="R640" s="69">
        <f t="shared" si="351"/>
        <v>689.655172413793</v>
      </c>
      <c r="S640" s="69"/>
      <c r="T640" s="70">
        <f t="shared" si="352"/>
        <v>6.32068965517241</v>
      </c>
      <c r="U640" s="69"/>
      <c r="V640" s="69"/>
      <c r="W640" s="71">
        <f t="shared" si="356"/>
        <v>695.975862068966</v>
      </c>
      <c r="X640" s="72">
        <f t="shared" si="353"/>
        <v>38.032183908046</v>
      </c>
      <c r="Y640" s="72"/>
      <c r="Z640" s="72"/>
      <c r="AA640" s="72">
        <f t="shared" ref="AA640:AA646" si="359">SUM(X640:Z640)</f>
        <v>38.032183908046</v>
      </c>
      <c r="AB640" s="81">
        <v>7.11</v>
      </c>
      <c r="AC640" s="69">
        <f t="shared" si="357"/>
        <v>270.408827586207</v>
      </c>
      <c r="AD640" s="69">
        <f t="shared" si="358"/>
        <v>966.384689655172</v>
      </c>
      <c r="AE640" s="69">
        <f t="shared" si="355"/>
        <v>233.615310344828</v>
      </c>
    </row>
    <row r="641" customFormat="1" spans="1:31">
      <c r="A641" s="19" t="s">
        <v>434</v>
      </c>
      <c r="B641" s="20" t="s">
        <v>435</v>
      </c>
      <c r="C641" s="21">
        <v>241022000002</v>
      </c>
      <c r="D641" s="22">
        <v>45587</v>
      </c>
      <c r="E641" s="22" t="s">
        <v>66</v>
      </c>
      <c r="F641" s="20" t="s">
        <v>67</v>
      </c>
      <c r="G641" s="20" t="s">
        <v>436</v>
      </c>
      <c r="H641" s="20">
        <v>10.5</v>
      </c>
      <c r="I641" s="39">
        <v>1207.5</v>
      </c>
      <c r="J641" s="40"/>
      <c r="K641" s="41"/>
      <c r="L641" s="20"/>
      <c r="M641" s="41"/>
      <c r="N641" s="42"/>
      <c r="O641" s="43">
        <f t="shared" si="354"/>
        <v>1207.5</v>
      </c>
      <c r="P641" s="44">
        <f>SUM(O641:O646)</f>
        <v>3214.6353</v>
      </c>
      <c r="Q641" s="44" t="s">
        <v>40</v>
      </c>
      <c r="R641" s="69">
        <f t="shared" ref="R641:R646" si="360">SUM(2400/32)*H641</f>
        <v>787.5</v>
      </c>
      <c r="S641" s="69"/>
      <c r="T641" s="70">
        <f t="shared" ref="T641:T646" si="361">SUM(24.99/32)*H641</f>
        <v>8.19984375</v>
      </c>
      <c r="U641" s="69"/>
      <c r="V641" s="69"/>
      <c r="W641" s="71">
        <f t="shared" si="356"/>
        <v>795.69984375</v>
      </c>
      <c r="X641" s="72">
        <f t="shared" ref="X641:X646" si="362">SUM(52.59/32)*H641</f>
        <v>17.25609375</v>
      </c>
      <c r="Y641" s="72"/>
      <c r="Z641" s="72"/>
      <c r="AA641" s="72">
        <f t="shared" si="359"/>
        <v>17.25609375</v>
      </c>
      <c r="AB641" s="81">
        <v>7.11</v>
      </c>
      <c r="AC641" s="69">
        <f t="shared" si="357"/>
        <v>122.6908265625</v>
      </c>
      <c r="AD641" s="69">
        <f t="shared" si="358"/>
        <v>918.3906703125</v>
      </c>
      <c r="AE641" s="69">
        <f t="shared" si="355"/>
        <v>289.1093296875</v>
      </c>
    </row>
    <row r="642" customFormat="1" spans="1:31">
      <c r="A642" s="19"/>
      <c r="B642" s="20"/>
      <c r="C642" s="21">
        <v>241022000045</v>
      </c>
      <c r="D642" s="22">
        <v>45587</v>
      </c>
      <c r="E642" s="22" t="s">
        <v>41</v>
      </c>
      <c r="F642" s="20" t="s">
        <v>42</v>
      </c>
      <c r="G642" s="20" t="s">
        <v>437</v>
      </c>
      <c r="H642" s="20">
        <v>4</v>
      </c>
      <c r="I642" s="39">
        <v>480</v>
      </c>
      <c r="J642" s="40"/>
      <c r="K642" s="41"/>
      <c r="L642" s="20"/>
      <c r="M642" s="41"/>
      <c r="N642" s="42"/>
      <c r="O642" s="43">
        <f t="shared" si="354"/>
        <v>480</v>
      </c>
      <c r="P642" s="45"/>
      <c r="Q642" s="45"/>
      <c r="R642" s="69">
        <f t="shared" si="360"/>
        <v>300</v>
      </c>
      <c r="S642" s="69"/>
      <c r="T642" s="70">
        <f t="shared" si="361"/>
        <v>3.12375</v>
      </c>
      <c r="U642" s="69"/>
      <c r="V642" s="69"/>
      <c r="W642" s="71">
        <f t="shared" si="356"/>
        <v>303.12375</v>
      </c>
      <c r="X642" s="72">
        <f t="shared" si="362"/>
        <v>6.57375</v>
      </c>
      <c r="Y642" s="72"/>
      <c r="Z642" s="72"/>
      <c r="AA642" s="72">
        <f t="shared" si="359"/>
        <v>6.57375</v>
      </c>
      <c r="AB642" s="81">
        <v>7.11</v>
      </c>
      <c r="AC642" s="69">
        <f t="shared" si="357"/>
        <v>46.7393625</v>
      </c>
      <c r="AD642" s="69">
        <f t="shared" si="358"/>
        <v>349.8631125</v>
      </c>
      <c r="AE642" s="69">
        <f t="shared" si="355"/>
        <v>130.1368875</v>
      </c>
    </row>
    <row r="643" customFormat="1" spans="1:31">
      <c r="A643" s="19"/>
      <c r="B643" s="20"/>
      <c r="C643" s="21">
        <v>241023000005</v>
      </c>
      <c r="D643" s="22">
        <v>45587</v>
      </c>
      <c r="E643" s="22" t="s">
        <v>41</v>
      </c>
      <c r="F643" s="20" t="s">
        <v>42</v>
      </c>
      <c r="G643" s="20" t="s">
        <v>438</v>
      </c>
      <c r="H643" s="20">
        <v>0.96</v>
      </c>
      <c r="I643" s="43"/>
      <c r="J643" s="46">
        <v>27047</v>
      </c>
      <c r="K643" s="41"/>
      <c r="L643" s="47">
        <f t="shared" ref="L643:L647" si="363">SUM(J643/M643)</f>
        <v>1641.20145631068</v>
      </c>
      <c r="M643" s="48">
        <v>16.48</v>
      </c>
      <c r="N643" s="42">
        <v>7.11</v>
      </c>
      <c r="O643" s="43">
        <f t="shared" ref="O643:O647" si="364">SUM(M643*N643)</f>
        <v>117.1728</v>
      </c>
      <c r="P643" s="45"/>
      <c r="Q643" s="45"/>
      <c r="R643" s="69">
        <f t="shared" si="360"/>
        <v>72</v>
      </c>
      <c r="S643" s="69"/>
      <c r="T643" s="70">
        <f t="shared" si="361"/>
        <v>0.7497</v>
      </c>
      <c r="U643" s="69"/>
      <c r="V643" s="69"/>
      <c r="W643" s="71">
        <f t="shared" si="356"/>
        <v>72.7497</v>
      </c>
      <c r="X643" s="72">
        <f t="shared" si="362"/>
        <v>1.5777</v>
      </c>
      <c r="Y643" s="72"/>
      <c r="Z643" s="72"/>
      <c r="AA643" s="72">
        <f t="shared" si="359"/>
        <v>1.5777</v>
      </c>
      <c r="AB643" s="81">
        <v>7.11</v>
      </c>
      <c r="AC643" s="69">
        <f t="shared" si="357"/>
        <v>11.217447</v>
      </c>
      <c r="AD643" s="69">
        <f t="shared" si="358"/>
        <v>83.967147</v>
      </c>
      <c r="AE643" s="69">
        <f t="shared" si="355"/>
        <v>33.205653</v>
      </c>
    </row>
    <row r="644" customFormat="1" spans="1:31">
      <c r="A644" s="19"/>
      <c r="B644" s="20"/>
      <c r="C644" s="21">
        <v>241023000014</v>
      </c>
      <c r="D644" s="22">
        <v>45587</v>
      </c>
      <c r="E644" s="22" t="s">
        <v>76</v>
      </c>
      <c r="F644" s="20" t="s">
        <v>77</v>
      </c>
      <c r="G644" s="20" t="s">
        <v>439</v>
      </c>
      <c r="H644" s="20">
        <v>0.1</v>
      </c>
      <c r="I644" s="39">
        <v>150</v>
      </c>
      <c r="J644" s="40"/>
      <c r="K644" s="41"/>
      <c r="L644" s="20"/>
      <c r="M644" s="41"/>
      <c r="N644" s="42"/>
      <c r="O644" s="43">
        <f t="shared" ref="O644:O653" si="365">SUM(I644)</f>
        <v>150</v>
      </c>
      <c r="P644" s="45"/>
      <c r="Q644" s="45"/>
      <c r="R644" s="69">
        <f t="shared" si="360"/>
        <v>7.5</v>
      </c>
      <c r="S644" s="69"/>
      <c r="T644" s="70">
        <f t="shared" si="361"/>
        <v>0.07809375</v>
      </c>
      <c r="U644" s="69"/>
      <c r="V644" s="69"/>
      <c r="W644" s="71">
        <f t="shared" si="356"/>
        <v>7.57809375</v>
      </c>
      <c r="X644" s="72">
        <f t="shared" si="362"/>
        <v>0.16434375</v>
      </c>
      <c r="Y644" s="72"/>
      <c r="Z644" s="72"/>
      <c r="AA644" s="72">
        <f t="shared" si="359"/>
        <v>0.16434375</v>
      </c>
      <c r="AB644" s="81">
        <v>7.11</v>
      </c>
      <c r="AC644" s="69">
        <f t="shared" si="357"/>
        <v>1.1684840625</v>
      </c>
      <c r="AD644" s="69">
        <f t="shared" si="358"/>
        <v>8.7465778125</v>
      </c>
      <c r="AE644" s="69">
        <f t="shared" si="355"/>
        <v>141.2534221875</v>
      </c>
    </row>
    <row r="645" customFormat="1" spans="1:31">
      <c r="A645" s="19"/>
      <c r="B645" s="20"/>
      <c r="C645" s="21">
        <v>241024000012</v>
      </c>
      <c r="D645" s="22">
        <v>45587</v>
      </c>
      <c r="E645" s="22" t="s">
        <v>66</v>
      </c>
      <c r="F645" s="20" t="s">
        <v>67</v>
      </c>
      <c r="G645" s="20" t="s">
        <v>440</v>
      </c>
      <c r="H645" s="20">
        <v>2</v>
      </c>
      <c r="I645" s="50"/>
      <c r="J645" s="46">
        <v>58560</v>
      </c>
      <c r="K645" s="41"/>
      <c r="L645" s="47">
        <f t="shared" si="363"/>
        <v>1735.11111111111</v>
      </c>
      <c r="M645" s="48">
        <v>33.75</v>
      </c>
      <c r="N645" s="42">
        <v>7.11</v>
      </c>
      <c r="O645" s="43">
        <f t="shared" si="364"/>
        <v>239.9625</v>
      </c>
      <c r="P645" s="45"/>
      <c r="Q645" s="45"/>
      <c r="R645" s="69">
        <f t="shared" si="360"/>
        <v>150</v>
      </c>
      <c r="S645" s="69"/>
      <c r="T645" s="70">
        <f t="shared" si="361"/>
        <v>1.561875</v>
      </c>
      <c r="U645" s="69"/>
      <c r="V645" s="69"/>
      <c r="W645" s="71">
        <f t="shared" si="356"/>
        <v>151.561875</v>
      </c>
      <c r="X645" s="72">
        <f t="shared" si="362"/>
        <v>3.286875</v>
      </c>
      <c r="Y645" s="72"/>
      <c r="Z645" s="72"/>
      <c r="AA645" s="72">
        <f t="shared" si="359"/>
        <v>3.286875</v>
      </c>
      <c r="AB645" s="81">
        <v>7.11</v>
      </c>
      <c r="AC645" s="69">
        <f t="shared" si="357"/>
        <v>23.36968125</v>
      </c>
      <c r="AD645" s="69">
        <f t="shared" ref="AD645:AD682" si="366">SUM(W645+AC645)</f>
        <v>174.93155625</v>
      </c>
      <c r="AE645" s="69">
        <f t="shared" si="355"/>
        <v>65.03094375</v>
      </c>
    </row>
    <row r="646" customFormat="1" spans="1:31">
      <c r="A646" s="19"/>
      <c r="B646" s="20"/>
      <c r="C646" s="21">
        <v>241024000022</v>
      </c>
      <c r="D646" s="22">
        <v>45587</v>
      </c>
      <c r="E646" s="22" t="s">
        <v>66</v>
      </c>
      <c r="F646" s="20" t="s">
        <v>67</v>
      </c>
      <c r="G646" s="20" t="s">
        <v>441</v>
      </c>
      <c r="H646" s="20">
        <v>8.5</v>
      </c>
      <c r="I646" s="39">
        <v>1020</v>
      </c>
      <c r="J646" s="40"/>
      <c r="K646" s="41"/>
      <c r="L646" s="20"/>
      <c r="M646" s="41"/>
      <c r="N646" s="42"/>
      <c r="O646" s="43">
        <f t="shared" si="365"/>
        <v>1020</v>
      </c>
      <c r="P646" s="49"/>
      <c r="Q646" s="49"/>
      <c r="R646" s="69">
        <f t="shared" si="360"/>
        <v>637.5</v>
      </c>
      <c r="S646" s="69"/>
      <c r="T646" s="70">
        <f t="shared" si="361"/>
        <v>6.63796875</v>
      </c>
      <c r="U646" s="69"/>
      <c r="V646" s="69"/>
      <c r="W646" s="71">
        <f t="shared" ref="W646:W682" si="367">SUM(R646:V646)</f>
        <v>644.13796875</v>
      </c>
      <c r="X646" s="72">
        <f t="shared" si="362"/>
        <v>13.96921875</v>
      </c>
      <c r="Y646" s="72"/>
      <c r="Z646" s="72"/>
      <c r="AA646" s="72">
        <f t="shared" ref="AA646:AA682" si="368">SUM(X646:Z646)</f>
        <v>13.96921875</v>
      </c>
      <c r="AB646" s="81">
        <v>7.11</v>
      </c>
      <c r="AC646" s="69">
        <f t="shared" ref="AC646:AC682" si="369">SUM(AA646*AB646)</f>
        <v>99.3211453125</v>
      </c>
      <c r="AD646" s="69">
        <f t="shared" si="366"/>
        <v>743.4591140625</v>
      </c>
      <c r="AE646" s="69">
        <f t="shared" ref="AE646:AE682" si="370">SUM(O646-AD646)</f>
        <v>276.5408859375</v>
      </c>
    </row>
    <row r="647" customFormat="1" spans="1:31">
      <c r="A647" s="19" t="s">
        <v>442</v>
      </c>
      <c r="B647" s="20" t="s">
        <v>443</v>
      </c>
      <c r="C647" s="21">
        <v>240930000045</v>
      </c>
      <c r="D647" s="22">
        <v>45590</v>
      </c>
      <c r="E647" s="22" t="s">
        <v>55</v>
      </c>
      <c r="F647" s="20" t="s">
        <v>56</v>
      </c>
      <c r="G647" s="20" t="s">
        <v>444</v>
      </c>
      <c r="H647" s="20">
        <v>6.5</v>
      </c>
      <c r="I647" s="43"/>
      <c r="J647" s="46">
        <v>113949</v>
      </c>
      <c r="K647" s="41"/>
      <c r="L647" s="47">
        <f t="shared" si="363"/>
        <v>1745.00765696784</v>
      </c>
      <c r="M647" s="48">
        <v>65.3</v>
      </c>
      <c r="N647" s="42">
        <v>7.11</v>
      </c>
      <c r="O647" s="43">
        <f t="shared" si="364"/>
        <v>464.283</v>
      </c>
      <c r="P647" s="44">
        <f>SUM(O647:O682)</f>
        <v>119262.34021</v>
      </c>
      <c r="Q647" s="44" t="s">
        <v>95</v>
      </c>
      <c r="R647" s="69">
        <f>SUM(101312/1911)*H647</f>
        <v>344.598639455782</v>
      </c>
      <c r="S647" s="69"/>
      <c r="T647" s="70">
        <f>SUM(105/1911)*H647</f>
        <v>0.357142857142857</v>
      </c>
      <c r="U647" s="69"/>
      <c r="V647" s="69"/>
      <c r="W647" s="71">
        <f t="shared" si="367"/>
        <v>344.955782312925</v>
      </c>
      <c r="X647" s="72">
        <f>SUM(1147.19/1911)*H647</f>
        <v>3.90200680272109</v>
      </c>
      <c r="Y647" s="72"/>
      <c r="Z647" s="72"/>
      <c r="AA647" s="72">
        <f t="shared" si="368"/>
        <v>3.90200680272109</v>
      </c>
      <c r="AB647" s="81">
        <v>7.11</v>
      </c>
      <c r="AC647" s="69">
        <f t="shared" si="369"/>
        <v>27.7432683673469</v>
      </c>
      <c r="AD647" s="69">
        <f t="shared" si="366"/>
        <v>372.699050680272</v>
      </c>
      <c r="AE647" s="69">
        <f t="shared" si="370"/>
        <v>91.5839493197279</v>
      </c>
    </row>
    <row r="648" customFormat="1" spans="1:31">
      <c r="A648" s="19"/>
      <c r="B648" s="20"/>
      <c r="C648" s="21">
        <v>241008000040</v>
      </c>
      <c r="D648" s="22">
        <v>45590</v>
      </c>
      <c r="E648" s="22" t="s">
        <v>41</v>
      </c>
      <c r="F648" s="20" t="s">
        <v>42</v>
      </c>
      <c r="G648" s="20" t="s">
        <v>347</v>
      </c>
      <c r="H648" s="20">
        <v>55.5</v>
      </c>
      <c r="I648" s="39">
        <v>3774</v>
      </c>
      <c r="J648" s="40"/>
      <c r="K648" s="41"/>
      <c r="L648" s="20"/>
      <c r="M648" s="41"/>
      <c r="N648" s="42"/>
      <c r="O648" s="43">
        <f t="shared" si="365"/>
        <v>3774</v>
      </c>
      <c r="P648" s="45"/>
      <c r="Q648" s="45"/>
      <c r="R648" s="69">
        <f t="shared" ref="R648:R682" si="371">SUM(101312/1911)*H648</f>
        <v>2942.34222919937</v>
      </c>
      <c r="S648" s="69"/>
      <c r="T648" s="70">
        <f t="shared" ref="T648:T682" si="372">SUM(105/1911)*H648</f>
        <v>3.04945054945055</v>
      </c>
      <c r="U648" s="69"/>
      <c r="V648" s="69"/>
      <c r="W648" s="71">
        <f t="shared" si="367"/>
        <v>2945.39167974882</v>
      </c>
      <c r="X648" s="72">
        <f t="shared" ref="X648:X682" si="373">SUM(1147.19/1911)*H648</f>
        <v>33.3171350078493</v>
      </c>
      <c r="Y648" s="72"/>
      <c r="Z648" s="72"/>
      <c r="AA648" s="72">
        <f t="shared" si="368"/>
        <v>33.3171350078493</v>
      </c>
      <c r="AB648" s="81">
        <v>7.11</v>
      </c>
      <c r="AC648" s="69">
        <f t="shared" si="369"/>
        <v>236.884829905808</v>
      </c>
      <c r="AD648" s="69">
        <f t="shared" si="366"/>
        <v>3182.27650965463</v>
      </c>
      <c r="AE648" s="69">
        <f t="shared" si="370"/>
        <v>591.723490345369</v>
      </c>
    </row>
    <row r="649" customFormat="1" spans="1:31">
      <c r="A649" s="19"/>
      <c r="B649" s="20"/>
      <c r="C649" s="21">
        <v>241012000039</v>
      </c>
      <c r="D649" s="22">
        <v>45590</v>
      </c>
      <c r="E649" s="22" t="s">
        <v>66</v>
      </c>
      <c r="F649" s="20" t="s">
        <v>67</v>
      </c>
      <c r="G649" s="20" t="s">
        <v>445</v>
      </c>
      <c r="H649" s="20">
        <v>6.5</v>
      </c>
      <c r="I649" s="39">
        <v>435.6</v>
      </c>
      <c r="J649" s="40"/>
      <c r="K649" s="41"/>
      <c r="L649" s="20"/>
      <c r="M649" s="41"/>
      <c r="N649" s="42"/>
      <c r="O649" s="43">
        <f t="shared" si="365"/>
        <v>435.6</v>
      </c>
      <c r="P649" s="45"/>
      <c r="Q649" s="45"/>
      <c r="R649" s="69">
        <f t="shared" si="371"/>
        <v>344.598639455782</v>
      </c>
      <c r="S649" s="69"/>
      <c r="T649" s="70">
        <f t="shared" si="372"/>
        <v>0.357142857142857</v>
      </c>
      <c r="U649" s="69"/>
      <c r="V649" s="69"/>
      <c r="W649" s="71">
        <f t="shared" si="367"/>
        <v>344.955782312925</v>
      </c>
      <c r="X649" s="72">
        <f t="shared" si="373"/>
        <v>3.90200680272109</v>
      </c>
      <c r="Y649" s="72"/>
      <c r="Z649" s="72"/>
      <c r="AA649" s="72">
        <f t="shared" si="368"/>
        <v>3.90200680272109</v>
      </c>
      <c r="AB649" s="81">
        <v>7.11</v>
      </c>
      <c r="AC649" s="69">
        <f t="shared" si="369"/>
        <v>27.7432683673469</v>
      </c>
      <c r="AD649" s="69">
        <f t="shared" si="366"/>
        <v>372.699050680272</v>
      </c>
      <c r="AE649" s="69">
        <f t="shared" si="370"/>
        <v>62.9009493197279</v>
      </c>
    </row>
    <row r="650" customFormat="1" spans="1:31">
      <c r="A650" s="19"/>
      <c r="B650" s="20"/>
      <c r="C650" s="21">
        <v>241012000047</v>
      </c>
      <c r="D650" s="22">
        <v>45590</v>
      </c>
      <c r="E650" s="22" t="s">
        <v>66</v>
      </c>
      <c r="F650" s="20" t="s">
        <v>67</v>
      </c>
      <c r="G650" s="20" t="s">
        <v>223</v>
      </c>
      <c r="H650" s="20">
        <v>8</v>
      </c>
      <c r="I650" s="39">
        <v>508.2</v>
      </c>
      <c r="J650" s="40"/>
      <c r="K650" s="41"/>
      <c r="L650" s="20"/>
      <c r="M650" s="41"/>
      <c r="N650" s="42"/>
      <c r="O650" s="43">
        <f t="shared" si="365"/>
        <v>508.2</v>
      </c>
      <c r="P650" s="45"/>
      <c r="Q650" s="45"/>
      <c r="R650" s="69">
        <f t="shared" si="371"/>
        <v>424.121402407117</v>
      </c>
      <c r="S650" s="69"/>
      <c r="T650" s="70">
        <f t="shared" si="372"/>
        <v>0.43956043956044</v>
      </c>
      <c r="U650" s="69"/>
      <c r="V650" s="69"/>
      <c r="W650" s="71">
        <f t="shared" si="367"/>
        <v>424.560962846677</v>
      </c>
      <c r="X650" s="72">
        <f t="shared" si="373"/>
        <v>4.80246991104134</v>
      </c>
      <c r="Y650" s="72"/>
      <c r="Z650" s="72"/>
      <c r="AA650" s="72">
        <f t="shared" si="368"/>
        <v>4.80246991104134</v>
      </c>
      <c r="AB650" s="81">
        <v>7.11</v>
      </c>
      <c r="AC650" s="69">
        <f t="shared" si="369"/>
        <v>34.1455610675039</v>
      </c>
      <c r="AD650" s="69">
        <f t="shared" si="366"/>
        <v>458.706523914181</v>
      </c>
      <c r="AE650" s="69">
        <f t="shared" si="370"/>
        <v>49.4934760858189</v>
      </c>
    </row>
    <row r="651" customFormat="1" spans="1:31">
      <c r="A651" s="19"/>
      <c r="B651" s="20"/>
      <c r="C651" s="21">
        <v>241014000010</v>
      </c>
      <c r="D651" s="22">
        <v>45590</v>
      </c>
      <c r="E651" s="22" t="s">
        <v>66</v>
      </c>
      <c r="F651" s="20" t="s">
        <v>67</v>
      </c>
      <c r="G651" s="20" t="s">
        <v>446</v>
      </c>
      <c r="H651" s="20">
        <v>6.5</v>
      </c>
      <c r="I651" s="39">
        <v>478.5</v>
      </c>
      <c r="J651" s="40"/>
      <c r="K651" s="41"/>
      <c r="L651" s="20"/>
      <c r="M651" s="41"/>
      <c r="N651" s="42"/>
      <c r="O651" s="43">
        <f t="shared" si="365"/>
        <v>478.5</v>
      </c>
      <c r="P651" s="45"/>
      <c r="Q651" s="45"/>
      <c r="R651" s="69">
        <f t="shared" si="371"/>
        <v>344.598639455782</v>
      </c>
      <c r="S651" s="69"/>
      <c r="T651" s="70">
        <f t="shared" si="372"/>
        <v>0.357142857142857</v>
      </c>
      <c r="U651" s="69"/>
      <c r="V651" s="69"/>
      <c r="W651" s="71">
        <f t="shared" si="367"/>
        <v>344.955782312925</v>
      </c>
      <c r="X651" s="72">
        <f t="shared" si="373"/>
        <v>3.90200680272109</v>
      </c>
      <c r="Y651" s="72"/>
      <c r="Z651" s="72"/>
      <c r="AA651" s="72">
        <f t="shared" si="368"/>
        <v>3.90200680272109</v>
      </c>
      <c r="AB651" s="81">
        <v>7.11</v>
      </c>
      <c r="AC651" s="69">
        <f t="shared" si="369"/>
        <v>27.7432683673469</v>
      </c>
      <c r="AD651" s="69">
        <f t="shared" si="366"/>
        <v>372.699050680272</v>
      </c>
      <c r="AE651" s="69">
        <f t="shared" si="370"/>
        <v>105.800949319728</v>
      </c>
    </row>
    <row r="652" customFormat="1" spans="1:31">
      <c r="A652" s="19"/>
      <c r="B652" s="20"/>
      <c r="C652" s="21">
        <v>241014000026</v>
      </c>
      <c r="D652" s="22">
        <v>45590</v>
      </c>
      <c r="E652" s="22" t="s">
        <v>37</v>
      </c>
      <c r="F652" s="20" t="s">
        <v>38</v>
      </c>
      <c r="G652" s="20" t="s">
        <v>233</v>
      </c>
      <c r="H652" s="20">
        <v>6</v>
      </c>
      <c r="I652" s="39">
        <v>382.8</v>
      </c>
      <c r="J652" s="40"/>
      <c r="K652" s="41"/>
      <c r="L652" s="20"/>
      <c r="M652" s="41"/>
      <c r="N652" s="42"/>
      <c r="O652" s="43">
        <f t="shared" si="365"/>
        <v>382.8</v>
      </c>
      <c r="P652" s="45"/>
      <c r="Q652" s="45"/>
      <c r="R652" s="69">
        <f t="shared" si="371"/>
        <v>318.091051805338</v>
      </c>
      <c r="S652" s="69"/>
      <c r="T652" s="70">
        <f t="shared" si="372"/>
        <v>0.32967032967033</v>
      </c>
      <c r="U652" s="69"/>
      <c r="V652" s="69"/>
      <c r="W652" s="71">
        <f t="shared" si="367"/>
        <v>318.420722135008</v>
      </c>
      <c r="X652" s="72">
        <f t="shared" si="373"/>
        <v>3.601852433281</v>
      </c>
      <c r="Y652" s="72"/>
      <c r="Z652" s="72"/>
      <c r="AA652" s="72">
        <f t="shared" si="368"/>
        <v>3.601852433281</v>
      </c>
      <c r="AB652" s="81">
        <v>7.11</v>
      </c>
      <c r="AC652" s="69">
        <f t="shared" si="369"/>
        <v>25.6091708006279</v>
      </c>
      <c r="AD652" s="69">
        <f t="shared" si="366"/>
        <v>344.029892935636</v>
      </c>
      <c r="AE652" s="69">
        <f t="shared" si="370"/>
        <v>38.7701070643642</v>
      </c>
    </row>
    <row r="653" customFormat="1" spans="1:31">
      <c r="A653" s="19"/>
      <c r="B653" s="20"/>
      <c r="C653" s="21">
        <v>241014000061</v>
      </c>
      <c r="D653" s="22">
        <v>45590</v>
      </c>
      <c r="E653" s="22" t="s">
        <v>37</v>
      </c>
      <c r="F653" s="20" t="s">
        <v>38</v>
      </c>
      <c r="G653" s="20" t="s">
        <v>447</v>
      </c>
      <c r="H653" s="20">
        <v>22.5</v>
      </c>
      <c r="I653" s="39">
        <v>1370.5</v>
      </c>
      <c r="J653" s="40"/>
      <c r="K653" s="41"/>
      <c r="L653" s="20"/>
      <c r="M653" s="41"/>
      <c r="N653" s="42"/>
      <c r="O653" s="43">
        <f t="shared" si="365"/>
        <v>1370.5</v>
      </c>
      <c r="P653" s="45"/>
      <c r="Q653" s="45"/>
      <c r="R653" s="69">
        <f t="shared" si="371"/>
        <v>1192.84144427002</v>
      </c>
      <c r="S653" s="69"/>
      <c r="T653" s="70">
        <f t="shared" si="372"/>
        <v>1.23626373626374</v>
      </c>
      <c r="U653" s="69"/>
      <c r="V653" s="69"/>
      <c r="W653" s="71">
        <f t="shared" si="367"/>
        <v>1194.07770800628</v>
      </c>
      <c r="X653" s="72">
        <f t="shared" si="373"/>
        <v>13.5069466248038</v>
      </c>
      <c r="Y653" s="72"/>
      <c r="Z653" s="72"/>
      <c r="AA653" s="72">
        <f t="shared" si="368"/>
        <v>13.5069466248038</v>
      </c>
      <c r="AB653" s="81">
        <v>7.11</v>
      </c>
      <c r="AC653" s="69">
        <f t="shared" si="369"/>
        <v>96.0343905023548</v>
      </c>
      <c r="AD653" s="69">
        <f t="shared" si="366"/>
        <v>1290.11209850863</v>
      </c>
      <c r="AE653" s="69">
        <f t="shared" si="370"/>
        <v>80.3879014913657</v>
      </c>
    </row>
    <row r="654" customFormat="1" spans="1:31">
      <c r="A654" s="19"/>
      <c r="B654" s="20"/>
      <c r="C654" s="21">
        <v>241015000041</v>
      </c>
      <c r="D654" s="22">
        <v>45590</v>
      </c>
      <c r="E654" s="22" t="s">
        <v>88</v>
      </c>
      <c r="F654" s="20" t="s">
        <v>259</v>
      </c>
      <c r="G654" s="20" t="s">
        <v>260</v>
      </c>
      <c r="H654" s="20">
        <v>5</v>
      </c>
      <c r="I654" s="43"/>
      <c r="J654" s="40"/>
      <c r="K654" s="41"/>
      <c r="L654" s="20"/>
      <c r="M654" s="41">
        <v>47.74</v>
      </c>
      <c r="N654" s="42">
        <v>7.11</v>
      </c>
      <c r="O654" s="43">
        <f t="shared" ref="O654:O658" si="374">SUM(M654*N654)</f>
        <v>339.4314</v>
      </c>
      <c r="P654" s="45"/>
      <c r="Q654" s="45"/>
      <c r="R654" s="69">
        <f t="shared" si="371"/>
        <v>265.075876504448</v>
      </c>
      <c r="S654" s="69"/>
      <c r="T654" s="70">
        <f t="shared" si="372"/>
        <v>0.274725274725275</v>
      </c>
      <c r="U654" s="69"/>
      <c r="V654" s="69"/>
      <c r="W654" s="71">
        <f t="shared" si="367"/>
        <v>265.350601779173</v>
      </c>
      <c r="X654" s="72">
        <f t="shared" si="373"/>
        <v>3.00154369440084</v>
      </c>
      <c r="Y654" s="72"/>
      <c r="Z654" s="72"/>
      <c r="AA654" s="72">
        <f t="shared" si="368"/>
        <v>3.00154369440084</v>
      </c>
      <c r="AB654" s="81">
        <v>7.11</v>
      </c>
      <c r="AC654" s="69">
        <f t="shared" si="369"/>
        <v>21.34097566719</v>
      </c>
      <c r="AD654" s="69">
        <f t="shared" si="366"/>
        <v>286.691577446363</v>
      </c>
      <c r="AE654" s="69">
        <f t="shared" si="370"/>
        <v>52.7398225536369</v>
      </c>
    </row>
    <row r="655" customFormat="1" spans="1:31">
      <c r="A655" s="19"/>
      <c r="B655" s="20"/>
      <c r="C655" s="21">
        <v>241015000047</v>
      </c>
      <c r="D655" s="22">
        <v>45590</v>
      </c>
      <c r="E655" s="22" t="s">
        <v>37</v>
      </c>
      <c r="F655" s="20" t="s">
        <v>38</v>
      </c>
      <c r="G655" s="20" t="s">
        <v>146</v>
      </c>
      <c r="H655" s="20">
        <v>3.5</v>
      </c>
      <c r="I655" s="39">
        <v>297.5</v>
      </c>
      <c r="J655" s="40"/>
      <c r="K655" s="41"/>
      <c r="L655" s="20"/>
      <c r="M655" s="41"/>
      <c r="N655" s="42"/>
      <c r="O655" s="43">
        <f t="shared" ref="O655:O666" si="375">SUM(I655)</f>
        <v>297.5</v>
      </c>
      <c r="P655" s="45"/>
      <c r="Q655" s="45"/>
      <c r="R655" s="69">
        <f t="shared" si="371"/>
        <v>185.553113553114</v>
      </c>
      <c r="S655" s="69"/>
      <c r="T655" s="70">
        <f t="shared" si="372"/>
        <v>0.192307692307692</v>
      </c>
      <c r="U655" s="69"/>
      <c r="V655" s="69"/>
      <c r="W655" s="71">
        <f t="shared" si="367"/>
        <v>185.745421245421</v>
      </c>
      <c r="X655" s="72">
        <f t="shared" si="373"/>
        <v>2.10108058608059</v>
      </c>
      <c r="Y655" s="72"/>
      <c r="Z655" s="72"/>
      <c r="AA655" s="72">
        <f t="shared" si="368"/>
        <v>2.10108058608059</v>
      </c>
      <c r="AB655" s="81">
        <v>7.11</v>
      </c>
      <c r="AC655" s="69">
        <f t="shared" si="369"/>
        <v>14.938682967033</v>
      </c>
      <c r="AD655" s="69">
        <f t="shared" si="366"/>
        <v>200.684104212454</v>
      </c>
      <c r="AE655" s="69">
        <f t="shared" si="370"/>
        <v>96.8158957875458</v>
      </c>
    </row>
    <row r="656" customFormat="1" spans="1:31">
      <c r="A656" s="19"/>
      <c r="B656" s="20"/>
      <c r="C656" s="21">
        <v>241015000052</v>
      </c>
      <c r="D656" s="22">
        <v>45590</v>
      </c>
      <c r="E656" s="22" t="s">
        <v>55</v>
      </c>
      <c r="F656" s="20" t="s">
        <v>56</v>
      </c>
      <c r="G656" s="20" t="s">
        <v>193</v>
      </c>
      <c r="H656" s="20">
        <v>1.5</v>
      </c>
      <c r="I656" s="43"/>
      <c r="J656" s="46">
        <v>32491</v>
      </c>
      <c r="K656" s="41"/>
      <c r="L656" s="47">
        <f t="shared" ref="L656:L660" si="376">SUM(J656/M656)</f>
        <v>1744.95166487648</v>
      </c>
      <c r="M656" s="48">
        <v>18.62</v>
      </c>
      <c r="N656" s="42">
        <v>7.11</v>
      </c>
      <c r="O656" s="43">
        <f t="shared" si="374"/>
        <v>132.3882</v>
      </c>
      <c r="P656" s="45"/>
      <c r="Q656" s="45"/>
      <c r="R656" s="69">
        <f t="shared" si="371"/>
        <v>79.5227629513344</v>
      </c>
      <c r="S656" s="69"/>
      <c r="T656" s="70">
        <f t="shared" si="372"/>
        <v>0.0824175824175824</v>
      </c>
      <c r="U656" s="69"/>
      <c r="V656" s="69"/>
      <c r="W656" s="71">
        <f t="shared" si="367"/>
        <v>79.605180533752</v>
      </c>
      <c r="X656" s="72">
        <f t="shared" si="373"/>
        <v>0.900463108320251</v>
      </c>
      <c r="Y656" s="72"/>
      <c r="Z656" s="72"/>
      <c r="AA656" s="72">
        <f t="shared" si="368"/>
        <v>0.900463108320251</v>
      </c>
      <c r="AB656" s="81">
        <v>7.11</v>
      </c>
      <c r="AC656" s="69">
        <f t="shared" si="369"/>
        <v>6.40229270015699</v>
      </c>
      <c r="AD656" s="69">
        <f t="shared" si="366"/>
        <v>86.007473233909</v>
      </c>
      <c r="AE656" s="69">
        <f t="shared" si="370"/>
        <v>46.3807267660911</v>
      </c>
    </row>
    <row r="657" customFormat="1" spans="1:31">
      <c r="A657" s="19"/>
      <c r="B657" s="20"/>
      <c r="C657" s="21">
        <v>241016000001</v>
      </c>
      <c r="D657" s="22">
        <v>45590</v>
      </c>
      <c r="E657" s="22" t="s">
        <v>66</v>
      </c>
      <c r="F657" s="20" t="s">
        <v>67</v>
      </c>
      <c r="G657" s="20" t="s">
        <v>448</v>
      </c>
      <c r="H657" s="20">
        <v>9.5</v>
      </c>
      <c r="I657" s="39">
        <v>782</v>
      </c>
      <c r="J657" s="40"/>
      <c r="K657" s="41"/>
      <c r="L657" s="20"/>
      <c r="M657" s="41"/>
      <c r="N657" s="42"/>
      <c r="O657" s="43">
        <f t="shared" si="375"/>
        <v>782</v>
      </c>
      <c r="P657" s="45"/>
      <c r="Q657" s="45"/>
      <c r="R657" s="69">
        <f t="shared" si="371"/>
        <v>503.644165358451</v>
      </c>
      <c r="S657" s="69"/>
      <c r="T657" s="70">
        <f t="shared" si="372"/>
        <v>0.521978021978022</v>
      </c>
      <c r="U657" s="69"/>
      <c r="V657" s="69"/>
      <c r="W657" s="71">
        <f t="shared" si="367"/>
        <v>504.166143380429</v>
      </c>
      <c r="X657" s="72">
        <f t="shared" si="373"/>
        <v>5.70293301936159</v>
      </c>
      <c r="Y657" s="72"/>
      <c r="Z657" s="72"/>
      <c r="AA657" s="72">
        <f t="shared" si="368"/>
        <v>5.70293301936159</v>
      </c>
      <c r="AB657" s="81">
        <v>7.11</v>
      </c>
      <c r="AC657" s="69">
        <f t="shared" si="369"/>
        <v>40.5478537676609</v>
      </c>
      <c r="AD657" s="69">
        <f t="shared" si="366"/>
        <v>544.71399714809</v>
      </c>
      <c r="AE657" s="69">
        <f t="shared" si="370"/>
        <v>237.28600285191</v>
      </c>
    </row>
    <row r="658" customFormat="1" spans="1:31">
      <c r="A658" s="19"/>
      <c r="B658" s="20"/>
      <c r="C658" s="21">
        <v>241016000005</v>
      </c>
      <c r="D658" s="22">
        <v>45590</v>
      </c>
      <c r="E658" s="22" t="s">
        <v>66</v>
      </c>
      <c r="F658" s="20" t="s">
        <v>67</v>
      </c>
      <c r="G658" s="20" t="s">
        <v>449</v>
      </c>
      <c r="H658" s="20">
        <v>3.5</v>
      </c>
      <c r="I658" s="50"/>
      <c r="J658" s="46">
        <v>65892</v>
      </c>
      <c r="K658" s="41"/>
      <c r="L658" s="47">
        <f t="shared" si="376"/>
        <v>1742.25277630883</v>
      </c>
      <c r="M658" s="48">
        <v>37.82</v>
      </c>
      <c r="N658" s="42">
        <v>7.11</v>
      </c>
      <c r="O658" s="43">
        <f t="shared" si="374"/>
        <v>268.9002</v>
      </c>
      <c r="P658" s="45"/>
      <c r="Q658" s="45"/>
      <c r="R658" s="69">
        <f t="shared" si="371"/>
        <v>185.553113553114</v>
      </c>
      <c r="S658" s="69"/>
      <c r="T658" s="70">
        <f t="shared" si="372"/>
        <v>0.192307692307692</v>
      </c>
      <c r="U658" s="69"/>
      <c r="V658" s="69"/>
      <c r="W658" s="71">
        <f t="shared" si="367"/>
        <v>185.745421245421</v>
      </c>
      <c r="X658" s="72">
        <f t="shared" si="373"/>
        <v>2.10108058608059</v>
      </c>
      <c r="Y658" s="72"/>
      <c r="Z658" s="72"/>
      <c r="AA658" s="72">
        <f t="shared" si="368"/>
        <v>2.10108058608059</v>
      </c>
      <c r="AB658" s="81">
        <v>7.11</v>
      </c>
      <c r="AC658" s="69">
        <f t="shared" si="369"/>
        <v>14.938682967033</v>
      </c>
      <c r="AD658" s="69">
        <f t="shared" si="366"/>
        <v>200.684104212454</v>
      </c>
      <c r="AE658" s="69">
        <f t="shared" si="370"/>
        <v>68.2160957875458</v>
      </c>
    </row>
    <row r="659" customFormat="1" spans="1:31">
      <c r="A659" s="19"/>
      <c r="B659" s="20"/>
      <c r="C659" s="21">
        <v>241016000014</v>
      </c>
      <c r="D659" s="22">
        <v>45590</v>
      </c>
      <c r="E659" s="22" t="s">
        <v>37</v>
      </c>
      <c r="F659" s="20" t="s">
        <v>38</v>
      </c>
      <c r="G659" s="20" t="s">
        <v>450</v>
      </c>
      <c r="H659" s="20">
        <v>0.47</v>
      </c>
      <c r="I659" s="39">
        <v>88.2</v>
      </c>
      <c r="J659" s="40"/>
      <c r="K659" s="41"/>
      <c r="L659" s="20"/>
      <c r="M659" s="41"/>
      <c r="N659" s="42"/>
      <c r="O659" s="43">
        <f t="shared" si="375"/>
        <v>88.2</v>
      </c>
      <c r="P659" s="45"/>
      <c r="Q659" s="45"/>
      <c r="R659" s="69">
        <f t="shared" si="371"/>
        <v>24.9171323914181</v>
      </c>
      <c r="S659" s="69"/>
      <c r="T659" s="70">
        <f t="shared" si="372"/>
        <v>0.0258241758241758</v>
      </c>
      <c r="U659" s="69"/>
      <c r="V659" s="69"/>
      <c r="W659" s="71">
        <f t="shared" si="367"/>
        <v>24.9429565672423</v>
      </c>
      <c r="X659" s="72">
        <f t="shared" si="373"/>
        <v>0.282145107273679</v>
      </c>
      <c r="Y659" s="72"/>
      <c r="Z659" s="72"/>
      <c r="AA659" s="72">
        <f t="shared" si="368"/>
        <v>0.282145107273679</v>
      </c>
      <c r="AB659" s="81">
        <v>7.11</v>
      </c>
      <c r="AC659" s="69">
        <f t="shared" si="369"/>
        <v>2.00605171271586</v>
      </c>
      <c r="AD659" s="69">
        <f t="shared" si="366"/>
        <v>26.9490082799581</v>
      </c>
      <c r="AE659" s="69">
        <f t="shared" si="370"/>
        <v>61.2509917200419</v>
      </c>
    </row>
    <row r="660" customFormat="1" spans="1:31">
      <c r="A660" s="19"/>
      <c r="B660" s="20"/>
      <c r="C660" s="21">
        <v>241016000016</v>
      </c>
      <c r="D660" s="22">
        <v>45590</v>
      </c>
      <c r="E660" s="22" t="s">
        <v>55</v>
      </c>
      <c r="F660" s="20" t="s">
        <v>56</v>
      </c>
      <c r="G660" s="20" t="s">
        <v>451</v>
      </c>
      <c r="H660" s="20">
        <v>31</v>
      </c>
      <c r="I660" s="50"/>
      <c r="J660" s="46">
        <v>524394</v>
      </c>
      <c r="K660" s="41"/>
      <c r="L660" s="47">
        <f t="shared" si="376"/>
        <v>1727.59438624234</v>
      </c>
      <c r="M660" s="48">
        <v>303.54</v>
      </c>
      <c r="N660" s="42">
        <v>7.11</v>
      </c>
      <c r="O660" s="43">
        <f>SUM(M660*N660)</f>
        <v>2158.1694</v>
      </c>
      <c r="P660" s="45"/>
      <c r="Q660" s="45"/>
      <c r="R660" s="69">
        <f t="shared" si="371"/>
        <v>1643.47043432758</v>
      </c>
      <c r="S660" s="69"/>
      <c r="T660" s="70">
        <f t="shared" si="372"/>
        <v>1.7032967032967</v>
      </c>
      <c r="U660" s="69"/>
      <c r="V660" s="69"/>
      <c r="W660" s="71">
        <f t="shared" si="367"/>
        <v>1645.17373103087</v>
      </c>
      <c r="X660" s="72">
        <f t="shared" si="373"/>
        <v>18.6095709052852</v>
      </c>
      <c r="Y660" s="72"/>
      <c r="Z660" s="72"/>
      <c r="AA660" s="72">
        <f t="shared" si="368"/>
        <v>18.6095709052852</v>
      </c>
      <c r="AB660" s="81">
        <v>7.11</v>
      </c>
      <c r="AC660" s="69">
        <f t="shared" si="369"/>
        <v>132.314049136578</v>
      </c>
      <c r="AD660" s="69">
        <f t="shared" si="366"/>
        <v>1777.48778016745</v>
      </c>
      <c r="AE660" s="69">
        <f t="shared" si="370"/>
        <v>380.681619832548</v>
      </c>
    </row>
    <row r="661" customFormat="1" spans="1:31">
      <c r="A661" s="19"/>
      <c r="B661" s="20"/>
      <c r="C661" s="21">
        <v>241016000020</v>
      </c>
      <c r="D661" s="22">
        <v>45590</v>
      </c>
      <c r="E661" s="22" t="s">
        <v>76</v>
      </c>
      <c r="F661" s="20" t="s">
        <v>77</v>
      </c>
      <c r="G661" s="20" t="s">
        <v>340</v>
      </c>
      <c r="H661" s="20">
        <v>3</v>
      </c>
      <c r="I661" s="39">
        <v>312.5</v>
      </c>
      <c r="J661" s="40"/>
      <c r="K661" s="41"/>
      <c r="L661" s="20"/>
      <c r="M661" s="41"/>
      <c r="N661" s="42"/>
      <c r="O661" s="43">
        <f t="shared" si="375"/>
        <v>312.5</v>
      </c>
      <c r="P661" s="45"/>
      <c r="Q661" s="45"/>
      <c r="R661" s="69">
        <f t="shared" si="371"/>
        <v>159.045525902669</v>
      </c>
      <c r="S661" s="69"/>
      <c r="T661" s="70">
        <f t="shared" si="372"/>
        <v>0.164835164835165</v>
      </c>
      <c r="U661" s="69"/>
      <c r="V661" s="69"/>
      <c r="W661" s="71">
        <f t="shared" si="367"/>
        <v>159.210361067504</v>
      </c>
      <c r="X661" s="72">
        <f t="shared" si="373"/>
        <v>1.8009262166405</v>
      </c>
      <c r="Y661" s="72">
        <v>4.5</v>
      </c>
      <c r="Z661" s="72"/>
      <c r="AA661" s="72">
        <f t="shared" si="368"/>
        <v>6.3009262166405</v>
      </c>
      <c r="AB661" s="81">
        <v>7.11</v>
      </c>
      <c r="AC661" s="69">
        <f t="shared" si="369"/>
        <v>44.799585400314</v>
      </c>
      <c r="AD661" s="69">
        <f t="shared" si="366"/>
        <v>204.009946467818</v>
      </c>
      <c r="AE661" s="69">
        <f t="shared" si="370"/>
        <v>108.490053532182</v>
      </c>
    </row>
    <row r="662" customFormat="1" spans="1:31">
      <c r="A662" s="19"/>
      <c r="B662" s="20"/>
      <c r="C662" s="21">
        <v>241016000023</v>
      </c>
      <c r="D662" s="22">
        <v>45590</v>
      </c>
      <c r="E662" s="22" t="s">
        <v>76</v>
      </c>
      <c r="F662" s="20" t="s">
        <v>77</v>
      </c>
      <c r="G662" s="20" t="s">
        <v>452</v>
      </c>
      <c r="H662" s="20">
        <v>9</v>
      </c>
      <c r="I662" s="39">
        <v>632.6</v>
      </c>
      <c r="J662" s="40"/>
      <c r="K662" s="41"/>
      <c r="L662" s="20"/>
      <c r="M662" s="41"/>
      <c r="N662" s="42"/>
      <c r="O662" s="43">
        <f t="shared" si="375"/>
        <v>632.6</v>
      </c>
      <c r="P662" s="45"/>
      <c r="Q662" s="45"/>
      <c r="R662" s="69">
        <f t="shared" si="371"/>
        <v>477.136577708006</v>
      </c>
      <c r="S662" s="69"/>
      <c r="T662" s="70">
        <f t="shared" si="372"/>
        <v>0.494505494505495</v>
      </c>
      <c r="U662" s="69"/>
      <c r="V662" s="69"/>
      <c r="W662" s="71">
        <f t="shared" si="367"/>
        <v>477.631083202512</v>
      </c>
      <c r="X662" s="72">
        <f t="shared" si="373"/>
        <v>5.40277864992151</v>
      </c>
      <c r="Y662" s="72">
        <v>4.5</v>
      </c>
      <c r="Z662" s="72"/>
      <c r="AA662" s="72">
        <f t="shared" si="368"/>
        <v>9.90277864992151</v>
      </c>
      <c r="AB662" s="81">
        <v>7.11</v>
      </c>
      <c r="AC662" s="69">
        <f t="shared" si="369"/>
        <v>70.4087562009419</v>
      </c>
      <c r="AD662" s="69">
        <f t="shared" si="366"/>
        <v>548.039839403454</v>
      </c>
      <c r="AE662" s="69">
        <f t="shared" si="370"/>
        <v>84.5601605965463</v>
      </c>
    </row>
    <row r="663" customFormat="1" spans="1:31">
      <c r="A663" s="19"/>
      <c r="B663" s="20"/>
      <c r="C663" s="21">
        <v>241016000037</v>
      </c>
      <c r="D663" s="22">
        <v>45590</v>
      </c>
      <c r="E663" s="22" t="s">
        <v>55</v>
      </c>
      <c r="F663" s="20" t="s">
        <v>56</v>
      </c>
      <c r="G663" s="20" t="s">
        <v>453</v>
      </c>
      <c r="H663" s="20">
        <v>7</v>
      </c>
      <c r="I663" s="39">
        <v>586</v>
      </c>
      <c r="J663" s="40"/>
      <c r="K663" s="41"/>
      <c r="L663" s="20"/>
      <c r="M663" s="41"/>
      <c r="N663" s="42"/>
      <c r="O663" s="43">
        <f t="shared" si="375"/>
        <v>586</v>
      </c>
      <c r="P663" s="45"/>
      <c r="Q663" s="45"/>
      <c r="R663" s="69">
        <f t="shared" si="371"/>
        <v>371.106227106227</v>
      </c>
      <c r="S663" s="69"/>
      <c r="T663" s="70">
        <f t="shared" si="372"/>
        <v>0.384615384615385</v>
      </c>
      <c r="U663" s="70">
        <v>40</v>
      </c>
      <c r="V663" s="69"/>
      <c r="W663" s="71">
        <f t="shared" si="367"/>
        <v>411.490842490842</v>
      </c>
      <c r="X663" s="72">
        <f t="shared" si="373"/>
        <v>4.20216117216117</v>
      </c>
      <c r="Y663" s="72"/>
      <c r="Z663" s="72"/>
      <c r="AA663" s="72">
        <f t="shared" si="368"/>
        <v>4.20216117216117</v>
      </c>
      <c r="AB663" s="81">
        <v>7.11</v>
      </c>
      <c r="AC663" s="69">
        <f t="shared" si="369"/>
        <v>29.8773659340659</v>
      </c>
      <c r="AD663" s="69">
        <f t="shared" si="366"/>
        <v>441.368208424908</v>
      </c>
      <c r="AE663" s="69">
        <f t="shared" si="370"/>
        <v>144.631791575092</v>
      </c>
    </row>
    <row r="664" customFormat="1" spans="1:31">
      <c r="A664" s="19"/>
      <c r="B664" s="20"/>
      <c r="C664" s="21">
        <v>241016000045</v>
      </c>
      <c r="D664" s="22">
        <v>45590</v>
      </c>
      <c r="E664" s="22" t="s">
        <v>37</v>
      </c>
      <c r="F664" s="20" t="s">
        <v>38</v>
      </c>
      <c r="G664" s="20" t="s">
        <v>454</v>
      </c>
      <c r="H664" s="20">
        <v>1.5</v>
      </c>
      <c r="I664" s="39">
        <v>197</v>
      </c>
      <c r="J664" s="40"/>
      <c r="K664" s="41"/>
      <c r="L664" s="20"/>
      <c r="M664" s="41"/>
      <c r="N664" s="42"/>
      <c r="O664" s="43">
        <f t="shared" si="375"/>
        <v>197</v>
      </c>
      <c r="P664" s="45"/>
      <c r="Q664" s="45"/>
      <c r="R664" s="69">
        <f t="shared" si="371"/>
        <v>79.5227629513344</v>
      </c>
      <c r="S664" s="69"/>
      <c r="T664" s="70">
        <f t="shared" si="372"/>
        <v>0.0824175824175824</v>
      </c>
      <c r="U664" s="69"/>
      <c r="V664" s="69"/>
      <c r="W664" s="71">
        <f t="shared" si="367"/>
        <v>79.605180533752</v>
      </c>
      <c r="X664" s="72">
        <f t="shared" si="373"/>
        <v>0.900463108320251</v>
      </c>
      <c r="Y664" s="72">
        <v>12.65</v>
      </c>
      <c r="Z664" s="72"/>
      <c r="AA664" s="72">
        <f t="shared" si="368"/>
        <v>13.5504631083203</v>
      </c>
      <c r="AB664" s="81">
        <v>7.11</v>
      </c>
      <c r="AC664" s="69">
        <f t="shared" si="369"/>
        <v>96.343792700157</v>
      </c>
      <c r="AD664" s="69">
        <f t="shared" si="366"/>
        <v>175.948973233909</v>
      </c>
      <c r="AE664" s="69">
        <f t="shared" si="370"/>
        <v>21.051026766091</v>
      </c>
    </row>
    <row r="665" customFormat="1" spans="1:31">
      <c r="A665" s="19"/>
      <c r="B665" s="20"/>
      <c r="C665" s="21">
        <v>241016000047</v>
      </c>
      <c r="D665" s="22">
        <v>45590</v>
      </c>
      <c r="E665" s="22" t="s">
        <v>41</v>
      </c>
      <c r="F665" s="20" t="s">
        <v>42</v>
      </c>
      <c r="G665" s="20" t="s">
        <v>455</v>
      </c>
      <c r="H665" s="20">
        <v>2</v>
      </c>
      <c r="I665" s="39">
        <v>170</v>
      </c>
      <c r="J665" s="40"/>
      <c r="K665" s="41"/>
      <c r="L665" s="20"/>
      <c r="M665" s="41"/>
      <c r="N665" s="42"/>
      <c r="O665" s="43">
        <f t="shared" si="375"/>
        <v>170</v>
      </c>
      <c r="P665" s="45"/>
      <c r="Q665" s="45"/>
      <c r="R665" s="69">
        <f t="shared" si="371"/>
        <v>106.030350601779</v>
      </c>
      <c r="S665" s="69"/>
      <c r="T665" s="70">
        <f t="shared" si="372"/>
        <v>0.10989010989011</v>
      </c>
      <c r="U665" s="69"/>
      <c r="V665" s="69"/>
      <c r="W665" s="71">
        <f t="shared" si="367"/>
        <v>106.140240711669</v>
      </c>
      <c r="X665" s="72">
        <f t="shared" si="373"/>
        <v>1.20061747776033</v>
      </c>
      <c r="Y665" s="72"/>
      <c r="Z665" s="72"/>
      <c r="AA665" s="72">
        <f t="shared" si="368"/>
        <v>1.20061747776033</v>
      </c>
      <c r="AB665" s="81">
        <v>7.11</v>
      </c>
      <c r="AC665" s="69">
        <f t="shared" si="369"/>
        <v>8.53639026687598</v>
      </c>
      <c r="AD665" s="69">
        <f t="shared" si="366"/>
        <v>114.676630978545</v>
      </c>
      <c r="AE665" s="69">
        <f t="shared" si="370"/>
        <v>55.3233690214547</v>
      </c>
    </row>
    <row r="666" customFormat="1" spans="1:31">
      <c r="A666" s="19"/>
      <c r="B666" s="20"/>
      <c r="C666" s="21">
        <v>241016000048</v>
      </c>
      <c r="D666" s="22">
        <v>45590</v>
      </c>
      <c r="E666" s="22" t="s">
        <v>41</v>
      </c>
      <c r="F666" s="20" t="s">
        <v>42</v>
      </c>
      <c r="G666" s="20" t="s">
        <v>456</v>
      </c>
      <c r="H666" s="20">
        <v>11.5</v>
      </c>
      <c r="I666" s="39">
        <v>724</v>
      </c>
      <c r="J666" s="40"/>
      <c r="K666" s="41"/>
      <c r="L666" s="20"/>
      <c r="M666" s="41"/>
      <c r="N666" s="42"/>
      <c r="O666" s="43">
        <f t="shared" si="375"/>
        <v>724</v>
      </c>
      <c r="P666" s="45"/>
      <c r="Q666" s="45"/>
      <c r="R666" s="69">
        <f t="shared" si="371"/>
        <v>609.67451596023</v>
      </c>
      <c r="S666" s="69"/>
      <c r="T666" s="70">
        <f t="shared" si="372"/>
        <v>0.631868131868132</v>
      </c>
      <c r="U666" s="69"/>
      <c r="V666" s="69"/>
      <c r="W666" s="71">
        <f t="shared" si="367"/>
        <v>610.306384092098</v>
      </c>
      <c r="X666" s="72">
        <f t="shared" si="373"/>
        <v>6.90355049712193</v>
      </c>
      <c r="Y666" s="72"/>
      <c r="Z666" s="72"/>
      <c r="AA666" s="72">
        <f t="shared" si="368"/>
        <v>6.90355049712193</v>
      </c>
      <c r="AB666" s="81">
        <v>7.11</v>
      </c>
      <c r="AC666" s="69">
        <f t="shared" si="369"/>
        <v>49.0842440345369</v>
      </c>
      <c r="AD666" s="69">
        <f t="shared" si="366"/>
        <v>659.390628126635</v>
      </c>
      <c r="AE666" s="69">
        <f t="shared" si="370"/>
        <v>64.6093718733647</v>
      </c>
    </row>
    <row r="667" customFormat="1" spans="1:31">
      <c r="A667" s="19"/>
      <c r="B667" s="20"/>
      <c r="C667" s="21">
        <v>241016000050</v>
      </c>
      <c r="D667" s="22">
        <v>45590</v>
      </c>
      <c r="E667" s="22" t="s">
        <v>41</v>
      </c>
      <c r="F667" s="20" t="s">
        <v>42</v>
      </c>
      <c r="G667" s="20" t="s">
        <v>283</v>
      </c>
      <c r="H667" s="20">
        <v>10</v>
      </c>
      <c r="I667" s="43"/>
      <c r="J667" s="46">
        <v>159388</v>
      </c>
      <c r="K667" s="41"/>
      <c r="L667" s="47">
        <f>SUM(J667/M667)</f>
        <v>1744.99671556821</v>
      </c>
      <c r="M667" s="48">
        <v>91.34</v>
      </c>
      <c r="N667" s="42">
        <v>7.11</v>
      </c>
      <c r="O667" s="43">
        <f>SUM(M667*N667)</f>
        <v>649.4274</v>
      </c>
      <c r="P667" s="45"/>
      <c r="Q667" s="45"/>
      <c r="R667" s="69">
        <f t="shared" si="371"/>
        <v>530.151753008896</v>
      </c>
      <c r="S667" s="69"/>
      <c r="T667" s="70">
        <f t="shared" si="372"/>
        <v>0.549450549450549</v>
      </c>
      <c r="U667" s="69"/>
      <c r="V667" s="69"/>
      <c r="W667" s="71">
        <f t="shared" si="367"/>
        <v>530.701203558346</v>
      </c>
      <c r="X667" s="72">
        <f t="shared" si="373"/>
        <v>6.00308738880167</v>
      </c>
      <c r="Y667" s="72"/>
      <c r="Z667" s="72"/>
      <c r="AA667" s="72">
        <f t="shared" si="368"/>
        <v>6.00308738880167</v>
      </c>
      <c r="AB667" s="81">
        <v>7.11</v>
      </c>
      <c r="AC667" s="69">
        <f t="shared" si="369"/>
        <v>42.6819513343799</v>
      </c>
      <c r="AD667" s="69">
        <f t="shared" si="366"/>
        <v>573.383154892726</v>
      </c>
      <c r="AE667" s="69">
        <f t="shared" si="370"/>
        <v>76.0442451072738</v>
      </c>
    </row>
    <row r="668" customFormat="1" spans="1:31">
      <c r="A668" s="19"/>
      <c r="B668" s="20"/>
      <c r="C668" s="82">
        <v>241016000052</v>
      </c>
      <c r="D668" s="83">
        <v>45590</v>
      </c>
      <c r="E668" s="22" t="s">
        <v>41</v>
      </c>
      <c r="F668" s="84" t="s">
        <v>42</v>
      </c>
      <c r="G668" s="84" t="s">
        <v>185</v>
      </c>
      <c r="H668" s="84">
        <v>11</v>
      </c>
      <c r="I668" s="50"/>
      <c r="J668" s="46">
        <v>177876</v>
      </c>
      <c r="K668" s="41"/>
      <c r="L668" s="47">
        <f>SUM(J668/M668)</f>
        <v>1726.44860720179</v>
      </c>
      <c r="M668" s="48">
        <v>103.03</v>
      </c>
      <c r="N668" s="42">
        <v>7.11</v>
      </c>
      <c r="O668" s="43">
        <f>SUM(M668*N668)</f>
        <v>732.5433</v>
      </c>
      <c r="P668" s="45"/>
      <c r="Q668" s="45"/>
      <c r="R668" s="69">
        <f t="shared" si="371"/>
        <v>583.166928309785</v>
      </c>
      <c r="S668" s="69"/>
      <c r="T668" s="70">
        <f t="shared" si="372"/>
        <v>0.604395604395604</v>
      </c>
      <c r="U668" s="69"/>
      <c r="V668" s="69"/>
      <c r="W668" s="71">
        <f t="shared" si="367"/>
        <v>583.771323914181</v>
      </c>
      <c r="X668" s="72">
        <f t="shared" si="373"/>
        <v>6.60339612768184</v>
      </c>
      <c r="Y668" s="72"/>
      <c r="Z668" s="72"/>
      <c r="AA668" s="72">
        <f t="shared" si="368"/>
        <v>6.60339612768184</v>
      </c>
      <c r="AB668" s="81">
        <v>7.11</v>
      </c>
      <c r="AC668" s="69">
        <f t="shared" si="369"/>
        <v>46.9501464678179</v>
      </c>
      <c r="AD668" s="69">
        <f t="shared" si="366"/>
        <v>630.721470381999</v>
      </c>
      <c r="AE668" s="69">
        <f t="shared" si="370"/>
        <v>101.821829618001</v>
      </c>
    </row>
    <row r="669" customFormat="1" spans="1:31">
      <c r="A669" s="19"/>
      <c r="B669" s="20"/>
      <c r="C669" s="21">
        <v>241017000005</v>
      </c>
      <c r="D669" s="22">
        <v>45590</v>
      </c>
      <c r="E669" s="22" t="s">
        <v>66</v>
      </c>
      <c r="F669" s="20" t="s">
        <v>67</v>
      </c>
      <c r="G669" s="20" t="s">
        <v>457</v>
      </c>
      <c r="H669" s="20">
        <v>3.5</v>
      </c>
      <c r="I669" s="39">
        <v>245.85</v>
      </c>
      <c r="J669" s="40"/>
      <c r="K669" s="41"/>
      <c r="L669" s="20"/>
      <c r="M669" s="41"/>
      <c r="N669" s="42"/>
      <c r="O669" s="43">
        <f t="shared" ref="O669:O677" si="377">SUM(I669)</f>
        <v>245.85</v>
      </c>
      <c r="P669" s="45"/>
      <c r="Q669" s="45"/>
      <c r="R669" s="69">
        <f t="shared" si="371"/>
        <v>185.553113553114</v>
      </c>
      <c r="S669" s="69"/>
      <c r="T669" s="70">
        <f t="shared" si="372"/>
        <v>0.192307692307692</v>
      </c>
      <c r="U669" s="69"/>
      <c r="V669" s="69"/>
      <c r="W669" s="71">
        <f t="shared" si="367"/>
        <v>185.745421245421</v>
      </c>
      <c r="X669" s="72">
        <f t="shared" si="373"/>
        <v>2.10108058608059</v>
      </c>
      <c r="Y669" s="72"/>
      <c r="Z669" s="72"/>
      <c r="AA669" s="72">
        <f t="shared" si="368"/>
        <v>2.10108058608059</v>
      </c>
      <c r="AB669" s="81">
        <v>7.11</v>
      </c>
      <c r="AC669" s="69">
        <f t="shared" si="369"/>
        <v>14.938682967033</v>
      </c>
      <c r="AD669" s="69">
        <f t="shared" si="366"/>
        <v>200.684104212454</v>
      </c>
      <c r="AE669" s="69">
        <f t="shared" si="370"/>
        <v>45.1658957875458</v>
      </c>
    </row>
    <row r="670" customFormat="1" spans="1:31">
      <c r="A670" s="19"/>
      <c r="B670" s="20"/>
      <c r="C670" s="21">
        <v>241017000011</v>
      </c>
      <c r="D670" s="22">
        <v>45590</v>
      </c>
      <c r="E670" s="22" t="s">
        <v>66</v>
      </c>
      <c r="F670" s="20" t="s">
        <v>67</v>
      </c>
      <c r="G670" s="20" t="s">
        <v>144</v>
      </c>
      <c r="H670" s="20">
        <v>1.5</v>
      </c>
      <c r="I670" s="39">
        <v>117</v>
      </c>
      <c r="J670" s="40"/>
      <c r="K670" s="41"/>
      <c r="L670" s="20"/>
      <c r="M670" s="41"/>
      <c r="N670" s="42"/>
      <c r="O670" s="43">
        <f t="shared" si="377"/>
        <v>117</v>
      </c>
      <c r="P670" s="45"/>
      <c r="Q670" s="45"/>
      <c r="R670" s="69">
        <f t="shared" si="371"/>
        <v>79.5227629513344</v>
      </c>
      <c r="S670" s="69"/>
      <c r="T670" s="70">
        <f t="shared" si="372"/>
        <v>0.0824175824175824</v>
      </c>
      <c r="U670" s="69"/>
      <c r="V670" s="69"/>
      <c r="W670" s="71">
        <f t="shared" si="367"/>
        <v>79.605180533752</v>
      </c>
      <c r="X670" s="72">
        <f t="shared" si="373"/>
        <v>0.900463108320251</v>
      </c>
      <c r="Y670" s="72"/>
      <c r="Z670" s="72"/>
      <c r="AA670" s="72">
        <f t="shared" si="368"/>
        <v>0.900463108320251</v>
      </c>
      <c r="AB670" s="81">
        <v>7.11</v>
      </c>
      <c r="AC670" s="69">
        <f t="shared" si="369"/>
        <v>6.40229270015699</v>
      </c>
      <c r="AD670" s="69">
        <f t="shared" si="366"/>
        <v>86.007473233909</v>
      </c>
      <c r="AE670" s="69">
        <f t="shared" si="370"/>
        <v>30.992526766091</v>
      </c>
    </row>
    <row r="671" customFormat="1" spans="1:31">
      <c r="A671" s="19"/>
      <c r="B671" s="20"/>
      <c r="C671" s="21">
        <v>241017000022</v>
      </c>
      <c r="D671" s="22">
        <v>45590</v>
      </c>
      <c r="E671" s="22" t="s">
        <v>55</v>
      </c>
      <c r="F671" s="20" t="s">
        <v>56</v>
      </c>
      <c r="G671" s="20" t="s">
        <v>458</v>
      </c>
      <c r="H671" s="20">
        <v>9</v>
      </c>
      <c r="I671" s="39">
        <v>594</v>
      </c>
      <c r="J671" s="40"/>
      <c r="K671" s="41"/>
      <c r="L671" s="20"/>
      <c r="M671" s="41"/>
      <c r="N671" s="42"/>
      <c r="O671" s="43">
        <f t="shared" si="377"/>
        <v>594</v>
      </c>
      <c r="P671" s="45"/>
      <c r="Q671" s="45"/>
      <c r="R671" s="69">
        <f t="shared" si="371"/>
        <v>477.136577708006</v>
      </c>
      <c r="S671" s="69"/>
      <c r="T671" s="70">
        <f t="shared" si="372"/>
        <v>0.494505494505495</v>
      </c>
      <c r="U671" s="69"/>
      <c r="V671" s="69"/>
      <c r="W671" s="71">
        <f t="shared" si="367"/>
        <v>477.631083202512</v>
      </c>
      <c r="X671" s="72">
        <f t="shared" si="373"/>
        <v>5.40277864992151</v>
      </c>
      <c r="Y671" s="72"/>
      <c r="Z671" s="72"/>
      <c r="AA671" s="72">
        <f t="shared" si="368"/>
        <v>5.40277864992151</v>
      </c>
      <c r="AB671" s="81">
        <v>7.11</v>
      </c>
      <c r="AC671" s="69">
        <f t="shared" si="369"/>
        <v>38.4137562009419</v>
      </c>
      <c r="AD671" s="69">
        <f t="shared" si="366"/>
        <v>516.044839403454</v>
      </c>
      <c r="AE671" s="69">
        <f t="shared" si="370"/>
        <v>77.9551605965462</v>
      </c>
    </row>
    <row r="672" customFormat="1" spans="1:31">
      <c r="A672" s="19"/>
      <c r="B672" s="20"/>
      <c r="C672" s="21">
        <v>241017000029</v>
      </c>
      <c r="D672" s="22">
        <v>45590</v>
      </c>
      <c r="E672" s="22" t="s">
        <v>135</v>
      </c>
      <c r="F672" s="20" t="s">
        <v>136</v>
      </c>
      <c r="G672" s="20" t="s">
        <v>137</v>
      </c>
      <c r="H672" s="20">
        <v>4.5</v>
      </c>
      <c r="I672" s="39">
        <v>315.15</v>
      </c>
      <c r="J672" s="40"/>
      <c r="K672" s="41"/>
      <c r="L672" s="20"/>
      <c r="M672" s="41"/>
      <c r="N672" s="42"/>
      <c r="O672" s="43">
        <f t="shared" si="377"/>
        <v>315.15</v>
      </c>
      <c r="P672" s="45"/>
      <c r="Q672" s="45"/>
      <c r="R672" s="69">
        <f t="shared" si="371"/>
        <v>238.568288854003</v>
      </c>
      <c r="S672" s="69"/>
      <c r="T672" s="70">
        <f t="shared" si="372"/>
        <v>0.247252747252747</v>
      </c>
      <c r="U672" s="69"/>
      <c r="V672" s="69"/>
      <c r="W672" s="71">
        <f t="shared" si="367"/>
        <v>238.815541601256</v>
      </c>
      <c r="X672" s="72">
        <f t="shared" si="373"/>
        <v>2.70138932496075</v>
      </c>
      <c r="Y672" s="72"/>
      <c r="Z672" s="72"/>
      <c r="AA672" s="72">
        <f t="shared" si="368"/>
        <v>2.70138932496075</v>
      </c>
      <c r="AB672" s="81">
        <v>7.11</v>
      </c>
      <c r="AC672" s="69">
        <f t="shared" si="369"/>
        <v>19.206878100471</v>
      </c>
      <c r="AD672" s="69">
        <f t="shared" si="366"/>
        <v>258.022419701727</v>
      </c>
      <c r="AE672" s="69">
        <f t="shared" si="370"/>
        <v>57.1275802982731</v>
      </c>
    </row>
    <row r="673" customFormat="1" spans="1:31">
      <c r="A673" s="19"/>
      <c r="B673" s="20"/>
      <c r="C673" s="21">
        <v>241017000037</v>
      </c>
      <c r="D673" s="22">
        <v>45590</v>
      </c>
      <c r="E673" s="22" t="s">
        <v>41</v>
      </c>
      <c r="F673" s="20" t="s">
        <v>42</v>
      </c>
      <c r="G673" s="20" t="s">
        <v>157</v>
      </c>
      <c r="H673" s="20">
        <v>2.5</v>
      </c>
      <c r="I673" s="39">
        <v>226.43001</v>
      </c>
      <c r="J673" s="40"/>
      <c r="K673" s="41"/>
      <c r="L673" s="20"/>
      <c r="M673" s="41"/>
      <c r="N673" s="42"/>
      <c r="O673" s="43">
        <f t="shared" si="377"/>
        <v>226.43001</v>
      </c>
      <c r="P673" s="45"/>
      <c r="Q673" s="45"/>
      <c r="R673" s="69">
        <f t="shared" si="371"/>
        <v>132.537938252224</v>
      </c>
      <c r="S673" s="69"/>
      <c r="T673" s="70">
        <f t="shared" si="372"/>
        <v>0.137362637362637</v>
      </c>
      <c r="U673" s="69"/>
      <c r="V673" s="69"/>
      <c r="W673" s="71">
        <f t="shared" si="367"/>
        <v>132.675300889587</v>
      </c>
      <c r="X673" s="72">
        <f t="shared" si="373"/>
        <v>1.50077184720042</v>
      </c>
      <c r="Y673" s="72"/>
      <c r="Z673" s="72"/>
      <c r="AA673" s="72">
        <f t="shared" si="368"/>
        <v>1.50077184720042</v>
      </c>
      <c r="AB673" s="81">
        <v>7.11</v>
      </c>
      <c r="AC673" s="69">
        <f t="shared" si="369"/>
        <v>10.670487833595</v>
      </c>
      <c r="AD673" s="69">
        <f t="shared" si="366"/>
        <v>143.345788723182</v>
      </c>
      <c r="AE673" s="69">
        <f t="shared" si="370"/>
        <v>83.0842212768185</v>
      </c>
    </row>
    <row r="674" customFormat="1" spans="1:31">
      <c r="A674" s="19"/>
      <c r="B674" s="20"/>
      <c r="C674" s="21">
        <v>241018000004</v>
      </c>
      <c r="D674" s="22">
        <v>45590</v>
      </c>
      <c r="E674" s="22" t="s">
        <v>66</v>
      </c>
      <c r="F674" s="20" t="s">
        <v>67</v>
      </c>
      <c r="G674" s="20" t="s">
        <v>421</v>
      </c>
      <c r="H674" s="20">
        <v>2</v>
      </c>
      <c r="I674" s="39">
        <v>136</v>
      </c>
      <c r="J674" s="40"/>
      <c r="K674" s="41"/>
      <c r="L674" s="20"/>
      <c r="M674" s="41"/>
      <c r="N674" s="42"/>
      <c r="O674" s="43">
        <f t="shared" si="377"/>
        <v>136</v>
      </c>
      <c r="P674" s="45"/>
      <c r="Q674" s="45"/>
      <c r="R674" s="69">
        <f t="shared" si="371"/>
        <v>106.030350601779</v>
      </c>
      <c r="S674" s="69"/>
      <c r="T674" s="70">
        <f t="shared" si="372"/>
        <v>0.10989010989011</v>
      </c>
      <c r="U674" s="69"/>
      <c r="V674" s="69"/>
      <c r="W674" s="71">
        <f t="shared" si="367"/>
        <v>106.140240711669</v>
      </c>
      <c r="X674" s="72">
        <f t="shared" si="373"/>
        <v>1.20061747776033</v>
      </c>
      <c r="Y674" s="72"/>
      <c r="Z674" s="72"/>
      <c r="AA674" s="72">
        <f t="shared" si="368"/>
        <v>1.20061747776033</v>
      </c>
      <c r="AB674" s="81">
        <v>7.11</v>
      </c>
      <c r="AC674" s="69">
        <f t="shared" si="369"/>
        <v>8.53639026687598</v>
      </c>
      <c r="AD674" s="69">
        <f t="shared" si="366"/>
        <v>114.676630978545</v>
      </c>
      <c r="AE674" s="69">
        <f t="shared" si="370"/>
        <v>21.3233690214547</v>
      </c>
    </row>
    <row r="675" customFormat="1" spans="1:31">
      <c r="A675" s="19"/>
      <c r="B675" s="20"/>
      <c r="C675" s="21">
        <v>241018000008</v>
      </c>
      <c r="D675" s="22">
        <v>45590</v>
      </c>
      <c r="E675" s="22" t="s">
        <v>55</v>
      </c>
      <c r="F675" s="20" t="s">
        <v>56</v>
      </c>
      <c r="G675" s="20" t="s">
        <v>152</v>
      </c>
      <c r="H675" s="20">
        <v>1.5</v>
      </c>
      <c r="I675" s="39">
        <v>156</v>
      </c>
      <c r="J675" s="40"/>
      <c r="K675" s="41"/>
      <c r="L675" s="20"/>
      <c r="M675" s="41"/>
      <c r="N675" s="42"/>
      <c r="O675" s="43">
        <f t="shared" si="377"/>
        <v>156</v>
      </c>
      <c r="P675" s="45"/>
      <c r="Q675" s="45"/>
      <c r="R675" s="69">
        <f t="shared" si="371"/>
        <v>79.5227629513344</v>
      </c>
      <c r="S675" s="69"/>
      <c r="T675" s="70">
        <f t="shared" si="372"/>
        <v>0.0824175824175824</v>
      </c>
      <c r="U675" s="69"/>
      <c r="V675" s="69"/>
      <c r="W675" s="71">
        <f t="shared" si="367"/>
        <v>79.605180533752</v>
      </c>
      <c r="X675" s="72">
        <f t="shared" si="373"/>
        <v>0.900463108320251</v>
      </c>
      <c r="Y675" s="72"/>
      <c r="Z675" s="72"/>
      <c r="AA675" s="72">
        <f t="shared" si="368"/>
        <v>0.900463108320251</v>
      </c>
      <c r="AB675" s="81">
        <v>7.11</v>
      </c>
      <c r="AC675" s="69">
        <f t="shared" si="369"/>
        <v>6.40229270015699</v>
      </c>
      <c r="AD675" s="69">
        <f t="shared" si="366"/>
        <v>86.007473233909</v>
      </c>
      <c r="AE675" s="69">
        <f t="shared" si="370"/>
        <v>69.992526766091</v>
      </c>
    </row>
    <row r="676" customFormat="1" spans="1:31">
      <c r="A676" s="19"/>
      <c r="B676" s="20"/>
      <c r="C676" s="21">
        <v>241018000010</v>
      </c>
      <c r="D676" s="22">
        <v>45590</v>
      </c>
      <c r="E676" s="22" t="s">
        <v>55</v>
      </c>
      <c r="F676" s="20" t="s">
        <v>56</v>
      </c>
      <c r="G676" s="20" t="s">
        <v>152</v>
      </c>
      <c r="H676" s="20">
        <v>0.36</v>
      </c>
      <c r="I676" s="39">
        <v>72.6</v>
      </c>
      <c r="J676" s="40"/>
      <c r="K676" s="41"/>
      <c r="L676" s="20"/>
      <c r="M676" s="41"/>
      <c r="N676" s="42"/>
      <c r="O676" s="43">
        <f t="shared" si="377"/>
        <v>72.6</v>
      </c>
      <c r="P676" s="45"/>
      <c r="Q676" s="45"/>
      <c r="R676" s="69">
        <f t="shared" si="371"/>
        <v>19.0854631083203</v>
      </c>
      <c r="S676" s="69"/>
      <c r="T676" s="70">
        <f t="shared" si="372"/>
        <v>0.0197802197802198</v>
      </c>
      <c r="U676" s="69"/>
      <c r="V676" s="69"/>
      <c r="W676" s="71">
        <f t="shared" si="367"/>
        <v>19.1052433281005</v>
      </c>
      <c r="X676" s="72">
        <f t="shared" si="373"/>
        <v>0.21611114599686</v>
      </c>
      <c r="Y676" s="72"/>
      <c r="Z676" s="72"/>
      <c r="AA676" s="72">
        <f t="shared" si="368"/>
        <v>0.21611114599686</v>
      </c>
      <c r="AB676" s="81">
        <v>7.11</v>
      </c>
      <c r="AC676" s="69">
        <f t="shared" si="369"/>
        <v>1.53655024803768</v>
      </c>
      <c r="AD676" s="69">
        <f t="shared" si="366"/>
        <v>20.6417935761381</v>
      </c>
      <c r="AE676" s="69">
        <f t="shared" si="370"/>
        <v>51.9582064238618</v>
      </c>
    </row>
    <row r="677" customFormat="1" spans="1:31">
      <c r="A677" s="19"/>
      <c r="B677" s="20"/>
      <c r="C677" s="21">
        <v>241018000011</v>
      </c>
      <c r="D677" s="22">
        <v>45590</v>
      </c>
      <c r="E677" s="22" t="s">
        <v>240</v>
      </c>
      <c r="F677" s="20" t="s">
        <v>241</v>
      </c>
      <c r="G677" s="20" t="s">
        <v>222</v>
      </c>
      <c r="H677" s="20">
        <v>1007.5</v>
      </c>
      <c r="I677" s="39">
        <v>63256.75</v>
      </c>
      <c r="J677" s="40"/>
      <c r="K677" s="41"/>
      <c r="L677" s="20"/>
      <c r="M677" s="41"/>
      <c r="N677" s="42"/>
      <c r="O677" s="43">
        <f t="shared" si="377"/>
        <v>63256.75</v>
      </c>
      <c r="P677" s="45"/>
      <c r="Q677" s="45"/>
      <c r="R677" s="69">
        <f t="shared" si="371"/>
        <v>53412.7891156463</v>
      </c>
      <c r="S677" s="69"/>
      <c r="T677" s="70">
        <f t="shared" si="372"/>
        <v>55.3571428571429</v>
      </c>
      <c r="U677" s="69"/>
      <c r="V677" s="69"/>
      <c r="W677" s="71">
        <f t="shared" si="367"/>
        <v>53468.1462585034</v>
      </c>
      <c r="X677" s="72">
        <f t="shared" si="373"/>
        <v>604.811054421769</v>
      </c>
      <c r="Y677" s="72"/>
      <c r="Z677" s="72"/>
      <c r="AA677" s="72">
        <f t="shared" si="368"/>
        <v>604.811054421769</v>
      </c>
      <c r="AB677" s="81">
        <v>7.11</v>
      </c>
      <c r="AC677" s="69">
        <f t="shared" si="369"/>
        <v>4300.20659693878</v>
      </c>
      <c r="AD677" s="69">
        <f t="shared" si="366"/>
        <v>57768.3528554422</v>
      </c>
      <c r="AE677" s="69">
        <f t="shared" si="370"/>
        <v>5488.39714455782</v>
      </c>
    </row>
    <row r="678" customFormat="1" spans="1:31">
      <c r="A678" s="19"/>
      <c r="B678" s="20"/>
      <c r="C678" s="21">
        <v>241018000024</v>
      </c>
      <c r="D678" s="22">
        <v>45590</v>
      </c>
      <c r="E678" s="22" t="s">
        <v>37</v>
      </c>
      <c r="F678" s="20" t="s">
        <v>38</v>
      </c>
      <c r="G678" s="20" t="s">
        <v>459</v>
      </c>
      <c r="H678" s="20">
        <v>2.5</v>
      </c>
      <c r="I678" s="50"/>
      <c r="J678" s="46">
        <v>46911</v>
      </c>
      <c r="K678" s="41"/>
      <c r="L678" s="47">
        <f t="shared" ref="L678:L683" si="378">SUM(J678/M678)</f>
        <v>1727.8453038674</v>
      </c>
      <c r="M678" s="48">
        <v>27.15</v>
      </c>
      <c r="N678" s="42">
        <v>7.11</v>
      </c>
      <c r="O678" s="43">
        <f t="shared" ref="O678:O683" si="379">SUM(M678*N678)</f>
        <v>193.0365</v>
      </c>
      <c r="P678" s="45"/>
      <c r="Q678" s="45"/>
      <c r="R678" s="69">
        <f t="shared" si="371"/>
        <v>132.537938252224</v>
      </c>
      <c r="S678" s="69"/>
      <c r="T678" s="70">
        <f t="shared" si="372"/>
        <v>0.137362637362637</v>
      </c>
      <c r="U678" s="69"/>
      <c r="V678" s="69"/>
      <c r="W678" s="71">
        <f t="shared" si="367"/>
        <v>132.675300889587</v>
      </c>
      <c r="X678" s="72">
        <f t="shared" si="373"/>
        <v>1.50077184720042</v>
      </c>
      <c r="Y678" s="72"/>
      <c r="Z678" s="72"/>
      <c r="AA678" s="72">
        <f t="shared" si="368"/>
        <v>1.50077184720042</v>
      </c>
      <c r="AB678" s="81">
        <v>7.11</v>
      </c>
      <c r="AC678" s="69">
        <f t="shared" si="369"/>
        <v>10.670487833595</v>
      </c>
      <c r="AD678" s="69">
        <f t="shared" si="366"/>
        <v>143.345788723182</v>
      </c>
      <c r="AE678" s="69">
        <f t="shared" si="370"/>
        <v>49.6907112768184</v>
      </c>
    </row>
    <row r="679" customFormat="1" spans="1:31">
      <c r="A679" s="19"/>
      <c r="B679" s="20"/>
      <c r="C679" s="21">
        <v>241018000025</v>
      </c>
      <c r="D679" s="22">
        <v>45590</v>
      </c>
      <c r="E679" s="22" t="s">
        <v>41</v>
      </c>
      <c r="F679" s="20" t="s">
        <v>42</v>
      </c>
      <c r="G679" s="20" t="s">
        <v>185</v>
      </c>
      <c r="H679" s="20">
        <v>0.24</v>
      </c>
      <c r="I679" s="50"/>
      <c r="J679" s="46">
        <v>16038</v>
      </c>
      <c r="K679" s="41"/>
      <c r="L679" s="47">
        <f t="shared" si="378"/>
        <v>1728.23275862069</v>
      </c>
      <c r="M679" s="48">
        <v>9.28</v>
      </c>
      <c r="N679" s="42">
        <v>7.11</v>
      </c>
      <c r="O679" s="43">
        <f t="shared" si="379"/>
        <v>65.9808</v>
      </c>
      <c r="P679" s="45"/>
      <c r="Q679" s="45"/>
      <c r="R679" s="69">
        <f t="shared" si="371"/>
        <v>12.7236420722135</v>
      </c>
      <c r="S679" s="69"/>
      <c r="T679" s="70">
        <f t="shared" si="372"/>
        <v>0.0131868131868132</v>
      </c>
      <c r="U679" s="69"/>
      <c r="V679" s="69"/>
      <c r="W679" s="71">
        <f t="shared" si="367"/>
        <v>12.7368288854003</v>
      </c>
      <c r="X679" s="72">
        <f t="shared" si="373"/>
        <v>0.14407409733124</v>
      </c>
      <c r="Y679" s="72"/>
      <c r="Z679" s="72"/>
      <c r="AA679" s="72">
        <f t="shared" si="368"/>
        <v>0.14407409733124</v>
      </c>
      <c r="AB679" s="81">
        <v>7.11</v>
      </c>
      <c r="AC679" s="69">
        <f t="shared" si="369"/>
        <v>1.02436683202512</v>
      </c>
      <c r="AD679" s="69">
        <f t="shared" ref="AD679:AD710" si="380">SUM(W679+AC679)</f>
        <v>13.7611957174254</v>
      </c>
      <c r="AE679" s="69">
        <f t="shared" ref="AE679:AE710" si="381">SUM(O679-AD679)</f>
        <v>52.2196042825746</v>
      </c>
    </row>
    <row r="680" customFormat="1" spans="1:31">
      <c r="A680" s="19"/>
      <c r="B680" s="20"/>
      <c r="C680" s="21">
        <v>241018000056</v>
      </c>
      <c r="D680" s="22">
        <v>45590</v>
      </c>
      <c r="E680" s="22" t="s">
        <v>66</v>
      </c>
      <c r="F680" s="20" t="s">
        <v>67</v>
      </c>
      <c r="G680" s="20" t="s">
        <v>460</v>
      </c>
      <c r="H680" s="20">
        <v>0.72</v>
      </c>
      <c r="I680" s="39">
        <v>60</v>
      </c>
      <c r="J680" s="40"/>
      <c r="K680" s="41"/>
      <c r="L680" s="20"/>
      <c r="M680" s="41"/>
      <c r="N680" s="42"/>
      <c r="O680" s="43">
        <f t="shared" ref="O680:O687" si="382">SUM(I680)</f>
        <v>60</v>
      </c>
      <c r="P680" s="45"/>
      <c r="Q680" s="45"/>
      <c r="R680" s="69">
        <f t="shared" si="371"/>
        <v>38.1709262166405</v>
      </c>
      <c r="S680" s="69"/>
      <c r="T680" s="70">
        <f t="shared" si="372"/>
        <v>0.0395604395604396</v>
      </c>
      <c r="U680" s="69"/>
      <c r="V680" s="69"/>
      <c r="W680" s="71">
        <f t="shared" si="367"/>
        <v>38.2104866562009</v>
      </c>
      <c r="X680" s="72">
        <f t="shared" si="373"/>
        <v>0.432222291993721</v>
      </c>
      <c r="Y680" s="72"/>
      <c r="Z680" s="72"/>
      <c r="AA680" s="72">
        <f t="shared" si="368"/>
        <v>0.432222291993721</v>
      </c>
      <c r="AB680" s="81">
        <v>7.11</v>
      </c>
      <c r="AC680" s="69">
        <f t="shared" si="369"/>
        <v>3.07310049607535</v>
      </c>
      <c r="AD680" s="69">
        <f t="shared" si="380"/>
        <v>41.2835871522763</v>
      </c>
      <c r="AE680" s="69">
        <f t="shared" si="381"/>
        <v>18.7164128477237</v>
      </c>
    </row>
    <row r="681" customFormat="1" spans="1:31">
      <c r="A681" s="19"/>
      <c r="B681" s="20"/>
      <c r="C681" s="21">
        <v>241018000058</v>
      </c>
      <c r="D681" s="22">
        <v>45590</v>
      </c>
      <c r="E681" s="22" t="s">
        <v>240</v>
      </c>
      <c r="F681" s="20" t="s">
        <v>241</v>
      </c>
      <c r="G681" s="20" t="s">
        <v>221</v>
      </c>
      <c r="H681" s="20">
        <v>654</v>
      </c>
      <c r="I681" s="87">
        <v>38259</v>
      </c>
      <c r="J681" s="40"/>
      <c r="K681" s="41"/>
      <c r="L681" s="20"/>
      <c r="M681" s="41"/>
      <c r="N681" s="42"/>
      <c r="O681" s="43">
        <f>SUBTOTAL(9,I681)</f>
        <v>38259</v>
      </c>
      <c r="P681" s="45"/>
      <c r="Q681" s="45"/>
      <c r="R681" s="69">
        <f t="shared" si="371"/>
        <v>34671.9246467818</v>
      </c>
      <c r="S681" s="69"/>
      <c r="T681" s="70">
        <f t="shared" si="372"/>
        <v>35.9340659340659</v>
      </c>
      <c r="U681" s="69"/>
      <c r="V681" s="69"/>
      <c r="W681" s="71">
        <f t="shared" si="367"/>
        <v>34707.8587127159</v>
      </c>
      <c r="X681" s="72">
        <f t="shared" si="373"/>
        <v>392.601915227629</v>
      </c>
      <c r="Y681" s="72"/>
      <c r="Z681" s="72"/>
      <c r="AA681" s="72">
        <f t="shared" si="368"/>
        <v>392.601915227629</v>
      </c>
      <c r="AB681" s="81">
        <v>7.11</v>
      </c>
      <c r="AC681" s="69">
        <f t="shared" ref="AC681:AC712" si="383">SUM(AA681*AB681)</f>
        <v>2791.39961726845</v>
      </c>
      <c r="AD681" s="69">
        <f t="shared" si="380"/>
        <v>37499.2583299843</v>
      </c>
      <c r="AE681" s="69">
        <f t="shared" si="381"/>
        <v>759.741670015697</v>
      </c>
    </row>
    <row r="682" customFormat="1" spans="1:31">
      <c r="A682" s="19"/>
      <c r="B682" s="20"/>
      <c r="C682" s="21">
        <v>241019000001</v>
      </c>
      <c r="D682" s="22">
        <v>45590</v>
      </c>
      <c r="E682" s="22" t="s">
        <v>66</v>
      </c>
      <c r="F682" s="20" t="s">
        <v>67</v>
      </c>
      <c r="G682" s="20" t="s">
        <v>461</v>
      </c>
      <c r="H682" s="20">
        <v>0.5</v>
      </c>
      <c r="I682" s="39">
        <v>80</v>
      </c>
      <c r="J682" s="40"/>
      <c r="K682" s="41"/>
      <c r="L682" s="20"/>
      <c r="M682" s="41"/>
      <c r="N682" s="42"/>
      <c r="O682" s="43">
        <f t="shared" si="382"/>
        <v>80</v>
      </c>
      <c r="P682" s="49"/>
      <c r="Q682" s="49"/>
      <c r="R682" s="69">
        <f t="shared" si="371"/>
        <v>26.5075876504448</v>
      </c>
      <c r="S682" s="69"/>
      <c r="T682" s="70">
        <f t="shared" si="372"/>
        <v>0.0274725274725275</v>
      </c>
      <c r="U682" s="69"/>
      <c r="V682" s="69"/>
      <c r="W682" s="71">
        <f t="shared" ref="W682:W713" si="384">SUM(R682:V682)</f>
        <v>26.5350601779173</v>
      </c>
      <c r="X682" s="72">
        <f t="shared" si="373"/>
        <v>0.300154369440084</v>
      </c>
      <c r="Y682" s="72"/>
      <c r="Z682" s="72"/>
      <c r="AA682" s="72">
        <f t="shared" ref="AA682:AA713" si="385">SUM(X682:Z682)</f>
        <v>0.300154369440084</v>
      </c>
      <c r="AB682" s="81">
        <v>7.11</v>
      </c>
      <c r="AC682" s="69">
        <f t="shared" si="383"/>
        <v>2.134097566719</v>
      </c>
      <c r="AD682" s="69">
        <f t="shared" si="380"/>
        <v>28.6691577446363</v>
      </c>
      <c r="AE682" s="69">
        <f t="shared" si="381"/>
        <v>51.3308422553637</v>
      </c>
    </row>
    <row r="683" customFormat="1" spans="1:31">
      <c r="A683" s="19" t="s">
        <v>462</v>
      </c>
      <c r="B683" s="20" t="s">
        <v>463</v>
      </c>
      <c r="C683" s="21">
        <v>241014000056</v>
      </c>
      <c r="D683" s="22">
        <v>45590</v>
      </c>
      <c r="E683" s="22" t="s">
        <v>47</v>
      </c>
      <c r="F683" s="20" t="s">
        <v>47</v>
      </c>
      <c r="G683" s="20" t="s">
        <v>464</v>
      </c>
      <c r="H683" s="20">
        <v>31.5</v>
      </c>
      <c r="I683" s="50"/>
      <c r="J683" s="46">
        <v>445905</v>
      </c>
      <c r="K683" s="41"/>
      <c r="L683" s="47">
        <f t="shared" si="378"/>
        <v>1727.7782083075</v>
      </c>
      <c r="M683" s="48">
        <v>258.08</v>
      </c>
      <c r="N683" s="42">
        <v>7.11</v>
      </c>
      <c r="O683" s="43">
        <f t="shared" si="379"/>
        <v>1834.9488</v>
      </c>
      <c r="P683" s="44">
        <f>SUM(O683:O758)</f>
        <v>148535.4022</v>
      </c>
      <c r="Q683" s="118" t="s">
        <v>465</v>
      </c>
      <c r="R683" s="69">
        <f>SUM(118408.7/2499)*H683</f>
        <v>1492.54663865546</v>
      </c>
      <c r="S683" s="69"/>
      <c r="T683" s="70">
        <f>SUM(157.75/2499)*H683</f>
        <v>1.98844537815126</v>
      </c>
      <c r="U683" s="69"/>
      <c r="V683" s="69"/>
      <c r="W683" s="71">
        <f t="shared" si="384"/>
        <v>1494.53508403361</v>
      </c>
      <c r="X683" s="72">
        <f>SUM(1690.9/2499)*H683</f>
        <v>21.3138655462185</v>
      </c>
      <c r="Y683" s="72"/>
      <c r="Z683" s="72"/>
      <c r="AA683" s="72">
        <f t="shared" si="385"/>
        <v>21.3138655462185</v>
      </c>
      <c r="AB683" s="81">
        <v>7.11</v>
      </c>
      <c r="AC683" s="69">
        <f t="shared" si="383"/>
        <v>151.541584033613</v>
      </c>
      <c r="AD683" s="69">
        <f t="shared" si="380"/>
        <v>1646.07666806723</v>
      </c>
      <c r="AE683" s="69">
        <f t="shared" si="381"/>
        <v>188.872131932773</v>
      </c>
    </row>
    <row r="684" customFormat="1" spans="1:31">
      <c r="A684" s="19"/>
      <c r="B684" s="20"/>
      <c r="C684" s="21">
        <v>241015000027</v>
      </c>
      <c r="D684" s="22">
        <v>45590</v>
      </c>
      <c r="E684" s="22" t="s">
        <v>66</v>
      </c>
      <c r="F684" s="20" t="s">
        <v>67</v>
      </c>
      <c r="G684" s="20" t="s">
        <v>228</v>
      </c>
      <c r="H684" s="20">
        <v>3</v>
      </c>
      <c r="I684" s="39">
        <v>210</v>
      </c>
      <c r="J684" s="40"/>
      <c r="K684" s="41"/>
      <c r="L684" s="20"/>
      <c r="M684" s="41"/>
      <c r="N684" s="42"/>
      <c r="O684" s="43">
        <f t="shared" si="382"/>
        <v>210</v>
      </c>
      <c r="P684" s="45"/>
      <c r="Q684" s="45"/>
      <c r="R684" s="69">
        <f t="shared" ref="R684:R715" si="386">SUM(118408.7/2499)*H684</f>
        <v>142.147298919568</v>
      </c>
      <c r="S684" s="69"/>
      <c r="T684" s="70">
        <f t="shared" ref="T684:T715" si="387">SUM(157.75/2499)*H684</f>
        <v>0.18937575030012</v>
      </c>
      <c r="U684" s="69"/>
      <c r="V684" s="69"/>
      <c r="W684" s="71">
        <f t="shared" si="384"/>
        <v>142.336674669868</v>
      </c>
      <c r="X684" s="72">
        <f t="shared" ref="X684:X715" si="388">SUM(1690.9/2499)*H684</f>
        <v>2.02989195678271</v>
      </c>
      <c r="Y684" s="72"/>
      <c r="Z684" s="72"/>
      <c r="AA684" s="72">
        <f t="shared" si="385"/>
        <v>2.02989195678271</v>
      </c>
      <c r="AB684" s="81">
        <v>7.11</v>
      </c>
      <c r="AC684" s="69">
        <f t="shared" si="383"/>
        <v>14.4325318127251</v>
      </c>
      <c r="AD684" s="69">
        <f t="shared" si="380"/>
        <v>156.769206482593</v>
      </c>
      <c r="AE684" s="69">
        <f t="shared" si="381"/>
        <v>53.230793517407</v>
      </c>
    </row>
    <row r="685" customFormat="1" spans="1:31">
      <c r="A685" s="19"/>
      <c r="B685" s="20"/>
      <c r="C685" s="21">
        <v>241016000010</v>
      </c>
      <c r="D685" s="22">
        <v>45590</v>
      </c>
      <c r="E685" s="22" t="s">
        <v>66</v>
      </c>
      <c r="F685" s="20" t="s">
        <v>67</v>
      </c>
      <c r="G685" s="20" t="s">
        <v>84</v>
      </c>
      <c r="H685" s="20">
        <v>13.5</v>
      </c>
      <c r="I685" s="39">
        <v>724.5</v>
      </c>
      <c r="J685" s="40"/>
      <c r="K685" s="41"/>
      <c r="L685" s="20"/>
      <c r="M685" s="41"/>
      <c r="N685" s="42"/>
      <c r="O685" s="43">
        <f t="shared" si="382"/>
        <v>724.5</v>
      </c>
      <c r="P685" s="45"/>
      <c r="Q685" s="45"/>
      <c r="R685" s="69">
        <f t="shared" si="386"/>
        <v>639.662845138055</v>
      </c>
      <c r="S685" s="69"/>
      <c r="T685" s="70">
        <f t="shared" si="387"/>
        <v>0.85219087635054</v>
      </c>
      <c r="U685" s="69"/>
      <c r="V685" s="69"/>
      <c r="W685" s="71">
        <f t="shared" si="384"/>
        <v>640.515036014406</v>
      </c>
      <c r="X685" s="72">
        <f t="shared" si="388"/>
        <v>9.13451380552221</v>
      </c>
      <c r="Y685" s="72"/>
      <c r="Z685" s="72"/>
      <c r="AA685" s="72">
        <f t="shared" si="385"/>
        <v>9.13451380552221</v>
      </c>
      <c r="AB685" s="81">
        <v>7.11</v>
      </c>
      <c r="AC685" s="69">
        <f t="shared" si="383"/>
        <v>64.9463931572629</v>
      </c>
      <c r="AD685" s="69">
        <f t="shared" si="380"/>
        <v>705.461429171669</v>
      </c>
      <c r="AE685" s="69">
        <f t="shared" si="381"/>
        <v>19.0385708283313</v>
      </c>
    </row>
    <row r="686" customFormat="1" spans="1:31">
      <c r="A686" s="19"/>
      <c r="B686" s="20"/>
      <c r="C686" s="21">
        <v>241017000020</v>
      </c>
      <c r="D686" s="22">
        <v>45590</v>
      </c>
      <c r="E686" s="22" t="s">
        <v>41</v>
      </c>
      <c r="F686" s="20" t="s">
        <v>42</v>
      </c>
      <c r="G686" s="20" t="s">
        <v>91</v>
      </c>
      <c r="H686" s="20">
        <v>0.1</v>
      </c>
      <c r="I686" s="39">
        <v>66</v>
      </c>
      <c r="J686" s="40"/>
      <c r="K686" s="41"/>
      <c r="L686" s="20"/>
      <c r="M686" s="41"/>
      <c r="N686" s="42"/>
      <c r="O686" s="43">
        <f t="shared" si="382"/>
        <v>66</v>
      </c>
      <c r="P686" s="45"/>
      <c r="Q686" s="45"/>
      <c r="R686" s="69">
        <f t="shared" si="386"/>
        <v>4.73824329731893</v>
      </c>
      <c r="S686" s="69"/>
      <c r="T686" s="70">
        <f t="shared" si="387"/>
        <v>0.006312525010004</v>
      </c>
      <c r="U686" s="69"/>
      <c r="V686" s="69"/>
      <c r="W686" s="71">
        <f t="shared" si="384"/>
        <v>4.74455582232893</v>
      </c>
      <c r="X686" s="72">
        <f t="shared" si="388"/>
        <v>0.0676630652260904</v>
      </c>
      <c r="Y686" s="72"/>
      <c r="Z686" s="72"/>
      <c r="AA686" s="72">
        <f t="shared" si="385"/>
        <v>0.0676630652260904</v>
      </c>
      <c r="AB686" s="81">
        <v>7.11</v>
      </c>
      <c r="AC686" s="69">
        <f t="shared" si="383"/>
        <v>0.481084393757503</v>
      </c>
      <c r="AD686" s="69">
        <f t="shared" si="380"/>
        <v>5.22564021608643</v>
      </c>
      <c r="AE686" s="69">
        <f t="shared" si="381"/>
        <v>60.7743597839136</v>
      </c>
    </row>
    <row r="687" customFormat="1" spans="1:31">
      <c r="A687" s="19"/>
      <c r="B687" s="20"/>
      <c r="C687" s="21">
        <v>241017000026</v>
      </c>
      <c r="D687" s="22">
        <v>45590</v>
      </c>
      <c r="E687" s="22" t="s">
        <v>66</v>
      </c>
      <c r="F687" s="20" t="s">
        <v>67</v>
      </c>
      <c r="G687" s="20" t="s">
        <v>84</v>
      </c>
      <c r="H687" s="20">
        <v>16</v>
      </c>
      <c r="I687" s="39">
        <v>880</v>
      </c>
      <c r="J687" s="40"/>
      <c r="K687" s="41"/>
      <c r="L687" s="20"/>
      <c r="M687" s="41"/>
      <c r="N687" s="42"/>
      <c r="O687" s="43">
        <f t="shared" si="382"/>
        <v>880</v>
      </c>
      <c r="P687" s="45"/>
      <c r="Q687" s="45"/>
      <c r="R687" s="69">
        <f t="shared" si="386"/>
        <v>758.118927571028</v>
      </c>
      <c r="S687" s="69"/>
      <c r="T687" s="70">
        <f t="shared" si="387"/>
        <v>1.01000400160064</v>
      </c>
      <c r="U687" s="69"/>
      <c r="V687" s="69"/>
      <c r="W687" s="71">
        <f t="shared" si="384"/>
        <v>759.128931572629</v>
      </c>
      <c r="X687" s="72">
        <f t="shared" si="388"/>
        <v>10.8260904361745</v>
      </c>
      <c r="Y687" s="72"/>
      <c r="Z687" s="72"/>
      <c r="AA687" s="72">
        <f t="shared" si="385"/>
        <v>10.8260904361745</v>
      </c>
      <c r="AB687" s="81">
        <v>7.11</v>
      </c>
      <c r="AC687" s="69">
        <f t="shared" si="383"/>
        <v>76.9735030012005</v>
      </c>
      <c r="AD687" s="69">
        <f t="shared" si="380"/>
        <v>836.10243457383</v>
      </c>
      <c r="AE687" s="69">
        <f t="shared" si="381"/>
        <v>43.8975654261704</v>
      </c>
    </row>
    <row r="688" customFormat="1" spans="1:31">
      <c r="A688" s="19"/>
      <c r="B688" s="20"/>
      <c r="C688" s="21">
        <v>241017000047</v>
      </c>
      <c r="D688" s="22">
        <v>45590</v>
      </c>
      <c r="E688" s="22" t="s">
        <v>66</v>
      </c>
      <c r="F688" s="20" t="s">
        <v>67</v>
      </c>
      <c r="G688" s="20" t="s">
        <v>130</v>
      </c>
      <c r="H688" s="20">
        <v>25.5</v>
      </c>
      <c r="I688" s="50"/>
      <c r="J688" s="46">
        <v>374850</v>
      </c>
      <c r="K688" s="41"/>
      <c r="L688" s="47">
        <f>SUM(J688/M688)</f>
        <v>1742.02992843201</v>
      </c>
      <c r="M688" s="48">
        <v>215.18</v>
      </c>
      <c r="N688" s="42">
        <v>7.11</v>
      </c>
      <c r="O688" s="43">
        <f>SUM(M688*N688)</f>
        <v>1529.9298</v>
      </c>
      <c r="P688" s="45"/>
      <c r="Q688" s="45"/>
      <c r="R688" s="69">
        <f t="shared" si="386"/>
        <v>1208.25204081633</v>
      </c>
      <c r="S688" s="69"/>
      <c r="T688" s="70">
        <f t="shared" si="387"/>
        <v>1.60969387755102</v>
      </c>
      <c r="U688" s="69"/>
      <c r="V688" s="69"/>
      <c r="W688" s="71">
        <f t="shared" si="384"/>
        <v>1209.86173469388</v>
      </c>
      <c r="X688" s="72">
        <f t="shared" si="388"/>
        <v>17.2540816326531</v>
      </c>
      <c r="Y688" s="72"/>
      <c r="Z688" s="72"/>
      <c r="AA688" s="72">
        <f t="shared" si="385"/>
        <v>17.2540816326531</v>
      </c>
      <c r="AB688" s="81">
        <v>7.11</v>
      </c>
      <c r="AC688" s="69">
        <f t="shared" si="383"/>
        <v>122.676520408163</v>
      </c>
      <c r="AD688" s="69">
        <f t="shared" si="380"/>
        <v>1332.53825510204</v>
      </c>
      <c r="AE688" s="69">
        <f t="shared" si="381"/>
        <v>197.391544897959</v>
      </c>
    </row>
    <row r="689" customFormat="1" spans="1:31">
      <c r="A689" s="19"/>
      <c r="B689" s="20"/>
      <c r="C689" s="21">
        <v>241017000049</v>
      </c>
      <c r="D689" s="22">
        <v>45590</v>
      </c>
      <c r="E689" s="22" t="s">
        <v>47</v>
      </c>
      <c r="F689" s="20" t="s">
        <v>47</v>
      </c>
      <c r="G689" s="20" t="s">
        <v>466</v>
      </c>
      <c r="H689" s="20">
        <v>29.5</v>
      </c>
      <c r="I689" s="39">
        <v>2845</v>
      </c>
      <c r="J689" s="40"/>
      <c r="K689" s="41"/>
      <c r="L689" s="20"/>
      <c r="M689" s="41"/>
      <c r="N689" s="42"/>
      <c r="O689" s="43">
        <f t="shared" ref="O689:O700" si="389">SUM(I689)</f>
        <v>2845</v>
      </c>
      <c r="P689" s="45"/>
      <c r="Q689" s="45"/>
      <c r="R689" s="69">
        <f t="shared" si="386"/>
        <v>1397.78177270908</v>
      </c>
      <c r="S689" s="69"/>
      <c r="T689" s="70">
        <f t="shared" si="387"/>
        <v>1.86219487795118</v>
      </c>
      <c r="U689" s="70">
        <v>100</v>
      </c>
      <c r="V689" s="69"/>
      <c r="W689" s="71">
        <f t="shared" si="384"/>
        <v>1499.64396758703</v>
      </c>
      <c r="X689" s="72">
        <f t="shared" si="388"/>
        <v>19.9606042416967</v>
      </c>
      <c r="Y689" s="72"/>
      <c r="Z689" s="72"/>
      <c r="AA689" s="72">
        <f t="shared" si="385"/>
        <v>19.9606042416967</v>
      </c>
      <c r="AB689" s="81">
        <v>7.11</v>
      </c>
      <c r="AC689" s="69">
        <f t="shared" si="383"/>
        <v>141.919896158463</v>
      </c>
      <c r="AD689" s="69">
        <f t="shared" si="380"/>
        <v>1641.5638637455</v>
      </c>
      <c r="AE689" s="69">
        <f t="shared" si="381"/>
        <v>1203.4361362545</v>
      </c>
    </row>
    <row r="690" customFormat="1" spans="1:31">
      <c r="A690" s="19"/>
      <c r="B690" s="20"/>
      <c r="C690" s="21">
        <v>241017000055</v>
      </c>
      <c r="D690" s="22">
        <v>45590</v>
      </c>
      <c r="E690" s="22" t="s">
        <v>66</v>
      </c>
      <c r="F690" s="20" t="s">
        <v>67</v>
      </c>
      <c r="G690" s="20" t="s">
        <v>467</v>
      </c>
      <c r="H690" s="20">
        <v>6</v>
      </c>
      <c r="I690" s="50"/>
      <c r="J690" s="46">
        <v>89670</v>
      </c>
      <c r="K690" s="41"/>
      <c r="L690" s="47">
        <f>SUM(J690/M690)</f>
        <v>1742.17991062755</v>
      </c>
      <c r="M690" s="48">
        <v>51.47</v>
      </c>
      <c r="N690" s="42">
        <v>7.11</v>
      </c>
      <c r="O690" s="43">
        <f>SUM(M690*N690)</f>
        <v>365.9517</v>
      </c>
      <c r="P690" s="45"/>
      <c r="Q690" s="45"/>
      <c r="R690" s="69">
        <f t="shared" si="386"/>
        <v>284.294597839136</v>
      </c>
      <c r="S690" s="69"/>
      <c r="T690" s="70">
        <f t="shared" si="387"/>
        <v>0.37875150060024</v>
      </c>
      <c r="U690" s="100"/>
      <c r="V690" s="69"/>
      <c r="W690" s="71">
        <f t="shared" si="384"/>
        <v>284.673349339736</v>
      </c>
      <c r="X690" s="72">
        <f t="shared" si="388"/>
        <v>4.05978391356543</v>
      </c>
      <c r="Y690" s="72"/>
      <c r="Z690" s="72"/>
      <c r="AA690" s="72">
        <f t="shared" si="385"/>
        <v>4.05978391356543</v>
      </c>
      <c r="AB690" s="81">
        <v>7.11</v>
      </c>
      <c r="AC690" s="69">
        <f t="shared" si="383"/>
        <v>28.8650636254502</v>
      </c>
      <c r="AD690" s="69">
        <f t="shared" si="380"/>
        <v>313.538412965186</v>
      </c>
      <c r="AE690" s="69">
        <f t="shared" si="381"/>
        <v>52.4132870348139</v>
      </c>
    </row>
    <row r="691" customFormat="1" spans="1:31">
      <c r="A691" s="19"/>
      <c r="B691" s="20"/>
      <c r="C691" s="21">
        <v>241018000006</v>
      </c>
      <c r="D691" s="22">
        <v>45590</v>
      </c>
      <c r="E691" s="22" t="s">
        <v>55</v>
      </c>
      <c r="F691" s="20" t="s">
        <v>56</v>
      </c>
      <c r="G691" s="20" t="s">
        <v>316</v>
      </c>
      <c r="H691" s="20">
        <v>36.5</v>
      </c>
      <c r="I691" s="39">
        <v>2299.5</v>
      </c>
      <c r="J691" s="40"/>
      <c r="K691" s="41"/>
      <c r="L691" s="20"/>
      <c r="M691" s="41"/>
      <c r="N691" s="42"/>
      <c r="O691" s="43">
        <f t="shared" si="389"/>
        <v>2299.5</v>
      </c>
      <c r="P691" s="45"/>
      <c r="Q691" s="45"/>
      <c r="R691" s="69">
        <f t="shared" si="386"/>
        <v>1729.45880352141</v>
      </c>
      <c r="S691" s="69"/>
      <c r="T691" s="70">
        <f t="shared" si="387"/>
        <v>2.30407162865146</v>
      </c>
      <c r="U691" s="100"/>
      <c r="V691" s="69"/>
      <c r="W691" s="71">
        <f t="shared" si="384"/>
        <v>1731.76287515006</v>
      </c>
      <c r="X691" s="72">
        <f t="shared" si="388"/>
        <v>24.697018807523</v>
      </c>
      <c r="Y691" s="72"/>
      <c r="Z691" s="72"/>
      <c r="AA691" s="72">
        <f t="shared" si="385"/>
        <v>24.697018807523</v>
      </c>
      <c r="AB691" s="81">
        <v>7.11</v>
      </c>
      <c r="AC691" s="69">
        <f t="shared" si="383"/>
        <v>175.595803721489</v>
      </c>
      <c r="AD691" s="69">
        <f t="shared" si="380"/>
        <v>1907.35867887155</v>
      </c>
      <c r="AE691" s="69">
        <f t="shared" si="381"/>
        <v>392.141321128451</v>
      </c>
    </row>
    <row r="692" customFormat="1" spans="1:31">
      <c r="A692" s="19"/>
      <c r="B692" s="20"/>
      <c r="C692" s="21">
        <v>241018000012</v>
      </c>
      <c r="D692" s="22">
        <v>45590</v>
      </c>
      <c r="E692" s="22" t="s">
        <v>37</v>
      </c>
      <c r="F692" s="20" t="s">
        <v>38</v>
      </c>
      <c r="G692" s="20" t="s">
        <v>416</v>
      </c>
      <c r="H692" s="20">
        <v>149</v>
      </c>
      <c r="I692" s="39">
        <v>8642</v>
      </c>
      <c r="J692" s="40"/>
      <c r="K692" s="41"/>
      <c r="L692" s="20"/>
      <c r="M692" s="41"/>
      <c r="N692" s="42"/>
      <c r="O692" s="43">
        <f t="shared" si="389"/>
        <v>8642</v>
      </c>
      <c r="P692" s="45"/>
      <c r="Q692" s="45"/>
      <c r="R692" s="69">
        <f t="shared" si="386"/>
        <v>7059.9825130052</v>
      </c>
      <c r="S692" s="69"/>
      <c r="T692" s="70">
        <f t="shared" si="387"/>
        <v>9.40566226490596</v>
      </c>
      <c r="U692" s="100"/>
      <c r="V692" s="69"/>
      <c r="W692" s="71">
        <f t="shared" si="384"/>
        <v>7069.38817527011</v>
      </c>
      <c r="X692" s="72">
        <f t="shared" si="388"/>
        <v>100.817967186875</v>
      </c>
      <c r="Y692" s="72"/>
      <c r="Z692" s="72"/>
      <c r="AA692" s="72">
        <f t="shared" si="385"/>
        <v>100.817967186875</v>
      </c>
      <c r="AB692" s="81">
        <v>7.11</v>
      </c>
      <c r="AC692" s="69">
        <f t="shared" si="383"/>
        <v>716.81574669868</v>
      </c>
      <c r="AD692" s="69">
        <f t="shared" si="380"/>
        <v>7786.20392196879</v>
      </c>
      <c r="AE692" s="69">
        <f t="shared" si="381"/>
        <v>855.796078031212</v>
      </c>
    </row>
    <row r="693" customFormat="1" spans="1:31">
      <c r="A693" s="19"/>
      <c r="B693" s="20"/>
      <c r="C693" s="21">
        <v>241018000017</v>
      </c>
      <c r="D693" s="22">
        <v>45590</v>
      </c>
      <c r="E693" s="22" t="s">
        <v>37</v>
      </c>
      <c r="F693" s="20" t="s">
        <v>38</v>
      </c>
      <c r="G693" s="20" t="s">
        <v>468</v>
      </c>
      <c r="H693" s="20">
        <v>24</v>
      </c>
      <c r="I693" s="39">
        <v>1442</v>
      </c>
      <c r="J693" s="40"/>
      <c r="K693" s="41"/>
      <c r="L693" s="20"/>
      <c r="M693" s="41"/>
      <c r="N693" s="42"/>
      <c r="O693" s="43">
        <f t="shared" si="389"/>
        <v>1442</v>
      </c>
      <c r="P693" s="45"/>
      <c r="Q693" s="45"/>
      <c r="R693" s="69">
        <f t="shared" si="386"/>
        <v>1137.17839135654</v>
      </c>
      <c r="S693" s="69"/>
      <c r="T693" s="70">
        <f t="shared" si="387"/>
        <v>1.51500600240096</v>
      </c>
      <c r="U693" s="100"/>
      <c r="V693" s="70">
        <f>SUM(29+21)</f>
        <v>50</v>
      </c>
      <c r="W693" s="71">
        <f t="shared" si="384"/>
        <v>1188.69339735894</v>
      </c>
      <c r="X693" s="72">
        <f t="shared" si="388"/>
        <v>16.2391356542617</v>
      </c>
      <c r="Y693" s="72"/>
      <c r="Z693" s="72"/>
      <c r="AA693" s="72">
        <f t="shared" si="385"/>
        <v>16.2391356542617</v>
      </c>
      <c r="AB693" s="81">
        <v>7.11</v>
      </c>
      <c r="AC693" s="69">
        <f t="shared" si="383"/>
        <v>115.460254501801</v>
      </c>
      <c r="AD693" s="69">
        <f t="shared" si="380"/>
        <v>1304.15365186074</v>
      </c>
      <c r="AE693" s="69">
        <f t="shared" si="381"/>
        <v>137.846348139256</v>
      </c>
    </row>
    <row r="694" customFormat="1" spans="1:31">
      <c r="A694" s="19"/>
      <c r="B694" s="20"/>
      <c r="C694" s="21">
        <v>241018000020</v>
      </c>
      <c r="D694" s="22">
        <v>45590</v>
      </c>
      <c r="E694" s="22" t="s">
        <v>47</v>
      </c>
      <c r="F694" s="20" t="s">
        <v>47</v>
      </c>
      <c r="G694" s="20" t="s">
        <v>64</v>
      </c>
      <c r="H694" s="20">
        <v>5</v>
      </c>
      <c r="I694" s="39">
        <v>318</v>
      </c>
      <c r="J694" s="40"/>
      <c r="K694" s="41"/>
      <c r="L694" s="20"/>
      <c r="M694" s="41"/>
      <c r="N694" s="42"/>
      <c r="O694" s="43">
        <f t="shared" si="389"/>
        <v>318</v>
      </c>
      <c r="P694" s="45"/>
      <c r="Q694" s="45"/>
      <c r="R694" s="69">
        <f t="shared" si="386"/>
        <v>236.912164865946</v>
      </c>
      <c r="S694" s="69"/>
      <c r="T694" s="70">
        <f t="shared" si="387"/>
        <v>0.3156262505002</v>
      </c>
      <c r="U694" s="100"/>
      <c r="V694" s="69"/>
      <c r="W694" s="71">
        <f t="shared" si="384"/>
        <v>237.227791116447</v>
      </c>
      <c r="X694" s="72">
        <f t="shared" si="388"/>
        <v>3.38315326130452</v>
      </c>
      <c r="Y694" s="72"/>
      <c r="Z694" s="72"/>
      <c r="AA694" s="72">
        <f t="shared" si="385"/>
        <v>3.38315326130452</v>
      </c>
      <c r="AB694" s="81">
        <v>7.11</v>
      </c>
      <c r="AC694" s="69">
        <f t="shared" si="383"/>
        <v>24.0542196878752</v>
      </c>
      <c r="AD694" s="69">
        <f t="shared" si="380"/>
        <v>261.282010804322</v>
      </c>
      <c r="AE694" s="69">
        <f t="shared" si="381"/>
        <v>56.7179891956783</v>
      </c>
    </row>
    <row r="695" customFormat="1" spans="1:31">
      <c r="A695" s="19"/>
      <c r="B695" s="20"/>
      <c r="C695" s="21">
        <v>241018000021</v>
      </c>
      <c r="D695" s="22">
        <v>45590</v>
      </c>
      <c r="E695" s="22" t="s">
        <v>41</v>
      </c>
      <c r="F695" s="20" t="s">
        <v>42</v>
      </c>
      <c r="G695" s="20" t="s">
        <v>469</v>
      </c>
      <c r="H695" s="20">
        <v>18</v>
      </c>
      <c r="I695" s="39">
        <v>1044</v>
      </c>
      <c r="J695" s="40"/>
      <c r="K695" s="41"/>
      <c r="L695" s="20"/>
      <c r="M695" s="41"/>
      <c r="N695" s="42"/>
      <c r="O695" s="43">
        <f t="shared" si="389"/>
        <v>1044</v>
      </c>
      <c r="P695" s="45"/>
      <c r="Q695" s="45"/>
      <c r="R695" s="69">
        <f t="shared" si="386"/>
        <v>852.883793517407</v>
      </c>
      <c r="S695" s="69"/>
      <c r="T695" s="70">
        <f t="shared" si="387"/>
        <v>1.13625450180072</v>
      </c>
      <c r="U695" s="100"/>
      <c r="V695" s="69"/>
      <c r="W695" s="71">
        <f t="shared" si="384"/>
        <v>854.020048019208</v>
      </c>
      <c r="X695" s="72">
        <f t="shared" si="388"/>
        <v>12.1793517406963</v>
      </c>
      <c r="Y695" s="72"/>
      <c r="Z695" s="72"/>
      <c r="AA695" s="72">
        <f t="shared" si="385"/>
        <v>12.1793517406963</v>
      </c>
      <c r="AB695" s="81">
        <v>7.11</v>
      </c>
      <c r="AC695" s="69">
        <f t="shared" si="383"/>
        <v>86.5951908763505</v>
      </c>
      <c r="AD695" s="69">
        <f t="shared" si="380"/>
        <v>940.615238895558</v>
      </c>
      <c r="AE695" s="69">
        <f t="shared" si="381"/>
        <v>103.384761104442</v>
      </c>
    </row>
    <row r="696" customFormat="1" spans="1:31">
      <c r="A696" s="19"/>
      <c r="B696" s="20"/>
      <c r="C696" s="21">
        <v>241018000033</v>
      </c>
      <c r="D696" s="22">
        <v>45590</v>
      </c>
      <c r="E696" s="22" t="s">
        <v>55</v>
      </c>
      <c r="F696" s="20" t="s">
        <v>56</v>
      </c>
      <c r="G696" s="20" t="s">
        <v>470</v>
      </c>
      <c r="H696" s="20">
        <v>1.5</v>
      </c>
      <c r="I696" s="39">
        <v>106.5</v>
      </c>
      <c r="J696" s="40"/>
      <c r="K696" s="41"/>
      <c r="L696" s="20"/>
      <c r="M696" s="41"/>
      <c r="N696" s="42"/>
      <c r="O696" s="43">
        <f t="shared" si="389"/>
        <v>106.5</v>
      </c>
      <c r="P696" s="45"/>
      <c r="Q696" s="45"/>
      <c r="R696" s="69">
        <f t="shared" si="386"/>
        <v>71.0736494597839</v>
      </c>
      <c r="S696" s="69"/>
      <c r="T696" s="70">
        <f t="shared" si="387"/>
        <v>0.09468787515006</v>
      </c>
      <c r="U696" s="100"/>
      <c r="V696" s="69"/>
      <c r="W696" s="71">
        <f t="shared" si="384"/>
        <v>71.168337334934</v>
      </c>
      <c r="X696" s="72">
        <f t="shared" si="388"/>
        <v>1.01494597839136</v>
      </c>
      <c r="Y696" s="72"/>
      <c r="Z696" s="72"/>
      <c r="AA696" s="72">
        <f t="shared" si="385"/>
        <v>1.01494597839136</v>
      </c>
      <c r="AB696" s="81">
        <v>7.11</v>
      </c>
      <c r="AC696" s="69">
        <f t="shared" si="383"/>
        <v>7.21626590636255</v>
      </c>
      <c r="AD696" s="69">
        <f t="shared" si="380"/>
        <v>78.3846032412965</v>
      </c>
      <c r="AE696" s="69">
        <f t="shared" si="381"/>
        <v>28.1153967587035</v>
      </c>
    </row>
    <row r="697" customFormat="1" spans="1:31">
      <c r="A697" s="19"/>
      <c r="B697" s="20"/>
      <c r="C697" s="21">
        <v>241018000034</v>
      </c>
      <c r="D697" s="22">
        <v>45590</v>
      </c>
      <c r="E697" s="22" t="s">
        <v>47</v>
      </c>
      <c r="F697" s="20" t="s">
        <v>47</v>
      </c>
      <c r="G697" s="20" t="s">
        <v>49</v>
      </c>
      <c r="H697" s="20">
        <v>4.5</v>
      </c>
      <c r="I697" s="39">
        <v>286.5</v>
      </c>
      <c r="J697" s="40"/>
      <c r="K697" s="41"/>
      <c r="L697" s="20"/>
      <c r="M697" s="41"/>
      <c r="N697" s="42"/>
      <c r="O697" s="43">
        <f t="shared" si="389"/>
        <v>286.5</v>
      </c>
      <c r="P697" s="45"/>
      <c r="Q697" s="45"/>
      <c r="R697" s="69">
        <f t="shared" si="386"/>
        <v>213.220948379352</v>
      </c>
      <c r="S697" s="69"/>
      <c r="T697" s="70">
        <f t="shared" si="387"/>
        <v>0.28406362545018</v>
      </c>
      <c r="U697" s="100"/>
      <c r="V697" s="69"/>
      <c r="W697" s="71">
        <f t="shared" si="384"/>
        <v>213.505012004802</v>
      </c>
      <c r="X697" s="72">
        <f t="shared" si="388"/>
        <v>3.04483793517407</v>
      </c>
      <c r="Y697" s="72"/>
      <c r="Z697" s="72"/>
      <c r="AA697" s="72">
        <f t="shared" si="385"/>
        <v>3.04483793517407</v>
      </c>
      <c r="AB697" s="81">
        <v>7.11</v>
      </c>
      <c r="AC697" s="69">
        <f t="shared" si="383"/>
        <v>21.6487977190876</v>
      </c>
      <c r="AD697" s="69">
        <f t="shared" si="380"/>
        <v>235.15380972389</v>
      </c>
      <c r="AE697" s="69">
        <f t="shared" si="381"/>
        <v>51.3461902761104</v>
      </c>
    </row>
    <row r="698" customFormat="1" spans="1:31">
      <c r="A698" s="19"/>
      <c r="B698" s="20"/>
      <c r="C698" s="21">
        <v>241018000042</v>
      </c>
      <c r="D698" s="22">
        <v>45590</v>
      </c>
      <c r="E698" s="22" t="s">
        <v>41</v>
      </c>
      <c r="F698" s="20" t="s">
        <v>42</v>
      </c>
      <c r="G698" s="20" t="s">
        <v>50</v>
      </c>
      <c r="H698" s="20">
        <v>0.96</v>
      </c>
      <c r="I698" s="39">
        <v>66</v>
      </c>
      <c r="J698" s="40"/>
      <c r="K698" s="41"/>
      <c r="L698" s="20"/>
      <c r="M698" s="41"/>
      <c r="N698" s="42"/>
      <c r="O698" s="43">
        <f t="shared" si="389"/>
        <v>66</v>
      </c>
      <c r="P698" s="45"/>
      <c r="Q698" s="45"/>
      <c r="R698" s="69">
        <f t="shared" si="386"/>
        <v>45.4871356542617</v>
      </c>
      <c r="S698" s="69"/>
      <c r="T698" s="70">
        <f t="shared" si="387"/>
        <v>0.0606002400960384</v>
      </c>
      <c r="U698" s="100"/>
      <c r="V698" s="69"/>
      <c r="W698" s="71">
        <f t="shared" si="384"/>
        <v>45.5477358943577</v>
      </c>
      <c r="X698" s="72">
        <f t="shared" si="388"/>
        <v>0.649565426170468</v>
      </c>
      <c r="Y698" s="72"/>
      <c r="Z698" s="72"/>
      <c r="AA698" s="72">
        <f t="shared" si="385"/>
        <v>0.649565426170468</v>
      </c>
      <c r="AB698" s="81">
        <v>7.11</v>
      </c>
      <c r="AC698" s="69">
        <f t="shared" si="383"/>
        <v>4.61841018007203</v>
      </c>
      <c r="AD698" s="69">
        <f t="shared" si="380"/>
        <v>50.1661460744298</v>
      </c>
      <c r="AE698" s="69">
        <f t="shared" si="381"/>
        <v>15.8338539255702</v>
      </c>
    </row>
    <row r="699" customFormat="1" spans="1:31">
      <c r="A699" s="19"/>
      <c r="B699" s="20"/>
      <c r="C699" s="21">
        <v>241018000043</v>
      </c>
      <c r="D699" s="22">
        <v>45590</v>
      </c>
      <c r="E699" s="22" t="s">
        <v>55</v>
      </c>
      <c r="F699" s="20" t="s">
        <v>56</v>
      </c>
      <c r="G699" s="20" t="s">
        <v>112</v>
      </c>
      <c r="H699" s="20">
        <v>15</v>
      </c>
      <c r="I699" s="39">
        <v>906</v>
      </c>
      <c r="J699" s="40"/>
      <c r="K699" s="41"/>
      <c r="L699" s="20"/>
      <c r="M699" s="41"/>
      <c r="N699" s="42"/>
      <c r="O699" s="43">
        <f t="shared" si="389"/>
        <v>906</v>
      </c>
      <c r="P699" s="45"/>
      <c r="Q699" s="45"/>
      <c r="R699" s="69">
        <f t="shared" si="386"/>
        <v>710.736494597839</v>
      </c>
      <c r="S699" s="69"/>
      <c r="T699" s="70">
        <f t="shared" si="387"/>
        <v>0.9468787515006</v>
      </c>
      <c r="U699" s="100"/>
      <c r="V699" s="69"/>
      <c r="W699" s="71">
        <f t="shared" si="384"/>
        <v>711.68337334934</v>
      </c>
      <c r="X699" s="72">
        <f t="shared" si="388"/>
        <v>10.1494597839136</v>
      </c>
      <c r="Y699" s="72"/>
      <c r="Z699" s="72"/>
      <c r="AA699" s="72">
        <f t="shared" si="385"/>
        <v>10.1494597839136</v>
      </c>
      <c r="AB699" s="81">
        <v>7.11</v>
      </c>
      <c r="AC699" s="69">
        <f t="shared" si="383"/>
        <v>72.1626590636255</v>
      </c>
      <c r="AD699" s="69">
        <f t="shared" si="380"/>
        <v>783.846032412965</v>
      </c>
      <c r="AE699" s="69">
        <f t="shared" si="381"/>
        <v>122.153967587035</v>
      </c>
    </row>
    <row r="700" customFormat="1" spans="1:31">
      <c r="A700" s="19"/>
      <c r="B700" s="20"/>
      <c r="C700" s="21">
        <v>241018000044</v>
      </c>
      <c r="D700" s="22">
        <v>45590</v>
      </c>
      <c r="E700" s="22" t="s">
        <v>37</v>
      </c>
      <c r="F700" s="20" t="s">
        <v>38</v>
      </c>
      <c r="G700" s="20" t="s">
        <v>471</v>
      </c>
      <c r="H700" s="20">
        <v>2</v>
      </c>
      <c r="I700" s="39">
        <v>174</v>
      </c>
      <c r="J700" s="40"/>
      <c r="K700" s="41"/>
      <c r="L700" s="20"/>
      <c r="M700" s="41"/>
      <c r="N700" s="42"/>
      <c r="O700" s="43">
        <f t="shared" si="389"/>
        <v>174</v>
      </c>
      <c r="P700" s="45"/>
      <c r="Q700" s="45"/>
      <c r="R700" s="69">
        <f t="shared" si="386"/>
        <v>94.7648659463785</v>
      </c>
      <c r="S700" s="69"/>
      <c r="T700" s="70">
        <f t="shared" si="387"/>
        <v>0.12625050020008</v>
      </c>
      <c r="U700" s="100"/>
      <c r="V700" s="69"/>
      <c r="W700" s="71">
        <f t="shared" si="384"/>
        <v>94.8911164465786</v>
      </c>
      <c r="X700" s="72">
        <f t="shared" si="388"/>
        <v>1.35326130452181</v>
      </c>
      <c r="Y700" s="72"/>
      <c r="Z700" s="72"/>
      <c r="AA700" s="72">
        <f t="shared" si="385"/>
        <v>1.35326130452181</v>
      </c>
      <c r="AB700" s="81">
        <v>7.11</v>
      </c>
      <c r="AC700" s="69">
        <f t="shared" si="383"/>
        <v>9.62168787515006</v>
      </c>
      <c r="AD700" s="69">
        <f t="shared" si="380"/>
        <v>104.512804321729</v>
      </c>
      <c r="AE700" s="69">
        <f t="shared" si="381"/>
        <v>69.4871956782713</v>
      </c>
    </row>
    <row r="701" customFormat="1" spans="1:31">
      <c r="A701" s="19"/>
      <c r="B701" s="20"/>
      <c r="C701" s="21">
        <v>241018000049</v>
      </c>
      <c r="D701" s="22">
        <v>45590</v>
      </c>
      <c r="E701" s="22" t="s">
        <v>55</v>
      </c>
      <c r="F701" s="20" t="s">
        <v>56</v>
      </c>
      <c r="G701" s="20" t="s">
        <v>72</v>
      </c>
      <c r="H701" s="20">
        <v>16.5</v>
      </c>
      <c r="I701" s="50"/>
      <c r="J701" s="46">
        <v>244020</v>
      </c>
      <c r="K701" s="41"/>
      <c r="L701" s="47">
        <f>SUM(J701/M701)</f>
        <v>1742.00456881782</v>
      </c>
      <c r="M701" s="48">
        <v>140.08</v>
      </c>
      <c r="N701" s="42">
        <v>7.11</v>
      </c>
      <c r="O701" s="43">
        <f>SUM(M701*N701)</f>
        <v>995.9688</v>
      </c>
      <c r="P701" s="45"/>
      <c r="Q701" s="45"/>
      <c r="R701" s="69">
        <f t="shared" si="386"/>
        <v>781.810144057623</v>
      </c>
      <c r="S701" s="69"/>
      <c r="T701" s="70">
        <f t="shared" si="387"/>
        <v>1.04156662665066</v>
      </c>
      <c r="U701" s="100"/>
      <c r="V701" s="69"/>
      <c r="W701" s="71">
        <f t="shared" si="384"/>
        <v>782.851710684274</v>
      </c>
      <c r="X701" s="72">
        <f t="shared" si="388"/>
        <v>11.1644057623049</v>
      </c>
      <c r="Y701" s="72"/>
      <c r="Z701" s="72"/>
      <c r="AA701" s="72">
        <f t="shared" si="385"/>
        <v>11.1644057623049</v>
      </c>
      <c r="AB701" s="81">
        <v>7.11</v>
      </c>
      <c r="AC701" s="69">
        <f t="shared" si="383"/>
        <v>79.378924969988</v>
      </c>
      <c r="AD701" s="69">
        <f t="shared" si="380"/>
        <v>862.230635654262</v>
      </c>
      <c r="AE701" s="69">
        <f t="shared" si="381"/>
        <v>133.738164345738</v>
      </c>
    </row>
    <row r="702" customFormat="1" spans="1:31">
      <c r="A702" s="19"/>
      <c r="B702" s="20"/>
      <c r="C702" s="21">
        <v>241018000051</v>
      </c>
      <c r="D702" s="22">
        <v>45590</v>
      </c>
      <c r="E702" s="22" t="s">
        <v>41</v>
      </c>
      <c r="F702" s="20" t="s">
        <v>42</v>
      </c>
      <c r="G702" s="20" t="s">
        <v>472</v>
      </c>
      <c r="H702" s="20">
        <v>3</v>
      </c>
      <c r="I702" s="39">
        <v>192</v>
      </c>
      <c r="J702" s="40"/>
      <c r="K702" s="41"/>
      <c r="L702" s="20"/>
      <c r="M702" s="41"/>
      <c r="N702" s="42"/>
      <c r="O702" s="43">
        <f t="shared" ref="O702:O706" si="390">SUM(I702)</f>
        <v>192</v>
      </c>
      <c r="P702" s="45"/>
      <c r="Q702" s="45"/>
      <c r="R702" s="69">
        <f t="shared" si="386"/>
        <v>142.147298919568</v>
      </c>
      <c r="S702" s="69"/>
      <c r="T702" s="70">
        <f t="shared" si="387"/>
        <v>0.18937575030012</v>
      </c>
      <c r="U702" s="100"/>
      <c r="V702" s="69"/>
      <c r="W702" s="71">
        <f t="shared" si="384"/>
        <v>142.336674669868</v>
      </c>
      <c r="X702" s="72">
        <f t="shared" si="388"/>
        <v>2.02989195678271</v>
      </c>
      <c r="Y702" s="72"/>
      <c r="Z702" s="72"/>
      <c r="AA702" s="72">
        <f t="shared" si="385"/>
        <v>2.02989195678271</v>
      </c>
      <c r="AB702" s="81">
        <v>7.11</v>
      </c>
      <c r="AC702" s="69">
        <f t="shared" si="383"/>
        <v>14.4325318127251</v>
      </c>
      <c r="AD702" s="69">
        <f t="shared" si="380"/>
        <v>156.769206482593</v>
      </c>
      <c r="AE702" s="69">
        <f t="shared" si="381"/>
        <v>35.230793517407</v>
      </c>
    </row>
    <row r="703" customFormat="1" spans="1:31">
      <c r="A703" s="19"/>
      <c r="B703" s="20"/>
      <c r="C703" s="21">
        <v>241018000054</v>
      </c>
      <c r="D703" s="22">
        <v>45590</v>
      </c>
      <c r="E703" s="22" t="s">
        <v>41</v>
      </c>
      <c r="F703" s="20" t="s">
        <v>42</v>
      </c>
      <c r="G703" s="20" t="s">
        <v>473</v>
      </c>
      <c r="H703" s="20">
        <v>3</v>
      </c>
      <c r="I703" s="39">
        <v>210</v>
      </c>
      <c r="J703" s="40"/>
      <c r="K703" s="41"/>
      <c r="L703" s="20"/>
      <c r="M703" s="41"/>
      <c r="N703" s="42"/>
      <c r="O703" s="43">
        <f t="shared" si="390"/>
        <v>210</v>
      </c>
      <c r="P703" s="45"/>
      <c r="Q703" s="45"/>
      <c r="R703" s="69">
        <f t="shared" si="386"/>
        <v>142.147298919568</v>
      </c>
      <c r="S703" s="69"/>
      <c r="T703" s="70">
        <f t="shared" si="387"/>
        <v>0.18937575030012</v>
      </c>
      <c r="U703" s="100"/>
      <c r="V703" s="69"/>
      <c r="W703" s="71">
        <f t="shared" si="384"/>
        <v>142.336674669868</v>
      </c>
      <c r="X703" s="72">
        <f t="shared" si="388"/>
        <v>2.02989195678271</v>
      </c>
      <c r="Y703" s="72"/>
      <c r="Z703" s="72"/>
      <c r="AA703" s="72">
        <f t="shared" si="385"/>
        <v>2.02989195678271</v>
      </c>
      <c r="AB703" s="81">
        <v>7.11</v>
      </c>
      <c r="AC703" s="69">
        <f t="shared" si="383"/>
        <v>14.4325318127251</v>
      </c>
      <c r="AD703" s="69">
        <f t="shared" si="380"/>
        <v>156.769206482593</v>
      </c>
      <c r="AE703" s="69">
        <f t="shared" si="381"/>
        <v>53.230793517407</v>
      </c>
    </row>
    <row r="704" customFormat="1" spans="1:31">
      <c r="A704" s="19"/>
      <c r="B704" s="20"/>
      <c r="C704" s="82">
        <v>241019000011</v>
      </c>
      <c r="D704" s="83">
        <v>45590</v>
      </c>
      <c r="E704" s="22" t="s">
        <v>41</v>
      </c>
      <c r="F704" s="84" t="s">
        <v>42</v>
      </c>
      <c r="G704" s="84" t="s">
        <v>283</v>
      </c>
      <c r="H704" s="84">
        <v>2</v>
      </c>
      <c r="I704" s="50"/>
      <c r="J704" s="47">
        <v>32108</v>
      </c>
      <c r="K704" s="85"/>
      <c r="L704" s="47">
        <f>SUM(J704/M704)</f>
        <v>1745</v>
      </c>
      <c r="M704" s="86">
        <v>18.4</v>
      </c>
      <c r="N704" s="42">
        <v>7.11</v>
      </c>
      <c r="O704" s="43">
        <f>SUM(M704*N704)</f>
        <v>130.824</v>
      </c>
      <c r="P704" s="45"/>
      <c r="Q704" s="45"/>
      <c r="R704" s="69">
        <f t="shared" si="386"/>
        <v>94.7648659463785</v>
      </c>
      <c r="S704" s="69"/>
      <c r="T704" s="70">
        <f t="shared" si="387"/>
        <v>0.12625050020008</v>
      </c>
      <c r="U704" s="100"/>
      <c r="V704" s="69"/>
      <c r="W704" s="71">
        <f t="shared" si="384"/>
        <v>94.8911164465786</v>
      </c>
      <c r="X704" s="72">
        <f t="shared" si="388"/>
        <v>1.35326130452181</v>
      </c>
      <c r="Y704" s="72"/>
      <c r="Z704" s="72"/>
      <c r="AA704" s="72">
        <f t="shared" si="385"/>
        <v>1.35326130452181</v>
      </c>
      <c r="AB704" s="81">
        <v>7.11</v>
      </c>
      <c r="AC704" s="69">
        <f t="shared" si="383"/>
        <v>9.62168787515006</v>
      </c>
      <c r="AD704" s="69">
        <f t="shared" si="380"/>
        <v>104.512804321729</v>
      </c>
      <c r="AE704" s="69">
        <f t="shared" si="381"/>
        <v>26.3111956782713</v>
      </c>
    </row>
    <row r="705" customFormat="1" spans="1:31">
      <c r="A705" s="19"/>
      <c r="B705" s="20"/>
      <c r="C705" s="21">
        <v>241019000013</v>
      </c>
      <c r="D705" s="22">
        <v>45590</v>
      </c>
      <c r="E705" s="22" t="s">
        <v>55</v>
      </c>
      <c r="F705" s="20" t="s">
        <v>56</v>
      </c>
      <c r="G705" s="20" t="s">
        <v>316</v>
      </c>
      <c r="H705" s="20">
        <v>78</v>
      </c>
      <c r="I705" s="39">
        <v>5070</v>
      </c>
      <c r="J705" s="40"/>
      <c r="K705" s="41"/>
      <c r="L705" s="20"/>
      <c r="M705" s="41"/>
      <c r="N705" s="42"/>
      <c r="O705" s="43">
        <f t="shared" si="390"/>
        <v>5070</v>
      </c>
      <c r="P705" s="45"/>
      <c r="Q705" s="45"/>
      <c r="R705" s="69">
        <f t="shared" si="386"/>
        <v>3695.82977190876</v>
      </c>
      <c r="S705" s="69"/>
      <c r="T705" s="70">
        <f t="shared" si="387"/>
        <v>4.92376950780312</v>
      </c>
      <c r="U705" s="100"/>
      <c r="V705" s="69"/>
      <c r="W705" s="71">
        <f t="shared" si="384"/>
        <v>3700.75354141657</v>
      </c>
      <c r="X705" s="72">
        <f t="shared" si="388"/>
        <v>52.7771908763505</v>
      </c>
      <c r="Y705" s="72"/>
      <c r="Z705" s="72"/>
      <c r="AA705" s="72">
        <f t="shared" si="385"/>
        <v>52.7771908763505</v>
      </c>
      <c r="AB705" s="81">
        <v>7.11</v>
      </c>
      <c r="AC705" s="69">
        <f t="shared" si="383"/>
        <v>375.245827130852</v>
      </c>
      <c r="AD705" s="69">
        <f t="shared" si="380"/>
        <v>4075.99936854742</v>
      </c>
      <c r="AE705" s="69">
        <f t="shared" si="381"/>
        <v>994.000631452581</v>
      </c>
    </row>
    <row r="706" customFormat="1" spans="1:31">
      <c r="A706" s="19"/>
      <c r="B706" s="20"/>
      <c r="C706" s="21">
        <v>241021000001</v>
      </c>
      <c r="D706" s="22">
        <v>45590</v>
      </c>
      <c r="E706" s="22" t="s">
        <v>66</v>
      </c>
      <c r="F706" s="20" t="s">
        <v>67</v>
      </c>
      <c r="G706" s="20" t="s">
        <v>474</v>
      </c>
      <c r="H706" s="20">
        <v>1.5</v>
      </c>
      <c r="I706" s="39">
        <v>82.5</v>
      </c>
      <c r="J706" s="40"/>
      <c r="K706" s="41"/>
      <c r="L706" s="20"/>
      <c r="M706" s="41"/>
      <c r="N706" s="42"/>
      <c r="O706" s="43">
        <f t="shared" si="390"/>
        <v>82.5</v>
      </c>
      <c r="P706" s="45"/>
      <c r="Q706" s="45"/>
      <c r="R706" s="69">
        <f t="shared" si="386"/>
        <v>71.0736494597839</v>
      </c>
      <c r="S706" s="69"/>
      <c r="T706" s="70">
        <f t="shared" si="387"/>
        <v>0.09468787515006</v>
      </c>
      <c r="U706" s="100"/>
      <c r="V706" s="69"/>
      <c r="W706" s="71">
        <f t="shared" si="384"/>
        <v>71.168337334934</v>
      </c>
      <c r="X706" s="72">
        <f t="shared" si="388"/>
        <v>1.01494597839136</v>
      </c>
      <c r="Y706" s="72"/>
      <c r="Z706" s="72"/>
      <c r="AA706" s="72">
        <f t="shared" si="385"/>
        <v>1.01494597839136</v>
      </c>
      <c r="AB706" s="81">
        <v>7.11</v>
      </c>
      <c r="AC706" s="69">
        <f t="shared" si="383"/>
        <v>7.21626590636255</v>
      </c>
      <c r="AD706" s="69">
        <f t="shared" si="380"/>
        <v>78.3846032412965</v>
      </c>
      <c r="AE706" s="69">
        <f t="shared" si="381"/>
        <v>4.11539675870348</v>
      </c>
    </row>
    <row r="707" customFormat="1" spans="1:31">
      <c r="A707" s="19"/>
      <c r="B707" s="20"/>
      <c r="C707" s="21">
        <v>241021000003</v>
      </c>
      <c r="D707" s="22">
        <v>45590</v>
      </c>
      <c r="E707" s="22" t="s">
        <v>66</v>
      </c>
      <c r="F707" s="20" t="s">
        <v>67</v>
      </c>
      <c r="G707" s="20" t="s">
        <v>124</v>
      </c>
      <c r="H707" s="20">
        <v>5</v>
      </c>
      <c r="I707" s="50"/>
      <c r="J707" s="46">
        <v>67375</v>
      </c>
      <c r="K707" s="41"/>
      <c r="L707" s="47">
        <f>SUM(J707/M707)</f>
        <v>1742.30669769847</v>
      </c>
      <c r="M707" s="48">
        <v>38.67</v>
      </c>
      <c r="N707" s="42">
        <v>7.11</v>
      </c>
      <c r="O707" s="43">
        <f>SUM(M707*N707)</f>
        <v>274.9437</v>
      </c>
      <c r="P707" s="45"/>
      <c r="Q707" s="45"/>
      <c r="R707" s="69">
        <f t="shared" si="386"/>
        <v>236.912164865946</v>
      </c>
      <c r="S707" s="69"/>
      <c r="T707" s="70">
        <f t="shared" si="387"/>
        <v>0.3156262505002</v>
      </c>
      <c r="U707" s="100"/>
      <c r="V707" s="69"/>
      <c r="W707" s="71">
        <f t="shared" si="384"/>
        <v>237.227791116447</v>
      </c>
      <c r="X707" s="72">
        <f t="shared" si="388"/>
        <v>3.38315326130452</v>
      </c>
      <c r="Y707" s="72"/>
      <c r="Z707" s="72"/>
      <c r="AA707" s="72">
        <f t="shared" si="385"/>
        <v>3.38315326130452</v>
      </c>
      <c r="AB707" s="81">
        <v>7.11</v>
      </c>
      <c r="AC707" s="69">
        <f t="shared" si="383"/>
        <v>24.0542196878752</v>
      </c>
      <c r="AD707" s="69">
        <f t="shared" si="380"/>
        <v>261.282010804322</v>
      </c>
      <c r="AE707" s="69">
        <f t="shared" si="381"/>
        <v>13.6616891956783</v>
      </c>
    </row>
    <row r="708" customFormat="1" spans="1:31">
      <c r="A708" s="19"/>
      <c r="B708" s="20"/>
      <c r="C708" s="21">
        <v>241021000007</v>
      </c>
      <c r="D708" s="22">
        <v>45590</v>
      </c>
      <c r="E708" s="22" t="s">
        <v>66</v>
      </c>
      <c r="F708" s="20" t="s">
        <v>67</v>
      </c>
      <c r="G708" s="20" t="s">
        <v>262</v>
      </c>
      <c r="H708" s="20">
        <v>12</v>
      </c>
      <c r="I708" s="39">
        <v>798</v>
      </c>
      <c r="J708" s="40"/>
      <c r="K708" s="41"/>
      <c r="L708" s="20"/>
      <c r="M708" s="41"/>
      <c r="N708" s="42"/>
      <c r="O708" s="43">
        <f t="shared" ref="O708:O715" si="391">SUM(I708)</f>
        <v>798</v>
      </c>
      <c r="P708" s="45"/>
      <c r="Q708" s="45"/>
      <c r="R708" s="69">
        <f t="shared" si="386"/>
        <v>568.589195678271</v>
      </c>
      <c r="S708" s="69"/>
      <c r="T708" s="70">
        <f t="shared" si="387"/>
        <v>0.75750300120048</v>
      </c>
      <c r="U708" s="100"/>
      <c r="V708" s="70">
        <v>102</v>
      </c>
      <c r="W708" s="71">
        <f t="shared" si="384"/>
        <v>671.346698679472</v>
      </c>
      <c r="X708" s="72">
        <f t="shared" si="388"/>
        <v>8.11956782713085</v>
      </c>
      <c r="Y708" s="72"/>
      <c r="Z708" s="72"/>
      <c r="AA708" s="72">
        <f t="shared" si="385"/>
        <v>8.11956782713085</v>
      </c>
      <c r="AB708" s="81">
        <v>7.11</v>
      </c>
      <c r="AC708" s="69">
        <f t="shared" si="383"/>
        <v>57.7301272509004</v>
      </c>
      <c r="AD708" s="69">
        <f t="shared" si="380"/>
        <v>729.076825930372</v>
      </c>
      <c r="AE708" s="69">
        <f t="shared" si="381"/>
        <v>68.9231740696279</v>
      </c>
    </row>
    <row r="709" customFormat="1" spans="1:31">
      <c r="A709" s="19"/>
      <c r="B709" s="20"/>
      <c r="C709" s="21">
        <v>241021000008</v>
      </c>
      <c r="D709" s="22">
        <v>45590</v>
      </c>
      <c r="E709" s="22" t="s">
        <v>66</v>
      </c>
      <c r="F709" s="20" t="s">
        <v>67</v>
      </c>
      <c r="G709" s="20" t="s">
        <v>83</v>
      </c>
      <c r="H709" s="20">
        <v>12</v>
      </c>
      <c r="I709" s="39">
        <v>726</v>
      </c>
      <c r="J709" s="40"/>
      <c r="K709" s="41"/>
      <c r="L709" s="20"/>
      <c r="M709" s="41"/>
      <c r="N709" s="42"/>
      <c r="O709" s="43">
        <f t="shared" si="391"/>
        <v>726</v>
      </c>
      <c r="P709" s="45"/>
      <c r="Q709" s="45"/>
      <c r="R709" s="69">
        <f t="shared" si="386"/>
        <v>568.589195678271</v>
      </c>
      <c r="S709" s="69"/>
      <c r="T709" s="70">
        <f t="shared" si="387"/>
        <v>0.75750300120048</v>
      </c>
      <c r="U709" s="100"/>
      <c r="V709" s="69"/>
      <c r="W709" s="71">
        <f t="shared" si="384"/>
        <v>569.346698679472</v>
      </c>
      <c r="X709" s="72">
        <f t="shared" si="388"/>
        <v>8.11956782713085</v>
      </c>
      <c r="Y709" s="72"/>
      <c r="Z709" s="72"/>
      <c r="AA709" s="72">
        <f t="shared" si="385"/>
        <v>8.11956782713085</v>
      </c>
      <c r="AB709" s="81">
        <v>7.11</v>
      </c>
      <c r="AC709" s="69">
        <f t="shared" si="383"/>
        <v>57.7301272509004</v>
      </c>
      <c r="AD709" s="69">
        <f t="shared" si="380"/>
        <v>627.076825930372</v>
      </c>
      <c r="AE709" s="69">
        <f t="shared" si="381"/>
        <v>98.9231740696279</v>
      </c>
    </row>
    <row r="710" customFormat="1" spans="1:31">
      <c r="A710" s="19"/>
      <c r="B710" s="20"/>
      <c r="C710" s="21">
        <v>241021000011</v>
      </c>
      <c r="D710" s="22">
        <v>45590</v>
      </c>
      <c r="E710" s="22" t="s">
        <v>66</v>
      </c>
      <c r="F710" s="20" t="s">
        <v>67</v>
      </c>
      <c r="G710" s="20" t="s">
        <v>475</v>
      </c>
      <c r="H710" s="20">
        <v>4</v>
      </c>
      <c r="I710" s="39">
        <v>232</v>
      </c>
      <c r="J710" s="40"/>
      <c r="K710" s="41"/>
      <c r="L710" s="20"/>
      <c r="M710" s="41"/>
      <c r="N710" s="42"/>
      <c r="O710" s="43">
        <f t="shared" si="391"/>
        <v>232</v>
      </c>
      <c r="P710" s="45"/>
      <c r="Q710" s="45"/>
      <c r="R710" s="69">
        <f t="shared" si="386"/>
        <v>189.529731892757</v>
      </c>
      <c r="S710" s="69"/>
      <c r="T710" s="70">
        <f t="shared" si="387"/>
        <v>0.25250100040016</v>
      </c>
      <c r="U710" s="100"/>
      <c r="V710" s="69"/>
      <c r="W710" s="71">
        <f t="shared" si="384"/>
        <v>189.782232893157</v>
      </c>
      <c r="X710" s="72">
        <f t="shared" si="388"/>
        <v>2.70652260904362</v>
      </c>
      <c r="Y710" s="72"/>
      <c r="Z710" s="72"/>
      <c r="AA710" s="72">
        <f t="shared" si="385"/>
        <v>2.70652260904362</v>
      </c>
      <c r="AB710" s="81">
        <v>7.11</v>
      </c>
      <c r="AC710" s="69">
        <f t="shared" si="383"/>
        <v>19.2433757503001</v>
      </c>
      <c r="AD710" s="69">
        <f t="shared" si="380"/>
        <v>209.025608643457</v>
      </c>
      <c r="AE710" s="69">
        <f t="shared" si="381"/>
        <v>22.9743913565426</v>
      </c>
    </row>
    <row r="711" customFormat="1" spans="1:31">
      <c r="A711" s="19"/>
      <c r="B711" s="20"/>
      <c r="C711" s="21">
        <v>241021000015</v>
      </c>
      <c r="D711" s="22">
        <v>45590</v>
      </c>
      <c r="E711" s="22" t="s">
        <v>66</v>
      </c>
      <c r="F711" s="20" t="s">
        <v>67</v>
      </c>
      <c r="G711" s="20" t="s">
        <v>84</v>
      </c>
      <c r="H711" s="20">
        <v>6.5</v>
      </c>
      <c r="I711" s="39">
        <v>357.5</v>
      </c>
      <c r="J711" s="40"/>
      <c r="K711" s="41"/>
      <c r="L711" s="20"/>
      <c r="M711" s="41"/>
      <c r="N711" s="42"/>
      <c r="O711" s="43">
        <f t="shared" si="391"/>
        <v>357.5</v>
      </c>
      <c r="P711" s="45"/>
      <c r="Q711" s="45"/>
      <c r="R711" s="69">
        <f t="shared" si="386"/>
        <v>307.98581432573</v>
      </c>
      <c r="S711" s="69"/>
      <c r="T711" s="70">
        <f t="shared" si="387"/>
        <v>0.41031412565026</v>
      </c>
      <c r="U711" s="100"/>
      <c r="V711" s="69"/>
      <c r="W711" s="71">
        <f t="shared" si="384"/>
        <v>308.396128451381</v>
      </c>
      <c r="X711" s="72">
        <f t="shared" si="388"/>
        <v>4.39809923969588</v>
      </c>
      <c r="Y711" s="72"/>
      <c r="Z711" s="72"/>
      <c r="AA711" s="72">
        <f t="shared" si="385"/>
        <v>4.39809923969588</v>
      </c>
      <c r="AB711" s="81">
        <v>7.11</v>
      </c>
      <c r="AC711" s="69">
        <f t="shared" si="383"/>
        <v>31.2704855942377</v>
      </c>
      <c r="AD711" s="69">
        <f t="shared" ref="AD711:AD742" si="392">SUM(W711+AC711)</f>
        <v>339.666614045618</v>
      </c>
      <c r="AE711" s="69">
        <f t="shared" ref="AE711:AE742" si="393">SUM(O711-AD711)</f>
        <v>17.8333859543818</v>
      </c>
    </row>
    <row r="712" customFormat="1" spans="1:31">
      <c r="A712" s="19"/>
      <c r="B712" s="20"/>
      <c r="C712" s="21">
        <v>241021000021</v>
      </c>
      <c r="D712" s="22">
        <v>45590</v>
      </c>
      <c r="E712" s="22" t="s">
        <v>41</v>
      </c>
      <c r="F712" s="20" t="s">
        <v>42</v>
      </c>
      <c r="G712" s="20" t="s">
        <v>476</v>
      </c>
      <c r="H712" s="20">
        <v>4.5</v>
      </c>
      <c r="I712" s="39">
        <v>286</v>
      </c>
      <c r="J712" s="40"/>
      <c r="K712" s="41"/>
      <c r="L712" s="20"/>
      <c r="M712" s="41"/>
      <c r="N712" s="42"/>
      <c r="O712" s="43">
        <f t="shared" si="391"/>
        <v>286</v>
      </c>
      <c r="P712" s="45"/>
      <c r="Q712" s="45"/>
      <c r="R712" s="69">
        <f t="shared" si="386"/>
        <v>213.220948379352</v>
      </c>
      <c r="S712" s="69"/>
      <c r="T712" s="70">
        <f t="shared" si="387"/>
        <v>0.28406362545018</v>
      </c>
      <c r="U712" s="100"/>
      <c r="V712" s="69"/>
      <c r="W712" s="71">
        <f t="shared" si="384"/>
        <v>213.505012004802</v>
      </c>
      <c r="X712" s="72">
        <f t="shared" si="388"/>
        <v>3.04483793517407</v>
      </c>
      <c r="Y712" s="72"/>
      <c r="Z712" s="72"/>
      <c r="AA712" s="72">
        <f t="shared" si="385"/>
        <v>3.04483793517407</v>
      </c>
      <c r="AB712" s="81">
        <v>7.11</v>
      </c>
      <c r="AC712" s="69">
        <f t="shared" si="383"/>
        <v>21.6487977190876</v>
      </c>
      <c r="AD712" s="69">
        <f t="shared" si="392"/>
        <v>235.15380972389</v>
      </c>
      <c r="AE712" s="69">
        <f t="shared" si="393"/>
        <v>50.8461902761104</v>
      </c>
    </row>
    <row r="713" customFormat="1" spans="1:31">
      <c r="A713" s="19"/>
      <c r="B713" s="20"/>
      <c r="C713" s="21">
        <v>241021000026</v>
      </c>
      <c r="D713" s="22">
        <v>45590</v>
      </c>
      <c r="E713" s="22" t="s">
        <v>66</v>
      </c>
      <c r="F713" s="20" t="s">
        <v>67</v>
      </c>
      <c r="G713" s="20" t="s">
        <v>477</v>
      </c>
      <c r="H713" s="20">
        <v>7.5</v>
      </c>
      <c r="I713" s="39">
        <v>412.5</v>
      </c>
      <c r="J713" s="40"/>
      <c r="K713" s="41"/>
      <c r="L713" s="20"/>
      <c r="M713" s="41"/>
      <c r="N713" s="42"/>
      <c r="O713" s="43">
        <f t="shared" si="391"/>
        <v>412.5</v>
      </c>
      <c r="P713" s="45"/>
      <c r="Q713" s="45"/>
      <c r="R713" s="69">
        <f t="shared" si="386"/>
        <v>355.36824729892</v>
      </c>
      <c r="S713" s="69"/>
      <c r="T713" s="70">
        <f t="shared" si="387"/>
        <v>0.4734393757503</v>
      </c>
      <c r="U713" s="100"/>
      <c r="V713" s="69"/>
      <c r="W713" s="71">
        <f t="shared" si="384"/>
        <v>355.84168667467</v>
      </c>
      <c r="X713" s="72">
        <f t="shared" si="388"/>
        <v>5.07472989195678</v>
      </c>
      <c r="Y713" s="72"/>
      <c r="Z713" s="72"/>
      <c r="AA713" s="72">
        <f t="shared" si="385"/>
        <v>5.07472989195678</v>
      </c>
      <c r="AB713" s="81">
        <v>7.11</v>
      </c>
      <c r="AC713" s="69">
        <f t="shared" ref="AC713:AC757" si="394">SUM(AA713*AB713)</f>
        <v>36.0813295318127</v>
      </c>
      <c r="AD713" s="69">
        <f t="shared" si="392"/>
        <v>391.923016206483</v>
      </c>
      <c r="AE713" s="69">
        <f t="shared" si="393"/>
        <v>20.5769837935174</v>
      </c>
    </row>
    <row r="714" customFormat="1" spans="1:31">
      <c r="A714" s="19"/>
      <c r="B714" s="20"/>
      <c r="C714" s="21">
        <v>241021000030</v>
      </c>
      <c r="D714" s="22">
        <v>45590</v>
      </c>
      <c r="E714" s="22" t="s">
        <v>66</v>
      </c>
      <c r="F714" s="20" t="s">
        <v>67</v>
      </c>
      <c r="G714" s="20" t="s">
        <v>478</v>
      </c>
      <c r="H714" s="20">
        <v>32.5</v>
      </c>
      <c r="I714" s="39">
        <v>1847.5</v>
      </c>
      <c r="J714" s="40"/>
      <c r="K714" s="41"/>
      <c r="L714" s="20"/>
      <c r="M714" s="41"/>
      <c r="N714" s="42"/>
      <c r="O714" s="43">
        <f t="shared" si="391"/>
        <v>1847.5</v>
      </c>
      <c r="P714" s="45"/>
      <c r="Q714" s="45"/>
      <c r="R714" s="69">
        <f t="shared" si="386"/>
        <v>1539.92907162865</v>
      </c>
      <c r="S714" s="69"/>
      <c r="T714" s="70">
        <f t="shared" si="387"/>
        <v>2.0515706282513</v>
      </c>
      <c r="U714" s="100"/>
      <c r="V714" s="70">
        <v>60</v>
      </c>
      <c r="W714" s="71">
        <f t="shared" ref="W714:W756" si="395">SUM(R714:V714)</f>
        <v>1601.9806422569</v>
      </c>
      <c r="X714" s="72">
        <f t="shared" si="388"/>
        <v>21.9904961984794</v>
      </c>
      <c r="Y714" s="72"/>
      <c r="Z714" s="72"/>
      <c r="AA714" s="72">
        <f t="shared" ref="AA714:AA756" si="396">SUM(X714:Z714)</f>
        <v>21.9904961984794</v>
      </c>
      <c r="AB714" s="81">
        <v>7.11</v>
      </c>
      <c r="AC714" s="69">
        <f t="shared" si="394"/>
        <v>156.352427971188</v>
      </c>
      <c r="AD714" s="69">
        <f t="shared" si="392"/>
        <v>1758.33307022809</v>
      </c>
      <c r="AE714" s="69">
        <f t="shared" si="393"/>
        <v>89.1669297719088</v>
      </c>
    </row>
    <row r="715" customFormat="1" spans="1:31">
      <c r="A715" s="19"/>
      <c r="B715" s="20"/>
      <c r="C715" s="21">
        <v>241021000031</v>
      </c>
      <c r="D715" s="22">
        <v>45590</v>
      </c>
      <c r="E715" s="22" t="s">
        <v>41</v>
      </c>
      <c r="F715" s="20" t="s">
        <v>42</v>
      </c>
      <c r="G715" s="20" t="s">
        <v>157</v>
      </c>
      <c r="H715" s="20">
        <v>33.5</v>
      </c>
      <c r="I715" s="39">
        <v>2053.55</v>
      </c>
      <c r="J715" s="40"/>
      <c r="K715" s="41"/>
      <c r="L715" s="20"/>
      <c r="M715" s="41"/>
      <c r="N715" s="42"/>
      <c r="O715" s="43">
        <f t="shared" si="391"/>
        <v>2053.55</v>
      </c>
      <c r="P715" s="45"/>
      <c r="Q715" s="45"/>
      <c r="R715" s="69">
        <f t="shared" si="386"/>
        <v>1587.31150460184</v>
      </c>
      <c r="S715" s="69"/>
      <c r="T715" s="70">
        <f t="shared" si="387"/>
        <v>2.11469587835134</v>
      </c>
      <c r="U715" s="100"/>
      <c r="V715" s="69"/>
      <c r="W715" s="71">
        <f t="shared" si="395"/>
        <v>1589.42620048019</v>
      </c>
      <c r="X715" s="72">
        <f t="shared" si="388"/>
        <v>22.6671268507403</v>
      </c>
      <c r="Y715" s="72"/>
      <c r="Z715" s="72"/>
      <c r="AA715" s="72">
        <f t="shared" si="396"/>
        <v>22.6671268507403</v>
      </c>
      <c r="AB715" s="81">
        <v>7.11</v>
      </c>
      <c r="AC715" s="69">
        <f t="shared" si="394"/>
        <v>161.163271908764</v>
      </c>
      <c r="AD715" s="69">
        <f t="shared" si="392"/>
        <v>1750.58947238896</v>
      </c>
      <c r="AE715" s="69">
        <f t="shared" si="393"/>
        <v>302.960527611045</v>
      </c>
    </row>
    <row r="716" customFormat="1" spans="1:31">
      <c r="A716" s="19"/>
      <c r="B716" s="20"/>
      <c r="C716" s="21">
        <v>241021000032</v>
      </c>
      <c r="D716" s="22">
        <v>45590</v>
      </c>
      <c r="E716" s="22" t="s">
        <v>47</v>
      </c>
      <c r="F716" s="20" t="s">
        <v>297</v>
      </c>
      <c r="G716" s="20" t="s">
        <v>479</v>
      </c>
      <c r="H716" s="20">
        <v>21</v>
      </c>
      <c r="I716" s="87"/>
      <c r="J716" s="46">
        <v>312878.5</v>
      </c>
      <c r="K716" s="41"/>
      <c r="L716" s="47">
        <f>SUM(J716/M716)</f>
        <v>1745</v>
      </c>
      <c r="M716" s="48">
        <v>179.3</v>
      </c>
      <c r="N716" s="42">
        <v>7.11</v>
      </c>
      <c r="O716" s="43">
        <f>SUM(M716*N716)</f>
        <v>1274.823</v>
      </c>
      <c r="P716" s="45"/>
      <c r="Q716" s="45"/>
      <c r="R716" s="69">
        <f t="shared" ref="R716:R758" si="397">SUM(118408.7/2499)*H716</f>
        <v>995.031092436975</v>
      </c>
      <c r="S716" s="69"/>
      <c r="T716" s="70">
        <f t="shared" ref="T716:T758" si="398">SUM(157.75/2499)*H716</f>
        <v>1.32563025210084</v>
      </c>
      <c r="U716" s="100"/>
      <c r="V716" s="69"/>
      <c r="W716" s="71">
        <f t="shared" si="395"/>
        <v>996.356722689076</v>
      </c>
      <c r="X716" s="72">
        <f t="shared" ref="X716:X758" si="399">SUM(1690.9/2499)*H716</f>
        <v>14.209243697479</v>
      </c>
      <c r="Y716" s="72"/>
      <c r="Z716" s="72"/>
      <c r="AA716" s="72">
        <f t="shared" si="396"/>
        <v>14.209243697479</v>
      </c>
      <c r="AB716" s="81">
        <v>7.11</v>
      </c>
      <c r="AC716" s="69">
        <f t="shared" si="394"/>
        <v>101.027722689076</v>
      </c>
      <c r="AD716" s="69">
        <f t="shared" si="392"/>
        <v>1097.38444537815</v>
      </c>
      <c r="AE716" s="69">
        <f t="shared" si="393"/>
        <v>177.438554621849</v>
      </c>
    </row>
    <row r="717" customFormat="1" spans="1:31">
      <c r="A717" s="19"/>
      <c r="B717" s="20"/>
      <c r="C717" s="21">
        <v>241021000033</v>
      </c>
      <c r="D717" s="22">
        <v>45590</v>
      </c>
      <c r="E717" s="22" t="s">
        <v>66</v>
      </c>
      <c r="F717" s="20" t="s">
        <v>67</v>
      </c>
      <c r="G717" s="20" t="s">
        <v>480</v>
      </c>
      <c r="H717" s="20">
        <v>47</v>
      </c>
      <c r="I717" s="87">
        <v>2750</v>
      </c>
      <c r="J717" s="40"/>
      <c r="K717" s="41"/>
      <c r="L717" s="20"/>
      <c r="M717" s="41"/>
      <c r="N717" s="42"/>
      <c r="O717" s="43">
        <f>SUBTOTAL(9,I717)</f>
        <v>2750</v>
      </c>
      <c r="P717" s="45"/>
      <c r="Q717" s="45"/>
      <c r="R717" s="69">
        <f t="shared" si="397"/>
        <v>2226.9743497399</v>
      </c>
      <c r="S717" s="69"/>
      <c r="T717" s="70">
        <f t="shared" si="398"/>
        <v>2.96688675470188</v>
      </c>
      <c r="U717" s="100"/>
      <c r="V717" s="69"/>
      <c r="W717" s="71">
        <f t="shared" si="395"/>
        <v>2229.9412364946</v>
      </c>
      <c r="X717" s="72">
        <f t="shared" si="399"/>
        <v>31.8016406562625</v>
      </c>
      <c r="Y717" s="72"/>
      <c r="Z717" s="72"/>
      <c r="AA717" s="72">
        <f t="shared" si="396"/>
        <v>31.8016406562625</v>
      </c>
      <c r="AB717" s="81">
        <v>7.11</v>
      </c>
      <c r="AC717" s="69">
        <f t="shared" si="394"/>
        <v>226.109665066026</v>
      </c>
      <c r="AD717" s="69">
        <f t="shared" si="392"/>
        <v>2456.05090156062</v>
      </c>
      <c r="AE717" s="69">
        <f t="shared" si="393"/>
        <v>293.949098439376</v>
      </c>
    </row>
    <row r="718" customFormat="1" spans="1:31">
      <c r="A718" s="19"/>
      <c r="B718" s="20"/>
      <c r="C718" s="21">
        <v>241021000034</v>
      </c>
      <c r="D718" s="22">
        <v>45590</v>
      </c>
      <c r="E718" s="22" t="s">
        <v>55</v>
      </c>
      <c r="F718" s="20" t="s">
        <v>56</v>
      </c>
      <c r="G718" s="20" t="s">
        <v>481</v>
      </c>
      <c r="H718" s="20">
        <v>0.3</v>
      </c>
      <c r="I718" s="39">
        <v>66</v>
      </c>
      <c r="J718" s="40"/>
      <c r="K718" s="41"/>
      <c r="L718" s="20"/>
      <c r="M718" s="41"/>
      <c r="N718" s="42"/>
      <c r="O718" s="43">
        <f t="shared" ref="O718:O721" si="400">SUM(I718)</f>
        <v>66</v>
      </c>
      <c r="P718" s="45"/>
      <c r="Q718" s="45"/>
      <c r="R718" s="69">
        <f t="shared" si="397"/>
        <v>14.2147298919568</v>
      </c>
      <c r="S718" s="69"/>
      <c r="T718" s="70">
        <f t="shared" si="398"/>
        <v>0.018937575030012</v>
      </c>
      <c r="U718" s="100"/>
      <c r="V718" s="69"/>
      <c r="W718" s="71">
        <f t="shared" si="395"/>
        <v>14.2336674669868</v>
      </c>
      <c r="X718" s="72">
        <f t="shared" si="399"/>
        <v>0.202989195678271</v>
      </c>
      <c r="Y718" s="72"/>
      <c r="Z718" s="72"/>
      <c r="AA718" s="72">
        <f t="shared" si="396"/>
        <v>0.202989195678271</v>
      </c>
      <c r="AB718" s="81">
        <v>7.11</v>
      </c>
      <c r="AC718" s="69">
        <f t="shared" si="394"/>
        <v>1.44325318127251</v>
      </c>
      <c r="AD718" s="69">
        <f t="shared" si="392"/>
        <v>15.6769206482593</v>
      </c>
      <c r="AE718" s="69">
        <f t="shared" si="393"/>
        <v>50.3230793517407</v>
      </c>
    </row>
    <row r="719" customFormat="1" spans="1:31">
      <c r="A719" s="19"/>
      <c r="B719" s="20"/>
      <c r="C719" s="21">
        <v>241021000043</v>
      </c>
      <c r="D719" s="22">
        <v>45590</v>
      </c>
      <c r="E719" s="22" t="s">
        <v>55</v>
      </c>
      <c r="F719" s="20" t="s">
        <v>56</v>
      </c>
      <c r="G719" s="20" t="s">
        <v>265</v>
      </c>
      <c r="H719" s="20">
        <v>1</v>
      </c>
      <c r="I719" s="50"/>
      <c r="J719" s="46">
        <v>17640</v>
      </c>
      <c r="K719" s="41"/>
      <c r="L719" s="47">
        <f t="shared" ref="L719:L723" si="401">SUM(J719/M719)</f>
        <v>1743.08300395257</v>
      </c>
      <c r="M719" s="48">
        <v>10.12</v>
      </c>
      <c r="N719" s="42">
        <v>7.11</v>
      </c>
      <c r="O719" s="43">
        <f t="shared" ref="O719:O723" si="402">SUM(M719*N719)</f>
        <v>71.9532</v>
      </c>
      <c r="P719" s="45"/>
      <c r="Q719" s="45"/>
      <c r="R719" s="69">
        <f t="shared" si="397"/>
        <v>47.3824329731893</v>
      </c>
      <c r="S719" s="69"/>
      <c r="T719" s="70">
        <f t="shared" si="398"/>
        <v>0.06312525010004</v>
      </c>
      <c r="U719" s="100"/>
      <c r="V719" s="69"/>
      <c r="W719" s="71">
        <f t="shared" si="395"/>
        <v>47.4455582232893</v>
      </c>
      <c r="X719" s="72">
        <f t="shared" si="399"/>
        <v>0.676630652260904</v>
      </c>
      <c r="Y719" s="72"/>
      <c r="Z719" s="72"/>
      <c r="AA719" s="72">
        <f t="shared" si="396"/>
        <v>0.676630652260904</v>
      </c>
      <c r="AB719" s="81">
        <v>7.11</v>
      </c>
      <c r="AC719" s="69">
        <f t="shared" si="394"/>
        <v>4.81084393757503</v>
      </c>
      <c r="AD719" s="69">
        <f t="shared" si="392"/>
        <v>52.2564021608643</v>
      </c>
      <c r="AE719" s="69">
        <f t="shared" si="393"/>
        <v>19.6967978391356</v>
      </c>
    </row>
    <row r="720" customFormat="1" spans="1:31">
      <c r="A720" s="19"/>
      <c r="B720" s="20"/>
      <c r="C720" s="21">
        <v>241021000044</v>
      </c>
      <c r="D720" s="22">
        <v>45590</v>
      </c>
      <c r="E720" s="22" t="s">
        <v>55</v>
      </c>
      <c r="F720" s="20" t="s">
        <v>56</v>
      </c>
      <c r="G720" s="20" t="s">
        <v>482</v>
      </c>
      <c r="H720" s="20">
        <v>5.5</v>
      </c>
      <c r="I720" s="39">
        <v>382.5</v>
      </c>
      <c r="J720" s="40"/>
      <c r="K720" s="41"/>
      <c r="L720" s="20"/>
      <c r="M720" s="41"/>
      <c r="N720" s="42"/>
      <c r="O720" s="43">
        <f t="shared" si="400"/>
        <v>382.5</v>
      </c>
      <c r="P720" s="45"/>
      <c r="Q720" s="45"/>
      <c r="R720" s="69">
        <f t="shared" si="397"/>
        <v>260.603381352541</v>
      </c>
      <c r="S720" s="69"/>
      <c r="T720" s="70">
        <f t="shared" si="398"/>
        <v>0.34718887555022</v>
      </c>
      <c r="U720" s="100"/>
      <c r="V720" s="69"/>
      <c r="W720" s="71">
        <f t="shared" si="395"/>
        <v>260.950570228091</v>
      </c>
      <c r="X720" s="72">
        <f t="shared" si="399"/>
        <v>3.72146858743497</v>
      </c>
      <c r="Y720" s="72"/>
      <c r="Z720" s="72"/>
      <c r="AA720" s="72">
        <f t="shared" si="396"/>
        <v>3.72146858743497</v>
      </c>
      <c r="AB720" s="81">
        <v>7.11</v>
      </c>
      <c r="AC720" s="69">
        <f t="shared" si="394"/>
        <v>26.4596416566627</v>
      </c>
      <c r="AD720" s="69">
        <f t="shared" si="392"/>
        <v>287.410211884754</v>
      </c>
      <c r="AE720" s="69">
        <f t="shared" si="393"/>
        <v>95.0897881152461</v>
      </c>
    </row>
    <row r="721" customFormat="1" spans="1:31">
      <c r="A721" s="19"/>
      <c r="B721" s="20"/>
      <c r="C721" s="21">
        <v>241021000045</v>
      </c>
      <c r="D721" s="22">
        <v>45590</v>
      </c>
      <c r="E721" s="22" t="s">
        <v>37</v>
      </c>
      <c r="F721" s="20" t="s">
        <v>38</v>
      </c>
      <c r="G721" s="20" t="s">
        <v>483</v>
      </c>
      <c r="H721" s="20">
        <v>57</v>
      </c>
      <c r="I721" s="39">
        <v>3420</v>
      </c>
      <c r="J721" s="40"/>
      <c r="K721" s="41"/>
      <c r="L721" s="20"/>
      <c r="M721" s="41"/>
      <c r="N721" s="42"/>
      <c r="O721" s="43">
        <f t="shared" si="400"/>
        <v>3420</v>
      </c>
      <c r="P721" s="45"/>
      <c r="Q721" s="45"/>
      <c r="R721" s="69">
        <f t="shared" si="397"/>
        <v>2700.79867947179</v>
      </c>
      <c r="S721" s="69"/>
      <c r="T721" s="70">
        <f t="shared" si="398"/>
        <v>3.59813925570228</v>
      </c>
      <c r="U721" s="100"/>
      <c r="V721" s="69"/>
      <c r="W721" s="71">
        <f t="shared" si="395"/>
        <v>2704.39681872749</v>
      </c>
      <c r="X721" s="72">
        <f t="shared" si="399"/>
        <v>38.5679471788715</v>
      </c>
      <c r="Y721" s="72"/>
      <c r="Z721" s="72"/>
      <c r="AA721" s="72">
        <f t="shared" si="396"/>
        <v>38.5679471788715</v>
      </c>
      <c r="AB721" s="81">
        <v>7.11</v>
      </c>
      <c r="AC721" s="69">
        <f t="shared" si="394"/>
        <v>274.218104441777</v>
      </c>
      <c r="AD721" s="69">
        <f t="shared" si="392"/>
        <v>2978.61492316927</v>
      </c>
      <c r="AE721" s="69">
        <f t="shared" si="393"/>
        <v>441.385076830732</v>
      </c>
    </row>
    <row r="722" customFormat="1" spans="1:31">
      <c r="A722" s="19"/>
      <c r="B722" s="20"/>
      <c r="C722" s="21">
        <v>241021000048</v>
      </c>
      <c r="D722" s="22">
        <v>45590</v>
      </c>
      <c r="E722" s="22" t="s">
        <v>37</v>
      </c>
      <c r="F722" s="20" t="s">
        <v>38</v>
      </c>
      <c r="G722" s="20" t="s">
        <v>484</v>
      </c>
      <c r="H722" s="20">
        <v>11.5</v>
      </c>
      <c r="I722" s="50"/>
      <c r="J722" s="46">
        <v>170520</v>
      </c>
      <c r="K722" s="41"/>
      <c r="L722" s="47">
        <f t="shared" si="401"/>
        <v>1741.95525589948</v>
      </c>
      <c r="M722" s="48">
        <v>97.89</v>
      </c>
      <c r="N722" s="42">
        <v>7.11</v>
      </c>
      <c r="O722" s="43">
        <f t="shared" si="402"/>
        <v>695.9979</v>
      </c>
      <c r="P722" s="45"/>
      <c r="Q722" s="45"/>
      <c r="R722" s="69">
        <f t="shared" si="397"/>
        <v>544.897979191677</v>
      </c>
      <c r="S722" s="69"/>
      <c r="T722" s="70">
        <f t="shared" si="398"/>
        <v>0.72594037615046</v>
      </c>
      <c r="U722" s="100"/>
      <c r="V722" s="69"/>
      <c r="W722" s="71">
        <f t="shared" si="395"/>
        <v>545.623919567827</v>
      </c>
      <c r="X722" s="72">
        <f t="shared" si="399"/>
        <v>7.7812525010004</v>
      </c>
      <c r="Y722" s="72"/>
      <c r="Z722" s="72"/>
      <c r="AA722" s="72">
        <f t="shared" si="396"/>
        <v>7.7812525010004</v>
      </c>
      <c r="AB722" s="81">
        <v>7.11</v>
      </c>
      <c r="AC722" s="69">
        <f t="shared" si="394"/>
        <v>55.3247052821128</v>
      </c>
      <c r="AD722" s="69">
        <f t="shared" si="392"/>
        <v>600.94862484994</v>
      </c>
      <c r="AE722" s="69">
        <f t="shared" si="393"/>
        <v>95.04927515006</v>
      </c>
    </row>
    <row r="723" customFormat="1" spans="1:31">
      <c r="A723" s="19"/>
      <c r="B723" s="20"/>
      <c r="C723" s="21">
        <v>241021000050</v>
      </c>
      <c r="D723" s="22">
        <v>45590</v>
      </c>
      <c r="E723" s="22" t="s">
        <v>37</v>
      </c>
      <c r="F723" s="20" t="s">
        <v>38</v>
      </c>
      <c r="G723" s="20" t="s">
        <v>485</v>
      </c>
      <c r="H723" s="20">
        <v>39.5</v>
      </c>
      <c r="I723" s="50"/>
      <c r="J723" s="46">
        <v>563255</v>
      </c>
      <c r="K723" s="41"/>
      <c r="L723" s="47">
        <f t="shared" si="401"/>
        <v>1741.98985587926</v>
      </c>
      <c r="M723" s="48">
        <v>323.34</v>
      </c>
      <c r="N723" s="42">
        <v>7.11</v>
      </c>
      <c r="O723" s="43">
        <f t="shared" si="402"/>
        <v>2298.9474</v>
      </c>
      <c r="P723" s="45"/>
      <c r="Q723" s="45"/>
      <c r="R723" s="69">
        <f t="shared" si="397"/>
        <v>1871.60610244098</v>
      </c>
      <c r="S723" s="69"/>
      <c r="T723" s="70">
        <f t="shared" si="398"/>
        <v>2.49344737895158</v>
      </c>
      <c r="U723" s="100"/>
      <c r="V723" s="69"/>
      <c r="W723" s="71">
        <f t="shared" si="395"/>
        <v>1874.09954981993</v>
      </c>
      <c r="X723" s="72">
        <f t="shared" si="399"/>
        <v>26.7269107643057</v>
      </c>
      <c r="Y723" s="72"/>
      <c r="Z723" s="72"/>
      <c r="AA723" s="72">
        <f t="shared" si="396"/>
        <v>26.7269107643057</v>
      </c>
      <c r="AB723" s="81">
        <v>7.11</v>
      </c>
      <c r="AC723" s="69">
        <f t="shared" si="394"/>
        <v>190.028335534214</v>
      </c>
      <c r="AD723" s="69">
        <f t="shared" si="392"/>
        <v>2064.12788535414</v>
      </c>
      <c r="AE723" s="69">
        <f t="shared" si="393"/>
        <v>234.819514645858</v>
      </c>
    </row>
    <row r="724" customFormat="1" spans="1:31">
      <c r="A724" s="19"/>
      <c r="B724" s="20"/>
      <c r="C724" s="21">
        <v>241021000052</v>
      </c>
      <c r="D724" s="22">
        <v>45590</v>
      </c>
      <c r="E724" s="22" t="s">
        <v>55</v>
      </c>
      <c r="F724" s="20" t="s">
        <v>56</v>
      </c>
      <c r="G724" s="20" t="s">
        <v>112</v>
      </c>
      <c r="H724" s="20">
        <v>4.5</v>
      </c>
      <c r="I724" s="39">
        <v>286.5</v>
      </c>
      <c r="J724" s="40"/>
      <c r="K724" s="41"/>
      <c r="L724" s="20"/>
      <c r="M724" s="41"/>
      <c r="N724" s="42"/>
      <c r="O724" s="43">
        <f t="shared" ref="O724:O731" si="403">SUM(I724)</f>
        <v>286.5</v>
      </c>
      <c r="P724" s="45"/>
      <c r="Q724" s="45"/>
      <c r="R724" s="69">
        <f t="shared" si="397"/>
        <v>213.220948379352</v>
      </c>
      <c r="S724" s="69"/>
      <c r="T724" s="70">
        <f t="shared" si="398"/>
        <v>0.28406362545018</v>
      </c>
      <c r="U724" s="100"/>
      <c r="V724" s="69"/>
      <c r="W724" s="71">
        <f t="shared" si="395"/>
        <v>213.505012004802</v>
      </c>
      <c r="X724" s="72">
        <f t="shared" si="399"/>
        <v>3.04483793517407</v>
      </c>
      <c r="Y724" s="72"/>
      <c r="Z724" s="72"/>
      <c r="AA724" s="72">
        <f t="shared" si="396"/>
        <v>3.04483793517407</v>
      </c>
      <c r="AB724" s="81">
        <v>7.11</v>
      </c>
      <c r="AC724" s="69">
        <f t="shared" si="394"/>
        <v>21.6487977190876</v>
      </c>
      <c r="AD724" s="69">
        <f t="shared" si="392"/>
        <v>235.15380972389</v>
      </c>
      <c r="AE724" s="69">
        <f t="shared" si="393"/>
        <v>51.3461902761104</v>
      </c>
    </row>
    <row r="725" customFormat="1" spans="1:31">
      <c r="A725" s="19"/>
      <c r="B725" s="20"/>
      <c r="C725" s="21">
        <v>241021000054</v>
      </c>
      <c r="D725" s="22">
        <v>45590</v>
      </c>
      <c r="E725" s="22" t="s">
        <v>55</v>
      </c>
      <c r="F725" s="20" t="s">
        <v>56</v>
      </c>
      <c r="G725" s="20" t="s">
        <v>258</v>
      </c>
      <c r="H725" s="20">
        <v>4.5</v>
      </c>
      <c r="I725" s="39">
        <v>420.5</v>
      </c>
      <c r="J725" s="40"/>
      <c r="K725" s="41"/>
      <c r="L725" s="20"/>
      <c r="M725" s="41"/>
      <c r="N725" s="42"/>
      <c r="O725" s="43">
        <f t="shared" si="403"/>
        <v>420.5</v>
      </c>
      <c r="P725" s="45"/>
      <c r="Q725" s="45"/>
      <c r="R725" s="69">
        <f t="shared" si="397"/>
        <v>213.220948379352</v>
      </c>
      <c r="S725" s="69"/>
      <c r="T725" s="70">
        <f t="shared" si="398"/>
        <v>0.28406362545018</v>
      </c>
      <c r="U725" s="100"/>
      <c r="V725" s="69"/>
      <c r="W725" s="71">
        <f t="shared" si="395"/>
        <v>213.505012004802</v>
      </c>
      <c r="X725" s="72">
        <f t="shared" si="399"/>
        <v>3.04483793517407</v>
      </c>
      <c r="Y725" s="72"/>
      <c r="Z725" s="72"/>
      <c r="AA725" s="72">
        <f t="shared" si="396"/>
        <v>3.04483793517407</v>
      </c>
      <c r="AB725" s="81">
        <v>7.11</v>
      </c>
      <c r="AC725" s="69">
        <f t="shared" si="394"/>
        <v>21.6487977190876</v>
      </c>
      <c r="AD725" s="69">
        <f t="shared" si="392"/>
        <v>235.15380972389</v>
      </c>
      <c r="AE725" s="69">
        <f t="shared" si="393"/>
        <v>185.34619027611</v>
      </c>
    </row>
    <row r="726" customFormat="1" spans="1:31">
      <c r="A726" s="19"/>
      <c r="B726" s="20"/>
      <c r="C726" s="82">
        <v>241021000055</v>
      </c>
      <c r="D726" s="83">
        <v>45590</v>
      </c>
      <c r="E726" s="22" t="s">
        <v>55</v>
      </c>
      <c r="F726" s="84" t="s">
        <v>56</v>
      </c>
      <c r="G726" s="84" t="s">
        <v>112</v>
      </c>
      <c r="H726" s="84">
        <v>4.5</v>
      </c>
      <c r="I726" s="39">
        <v>286.5</v>
      </c>
      <c r="J726" s="40"/>
      <c r="K726" s="41"/>
      <c r="L726" s="20"/>
      <c r="M726" s="41"/>
      <c r="N726" s="42"/>
      <c r="O726" s="43">
        <f t="shared" si="403"/>
        <v>286.5</v>
      </c>
      <c r="P726" s="45"/>
      <c r="Q726" s="45"/>
      <c r="R726" s="69">
        <f t="shared" si="397"/>
        <v>213.220948379352</v>
      </c>
      <c r="S726" s="69"/>
      <c r="T726" s="70">
        <f t="shared" si="398"/>
        <v>0.28406362545018</v>
      </c>
      <c r="U726" s="100"/>
      <c r="V726" s="69"/>
      <c r="W726" s="71">
        <f t="shared" si="395"/>
        <v>213.505012004802</v>
      </c>
      <c r="X726" s="72">
        <f t="shared" si="399"/>
        <v>3.04483793517407</v>
      </c>
      <c r="Y726" s="72"/>
      <c r="Z726" s="72"/>
      <c r="AA726" s="72">
        <f t="shared" si="396"/>
        <v>3.04483793517407</v>
      </c>
      <c r="AB726" s="81">
        <v>7.11</v>
      </c>
      <c r="AC726" s="69">
        <f t="shared" si="394"/>
        <v>21.6487977190876</v>
      </c>
      <c r="AD726" s="69">
        <f t="shared" si="392"/>
        <v>235.15380972389</v>
      </c>
      <c r="AE726" s="69">
        <f t="shared" si="393"/>
        <v>51.3461902761104</v>
      </c>
    </row>
    <row r="727" customFormat="1" spans="1:31">
      <c r="A727" s="19"/>
      <c r="B727" s="20"/>
      <c r="C727" s="21">
        <v>241021000056</v>
      </c>
      <c r="D727" s="22">
        <v>45590</v>
      </c>
      <c r="E727" s="22" t="s">
        <v>37</v>
      </c>
      <c r="F727" s="20" t="s">
        <v>38</v>
      </c>
      <c r="G727" s="20" t="s">
        <v>486</v>
      </c>
      <c r="H727" s="20">
        <v>2.5</v>
      </c>
      <c r="I727" s="39">
        <v>160.5</v>
      </c>
      <c r="J727" s="40"/>
      <c r="K727" s="41"/>
      <c r="L727" s="20"/>
      <c r="M727" s="41"/>
      <c r="N727" s="42"/>
      <c r="O727" s="43">
        <f t="shared" si="403"/>
        <v>160.5</v>
      </c>
      <c r="P727" s="45"/>
      <c r="Q727" s="45"/>
      <c r="R727" s="69">
        <f t="shared" si="397"/>
        <v>118.456082432973</v>
      </c>
      <c r="S727" s="69"/>
      <c r="T727" s="70">
        <f t="shared" si="398"/>
        <v>0.1578131252501</v>
      </c>
      <c r="U727" s="100"/>
      <c r="V727" s="69"/>
      <c r="W727" s="71">
        <f t="shared" si="395"/>
        <v>118.613895558223</v>
      </c>
      <c r="X727" s="72">
        <f t="shared" si="399"/>
        <v>1.69157663065226</v>
      </c>
      <c r="Y727" s="72"/>
      <c r="Z727" s="72"/>
      <c r="AA727" s="72">
        <f t="shared" si="396"/>
        <v>1.69157663065226</v>
      </c>
      <c r="AB727" s="81">
        <v>7.11</v>
      </c>
      <c r="AC727" s="69">
        <f t="shared" si="394"/>
        <v>12.0271098439376</v>
      </c>
      <c r="AD727" s="69">
        <f t="shared" si="392"/>
        <v>130.641005402161</v>
      </c>
      <c r="AE727" s="69">
        <f t="shared" si="393"/>
        <v>29.8589945978391</v>
      </c>
    </row>
    <row r="728" customFormat="1" spans="1:31">
      <c r="A728" s="19"/>
      <c r="B728" s="20"/>
      <c r="C728" s="21">
        <v>241021000058</v>
      </c>
      <c r="D728" s="22">
        <v>45590</v>
      </c>
      <c r="E728" s="22" t="s">
        <v>66</v>
      </c>
      <c r="F728" s="20" t="s">
        <v>67</v>
      </c>
      <c r="G728" s="20" t="s">
        <v>73</v>
      </c>
      <c r="H728" s="20">
        <v>0.78</v>
      </c>
      <c r="I728" s="39">
        <v>89</v>
      </c>
      <c r="J728" s="40"/>
      <c r="K728" s="41"/>
      <c r="L728" s="20"/>
      <c r="M728" s="41"/>
      <c r="N728" s="42"/>
      <c r="O728" s="43">
        <f t="shared" si="403"/>
        <v>89</v>
      </c>
      <c r="P728" s="45"/>
      <c r="Q728" s="45"/>
      <c r="R728" s="69">
        <f t="shared" si="397"/>
        <v>36.9582977190876</v>
      </c>
      <c r="S728" s="69"/>
      <c r="T728" s="70">
        <f t="shared" si="398"/>
        <v>0.0492376950780312</v>
      </c>
      <c r="U728" s="100"/>
      <c r="V728" s="69"/>
      <c r="W728" s="71">
        <f t="shared" si="395"/>
        <v>37.0075354141657</v>
      </c>
      <c r="X728" s="72">
        <f t="shared" si="399"/>
        <v>0.527771908763505</v>
      </c>
      <c r="Y728" s="72">
        <v>4.21</v>
      </c>
      <c r="Z728" s="72"/>
      <c r="AA728" s="72">
        <f t="shared" si="396"/>
        <v>4.73777190876351</v>
      </c>
      <c r="AB728" s="81">
        <v>7.11</v>
      </c>
      <c r="AC728" s="69">
        <f t="shared" si="394"/>
        <v>33.6855582713085</v>
      </c>
      <c r="AD728" s="69">
        <f t="shared" si="392"/>
        <v>70.6930936854742</v>
      </c>
      <c r="AE728" s="69">
        <f t="shared" si="393"/>
        <v>18.3069063145258</v>
      </c>
    </row>
    <row r="729" customFormat="1" spans="1:31">
      <c r="A729" s="19"/>
      <c r="B729" s="20"/>
      <c r="C729" s="21">
        <v>241021000060</v>
      </c>
      <c r="D729" s="22">
        <v>45590</v>
      </c>
      <c r="E729" s="22" t="s">
        <v>37</v>
      </c>
      <c r="F729" s="20" t="s">
        <v>38</v>
      </c>
      <c r="G729" s="20" t="s">
        <v>233</v>
      </c>
      <c r="H729" s="20">
        <v>0.3</v>
      </c>
      <c r="I729" s="39">
        <v>66</v>
      </c>
      <c r="J729" s="40"/>
      <c r="K729" s="41"/>
      <c r="L729" s="20"/>
      <c r="M729" s="41"/>
      <c r="N729" s="42"/>
      <c r="O729" s="43">
        <f t="shared" si="403"/>
        <v>66</v>
      </c>
      <c r="P729" s="45"/>
      <c r="Q729" s="45"/>
      <c r="R729" s="69">
        <f t="shared" si="397"/>
        <v>14.2147298919568</v>
      </c>
      <c r="S729" s="69"/>
      <c r="T729" s="70">
        <f t="shared" si="398"/>
        <v>0.018937575030012</v>
      </c>
      <c r="U729" s="100"/>
      <c r="V729" s="69"/>
      <c r="W729" s="71">
        <f t="shared" si="395"/>
        <v>14.2336674669868</v>
      </c>
      <c r="X729" s="72">
        <f t="shared" si="399"/>
        <v>0.202989195678271</v>
      </c>
      <c r="Y729" s="72"/>
      <c r="Z729" s="72"/>
      <c r="AA729" s="72">
        <f t="shared" si="396"/>
        <v>0.202989195678271</v>
      </c>
      <c r="AB729" s="81">
        <v>7.11</v>
      </c>
      <c r="AC729" s="69">
        <f t="shared" si="394"/>
        <v>1.44325318127251</v>
      </c>
      <c r="AD729" s="69">
        <f t="shared" si="392"/>
        <v>15.6769206482593</v>
      </c>
      <c r="AE729" s="69">
        <f t="shared" si="393"/>
        <v>50.3230793517407</v>
      </c>
    </row>
    <row r="730" customFormat="1" spans="1:31">
      <c r="A730" s="19"/>
      <c r="B730" s="20"/>
      <c r="C730" s="21">
        <v>241021000061</v>
      </c>
      <c r="D730" s="22">
        <v>45590</v>
      </c>
      <c r="E730" s="22" t="s">
        <v>37</v>
      </c>
      <c r="F730" s="20" t="s">
        <v>38</v>
      </c>
      <c r="G730" s="20" t="s">
        <v>487</v>
      </c>
      <c r="H730" s="20">
        <v>38</v>
      </c>
      <c r="I730" s="39">
        <v>2280</v>
      </c>
      <c r="J730" s="40"/>
      <c r="K730" s="41"/>
      <c r="L730" s="20"/>
      <c r="M730" s="41"/>
      <c r="N730" s="42"/>
      <c r="O730" s="43">
        <f t="shared" si="403"/>
        <v>2280</v>
      </c>
      <c r="P730" s="45"/>
      <c r="Q730" s="45"/>
      <c r="R730" s="69">
        <f t="shared" si="397"/>
        <v>1800.53245298119</v>
      </c>
      <c r="S730" s="69"/>
      <c r="T730" s="70">
        <f t="shared" si="398"/>
        <v>2.39875950380152</v>
      </c>
      <c r="U730" s="100"/>
      <c r="V730" s="69"/>
      <c r="W730" s="71">
        <f t="shared" si="395"/>
        <v>1802.93121248499</v>
      </c>
      <c r="X730" s="72">
        <f t="shared" si="399"/>
        <v>25.7119647859144</v>
      </c>
      <c r="Y730" s="72"/>
      <c r="Z730" s="72"/>
      <c r="AA730" s="72">
        <f t="shared" si="396"/>
        <v>25.7119647859144</v>
      </c>
      <c r="AB730" s="81">
        <v>7.11</v>
      </c>
      <c r="AC730" s="69">
        <f t="shared" si="394"/>
        <v>182.812069627851</v>
      </c>
      <c r="AD730" s="69">
        <f t="shared" si="392"/>
        <v>1985.74328211285</v>
      </c>
      <c r="AE730" s="69">
        <f t="shared" si="393"/>
        <v>294.256717887155</v>
      </c>
    </row>
    <row r="731" customFormat="1" spans="1:31">
      <c r="A731" s="19"/>
      <c r="B731" s="20"/>
      <c r="C731" s="21">
        <v>241021000064</v>
      </c>
      <c r="D731" s="22">
        <v>45590</v>
      </c>
      <c r="E731" s="22" t="s">
        <v>37</v>
      </c>
      <c r="F731" s="20" t="s">
        <v>38</v>
      </c>
      <c r="G731" s="20" t="s">
        <v>488</v>
      </c>
      <c r="H731" s="20">
        <v>7</v>
      </c>
      <c r="I731" s="39">
        <v>426</v>
      </c>
      <c r="J731" s="40"/>
      <c r="K731" s="41"/>
      <c r="L731" s="20"/>
      <c r="M731" s="41"/>
      <c r="N731" s="42"/>
      <c r="O731" s="43">
        <f t="shared" si="403"/>
        <v>426</v>
      </c>
      <c r="P731" s="45"/>
      <c r="Q731" s="45"/>
      <c r="R731" s="69">
        <f t="shared" si="397"/>
        <v>331.677030812325</v>
      </c>
      <c r="S731" s="69"/>
      <c r="T731" s="70">
        <f t="shared" si="398"/>
        <v>0.44187675070028</v>
      </c>
      <c r="U731" s="100"/>
      <c r="V731" s="69"/>
      <c r="W731" s="71">
        <f t="shared" si="395"/>
        <v>332.118907563025</v>
      </c>
      <c r="X731" s="72">
        <f t="shared" si="399"/>
        <v>4.73641456582633</v>
      </c>
      <c r="Y731" s="72"/>
      <c r="Z731" s="72"/>
      <c r="AA731" s="72">
        <f t="shared" si="396"/>
        <v>4.73641456582633</v>
      </c>
      <c r="AB731" s="81">
        <v>7.11</v>
      </c>
      <c r="AC731" s="69">
        <f t="shared" si="394"/>
        <v>33.6759075630252</v>
      </c>
      <c r="AD731" s="69">
        <f t="shared" si="392"/>
        <v>365.79481512605</v>
      </c>
      <c r="AE731" s="69">
        <f t="shared" si="393"/>
        <v>60.2051848739496</v>
      </c>
    </row>
    <row r="732" customFormat="1" spans="1:31">
      <c r="A732" s="19"/>
      <c r="B732" s="20"/>
      <c r="C732" s="21">
        <v>241021000067</v>
      </c>
      <c r="D732" s="22">
        <v>45590</v>
      </c>
      <c r="E732" s="22" t="s">
        <v>37</v>
      </c>
      <c r="F732" s="20" t="s">
        <v>38</v>
      </c>
      <c r="G732" s="20" t="s">
        <v>305</v>
      </c>
      <c r="H732" s="20">
        <v>0.85</v>
      </c>
      <c r="I732" s="50"/>
      <c r="J732" s="46">
        <v>22875</v>
      </c>
      <c r="K732" s="41"/>
      <c r="L732" s="47">
        <f t="shared" ref="L732:L734" si="404">SUM(J732/M732)</f>
        <v>2033.33333333333</v>
      </c>
      <c r="M732" s="48">
        <v>11.25</v>
      </c>
      <c r="N732" s="42">
        <v>7.11</v>
      </c>
      <c r="O732" s="43">
        <f t="shared" ref="O732:O734" si="405">SUM(M732*N732)</f>
        <v>79.9875</v>
      </c>
      <c r="P732" s="45"/>
      <c r="Q732" s="45"/>
      <c r="R732" s="69">
        <f t="shared" si="397"/>
        <v>40.2750680272109</v>
      </c>
      <c r="S732" s="69"/>
      <c r="T732" s="70">
        <f t="shared" si="398"/>
        <v>0.053656462585034</v>
      </c>
      <c r="U732" s="100"/>
      <c r="V732" s="70">
        <v>14</v>
      </c>
      <c r="W732" s="71">
        <f t="shared" si="395"/>
        <v>54.3287244897959</v>
      </c>
      <c r="X732" s="72">
        <f t="shared" si="399"/>
        <v>0.575136054421769</v>
      </c>
      <c r="Y732" s="72"/>
      <c r="Z732" s="72"/>
      <c r="AA732" s="72">
        <f t="shared" si="396"/>
        <v>0.575136054421769</v>
      </c>
      <c r="AB732" s="81">
        <v>7.11</v>
      </c>
      <c r="AC732" s="69">
        <f t="shared" si="394"/>
        <v>4.08921734693878</v>
      </c>
      <c r="AD732" s="69">
        <f t="shared" si="392"/>
        <v>58.4179418367347</v>
      </c>
      <c r="AE732" s="69">
        <f t="shared" si="393"/>
        <v>21.5695581632653</v>
      </c>
    </row>
    <row r="733" customFormat="1" spans="1:31">
      <c r="A733" s="19"/>
      <c r="B733" s="20"/>
      <c r="C733" s="21">
        <v>241021000068</v>
      </c>
      <c r="D733" s="22">
        <v>45590</v>
      </c>
      <c r="E733" s="22" t="s">
        <v>41</v>
      </c>
      <c r="F733" s="20" t="s">
        <v>42</v>
      </c>
      <c r="G733" s="20" t="s">
        <v>255</v>
      </c>
      <c r="H733" s="20">
        <v>0.44</v>
      </c>
      <c r="I733" s="43"/>
      <c r="J733" s="46">
        <v>16403</v>
      </c>
      <c r="K733" s="41"/>
      <c r="L733" s="47">
        <f t="shared" si="404"/>
        <v>1745</v>
      </c>
      <c r="M733" s="48">
        <v>9.4</v>
      </c>
      <c r="N733" s="42">
        <v>7.11</v>
      </c>
      <c r="O733" s="43">
        <f t="shared" si="405"/>
        <v>66.834</v>
      </c>
      <c r="P733" s="45"/>
      <c r="Q733" s="45"/>
      <c r="R733" s="69">
        <f t="shared" si="397"/>
        <v>20.8482705082033</v>
      </c>
      <c r="S733" s="69"/>
      <c r="T733" s="70">
        <f t="shared" si="398"/>
        <v>0.0277751100440176</v>
      </c>
      <c r="U733" s="100"/>
      <c r="V733" s="69"/>
      <c r="W733" s="71">
        <f t="shared" si="395"/>
        <v>20.8760456182473</v>
      </c>
      <c r="X733" s="72">
        <f t="shared" si="399"/>
        <v>0.297717486994798</v>
      </c>
      <c r="Y733" s="72"/>
      <c r="Z733" s="72"/>
      <c r="AA733" s="72">
        <f t="shared" si="396"/>
        <v>0.297717486994798</v>
      </c>
      <c r="AB733" s="81">
        <v>7.11</v>
      </c>
      <c r="AC733" s="69">
        <f t="shared" si="394"/>
        <v>2.11677133253301</v>
      </c>
      <c r="AD733" s="69">
        <f t="shared" si="392"/>
        <v>22.9928169507803</v>
      </c>
      <c r="AE733" s="69">
        <f t="shared" si="393"/>
        <v>43.8411830492197</v>
      </c>
    </row>
    <row r="734" customFormat="1" spans="1:31">
      <c r="A734" s="19"/>
      <c r="B734" s="20"/>
      <c r="C734" s="21">
        <v>241021000072</v>
      </c>
      <c r="D734" s="22">
        <v>45590</v>
      </c>
      <c r="E734" s="22" t="s">
        <v>66</v>
      </c>
      <c r="F734" s="20" t="s">
        <v>67</v>
      </c>
      <c r="G734" s="20" t="s">
        <v>489</v>
      </c>
      <c r="H734" s="20">
        <v>17.5</v>
      </c>
      <c r="I734" s="50"/>
      <c r="J734" s="46">
        <v>235812.5</v>
      </c>
      <c r="K734" s="41"/>
      <c r="L734" s="47">
        <f t="shared" si="404"/>
        <v>1741.98493019133</v>
      </c>
      <c r="M734" s="48">
        <v>135.37</v>
      </c>
      <c r="N734" s="42">
        <v>7.11</v>
      </c>
      <c r="O734" s="43">
        <f t="shared" si="405"/>
        <v>962.4807</v>
      </c>
      <c r="P734" s="45"/>
      <c r="Q734" s="45"/>
      <c r="R734" s="69">
        <f t="shared" si="397"/>
        <v>829.192577030812</v>
      </c>
      <c r="S734" s="69"/>
      <c r="T734" s="70">
        <f t="shared" si="398"/>
        <v>1.1046918767507</v>
      </c>
      <c r="U734" s="100"/>
      <c r="V734" s="69"/>
      <c r="W734" s="71">
        <f t="shared" si="395"/>
        <v>830.297268907563</v>
      </c>
      <c r="X734" s="72">
        <f t="shared" si="399"/>
        <v>11.8410364145658</v>
      </c>
      <c r="Y734" s="72"/>
      <c r="Z734" s="72"/>
      <c r="AA734" s="72">
        <f t="shared" si="396"/>
        <v>11.8410364145658</v>
      </c>
      <c r="AB734" s="81">
        <v>7.11</v>
      </c>
      <c r="AC734" s="69">
        <f t="shared" si="394"/>
        <v>84.189768907563</v>
      </c>
      <c r="AD734" s="69">
        <f t="shared" si="392"/>
        <v>914.487037815126</v>
      </c>
      <c r="AE734" s="69">
        <f t="shared" si="393"/>
        <v>47.9936621848739</v>
      </c>
    </row>
    <row r="735" customFormat="1" spans="1:31">
      <c r="A735" s="19"/>
      <c r="B735" s="20"/>
      <c r="C735" s="21">
        <v>241021000073</v>
      </c>
      <c r="D735" s="22">
        <v>45590</v>
      </c>
      <c r="E735" s="22" t="s">
        <v>41</v>
      </c>
      <c r="F735" s="20" t="s">
        <v>42</v>
      </c>
      <c r="G735" s="20" t="s">
        <v>185</v>
      </c>
      <c r="H735" s="20">
        <v>0.28</v>
      </c>
      <c r="I735" s="39">
        <v>66</v>
      </c>
      <c r="J735" s="40"/>
      <c r="K735" s="41"/>
      <c r="L735" s="20"/>
      <c r="M735" s="41"/>
      <c r="N735" s="42"/>
      <c r="O735" s="43">
        <f t="shared" ref="O735:O740" si="406">SUM(I735)</f>
        <v>66</v>
      </c>
      <c r="P735" s="45"/>
      <c r="Q735" s="45"/>
      <c r="R735" s="69">
        <f t="shared" si="397"/>
        <v>13.267081232493</v>
      </c>
      <c r="S735" s="69"/>
      <c r="T735" s="70">
        <f t="shared" si="398"/>
        <v>0.0176750700280112</v>
      </c>
      <c r="U735" s="100"/>
      <c r="V735" s="69"/>
      <c r="W735" s="71">
        <f t="shared" si="395"/>
        <v>13.284756302521</v>
      </c>
      <c r="X735" s="72">
        <f t="shared" si="399"/>
        <v>0.189456582633053</v>
      </c>
      <c r="Y735" s="72"/>
      <c r="Z735" s="72"/>
      <c r="AA735" s="72">
        <f t="shared" si="396"/>
        <v>0.189456582633053</v>
      </c>
      <c r="AB735" s="81">
        <v>7.11</v>
      </c>
      <c r="AC735" s="69">
        <f t="shared" si="394"/>
        <v>1.34703630252101</v>
      </c>
      <c r="AD735" s="69">
        <f t="shared" si="392"/>
        <v>14.631792605042</v>
      </c>
      <c r="AE735" s="69">
        <f t="shared" si="393"/>
        <v>51.368207394958</v>
      </c>
    </row>
    <row r="736" customFormat="1" spans="1:31">
      <c r="A736" s="19"/>
      <c r="B736" s="20"/>
      <c r="C736" s="21">
        <v>241021000074</v>
      </c>
      <c r="D736" s="22">
        <v>45590</v>
      </c>
      <c r="E736" s="22" t="s">
        <v>47</v>
      </c>
      <c r="F736" s="20" t="s">
        <v>47</v>
      </c>
      <c r="G736" s="20" t="s">
        <v>97</v>
      </c>
      <c r="H736" s="20">
        <v>7</v>
      </c>
      <c r="I736" s="39">
        <v>468</v>
      </c>
      <c r="J736" s="40"/>
      <c r="K736" s="41"/>
      <c r="L736" s="20"/>
      <c r="M736" s="41"/>
      <c r="N736" s="42"/>
      <c r="O736" s="43">
        <f t="shared" si="406"/>
        <v>468</v>
      </c>
      <c r="P736" s="45"/>
      <c r="Q736" s="45"/>
      <c r="R736" s="69">
        <f t="shared" si="397"/>
        <v>331.677030812325</v>
      </c>
      <c r="S736" s="69"/>
      <c r="T736" s="70">
        <f t="shared" si="398"/>
        <v>0.44187675070028</v>
      </c>
      <c r="U736" s="100"/>
      <c r="V736" s="69"/>
      <c r="W736" s="71">
        <f t="shared" si="395"/>
        <v>332.118907563025</v>
      </c>
      <c r="X736" s="72">
        <f t="shared" si="399"/>
        <v>4.73641456582633</v>
      </c>
      <c r="Y736" s="72"/>
      <c r="Z736" s="72"/>
      <c r="AA736" s="72">
        <f t="shared" si="396"/>
        <v>4.73641456582633</v>
      </c>
      <c r="AB736" s="81">
        <v>7.11</v>
      </c>
      <c r="AC736" s="69">
        <f t="shared" si="394"/>
        <v>33.6759075630252</v>
      </c>
      <c r="AD736" s="69">
        <f t="shared" si="392"/>
        <v>365.79481512605</v>
      </c>
      <c r="AE736" s="69">
        <f t="shared" si="393"/>
        <v>102.20518487395</v>
      </c>
    </row>
    <row r="737" customFormat="1" spans="1:31">
      <c r="A737" s="19"/>
      <c r="B737" s="20"/>
      <c r="C737" s="21">
        <v>241021000075</v>
      </c>
      <c r="D737" s="22">
        <v>45590</v>
      </c>
      <c r="E737" s="22" t="s">
        <v>66</v>
      </c>
      <c r="F737" s="20" t="s">
        <v>67</v>
      </c>
      <c r="G737" s="20" t="s">
        <v>130</v>
      </c>
      <c r="H737" s="20">
        <v>36</v>
      </c>
      <c r="I737" s="50"/>
      <c r="J737" s="46">
        <v>529200</v>
      </c>
      <c r="K737" s="41"/>
      <c r="L737" s="47">
        <f t="shared" ref="L737:L739" si="407">SUM(J737/M737)</f>
        <v>1741.99282399026</v>
      </c>
      <c r="M737" s="48">
        <v>303.79</v>
      </c>
      <c r="N737" s="42">
        <v>7.11</v>
      </c>
      <c r="O737" s="43">
        <f t="shared" ref="O737:O739" si="408">SUM(M737*N737)</f>
        <v>2159.9469</v>
      </c>
      <c r="P737" s="45"/>
      <c r="Q737" s="45"/>
      <c r="R737" s="69">
        <f t="shared" si="397"/>
        <v>1705.76758703481</v>
      </c>
      <c r="S737" s="69"/>
      <c r="T737" s="70">
        <f t="shared" si="398"/>
        <v>2.27250900360144</v>
      </c>
      <c r="U737" s="100"/>
      <c r="V737" s="69"/>
      <c r="W737" s="71">
        <f t="shared" si="395"/>
        <v>1708.04009603842</v>
      </c>
      <c r="X737" s="72">
        <f t="shared" si="399"/>
        <v>24.3587034813926</v>
      </c>
      <c r="Y737" s="72"/>
      <c r="Z737" s="72"/>
      <c r="AA737" s="72">
        <f t="shared" si="396"/>
        <v>24.3587034813926</v>
      </c>
      <c r="AB737" s="81">
        <v>7.11</v>
      </c>
      <c r="AC737" s="69">
        <f t="shared" si="394"/>
        <v>173.190381752701</v>
      </c>
      <c r="AD737" s="69">
        <f t="shared" si="392"/>
        <v>1881.23047779112</v>
      </c>
      <c r="AE737" s="69">
        <f t="shared" si="393"/>
        <v>278.716422208883</v>
      </c>
    </row>
    <row r="738" customFormat="1" spans="1:31">
      <c r="A738" s="19"/>
      <c r="B738" s="20"/>
      <c r="C738" s="21">
        <v>241021000077</v>
      </c>
      <c r="D738" s="22">
        <v>45590</v>
      </c>
      <c r="E738" s="22" t="s">
        <v>41</v>
      </c>
      <c r="F738" s="20" t="s">
        <v>42</v>
      </c>
      <c r="G738" s="20" t="s">
        <v>190</v>
      </c>
      <c r="H738" s="20">
        <v>4</v>
      </c>
      <c r="I738" s="43"/>
      <c r="J738" s="46">
        <v>63518</v>
      </c>
      <c r="K738" s="41"/>
      <c r="L738" s="47">
        <f t="shared" si="407"/>
        <v>1745</v>
      </c>
      <c r="M738" s="48">
        <v>36.4</v>
      </c>
      <c r="N738" s="42">
        <v>7.11</v>
      </c>
      <c r="O738" s="43">
        <f t="shared" si="408"/>
        <v>258.804</v>
      </c>
      <c r="P738" s="45"/>
      <c r="Q738" s="45"/>
      <c r="R738" s="69">
        <f t="shared" si="397"/>
        <v>189.529731892757</v>
      </c>
      <c r="S738" s="69"/>
      <c r="T738" s="70">
        <f t="shared" si="398"/>
        <v>0.25250100040016</v>
      </c>
      <c r="U738" s="100"/>
      <c r="V738" s="69"/>
      <c r="W738" s="71">
        <f t="shared" si="395"/>
        <v>189.782232893157</v>
      </c>
      <c r="X738" s="72">
        <f t="shared" si="399"/>
        <v>2.70652260904362</v>
      </c>
      <c r="Y738" s="72"/>
      <c r="Z738" s="72"/>
      <c r="AA738" s="72">
        <f t="shared" si="396"/>
        <v>2.70652260904362</v>
      </c>
      <c r="AB738" s="81">
        <v>7.11</v>
      </c>
      <c r="AC738" s="69">
        <f t="shared" si="394"/>
        <v>19.2433757503001</v>
      </c>
      <c r="AD738" s="69">
        <f t="shared" si="392"/>
        <v>209.025608643457</v>
      </c>
      <c r="AE738" s="69">
        <f t="shared" si="393"/>
        <v>49.7783913565426</v>
      </c>
    </row>
    <row r="739" customFormat="1" spans="1:31">
      <c r="A739" s="19"/>
      <c r="B739" s="20"/>
      <c r="C739" s="21">
        <v>241022000006</v>
      </c>
      <c r="D739" s="22">
        <v>45590</v>
      </c>
      <c r="E739" s="22" t="s">
        <v>66</v>
      </c>
      <c r="F739" s="20" t="s">
        <v>67</v>
      </c>
      <c r="G739" s="20" t="s">
        <v>490</v>
      </c>
      <c r="H739" s="20">
        <v>20</v>
      </c>
      <c r="I739" s="50"/>
      <c r="J739" s="46">
        <v>284200</v>
      </c>
      <c r="K739" s="41"/>
      <c r="L739" s="47">
        <f t="shared" si="407"/>
        <v>1741.95525589948</v>
      </c>
      <c r="M739" s="48">
        <v>163.15</v>
      </c>
      <c r="N739" s="42">
        <v>7.11</v>
      </c>
      <c r="O739" s="43">
        <f t="shared" si="408"/>
        <v>1159.9965</v>
      </c>
      <c r="P739" s="45"/>
      <c r="Q739" s="45"/>
      <c r="R739" s="69">
        <f t="shared" si="397"/>
        <v>947.648659463786</v>
      </c>
      <c r="S739" s="69"/>
      <c r="T739" s="70">
        <f t="shared" si="398"/>
        <v>1.2625050020008</v>
      </c>
      <c r="U739" s="100"/>
      <c r="V739" s="69"/>
      <c r="W739" s="71">
        <f t="shared" si="395"/>
        <v>948.911164465786</v>
      </c>
      <c r="X739" s="72">
        <f t="shared" si="399"/>
        <v>13.5326130452181</v>
      </c>
      <c r="Y739" s="72"/>
      <c r="Z739" s="72"/>
      <c r="AA739" s="72">
        <f t="shared" si="396"/>
        <v>13.5326130452181</v>
      </c>
      <c r="AB739" s="81">
        <v>7.11</v>
      </c>
      <c r="AC739" s="69">
        <f t="shared" si="394"/>
        <v>96.2168787515006</v>
      </c>
      <c r="AD739" s="69">
        <f t="shared" si="392"/>
        <v>1045.12804321729</v>
      </c>
      <c r="AE739" s="69">
        <f t="shared" si="393"/>
        <v>114.868456782713</v>
      </c>
    </row>
    <row r="740" customFormat="1" spans="1:31">
      <c r="A740" s="19"/>
      <c r="B740" s="20"/>
      <c r="C740" s="21">
        <v>241022000007</v>
      </c>
      <c r="D740" s="22">
        <v>45590</v>
      </c>
      <c r="E740" s="22" t="s">
        <v>41</v>
      </c>
      <c r="F740" s="20" t="s">
        <v>42</v>
      </c>
      <c r="G740" s="20" t="s">
        <v>50</v>
      </c>
      <c r="H740" s="20">
        <v>45.5</v>
      </c>
      <c r="I740" s="39">
        <v>2647</v>
      </c>
      <c r="J740" s="40"/>
      <c r="K740" s="41"/>
      <c r="L740" s="20"/>
      <c r="M740" s="41"/>
      <c r="N740" s="42"/>
      <c r="O740" s="43">
        <f t="shared" si="406"/>
        <v>2647</v>
      </c>
      <c r="P740" s="45"/>
      <c r="Q740" s="45"/>
      <c r="R740" s="69">
        <f t="shared" si="397"/>
        <v>2155.90070028011</v>
      </c>
      <c r="S740" s="69"/>
      <c r="T740" s="70">
        <f t="shared" si="398"/>
        <v>2.87219887955182</v>
      </c>
      <c r="U740" s="100"/>
      <c r="V740" s="69"/>
      <c r="W740" s="71">
        <f t="shared" si="395"/>
        <v>2158.77289915966</v>
      </c>
      <c r="X740" s="72">
        <f t="shared" si="399"/>
        <v>30.7866946778711</v>
      </c>
      <c r="Y740" s="72"/>
      <c r="Z740" s="72"/>
      <c r="AA740" s="72">
        <f t="shared" si="396"/>
        <v>30.7866946778711</v>
      </c>
      <c r="AB740" s="81">
        <v>7.11</v>
      </c>
      <c r="AC740" s="69">
        <f t="shared" si="394"/>
        <v>218.893399159664</v>
      </c>
      <c r="AD740" s="69">
        <f t="shared" si="392"/>
        <v>2377.66629831933</v>
      </c>
      <c r="AE740" s="69">
        <f t="shared" si="393"/>
        <v>269.333701680673</v>
      </c>
    </row>
    <row r="741" customFormat="1" spans="1:31">
      <c r="A741" s="19"/>
      <c r="B741" s="20"/>
      <c r="C741" s="21">
        <v>241022000009</v>
      </c>
      <c r="D741" s="22">
        <v>45590</v>
      </c>
      <c r="E741" s="22" t="s">
        <v>55</v>
      </c>
      <c r="F741" s="20" t="s">
        <v>56</v>
      </c>
      <c r="G741" s="20" t="s">
        <v>193</v>
      </c>
      <c r="H741" s="20">
        <v>0.1</v>
      </c>
      <c r="I741" s="43"/>
      <c r="J741" s="46">
        <v>15510</v>
      </c>
      <c r="K741" s="41"/>
      <c r="L741" s="47">
        <f>SUM(J741/M741)</f>
        <v>1650</v>
      </c>
      <c r="M741" s="48">
        <v>9.4</v>
      </c>
      <c r="N741" s="42">
        <v>7.11</v>
      </c>
      <c r="O741" s="43">
        <f>SUM(M741*N741)</f>
        <v>66.834</v>
      </c>
      <c r="P741" s="45"/>
      <c r="Q741" s="45"/>
      <c r="R741" s="69">
        <f t="shared" si="397"/>
        <v>4.73824329731893</v>
      </c>
      <c r="S741" s="69"/>
      <c r="T741" s="70">
        <f t="shared" si="398"/>
        <v>0.006312525010004</v>
      </c>
      <c r="U741" s="100"/>
      <c r="V741" s="69"/>
      <c r="W741" s="71">
        <f t="shared" si="395"/>
        <v>4.74455582232893</v>
      </c>
      <c r="X741" s="72">
        <f t="shared" si="399"/>
        <v>0.0676630652260904</v>
      </c>
      <c r="Y741" s="72"/>
      <c r="Z741" s="72"/>
      <c r="AA741" s="72">
        <f t="shared" si="396"/>
        <v>0.0676630652260904</v>
      </c>
      <c r="AB741" s="81">
        <v>7.11</v>
      </c>
      <c r="AC741" s="69">
        <f t="shared" si="394"/>
        <v>0.481084393757503</v>
      </c>
      <c r="AD741" s="69">
        <f t="shared" si="392"/>
        <v>5.22564021608643</v>
      </c>
      <c r="AE741" s="69">
        <f t="shared" si="393"/>
        <v>61.6083597839136</v>
      </c>
    </row>
    <row r="742" customFormat="1" spans="1:31">
      <c r="A742" s="19"/>
      <c r="B742" s="20"/>
      <c r="C742" s="21">
        <v>241022000011</v>
      </c>
      <c r="D742" s="22">
        <v>45590</v>
      </c>
      <c r="E742" s="22" t="s">
        <v>37</v>
      </c>
      <c r="F742" s="20" t="s">
        <v>38</v>
      </c>
      <c r="G742" s="20" t="s">
        <v>303</v>
      </c>
      <c r="H742" s="20">
        <v>11.5</v>
      </c>
      <c r="I742" s="39">
        <v>696</v>
      </c>
      <c r="J742" s="40"/>
      <c r="K742" s="41"/>
      <c r="L742" s="20"/>
      <c r="M742" s="41"/>
      <c r="N742" s="42"/>
      <c r="O742" s="43">
        <f t="shared" ref="O742:O744" si="409">SUM(I742)</f>
        <v>696</v>
      </c>
      <c r="P742" s="45"/>
      <c r="Q742" s="45"/>
      <c r="R742" s="69">
        <f t="shared" si="397"/>
        <v>544.897979191677</v>
      </c>
      <c r="S742" s="69"/>
      <c r="T742" s="70">
        <f t="shared" si="398"/>
        <v>0.72594037615046</v>
      </c>
      <c r="U742" s="100"/>
      <c r="V742" s="69"/>
      <c r="W742" s="71">
        <f t="shared" si="395"/>
        <v>545.623919567827</v>
      </c>
      <c r="X742" s="72">
        <f t="shared" si="399"/>
        <v>7.7812525010004</v>
      </c>
      <c r="Y742" s="72"/>
      <c r="Z742" s="72"/>
      <c r="AA742" s="72">
        <f t="shared" si="396"/>
        <v>7.7812525010004</v>
      </c>
      <c r="AB742" s="81">
        <v>7.11</v>
      </c>
      <c r="AC742" s="69">
        <f t="shared" si="394"/>
        <v>55.3247052821128</v>
      </c>
      <c r="AD742" s="69">
        <f t="shared" si="392"/>
        <v>600.94862484994</v>
      </c>
      <c r="AE742" s="69">
        <f t="shared" si="393"/>
        <v>95.05137515006</v>
      </c>
    </row>
    <row r="743" customFormat="1" spans="1:31">
      <c r="A743" s="19"/>
      <c r="B743" s="20"/>
      <c r="C743" s="21">
        <v>241022000012</v>
      </c>
      <c r="D743" s="22">
        <v>45590</v>
      </c>
      <c r="E743" s="22" t="s">
        <v>41</v>
      </c>
      <c r="F743" s="20" t="s">
        <v>42</v>
      </c>
      <c r="G743" s="20" t="s">
        <v>157</v>
      </c>
      <c r="H743" s="20">
        <v>24.5</v>
      </c>
      <c r="I743" s="39">
        <v>1513.37</v>
      </c>
      <c r="J743" s="40"/>
      <c r="K743" s="41"/>
      <c r="L743" s="20"/>
      <c r="M743" s="41"/>
      <c r="N743" s="42"/>
      <c r="O743" s="43">
        <f t="shared" si="409"/>
        <v>1513.37</v>
      </c>
      <c r="P743" s="45"/>
      <c r="Q743" s="45"/>
      <c r="R743" s="69">
        <f t="shared" si="397"/>
        <v>1160.86960784314</v>
      </c>
      <c r="S743" s="69"/>
      <c r="T743" s="70">
        <f t="shared" si="398"/>
        <v>1.54656862745098</v>
      </c>
      <c r="U743" s="100"/>
      <c r="V743" s="69"/>
      <c r="W743" s="71">
        <f t="shared" si="395"/>
        <v>1162.41617647059</v>
      </c>
      <c r="X743" s="72">
        <f t="shared" si="399"/>
        <v>16.5774509803922</v>
      </c>
      <c r="Y743" s="72"/>
      <c r="Z743" s="72"/>
      <c r="AA743" s="72">
        <f t="shared" si="396"/>
        <v>16.5774509803922</v>
      </c>
      <c r="AB743" s="81">
        <v>7.11</v>
      </c>
      <c r="AC743" s="69">
        <f t="shared" si="394"/>
        <v>117.865676470588</v>
      </c>
      <c r="AD743" s="69">
        <f t="shared" ref="AD743:AD758" si="410">SUM(W743+AC743)</f>
        <v>1280.28185294118</v>
      </c>
      <c r="AE743" s="69">
        <f t="shared" ref="AE743:AE758" si="411">SUM(O743-AD743)</f>
        <v>233.088147058824</v>
      </c>
    </row>
    <row r="744" customFormat="1" spans="1:31">
      <c r="A744" s="19"/>
      <c r="B744" s="20"/>
      <c r="C744" s="21">
        <v>241022000013</v>
      </c>
      <c r="D744" s="22">
        <v>45590</v>
      </c>
      <c r="E744" s="22" t="s">
        <v>37</v>
      </c>
      <c r="F744" s="20" t="s">
        <v>38</v>
      </c>
      <c r="G744" s="20" t="s">
        <v>491</v>
      </c>
      <c r="H744" s="20">
        <v>5</v>
      </c>
      <c r="I744" s="39">
        <v>348</v>
      </c>
      <c r="J744" s="40"/>
      <c r="K744" s="41"/>
      <c r="L744" s="20"/>
      <c r="M744" s="41"/>
      <c r="N744" s="42"/>
      <c r="O744" s="43">
        <f t="shared" si="409"/>
        <v>348</v>
      </c>
      <c r="P744" s="45"/>
      <c r="Q744" s="45"/>
      <c r="R744" s="69">
        <f t="shared" si="397"/>
        <v>236.912164865946</v>
      </c>
      <c r="S744" s="69"/>
      <c r="T744" s="70">
        <f t="shared" si="398"/>
        <v>0.3156262505002</v>
      </c>
      <c r="U744" s="100"/>
      <c r="V744" s="69"/>
      <c r="W744" s="71">
        <f t="shared" si="395"/>
        <v>237.227791116447</v>
      </c>
      <c r="X744" s="72">
        <f t="shared" si="399"/>
        <v>3.38315326130452</v>
      </c>
      <c r="Y744" s="72"/>
      <c r="Z744" s="72"/>
      <c r="AA744" s="72">
        <f t="shared" si="396"/>
        <v>3.38315326130452</v>
      </c>
      <c r="AB744" s="81">
        <v>7.11</v>
      </c>
      <c r="AC744" s="69">
        <f t="shared" si="394"/>
        <v>24.0542196878752</v>
      </c>
      <c r="AD744" s="69">
        <f t="shared" si="410"/>
        <v>261.282010804322</v>
      </c>
      <c r="AE744" s="69">
        <f t="shared" si="411"/>
        <v>86.7179891956783</v>
      </c>
    </row>
    <row r="745" customFormat="1" spans="1:31">
      <c r="A745" s="19"/>
      <c r="B745" s="20"/>
      <c r="C745" s="21">
        <v>241022000018</v>
      </c>
      <c r="D745" s="22">
        <v>45590</v>
      </c>
      <c r="E745" s="22" t="s">
        <v>47</v>
      </c>
      <c r="F745" s="20" t="s">
        <v>47</v>
      </c>
      <c r="G745" s="20" t="s">
        <v>492</v>
      </c>
      <c r="H745" s="20">
        <v>457</v>
      </c>
      <c r="I745" s="43"/>
      <c r="J745" s="46">
        <v>6174527</v>
      </c>
      <c r="K745" s="41"/>
      <c r="L745" s="47">
        <f t="shared" ref="L745:L748" si="412">SUM(J745/M745)</f>
        <v>1605.061464916</v>
      </c>
      <c r="M745" s="48">
        <v>3846.91</v>
      </c>
      <c r="N745" s="42">
        <v>7.11</v>
      </c>
      <c r="O745" s="43">
        <f t="shared" ref="O745:O748" si="413">SUM(M745*N745)</f>
        <v>27351.5301</v>
      </c>
      <c r="P745" s="45"/>
      <c r="Q745" s="45"/>
      <c r="R745" s="69">
        <f t="shared" si="397"/>
        <v>21653.7718687475</v>
      </c>
      <c r="S745" s="69"/>
      <c r="T745" s="70">
        <f t="shared" si="398"/>
        <v>28.8482392957183</v>
      </c>
      <c r="U745" s="100"/>
      <c r="V745" s="69"/>
      <c r="W745" s="71">
        <f t="shared" si="395"/>
        <v>21682.6201080432</v>
      </c>
      <c r="X745" s="72">
        <f t="shared" si="399"/>
        <v>309.220208083233</v>
      </c>
      <c r="Y745" s="72"/>
      <c r="Z745" s="72"/>
      <c r="AA745" s="72">
        <f t="shared" si="396"/>
        <v>309.220208083233</v>
      </c>
      <c r="AB745" s="81">
        <v>7.11</v>
      </c>
      <c r="AC745" s="69">
        <f t="shared" si="394"/>
        <v>2198.55567947179</v>
      </c>
      <c r="AD745" s="69">
        <f t="shared" si="410"/>
        <v>23881.175787515</v>
      </c>
      <c r="AE745" s="69">
        <f t="shared" si="411"/>
        <v>3470.35431248499</v>
      </c>
    </row>
    <row r="746" customFormat="1" spans="1:31">
      <c r="A746" s="19"/>
      <c r="B746" s="20"/>
      <c r="C746" s="21">
        <v>241022000022</v>
      </c>
      <c r="D746" s="22">
        <v>45590</v>
      </c>
      <c r="E746" s="22" t="s">
        <v>66</v>
      </c>
      <c r="F746" s="20" t="s">
        <v>67</v>
      </c>
      <c r="G746" s="20" t="s">
        <v>493</v>
      </c>
      <c r="H746" s="20">
        <v>3</v>
      </c>
      <c r="I746" s="39">
        <v>175.5</v>
      </c>
      <c r="J746" s="40"/>
      <c r="K746" s="41"/>
      <c r="L746" s="20"/>
      <c r="M746" s="41"/>
      <c r="N746" s="42"/>
      <c r="O746" s="43">
        <f>SUM(I746)</f>
        <v>175.5</v>
      </c>
      <c r="P746" s="45"/>
      <c r="Q746" s="45"/>
      <c r="R746" s="69">
        <f t="shared" si="397"/>
        <v>142.147298919568</v>
      </c>
      <c r="S746" s="69"/>
      <c r="T746" s="70">
        <f t="shared" si="398"/>
        <v>0.18937575030012</v>
      </c>
      <c r="U746" s="100"/>
      <c r="V746" s="69"/>
      <c r="W746" s="71">
        <f t="shared" si="395"/>
        <v>142.336674669868</v>
      </c>
      <c r="X746" s="72">
        <f t="shared" si="399"/>
        <v>2.02989195678271</v>
      </c>
      <c r="Y746" s="72"/>
      <c r="Z746" s="72"/>
      <c r="AA746" s="72">
        <f t="shared" si="396"/>
        <v>2.02989195678271</v>
      </c>
      <c r="AB746" s="81">
        <v>7.11</v>
      </c>
      <c r="AC746" s="69">
        <f t="shared" si="394"/>
        <v>14.4325318127251</v>
      </c>
      <c r="AD746" s="69">
        <f t="shared" si="410"/>
        <v>156.769206482593</v>
      </c>
      <c r="AE746" s="69">
        <f t="shared" si="411"/>
        <v>18.730793517407</v>
      </c>
    </row>
    <row r="747" customFormat="1" spans="1:31">
      <c r="A747" s="19"/>
      <c r="B747" s="20"/>
      <c r="C747" s="21">
        <v>241022000026</v>
      </c>
      <c r="D747" s="22">
        <v>45590</v>
      </c>
      <c r="E747" s="22" t="s">
        <v>66</v>
      </c>
      <c r="F747" s="20" t="s">
        <v>67</v>
      </c>
      <c r="G747" s="20" t="s">
        <v>381</v>
      </c>
      <c r="H747" s="20">
        <v>0.98</v>
      </c>
      <c r="I747" s="50"/>
      <c r="J747" s="46">
        <v>16170</v>
      </c>
      <c r="K747" s="41"/>
      <c r="L747" s="47">
        <f t="shared" si="412"/>
        <v>1742.45689655172</v>
      </c>
      <c r="M747" s="48">
        <v>9.28</v>
      </c>
      <c r="N747" s="42">
        <v>7.11</v>
      </c>
      <c r="O747" s="43">
        <f t="shared" si="413"/>
        <v>65.9808</v>
      </c>
      <c r="P747" s="45"/>
      <c r="Q747" s="45"/>
      <c r="R747" s="69">
        <f t="shared" si="397"/>
        <v>46.4347843137255</v>
      </c>
      <c r="S747" s="69"/>
      <c r="T747" s="70">
        <f t="shared" si="398"/>
        <v>0.0618627450980392</v>
      </c>
      <c r="U747" s="100"/>
      <c r="V747" s="69"/>
      <c r="W747" s="71">
        <f t="shared" si="395"/>
        <v>46.4966470588235</v>
      </c>
      <c r="X747" s="72">
        <f t="shared" si="399"/>
        <v>0.663098039215686</v>
      </c>
      <c r="Y747" s="72"/>
      <c r="Z747" s="72"/>
      <c r="AA747" s="72">
        <f t="shared" si="396"/>
        <v>0.663098039215686</v>
      </c>
      <c r="AB747" s="81">
        <v>7.11</v>
      </c>
      <c r="AC747" s="69">
        <f t="shared" si="394"/>
        <v>4.71462705882353</v>
      </c>
      <c r="AD747" s="69">
        <f t="shared" si="410"/>
        <v>51.2112741176471</v>
      </c>
      <c r="AE747" s="69">
        <f t="shared" si="411"/>
        <v>14.7695258823529</v>
      </c>
    </row>
    <row r="748" customFormat="1" spans="1:31">
      <c r="A748" s="19"/>
      <c r="B748" s="20"/>
      <c r="C748" s="82">
        <v>241022000028</v>
      </c>
      <c r="D748" s="83">
        <v>45590</v>
      </c>
      <c r="E748" s="22" t="s">
        <v>66</v>
      </c>
      <c r="F748" s="84" t="s">
        <v>67</v>
      </c>
      <c r="G748" s="84" t="s">
        <v>494</v>
      </c>
      <c r="H748" s="84">
        <v>234</v>
      </c>
      <c r="I748" s="50"/>
      <c r="J748" s="46">
        <v>3153150</v>
      </c>
      <c r="K748" s="41"/>
      <c r="L748" s="47">
        <f t="shared" si="412"/>
        <v>1741.95633438667</v>
      </c>
      <c r="M748" s="48">
        <v>1810.12</v>
      </c>
      <c r="N748" s="42">
        <v>7.11</v>
      </c>
      <c r="O748" s="43">
        <f t="shared" si="413"/>
        <v>12869.9532</v>
      </c>
      <c r="P748" s="45"/>
      <c r="Q748" s="45"/>
      <c r="R748" s="69">
        <f t="shared" si="397"/>
        <v>11087.4893157263</v>
      </c>
      <c r="S748" s="69"/>
      <c r="T748" s="70">
        <f t="shared" si="398"/>
        <v>14.7713085234094</v>
      </c>
      <c r="U748" s="100"/>
      <c r="V748" s="69"/>
      <c r="W748" s="71">
        <f t="shared" si="395"/>
        <v>11102.2606242497</v>
      </c>
      <c r="X748" s="72">
        <f t="shared" si="399"/>
        <v>158.331572629052</v>
      </c>
      <c r="Y748" s="72"/>
      <c r="Z748" s="72"/>
      <c r="AA748" s="72">
        <f t="shared" si="396"/>
        <v>158.331572629052</v>
      </c>
      <c r="AB748" s="81">
        <v>7.11</v>
      </c>
      <c r="AC748" s="69">
        <f t="shared" si="394"/>
        <v>1125.73748139256</v>
      </c>
      <c r="AD748" s="69">
        <f t="shared" si="410"/>
        <v>12227.9981056423</v>
      </c>
      <c r="AE748" s="69">
        <f t="shared" si="411"/>
        <v>641.955094357743</v>
      </c>
    </row>
    <row r="749" customFormat="1" spans="1:31">
      <c r="A749" s="19"/>
      <c r="B749" s="20"/>
      <c r="C749" s="21">
        <v>241022000038</v>
      </c>
      <c r="D749" s="22">
        <v>45590</v>
      </c>
      <c r="E749" s="22" t="s">
        <v>37</v>
      </c>
      <c r="F749" s="20" t="s">
        <v>38</v>
      </c>
      <c r="G749" s="20" t="s">
        <v>495</v>
      </c>
      <c r="H749" s="20">
        <v>6.5</v>
      </c>
      <c r="I749" s="39">
        <v>396</v>
      </c>
      <c r="J749" s="40"/>
      <c r="K749" s="41"/>
      <c r="L749" s="20"/>
      <c r="M749" s="41"/>
      <c r="N749" s="42"/>
      <c r="O749" s="43">
        <f t="shared" ref="O749:O759" si="414">SUM(I749)</f>
        <v>396</v>
      </c>
      <c r="P749" s="45"/>
      <c r="Q749" s="45"/>
      <c r="R749" s="69">
        <f t="shared" si="397"/>
        <v>307.98581432573</v>
      </c>
      <c r="S749" s="69"/>
      <c r="T749" s="70">
        <f t="shared" si="398"/>
        <v>0.41031412565026</v>
      </c>
      <c r="U749" s="100"/>
      <c r="V749" s="69"/>
      <c r="W749" s="71">
        <f t="shared" si="395"/>
        <v>308.396128451381</v>
      </c>
      <c r="X749" s="72">
        <f t="shared" si="399"/>
        <v>4.39809923969588</v>
      </c>
      <c r="Y749" s="72"/>
      <c r="Z749" s="72"/>
      <c r="AA749" s="72">
        <f t="shared" si="396"/>
        <v>4.39809923969588</v>
      </c>
      <c r="AB749" s="81">
        <v>7.11</v>
      </c>
      <c r="AC749" s="69">
        <f t="shared" si="394"/>
        <v>31.2704855942377</v>
      </c>
      <c r="AD749" s="69">
        <f t="shared" si="410"/>
        <v>339.666614045618</v>
      </c>
      <c r="AE749" s="69">
        <f t="shared" si="411"/>
        <v>56.3333859543818</v>
      </c>
    </row>
    <row r="750" customFormat="1" spans="1:31">
      <c r="A750" s="19"/>
      <c r="B750" s="20"/>
      <c r="C750" s="21">
        <v>241022000039</v>
      </c>
      <c r="D750" s="22">
        <v>45590</v>
      </c>
      <c r="E750" s="22" t="s">
        <v>76</v>
      </c>
      <c r="F750" s="20" t="s">
        <v>77</v>
      </c>
      <c r="G750" s="20" t="s">
        <v>496</v>
      </c>
      <c r="H750" s="20">
        <v>0.5</v>
      </c>
      <c r="I750" s="50"/>
      <c r="J750" s="46">
        <v>16170</v>
      </c>
      <c r="K750" s="41"/>
      <c r="L750" s="47">
        <f>SUM(J750/M750)</f>
        <v>1742.45689655172</v>
      </c>
      <c r="M750" s="48">
        <v>9.28</v>
      </c>
      <c r="N750" s="42">
        <v>7.11</v>
      </c>
      <c r="O750" s="43">
        <f>SUM(M750*N750)</f>
        <v>65.9808</v>
      </c>
      <c r="P750" s="45"/>
      <c r="Q750" s="45"/>
      <c r="R750" s="69">
        <f t="shared" si="397"/>
        <v>23.6912164865946</v>
      </c>
      <c r="S750" s="69"/>
      <c r="T750" s="70">
        <f t="shared" si="398"/>
        <v>0.03156262505002</v>
      </c>
      <c r="U750" s="100"/>
      <c r="V750" s="69"/>
      <c r="W750" s="71">
        <f t="shared" si="395"/>
        <v>23.7227791116447</v>
      </c>
      <c r="X750" s="72">
        <f t="shared" si="399"/>
        <v>0.338315326130452</v>
      </c>
      <c r="Y750" s="72"/>
      <c r="Z750" s="72"/>
      <c r="AA750" s="72">
        <f t="shared" si="396"/>
        <v>0.338315326130452</v>
      </c>
      <c r="AB750" s="81">
        <v>7.11</v>
      </c>
      <c r="AC750" s="69">
        <f t="shared" si="394"/>
        <v>2.40542196878751</v>
      </c>
      <c r="AD750" s="69">
        <f t="shared" si="410"/>
        <v>26.1282010804322</v>
      </c>
      <c r="AE750" s="69">
        <f t="shared" si="411"/>
        <v>39.8525989195678</v>
      </c>
    </row>
    <row r="751" customFormat="1" spans="1:31">
      <c r="A751" s="19"/>
      <c r="B751" s="20"/>
      <c r="C751" s="21">
        <v>241022000043</v>
      </c>
      <c r="D751" s="22">
        <v>45590</v>
      </c>
      <c r="E751" s="22" t="s">
        <v>41</v>
      </c>
      <c r="F751" s="20" t="s">
        <v>42</v>
      </c>
      <c r="G751" s="20" t="s">
        <v>255</v>
      </c>
      <c r="H751" s="20">
        <v>2</v>
      </c>
      <c r="I751" s="50"/>
      <c r="J751" s="46">
        <v>31605</v>
      </c>
      <c r="K751" s="41"/>
      <c r="L751" s="47">
        <f>SUM(J751/M751)</f>
        <v>1742.2822491731</v>
      </c>
      <c r="M751" s="48">
        <v>18.14</v>
      </c>
      <c r="N751" s="42">
        <v>7.11</v>
      </c>
      <c r="O751" s="43">
        <f>SUM(M751*N751)</f>
        <v>128.9754</v>
      </c>
      <c r="P751" s="45"/>
      <c r="Q751" s="45"/>
      <c r="R751" s="69">
        <f t="shared" si="397"/>
        <v>94.7648659463785</v>
      </c>
      <c r="S751" s="69"/>
      <c r="T751" s="70">
        <f t="shared" si="398"/>
        <v>0.12625050020008</v>
      </c>
      <c r="U751" s="100"/>
      <c r="V751" s="69"/>
      <c r="W751" s="71">
        <f t="shared" si="395"/>
        <v>94.8911164465786</v>
      </c>
      <c r="X751" s="72">
        <f t="shared" si="399"/>
        <v>1.35326130452181</v>
      </c>
      <c r="Y751" s="72"/>
      <c r="Z751" s="72"/>
      <c r="AA751" s="72">
        <f t="shared" si="396"/>
        <v>1.35326130452181</v>
      </c>
      <c r="AB751" s="81">
        <v>7.11</v>
      </c>
      <c r="AC751" s="69">
        <f t="shared" si="394"/>
        <v>9.62168787515006</v>
      </c>
      <c r="AD751" s="69">
        <f t="shared" si="410"/>
        <v>104.512804321729</v>
      </c>
      <c r="AE751" s="69">
        <f t="shared" si="411"/>
        <v>24.4625956782713</v>
      </c>
    </row>
    <row r="752" customFormat="1" spans="1:31">
      <c r="A752" s="19"/>
      <c r="B752" s="20"/>
      <c r="C752" s="21">
        <v>241022000044</v>
      </c>
      <c r="D752" s="22">
        <v>45590</v>
      </c>
      <c r="E752" s="22" t="s">
        <v>41</v>
      </c>
      <c r="F752" s="20" t="s">
        <v>42</v>
      </c>
      <c r="G752" s="20" t="s">
        <v>62</v>
      </c>
      <c r="H752" s="20">
        <v>0.34</v>
      </c>
      <c r="I752" s="39">
        <v>66</v>
      </c>
      <c r="J752" s="40"/>
      <c r="K752" s="41"/>
      <c r="L752" s="20"/>
      <c r="M752" s="41"/>
      <c r="N752" s="42"/>
      <c r="O752" s="43">
        <f t="shared" si="414"/>
        <v>66</v>
      </c>
      <c r="P752" s="45"/>
      <c r="Q752" s="45"/>
      <c r="R752" s="69">
        <f t="shared" si="397"/>
        <v>16.1100272108844</v>
      </c>
      <c r="S752" s="69"/>
      <c r="T752" s="70">
        <f t="shared" si="398"/>
        <v>0.0214625850340136</v>
      </c>
      <c r="U752" s="100"/>
      <c r="V752" s="69"/>
      <c r="W752" s="71">
        <f t="shared" si="395"/>
        <v>16.1314897959184</v>
      </c>
      <c r="X752" s="72">
        <f t="shared" si="399"/>
        <v>0.230054421768707</v>
      </c>
      <c r="Y752" s="72"/>
      <c r="Z752" s="72"/>
      <c r="AA752" s="72">
        <f t="shared" si="396"/>
        <v>0.230054421768707</v>
      </c>
      <c r="AB752" s="81">
        <v>7.11</v>
      </c>
      <c r="AC752" s="69">
        <f t="shared" si="394"/>
        <v>1.63568693877551</v>
      </c>
      <c r="AD752" s="69">
        <f t="shared" si="410"/>
        <v>17.7671767346939</v>
      </c>
      <c r="AE752" s="69">
        <f t="shared" si="411"/>
        <v>48.2328232653061</v>
      </c>
    </row>
    <row r="753" customFormat="1" spans="1:31">
      <c r="A753" s="19"/>
      <c r="B753" s="20"/>
      <c r="C753" s="21">
        <v>241023000008</v>
      </c>
      <c r="D753" s="22">
        <v>45590</v>
      </c>
      <c r="E753" s="22" t="s">
        <v>41</v>
      </c>
      <c r="F753" s="20" t="s">
        <v>42</v>
      </c>
      <c r="G753" s="20" t="s">
        <v>157</v>
      </c>
      <c r="H753" s="20">
        <v>7</v>
      </c>
      <c r="I753" s="39">
        <v>432.39</v>
      </c>
      <c r="J753" s="40"/>
      <c r="K753" s="41"/>
      <c r="L753" s="20"/>
      <c r="M753" s="41"/>
      <c r="N753" s="42"/>
      <c r="O753" s="43">
        <f t="shared" si="414"/>
        <v>432.39</v>
      </c>
      <c r="P753" s="45"/>
      <c r="Q753" s="45"/>
      <c r="R753" s="69">
        <f t="shared" si="397"/>
        <v>331.677030812325</v>
      </c>
      <c r="S753" s="69"/>
      <c r="T753" s="70">
        <f t="shared" si="398"/>
        <v>0.44187675070028</v>
      </c>
      <c r="U753" s="100"/>
      <c r="V753" s="69"/>
      <c r="W753" s="71">
        <f t="shared" si="395"/>
        <v>332.118907563025</v>
      </c>
      <c r="X753" s="72">
        <f t="shared" si="399"/>
        <v>4.73641456582633</v>
      </c>
      <c r="Y753" s="72"/>
      <c r="Z753" s="72"/>
      <c r="AA753" s="72">
        <f t="shared" si="396"/>
        <v>4.73641456582633</v>
      </c>
      <c r="AB753" s="81">
        <v>7.11</v>
      </c>
      <c r="AC753" s="69">
        <f t="shared" si="394"/>
        <v>33.6759075630252</v>
      </c>
      <c r="AD753" s="69">
        <f t="shared" si="410"/>
        <v>365.79481512605</v>
      </c>
      <c r="AE753" s="69">
        <f t="shared" si="411"/>
        <v>66.5951848739496</v>
      </c>
    </row>
    <row r="754" customFormat="1" spans="1:31">
      <c r="A754" s="19"/>
      <c r="B754" s="20"/>
      <c r="C754" s="21">
        <v>241023000016</v>
      </c>
      <c r="D754" s="22">
        <v>45590</v>
      </c>
      <c r="E754" s="22" t="s">
        <v>66</v>
      </c>
      <c r="F754" s="20" t="s">
        <v>67</v>
      </c>
      <c r="G754" s="20" t="s">
        <v>475</v>
      </c>
      <c r="H754" s="20">
        <v>308</v>
      </c>
      <c r="I754" s="39">
        <v>18120</v>
      </c>
      <c r="J754" s="40"/>
      <c r="K754" s="41"/>
      <c r="L754" s="20"/>
      <c r="M754" s="41"/>
      <c r="N754" s="42"/>
      <c r="O754" s="43">
        <f t="shared" si="414"/>
        <v>18120</v>
      </c>
      <c r="P754" s="45"/>
      <c r="Q754" s="45"/>
      <c r="R754" s="69">
        <f t="shared" si="397"/>
        <v>14593.7893557423</v>
      </c>
      <c r="S754" s="69"/>
      <c r="T754" s="70">
        <f t="shared" si="398"/>
        <v>19.4425770308123</v>
      </c>
      <c r="U754" s="100"/>
      <c r="V754" s="69"/>
      <c r="W754" s="71">
        <f t="shared" si="395"/>
        <v>14613.2319327731</v>
      </c>
      <c r="X754" s="72">
        <f t="shared" si="399"/>
        <v>208.402240896359</v>
      </c>
      <c r="Y754" s="72"/>
      <c r="Z754" s="72"/>
      <c r="AA754" s="72">
        <f t="shared" si="396"/>
        <v>208.402240896359</v>
      </c>
      <c r="AB754" s="81">
        <v>7.11</v>
      </c>
      <c r="AC754" s="69">
        <f t="shared" si="394"/>
        <v>1481.73993277311</v>
      </c>
      <c r="AD754" s="69">
        <f t="shared" si="410"/>
        <v>16094.9718655462</v>
      </c>
      <c r="AE754" s="69">
        <f t="shared" si="411"/>
        <v>2025.02813445378</v>
      </c>
    </row>
    <row r="755" customFormat="1" spans="1:31">
      <c r="A755" s="19"/>
      <c r="B755" s="20"/>
      <c r="C755" s="21">
        <v>241023000020</v>
      </c>
      <c r="D755" s="22">
        <v>45590</v>
      </c>
      <c r="E755" s="22" t="s">
        <v>47</v>
      </c>
      <c r="F755" s="20" t="s">
        <v>47</v>
      </c>
      <c r="G755" s="20" t="s">
        <v>497</v>
      </c>
      <c r="H755" s="20">
        <v>280</v>
      </c>
      <c r="I755" s="39">
        <v>14280</v>
      </c>
      <c r="J755" s="40"/>
      <c r="K755" s="41"/>
      <c r="L755" s="20"/>
      <c r="M755" s="41"/>
      <c r="N755" s="42"/>
      <c r="O755" s="43">
        <f t="shared" si="414"/>
        <v>14280</v>
      </c>
      <c r="P755" s="45"/>
      <c r="Q755" s="45"/>
      <c r="R755" s="69">
        <f t="shared" si="397"/>
        <v>13267.081232493</v>
      </c>
      <c r="S755" s="69"/>
      <c r="T755" s="70">
        <f t="shared" si="398"/>
        <v>17.6750700280112</v>
      </c>
      <c r="U755" s="100"/>
      <c r="V755" s="69"/>
      <c r="W755" s="71">
        <f t="shared" si="395"/>
        <v>13284.756302521</v>
      </c>
      <c r="X755" s="72">
        <f t="shared" si="399"/>
        <v>189.456582633053</v>
      </c>
      <c r="Y755" s="72"/>
      <c r="Z755" s="72"/>
      <c r="AA755" s="72">
        <f t="shared" si="396"/>
        <v>189.456582633053</v>
      </c>
      <c r="AB755" s="81">
        <v>7.11</v>
      </c>
      <c r="AC755" s="69">
        <f t="shared" si="394"/>
        <v>1347.03630252101</v>
      </c>
      <c r="AD755" s="69">
        <f t="shared" si="410"/>
        <v>14631.792605042</v>
      </c>
      <c r="AE755" s="69">
        <f t="shared" si="411"/>
        <v>-351.792605042017</v>
      </c>
    </row>
    <row r="756" customFormat="1" spans="1:31">
      <c r="A756" s="19"/>
      <c r="B756" s="20"/>
      <c r="C756" s="21">
        <v>241023000021</v>
      </c>
      <c r="D756" s="22">
        <v>45590</v>
      </c>
      <c r="E756" s="22" t="s">
        <v>47</v>
      </c>
      <c r="F756" s="20" t="s">
        <v>47</v>
      </c>
      <c r="G756" s="20" t="s">
        <v>497</v>
      </c>
      <c r="H756" s="20">
        <v>166.5</v>
      </c>
      <c r="I756" s="39">
        <v>8491.5</v>
      </c>
      <c r="J756" s="40"/>
      <c r="K756" s="41"/>
      <c r="L756" s="20"/>
      <c r="M756" s="41"/>
      <c r="N756" s="42"/>
      <c r="O756" s="43">
        <f t="shared" si="414"/>
        <v>8491.5</v>
      </c>
      <c r="P756" s="45"/>
      <c r="Q756" s="45"/>
      <c r="R756" s="69">
        <f t="shared" si="397"/>
        <v>7889.17509003601</v>
      </c>
      <c r="S756" s="69"/>
      <c r="T756" s="70">
        <f t="shared" si="398"/>
        <v>10.5103541416567</v>
      </c>
      <c r="U756" s="100"/>
      <c r="V756" s="69"/>
      <c r="W756" s="71">
        <f t="shared" si="395"/>
        <v>7899.68544417767</v>
      </c>
      <c r="X756" s="72">
        <f t="shared" si="399"/>
        <v>112.659003601441</v>
      </c>
      <c r="Y756" s="72"/>
      <c r="Z756" s="72"/>
      <c r="AA756" s="72">
        <f t="shared" si="396"/>
        <v>112.659003601441</v>
      </c>
      <c r="AB756" s="81">
        <v>7.11</v>
      </c>
      <c r="AC756" s="69">
        <f t="shared" si="394"/>
        <v>801.005515606243</v>
      </c>
      <c r="AD756" s="69">
        <f t="shared" si="410"/>
        <v>8700.69095978391</v>
      </c>
      <c r="AE756" s="69">
        <f t="shared" si="411"/>
        <v>-209.190959783913</v>
      </c>
    </row>
    <row r="757" customFormat="1" spans="1:31">
      <c r="A757" s="19"/>
      <c r="B757" s="20"/>
      <c r="C757" s="21">
        <v>241023000022</v>
      </c>
      <c r="D757" s="22">
        <v>45590</v>
      </c>
      <c r="E757" s="22" t="s">
        <v>47</v>
      </c>
      <c r="F757" s="20" t="s">
        <v>47</v>
      </c>
      <c r="G757" s="20" t="s">
        <v>497</v>
      </c>
      <c r="H757" s="20">
        <v>28.5</v>
      </c>
      <c r="I757" s="39">
        <v>1453.5</v>
      </c>
      <c r="J757" s="40"/>
      <c r="K757" s="41"/>
      <c r="L757" s="20"/>
      <c r="M757" s="41"/>
      <c r="N757" s="42"/>
      <c r="O757" s="43">
        <f t="shared" si="414"/>
        <v>1453.5</v>
      </c>
      <c r="P757" s="45"/>
      <c r="Q757" s="45"/>
      <c r="R757" s="69">
        <f t="shared" si="397"/>
        <v>1350.39933973589</v>
      </c>
      <c r="S757" s="69"/>
      <c r="T757" s="70">
        <f t="shared" si="398"/>
        <v>1.79906962785114</v>
      </c>
      <c r="U757" s="100"/>
      <c r="V757" s="69"/>
      <c r="W757" s="71">
        <f t="shared" ref="W757:W765" si="415">SUM(R757:V757)</f>
        <v>1352.19840936375</v>
      </c>
      <c r="X757" s="72">
        <f t="shared" si="399"/>
        <v>19.2839735894358</v>
      </c>
      <c r="Y757" s="72"/>
      <c r="Z757" s="72"/>
      <c r="AA757" s="72">
        <f t="shared" ref="AA757:AA765" si="416">SUM(X757:Z757)</f>
        <v>19.2839735894358</v>
      </c>
      <c r="AB757" s="81">
        <v>7.11</v>
      </c>
      <c r="AC757" s="69">
        <f t="shared" si="394"/>
        <v>137.109052220888</v>
      </c>
      <c r="AD757" s="69">
        <f t="shared" ref="AD757:AD765" si="417">SUM(W757+AC757)</f>
        <v>1489.30746158463</v>
      </c>
      <c r="AE757" s="69">
        <f t="shared" si="411"/>
        <v>-35.8074615846338</v>
      </c>
    </row>
    <row r="758" customFormat="1" spans="1:31">
      <c r="A758" s="19"/>
      <c r="B758" s="20"/>
      <c r="C758" s="21">
        <v>241023000024</v>
      </c>
      <c r="D758" s="22">
        <v>45590</v>
      </c>
      <c r="E758" s="22" t="s">
        <v>47</v>
      </c>
      <c r="F758" s="20" t="s">
        <v>47</v>
      </c>
      <c r="G758" s="20" t="s">
        <v>497</v>
      </c>
      <c r="H758" s="20">
        <v>34.5</v>
      </c>
      <c r="I758" s="39">
        <v>1759.5</v>
      </c>
      <c r="J758" s="40"/>
      <c r="K758" s="41"/>
      <c r="L758" s="20"/>
      <c r="M758" s="41"/>
      <c r="N758" s="42"/>
      <c r="O758" s="43">
        <f t="shared" si="414"/>
        <v>1759.5</v>
      </c>
      <c r="P758" s="49"/>
      <c r="Q758" s="49"/>
      <c r="R758" s="69">
        <f t="shared" si="397"/>
        <v>1634.69393757503</v>
      </c>
      <c r="S758" s="69"/>
      <c r="T758" s="70">
        <f t="shared" si="398"/>
        <v>2.17782112845138</v>
      </c>
      <c r="U758" s="100"/>
      <c r="V758" s="69"/>
      <c r="W758" s="71">
        <f t="shared" si="415"/>
        <v>1636.87175870348</v>
      </c>
      <c r="X758" s="72">
        <f t="shared" si="399"/>
        <v>23.3437575030012</v>
      </c>
      <c r="Y758" s="72"/>
      <c r="Z758" s="72"/>
      <c r="AA758" s="72">
        <f t="shared" si="416"/>
        <v>23.3437575030012</v>
      </c>
      <c r="AB758" s="81">
        <v>7.11</v>
      </c>
      <c r="AC758" s="69">
        <f t="shared" ref="AC758:AC765" si="418">SUM(AA758*AB758)</f>
        <v>165.974115846339</v>
      </c>
      <c r="AD758" s="69">
        <f t="shared" si="417"/>
        <v>1802.84587454982</v>
      </c>
      <c r="AE758" s="69">
        <f t="shared" si="411"/>
        <v>-43.3458745498199</v>
      </c>
    </row>
    <row r="759" customFormat="1" spans="1:31">
      <c r="A759" s="19" t="s">
        <v>498</v>
      </c>
      <c r="B759" s="20" t="s">
        <v>499</v>
      </c>
      <c r="C759" s="21">
        <v>241019000006</v>
      </c>
      <c r="D759" s="22">
        <v>45591</v>
      </c>
      <c r="E759" s="22" t="s">
        <v>66</v>
      </c>
      <c r="F759" s="20" t="s">
        <v>67</v>
      </c>
      <c r="G759" s="20" t="s">
        <v>223</v>
      </c>
      <c r="H759" s="20">
        <v>7</v>
      </c>
      <c r="I759" s="39">
        <v>805</v>
      </c>
      <c r="J759" s="40"/>
      <c r="K759" s="41"/>
      <c r="L759" s="20"/>
      <c r="M759" s="41"/>
      <c r="N759" s="42"/>
      <c r="O759" s="43">
        <f t="shared" si="414"/>
        <v>805</v>
      </c>
      <c r="P759" s="44">
        <f>SUM(O759:O765)</f>
        <v>4212.3747</v>
      </c>
      <c r="Q759" s="44" t="s">
        <v>40</v>
      </c>
      <c r="R759" s="69">
        <f>SUM(2400/32)*H759</f>
        <v>525</v>
      </c>
      <c r="S759" s="69"/>
      <c r="T759" s="70">
        <f>SUM(55.98/32)*H759</f>
        <v>12.245625</v>
      </c>
      <c r="U759" s="69"/>
      <c r="V759" s="69"/>
      <c r="W759" s="71">
        <f t="shared" si="415"/>
        <v>537.245625</v>
      </c>
      <c r="X759" s="72">
        <f>SUM(135.47/32)*H759</f>
        <v>29.6340625</v>
      </c>
      <c r="Y759" s="72"/>
      <c r="Z759" s="72"/>
      <c r="AA759" s="72">
        <f t="shared" si="416"/>
        <v>29.6340625</v>
      </c>
      <c r="AB759" s="81">
        <v>7.11</v>
      </c>
      <c r="AC759" s="69">
        <f t="shared" si="418"/>
        <v>210.698184375</v>
      </c>
      <c r="AD759" s="69">
        <f t="shared" si="417"/>
        <v>747.943809375</v>
      </c>
      <c r="AE759" s="69">
        <f t="shared" ref="AE759:AE765" si="419">SUM(O759-AD759)</f>
        <v>57.056190625</v>
      </c>
    </row>
    <row r="760" customFormat="1" spans="1:31">
      <c r="A760" s="19"/>
      <c r="B760" s="20"/>
      <c r="C760" s="21">
        <v>241022000029</v>
      </c>
      <c r="D760" s="22">
        <v>45591</v>
      </c>
      <c r="E760" s="22" t="s">
        <v>41</v>
      </c>
      <c r="F760" s="20" t="s">
        <v>42</v>
      </c>
      <c r="G760" s="20" t="s">
        <v>62</v>
      </c>
      <c r="H760" s="20">
        <v>2</v>
      </c>
      <c r="I760" s="50"/>
      <c r="J760" s="46">
        <v>56005</v>
      </c>
      <c r="K760" s="41"/>
      <c r="L760" s="47">
        <f>SUM(J760/M760)</f>
        <v>1731.7563388992</v>
      </c>
      <c r="M760" s="48">
        <v>32.34</v>
      </c>
      <c r="N760" s="42">
        <v>7.11</v>
      </c>
      <c r="O760" s="43">
        <f>SUM(M760*N760)</f>
        <v>229.9374</v>
      </c>
      <c r="P760" s="45"/>
      <c r="Q760" s="45"/>
      <c r="R760" s="69">
        <f t="shared" ref="R760:R765" si="420">SUM(2400/32)*H760</f>
        <v>150</v>
      </c>
      <c r="S760" s="69"/>
      <c r="T760" s="70">
        <f t="shared" ref="T760:T765" si="421">SUM(55.98/32)*H760</f>
        <v>3.49875</v>
      </c>
      <c r="U760" s="69"/>
      <c r="V760" s="69"/>
      <c r="W760" s="71">
        <f t="shared" si="415"/>
        <v>153.49875</v>
      </c>
      <c r="X760" s="72">
        <f t="shared" ref="X760:X765" si="422">SUM(135.47/32)*H760</f>
        <v>8.466875</v>
      </c>
      <c r="Y760" s="72"/>
      <c r="Z760" s="72"/>
      <c r="AA760" s="72">
        <f t="shared" si="416"/>
        <v>8.466875</v>
      </c>
      <c r="AB760" s="81">
        <v>7.11</v>
      </c>
      <c r="AC760" s="69">
        <f t="shared" si="418"/>
        <v>60.19948125</v>
      </c>
      <c r="AD760" s="69">
        <f t="shared" si="417"/>
        <v>213.69823125</v>
      </c>
      <c r="AE760" s="69">
        <f t="shared" si="419"/>
        <v>16.23916875</v>
      </c>
    </row>
    <row r="761" customFormat="1" spans="1:31">
      <c r="A761" s="19"/>
      <c r="B761" s="20"/>
      <c r="C761" s="21">
        <v>241023000031</v>
      </c>
      <c r="D761" s="22">
        <v>45591</v>
      </c>
      <c r="E761" s="22" t="s">
        <v>41</v>
      </c>
      <c r="F761" s="20" t="s">
        <v>42</v>
      </c>
      <c r="G761" s="20" t="s">
        <v>62</v>
      </c>
      <c r="H761" s="20">
        <v>0.41</v>
      </c>
      <c r="I761" s="88">
        <v>55</v>
      </c>
      <c r="J761" s="46">
        <v>14465</v>
      </c>
      <c r="K761" s="41"/>
      <c r="L761" s="47">
        <f>SUM(J761/M761)</f>
        <v>1715.8956109134</v>
      </c>
      <c r="M761" s="48">
        <v>8.43</v>
      </c>
      <c r="N761" s="42">
        <v>7.11</v>
      </c>
      <c r="O761" s="43">
        <f>SUM(M761*N761+I761)</f>
        <v>114.9373</v>
      </c>
      <c r="P761" s="45"/>
      <c r="Q761" s="45"/>
      <c r="R761" s="69">
        <f t="shared" si="420"/>
        <v>30.75</v>
      </c>
      <c r="S761" s="69"/>
      <c r="T761" s="70">
        <f t="shared" si="421"/>
        <v>0.71724375</v>
      </c>
      <c r="U761" s="69"/>
      <c r="V761" s="69"/>
      <c r="W761" s="71">
        <f t="shared" si="415"/>
        <v>31.46724375</v>
      </c>
      <c r="X761" s="72">
        <f t="shared" si="422"/>
        <v>1.735709375</v>
      </c>
      <c r="Y761" s="72"/>
      <c r="Z761" s="72"/>
      <c r="AA761" s="72">
        <f t="shared" si="416"/>
        <v>1.735709375</v>
      </c>
      <c r="AB761" s="81">
        <v>7.11</v>
      </c>
      <c r="AC761" s="69">
        <f t="shared" si="418"/>
        <v>12.34089365625</v>
      </c>
      <c r="AD761" s="69">
        <f t="shared" si="417"/>
        <v>43.80813740625</v>
      </c>
      <c r="AE761" s="69">
        <f t="shared" si="419"/>
        <v>71.12916259375</v>
      </c>
    </row>
    <row r="762" customFormat="1" spans="1:31">
      <c r="A762" s="19"/>
      <c r="B762" s="20"/>
      <c r="C762" s="21">
        <v>241023000032</v>
      </c>
      <c r="D762" s="22">
        <v>45591</v>
      </c>
      <c r="E762" s="22" t="s">
        <v>47</v>
      </c>
      <c r="F762" s="20" t="s">
        <v>47</v>
      </c>
      <c r="G762" s="20" t="s">
        <v>48</v>
      </c>
      <c r="H762" s="20">
        <v>10.5</v>
      </c>
      <c r="I762" s="39">
        <v>2160</v>
      </c>
      <c r="J762" s="40"/>
      <c r="K762" s="41"/>
      <c r="L762" s="20"/>
      <c r="M762" s="41"/>
      <c r="N762" s="42"/>
      <c r="O762" s="43">
        <f t="shared" ref="O762:O766" si="423">SUM(I762)</f>
        <v>2160</v>
      </c>
      <c r="P762" s="45"/>
      <c r="Q762" s="45"/>
      <c r="R762" s="69">
        <f t="shared" si="420"/>
        <v>787.5</v>
      </c>
      <c r="S762" s="69"/>
      <c r="T762" s="70">
        <f t="shared" si="421"/>
        <v>18.3684375</v>
      </c>
      <c r="U762" s="69"/>
      <c r="V762" s="69"/>
      <c r="W762" s="71">
        <f t="shared" si="415"/>
        <v>805.8684375</v>
      </c>
      <c r="X762" s="72">
        <f t="shared" si="422"/>
        <v>44.45109375</v>
      </c>
      <c r="Y762" s="72"/>
      <c r="Z762" s="72"/>
      <c r="AA762" s="72">
        <f t="shared" si="416"/>
        <v>44.45109375</v>
      </c>
      <c r="AB762" s="81">
        <v>7.11</v>
      </c>
      <c r="AC762" s="69">
        <f t="shared" si="418"/>
        <v>316.0472765625</v>
      </c>
      <c r="AD762" s="69">
        <f t="shared" si="417"/>
        <v>1121.9157140625</v>
      </c>
      <c r="AE762" s="69">
        <f t="shared" ref="AE762:AE774" si="424">SUM(O762-AD762)</f>
        <v>1038.0842859375</v>
      </c>
    </row>
    <row r="763" customFormat="1" spans="1:31">
      <c r="A763" s="19"/>
      <c r="B763" s="20"/>
      <c r="C763" s="21">
        <v>241024000002</v>
      </c>
      <c r="D763" s="22">
        <v>45591</v>
      </c>
      <c r="E763" s="22" t="s">
        <v>47</v>
      </c>
      <c r="F763" s="20" t="s">
        <v>47</v>
      </c>
      <c r="G763" s="20" t="s">
        <v>122</v>
      </c>
      <c r="H763" s="20">
        <v>0.6</v>
      </c>
      <c r="I763" s="50">
        <v>140</v>
      </c>
      <c r="J763" s="40"/>
      <c r="K763" s="41"/>
      <c r="L763" s="20"/>
      <c r="M763" s="41"/>
      <c r="N763" s="42"/>
      <c r="O763" s="43">
        <f t="shared" si="423"/>
        <v>140</v>
      </c>
      <c r="P763" s="45"/>
      <c r="Q763" s="45"/>
      <c r="R763" s="69">
        <f t="shared" si="420"/>
        <v>45</v>
      </c>
      <c r="S763" s="69"/>
      <c r="T763" s="70">
        <f t="shared" si="421"/>
        <v>1.049625</v>
      </c>
      <c r="U763" s="69"/>
      <c r="V763" s="69"/>
      <c r="W763" s="71">
        <f t="shared" si="415"/>
        <v>46.049625</v>
      </c>
      <c r="X763" s="72">
        <f t="shared" si="422"/>
        <v>2.5400625</v>
      </c>
      <c r="Y763" s="72"/>
      <c r="Z763" s="72"/>
      <c r="AA763" s="72">
        <f t="shared" si="416"/>
        <v>2.5400625</v>
      </c>
      <c r="AB763" s="81">
        <v>7.11</v>
      </c>
      <c r="AC763" s="69">
        <f t="shared" ref="AC763:AC774" si="425">SUM(AA763*AB763)</f>
        <v>18.059844375</v>
      </c>
      <c r="AD763" s="69">
        <f t="shared" ref="AD763:AD774" si="426">SUM(W763+AC763)</f>
        <v>64.109469375</v>
      </c>
      <c r="AE763" s="69">
        <f t="shared" si="424"/>
        <v>75.890530625</v>
      </c>
    </row>
    <row r="764" customFormat="1" spans="1:31">
      <c r="A764" s="19"/>
      <c r="B764" s="20"/>
      <c r="C764" s="21">
        <v>241024000053</v>
      </c>
      <c r="D764" s="22">
        <v>45591</v>
      </c>
      <c r="E764" s="22" t="s">
        <v>55</v>
      </c>
      <c r="F764" s="20" t="s">
        <v>56</v>
      </c>
      <c r="G764" s="20" t="s">
        <v>500</v>
      </c>
      <c r="H764" s="20">
        <v>3.5</v>
      </c>
      <c r="I764" s="39">
        <v>402.5</v>
      </c>
      <c r="J764" s="40"/>
      <c r="K764" s="41"/>
      <c r="L764" s="20"/>
      <c r="M764" s="41"/>
      <c r="N764" s="42"/>
      <c r="O764" s="43">
        <f t="shared" si="423"/>
        <v>402.5</v>
      </c>
      <c r="P764" s="45"/>
      <c r="Q764" s="45"/>
      <c r="R764" s="69">
        <f t="shared" si="420"/>
        <v>262.5</v>
      </c>
      <c r="S764" s="69"/>
      <c r="T764" s="70">
        <f t="shared" si="421"/>
        <v>6.1228125</v>
      </c>
      <c r="U764" s="69"/>
      <c r="V764" s="69"/>
      <c r="W764" s="71">
        <f t="shared" si="415"/>
        <v>268.6228125</v>
      </c>
      <c r="X764" s="72">
        <f t="shared" si="422"/>
        <v>14.81703125</v>
      </c>
      <c r="Y764" s="72"/>
      <c r="Z764" s="72"/>
      <c r="AA764" s="72">
        <f t="shared" si="416"/>
        <v>14.81703125</v>
      </c>
      <c r="AB764" s="81">
        <v>7.11</v>
      </c>
      <c r="AC764" s="69">
        <f t="shared" si="425"/>
        <v>105.3490921875</v>
      </c>
      <c r="AD764" s="69">
        <f t="shared" si="426"/>
        <v>373.9719046875</v>
      </c>
      <c r="AE764" s="69">
        <f t="shared" si="424"/>
        <v>28.5280953125</v>
      </c>
    </row>
    <row r="765" customFormat="1" spans="1:31">
      <c r="A765" s="19"/>
      <c r="B765" s="20"/>
      <c r="C765" s="21">
        <v>241025000017</v>
      </c>
      <c r="D765" s="22">
        <v>45591</v>
      </c>
      <c r="E765" s="22" t="s">
        <v>76</v>
      </c>
      <c r="F765" s="20" t="s">
        <v>77</v>
      </c>
      <c r="G765" s="20" t="s">
        <v>339</v>
      </c>
      <c r="H765" s="20">
        <v>3</v>
      </c>
      <c r="I765" s="39">
        <v>360</v>
      </c>
      <c r="J765" s="40"/>
      <c r="K765" s="41"/>
      <c r="L765" s="20"/>
      <c r="M765" s="41"/>
      <c r="N765" s="42"/>
      <c r="O765" s="43">
        <f t="shared" si="423"/>
        <v>360</v>
      </c>
      <c r="P765" s="49"/>
      <c r="Q765" s="49"/>
      <c r="R765" s="69">
        <f t="shared" si="420"/>
        <v>225</v>
      </c>
      <c r="S765" s="69"/>
      <c r="T765" s="70">
        <f t="shared" si="421"/>
        <v>5.248125</v>
      </c>
      <c r="U765" s="69"/>
      <c r="V765" s="69"/>
      <c r="W765" s="71">
        <f t="shared" ref="W765:W774" si="427">SUM(R765:V765)</f>
        <v>230.248125</v>
      </c>
      <c r="X765" s="72">
        <f t="shared" si="422"/>
        <v>12.7003125</v>
      </c>
      <c r="Y765" s="72"/>
      <c r="Z765" s="72"/>
      <c r="AA765" s="72">
        <f t="shared" ref="AA765:AA774" si="428">SUM(X765:Z765)</f>
        <v>12.7003125</v>
      </c>
      <c r="AB765" s="81">
        <v>7.11</v>
      </c>
      <c r="AC765" s="69">
        <f t="shared" si="425"/>
        <v>90.299221875</v>
      </c>
      <c r="AD765" s="69">
        <f t="shared" si="426"/>
        <v>320.547346875</v>
      </c>
      <c r="AE765" s="69">
        <f t="shared" si="424"/>
        <v>39.452653125</v>
      </c>
    </row>
    <row r="766" customFormat="1" spans="1:31">
      <c r="A766" s="19" t="s">
        <v>501</v>
      </c>
      <c r="B766" s="20" t="s">
        <v>502</v>
      </c>
      <c r="C766" s="21">
        <v>241023000001</v>
      </c>
      <c r="D766" s="22">
        <v>45594</v>
      </c>
      <c r="E766" s="22" t="s">
        <v>47</v>
      </c>
      <c r="F766" s="20" t="s">
        <v>51</v>
      </c>
      <c r="G766" s="20" t="s">
        <v>52</v>
      </c>
      <c r="H766" s="20">
        <v>6</v>
      </c>
      <c r="I766" s="39">
        <v>720</v>
      </c>
      <c r="J766" s="40"/>
      <c r="K766" s="41"/>
      <c r="L766" s="20"/>
      <c r="M766" s="41"/>
      <c r="N766" s="42"/>
      <c r="O766" s="43">
        <f t="shared" si="423"/>
        <v>720</v>
      </c>
      <c r="P766" s="44">
        <f>SUM(O766:O774)</f>
        <v>5903.82898578</v>
      </c>
      <c r="Q766" s="44" t="s">
        <v>40</v>
      </c>
      <c r="R766" s="69">
        <f>SUM(2700/32)*H766</f>
        <v>506.25</v>
      </c>
      <c r="S766" s="69"/>
      <c r="T766" s="70">
        <f>SUM(54.98/32)*H766</f>
        <v>10.30875</v>
      </c>
      <c r="U766" s="69"/>
      <c r="V766" s="69"/>
      <c r="W766" s="71">
        <f t="shared" si="427"/>
        <v>516.55875</v>
      </c>
      <c r="X766" s="72">
        <f>SUM(118.32/32)*H766</f>
        <v>22.185</v>
      </c>
      <c r="Y766" s="72"/>
      <c r="Z766" s="72"/>
      <c r="AA766" s="72">
        <f t="shared" si="428"/>
        <v>22.185</v>
      </c>
      <c r="AB766" s="81">
        <v>7.11</v>
      </c>
      <c r="AC766" s="69">
        <f t="shared" si="425"/>
        <v>157.73535</v>
      </c>
      <c r="AD766" s="69">
        <f t="shared" si="426"/>
        <v>674.2941</v>
      </c>
      <c r="AE766" s="69">
        <f t="shared" si="424"/>
        <v>45.7058999999999</v>
      </c>
    </row>
    <row r="767" customFormat="1" spans="1:31">
      <c r="A767" s="19"/>
      <c r="B767" s="20"/>
      <c r="C767" s="21">
        <v>241024000013</v>
      </c>
      <c r="D767" s="22">
        <v>45594</v>
      </c>
      <c r="E767" s="22" t="s">
        <v>41</v>
      </c>
      <c r="F767" s="20" t="s">
        <v>42</v>
      </c>
      <c r="G767" s="20" t="s">
        <v>85</v>
      </c>
      <c r="H767" s="20">
        <v>7</v>
      </c>
      <c r="I767" s="50"/>
      <c r="J767" s="46">
        <v>205800</v>
      </c>
      <c r="K767" s="41"/>
      <c r="L767" s="47">
        <f t="shared" ref="L767:L769" si="429">SUM(J767/M767)</f>
        <v>1742.00101574403</v>
      </c>
      <c r="M767" s="48">
        <v>118.14</v>
      </c>
      <c r="N767" s="42">
        <v>7.11</v>
      </c>
      <c r="O767" s="43">
        <f t="shared" ref="O767:O769" si="430">SUM(M767*N767)</f>
        <v>839.9754</v>
      </c>
      <c r="P767" s="45"/>
      <c r="Q767" s="45"/>
      <c r="R767" s="69">
        <f t="shared" ref="R767:R774" si="431">SUM(2700/32)*H767</f>
        <v>590.625</v>
      </c>
      <c r="S767" s="69"/>
      <c r="T767" s="70">
        <f t="shared" ref="T767:T774" si="432">SUM(54.98/32)*H767</f>
        <v>12.026875</v>
      </c>
      <c r="U767" s="69"/>
      <c r="V767" s="69"/>
      <c r="W767" s="71">
        <f t="shared" si="427"/>
        <v>602.651875</v>
      </c>
      <c r="X767" s="72">
        <f t="shared" ref="X767:X774" si="433">SUM(118.32/32)*H767</f>
        <v>25.8825</v>
      </c>
      <c r="Y767" s="72"/>
      <c r="Z767" s="72"/>
      <c r="AA767" s="72">
        <f t="shared" si="428"/>
        <v>25.8825</v>
      </c>
      <c r="AB767" s="81">
        <v>7.11</v>
      </c>
      <c r="AC767" s="69">
        <f t="shared" si="425"/>
        <v>184.024575</v>
      </c>
      <c r="AD767" s="69">
        <f t="shared" si="426"/>
        <v>786.67645</v>
      </c>
      <c r="AE767" s="69">
        <f t="shared" si="424"/>
        <v>53.29895</v>
      </c>
    </row>
    <row r="768" customFormat="1" spans="1:31">
      <c r="A768" s="19"/>
      <c r="B768" s="20"/>
      <c r="C768" s="21">
        <v>241024000045</v>
      </c>
      <c r="D768" s="22">
        <v>45594</v>
      </c>
      <c r="E768" s="22" t="s">
        <v>37</v>
      </c>
      <c r="F768" s="20" t="s">
        <v>53</v>
      </c>
      <c r="G768" s="20" t="s">
        <v>54</v>
      </c>
      <c r="H768" s="20">
        <v>1.5</v>
      </c>
      <c r="I768" s="43"/>
      <c r="J768" s="46">
        <v>42386.05</v>
      </c>
      <c r="K768" s="41"/>
      <c r="L768" s="47">
        <f t="shared" si="429"/>
        <v>1745</v>
      </c>
      <c r="M768" s="48">
        <v>24.29</v>
      </c>
      <c r="N768" s="42">
        <v>7.11</v>
      </c>
      <c r="O768" s="43">
        <f t="shared" si="430"/>
        <v>172.7019</v>
      </c>
      <c r="P768" s="45"/>
      <c r="Q768" s="45"/>
      <c r="R768" s="69">
        <f t="shared" si="431"/>
        <v>126.5625</v>
      </c>
      <c r="S768" s="69"/>
      <c r="T768" s="70">
        <f t="shared" si="432"/>
        <v>2.5771875</v>
      </c>
      <c r="U768" s="69"/>
      <c r="V768" s="69"/>
      <c r="W768" s="71">
        <f t="shared" si="427"/>
        <v>129.1396875</v>
      </c>
      <c r="X768" s="72">
        <f t="shared" si="433"/>
        <v>5.54625</v>
      </c>
      <c r="Y768" s="72"/>
      <c r="Z768" s="72"/>
      <c r="AA768" s="72">
        <f t="shared" si="428"/>
        <v>5.54625</v>
      </c>
      <c r="AB768" s="81">
        <v>7.11</v>
      </c>
      <c r="AC768" s="69">
        <f t="shared" si="425"/>
        <v>39.4338375</v>
      </c>
      <c r="AD768" s="69">
        <f t="shared" si="426"/>
        <v>168.573525</v>
      </c>
      <c r="AE768" s="69">
        <f t="shared" si="424"/>
        <v>4.12837499999998</v>
      </c>
    </row>
    <row r="769" customFormat="1" spans="1:31">
      <c r="A769" s="19"/>
      <c r="B769" s="20"/>
      <c r="C769" s="21">
        <v>241024000047</v>
      </c>
      <c r="D769" s="22">
        <v>45594</v>
      </c>
      <c r="E769" s="22" t="s">
        <v>37</v>
      </c>
      <c r="F769" s="20" t="s">
        <v>53</v>
      </c>
      <c r="G769" s="20" t="s">
        <v>54</v>
      </c>
      <c r="H769" s="20">
        <v>2.5</v>
      </c>
      <c r="I769" s="43"/>
      <c r="J769" s="46">
        <v>70655.05</v>
      </c>
      <c r="K769" s="41"/>
      <c r="L769" s="47">
        <f t="shared" si="429"/>
        <v>1745.00008619413</v>
      </c>
      <c r="M769" s="48">
        <v>40.489998</v>
      </c>
      <c r="N769" s="42">
        <v>7.11</v>
      </c>
      <c r="O769" s="43">
        <f t="shared" si="430"/>
        <v>287.88388578</v>
      </c>
      <c r="P769" s="45"/>
      <c r="Q769" s="45"/>
      <c r="R769" s="69">
        <f t="shared" si="431"/>
        <v>210.9375</v>
      </c>
      <c r="S769" s="69"/>
      <c r="T769" s="70">
        <f t="shared" si="432"/>
        <v>4.2953125</v>
      </c>
      <c r="U769" s="69"/>
      <c r="V769" s="69"/>
      <c r="W769" s="71">
        <f t="shared" si="427"/>
        <v>215.2328125</v>
      </c>
      <c r="X769" s="72">
        <f t="shared" si="433"/>
        <v>9.24375</v>
      </c>
      <c r="Y769" s="72"/>
      <c r="Z769" s="72"/>
      <c r="AA769" s="72">
        <f t="shared" si="428"/>
        <v>9.24375</v>
      </c>
      <c r="AB769" s="81">
        <v>7.11</v>
      </c>
      <c r="AC769" s="69">
        <f t="shared" si="425"/>
        <v>65.7230625</v>
      </c>
      <c r="AD769" s="69">
        <f t="shared" si="426"/>
        <v>280.955875</v>
      </c>
      <c r="AE769" s="69">
        <f t="shared" si="424"/>
        <v>6.92801078000002</v>
      </c>
    </row>
    <row r="770" customFormat="1" spans="1:31">
      <c r="A770" s="19"/>
      <c r="B770" s="20"/>
      <c r="C770" s="21">
        <v>241024000052</v>
      </c>
      <c r="D770" s="22">
        <v>45594</v>
      </c>
      <c r="E770" s="22" t="s">
        <v>55</v>
      </c>
      <c r="F770" s="20" t="s">
        <v>56</v>
      </c>
      <c r="G770" s="20" t="s">
        <v>500</v>
      </c>
      <c r="H770" s="20">
        <v>18.5</v>
      </c>
      <c r="I770" s="39">
        <v>2127.5</v>
      </c>
      <c r="J770" s="40"/>
      <c r="K770" s="41"/>
      <c r="L770" s="20"/>
      <c r="M770" s="41"/>
      <c r="N770" s="42"/>
      <c r="O770" s="43">
        <f t="shared" ref="O770:O772" si="434">SUM(I770)</f>
        <v>2127.5</v>
      </c>
      <c r="P770" s="45"/>
      <c r="Q770" s="45"/>
      <c r="R770" s="69">
        <f t="shared" si="431"/>
        <v>1560.9375</v>
      </c>
      <c r="S770" s="69"/>
      <c r="T770" s="70">
        <f t="shared" si="432"/>
        <v>31.7853125</v>
      </c>
      <c r="U770" s="69"/>
      <c r="V770" s="69"/>
      <c r="W770" s="71">
        <f t="shared" si="427"/>
        <v>1592.7228125</v>
      </c>
      <c r="X770" s="72">
        <f t="shared" si="433"/>
        <v>68.40375</v>
      </c>
      <c r="Y770" s="72"/>
      <c r="Z770" s="72"/>
      <c r="AA770" s="72">
        <f t="shared" si="428"/>
        <v>68.40375</v>
      </c>
      <c r="AB770" s="81">
        <v>7.11</v>
      </c>
      <c r="AC770" s="69">
        <f t="shared" si="425"/>
        <v>486.3506625</v>
      </c>
      <c r="AD770" s="69">
        <f t="shared" si="426"/>
        <v>2079.073475</v>
      </c>
      <c r="AE770" s="69">
        <f t="shared" si="424"/>
        <v>48.4265249999999</v>
      </c>
    </row>
    <row r="771" customFormat="1" spans="1:31">
      <c r="A771" s="19"/>
      <c r="B771" s="20"/>
      <c r="C771" s="21">
        <v>241025000002</v>
      </c>
      <c r="D771" s="22">
        <v>45594</v>
      </c>
      <c r="E771" s="22" t="s">
        <v>66</v>
      </c>
      <c r="F771" s="20" t="s">
        <v>67</v>
      </c>
      <c r="G771" s="20" t="s">
        <v>263</v>
      </c>
      <c r="H771" s="20">
        <v>1</v>
      </c>
      <c r="I771" s="39">
        <v>170</v>
      </c>
      <c r="J771" s="40"/>
      <c r="K771" s="41"/>
      <c r="L771" s="20"/>
      <c r="M771" s="41"/>
      <c r="N771" s="42"/>
      <c r="O771" s="43">
        <f t="shared" si="434"/>
        <v>170</v>
      </c>
      <c r="P771" s="45"/>
      <c r="Q771" s="45"/>
      <c r="R771" s="69">
        <f t="shared" si="431"/>
        <v>84.375</v>
      </c>
      <c r="S771" s="69"/>
      <c r="T771" s="70">
        <f t="shared" si="432"/>
        <v>1.718125</v>
      </c>
      <c r="U771" s="69"/>
      <c r="V771" s="69"/>
      <c r="W771" s="71">
        <f t="shared" si="427"/>
        <v>86.093125</v>
      </c>
      <c r="X771" s="72">
        <f t="shared" si="433"/>
        <v>3.6975</v>
      </c>
      <c r="Y771" s="72"/>
      <c r="Z771" s="72"/>
      <c r="AA771" s="72">
        <f t="shared" si="428"/>
        <v>3.6975</v>
      </c>
      <c r="AB771" s="81">
        <v>7.11</v>
      </c>
      <c r="AC771" s="69">
        <f t="shared" si="425"/>
        <v>26.289225</v>
      </c>
      <c r="AD771" s="69">
        <f t="shared" ref="AD771:AD802" si="435">SUM(W771+AC771)</f>
        <v>112.38235</v>
      </c>
      <c r="AE771" s="69">
        <f t="shared" si="424"/>
        <v>57.61765</v>
      </c>
    </row>
    <row r="772" customFormat="1" spans="1:31">
      <c r="A772" s="19"/>
      <c r="B772" s="20"/>
      <c r="C772" s="21">
        <v>241025000024</v>
      </c>
      <c r="D772" s="22">
        <v>45594</v>
      </c>
      <c r="E772" s="22" t="s">
        <v>37</v>
      </c>
      <c r="F772" s="20" t="s">
        <v>38</v>
      </c>
      <c r="G772" s="20" t="s">
        <v>503</v>
      </c>
      <c r="H772" s="20">
        <v>0.3</v>
      </c>
      <c r="I772" s="39">
        <v>90</v>
      </c>
      <c r="J772" s="40"/>
      <c r="K772" s="41"/>
      <c r="L772" s="20"/>
      <c r="M772" s="41"/>
      <c r="N772" s="42"/>
      <c r="O772" s="43">
        <f t="shared" si="434"/>
        <v>90</v>
      </c>
      <c r="P772" s="45"/>
      <c r="Q772" s="45"/>
      <c r="R772" s="69">
        <f t="shared" si="431"/>
        <v>25.3125</v>
      </c>
      <c r="S772" s="69"/>
      <c r="T772" s="70">
        <f t="shared" si="432"/>
        <v>0.5154375</v>
      </c>
      <c r="U772" s="69"/>
      <c r="V772" s="69"/>
      <c r="W772" s="71">
        <f t="shared" si="427"/>
        <v>25.8279375</v>
      </c>
      <c r="X772" s="72">
        <f t="shared" si="433"/>
        <v>1.10925</v>
      </c>
      <c r="Y772" s="72"/>
      <c r="Z772" s="72"/>
      <c r="AA772" s="72">
        <f t="shared" si="428"/>
        <v>1.10925</v>
      </c>
      <c r="AB772" s="81">
        <v>7.11</v>
      </c>
      <c r="AC772" s="69">
        <f t="shared" ref="AC772:AC803" si="436">SUM(AA772*AB772)</f>
        <v>7.8867675</v>
      </c>
      <c r="AD772" s="69">
        <f t="shared" si="435"/>
        <v>33.714705</v>
      </c>
      <c r="AE772" s="69">
        <f t="shared" si="424"/>
        <v>56.285295</v>
      </c>
    </row>
    <row r="773" customFormat="1" spans="1:31">
      <c r="A773" s="19"/>
      <c r="B773" s="20"/>
      <c r="C773" s="21">
        <v>241025000043</v>
      </c>
      <c r="D773" s="22">
        <v>45594</v>
      </c>
      <c r="E773" s="22" t="s">
        <v>88</v>
      </c>
      <c r="F773" s="20" t="s">
        <v>259</v>
      </c>
      <c r="G773" s="20" t="s">
        <v>260</v>
      </c>
      <c r="H773" s="20">
        <v>5</v>
      </c>
      <c r="I773" s="43"/>
      <c r="J773" s="40"/>
      <c r="K773" s="41"/>
      <c r="L773" s="20"/>
      <c r="M773" s="41">
        <v>80.98</v>
      </c>
      <c r="N773" s="42">
        <v>7.11</v>
      </c>
      <c r="O773" s="43">
        <f>SUM(M773*N773)</f>
        <v>575.7678</v>
      </c>
      <c r="P773" s="45"/>
      <c r="Q773" s="45"/>
      <c r="R773" s="69">
        <f t="shared" si="431"/>
        <v>421.875</v>
      </c>
      <c r="S773" s="69"/>
      <c r="T773" s="70">
        <f t="shared" si="432"/>
        <v>8.590625</v>
      </c>
      <c r="U773" s="69"/>
      <c r="V773" s="69"/>
      <c r="W773" s="71">
        <f t="shared" si="427"/>
        <v>430.465625</v>
      </c>
      <c r="X773" s="72">
        <f t="shared" si="433"/>
        <v>18.4875</v>
      </c>
      <c r="Y773" s="72"/>
      <c r="Z773" s="72"/>
      <c r="AA773" s="72">
        <f t="shared" si="428"/>
        <v>18.4875</v>
      </c>
      <c r="AB773" s="81">
        <v>7.11</v>
      </c>
      <c r="AC773" s="69">
        <f t="shared" si="436"/>
        <v>131.446125</v>
      </c>
      <c r="AD773" s="69">
        <f t="shared" si="435"/>
        <v>561.91175</v>
      </c>
      <c r="AE773" s="69">
        <f t="shared" ref="AE773:AE804" si="437">SUM(O773-AD773)</f>
        <v>13.85605</v>
      </c>
    </row>
    <row r="774" customFormat="1" spans="1:31">
      <c r="A774" s="19"/>
      <c r="B774" s="20"/>
      <c r="C774" s="21">
        <v>241026000005</v>
      </c>
      <c r="D774" s="22">
        <v>45594</v>
      </c>
      <c r="E774" s="22" t="s">
        <v>66</v>
      </c>
      <c r="F774" s="20" t="s">
        <v>67</v>
      </c>
      <c r="G774" s="20" t="s">
        <v>139</v>
      </c>
      <c r="H774" s="20">
        <v>8</v>
      </c>
      <c r="I774" s="39">
        <v>920</v>
      </c>
      <c r="J774" s="40"/>
      <c r="K774" s="41"/>
      <c r="L774" s="20"/>
      <c r="M774" s="41"/>
      <c r="N774" s="42"/>
      <c r="O774" s="43">
        <f t="shared" ref="O774:O778" si="438">SUM(I774)</f>
        <v>920</v>
      </c>
      <c r="P774" s="49"/>
      <c r="Q774" s="49"/>
      <c r="R774" s="69">
        <f t="shared" si="431"/>
        <v>675</v>
      </c>
      <c r="S774" s="69"/>
      <c r="T774" s="70">
        <f t="shared" si="432"/>
        <v>13.745</v>
      </c>
      <c r="U774" s="69"/>
      <c r="V774" s="69"/>
      <c r="W774" s="71">
        <f t="shared" ref="W774:W805" si="439">SUM(R774:V774)</f>
        <v>688.745</v>
      </c>
      <c r="X774" s="72">
        <f t="shared" si="433"/>
        <v>29.58</v>
      </c>
      <c r="Y774" s="72"/>
      <c r="Z774" s="72"/>
      <c r="AA774" s="72">
        <f t="shared" ref="AA774:AA805" si="440">SUM(X774:Z774)</f>
        <v>29.58</v>
      </c>
      <c r="AB774" s="81">
        <v>7.11</v>
      </c>
      <c r="AC774" s="69">
        <f t="shared" si="436"/>
        <v>210.3138</v>
      </c>
      <c r="AD774" s="69">
        <f t="shared" si="435"/>
        <v>899.0588</v>
      </c>
      <c r="AE774" s="69">
        <f t="shared" si="437"/>
        <v>20.9412</v>
      </c>
    </row>
    <row r="775" customFormat="1" spans="1:31">
      <c r="A775" s="19" t="s">
        <v>504</v>
      </c>
      <c r="B775" s="20" t="s">
        <v>505</v>
      </c>
      <c r="C775" s="21">
        <v>240925000025</v>
      </c>
      <c r="D775" s="22">
        <v>45594</v>
      </c>
      <c r="E775" s="22" t="s">
        <v>41</v>
      </c>
      <c r="F775" s="20" t="s">
        <v>42</v>
      </c>
      <c r="G775" s="20" t="s">
        <v>506</v>
      </c>
      <c r="H775" s="20">
        <v>4</v>
      </c>
      <c r="I775" s="50"/>
      <c r="J775" s="46">
        <v>59049</v>
      </c>
      <c r="K775" s="41"/>
      <c r="L775" s="47">
        <f>SUM(J775/M775)</f>
        <v>1728.09482001756</v>
      </c>
      <c r="M775" s="48">
        <v>34.17</v>
      </c>
      <c r="N775" s="42">
        <v>7.11</v>
      </c>
      <c r="O775" s="43">
        <f>SUM(M775*N775)</f>
        <v>242.9487</v>
      </c>
      <c r="P775" s="44">
        <f>SUM(O775:O835)</f>
        <v>125134.5055</v>
      </c>
      <c r="Q775" s="44" t="s">
        <v>95</v>
      </c>
      <c r="R775" s="69">
        <f>SUM(100087/1722)*H775</f>
        <v>232.49012775842</v>
      </c>
      <c r="S775" s="69"/>
      <c r="T775" s="70">
        <f>SUM(120/1722)*H775</f>
        <v>0.278745644599303</v>
      </c>
      <c r="U775" s="69"/>
      <c r="V775" s="69"/>
      <c r="W775" s="71">
        <f t="shared" si="439"/>
        <v>232.76887340302</v>
      </c>
      <c r="X775" s="72">
        <f>SUM(1404.69/1722)*H775</f>
        <v>3.26292682926829</v>
      </c>
      <c r="Y775" s="72"/>
      <c r="Z775" s="72"/>
      <c r="AA775" s="72">
        <f t="shared" si="440"/>
        <v>3.26292682926829</v>
      </c>
      <c r="AB775" s="81">
        <v>7.11</v>
      </c>
      <c r="AC775" s="69">
        <f t="shared" si="436"/>
        <v>23.1994097560976</v>
      </c>
      <c r="AD775" s="69">
        <f t="shared" si="435"/>
        <v>255.968283159117</v>
      </c>
      <c r="AE775" s="69">
        <f t="shared" si="437"/>
        <v>-13.0195831591173</v>
      </c>
    </row>
    <row r="776" customFormat="1" spans="1:31">
      <c r="A776" s="19"/>
      <c r="B776" s="20"/>
      <c r="C776" s="21">
        <v>241012000010</v>
      </c>
      <c r="D776" s="22">
        <v>45594</v>
      </c>
      <c r="E776" s="22" t="s">
        <v>37</v>
      </c>
      <c r="F776" s="20" t="s">
        <v>38</v>
      </c>
      <c r="G776" s="20" t="s">
        <v>507</v>
      </c>
      <c r="H776" s="20">
        <v>45</v>
      </c>
      <c r="I776" s="39">
        <v>2700</v>
      </c>
      <c r="J776" s="40"/>
      <c r="K776" s="41"/>
      <c r="L776" s="20"/>
      <c r="M776" s="41"/>
      <c r="N776" s="42"/>
      <c r="O776" s="43">
        <f t="shared" si="438"/>
        <v>2700</v>
      </c>
      <c r="P776" s="45"/>
      <c r="Q776" s="45"/>
      <c r="R776" s="69">
        <f t="shared" ref="R776:R807" si="441">SUM(100087/1722)*H776</f>
        <v>2615.51393728223</v>
      </c>
      <c r="S776" s="69"/>
      <c r="T776" s="70">
        <f t="shared" ref="T776:T807" si="442">SUM(120/1722)*H776</f>
        <v>3.13588850174216</v>
      </c>
      <c r="U776" s="69"/>
      <c r="V776" s="69"/>
      <c r="W776" s="71">
        <f t="shared" si="439"/>
        <v>2618.64982578397</v>
      </c>
      <c r="X776" s="72">
        <f t="shared" ref="X776:X807" si="443">SUM(1404.69/1722)*H776</f>
        <v>36.7079268292683</v>
      </c>
      <c r="Y776" s="72"/>
      <c r="Z776" s="72"/>
      <c r="AA776" s="72">
        <f t="shared" si="440"/>
        <v>36.7079268292683</v>
      </c>
      <c r="AB776" s="81">
        <v>7.11</v>
      </c>
      <c r="AC776" s="69">
        <f t="shared" si="436"/>
        <v>260.993359756098</v>
      </c>
      <c r="AD776" s="69">
        <f t="shared" si="435"/>
        <v>2879.64318554007</v>
      </c>
      <c r="AE776" s="69">
        <f t="shared" si="437"/>
        <v>-179.64318554007</v>
      </c>
    </row>
    <row r="777" customFormat="1" spans="1:31">
      <c r="A777" s="19"/>
      <c r="B777" s="20"/>
      <c r="C777" s="21">
        <v>241014000052</v>
      </c>
      <c r="D777" s="22">
        <v>45594</v>
      </c>
      <c r="E777" s="22" t="s">
        <v>76</v>
      </c>
      <c r="F777" s="20" t="s">
        <v>77</v>
      </c>
      <c r="G777" s="20" t="s">
        <v>508</v>
      </c>
      <c r="H777" s="20">
        <v>12.5</v>
      </c>
      <c r="I777" s="39">
        <v>840</v>
      </c>
      <c r="J777" s="40"/>
      <c r="K777" s="41"/>
      <c r="L777" s="20"/>
      <c r="M777" s="41"/>
      <c r="N777" s="42"/>
      <c r="O777" s="43">
        <f t="shared" si="438"/>
        <v>840</v>
      </c>
      <c r="P777" s="45"/>
      <c r="Q777" s="45"/>
      <c r="R777" s="69">
        <f t="shared" si="441"/>
        <v>726.531649245064</v>
      </c>
      <c r="S777" s="69"/>
      <c r="T777" s="70">
        <f t="shared" si="442"/>
        <v>0.871080139372822</v>
      </c>
      <c r="U777" s="69">
        <v>30</v>
      </c>
      <c r="V777" s="70">
        <v>54</v>
      </c>
      <c r="W777" s="71">
        <f t="shared" si="439"/>
        <v>811.402729384437</v>
      </c>
      <c r="X777" s="72">
        <f t="shared" si="443"/>
        <v>10.1966463414634</v>
      </c>
      <c r="Y777" s="72"/>
      <c r="Z777" s="72"/>
      <c r="AA777" s="72">
        <f t="shared" si="440"/>
        <v>10.1966463414634</v>
      </c>
      <c r="AB777" s="81">
        <v>7.11</v>
      </c>
      <c r="AC777" s="69">
        <f t="shared" si="436"/>
        <v>72.4981554878049</v>
      </c>
      <c r="AD777" s="69">
        <f t="shared" si="435"/>
        <v>883.900884872242</v>
      </c>
      <c r="AE777" s="69">
        <f t="shared" si="437"/>
        <v>-43.9008848722416</v>
      </c>
    </row>
    <row r="778" customFormat="1" spans="1:31">
      <c r="A778" s="19"/>
      <c r="B778" s="20"/>
      <c r="C778" s="21">
        <v>241015000028</v>
      </c>
      <c r="D778" s="22">
        <v>45594</v>
      </c>
      <c r="E778" s="22" t="s">
        <v>37</v>
      </c>
      <c r="F778" s="20" t="s">
        <v>38</v>
      </c>
      <c r="G778" s="20" t="s">
        <v>509</v>
      </c>
      <c r="H778" s="20">
        <v>4</v>
      </c>
      <c r="I778" s="39">
        <v>279</v>
      </c>
      <c r="J778" s="40"/>
      <c r="K778" s="41"/>
      <c r="L778" s="20"/>
      <c r="M778" s="41"/>
      <c r="N778" s="42"/>
      <c r="O778" s="43">
        <f t="shared" si="438"/>
        <v>279</v>
      </c>
      <c r="P778" s="45"/>
      <c r="Q778" s="45"/>
      <c r="R778" s="69">
        <f t="shared" si="441"/>
        <v>232.49012775842</v>
      </c>
      <c r="S778" s="69"/>
      <c r="T778" s="70">
        <f t="shared" si="442"/>
        <v>0.278745644599303</v>
      </c>
      <c r="U778" s="69"/>
      <c r="V778" s="69"/>
      <c r="W778" s="71">
        <f t="shared" si="439"/>
        <v>232.76887340302</v>
      </c>
      <c r="X778" s="72">
        <f t="shared" si="443"/>
        <v>3.26292682926829</v>
      </c>
      <c r="Y778" s="72"/>
      <c r="Z778" s="72"/>
      <c r="AA778" s="72">
        <f t="shared" si="440"/>
        <v>3.26292682926829</v>
      </c>
      <c r="AB778" s="81">
        <v>7.11</v>
      </c>
      <c r="AC778" s="69">
        <f t="shared" si="436"/>
        <v>23.1994097560976</v>
      </c>
      <c r="AD778" s="69">
        <f t="shared" si="435"/>
        <v>255.968283159117</v>
      </c>
      <c r="AE778" s="69">
        <f t="shared" si="437"/>
        <v>23.0317168408827</v>
      </c>
    </row>
    <row r="779" customFormat="1" spans="1:31">
      <c r="A779" s="19"/>
      <c r="B779" s="20"/>
      <c r="C779" s="21">
        <v>241017000001</v>
      </c>
      <c r="D779" s="22">
        <v>45594</v>
      </c>
      <c r="E779" s="22" t="s">
        <v>66</v>
      </c>
      <c r="F779" s="20" t="s">
        <v>67</v>
      </c>
      <c r="G779" s="20" t="s">
        <v>510</v>
      </c>
      <c r="H779" s="20">
        <v>0.6</v>
      </c>
      <c r="I779" s="50"/>
      <c r="J779" s="46">
        <v>16170</v>
      </c>
      <c r="K779" s="41"/>
      <c r="L779" s="47">
        <f>SUM(J779/M779)</f>
        <v>1742.45689655172</v>
      </c>
      <c r="M779" s="48">
        <v>9.28</v>
      </c>
      <c r="N779" s="42">
        <v>7.11</v>
      </c>
      <c r="O779" s="43">
        <f>SUM(M779*N779)</f>
        <v>65.9808</v>
      </c>
      <c r="P779" s="45"/>
      <c r="Q779" s="45"/>
      <c r="R779" s="69">
        <f t="shared" si="441"/>
        <v>34.8735191637631</v>
      </c>
      <c r="S779" s="69"/>
      <c r="T779" s="70">
        <f t="shared" si="442"/>
        <v>0.0418118466898955</v>
      </c>
      <c r="U779" s="69"/>
      <c r="V779" s="69"/>
      <c r="W779" s="71">
        <f t="shared" si="439"/>
        <v>34.915331010453</v>
      </c>
      <c r="X779" s="72">
        <f t="shared" si="443"/>
        <v>0.489439024390244</v>
      </c>
      <c r="Y779" s="72"/>
      <c r="Z779" s="72"/>
      <c r="AA779" s="72">
        <f t="shared" si="440"/>
        <v>0.489439024390244</v>
      </c>
      <c r="AB779" s="81">
        <v>7.11</v>
      </c>
      <c r="AC779" s="69">
        <f t="shared" si="436"/>
        <v>3.47991146341463</v>
      </c>
      <c r="AD779" s="69">
        <f t="shared" si="435"/>
        <v>38.3952424738676</v>
      </c>
      <c r="AE779" s="69">
        <f t="shared" si="437"/>
        <v>27.5855575261324</v>
      </c>
    </row>
    <row r="780" customFormat="1" spans="1:31">
      <c r="A780" s="19"/>
      <c r="B780" s="20"/>
      <c r="C780" s="21">
        <v>241017000010</v>
      </c>
      <c r="D780" s="22">
        <v>45594</v>
      </c>
      <c r="E780" s="22" t="s">
        <v>66</v>
      </c>
      <c r="F780" s="20" t="s">
        <v>67</v>
      </c>
      <c r="G780" s="20" t="s">
        <v>511</v>
      </c>
      <c r="H780" s="20">
        <v>0.16</v>
      </c>
      <c r="I780" s="39">
        <v>79</v>
      </c>
      <c r="J780" s="40"/>
      <c r="K780" s="41"/>
      <c r="L780" s="20"/>
      <c r="M780" s="41"/>
      <c r="N780" s="42"/>
      <c r="O780" s="43">
        <f t="shared" ref="O780:O783" si="444">SUM(I780)</f>
        <v>79</v>
      </c>
      <c r="P780" s="45"/>
      <c r="Q780" s="45"/>
      <c r="R780" s="69">
        <f t="shared" si="441"/>
        <v>9.29960511033682</v>
      </c>
      <c r="S780" s="69"/>
      <c r="T780" s="70">
        <f t="shared" si="442"/>
        <v>0.0111498257839721</v>
      </c>
      <c r="U780" s="69"/>
      <c r="V780" s="69"/>
      <c r="W780" s="71">
        <f t="shared" si="439"/>
        <v>9.31075493612079</v>
      </c>
      <c r="X780" s="72">
        <f t="shared" si="443"/>
        <v>0.130517073170732</v>
      </c>
      <c r="Y780" s="72"/>
      <c r="Z780" s="72"/>
      <c r="AA780" s="72">
        <f t="shared" si="440"/>
        <v>0.130517073170732</v>
      </c>
      <c r="AB780" s="81">
        <v>7.11</v>
      </c>
      <c r="AC780" s="69">
        <f t="shared" si="436"/>
        <v>0.927976390243903</v>
      </c>
      <c r="AD780" s="69">
        <f t="shared" si="435"/>
        <v>10.2387313263647</v>
      </c>
      <c r="AE780" s="69">
        <f t="shared" si="437"/>
        <v>68.7612686736353</v>
      </c>
    </row>
    <row r="781" customFormat="1" spans="1:31">
      <c r="A781" s="19"/>
      <c r="B781" s="20"/>
      <c r="C781" s="21">
        <v>241017000045</v>
      </c>
      <c r="D781" s="22">
        <v>45594</v>
      </c>
      <c r="E781" s="22" t="s">
        <v>76</v>
      </c>
      <c r="F781" s="20" t="s">
        <v>77</v>
      </c>
      <c r="G781" s="20" t="s">
        <v>402</v>
      </c>
      <c r="H781" s="20">
        <v>3.5</v>
      </c>
      <c r="I781" s="39">
        <v>245.85</v>
      </c>
      <c r="J781" s="40"/>
      <c r="K781" s="41"/>
      <c r="L781" s="20"/>
      <c r="M781" s="41"/>
      <c r="N781" s="42"/>
      <c r="O781" s="43">
        <f t="shared" si="444"/>
        <v>245.85</v>
      </c>
      <c r="P781" s="45"/>
      <c r="Q781" s="45"/>
      <c r="R781" s="69">
        <f t="shared" si="441"/>
        <v>203.428861788618</v>
      </c>
      <c r="S781" s="69"/>
      <c r="T781" s="70">
        <f t="shared" si="442"/>
        <v>0.24390243902439</v>
      </c>
      <c r="U781" s="69"/>
      <c r="V781" s="69"/>
      <c r="W781" s="71">
        <f t="shared" si="439"/>
        <v>203.672764227642</v>
      </c>
      <c r="X781" s="72">
        <f t="shared" si="443"/>
        <v>2.85506097560976</v>
      </c>
      <c r="Y781" s="72"/>
      <c r="Z781" s="72"/>
      <c r="AA781" s="72">
        <f t="shared" si="440"/>
        <v>2.85506097560976</v>
      </c>
      <c r="AB781" s="81">
        <v>7.11</v>
      </c>
      <c r="AC781" s="69">
        <f t="shared" si="436"/>
        <v>20.2994835365854</v>
      </c>
      <c r="AD781" s="69">
        <f t="shared" si="435"/>
        <v>223.972247764228</v>
      </c>
      <c r="AE781" s="69">
        <f t="shared" si="437"/>
        <v>21.8777522357723</v>
      </c>
    </row>
    <row r="782" customFormat="1" spans="1:31">
      <c r="A782" s="19"/>
      <c r="B782" s="20"/>
      <c r="C782" s="21">
        <v>241017000048</v>
      </c>
      <c r="D782" s="22">
        <v>45594</v>
      </c>
      <c r="E782" s="22" t="s">
        <v>66</v>
      </c>
      <c r="F782" s="20" t="s">
        <v>67</v>
      </c>
      <c r="G782" s="20" t="s">
        <v>355</v>
      </c>
      <c r="H782" s="20">
        <v>4</v>
      </c>
      <c r="I782" s="39">
        <v>280.5</v>
      </c>
      <c r="J782" s="40"/>
      <c r="K782" s="41"/>
      <c r="L782" s="20"/>
      <c r="M782" s="41"/>
      <c r="N782" s="42"/>
      <c r="O782" s="43">
        <f t="shared" si="444"/>
        <v>280.5</v>
      </c>
      <c r="P782" s="45"/>
      <c r="Q782" s="45"/>
      <c r="R782" s="69">
        <f t="shared" si="441"/>
        <v>232.49012775842</v>
      </c>
      <c r="S782" s="69"/>
      <c r="T782" s="70">
        <f t="shared" si="442"/>
        <v>0.278745644599303</v>
      </c>
      <c r="U782" s="69"/>
      <c r="V782" s="69"/>
      <c r="W782" s="71">
        <f t="shared" si="439"/>
        <v>232.76887340302</v>
      </c>
      <c r="X782" s="72">
        <f t="shared" si="443"/>
        <v>3.26292682926829</v>
      </c>
      <c r="Y782" s="72"/>
      <c r="Z782" s="72"/>
      <c r="AA782" s="72">
        <f t="shared" si="440"/>
        <v>3.26292682926829</v>
      </c>
      <c r="AB782" s="81">
        <v>7.11</v>
      </c>
      <c r="AC782" s="69">
        <f t="shared" si="436"/>
        <v>23.1994097560976</v>
      </c>
      <c r="AD782" s="69">
        <f t="shared" si="435"/>
        <v>255.968283159117</v>
      </c>
      <c r="AE782" s="69">
        <f t="shared" si="437"/>
        <v>24.5317168408827</v>
      </c>
    </row>
    <row r="783" customFormat="1" spans="1:31">
      <c r="A783" s="19"/>
      <c r="B783" s="20"/>
      <c r="C783" s="21">
        <v>241017000050</v>
      </c>
      <c r="D783" s="22">
        <v>45594</v>
      </c>
      <c r="E783" s="22" t="s">
        <v>41</v>
      </c>
      <c r="F783" s="20" t="s">
        <v>42</v>
      </c>
      <c r="G783" s="20" t="s">
        <v>148</v>
      </c>
      <c r="H783" s="20">
        <v>3</v>
      </c>
      <c r="I783" s="39">
        <v>231</v>
      </c>
      <c r="J783" s="40"/>
      <c r="K783" s="41"/>
      <c r="L783" s="20"/>
      <c r="M783" s="41"/>
      <c r="N783" s="42"/>
      <c r="O783" s="43">
        <f t="shared" si="444"/>
        <v>231</v>
      </c>
      <c r="P783" s="45"/>
      <c r="Q783" s="45"/>
      <c r="R783" s="69">
        <f t="shared" si="441"/>
        <v>174.367595818815</v>
      </c>
      <c r="S783" s="69"/>
      <c r="T783" s="70">
        <f t="shared" si="442"/>
        <v>0.209059233449477</v>
      </c>
      <c r="U783" s="69"/>
      <c r="V783" s="69"/>
      <c r="W783" s="71">
        <f t="shared" si="439"/>
        <v>174.576655052265</v>
      </c>
      <c r="X783" s="72">
        <f t="shared" si="443"/>
        <v>2.44719512195122</v>
      </c>
      <c r="Y783" s="72"/>
      <c r="Z783" s="72"/>
      <c r="AA783" s="72">
        <f t="shared" si="440"/>
        <v>2.44719512195122</v>
      </c>
      <c r="AB783" s="81">
        <v>7.11</v>
      </c>
      <c r="AC783" s="69">
        <f t="shared" si="436"/>
        <v>17.3995573170732</v>
      </c>
      <c r="AD783" s="69">
        <f t="shared" si="435"/>
        <v>191.976212369338</v>
      </c>
      <c r="AE783" s="69">
        <f t="shared" si="437"/>
        <v>39.023787630662</v>
      </c>
    </row>
    <row r="784" customFormat="1" spans="1:31">
      <c r="A784" s="19"/>
      <c r="B784" s="20"/>
      <c r="C784" s="21">
        <v>241017000052</v>
      </c>
      <c r="D784" s="22">
        <v>45594</v>
      </c>
      <c r="E784" s="22" t="s">
        <v>41</v>
      </c>
      <c r="F784" s="20" t="s">
        <v>42</v>
      </c>
      <c r="G784" s="20" t="s">
        <v>388</v>
      </c>
      <c r="H784" s="20">
        <v>270</v>
      </c>
      <c r="I784" s="50"/>
      <c r="J784" s="46">
        <v>4422250</v>
      </c>
      <c r="K784" s="41"/>
      <c r="L784" s="47">
        <f t="shared" ref="L784:L789" si="445">SUM(J784/M784)</f>
        <v>1741.95543335684</v>
      </c>
      <c r="M784" s="48">
        <v>2538.67</v>
      </c>
      <c r="N784" s="42">
        <v>7.11</v>
      </c>
      <c r="O784" s="43">
        <f t="shared" ref="O784:O789" si="446">SUM(M784*N784)</f>
        <v>18049.9437</v>
      </c>
      <c r="P784" s="45"/>
      <c r="Q784" s="45"/>
      <c r="R784" s="69">
        <f t="shared" si="441"/>
        <v>15693.0836236934</v>
      </c>
      <c r="S784" s="69"/>
      <c r="T784" s="70">
        <f t="shared" si="442"/>
        <v>18.815331010453</v>
      </c>
      <c r="U784" s="70">
        <v>550</v>
      </c>
      <c r="V784" s="69"/>
      <c r="W784" s="71">
        <f t="shared" si="439"/>
        <v>16261.8989547038</v>
      </c>
      <c r="X784" s="72">
        <f t="shared" si="443"/>
        <v>220.24756097561</v>
      </c>
      <c r="Y784" s="72"/>
      <c r="Z784" s="72"/>
      <c r="AA784" s="72">
        <f t="shared" si="440"/>
        <v>220.24756097561</v>
      </c>
      <c r="AB784" s="81">
        <v>7.11</v>
      </c>
      <c r="AC784" s="69">
        <f t="shared" si="436"/>
        <v>1565.96015853659</v>
      </c>
      <c r="AD784" s="69">
        <f t="shared" si="435"/>
        <v>17827.8591132404</v>
      </c>
      <c r="AE784" s="69">
        <f t="shared" si="437"/>
        <v>222.084586759582</v>
      </c>
    </row>
    <row r="785" customFormat="1" spans="1:31">
      <c r="A785" s="19"/>
      <c r="B785" s="20"/>
      <c r="C785" s="21">
        <v>241017000057</v>
      </c>
      <c r="D785" s="22">
        <v>45594</v>
      </c>
      <c r="E785" s="22" t="s">
        <v>66</v>
      </c>
      <c r="F785" s="20" t="s">
        <v>67</v>
      </c>
      <c r="G785" s="20" t="s">
        <v>512</v>
      </c>
      <c r="H785" s="20">
        <v>4</v>
      </c>
      <c r="I785" s="39">
        <v>607.5</v>
      </c>
      <c r="J785" s="40"/>
      <c r="K785" s="41"/>
      <c r="L785" s="20"/>
      <c r="M785" s="41"/>
      <c r="N785" s="42"/>
      <c r="O785" s="43">
        <f t="shared" ref="O785:O788" si="447">SUM(I785)</f>
        <v>607.5</v>
      </c>
      <c r="P785" s="45"/>
      <c r="Q785" s="45"/>
      <c r="R785" s="69">
        <f t="shared" si="441"/>
        <v>232.49012775842</v>
      </c>
      <c r="S785" s="69"/>
      <c r="T785" s="70">
        <f t="shared" si="442"/>
        <v>0.278745644599303</v>
      </c>
      <c r="U785" s="69"/>
      <c r="V785" s="69"/>
      <c r="W785" s="71">
        <f t="shared" si="439"/>
        <v>232.76887340302</v>
      </c>
      <c r="X785" s="72">
        <f t="shared" si="443"/>
        <v>3.26292682926829</v>
      </c>
      <c r="Y785" s="72"/>
      <c r="Z785" s="72"/>
      <c r="AA785" s="72">
        <f t="shared" si="440"/>
        <v>3.26292682926829</v>
      </c>
      <c r="AB785" s="81">
        <v>7.11</v>
      </c>
      <c r="AC785" s="69">
        <f t="shared" si="436"/>
        <v>23.1994097560976</v>
      </c>
      <c r="AD785" s="69">
        <f t="shared" si="435"/>
        <v>255.968283159117</v>
      </c>
      <c r="AE785" s="69">
        <f t="shared" si="437"/>
        <v>351.531716840883</v>
      </c>
    </row>
    <row r="786" customFormat="1" spans="1:31">
      <c r="A786" s="19"/>
      <c r="B786" s="20"/>
      <c r="C786" s="21">
        <v>241018000005</v>
      </c>
      <c r="D786" s="22">
        <v>45594</v>
      </c>
      <c r="E786" s="22" t="s">
        <v>41</v>
      </c>
      <c r="F786" s="20" t="s">
        <v>42</v>
      </c>
      <c r="G786" s="20" t="s">
        <v>185</v>
      </c>
      <c r="H786" s="20">
        <v>7</v>
      </c>
      <c r="I786" s="50"/>
      <c r="J786" s="46">
        <v>113724</v>
      </c>
      <c r="K786" s="41"/>
      <c r="L786" s="47">
        <f t="shared" si="445"/>
        <v>1725.70561456753</v>
      </c>
      <c r="M786" s="48">
        <v>65.9</v>
      </c>
      <c r="N786" s="42">
        <v>7.11</v>
      </c>
      <c r="O786" s="43">
        <f t="shared" si="446"/>
        <v>468.549</v>
      </c>
      <c r="P786" s="45"/>
      <c r="Q786" s="45"/>
      <c r="R786" s="69">
        <f t="shared" si="441"/>
        <v>406.857723577236</v>
      </c>
      <c r="S786" s="69"/>
      <c r="T786" s="70">
        <f t="shared" si="442"/>
        <v>0.48780487804878</v>
      </c>
      <c r="U786" s="69"/>
      <c r="V786" s="69"/>
      <c r="W786" s="71">
        <f t="shared" si="439"/>
        <v>407.345528455285</v>
      </c>
      <c r="X786" s="72">
        <f t="shared" si="443"/>
        <v>5.71012195121951</v>
      </c>
      <c r="Y786" s="72"/>
      <c r="Z786" s="72"/>
      <c r="AA786" s="72">
        <f t="shared" si="440"/>
        <v>5.71012195121951</v>
      </c>
      <c r="AB786" s="81">
        <v>7.11</v>
      </c>
      <c r="AC786" s="69">
        <f t="shared" si="436"/>
        <v>40.5989670731707</v>
      </c>
      <c r="AD786" s="69">
        <f t="shared" si="435"/>
        <v>447.944495528455</v>
      </c>
      <c r="AE786" s="69">
        <f t="shared" si="437"/>
        <v>20.6045044715447</v>
      </c>
    </row>
    <row r="787" customFormat="1" spans="1:31">
      <c r="A787" s="19"/>
      <c r="B787" s="20"/>
      <c r="C787" s="21">
        <v>241018000019</v>
      </c>
      <c r="D787" s="22">
        <v>45594</v>
      </c>
      <c r="E787" s="22" t="s">
        <v>47</v>
      </c>
      <c r="F787" s="20" t="s">
        <v>47</v>
      </c>
      <c r="G787" s="20" t="s">
        <v>191</v>
      </c>
      <c r="H787" s="20">
        <v>3</v>
      </c>
      <c r="I787" s="39">
        <v>294</v>
      </c>
      <c r="J787" s="40"/>
      <c r="K787" s="41"/>
      <c r="L787" s="20"/>
      <c r="M787" s="41"/>
      <c r="N787" s="42"/>
      <c r="O787" s="43">
        <f t="shared" si="447"/>
        <v>294</v>
      </c>
      <c r="P787" s="45"/>
      <c r="Q787" s="45"/>
      <c r="R787" s="69">
        <f t="shared" si="441"/>
        <v>174.367595818815</v>
      </c>
      <c r="S787" s="69"/>
      <c r="T787" s="70">
        <f t="shared" si="442"/>
        <v>0.209059233449477</v>
      </c>
      <c r="U787" s="69"/>
      <c r="V787" s="69"/>
      <c r="W787" s="71">
        <f t="shared" si="439"/>
        <v>174.576655052265</v>
      </c>
      <c r="X787" s="72">
        <f t="shared" si="443"/>
        <v>2.44719512195122</v>
      </c>
      <c r="Y787" s="72"/>
      <c r="Z787" s="72"/>
      <c r="AA787" s="72">
        <f t="shared" si="440"/>
        <v>2.44719512195122</v>
      </c>
      <c r="AB787" s="81">
        <v>7.11</v>
      </c>
      <c r="AC787" s="69">
        <f t="shared" si="436"/>
        <v>17.3995573170732</v>
      </c>
      <c r="AD787" s="69">
        <f t="shared" si="435"/>
        <v>191.976212369338</v>
      </c>
      <c r="AE787" s="69">
        <f t="shared" si="437"/>
        <v>102.023787630662</v>
      </c>
    </row>
    <row r="788" customFormat="1" spans="1:31">
      <c r="A788" s="19"/>
      <c r="B788" s="20"/>
      <c r="C788" s="21">
        <v>241018000026</v>
      </c>
      <c r="D788" s="22">
        <v>45594</v>
      </c>
      <c r="E788" s="22" t="s">
        <v>37</v>
      </c>
      <c r="F788" s="20" t="s">
        <v>38</v>
      </c>
      <c r="G788" s="20" t="s">
        <v>513</v>
      </c>
      <c r="H788" s="20">
        <v>12</v>
      </c>
      <c r="I788" s="39">
        <v>858.6</v>
      </c>
      <c r="J788" s="40"/>
      <c r="K788" s="41"/>
      <c r="L788" s="20"/>
      <c r="M788" s="41"/>
      <c r="N788" s="42"/>
      <c r="O788" s="43">
        <f t="shared" si="447"/>
        <v>858.6</v>
      </c>
      <c r="P788" s="45"/>
      <c r="Q788" s="45"/>
      <c r="R788" s="69">
        <f t="shared" si="441"/>
        <v>697.470383275261</v>
      </c>
      <c r="S788" s="69"/>
      <c r="T788" s="70">
        <f t="shared" si="442"/>
        <v>0.836236933797909</v>
      </c>
      <c r="U788" s="70">
        <v>60</v>
      </c>
      <c r="V788" s="69"/>
      <c r="W788" s="71">
        <f t="shared" si="439"/>
        <v>758.306620209059</v>
      </c>
      <c r="X788" s="72">
        <f t="shared" si="443"/>
        <v>9.78878048780488</v>
      </c>
      <c r="Y788" s="72"/>
      <c r="Z788" s="72"/>
      <c r="AA788" s="72">
        <f t="shared" si="440"/>
        <v>9.78878048780488</v>
      </c>
      <c r="AB788" s="81">
        <v>7.11</v>
      </c>
      <c r="AC788" s="69">
        <f t="shared" si="436"/>
        <v>69.5982292682927</v>
      </c>
      <c r="AD788" s="69">
        <f t="shared" si="435"/>
        <v>827.904849477352</v>
      </c>
      <c r="AE788" s="69">
        <f t="shared" si="437"/>
        <v>30.6951505226481</v>
      </c>
    </row>
    <row r="789" customFormat="1" spans="1:31">
      <c r="A789" s="19"/>
      <c r="B789" s="20"/>
      <c r="C789" s="21">
        <v>241018000029</v>
      </c>
      <c r="D789" s="22">
        <v>45594</v>
      </c>
      <c r="E789" s="22" t="s">
        <v>76</v>
      </c>
      <c r="F789" s="20" t="s">
        <v>77</v>
      </c>
      <c r="G789" s="20" t="s">
        <v>318</v>
      </c>
      <c r="H789" s="20">
        <v>0.56</v>
      </c>
      <c r="I789" s="50"/>
      <c r="J789" s="46">
        <v>19404</v>
      </c>
      <c r="K789" s="41"/>
      <c r="L789" s="47">
        <f t="shared" si="445"/>
        <v>1743.39622641509</v>
      </c>
      <c r="M789" s="48">
        <v>11.13</v>
      </c>
      <c r="N789" s="42">
        <v>7.11</v>
      </c>
      <c r="O789" s="43">
        <f t="shared" si="446"/>
        <v>79.1343</v>
      </c>
      <c r="P789" s="45"/>
      <c r="Q789" s="45"/>
      <c r="R789" s="69">
        <f t="shared" si="441"/>
        <v>32.5486178861789</v>
      </c>
      <c r="S789" s="69"/>
      <c r="T789" s="70">
        <f t="shared" si="442"/>
        <v>0.0390243902439024</v>
      </c>
      <c r="U789" s="69"/>
      <c r="V789" s="69"/>
      <c r="W789" s="71">
        <f t="shared" si="439"/>
        <v>32.5876422764228</v>
      </c>
      <c r="X789" s="72">
        <f t="shared" si="443"/>
        <v>0.456809756097561</v>
      </c>
      <c r="Y789" s="72"/>
      <c r="Z789" s="72"/>
      <c r="AA789" s="72">
        <f t="shared" si="440"/>
        <v>0.456809756097561</v>
      </c>
      <c r="AB789" s="81">
        <v>7.11</v>
      </c>
      <c r="AC789" s="69">
        <f t="shared" si="436"/>
        <v>3.24791736585366</v>
      </c>
      <c r="AD789" s="69">
        <f t="shared" si="435"/>
        <v>35.8355596422764</v>
      </c>
      <c r="AE789" s="69">
        <f t="shared" si="437"/>
        <v>43.2987403577236</v>
      </c>
    </row>
    <row r="790" customFormat="1" spans="1:31">
      <c r="A790" s="19"/>
      <c r="B790" s="20"/>
      <c r="C790" s="21">
        <v>241018000031</v>
      </c>
      <c r="D790" s="22">
        <v>45594</v>
      </c>
      <c r="E790" s="22" t="s">
        <v>47</v>
      </c>
      <c r="F790" s="20" t="s">
        <v>47</v>
      </c>
      <c r="G790" s="20" t="s">
        <v>514</v>
      </c>
      <c r="H790" s="20">
        <v>7.5</v>
      </c>
      <c r="I790" s="39">
        <v>600</v>
      </c>
      <c r="J790" s="40"/>
      <c r="K790" s="41"/>
      <c r="L790" s="20"/>
      <c r="M790" s="41"/>
      <c r="N790" s="42"/>
      <c r="O790" s="43">
        <f t="shared" ref="O790:O799" si="448">SUM(I790)</f>
        <v>600</v>
      </c>
      <c r="P790" s="45"/>
      <c r="Q790" s="45"/>
      <c r="R790" s="69">
        <f t="shared" si="441"/>
        <v>435.918989547038</v>
      </c>
      <c r="S790" s="69"/>
      <c r="T790" s="70">
        <f t="shared" si="442"/>
        <v>0.522648083623693</v>
      </c>
      <c r="U790" s="69"/>
      <c r="V790" s="69"/>
      <c r="W790" s="71">
        <f t="shared" si="439"/>
        <v>436.441637630662</v>
      </c>
      <c r="X790" s="72">
        <f t="shared" si="443"/>
        <v>6.11798780487805</v>
      </c>
      <c r="Y790" s="72"/>
      <c r="Z790" s="72"/>
      <c r="AA790" s="72">
        <f t="shared" si="440"/>
        <v>6.11798780487805</v>
      </c>
      <c r="AB790" s="81">
        <v>7.11</v>
      </c>
      <c r="AC790" s="69">
        <f t="shared" si="436"/>
        <v>43.4988932926829</v>
      </c>
      <c r="AD790" s="69">
        <f t="shared" si="435"/>
        <v>479.940530923345</v>
      </c>
      <c r="AE790" s="69">
        <f t="shared" si="437"/>
        <v>120.059469076655</v>
      </c>
    </row>
    <row r="791" customFormat="1" spans="1:31">
      <c r="A791" s="19"/>
      <c r="B791" s="20"/>
      <c r="C791" s="21">
        <v>241018000045</v>
      </c>
      <c r="D791" s="22">
        <v>45594</v>
      </c>
      <c r="E791" s="22" t="s">
        <v>66</v>
      </c>
      <c r="F791" s="20" t="s">
        <v>67</v>
      </c>
      <c r="G791" s="20" t="s">
        <v>515</v>
      </c>
      <c r="H791" s="20">
        <v>5</v>
      </c>
      <c r="I791" s="39">
        <v>325</v>
      </c>
      <c r="J791" s="40"/>
      <c r="K791" s="41"/>
      <c r="L791" s="20"/>
      <c r="M791" s="41"/>
      <c r="N791" s="42"/>
      <c r="O791" s="43">
        <f t="shared" si="448"/>
        <v>325</v>
      </c>
      <c r="P791" s="45"/>
      <c r="Q791" s="45"/>
      <c r="R791" s="69">
        <f t="shared" si="441"/>
        <v>290.612659698026</v>
      </c>
      <c r="S791" s="69"/>
      <c r="T791" s="70">
        <f t="shared" si="442"/>
        <v>0.348432055749129</v>
      </c>
      <c r="U791" s="69"/>
      <c r="V791" s="69"/>
      <c r="W791" s="71">
        <f t="shared" si="439"/>
        <v>290.961091753775</v>
      </c>
      <c r="X791" s="72">
        <f t="shared" si="443"/>
        <v>4.07865853658537</v>
      </c>
      <c r="Y791" s="72"/>
      <c r="Z791" s="72"/>
      <c r="AA791" s="72">
        <f t="shared" si="440"/>
        <v>4.07865853658537</v>
      </c>
      <c r="AB791" s="81">
        <v>7.11</v>
      </c>
      <c r="AC791" s="69">
        <f t="shared" si="436"/>
        <v>28.999262195122</v>
      </c>
      <c r="AD791" s="69">
        <f t="shared" si="435"/>
        <v>319.960353948897</v>
      </c>
      <c r="AE791" s="69">
        <f t="shared" si="437"/>
        <v>5.03964605110338</v>
      </c>
    </row>
    <row r="792" customFormat="1" spans="1:31">
      <c r="A792" s="19"/>
      <c r="B792" s="20"/>
      <c r="C792" s="21">
        <v>241018000050</v>
      </c>
      <c r="D792" s="22">
        <v>45594</v>
      </c>
      <c r="E792" s="22" t="s">
        <v>41</v>
      </c>
      <c r="F792" s="20" t="s">
        <v>42</v>
      </c>
      <c r="G792" s="20" t="s">
        <v>472</v>
      </c>
      <c r="H792" s="20">
        <v>2.5</v>
      </c>
      <c r="I792" s="39">
        <v>176.55</v>
      </c>
      <c r="J792" s="40"/>
      <c r="K792" s="41"/>
      <c r="L792" s="20"/>
      <c r="M792" s="41"/>
      <c r="N792" s="42"/>
      <c r="O792" s="43">
        <f t="shared" si="448"/>
        <v>176.55</v>
      </c>
      <c r="P792" s="45"/>
      <c r="Q792" s="45"/>
      <c r="R792" s="69">
        <f t="shared" si="441"/>
        <v>145.306329849013</v>
      </c>
      <c r="S792" s="69"/>
      <c r="T792" s="70">
        <f t="shared" si="442"/>
        <v>0.174216027874564</v>
      </c>
      <c r="U792" s="69"/>
      <c r="V792" s="69"/>
      <c r="W792" s="71">
        <f t="shared" si="439"/>
        <v>145.480545876887</v>
      </c>
      <c r="X792" s="72">
        <f t="shared" si="443"/>
        <v>2.03932926829268</v>
      </c>
      <c r="Y792" s="72"/>
      <c r="Z792" s="72"/>
      <c r="AA792" s="72">
        <f t="shared" si="440"/>
        <v>2.03932926829268</v>
      </c>
      <c r="AB792" s="81">
        <v>7.11</v>
      </c>
      <c r="AC792" s="69">
        <f t="shared" si="436"/>
        <v>14.499631097561</v>
      </c>
      <c r="AD792" s="69">
        <f t="shared" si="435"/>
        <v>159.980176974448</v>
      </c>
      <c r="AE792" s="69">
        <f t="shared" si="437"/>
        <v>16.5698230255517</v>
      </c>
    </row>
    <row r="793" customFormat="1" spans="1:31">
      <c r="A793" s="19"/>
      <c r="B793" s="20"/>
      <c r="C793" s="21">
        <v>241018000052</v>
      </c>
      <c r="D793" s="22">
        <v>45594</v>
      </c>
      <c r="E793" s="22" t="s">
        <v>66</v>
      </c>
      <c r="F793" s="20" t="s">
        <v>67</v>
      </c>
      <c r="G793" s="20" t="s">
        <v>125</v>
      </c>
      <c r="H793" s="20">
        <v>3</v>
      </c>
      <c r="I793" s="39">
        <v>210</v>
      </c>
      <c r="J793" s="40"/>
      <c r="K793" s="41"/>
      <c r="L793" s="20"/>
      <c r="M793" s="41"/>
      <c r="N793" s="42"/>
      <c r="O793" s="43">
        <f t="shared" si="448"/>
        <v>210</v>
      </c>
      <c r="P793" s="45"/>
      <c r="Q793" s="45"/>
      <c r="R793" s="69">
        <f t="shared" si="441"/>
        <v>174.367595818815</v>
      </c>
      <c r="S793" s="69"/>
      <c r="T793" s="70">
        <f t="shared" si="442"/>
        <v>0.209059233449477</v>
      </c>
      <c r="U793" s="69"/>
      <c r="V793" s="69"/>
      <c r="W793" s="71">
        <f t="shared" si="439"/>
        <v>174.576655052265</v>
      </c>
      <c r="X793" s="72">
        <f t="shared" si="443"/>
        <v>2.44719512195122</v>
      </c>
      <c r="Y793" s="72"/>
      <c r="Z793" s="72"/>
      <c r="AA793" s="72">
        <f t="shared" si="440"/>
        <v>2.44719512195122</v>
      </c>
      <c r="AB793" s="81">
        <v>7.11</v>
      </c>
      <c r="AC793" s="69">
        <f t="shared" si="436"/>
        <v>17.3995573170732</v>
      </c>
      <c r="AD793" s="69">
        <f t="shared" si="435"/>
        <v>191.976212369338</v>
      </c>
      <c r="AE793" s="69">
        <f t="shared" si="437"/>
        <v>18.023787630662</v>
      </c>
    </row>
    <row r="794" customFormat="1" spans="1:31">
      <c r="A794" s="19"/>
      <c r="B794" s="20"/>
      <c r="C794" s="21">
        <v>241018000055</v>
      </c>
      <c r="D794" s="22">
        <v>45594</v>
      </c>
      <c r="E794" s="22" t="s">
        <v>66</v>
      </c>
      <c r="F794" s="20" t="s">
        <v>67</v>
      </c>
      <c r="G794" s="20" t="s">
        <v>516</v>
      </c>
      <c r="H794" s="20">
        <v>57.5</v>
      </c>
      <c r="I794" s="50"/>
      <c r="J794" s="46">
        <v>1021775</v>
      </c>
      <c r="K794" s="41"/>
      <c r="L794" s="47">
        <f>SUM(J794/M794)</f>
        <v>1635.31096955923</v>
      </c>
      <c r="M794" s="48">
        <v>624.82</v>
      </c>
      <c r="N794" s="42">
        <v>7.11</v>
      </c>
      <c r="O794" s="43">
        <f>SUM(M794*N794)</f>
        <v>4442.4702</v>
      </c>
      <c r="P794" s="45"/>
      <c r="Q794" s="45"/>
      <c r="R794" s="69">
        <f t="shared" si="441"/>
        <v>3342.04558652729</v>
      </c>
      <c r="S794" s="69"/>
      <c r="T794" s="70">
        <f t="shared" si="442"/>
        <v>4.00696864111498</v>
      </c>
      <c r="U794" s="70">
        <f>SUM(80+50)</f>
        <v>130</v>
      </c>
      <c r="V794" s="69"/>
      <c r="W794" s="71">
        <f t="shared" si="439"/>
        <v>3476.05255516841</v>
      </c>
      <c r="X794" s="72">
        <f t="shared" si="443"/>
        <v>46.9045731707317</v>
      </c>
      <c r="Y794" s="72"/>
      <c r="Z794" s="72"/>
      <c r="AA794" s="72">
        <f t="shared" si="440"/>
        <v>46.9045731707317</v>
      </c>
      <c r="AB794" s="81">
        <v>7.11</v>
      </c>
      <c r="AC794" s="69">
        <f t="shared" si="436"/>
        <v>333.491515243902</v>
      </c>
      <c r="AD794" s="69">
        <f t="shared" si="435"/>
        <v>3809.54407041231</v>
      </c>
      <c r="AE794" s="69">
        <f t="shared" si="437"/>
        <v>632.926129587689</v>
      </c>
    </row>
    <row r="795" customFormat="1" spans="1:31">
      <c r="A795" s="19"/>
      <c r="B795" s="20"/>
      <c r="C795" s="21">
        <v>241019000002</v>
      </c>
      <c r="D795" s="22">
        <v>45594</v>
      </c>
      <c r="E795" s="22" t="s">
        <v>66</v>
      </c>
      <c r="F795" s="20" t="s">
        <v>67</v>
      </c>
      <c r="G795" s="20" t="s">
        <v>475</v>
      </c>
      <c r="H795" s="20">
        <v>32</v>
      </c>
      <c r="I795" s="39">
        <v>2410</v>
      </c>
      <c r="J795" s="40"/>
      <c r="K795" s="41"/>
      <c r="L795" s="20"/>
      <c r="M795" s="41"/>
      <c r="N795" s="42"/>
      <c r="O795" s="43">
        <f t="shared" si="448"/>
        <v>2410</v>
      </c>
      <c r="P795" s="45"/>
      <c r="Q795" s="45"/>
      <c r="R795" s="69">
        <f t="shared" si="441"/>
        <v>1859.92102206736</v>
      </c>
      <c r="S795" s="69"/>
      <c r="T795" s="70">
        <f t="shared" si="442"/>
        <v>2.22996515679442</v>
      </c>
      <c r="U795" s="70">
        <v>70</v>
      </c>
      <c r="V795" s="69"/>
      <c r="W795" s="71">
        <f t="shared" si="439"/>
        <v>1932.15098722416</v>
      </c>
      <c r="X795" s="72">
        <f t="shared" si="443"/>
        <v>26.1034146341463</v>
      </c>
      <c r="Y795" s="72"/>
      <c r="Z795" s="72"/>
      <c r="AA795" s="72">
        <f t="shared" si="440"/>
        <v>26.1034146341463</v>
      </c>
      <c r="AB795" s="81">
        <v>7.11</v>
      </c>
      <c r="AC795" s="69">
        <f t="shared" si="436"/>
        <v>185.59527804878</v>
      </c>
      <c r="AD795" s="69">
        <f t="shared" si="435"/>
        <v>2117.74626527294</v>
      </c>
      <c r="AE795" s="69">
        <f t="shared" si="437"/>
        <v>292.253734727062</v>
      </c>
    </row>
    <row r="796" customFormat="1" spans="1:31">
      <c r="A796" s="19"/>
      <c r="B796" s="20"/>
      <c r="C796" s="82">
        <v>241019000003</v>
      </c>
      <c r="D796" s="83">
        <v>45594</v>
      </c>
      <c r="E796" s="22" t="s">
        <v>66</v>
      </c>
      <c r="F796" s="84" t="s">
        <v>67</v>
      </c>
      <c r="G796" s="84" t="s">
        <v>475</v>
      </c>
      <c r="H796" s="84">
        <v>6</v>
      </c>
      <c r="I796" s="39">
        <v>450</v>
      </c>
      <c r="J796" s="40"/>
      <c r="K796" s="41"/>
      <c r="L796" s="20"/>
      <c r="M796" s="41"/>
      <c r="N796" s="42"/>
      <c r="O796" s="43">
        <f t="shared" si="448"/>
        <v>450</v>
      </c>
      <c r="P796" s="45"/>
      <c r="Q796" s="45"/>
      <c r="R796" s="69">
        <f t="shared" si="441"/>
        <v>348.735191637631</v>
      </c>
      <c r="S796" s="69"/>
      <c r="T796" s="70">
        <f t="shared" si="442"/>
        <v>0.418118466898955</v>
      </c>
      <c r="U796" s="69"/>
      <c r="V796" s="69"/>
      <c r="W796" s="71">
        <f t="shared" si="439"/>
        <v>349.15331010453</v>
      </c>
      <c r="X796" s="72">
        <f t="shared" si="443"/>
        <v>4.89439024390244</v>
      </c>
      <c r="Y796" s="72"/>
      <c r="Z796" s="72"/>
      <c r="AA796" s="72">
        <f t="shared" si="440"/>
        <v>4.89439024390244</v>
      </c>
      <c r="AB796" s="81">
        <v>7.11</v>
      </c>
      <c r="AC796" s="69">
        <f t="shared" si="436"/>
        <v>34.7991146341463</v>
      </c>
      <c r="AD796" s="69">
        <f t="shared" si="435"/>
        <v>383.952424738676</v>
      </c>
      <c r="AE796" s="69">
        <f t="shared" si="437"/>
        <v>66.047575261324</v>
      </c>
    </row>
    <row r="797" customFormat="1" spans="1:31">
      <c r="A797" s="19"/>
      <c r="B797" s="20"/>
      <c r="C797" s="21">
        <v>241019000005</v>
      </c>
      <c r="D797" s="22">
        <v>45594</v>
      </c>
      <c r="E797" s="22" t="s">
        <v>66</v>
      </c>
      <c r="F797" s="20" t="s">
        <v>67</v>
      </c>
      <c r="G797" s="20" t="s">
        <v>144</v>
      </c>
      <c r="H797" s="20">
        <v>6</v>
      </c>
      <c r="I797" s="39">
        <v>442</v>
      </c>
      <c r="J797" s="40"/>
      <c r="K797" s="41"/>
      <c r="L797" s="20"/>
      <c r="M797" s="41"/>
      <c r="N797" s="42"/>
      <c r="O797" s="43">
        <f t="shared" si="448"/>
        <v>442</v>
      </c>
      <c r="P797" s="45"/>
      <c r="Q797" s="45"/>
      <c r="R797" s="69">
        <f t="shared" si="441"/>
        <v>348.735191637631</v>
      </c>
      <c r="S797" s="69"/>
      <c r="T797" s="70">
        <f t="shared" si="442"/>
        <v>0.418118466898955</v>
      </c>
      <c r="U797" s="69"/>
      <c r="V797" s="69"/>
      <c r="W797" s="71">
        <f t="shared" si="439"/>
        <v>349.15331010453</v>
      </c>
      <c r="X797" s="72">
        <f t="shared" si="443"/>
        <v>4.89439024390244</v>
      </c>
      <c r="Y797" s="72"/>
      <c r="Z797" s="72"/>
      <c r="AA797" s="72">
        <f t="shared" si="440"/>
        <v>4.89439024390244</v>
      </c>
      <c r="AB797" s="81">
        <v>7.11</v>
      </c>
      <c r="AC797" s="69">
        <f t="shared" si="436"/>
        <v>34.7991146341463</v>
      </c>
      <c r="AD797" s="69">
        <f t="shared" si="435"/>
        <v>383.952424738676</v>
      </c>
      <c r="AE797" s="69">
        <f t="shared" si="437"/>
        <v>58.047575261324</v>
      </c>
    </row>
    <row r="798" customFormat="1" spans="1:31">
      <c r="A798" s="19"/>
      <c r="B798" s="20"/>
      <c r="C798" s="21">
        <v>241019000007</v>
      </c>
      <c r="D798" s="22">
        <v>45594</v>
      </c>
      <c r="E798" s="22" t="s">
        <v>37</v>
      </c>
      <c r="F798" s="20" t="s">
        <v>38</v>
      </c>
      <c r="G798" s="20" t="s">
        <v>517</v>
      </c>
      <c r="H798" s="20">
        <v>1</v>
      </c>
      <c r="I798" s="39">
        <v>99</v>
      </c>
      <c r="J798" s="40"/>
      <c r="K798" s="41"/>
      <c r="L798" s="20"/>
      <c r="M798" s="41"/>
      <c r="N798" s="42"/>
      <c r="O798" s="43">
        <f t="shared" si="448"/>
        <v>99</v>
      </c>
      <c r="P798" s="45"/>
      <c r="Q798" s="45"/>
      <c r="R798" s="69">
        <f t="shared" si="441"/>
        <v>58.1225319396051</v>
      </c>
      <c r="S798" s="69"/>
      <c r="T798" s="70">
        <f t="shared" si="442"/>
        <v>0.0696864111498258</v>
      </c>
      <c r="U798" s="69"/>
      <c r="V798" s="69"/>
      <c r="W798" s="71">
        <f t="shared" si="439"/>
        <v>58.1922183507549</v>
      </c>
      <c r="X798" s="72">
        <f t="shared" si="443"/>
        <v>0.815731707317073</v>
      </c>
      <c r="Y798" s="72"/>
      <c r="Z798" s="72"/>
      <c r="AA798" s="72">
        <f t="shared" si="440"/>
        <v>0.815731707317073</v>
      </c>
      <c r="AB798" s="81">
        <v>7.11</v>
      </c>
      <c r="AC798" s="69">
        <f t="shared" si="436"/>
        <v>5.79985243902439</v>
      </c>
      <c r="AD798" s="69">
        <f t="shared" si="435"/>
        <v>63.9920707897793</v>
      </c>
      <c r="AE798" s="69">
        <f t="shared" si="437"/>
        <v>35.0079292102207</v>
      </c>
    </row>
    <row r="799" customFormat="1" spans="1:31">
      <c r="A799" s="19"/>
      <c r="B799" s="20"/>
      <c r="C799" s="21">
        <v>241019000008</v>
      </c>
      <c r="D799" s="22">
        <v>45594</v>
      </c>
      <c r="E799" s="22" t="s">
        <v>76</v>
      </c>
      <c r="F799" s="20" t="s">
        <v>77</v>
      </c>
      <c r="G799" s="20" t="s">
        <v>236</v>
      </c>
      <c r="H799" s="20">
        <v>7</v>
      </c>
      <c r="I799" s="39">
        <v>468</v>
      </c>
      <c r="J799" s="40"/>
      <c r="K799" s="41"/>
      <c r="L799" s="20"/>
      <c r="M799" s="41"/>
      <c r="N799" s="42"/>
      <c r="O799" s="43">
        <f t="shared" si="448"/>
        <v>468</v>
      </c>
      <c r="P799" s="45"/>
      <c r="Q799" s="45"/>
      <c r="R799" s="69">
        <f t="shared" si="441"/>
        <v>406.857723577236</v>
      </c>
      <c r="S799" s="69"/>
      <c r="T799" s="70">
        <f t="shared" si="442"/>
        <v>0.48780487804878</v>
      </c>
      <c r="U799" s="69"/>
      <c r="V799" s="69"/>
      <c r="W799" s="71">
        <f t="shared" si="439"/>
        <v>407.345528455285</v>
      </c>
      <c r="X799" s="72">
        <f t="shared" si="443"/>
        <v>5.71012195121951</v>
      </c>
      <c r="Y799" s="72"/>
      <c r="Z799" s="72"/>
      <c r="AA799" s="72">
        <f t="shared" si="440"/>
        <v>5.71012195121951</v>
      </c>
      <c r="AB799" s="81">
        <v>7.11</v>
      </c>
      <c r="AC799" s="69">
        <f t="shared" si="436"/>
        <v>40.5989670731707</v>
      </c>
      <c r="AD799" s="69">
        <f t="shared" si="435"/>
        <v>447.944495528455</v>
      </c>
      <c r="AE799" s="69">
        <f t="shared" si="437"/>
        <v>20.0555044715447</v>
      </c>
    </row>
    <row r="800" customFormat="1" spans="1:31">
      <c r="A800" s="19"/>
      <c r="B800" s="20"/>
      <c r="C800" s="21">
        <v>241020000002</v>
      </c>
      <c r="D800" s="22">
        <v>45594</v>
      </c>
      <c r="E800" s="22" t="s">
        <v>55</v>
      </c>
      <c r="F800" s="20">
        <v>13635229849</v>
      </c>
      <c r="G800" s="20" t="s">
        <v>87</v>
      </c>
      <c r="H800" s="20">
        <v>1</v>
      </c>
      <c r="I800" s="43"/>
      <c r="J800" s="46">
        <v>25163</v>
      </c>
      <c r="K800" s="41"/>
      <c r="L800" s="47">
        <f>SUM(J800/M800)</f>
        <v>1745.00693481276</v>
      </c>
      <c r="M800" s="48">
        <v>14.42</v>
      </c>
      <c r="N800" s="42">
        <v>7.11</v>
      </c>
      <c r="O800" s="43">
        <f>SUM(M800*N800)</f>
        <v>102.5262</v>
      </c>
      <c r="P800" s="45"/>
      <c r="Q800" s="45"/>
      <c r="R800" s="69">
        <f t="shared" si="441"/>
        <v>58.1225319396051</v>
      </c>
      <c r="S800" s="69"/>
      <c r="T800" s="70">
        <f t="shared" si="442"/>
        <v>0.0696864111498258</v>
      </c>
      <c r="U800" s="69"/>
      <c r="V800" s="69"/>
      <c r="W800" s="71">
        <f t="shared" si="439"/>
        <v>58.1922183507549</v>
      </c>
      <c r="X800" s="72">
        <f t="shared" si="443"/>
        <v>0.815731707317073</v>
      </c>
      <c r="Y800" s="72"/>
      <c r="Z800" s="72"/>
      <c r="AA800" s="72">
        <f t="shared" si="440"/>
        <v>0.815731707317073</v>
      </c>
      <c r="AB800" s="81">
        <v>7.11</v>
      </c>
      <c r="AC800" s="69">
        <f t="shared" si="436"/>
        <v>5.79985243902439</v>
      </c>
      <c r="AD800" s="69">
        <f t="shared" si="435"/>
        <v>63.9920707897793</v>
      </c>
      <c r="AE800" s="69">
        <f t="shared" si="437"/>
        <v>38.5341292102207</v>
      </c>
    </row>
    <row r="801" customFormat="1" spans="1:31">
      <c r="A801" s="19"/>
      <c r="B801" s="20"/>
      <c r="C801" s="21">
        <v>241021000002</v>
      </c>
      <c r="D801" s="22">
        <v>45594</v>
      </c>
      <c r="E801" s="22" t="s">
        <v>66</v>
      </c>
      <c r="F801" s="20" t="s">
        <v>67</v>
      </c>
      <c r="G801" s="20" t="s">
        <v>164</v>
      </c>
      <c r="H801" s="20">
        <v>4.5</v>
      </c>
      <c r="I801" s="39">
        <v>344.85</v>
      </c>
      <c r="J801" s="40"/>
      <c r="K801" s="41"/>
      <c r="L801" s="20"/>
      <c r="M801" s="41"/>
      <c r="N801" s="42"/>
      <c r="O801" s="43">
        <f t="shared" ref="O801:O808" si="449">SUM(I801)</f>
        <v>344.85</v>
      </c>
      <c r="P801" s="45"/>
      <c r="Q801" s="45"/>
      <c r="R801" s="69">
        <f t="shared" si="441"/>
        <v>261.551393728223</v>
      </c>
      <c r="S801" s="69"/>
      <c r="T801" s="70">
        <f t="shared" si="442"/>
        <v>0.313588850174216</v>
      </c>
      <c r="U801" s="69"/>
      <c r="V801" s="69"/>
      <c r="W801" s="71">
        <f t="shared" si="439"/>
        <v>261.864982578397</v>
      </c>
      <c r="X801" s="72">
        <f t="shared" si="443"/>
        <v>3.67079268292683</v>
      </c>
      <c r="Y801" s="72"/>
      <c r="Z801" s="72"/>
      <c r="AA801" s="72">
        <f t="shared" si="440"/>
        <v>3.67079268292683</v>
      </c>
      <c r="AB801" s="81">
        <v>7.11</v>
      </c>
      <c r="AC801" s="69">
        <f t="shared" si="436"/>
        <v>26.0993359756098</v>
      </c>
      <c r="AD801" s="69">
        <f t="shared" si="435"/>
        <v>287.964318554007</v>
      </c>
      <c r="AE801" s="69">
        <f t="shared" si="437"/>
        <v>56.8856814459931</v>
      </c>
    </row>
    <row r="802" customFormat="1" spans="1:31">
      <c r="A802" s="19"/>
      <c r="B802" s="20"/>
      <c r="C802" s="21">
        <v>241021000010</v>
      </c>
      <c r="D802" s="22">
        <v>45594</v>
      </c>
      <c r="E802" s="22" t="s">
        <v>66</v>
      </c>
      <c r="F802" s="20" t="s">
        <v>67</v>
      </c>
      <c r="G802" s="20" t="s">
        <v>151</v>
      </c>
      <c r="H802" s="20">
        <v>25</v>
      </c>
      <c r="I802" s="39">
        <v>1700</v>
      </c>
      <c r="J802" s="40"/>
      <c r="K802" s="41"/>
      <c r="L802" s="20"/>
      <c r="M802" s="41"/>
      <c r="N802" s="42"/>
      <c r="O802" s="43">
        <f t="shared" si="449"/>
        <v>1700</v>
      </c>
      <c r="P802" s="45"/>
      <c r="Q802" s="45"/>
      <c r="R802" s="69">
        <f t="shared" si="441"/>
        <v>1453.06329849013</v>
      </c>
      <c r="S802" s="69"/>
      <c r="T802" s="70">
        <f t="shared" si="442"/>
        <v>1.74216027874564</v>
      </c>
      <c r="U802" s="69"/>
      <c r="V802" s="69"/>
      <c r="W802" s="71">
        <f t="shared" si="439"/>
        <v>1454.80545876887</v>
      </c>
      <c r="X802" s="72">
        <f t="shared" si="443"/>
        <v>20.3932926829268</v>
      </c>
      <c r="Y802" s="72"/>
      <c r="Z802" s="72"/>
      <c r="AA802" s="72">
        <f t="shared" si="440"/>
        <v>20.3932926829268</v>
      </c>
      <c r="AB802" s="81">
        <v>7.11</v>
      </c>
      <c r="AC802" s="69">
        <f t="shared" si="436"/>
        <v>144.99631097561</v>
      </c>
      <c r="AD802" s="69">
        <f t="shared" si="435"/>
        <v>1599.80176974448</v>
      </c>
      <c r="AE802" s="69">
        <f t="shared" si="437"/>
        <v>100.198230255517</v>
      </c>
    </row>
    <row r="803" customFormat="1" spans="1:31">
      <c r="A803" s="19"/>
      <c r="B803" s="20"/>
      <c r="C803" s="21">
        <v>241021000013</v>
      </c>
      <c r="D803" s="22">
        <v>45594</v>
      </c>
      <c r="E803" s="22" t="s">
        <v>66</v>
      </c>
      <c r="F803" s="20" t="s">
        <v>67</v>
      </c>
      <c r="G803" s="20" t="s">
        <v>518</v>
      </c>
      <c r="H803" s="20">
        <v>7</v>
      </c>
      <c r="I803" s="39">
        <v>680</v>
      </c>
      <c r="J803" s="40"/>
      <c r="K803" s="41"/>
      <c r="L803" s="20"/>
      <c r="M803" s="41"/>
      <c r="N803" s="42"/>
      <c r="O803" s="43">
        <f t="shared" si="449"/>
        <v>680</v>
      </c>
      <c r="P803" s="45"/>
      <c r="Q803" s="45"/>
      <c r="R803" s="69">
        <f t="shared" si="441"/>
        <v>406.857723577236</v>
      </c>
      <c r="S803" s="69"/>
      <c r="T803" s="70">
        <f t="shared" si="442"/>
        <v>0.48780487804878</v>
      </c>
      <c r="U803" s="69"/>
      <c r="V803" s="69"/>
      <c r="W803" s="71">
        <f t="shared" si="439"/>
        <v>407.345528455285</v>
      </c>
      <c r="X803" s="72">
        <f t="shared" si="443"/>
        <v>5.71012195121951</v>
      </c>
      <c r="Y803" s="72"/>
      <c r="Z803" s="72">
        <v>11.95</v>
      </c>
      <c r="AA803" s="72">
        <f t="shared" si="440"/>
        <v>17.6601219512195</v>
      </c>
      <c r="AB803" s="81">
        <v>7.11</v>
      </c>
      <c r="AC803" s="69">
        <f t="shared" si="436"/>
        <v>125.563467073171</v>
      </c>
      <c r="AD803" s="69">
        <f t="shared" ref="AD803:AD834" si="450">SUM(W803+AC803)</f>
        <v>532.908995528455</v>
      </c>
      <c r="AE803" s="69">
        <f t="shared" si="437"/>
        <v>147.091004471545</v>
      </c>
    </row>
    <row r="804" customFormat="1" spans="1:31">
      <c r="A804" s="19"/>
      <c r="B804" s="20"/>
      <c r="C804" s="21">
        <v>241021000014</v>
      </c>
      <c r="D804" s="22">
        <v>45594</v>
      </c>
      <c r="E804" s="22" t="s">
        <v>66</v>
      </c>
      <c r="F804" s="20" t="s">
        <v>67</v>
      </c>
      <c r="G804" s="20" t="s">
        <v>205</v>
      </c>
      <c r="H804" s="20">
        <v>2</v>
      </c>
      <c r="I804" s="39">
        <v>155.1</v>
      </c>
      <c r="J804" s="40"/>
      <c r="K804" s="41"/>
      <c r="L804" s="20"/>
      <c r="M804" s="41"/>
      <c r="N804" s="42"/>
      <c r="O804" s="43">
        <f t="shared" si="449"/>
        <v>155.1</v>
      </c>
      <c r="P804" s="45"/>
      <c r="Q804" s="45"/>
      <c r="R804" s="69">
        <f t="shared" si="441"/>
        <v>116.24506387921</v>
      </c>
      <c r="S804" s="69"/>
      <c r="T804" s="70">
        <f t="shared" si="442"/>
        <v>0.139372822299652</v>
      </c>
      <c r="U804" s="69"/>
      <c r="V804" s="69"/>
      <c r="W804" s="71">
        <f t="shared" si="439"/>
        <v>116.38443670151</v>
      </c>
      <c r="X804" s="72">
        <f t="shared" si="443"/>
        <v>1.63146341463415</v>
      </c>
      <c r="Y804" s="72"/>
      <c r="Z804" s="72"/>
      <c r="AA804" s="72">
        <f t="shared" si="440"/>
        <v>1.63146341463415</v>
      </c>
      <c r="AB804" s="81">
        <v>7.11</v>
      </c>
      <c r="AC804" s="69">
        <f t="shared" ref="AC804:AC835" si="451">SUM(AA804*AB804)</f>
        <v>11.5997048780488</v>
      </c>
      <c r="AD804" s="69">
        <f t="shared" si="450"/>
        <v>127.984141579559</v>
      </c>
      <c r="AE804" s="69">
        <f t="shared" si="437"/>
        <v>27.1158584204413</v>
      </c>
    </row>
    <row r="805" customFormat="1" spans="1:31">
      <c r="A805" s="19"/>
      <c r="B805" s="20"/>
      <c r="C805" s="21">
        <v>241021000016</v>
      </c>
      <c r="D805" s="22">
        <v>45594</v>
      </c>
      <c r="E805" s="22" t="s">
        <v>66</v>
      </c>
      <c r="F805" s="20" t="s">
        <v>67</v>
      </c>
      <c r="G805" s="20" t="s">
        <v>519</v>
      </c>
      <c r="H805" s="20">
        <v>15.5</v>
      </c>
      <c r="I805" s="39">
        <v>1069.5</v>
      </c>
      <c r="J805" s="40"/>
      <c r="K805" s="41"/>
      <c r="L805" s="20"/>
      <c r="M805" s="41"/>
      <c r="N805" s="42"/>
      <c r="O805" s="43">
        <f t="shared" si="449"/>
        <v>1069.5</v>
      </c>
      <c r="P805" s="45"/>
      <c r="Q805" s="45"/>
      <c r="R805" s="69">
        <f t="shared" si="441"/>
        <v>900.899245063879</v>
      </c>
      <c r="S805" s="69"/>
      <c r="T805" s="70">
        <f t="shared" si="442"/>
        <v>1.0801393728223</v>
      </c>
      <c r="U805" s="69"/>
      <c r="V805" s="69"/>
      <c r="W805" s="71">
        <f t="shared" si="439"/>
        <v>901.979384436701</v>
      </c>
      <c r="X805" s="72">
        <f t="shared" si="443"/>
        <v>12.6438414634146</v>
      </c>
      <c r="Y805" s="72"/>
      <c r="Z805" s="72"/>
      <c r="AA805" s="72">
        <f t="shared" si="440"/>
        <v>12.6438414634146</v>
      </c>
      <c r="AB805" s="81">
        <v>7.11</v>
      </c>
      <c r="AC805" s="69">
        <f t="shared" si="451"/>
        <v>89.8977128048781</v>
      </c>
      <c r="AD805" s="69">
        <f t="shared" si="450"/>
        <v>991.87709724158</v>
      </c>
      <c r="AE805" s="69">
        <f t="shared" ref="AE805:AE835" si="452">SUM(O805-AD805)</f>
        <v>77.6229027584204</v>
      </c>
    </row>
    <row r="806" customFormat="1" spans="1:31">
      <c r="A806" s="19"/>
      <c r="B806" s="20"/>
      <c r="C806" s="21">
        <v>241021000017</v>
      </c>
      <c r="D806" s="22">
        <v>45594</v>
      </c>
      <c r="E806" s="22" t="s">
        <v>66</v>
      </c>
      <c r="F806" s="20" t="s">
        <v>67</v>
      </c>
      <c r="G806" s="20" t="s">
        <v>519</v>
      </c>
      <c r="H806" s="20">
        <v>12</v>
      </c>
      <c r="I806" s="39">
        <v>793</v>
      </c>
      <c r="J806" s="40"/>
      <c r="K806" s="41"/>
      <c r="L806" s="20"/>
      <c r="M806" s="41"/>
      <c r="N806" s="42"/>
      <c r="O806" s="43">
        <f t="shared" si="449"/>
        <v>793</v>
      </c>
      <c r="P806" s="45"/>
      <c r="Q806" s="45"/>
      <c r="R806" s="69">
        <f t="shared" si="441"/>
        <v>697.470383275261</v>
      </c>
      <c r="S806" s="69"/>
      <c r="T806" s="70">
        <f t="shared" si="442"/>
        <v>0.836236933797909</v>
      </c>
      <c r="U806" s="69"/>
      <c r="V806" s="69"/>
      <c r="W806" s="71">
        <f t="shared" ref="W806:W835" si="453">SUM(R806:V806)</f>
        <v>698.306620209059</v>
      </c>
      <c r="X806" s="72">
        <f t="shared" si="443"/>
        <v>9.78878048780488</v>
      </c>
      <c r="Y806" s="72"/>
      <c r="Z806" s="72"/>
      <c r="AA806" s="72">
        <f t="shared" ref="AA806:AA835" si="454">SUM(X806:Z806)</f>
        <v>9.78878048780488</v>
      </c>
      <c r="AB806" s="81">
        <v>7.11</v>
      </c>
      <c r="AC806" s="69">
        <f t="shared" si="451"/>
        <v>69.5982292682927</v>
      </c>
      <c r="AD806" s="69">
        <f t="shared" si="450"/>
        <v>767.904849477352</v>
      </c>
      <c r="AE806" s="69">
        <f t="shared" si="452"/>
        <v>25.0951505226481</v>
      </c>
    </row>
    <row r="807" customFormat="1" spans="1:31">
      <c r="A807" s="19"/>
      <c r="B807" s="20"/>
      <c r="C807" s="21">
        <v>241021000018</v>
      </c>
      <c r="D807" s="22">
        <v>45594</v>
      </c>
      <c r="E807" s="22" t="s">
        <v>66</v>
      </c>
      <c r="F807" s="20" t="s">
        <v>67</v>
      </c>
      <c r="G807" s="20" t="s">
        <v>519</v>
      </c>
      <c r="H807" s="20">
        <v>21</v>
      </c>
      <c r="I807" s="39">
        <v>1449</v>
      </c>
      <c r="J807" s="40"/>
      <c r="K807" s="41"/>
      <c r="L807" s="20"/>
      <c r="M807" s="41"/>
      <c r="N807" s="42"/>
      <c r="O807" s="43">
        <f t="shared" si="449"/>
        <v>1449</v>
      </c>
      <c r="P807" s="45"/>
      <c r="Q807" s="45"/>
      <c r="R807" s="69">
        <f t="shared" si="441"/>
        <v>1220.57317073171</v>
      </c>
      <c r="S807" s="69"/>
      <c r="T807" s="70">
        <f t="shared" si="442"/>
        <v>1.46341463414634</v>
      </c>
      <c r="U807" s="69"/>
      <c r="V807" s="69"/>
      <c r="W807" s="71">
        <f t="shared" si="453"/>
        <v>1222.03658536585</v>
      </c>
      <c r="X807" s="72">
        <f t="shared" si="443"/>
        <v>17.1303658536585</v>
      </c>
      <c r="Y807" s="72"/>
      <c r="Z807" s="72"/>
      <c r="AA807" s="72">
        <f t="shared" si="454"/>
        <v>17.1303658536585</v>
      </c>
      <c r="AB807" s="81">
        <v>7.11</v>
      </c>
      <c r="AC807" s="69">
        <f t="shared" si="451"/>
        <v>121.796901219512</v>
      </c>
      <c r="AD807" s="69">
        <f t="shared" si="450"/>
        <v>1343.83348658537</v>
      </c>
      <c r="AE807" s="69">
        <f t="shared" si="452"/>
        <v>105.166513414634</v>
      </c>
    </row>
    <row r="808" customFormat="1" spans="1:31">
      <c r="A808" s="19"/>
      <c r="B808" s="20"/>
      <c r="C808" s="21">
        <v>241021000027</v>
      </c>
      <c r="D808" s="22">
        <v>45594</v>
      </c>
      <c r="E808" s="22" t="s">
        <v>41</v>
      </c>
      <c r="F808" s="20" t="s">
        <v>42</v>
      </c>
      <c r="G808" s="20" t="s">
        <v>520</v>
      </c>
      <c r="H808" s="20">
        <v>5.5</v>
      </c>
      <c r="I808" s="39">
        <v>384</v>
      </c>
      <c r="J808" s="40"/>
      <c r="K808" s="41"/>
      <c r="L808" s="20"/>
      <c r="M808" s="41"/>
      <c r="N808" s="42"/>
      <c r="O808" s="43">
        <f t="shared" si="449"/>
        <v>384</v>
      </c>
      <c r="P808" s="45"/>
      <c r="Q808" s="45"/>
      <c r="R808" s="69">
        <f t="shared" ref="R808:R835" si="455">SUM(100087/1722)*H808</f>
        <v>319.673925667828</v>
      </c>
      <c r="S808" s="69"/>
      <c r="T808" s="70">
        <f t="shared" ref="T808:T835" si="456">SUM(120/1722)*H808</f>
        <v>0.383275261324042</v>
      </c>
      <c r="U808" s="69"/>
      <c r="V808" s="69"/>
      <c r="W808" s="71">
        <f t="shared" si="453"/>
        <v>320.057200929152</v>
      </c>
      <c r="X808" s="72">
        <f t="shared" ref="X808:X835" si="457">SUM(1404.69/1722)*H808</f>
        <v>4.4865243902439</v>
      </c>
      <c r="Y808" s="72"/>
      <c r="Z808" s="72"/>
      <c r="AA808" s="72">
        <f t="shared" si="454"/>
        <v>4.4865243902439</v>
      </c>
      <c r="AB808" s="81">
        <v>7.11</v>
      </c>
      <c r="AC808" s="69">
        <f t="shared" si="451"/>
        <v>31.8991884146342</v>
      </c>
      <c r="AD808" s="69">
        <f t="shared" si="450"/>
        <v>351.956389343786</v>
      </c>
      <c r="AE808" s="69">
        <f t="shared" si="452"/>
        <v>32.0436106562137</v>
      </c>
    </row>
    <row r="809" customFormat="1" spans="1:31">
      <c r="A809" s="19"/>
      <c r="B809" s="20"/>
      <c r="C809" s="21">
        <v>241021000029</v>
      </c>
      <c r="D809" s="22">
        <v>45594</v>
      </c>
      <c r="E809" s="22" t="s">
        <v>41</v>
      </c>
      <c r="F809" s="20" t="s">
        <v>42</v>
      </c>
      <c r="G809" s="20" t="s">
        <v>185</v>
      </c>
      <c r="H809" s="20">
        <v>0.94</v>
      </c>
      <c r="I809" s="50"/>
      <c r="J809" s="46">
        <v>17496</v>
      </c>
      <c r="K809" s="41"/>
      <c r="L809" s="47">
        <f>SUM(J809/M809)</f>
        <v>1713.61410381978</v>
      </c>
      <c r="M809" s="48">
        <v>10.21</v>
      </c>
      <c r="N809" s="42">
        <v>7.11</v>
      </c>
      <c r="O809" s="43">
        <f>SUM(M809*N809)</f>
        <v>72.5931</v>
      </c>
      <c r="P809" s="45"/>
      <c r="Q809" s="45"/>
      <c r="R809" s="69">
        <f t="shared" si="455"/>
        <v>54.6351800232288</v>
      </c>
      <c r="S809" s="69"/>
      <c r="T809" s="70">
        <f t="shared" si="456"/>
        <v>0.0655052264808362</v>
      </c>
      <c r="U809" s="69"/>
      <c r="V809" s="69"/>
      <c r="W809" s="71">
        <f t="shared" si="453"/>
        <v>54.7006852497096</v>
      </c>
      <c r="X809" s="72">
        <f t="shared" si="457"/>
        <v>0.766787804878049</v>
      </c>
      <c r="Y809" s="72"/>
      <c r="Z809" s="72"/>
      <c r="AA809" s="72">
        <f t="shared" si="454"/>
        <v>0.766787804878049</v>
      </c>
      <c r="AB809" s="81">
        <v>7.11</v>
      </c>
      <c r="AC809" s="69">
        <f t="shared" si="451"/>
        <v>5.45186129268293</v>
      </c>
      <c r="AD809" s="69">
        <f t="shared" si="450"/>
        <v>60.1525465423926</v>
      </c>
      <c r="AE809" s="69">
        <f t="shared" si="452"/>
        <v>12.4405534576074</v>
      </c>
    </row>
    <row r="810" customFormat="1" spans="1:31">
      <c r="A810" s="19"/>
      <c r="B810" s="20"/>
      <c r="C810" s="21">
        <v>241021000037</v>
      </c>
      <c r="D810" s="22">
        <v>45594</v>
      </c>
      <c r="E810" s="22" t="s">
        <v>37</v>
      </c>
      <c r="F810" s="20" t="s">
        <v>38</v>
      </c>
      <c r="G810" s="20" t="s">
        <v>109</v>
      </c>
      <c r="H810" s="20">
        <v>2.5</v>
      </c>
      <c r="I810" s="39">
        <v>176.55</v>
      </c>
      <c r="J810" s="40"/>
      <c r="K810" s="41"/>
      <c r="L810" s="20"/>
      <c r="M810" s="41"/>
      <c r="N810" s="42"/>
      <c r="O810" s="43">
        <f t="shared" ref="O810:O826" si="458">SUM(I810)</f>
        <v>176.55</v>
      </c>
      <c r="P810" s="45"/>
      <c r="Q810" s="45"/>
      <c r="R810" s="69">
        <f t="shared" si="455"/>
        <v>145.306329849013</v>
      </c>
      <c r="S810" s="69"/>
      <c r="T810" s="70">
        <f t="shared" si="456"/>
        <v>0.174216027874564</v>
      </c>
      <c r="U810" s="69"/>
      <c r="V810" s="69"/>
      <c r="W810" s="71">
        <f t="shared" si="453"/>
        <v>145.480545876887</v>
      </c>
      <c r="X810" s="72">
        <f t="shared" si="457"/>
        <v>2.03932926829268</v>
      </c>
      <c r="Y810" s="72"/>
      <c r="Z810" s="72"/>
      <c r="AA810" s="72">
        <f t="shared" si="454"/>
        <v>2.03932926829268</v>
      </c>
      <c r="AB810" s="81">
        <v>7.11</v>
      </c>
      <c r="AC810" s="69">
        <f t="shared" si="451"/>
        <v>14.499631097561</v>
      </c>
      <c r="AD810" s="69">
        <f t="shared" si="450"/>
        <v>159.980176974448</v>
      </c>
      <c r="AE810" s="69">
        <f t="shared" si="452"/>
        <v>16.5698230255517</v>
      </c>
    </row>
    <row r="811" customFormat="1" spans="1:31">
      <c r="A811" s="19"/>
      <c r="B811" s="20"/>
      <c r="C811" s="21">
        <v>241021000041</v>
      </c>
      <c r="D811" s="22">
        <v>45594</v>
      </c>
      <c r="E811" s="22" t="s">
        <v>37</v>
      </c>
      <c r="F811" s="20" t="s">
        <v>38</v>
      </c>
      <c r="G811" s="20" t="s">
        <v>108</v>
      </c>
      <c r="H811" s="20">
        <v>2</v>
      </c>
      <c r="I811" s="39">
        <v>141.9</v>
      </c>
      <c r="J811" s="40"/>
      <c r="K811" s="41"/>
      <c r="L811" s="20"/>
      <c r="M811" s="41"/>
      <c r="N811" s="42"/>
      <c r="O811" s="43">
        <f t="shared" si="458"/>
        <v>141.9</v>
      </c>
      <c r="P811" s="45"/>
      <c r="Q811" s="45"/>
      <c r="R811" s="69">
        <f t="shared" si="455"/>
        <v>116.24506387921</v>
      </c>
      <c r="S811" s="69"/>
      <c r="T811" s="70">
        <f t="shared" si="456"/>
        <v>0.139372822299652</v>
      </c>
      <c r="U811" s="69"/>
      <c r="V811" s="69"/>
      <c r="W811" s="71">
        <f t="shared" si="453"/>
        <v>116.38443670151</v>
      </c>
      <c r="X811" s="72">
        <f t="shared" si="457"/>
        <v>1.63146341463415</v>
      </c>
      <c r="Y811" s="72"/>
      <c r="Z811" s="72"/>
      <c r="AA811" s="72">
        <f t="shared" si="454"/>
        <v>1.63146341463415</v>
      </c>
      <c r="AB811" s="81">
        <v>7.11</v>
      </c>
      <c r="AC811" s="69">
        <f t="shared" si="451"/>
        <v>11.5997048780488</v>
      </c>
      <c r="AD811" s="69">
        <f t="shared" si="450"/>
        <v>127.984141579559</v>
      </c>
      <c r="AE811" s="69">
        <f t="shared" si="452"/>
        <v>13.9158584204414</v>
      </c>
    </row>
    <row r="812" customFormat="1" spans="1:31">
      <c r="A812" s="19"/>
      <c r="B812" s="20"/>
      <c r="C812" s="21">
        <v>241021000042</v>
      </c>
      <c r="D812" s="22">
        <v>45594</v>
      </c>
      <c r="E812" s="22" t="s">
        <v>55</v>
      </c>
      <c r="F812" s="20" t="s">
        <v>56</v>
      </c>
      <c r="G812" s="20" t="s">
        <v>258</v>
      </c>
      <c r="H812" s="20">
        <v>3.5</v>
      </c>
      <c r="I812" s="39">
        <v>360.25</v>
      </c>
      <c r="J812" s="40"/>
      <c r="K812" s="41"/>
      <c r="L812" s="20"/>
      <c r="M812" s="41"/>
      <c r="N812" s="42"/>
      <c r="O812" s="43">
        <f t="shared" si="458"/>
        <v>360.25</v>
      </c>
      <c r="P812" s="45"/>
      <c r="Q812" s="45"/>
      <c r="R812" s="69">
        <f t="shared" si="455"/>
        <v>203.428861788618</v>
      </c>
      <c r="S812" s="69"/>
      <c r="T812" s="70">
        <f t="shared" si="456"/>
        <v>0.24390243902439</v>
      </c>
      <c r="U812" s="69"/>
      <c r="V812" s="69"/>
      <c r="W812" s="71">
        <f t="shared" si="453"/>
        <v>203.672764227642</v>
      </c>
      <c r="X812" s="72">
        <f t="shared" si="457"/>
        <v>2.85506097560976</v>
      </c>
      <c r="Y812" s="72"/>
      <c r="Z812" s="72"/>
      <c r="AA812" s="72">
        <f t="shared" si="454"/>
        <v>2.85506097560976</v>
      </c>
      <c r="AB812" s="81">
        <v>7.11</v>
      </c>
      <c r="AC812" s="69">
        <f t="shared" si="451"/>
        <v>20.2994835365854</v>
      </c>
      <c r="AD812" s="69">
        <f t="shared" si="450"/>
        <v>223.972247764228</v>
      </c>
      <c r="AE812" s="69">
        <f t="shared" si="452"/>
        <v>136.277752235772</v>
      </c>
    </row>
    <row r="813" customFormat="1" spans="1:31">
      <c r="A813" s="19"/>
      <c r="B813" s="20"/>
      <c r="C813" s="21">
        <v>241021000049</v>
      </c>
      <c r="D813" s="22">
        <v>45594</v>
      </c>
      <c r="E813" s="22" t="s">
        <v>37</v>
      </c>
      <c r="F813" s="20" t="s">
        <v>38</v>
      </c>
      <c r="G813" s="20" t="s">
        <v>521</v>
      </c>
      <c r="H813" s="20">
        <v>12.5</v>
      </c>
      <c r="I813" s="39">
        <v>950</v>
      </c>
      <c r="J813" s="40"/>
      <c r="K813" s="41"/>
      <c r="L813" s="20"/>
      <c r="M813" s="41"/>
      <c r="N813" s="42"/>
      <c r="O813" s="43">
        <f t="shared" si="458"/>
        <v>950</v>
      </c>
      <c r="P813" s="45"/>
      <c r="Q813" s="45"/>
      <c r="R813" s="69">
        <f t="shared" si="455"/>
        <v>726.531649245064</v>
      </c>
      <c r="S813" s="69"/>
      <c r="T813" s="70">
        <f t="shared" si="456"/>
        <v>0.871080139372822</v>
      </c>
      <c r="U813" s="70">
        <v>60</v>
      </c>
      <c r="V813" s="69"/>
      <c r="W813" s="71">
        <f t="shared" si="453"/>
        <v>787.402729384437</v>
      </c>
      <c r="X813" s="72">
        <f t="shared" si="457"/>
        <v>10.1966463414634</v>
      </c>
      <c r="Y813" s="72"/>
      <c r="Z813" s="72"/>
      <c r="AA813" s="72">
        <f t="shared" si="454"/>
        <v>10.1966463414634</v>
      </c>
      <c r="AB813" s="81">
        <v>7.11</v>
      </c>
      <c r="AC813" s="69">
        <f t="shared" si="451"/>
        <v>72.4981554878049</v>
      </c>
      <c r="AD813" s="69">
        <f t="shared" si="450"/>
        <v>859.900884872242</v>
      </c>
      <c r="AE813" s="69">
        <f t="shared" si="452"/>
        <v>90.0991151277584</v>
      </c>
    </row>
    <row r="814" customFormat="1" spans="1:31">
      <c r="A814" s="19"/>
      <c r="B814" s="20"/>
      <c r="C814" s="21">
        <v>241021000051</v>
      </c>
      <c r="D814" s="22">
        <v>45594</v>
      </c>
      <c r="E814" s="22" t="s">
        <v>37</v>
      </c>
      <c r="F814" s="20" t="s">
        <v>38</v>
      </c>
      <c r="G814" s="20" t="s">
        <v>486</v>
      </c>
      <c r="H814" s="20">
        <v>13</v>
      </c>
      <c r="I814" s="39">
        <v>1100</v>
      </c>
      <c r="J814" s="40"/>
      <c r="K814" s="41"/>
      <c r="L814" s="20"/>
      <c r="M814" s="41"/>
      <c r="N814" s="42"/>
      <c r="O814" s="43">
        <f t="shared" si="458"/>
        <v>1100</v>
      </c>
      <c r="P814" s="45"/>
      <c r="Q814" s="45"/>
      <c r="R814" s="69">
        <f t="shared" si="455"/>
        <v>755.592915214866</v>
      </c>
      <c r="S814" s="69"/>
      <c r="T814" s="70">
        <f t="shared" si="456"/>
        <v>0.905923344947735</v>
      </c>
      <c r="U814" s="69"/>
      <c r="V814" s="69"/>
      <c r="W814" s="71">
        <f t="shared" si="453"/>
        <v>756.498838559814</v>
      </c>
      <c r="X814" s="72">
        <f t="shared" si="457"/>
        <v>10.604512195122</v>
      </c>
      <c r="Y814" s="72"/>
      <c r="Z814" s="72"/>
      <c r="AA814" s="72">
        <f t="shared" si="454"/>
        <v>10.604512195122</v>
      </c>
      <c r="AB814" s="81">
        <v>7.11</v>
      </c>
      <c r="AC814" s="69">
        <f t="shared" si="451"/>
        <v>75.3980817073171</v>
      </c>
      <c r="AD814" s="69">
        <f t="shared" si="450"/>
        <v>831.896920267131</v>
      </c>
      <c r="AE814" s="69">
        <f t="shared" si="452"/>
        <v>268.103079732869</v>
      </c>
    </row>
    <row r="815" customFormat="1" spans="1:31">
      <c r="A815" s="19"/>
      <c r="B815" s="20"/>
      <c r="C815" s="21">
        <v>241021000053</v>
      </c>
      <c r="D815" s="22">
        <v>45594</v>
      </c>
      <c r="E815" s="22" t="s">
        <v>66</v>
      </c>
      <c r="F815" s="20" t="s">
        <v>67</v>
      </c>
      <c r="G815" s="20" t="s">
        <v>73</v>
      </c>
      <c r="H815" s="20">
        <v>13.5</v>
      </c>
      <c r="I815" s="39">
        <v>975.5</v>
      </c>
      <c r="J815" s="40"/>
      <c r="K815" s="41"/>
      <c r="L815" s="20"/>
      <c r="M815" s="41"/>
      <c r="N815" s="42"/>
      <c r="O815" s="43">
        <f t="shared" si="458"/>
        <v>975.5</v>
      </c>
      <c r="P815" s="45"/>
      <c r="Q815" s="45"/>
      <c r="R815" s="69">
        <f t="shared" si="455"/>
        <v>784.654181184669</v>
      </c>
      <c r="S815" s="69"/>
      <c r="T815" s="70">
        <f t="shared" si="456"/>
        <v>0.940766550522648</v>
      </c>
      <c r="U815" s="69"/>
      <c r="V815" s="69"/>
      <c r="W815" s="71">
        <f t="shared" si="453"/>
        <v>785.594947735192</v>
      </c>
      <c r="X815" s="72">
        <f t="shared" si="457"/>
        <v>11.0123780487805</v>
      </c>
      <c r="Y815" s="72">
        <v>17.58</v>
      </c>
      <c r="Z815" s="72"/>
      <c r="AA815" s="72">
        <f t="shared" si="454"/>
        <v>28.5923780487805</v>
      </c>
      <c r="AB815" s="81">
        <v>7.11</v>
      </c>
      <c r="AC815" s="69">
        <f t="shared" si="451"/>
        <v>203.291807926829</v>
      </c>
      <c r="AD815" s="69">
        <f t="shared" si="450"/>
        <v>988.886755662021</v>
      </c>
      <c r="AE815" s="69">
        <f t="shared" si="452"/>
        <v>-13.386755662021</v>
      </c>
    </row>
    <row r="816" customFormat="1" spans="1:31">
      <c r="A816" s="19"/>
      <c r="B816" s="20"/>
      <c r="C816" s="21">
        <v>241021000065</v>
      </c>
      <c r="D816" s="22">
        <v>45594</v>
      </c>
      <c r="E816" s="22" t="s">
        <v>37</v>
      </c>
      <c r="F816" s="20" t="s">
        <v>38</v>
      </c>
      <c r="G816" s="20" t="s">
        <v>522</v>
      </c>
      <c r="H816" s="20">
        <v>5.5</v>
      </c>
      <c r="I816" s="39">
        <v>484</v>
      </c>
      <c r="J816" s="40"/>
      <c r="K816" s="41"/>
      <c r="L816" s="20"/>
      <c r="M816" s="41"/>
      <c r="N816" s="42"/>
      <c r="O816" s="43">
        <f t="shared" si="458"/>
        <v>484</v>
      </c>
      <c r="P816" s="45"/>
      <c r="Q816" s="45"/>
      <c r="R816" s="69">
        <f t="shared" si="455"/>
        <v>319.673925667828</v>
      </c>
      <c r="S816" s="69"/>
      <c r="T816" s="70">
        <f t="shared" si="456"/>
        <v>0.383275261324042</v>
      </c>
      <c r="U816" s="69"/>
      <c r="V816" s="69"/>
      <c r="W816" s="71">
        <f t="shared" si="453"/>
        <v>320.057200929152</v>
      </c>
      <c r="X816" s="72">
        <f t="shared" si="457"/>
        <v>4.4865243902439</v>
      </c>
      <c r="Y816" s="72"/>
      <c r="Z816" s="72"/>
      <c r="AA816" s="72">
        <f t="shared" si="454"/>
        <v>4.4865243902439</v>
      </c>
      <c r="AB816" s="81">
        <v>7.11</v>
      </c>
      <c r="AC816" s="69">
        <f t="shared" si="451"/>
        <v>31.8991884146342</v>
      </c>
      <c r="AD816" s="69">
        <f t="shared" si="450"/>
        <v>351.956389343786</v>
      </c>
      <c r="AE816" s="69">
        <f t="shared" si="452"/>
        <v>132.043610656214</v>
      </c>
    </row>
    <row r="817" customFormat="1" spans="1:31">
      <c r="A817" s="19"/>
      <c r="B817" s="20"/>
      <c r="C817" s="21">
        <v>241021000070</v>
      </c>
      <c r="D817" s="22">
        <v>45594</v>
      </c>
      <c r="E817" s="22" t="s">
        <v>37</v>
      </c>
      <c r="F817" s="20" t="s">
        <v>38</v>
      </c>
      <c r="G817" s="20" t="s">
        <v>231</v>
      </c>
      <c r="H817" s="20">
        <v>117</v>
      </c>
      <c r="I817" s="39">
        <v>11904</v>
      </c>
      <c r="J817" s="40"/>
      <c r="K817" s="41"/>
      <c r="L817" s="20"/>
      <c r="M817" s="41"/>
      <c r="N817" s="42"/>
      <c r="O817" s="43">
        <f t="shared" si="458"/>
        <v>11904</v>
      </c>
      <c r="P817" s="45"/>
      <c r="Q817" s="45"/>
      <c r="R817" s="69">
        <f t="shared" si="455"/>
        <v>6800.3362369338</v>
      </c>
      <c r="S817" s="69"/>
      <c r="T817" s="70">
        <f t="shared" si="456"/>
        <v>8.15331010452962</v>
      </c>
      <c r="U817" s="69"/>
      <c r="V817" s="69"/>
      <c r="W817" s="71">
        <f t="shared" si="453"/>
        <v>6808.48954703833</v>
      </c>
      <c r="X817" s="72">
        <f t="shared" si="457"/>
        <v>95.4406097560976</v>
      </c>
      <c r="Y817" s="72"/>
      <c r="Z817" s="72"/>
      <c r="AA817" s="72">
        <f t="shared" si="454"/>
        <v>95.4406097560976</v>
      </c>
      <c r="AB817" s="81">
        <v>7.11</v>
      </c>
      <c r="AC817" s="69">
        <f t="shared" si="451"/>
        <v>678.582735365854</v>
      </c>
      <c r="AD817" s="69">
        <f t="shared" si="450"/>
        <v>7487.07228240418</v>
      </c>
      <c r="AE817" s="69">
        <f t="shared" si="452"/>
        <v>4416.92771759582</v>
      </c>
    </row>
    <row r="818" customFormat="1" spans="1:31">
      <c r="A818" s="19"/>
      <c r="B818" s="20"/>
      <c r="C818" s="82">
        <v>241021000071</v>
      </c>
      <c r="D818" s="83">
        <v>45594</v>
      </c>
      <c r="E818" s="22" t="s">
        <v>66</v>
      </c>
      <c r="F818" s="84" t="s">
        <v>67</v>
      </c>
      <c r="G818" s="84" t="s">
        <v>79</v>
      </c>
      <c r="H818" s="84">
        <v>2.5</v>
      </c>
      <c r="I818" s="39">
        <v>150</v>
      </c>
      <c r="J818" s="40"/>
      <c r="K818" s="41"/>
      <c r="L818" s="20"/>
      <c r="M818" s="41"/>
      <c r="N818" s="42"/>
      <c r="O818" s="43">
        <f t="shared" si="458"/>
        <v>150</v>
      </c>
      <c r="P818" s="45"/>
      <c r="Q818" s="45"/>
      <c r="R818" s="69">
        <f t="shared" si="455"/>
        <v>145.306329849013</v>
      </c>
      <c r="S818" s="69"/>
      <c r="T818" s="70">
        <f t="shared" si="456"/>
        <v>0.174216027874564</v>
      </c>
      <c r="U818" s="69"/>
      <c r="V818" s="69"/>
      <c r="W818" s="71">
        <f t="shared" si="453"/>
        <v>145.480545876887</v>
      </c>
      <c r="X818" s="72">
        <f t="shared" si="457"/>
        <v>2.03932926829268</v>
      </c>
      <c r="Y818" s="72"/>
      <c r="Z818" s="72"/>
      <c r="AA818" s="72">
        <f t="shared" si="454"/>
        <v>2.03932926829268</v>
      </c>
      <c r="AB818" s="81">
        <v>7.11</v>
      </c>
      <c r="AC818" s="69">
        <f t="shared" si="451"/>
        <v>14.499631097561</v>
      </c>
      <c r="AD818" s="69">
        <f t="shared" si="450"/>
        <v>159.980176974448</v>
      </c>
      <c r="AE818" s="69">
        <f t="shared" si="452"/>
        <v>-9.98017697444831</v>
      </c>
    </row>
    <row r="819" customFormat="1" spans="1:31">
      <c r="A819" s="19"/>
      <c r="B819" s="20"/>
      <c r="C819" s="21">
        <v>241021000076</v>
      </c>
      <c r="D819" s="22">
        <v>45594</v>
      </c>
      <c r="E819" s="22" t="s">
        <v>135</v>
      </c>
      <c r="F819" s="20" t="s">
        <v>136</v>
      </c>
      <c r="G819" s="20" t="s">
        <v>137</v>
      </c>
      <c r="H819" s="20">
        <v>0.8</v>
      </c>
      <c r="I819" s="39">
        <v>72.6</v>
      </c>
      <c r="J819" s="40"/>
      <c r="K819" s="41"/>
      <c r="L819" s="20"/>
      <c r="M819" s="41"/>
      <c r="N819" s="42"/>
      <c r="O819" s="43">
        <f t="shared" si="458"/>
        <v>72.6</v>
      </c>
      <c r="P819" s="45"/>
      <c r="Q819" s="45"/>
      <c r="R819" s="69">
        <f t="shared" si="455"/>
        <v>46.4980255516841</v>
      </c>
      <c r="S819" s="69"/>
      <c r="T819" s="70">
        <f t="shared" si="456"/>
        <v>0.0557491289198606</v>
      </c>
      <c r="U819" s="69"/>
      <c r="V819" s="69"/>
      <c r="W819" s="71">
        <f t="shared" si="453"/>
        <v>46.553774680604</v>
      </c>
      <c r="X819" s="72">
        <f t="shared" si="457"/>
        <v>0.652585365853659</v>
      </c>
      <c r="Y819" s="72"/>
      <c r="Z819" s="72"/>
      <c r="AA819" s="72">
        <f t="shared" si="454"/>
        <v>0.652585365853659</v>
      </c>
      <c r="AB819" s="81">
        <v>7.11</v>
      </c>
      <c r="AC819" s="69">
        <f t="shared" si="451"/>
        <v>4.63988195121951</v>
      </c>
      <c r="AD819" s="69">
        <f t="shared" si="450"/>
        <v>51.1936566318235</v>
      </c>
      <c r="AE819" s="69">
        <f t="shared" si="452"/>
        <v>21.4063433681765</v>
      </c>
    </row>
    <row r="820" customFormat="1" spans="1:31">
      <c r="A820" s="19"/>
      <c r="B820" s="20"/>
      <c r="C820" s="21">
        <v>241022000001</v>
      </c>
      <c r="D820" s="22">
        <v>45594</v>
      </c>
      <c r="E820" s="22" t="s">
        <v>66</v>
      </c>
      <c r="F820" s="20" t="s">
        <v>67</v>
      </c>
      <c r="G820" s="20" t="s">
        <v>523</v>
      </c>
      <c r="H820" s="20">
        <v>7.5</v>
      </c>
      <c r="I820" s="39">
        <v>501.6</v>
      </c>
      <c r="J820" s="40"/>
      <c r="K820" s="41"/>
      <c r="L820" s="20"/>
      <c r="M820" s="41"/>
      <c r="N820" s="42"/>
      <c r="O820" s="43">
        <f t="shared" si="458"/>
        <v>501.6</v>
      </c>
      <c r="P820" s="45"/>
      <c r="Q820" s="45"/>
      <c r="R820" s="69">
        <f t="shared" si="455"/>
        <v>435.918989547038</v>
      </c>
      <c r="S820" s="69"/>
      <c r="T820" s="70">
        <f t="shared" si="456"/>
        <v>0.522648083623693</v>
      </c>
      <c r="U820" s="69"/>
      <c r="V820" s="69"/>
      <c r="W820" s="71">
        <f t="shared" si="453"/>
        <v>436.441637630662</v>
      </c>
      <c r="X820" s="72">
        <f t="shared" si="457"/>
        <v>6.11798780487805</v>
      </c>
      <c r="Y820" s="72"/>
      <c r="Z820" s="72"/>
      <c r="AA820" s="72">
        <f t="shared" si="454"/>
        <v>6.11798780487805</v>
      </c>
      <c r="AB820" s="81">
        <v>7.11</v>
      </c>
      <c r="AC820" s="69">
        <f t="shared" si="451"/>
        <v>43.4988932926829</v>
      </c>
      <c r="AD820" s="69">
        <f t="shared" si="450"/>
        <v>479.940530923345</v>
      </c>
      <c r="AE820" s="69">
        <f t="shared" si="452"/>
        <v>21.6594690766551</v>
      </c>
    </row>
    <row r="821" customFormat="1" spans="1:31">
      <c r="A821" s="19"/>
      <c r="B821" s="20"/>
      <c r="C821" s="21">
        <v>241022000003</v>
      </c>
      <c r="D821" s="22">
        <v>45594</v>
      </c>
      <c r="E821" s="22" t="s">
        <v>66</v>
      </c>
      <c r="F821" s="20" t="s">
        <v>67</v>
      </c>
      <c r="G821" s="20" t="s">
        <v>151</v>
      </c>
      <c r="H821" s="20">
        <v>4</v>
      </c>
      <c r="I821" s="39">
        <v>288</v>
      </c>
      <c r="J821" s="40"/>
      <c r="K821" s="41"/>
      <c r="L821" s="20"/>
      <c r="M821" s="41"/>
      <c r="N821" s="42"/>
      <c r="O821" s="43">
        <f t="shared" si="458"/>
        <v>288</v>
      </c>
      <c r="P821" s="45"/>
      <c r="Q821" s="45"/>
      <c r="R821" s="69">
        <f t="shared" si="455"/>
        <v>232.49012775842</v>
      </c>
      <c r="S821" s="69"/>
      <c r="T821" s="70">
        <f t="shared" si="456"/>
        <v>0.278745644599303</v>
      </c>
      <c r="U821" s="69"/>
      <c r="V821" s="69"/>
      <c r="W821" s="71">
        <f t="shared" si="453"/>
        <v>232.76887340302</v>
      </c>
      <c r="X821" s="72">
        <f t="shared" si="457"/>
        <v>3.26292682926829</v>
      </c>
      <c r="Y821" s="72"/>
      <c r="Z821" s="72"/>
      <c r="AA821" s="72">
        <f t="shared" si="454"/>
        <v>3.26292682926829</v>
      </c>
      <c r="AB821" s="81">
        <v>7.11</v>
      </c>
      <c r="AC821" s="69">
        <f t="shared" si="451"/>
        <v>23.1994097560976</v>
      </c>
      <c r="AD821" s="69">
        <f t="shared" si="450"/>
        <v>255.968283159117</v>
      </c>
      <c r="AE821" s="69">
        <f t="shared" si="452"/>
        <v>32.0317168408827</v>
      </c>
    </row>
    <row r="822" customFormat="1" spans="1:31">
      <c r="A822" s="19"/>
      <c r="B822" s="20"/>
      <c r="C822" s="21">
        <v>241022000008</v>
      </c>
      <c r="D822" s="22">
        <v>45594</v>
      </c>
      <c r="E822" s="22" t="s">
        <v>240</v>
      </c>
      <c r="F822" s="20" t="s">
        <v>241</v>
      </c>
      <c r="G822" s="20" t="s">
        <v>222</v>
      </c>
      <c r="H822" s="20">
        <v>134.5</v>
      </c>
      <c r="I822" s="39">
        <v>9004.25</v>
      </c>
      <c r="J822" s="40"/>
      <c r="K822" s="41"/>
      <c r="L822" s="20"/>
      <c r="M822" s="41"/>
      <c r="N822" s="42"/>
      <c r="O822" s="43">
        <f t="shared" si="458"/>
        <v>9004.25</v>
      </c>
      <c r="P822" s="45"/>
      <c r="Q822" s="45"/>
      <c r="R822" s="69">
        <f t="shared" si="455"/>
        <v>7817.48054587689</v>
      </c>
      <c r="S822" s="69"/>
      <c r="T822" s="70">
        <f t="shared" si="456"/>
        <v>9.37282229965157</v>
      </c>
      <c r="U822" s="69"/>
      <c r="V822" s="69"/>
      <c r="W822" s="71">
        <f t="shared" si="453"/>
        <v>7826.85336817654</v>
      </c>
      <c r="X822" s="72">
        <f t="shared" si="457"/>
        <v>109.715914634146</v>
      </c>
      <c r="Y822" s="72"/>
      <c r="Z822" s="72"/>
      <c r="AA822" s="72">
        <f t="shared" si="454"/>
        <v>109.715914634146</v>
      </c>
      <c r="AB822" s="81">
        <v>7.11</v>
      </c>
      <c r="AC822" s="69">
        <f t="shared" si="451"/>
        <v>780.080153048781</v>
      </c>
      <c r="AD822" s="69">
        <f t="shared" si="450"/>
        <v>8606.93352122532</v>
      </c>
      <c r="AE822" s="69">
        <f t="shared" si="452"/>
        <v>397.316478774681</v>
      </c>
    </row>
    <row r="823" customFormat="1" spans="1:31">
      <c r="A823" s="19"/>
      <c r="B823" s="20"/>
      <c r="C823" s="21">
        <v>241022000010</v>
      </c>
      <c r="D823" s="22">
        <v>45594</v>
      </c>
      <c r="E823" s="22" t="s">
        <v>76</v>
      </c>
      <c r="F823" s="20" t="s">
        <v>77</v>
      </c>
      <c r="G823" s="20" t="s">
        <v>339</v>
      </c>
      <c r="H823" s="20">
        <v>71</v>
      </c>
      <c r="I823" s="50"/>
      <c r="J823" s="46">
        <v>1356000</v>
      </c>
      <c r="K823" s="41"/>
      <c r="L823" s="47">
        <f>SUM(J823/M823)</f>
        <v>1669.06687345371</v>
      </c>
      <c r="M823" s="48">
        <v>812.43</v>
      </c>
      <c r="N823" s="42">
        <v>7.11</v>
      </c>
      <c r="O823" s="43">
        <f>SUM(M823*N823)</f>
        <v>5776.3773</v>
      </c>
      <c r="P823" s="45"/>
      <c r="Q823" s="45"/>
      <c r="R823" s="69">
        <f t="shared" si="455"/>
        <v>4126.69976771196</v>
      </c>
      <c r="S823" s="69"/>
      <c r="T823" s="70">
        <f t="shared" si="456"/>
        <v>4.94773519163763</v>
      </c>
      <c r="U823" s="69"/>
      <c r="V823" s="69"/>
      <c r="W823" s="71">
        <f t="shared" si="453"/>
        <v>4131.6475029036</v>
      </c>
      <c r="X823" s="72">
        <f t="shared" si="457"/>
        <v>57.9169512195122</v>
      </c>
      <c r="Y823" s="72"/>
      <c r="Z823" s="72"/>
      <c r="AA823" s="72">
        <f t="shared" si="454"/>
        <v>57.9169512195122</v>
      </c>
      <c r="AB823" s="81">
        <v>7.11</v>
      </c>
      <c r="AC823" s="69">
        <f t="shared" si="451"/>
        <v>411.789523170732</v>
      </c>
      <c r="AD823" s="69">
        <f t="shared" si="450"/>
        <v>4543.43702607433</v>
      </c>
      <c r="AE823" s="69">
        <f t="shared" si="452"/>
        <v>1232.94027392567</v>
      </c>
    </row>
    <row r="824" customFormat="1" spans="1:31">
      <c r="A824" s="19"/>
      <c r="B824" s="20"/>
      <c r="C824" s="21">
        <v>241022000019</v>
      </c>
      <c r="D824" s="22">
        <v>45594</v>
      </c>
      <c r="E824" s="22" t="s">
        <v>37</v>
      </c>
      <c r="F824" s="20" t="s">
        <v>38</v>
      </c>
      <c r="G824" s="20" t="s">
        <v>231</v>
      </c>
      <c r="H824" s="20">
        <v>57.5</v>
      </c>
      <c r="I824" s="39">
        <v>4317.5</v>
      </c>
      <c r="J824" s="40"/>
      <c r="K824" s="41"/>
      <c r="L824" s="20"/>
      <c r="M824" s="41"/>
      <c r="N824" s="42"/>
      <c r="O824" s="43">
        <f t="shared" si="458"/>
        <v>4317.5</v>
      </c>
      <c r="P824" s="45"/>
      <c r="Q824" s="45"/>
      <c r="R824" s="69">
        <f t="shared" si="455"/>
        <v>3342.04558652729</v>
      </c>
      <c r="S824" s="69"/>
      <c r="T824" s="70">
        <f t="shared" si="456"/>
        <v>4.00696864111498</v>
      </c>
      <c r="U824" s="69"/>
      <c r="V824" s="69"/>
      <c r="W824" s="71">
        <f t="shared" si="453"/>
        <v>3346.05255516841</v>
      </c>
      <c r="X824" s="72">
        <f t="shared" si="457"/>
        <v>46.9045731707317</v>
      </c>
      <c r="Y824" s="72"/>
      <c r="Z824" s="72"/>
      <c r="AA824" s="72">
        <f t="shared" si="454"/>
        <v>46.9045731707317</v>
      </c>
      <c r="AB824" s="81">
        <v>7.11</v>
      </c>
      <c r="AC824" s="69">
        <f t="shared" si="451"/>
        <v>333.491515243902</v>
      </c>
      <c r="AD824" s="69">
        <f t="shared" si="450"/>
        <v>3679.54407041231</v>
      </c>
      <c r="AE824" s="69">
        <f t="shared" si="452"/>
        <v>637.955929587689</v>
      </c>
    </row>
    <row r="825" customFormat="1" spans="1:31">
      <c r="A825" s="19"/>
      <c r="B825" s="20"/>
      <c r="C825" s="21">
        <v>241022000020</v>
      </c>
      <c r="D825" s="22">
        <v>45594</v>
      </c>
      <c r="E825" s="22" t="s">
        <v>37</v>
      </c>
      <c r="F825" s="20" t="s">
        <v>38</v>
      </c>
      <c r="G825" s="20" t="s">
        <v>303</v>
      </c>
      <c r="H825" s="20">
        <v>115.5</v>
      </c>
      <c r="I825" s="39">
        <v>7325.5</v>
      </c>
      <c r="J825" s="40"/>
      <c r="K825" s="41"/>
      <c r="L825" s="20"/>
      <c r="M825" s="41"/>
      <c r="N825" s="42"/>
      <c r="O825" s="43">
        <f t="shared" si="458"/>
        <v>7325.5</v>
      </c>
      <c r="P825" s="45"/>
      <c r="Q825" s="45"/>
      <c r="R825" s="69">
        <f t="shared" si="455"/>
        <v>6713.15243902439</v>
      </c>
      <c r="S825" s="69"/>
      <c r="T825" s="70">
        <f t="shared" si="456"/>
        <v>8.04878048780488</v>
      </c>
      <c r="U825" s="69"/>
      <c r="V825" s="69"/>
      <c r="W825" s="71">
        <f t="shared" si="453"/>
        <v>6721.2012195122</v>
      </c>
      <c r="X825" s="72">
        <f t="shared" si="457"/>
        <v>94.217012195122</v>
      </c>
      <c r="Y825" s="72">
        <v>39.38</v>
      </c>
      <c r="Z825" s="72"/>
      <c r="AA825" s="72">
        <f t="shared" si="454"/>
        <v>133.597012195122</v>
      </c>
      <c r="AB825" s="81">
        <v>7.11</v>
      </c>
      <c r="AC825" s="69">
        <f t="shared" si="451"/>
        <v>949.874756707317</v>
      </c>
      <c r="AD825" s="69">
        <f t="shared" si="450"/>
        <v>7671.07597621951</v>
      </c>
      <c r="AE825" s="69">
        <f t="shared" si="452"/>
        <v>-345.575976219512</v>
      </c>
    </row>
    <row r="826" customFormat="1" spans="1:31">
      <c r="A826" s="19"/>
      <c r="B826" s="20"/>
      <c r="C826" s="21">
        <v>241022000025</v>
      </c>
      <c r="D826" s="22">
        <v>45594</v>
      </c>
      <c r="E826" s="22" t="s">
        <v>66</v>
      </c>
      <c r="F826" s="20" t="s">
        <v>67</v>
      </c>
      <c r="G826" s="20" t="s">
        <v>223</v>
      </c>
      <c r="H826" s="20">
        <v>1.5</v>
      </c>
      <c r="I826" s="39">
        <v>107.25</v>
      </c>
      <c r="J826" s="40"/>
      <c r="K826" s="41"/>
      <c r="L826" s="20"/>
      <c r="M826" s="41"/>
      <c r="N826" s="42"/>
      <c r="O826" s="43">
        <f t="shared" si="458"/>
        <v>107.25</v>
      </c>
      <c r="P826" s="45"/>
      <c r="Q826" s="45"/>
      <c r="R826" s="69">
        <f t="shared" si="455"/>
        <v>87.1837979094077</v>
      </c>
      <c r="S826" s="69"/>
      <c r="T826" s="70">
        <f t="shared" si="456"/>
        <v>0.104529616724739</v>
      </c>
      <c r="U826" s="69"/>
      <c r="V826" s="69"/>
      <c r="W826" s="71">
        <f t="shared" si="453"/>
        <v>87.2883275261324</v>
      </c>
      <c r="X826" s="72">
        <f t="shared" si="457"/>
        <v>1.22359756097561</v>
      </c>
      <c r="Y826" s="72"/>
      <c r="Z826" s="72"/>
      <c r="AA826" s="72">
        <f t="shared" si="454"/>
        <v>1.22359756097561</v>
      </c>
      <c r="AB826" s="81">
        <v>7.11</v>
      </c>
      <c r="AC826" s="69">
        <f t="shared" si="451"/>
        <v>8.69977865853659</v>
      </c>
      <c r="AD826" s="69">
        <f t="shared" si="450"/>
        <v>95.988106184669</v>
      </c>
      <c r="AE826" s="69">
        <f t="shared" si="452"/>
        <v>11.261893815331</v>
      </c>
    </row>
    <row r="827" customFormat="1" spans="1:31">
      <c r="A827" s="19"/>
      <c r="B827" s="20"/>
      <c r="C827" s="21">
        <v>241022000031</v>
      </c>
      <c r="D827" s="22">
        <v>45594</v>
      </c>
      <c r="E827" s="22" t="s">
        <v>66</v>
      </c>
      <c r="F827" s="20" t="s">
        <v>67</v>
      </c>
      <c r="G827" s="20" t="s">
        <v>319</v>
      </c>
      <c r="H827" s="20">
        <v>30.5</v>
      </c>
      <c r="I827" s="50"/>
      <c r="J827" s="46">
        <v>463050</v>
      </c>
      <c r="K827" s="41"/>
      <c r="L827" s="47">
        <f>SUM(J827/M827)</f>
        <v>1741.96824919118</v>
      </c>
      <c r="M827" s="48">
        <v>265.82</v>
      </c>
      <c r="N827" s="42">
        <v>7.11</v>
      </c>
      <c r="O827" s="43">
        <f>SUM(M827*N827)</f>
        <v>1889.9802</v>
      </c>
      <c r="P827" s="45"/>
      <c r="Q827" s="45"/>
      <c r="R827" s="69">
        <f t="shared" si="455"/>
        <v>1772.73722415796</v>
      </c>
      <c r="S827" s="69"/>
      <c r="T827" s="70">
        <f t="shared" si="456"/>
        <v>2.12543554006969</v>
      </c>
      <c r="U827" s="69"/>
      <c r="V827" s="69"/>
      <c r="W827" s="71">
        <f t="shared" si="453"/>
        <v>1774.86265969803</v>
      </c>
      <c r="X827" s="72">
        <f t="shared" si="457"/>
        <v>24.8798170731707</v>
      </c>
      <c r="Y827" s="72"/>
      <c r="Z827" s="72"/>
      <c r="AA827" s="72">
        <f t="shared" si="454"/>
        <v>24.8798170731707</v>
      </c>
      <c r="AB827" s="81">
        <v>7.11</v>
      </c>
      <c r="AC827" s="69">
        <f t="shared" si="451"/>
        <v>176.895499390244</v>
      </c>
      <c r="AD827" s="69">
        <f t="shared" si="450"/>
        <v>1951.75815908827</v>
      </c>
      <c r="AE827" s="69">
        <f t="shared" si="452"/>
        <v>-61.7779590882694</v>
      </c>
    </row>
    <row r="828" customFormat="1" spans="1:31">
      <c r="A828" s="19"/>
      <c r="B828" s="20"/>
      <c r="C828" s="21">
        <v>241022000033</v>
      </c>
      <c r="D828" s="22">
        <v>45594</v>
      </c>
      <c r="E828" s="22" t="s">
        <v>240</v>
      </c>
      <c r="F828" s="20" t="s">
        <v>241</v>
      </c>
      <c r="G828" s="20" t="s">
        <v>221</v>
      </c>
      <c r="H828" s="20">
        <v>524.5</v>
      </c>
      <c r="I828" s="39">
        <v>30683.25</v>
      </c>
      <c r="J828" s="40"/>
      <c r="K828" s="41"/>
      <c r="L828" s="20"/>
      <c r="M828" s="41"/>
      <c r="N828" s="42"/>
      <c r="O828" s="43">
        <f t="shared" ref="O828:O835" si="459">SUM(I828)</f>
        <v>30683.25</v>
      </c>
      <c r="P828" s="45"/>
      <c r="Q828" s="45"/>
      <c r="R828" s="69">
        <f t="shared" si="455"/>
        <v>30485.2680023229</v>
      </c>
      <c r="S828" s="69"/>
      <c r="T828" s="70">
        <f t="shared" si="456"/>
        <v>36.5505226480836</v>
      </c>
      <c r="U828" s="69"/>
      <c r="V828" s="69"/>
      <c r="W828" s="71">
        <f t="shared" si="453"/>
        <v>30521.818524971</v>
      </c>
      <c r="X828" s="72">
        <f t="shared" si="457"/>
        <v>427.851280487805</v>
      </c>
      <c r="Y828" s="72"/>
      <c r="Z828" s="72"/>
      <c r="AA828" s="72">
        <f t="shared" si="454"/>
        <v>427.851280487805</v>
      </c>
      <c r="AB828" s="81">
        <v>7.11</v>
      </c>
      <c r="AC828" s="69">
        <f t="shared" si="451"/>
        <v>3042.02260426829</v>
      </c>
      <c r="AD828" s="69">
        <f t="shared" si="450"/>
        <v>33563.8411292393</v>
      </c>
      <c r="AE828" s="69">
        <f t="shared" si="452"/>
        <v>-2880.59112923926</v>
      </c>
    </row>
    <row r="829" customFormat="1" spans="1:31">
      <c r="A829" s="19"/>
      <c r="B829" s="20"/>
      <c r="C829" s="21">
        <v>241022000037</v>
      </c>
      <c r="D829" s="22">
        <v>45594</v>
      </c>
      <c r="E829" s="22" t="s">
        <v>55</v>
      </c>
      <c r="F829" s="20" t="s">
        <v>56</v>
      </c>
      <c r="G829" s="20" t="s">
        <v>57</v>
      </c>
      <c r="H829" s="20">
        <v>0.5</v>
      </c>
      <c r="I829" s="39">
        <v>72</v>
      </c>
      <c r="J829" s="40"/>
      <c r="K829" s="41"/>
      <c r="L829" s="20"/>
      <c r="M829" s="41"/>
      <c r="N829" s="42"/>
      <c r="O829" s="43">
        <f t="shared" si="459"/>
        <v>72</v>
      </c>
      <c r="P829" s="45"/>
      <c r="Q829" s="45"/>
      <c r="R829" s="69">
        <f t="shared" si="455"/>
        <v>29.0612659698026</v>
      </c>
      <c r="S829" s="69"/>
      <c r="T829" s="70">
        <f t="shared" si="456"/>
        <v>0.0348432055749129</v>
      </c>
      <c r="U829" s="69"/>
      <c r="V829" s="69"/>
      <c r="W829" s="71">
        <f t="shared" si="453"/>
        <v>29.0961091753775</v>
      </c>
      <c r="X829" s="72">
        <f t="shared" si="457"/>
        <v>0.407865853658537</v>
      </c>
      <c r="Y829" s="72"/>
      <c r="Z829" s="72"/>
      <c r="AA829" s="72">
        <f t="shared" si="454"/>
        <v>0.407865853658537</v>
      </c>
      <c r="AB829" s="81">
        <v>7.11</v>
      </c>
      <c r="AC829" s="69">
        <f t="shared" si="451"/>
        <v>2.8999262195122</v>
      </c>
      <c r="AD829" s="69">
        <f t="shared" si="450"/>
        <v>31.9960353948897</v>
      </c>
      <c r="AE829" s="69">
        <f t="shared" si="452"/>
        <v>40.0039646051103</v>
      </c>
    </row>
    <row r="830" customFormat="1" spans="1:31">
      <c r="A830" s="19"/>
      <c r="B830" s="20"/>
      <c r="C830" s="21">
        <v>241022000041</v>
      </c>
      <c r="D830" s="22">
        <v>45594</v>
      </c>
      <c r="E830" s="22" t="s">
        <v>41</v>
      </c>
      <c r="F830" s="20" t="s">
        <v>42</v>
      </c>
      <c r="G830" s="20" t="s">
        <v>524</v>
      </c>
      <c r="H830" s="20">
        <v>8.5</v>
      </c>
      <c r="I830" s="43"/>
      <c r="J830" s="46">
        <v>136459</v>
      </c>
      <c r="K830" s="41"/>
      <c r="L830" s="47">
        <f>SUM(J830/M830)</f>
        <v>1745</v>
      </c>
      <c r="M830" s="48">
        <v>78.2</v>
      </c>
      <c r="N830" s="42">
        <v>7.11</v>
      </c>
      <c r="O830" s="43">
        <f>SUM(M830*N830)</f>
        <v>556.002</v>
      </c>
      <c r="P830" s="45"/>
      <c r="Q830" s="45"/>
      <c r="R830" s="69">
        <f t="shared" si="455"/>
        <v>494.041521486643</v>
      </c>
      <c r="S830" s="69"/>
      <c r="T830" s="70">
        <f t="shared" si="456"/>
        <v>0.592334494773519</v>
      </c>
      <c r="U830" s="69"/>
      <c r="V830" s="69"/>
      <c r="W830" s="71">
        <f t="shared" si="453"/>
        <v>494.633855981417</v>
      </c>
      <c r="X830" s="72">
        <f t="shared" si="457"/>
        <v>6.93371951219512</v>
      </c>
      <c r="Y830" s="72"/>
      <c r="Z830" s="72"/>
      <c r="AA830" s="72">
        <f t="shared" si="454"/>
        <v>6.93371951219512</v>
      </c>
      <c r="AB830" s="81">
        <v>7.11</v>
      </c>
      <c r="AC830" s="69">
        <f t="shared" si="451"/>
        <v>49.2987457317073</v>
      </c>
      <c r="AD830" s="69">
        <f t="shared" si="450"/>
        <v>543.932601713124</v>
      </c>
      <c r="AE830" s="69">
        <f t="shared" si="452"/>
        <v>12.0693982868756</v>
      </c>
    </row>
    <row r="831" customFormat="1" spans="1:31">
      <c r="A831" s="19"/>
      <c r="B831" s="20"/>
      <c r="C831" s="21">
        <v>241023000010</v>
      </c>
      <c r="D831" s="22">
        <v>45594</v>
      </c>
      <c r="E831" s="22" t="s">
        <v>37</v>
      </c>
      <c r="F831" s="20" t="s">
        <v>38</v>
      </c>
      <c r="G831" s="20" t="s">
        <v>267</v>
      </c>
      <c r="H831" s="20">
        <v>59</v>
      </c>
      <c r="I831" s="39">
        <v>4779</v>
      </c>
      <c r="J831" s="40"/>
      <c r="K831" s="41"/>
      <c r="L831" s="20"/>
      <c r="M831" s="41"/>
      <c r="N831" s="42"/>
      <c r="O831" s="43">
        <f t="shared" si="459"/>
        <v>4779</v>
      </c>
      <c r="P831" s="45"/>
      <c r="Q831" s="45"/>
      <c r="R831" s="69">
        <f t="shared" si="455"/>
        <v>3429.2293844367</v>
      </c>
      <c r="S831" s="69"/>
      <c r="T831" s="70">
        <f t="shared" si="456"/>
        <v>4.11149825783972</v>
      </c>
      <c r="U831" s="69"/>
      <c r="V831" s="69"/>
      <c r="W831" s="71">
        <f t="shared" si="453"/>
        <v>3433.34088269454</v>
      </c>
      <c r="X831" s="72">
        <f t="shared" si="457"/>
        <v>48.1281707317073</v>
      </c>
      <c r="Y831" s="72"/>
      <c r="Z831" s="72"/>
      <c r="AA831" s="72">
        <f t="shared" si="454"/>
        <v>48.1281707317073</v>
      </c>
      <c r="AB831" s="81">
        <v>7.11</v>
      </c>
      <c r="AC831" s="69">
        <f t="shared" si="451"/>
        <v>342.191293902439</v>
      </c>
      <c r="AD831" s="69">
        <f t="shared" si="450"/>
        <v>3775.53217659698</v>
      </c>
      <c r="AE831" s="69">
        <f t="shared" si="452"/>
        <v>1003.46782340302</v>
      </c>
    </row>
    <row r="832" customFormat="1" spans="1:31">
      <c r="A832" s="19"/>
      <c r="B832" s="20"/>
      <c r="C832" s="21">
        <v>241024000014</v>
      </c>
      <c r="D832" s="22">
        <v>45594</v>
      </c>
      <c r="E832" s="22" t="s">
        <v>66</v>
      </c>
      <c r="F832" s="20" t="s">
        <v>67</v>
      </c>
      <c r="G832" s="20" t="s">
        <v>150</v>
      </c>
      <c r="H832" s="20">
        <v>6.55</v>
      </c>
      <c r="I832" s="39">
        <v>666.6</v>
      </c>
      <c r="J832" s="40"/>
      <c r="K832" s="41"/>
      <c r="L832" s="20"/>
      <c r="M832" s="41"/>
      <c r="N832" s="42"/>
      <c r="O832" s="43">
        <f t="shared" si="459"/>
        <v>666.6</v>
      </c>
      <c r="P832" s="45"/>
      <c r="Q832" s="45"/>
      <c r="R832" s="69">
        <f t="shared" si="455"/>
        <v>380.702584204413</v>
      </c>
      <c r="S832" s="69"/>
      <c r="T832" s="70">
        <f t="shared" si="456"/>
        <v>0.456445993031359</v>
      </c>
      <c r="U832" s="69"/>
      <c r="V832" s="69"/>
      <c r="W832" s="71">
        <f t="shared" si="453"/>
        <v>381.159030197445</v>
      </c>
      <c r="X832" s="72">
        <f t="shared" si="457"/>
        <v>5.34304268292683</v>
      </c>
      <c r="Y832" s="72"/>
      <c r="Z832" s="72"/>
      <c r="AA832" s="72">
        <f t="shared" si="454"/>
        <v>5.34304268292683</v>
      </c>
      <c r="AB832" s="81">
        <v>7.11</v>
      </c>
      <c r="AC832" s="69">
        <f t="shared" si="451"/>
        <v>37.9890334756098</v>
      </c>
      <c r="AD832" s="69">
        <f t="shared" si="450"/>
        <v>419.148063673055</v>
      </c>
      <c r="AE832" s="69">
        <f t="shared" ref="AE832:AE852" si="460">SUM(O832-AD832)</f>
        <v>247.451936326945</v>
      </c>
    </row>
    <row r="833" customFormat="1" spans="1:31">
      <c r="A833" s="19"/>
      <c r="B833" s="20"/>
      <c r="C833" s="21">
        <v>241024000017</v>
      </c>
      <c r="D833" s="22">
        <v>45594</v>
      </c>
      <c r="E833" s="22" t="s">
        <v>66</v>
      </c>
      <c r="F833" s="20" t="s">
        <v>67</v>
      </c>
      <c r="G833" s="20" t="s">
        <v>525</v>
      </c>
      <c r="H833" s="20">
        <v>0.56</v>
      </c>
      <c r="I833" s="39">
        <v>85</v>
      </c>
      <c r="J833" s="40"/>
      <c r="K833" s="41"/>
      <c r="L833" s="20"/>
      <c r="M833" s="41"/>
      <c r="N833" s="42"/>
      <c r="O833" s="43">
        <f t="shared" si="459"/>
        <v>85</v>
      </c>
      <c r="P833" s="45"/>
      <c r="Q833" s="45"/>
      <c r="R833" s="69">
        <f t="shared" si="455"/>
        <v>32.5486178861789</v>
      </c>
      <c r="S833" s="69"/>
      <c r="T833" s="70">
        <f t="shared" si="456"/>
        <v>0.0390243902439024</v>
      </c>
      <c r="U833" s="69"/>
      <c r="V833" s="69"/>
      <c r="W833" s="71">
        <f t="shared" si="453"/>
        <v>32.5876422764228</v>
      </c>
      <c r="X833" s="72">
        <f t="shared" si="457"/>
        <v>0.456809756097561</v>
      </c>
      <c r="Y833" s="72"/>
      <c r="Z833" s="72"/>
      <c r="AA833" s="72">
        <f t="shared" si="454"/>
        <v>0.456809756097561</v>
      </c>
      <c r="AB833" s="81">
        <v>7.11</v>
      </c>
      <c r="AC833" s="69">
        <f t="shared" si="451"/>
        <v>3.24791736585366</v>
      </c>
      <c r="AD833" s="69">
        <f t="shared" ref="AD833:AD852" si="461">SUM(W833+AC833)</f>
        <v>35.8355596422764</v>
      </c>
      <c r="AE833" s="69">
        <f t="shared" si="460"/>
        <v>49.1644403577236</v>
      </c>
    </row>
    <row r="834" customFormat="1" spans="1:31">
      <c r="A834" s="19"/>
      <c r="B834" s="20"/>
      <c r="C834" s="21">
        <v>241024000020</v>
      </c>
      <c r="D834" s="22">
        <v>45594</v>
      </c>
      <c r="E834" s="22" t="s">
        <v>66</v>
      </c>
      <c r="F834" s="20" t="s">
        <v>67</v>
      </c>
      <c r="G834" s="20" t="s">
        <v>526</v>
      </c>
      <c r="H834" s="20">
        <v>7</v>
      </c>
      <c r="I834" s="39">
        <v>514.8</v>
      </c>
      <c r="J834" s="40"/>
      <c r="K834" s="41"/>
      <c r="L834" s="20"/>
      <c r="M834" s="41"/>
      <c r="N834" s="42"/>
      <c r="O834" s="43">
        <f t="shared" si="459"/>
        <v>514.8</v>
      </c>
      <c r="P834" s="45"/>
      <c r="Q834" s="45"/>
      <c r="R834" s="69">
        <f t="shared" si="455"/>
        <v>406.857723577236</v>
      </c>
      <c r="S834" s="69"/>
      <c r="T834" s="70">
        <f t="shared" si="456"/>
        <v>0.48780487804878</v>
      </c>
      <c r="U834" s="69"/>
      <c r="V834" s="69"/>
      <c r="W834" s="71">
        <f t="shared" ref="W834:W852" si="462">SUM(R834:V834)</f>
        <v>407.345528455285</v>
      </c>
      <c r="X834" s="72">
        <f t="shared" si="457"/>
        <v>5.71012195121951</v>
      </c>
      <c r="Y834" s="72"/>
      <c r="Z834" s="72"/>
      <c r="AA834" s="72">
        <f t="shared" si="454"/>
        <v>5.71012195121951</v>
      </c>
      <c r="AB834" s="81">
        <v>7.11</v>
      </c>
      <c r="AC834" s="69">
        <f t="shared" ref="AC834:AC852" si="463">SUM(AA834*AB834)</f>
        <v>40.5989670731707</v>
      </c>
      <c r="AD834" s="69">
        <f t="shared" si="461"/>
        <v>447.944495528455</v>
      </c>
      <c r="AE834" s="69">
        <f t="shared" si="460"/>
        <v>66.8555044715446</v>
      </c>
    </row>
    <row r="835" customFormat="1" spans="1:31">
      <c r="A835" s="19"/>
      <c r="B835" s="20"/>
      <c r="C835" s="21">
        <v>241024000033</v>
      </c>
      <c r="D835" s="22">
        <v>45594</v>
      </c>
      <c r="E835" s="22" t="s">
        <v>47</v>
      </c>
      <c r="F835" s="20" t="s">
        <v>47</v>
      </c>
      <c r="G835" s="20" t="s">
        <v>527</v>
      </c>
      <c r="H835" s="20">
        <v>8</v>
      </c>
      <c r="I835" s="39">
        <v>557</v>
      </c>
      <c r="J835" s="40"/>
      <c r="K835" s="41"/>
      <c r="L835" s="20"/>
      <c r="M835" s="41"/>
      <c r="N835" s="42"/>
      <c r="O835" s="43">
        <f t="shared" si="459"/>
        <v>557</v>
      </c>
      <c r="P835" s="49"/>
      <c r="Q835" s="49"/>
      <c r="R835" s="69">
        <f t="shared" si="455"/>
        <v>464.980255516841</v>
      </c>
      <c r="S835" s="69"/>
      <c r="T835" s="70">
        <f t="shared" si="456"/>
        <v>0.557491289198606</v>
      </c>
      <c r="U835" s="69"/>
      <c r="V835" s="69"/>
      <c r="W835" s="71">
        <f t="shared" si="462"/>
        <v>465.537746806039</v>
      </c>
      <c r="X835" s="72">
        <f t="shared" si="457"/>
        <v>6.52585365853659</v>
      </c>
      <c r="Y835" s="72"/>
      <c r="Z835" s="72"/>
      <c r="AA835" s="72">
        <f t="shared" ref="AA835:AA852" si="464">SUM(X835:Z835)</f>
        <v>6.52585365853659</v>
      </c>
      <c r="AB835" s="81">
        <v>7.11</v>
      </c>
      <c r="AC835" s="69">
        <f t="shared" si="463"/>
        <v>46.3988195121951</v>
      </c>
      <c r="AD835" s="69">
        <f t="shared" si="461"/>
        <v>511.936566318235</v>
      </c>
      <c r="AE835" s="69">
        <f t="shared" si="460"/>
        <v>45.0634336817654</v>
      </c>
    </row>
    <row r="836" customFormat="1" spans="1:31">
      <c r="A836" s="19" t="s">
        <v>528</v>
      </c>
      <c r="B836" s="20" t="s">
        <v>529</v>
      </c>
      <c r="C836" s="21">
        <v>241024000041</v>
      </c>
      <c r="D836" s="22">
        <v>45595</v>
      </c>
      <c r="E836" s="22" t="s">
        <v>41</v>
      </c>
      <c r="F836" s="20" t="s">
        <v>42</v>
      </c>
      <c r="G836" s="20" t="s">
        <v>62</v>
      </c>
      <c r="H836" s="20">
        <v>2</v>
      </c>
      <c r="I836" s="50"/>
      <c r="J836" s="46">
        <v>56235</v>
      </c>
      <c r="K836" s="41"/>
      <c r="L836" s="47">
        <f t="shared" ref="L836:L842" si="465">SUM(J836/M836)</f>
        <v>1738.86827458256</v>
      </c>
      <c r="M836" s="48">
        <v>32.34</v>
      </c>
      <c r="N836" s="42">
        <v>7.11</v>
      </c>
      <c r="O836" s="43">
        <f t="shared" ref="O836:O842" si="466">SUM(M836*N836)</f>
        <v>229.9374</v>
      </c>
      <c r="P836" s="44">
        <f>SUM(O836:O852)</f>
        <v>9166.4241</v>
      </c>
      <c r="Q836" s="44" t="s">
        <v>40</v>
      </c>
      <c r="R836" s="69">
        <f>SUM(4800/64)*H836</f>
        <v>150</v>
      </c>
      <c r="S836" s="69"/>
      <c r="T836" s="70">
        <f>SUM(65.98/64)*H836</f>
        <v>2.061875</v>
      </c>
      <c r="U836" s="69"/>
      <c r="V836" s="69"/>
      <c r="W836" s="71">
        <f t="shared" si="462"/>
        <v>152.061875</v>
      </c>
      <c r="X836" s="72">
        <f>SUM(176.24/64)*H836</f>
        <v>5.5075</v>
      </c>
      <c r="Y836" s="72"/>
      <c r="Z836" s="72"/>
      <c r="AA836" s="72">
        <f t="shared" si="464"/>
        <v>5.5075</v>
      </c>
      <c r="AB836" s="81">
        <v>7.11</v>
      </c>
      <c r="AC836" s="69">
        <f t="shared" si="463"/>
        <v>39.158325</v>
      </c>
      <c r="AD836" s="69">
        <f t="shared" si="461"/>
        <v>191.2202</v>
      </c>
      <c r="AE836" s="69">
        <f t="shared" si="460"/>
        <v>38.7172</v>
      </c>
    </row>
    <row r="837" customFormat="1" spans="1:31">
      <c r="A837" s="19"/>
      <c r="B837" s="20"/>
      <c r="C837" s="21">
        <v>241024000044</v>
      </c>
      <c r="D837" s="22">
        <v>45595</v>
      </c>
      <c r="E837" s="22" t="s">
        <v>37</v>
      </c>
      <c r="F837" s="20" t="s">
        <v>53</v>
      </c>
      <c r="G837" s="20" t="s">
        <v>54</v>
      </c>
      <c r="H837" s="20">
        <v>0.43</v>
      </c>
      <c r="I837" s="43"/>
      <c r="J837" s="46">
        <v>28251.55</v>
      </c>
      <c r="K837" s="41"/>
      <c r="L837" s="47">
        <f t="shared" si="465"/>
        <v>1745.00010778259</v>
      </c>
      <c r="M837" s="48">
        <v>16.189999</v>
      </c>
      <c r="N837" s="42">
        <v>7.11</v>
      </c>
      <c r="O837" s="43">
        <f t="shared" si="466"/>
        <v>115.11089289</v>
      </c>
      <c r="P837" s="45"/>
      <c r="Q837" s="45"/>
      <c r="R837" s="69">
        <f t="shared" ref="R837:R852" si="467">SUM(4800/64)*H837</f>
        <v>32.25</v>
      </c>
      <c r="S837" s="69"/>
      <c r="T837" s="70">
        <f t="shared" ref="T837:T852" si="468">SUM(65.98/64)*H837</f>
        <v>0.443303125</v>
      </c>
      <c r="U837" s="69"/>
      <c r="V837" s="69"/>
      <c r="W837" s="71">
        <f t="shared" si="462"/>
        <v>32.693303125</v>
      </c>
      <c r="X837" s="72">
        <f t="shared" ref="X837:X852" si="469">SUM(176.24/64)*H837</f>
        <v>1.1841125</v>
      </c>
      <c r="Y837" s="72"/>
      <c r="Z837" s="72"/>
      <c r="AA837" s="72">
        <f t="shared" si="464"/>
        <v>1.1841125</v>
      </c>
      <c r="AB837" s="81">
        <v>7.11</v>
      </c>
      <c r="AC837" s="69">
        <f t="shared" si="463"/>
        <v>8.419039875</v>
      </c>
      <c r="AD837" s="69">
        <f t="shared" si="461"/>
        <v>41.112343</v>
      </c>
      <c r="AE837" s="69">
        <f t="shared" si="460"/>
        <v>73.99854989</v>
      </c>
    </row>
    <row r="838" customFormat="1" spans="1:31">
      <c r="A838" s="19"/>
      <c r="B838" s="20"/>
      <c r="C838" s="21">
        <v>241025000025</v>
      </c>
      <c r="D838" s="22">
        <v>45595</v>
      </c>
      <c r="E838" s="22" t="s">
        <v>55</v>
      </c>
      <c r="F838" s="20" t="s">
        <v>56</v>
      </c>
      <c r="G838" s="20" t="s">
        <v>500</v>
      </c>
      <c r="H838" s="20">
        <v>3.5</v>
      </c>
      <c r="I838" s="39">
        <v>402.5</v>
      </c>
      <c r="J838" s="40"/>
      <c r="K838" s="41"/>
      <c r="L838" s="20"/>
      <c r="M838" s="41"/>
      <c r="N838" s="42"/>
      <c r="O838" s="43">
        <f t="shared" ref="O838:O840" si="470">SUM(I838)</f>
        <v>402.5</v>
      </c>
      <c r="P838" s="45"/>
      <c r="Q838" s="45"/>
      <c r="R838" s="69">
        <f t="shared" si="467"/>
        <v>262.5</v>
      </c>
      <c r="S838" s="69"/>
      <c r="T838" s="70">
        <f t="shared" si="468"/>
        <v>3.60828125</v>
      </c>
      <c r="U838" s="69"/>
      <c r="V838" s="69"/>
      <c r="W838" s="71">
        <f t="shared" si="462"/>
        <v>266.10828125</v>
      </c>
      <c r="X838" s="72">
        <f t="shared" si="469"/>
        <v>9.638125</v>
      </c>
      <c r="Y838" s="72"/>
      <c r="Z838" s="72"/>
      <c r="AA838" s="72">
        <f t="shared" si="464"/>
        <v>9.638125</v>
      </c>
      <c r="AB838" s="81">
        <v>7.11</v>
      </c>
      <c r="AC838" s="69">
        <f t="shared" si="463"/>
        <v>68.52706875</v>
      </c>
      <c r="AD838" s="69">
        <f t="shared" si="461"/>
        <v>334.63535</v>
      </c>
      <c r="AE838" s="69">
        <f t="shared" si="460"/>
        <v>67.86465</v>
      </c>
    </row>
    <row r="839" customFormat="1" spans="1:31">
      <c r="A839" s="19"/>
      <c r="B839" s="20"/>
      <c r="C839" s="21">
        <v>241025000044</v>
      </c>
      <c r="D839" s="22">
        <v>45595</v>
      </c>
      <c r="E839" s="22" t="s">
        <v>41</v>
      </c>
      <c r="F839" s="20" t="s">
        <v>42</v>
      </c>
      <c r="G839" s="20" t="s">
        <v>346</v>
      </c>
      <c r="H839" s="20">
        <v>0.5</v>
      </c>
      <c r="I839" s="39">
        <v>115</v>
      </c>
      <c r="J839" s="40"/>
      <c r="K839" s="41"/>
      <c r="L839" s="20"/>
      <c r="M839" s="41"/>
      <c r="N839" s="42"/>
      <c r="O839" s="43">
        <f t="shared" si="470"/>
        <v>115</v>
      </c>
      <c r="P839" s="45"/>
      <c r="Q839" s="45"/>
      <c r="R839" s="69">
        <f t="shared" si="467"/>
        <v>37.5</v>
      </c>
      <c r="S839" s="69"/>
      <c r="T839" s="70">
        <f t="shared" si="468"/>
        <v>0.51546875</v>
      </c>
      <c r="U839" s="69"/>
      <c r="V839" s="69"/>
      <c r="W839" s="71">
        <f t="shared" si="462"/>
        <v>38.01546875</v>
      </c>
      <c r="X839" s="72">
        <f t="shared" si="469"/>
        <v>1.376875</v>
      </c>
      <c r="Y839" s="72"/>
      <c r="Z839" s="72"/>
      <c r="AA839" s="72">
        <f t="shared" si="464"/>
        <v>1.376875</v>
      </c>
      <c r="AB839" s="81">
        <v>7.11</v>
      </c>
      <c r="AC839" s="69">
        <f t="shared" si="463"/>
        <v>9.78958125</v>
      </c>
      <c r="AD839" s="69">
        <f t="shared" si="461"/>
        <v>47.80505</v>
      </c>
      <c r="AE839" s="69">
        <f t="shared" si="460"/>
        <v>67.19495</v>
      </c>
    </row>
    <row r="840" customFormat="1" spans="1:31">
      <c r="A840" s="19"/>
      <c r="B840" s="20"/>
      <c r="C840" s="21">
        <v>241025000050</v>
      </c>
      <c r="D840" s="22">
        <v>45595</v>
      </c>
      <c r="E840" s="22" t="s">
        <v>66</v>
      </c>
      <c r="F840" s="20" t="s">
        <v>67</v>
      </c>
      <c r="G840" s="20" t="s">
        <v>395</v>
      </c>
      <c r="H840" s="20">
        <v>0.88</v>
      </c>
      <c r="I840" s="39">
        <v>120</v>
      </c>
      <c r="J840" s="40"/>
      <c r="K840" s="41"/>
      <c r="L840" s="20"/>
      <c r="M840" s="41"/>
      <c r="N840" s="42"/>
      <c r="O840" s="43">
        <f t="shared" si="470"/>
        <v>120</v>
      </c>
      <c r="P840" s="45"/>
      <c r="Q840" s="45"/>
      <c r="R840" s="69">
        <f t="shared" si="467"/>
        <v>66</v>
      </c>
      <c r="S840" s="69"/>
      <c r="T840" s="70">
        <f t="shared" si="468"/>
        <v>0.907225</v>
      </c>
      <c r="U840" s="69"/>
      <c r="V840" s="69"/>
      <c r="W840" s="71">
        <f t="shared" si="462"/>
        <v>66.907225</v>
      </c>
      <c r="X840" s="72">
        <f t="shared" si="469"/>
        <v>2.4233</v>
      </c>
      <c r="Y840" s="72"/>
      <c r="Z840" s="72"/>
      <c r="AA840" s="72">
        <f t="shared" si="464"/>
        <v>2.4233</v>
      </c>
      <c r="AB840" s="81">
        <v>7.11</v>
      </c>
      <c r="AC840" s="69">
        <f t="shared" si="463"/>
        <v>17.229663</v>
      </c>
      <c r="AD840" s="69">
        <f t="shared" si="461"/>
        <v>84.136888</v>
      </c>
      <c r="AE840" s="69">
        <f t="shared" si="460"/>
        <v>35.863112</v>
      </c>
    </row>
    <row r="841" customFormat="1" spans="1:31">
      <c r="A841" s="19"/>
      <c r="B841" s="20"/>
      <c r="C841" s="21">
        <v>241025000052</v>
      </c>
      <c r="D841" s="22">
        <v>45595</v>
      </c>
      <c r="E841" s="22" t="s">
        <v>88</v>
      </c>
      <c r="F841" s="20" t="s">
        <v>118</v>
      </c>
      <c r="G841" s="20" t="s">
        <v>530</v>
      </c>
      <c r="H841" s="20">
        <v>0.83</v>
      </c>
      <c r="I841" s="43"/>
      <c r="J841" s="46">
        <v>28252</v>
      </c>
      <c r="K841" s="41"/>
      <c r="L841" s="47">
        <f t="shared" si="465"/>
        <v>1745.02790271945</v>
      </c>
      <c r="M841" s="48">
        <v>16.189999</v>
      </c>
      <c r="N841" s="42">
        <v>7.11</v>
      </c>
      <c r="O841" s="43">
        <f t="shared" si="466"/>
        <v>115.11089289</v>
      </c>
      <c r="P841" s="45"/>
      <c r="Q841" s="45"/>
      <c r="R841" s="69">
        <f t="shared" si="467"/>
        <v>62.25</v>
      </c>
      <c r="S841" s="69"/>
      <c r="T841" s="70">
        <f t="shared" si="468"/>
        <v>0.855678125</v>
      </c>
      <c r="U841" s="69"/>
      <c r="V841" s="69"/>
      <c r="W841" s="71">
        <f t="shared" si="462"/>
        <v>63.105678125</v>
      </c>
      <c r="X841" s="72">
        <f t="shared" si="469"/>
        <v>2.2856125</v>
      </c>
      <c r="Y841" s="72"/>
      <c r="Z841" s="72"/>
      <c r="AA841" s="72">
        <f t="shared" si="464"/>
        <v>2.2856125</v>
      </c>
      <c r="AB841" s="81">
        <v>7.11</v>
      </c>
      <c r="AC841" s="69">
        <f t="shared" si="463"/>
        <v>16.250704875</v>
      </c>
      <c r="AD841" s="69">
        <f t="shared" si="461"/>
        <v>79.356383</v>
      </c>
      <c r="AE841" s="69">
        <f t="shared" si="460"/>
        <v>35.75450989</v>
      </c>
    </row>
    <row r="842" customFormat="1" spans="1:31">
      <c r="A842" s="19"/>
      <c r="B842" s="20"/>
      <c r="C842" s="21">
        <v>241025000053</v>
      </c>
      <c r="D842" s="22">
        <v>45595</v>
      </c>
      <c r="E842" s="22" t="s">
        <v>41</v>
      </c>
      <c r="F842" s="20" t="s">
        <v>42</v>
      </c>
      <c r="G842" s="20" t="s">
        <v>314</v>
      </c>
      <c r="H842" s="20">
        <v>3.5</v>
      </c>
      <c r="I842" s="50"/>
      <c r="J842" s="46">
        <v>118490</v>
      </c>
      <c r="K842" s="41"/>
      <c r="L842" s="47">
        <f t="shared" si="465"/>
        <v>2093.09309309309</v>
      </c>
      <c r="M842" s="48">
        <v>56.61</v>
      </c>
      <c r="N842" s="42">
        <v>7.11</v>
      </c>
      <c r="O842" s="43">
        <f t="shared" si="466"/>
        <v>402.4971</v>
      </c>
      <c r="P842" s="45"/>
      <c r="Q842" s="45"/>
      <c r="R842" s="69">
        <f t="shared" si="467"/>
        <v>262.5</v>
      </c>
      <c r="S842" s="69"/>
      <c r="T842" s="70">
        <f t="shared" si="468"/>
        <v>3.60828125</v>
      </c>
      <c r="U842" s="69"/>
      <c r="V842" s="69"/>
      <c r="W842" s="71">
        <f t="shared" si="462"/>
        <v>266.10828125</v>
      </c>
      <c r="X842" s="72">
        <f t="shared" si="469"/>
        <v>9.638125</v>
      </c>
      <c r="Y842" s="72"/>
      <c r="Z842" s="72"/>
      <c r="AA842" s="72">
        <f t="shared" si="464"/>
        <v>9.638125</v>
      </c>
      <c r="AB842" s="81">
        <v>7.11</v>
      </c>
      <c r="AC842" s="69">
        <f t="shared" si="463"/>
        <v>68.52706875</v>
      </c>
      <c r="AD842" s="69">
        <f t="shared" si="461"/>
        <v>334.63535</v>
      </c>
      <c r="AE842" s="69">
        <f t="shared" si="460"/>
        <v>67.86175</v>
      </c>
    </row>
    <row r="843" customFormat="1" spans="1:31">
      <c r="A843" s="19"/>
      <c r="B843" s="20"/>
      <c r="C843" s="21">
        <v>241026000009</v>
      </c>
      <c r="D843" s="22">
        <v>45595</v>
      </c>
      <c r="E843" s="22" t="s">
        <v>66</v>
      </c>
      <c r="F843" s="20" t="s">
        <v>67</v>
      </c>
      <c r="G843" s="20" t="s">
        <v>333</v>
      </c>
      <c r="H843" s="20">
        <v>8.5</v>
      </c>
      <c r="I843" s="39">
        <v>1020</v>
      </c>
      <c r="J843" s="40"/>
      <c r="K843" s="41"/>
      <c r="L843" s="20"/>
      <c r="M843" s="41"/>
      <c r="N843" s="42"/>
      <c r="O843" s="43">
        <f t="shared" ref="O843:O846" si="471">SUM(I843)</f>
        <v>1020</v>
      </c>
      <c r="P843" s="45"/>
      <c r="Q843" s="45"/>
      <c r="R843" s="69">
        <f t="shared" si="467"/>
        <v>637.5</v>
      </c>
      <c r="S843" s="69"/>
      <c r="T843" s="70">
        <f t="shared" si="468"/>
        <v>8.76296875</v>
      </c>
      <c r="U843" s="69"/>
      <c r="V843" s="69"/>
      <c r="W843" s="71">
        <f t="shared" si="462"/>
        <v>646.26296875</v>
      </c>
      <c r="X843" s="72">
        <f t="shared" si="469"/>
        <v>23.406875</v>
      </c>
      <c r="Y843" s="72"/>
      <c r="Z843" s="72"/>
      <c r="AA843" s="72">
        <f t="shared" si="464"/>
        <v>23.406875</v>
      </c>
      <c r="AB843" s="81">
        <v>7.11</v>
      </c>
      <c r="AC843" s="69">
        <f t="shared" si="463"/>
        <v>166.42288125</v>
      </c>
      <c r="AD843" s="69">
        <f t="shared" si="461"/>
        <v>812.68585</v>
      </c>
      <c r="AE843" s="69">
        <f t="shared" si="460"/>
        <v>207.31415</v>
      </c>
    </row>
    <row r="844" customFormat="1" spans="1:31">
      <c r="A844" s="19"/>
      <c r="B844" s="20"/>
      <c r="C844" s="21">
        <v>241026000018</v>
      </c>
      <c r="D844" s="22">
        <v>45595</v>
      </c>
      <c r="E844" s="22" t="s">
        <v>37</v>
      </c>
      <c r="F844" s="20" t="s">
        <v>53</v>
      </c>
      <c r="G844" s="20" t="s">
        <v>54</v>
      </c>
      <c r="H844" s="20">
        <v>1.5</v>
      </c>
      <c r="I844" s="43"/>
      <c r="J844" s="46">
        <v>42386.05</v>
      </c>
      <c r="K844" s="41"/>
      <c r="L844" s="47">
        <f>SUM(J844/M844)</f>
        <v>1745</v>
      </c>
      <c r="M844" s="48">
        <v>24.29</v>
      </c>
      <c r="N844" s="42">
        <v>7.11</v>
      </c>
      <c r="O844" s="43">
        <f>SUM(M844*N844)</f>
        <v>172.7019</v>
      </c>
      <c r="P844" s="45"/>
      <c r="Q844" s="45"/>
      <c r="R844" s="69">
        <f t="shared" si="467"/>
        <v>112.5</v>
      </c>
      <c r="S844" s="69"/>
      <c r="T844" s="70">
        <f t="shared" si="468"/>
        <v>1.54640625</v>
      </c>
      <c r="U844" s="69"/>
      <c r="V844" s="69"/>
      <c r="W844" s="71">
        <f t="shared" si="462"/>
        <v>114.04640625</v>
      </c>
      <c r="X844" s="72">
        <f t="shared" si="469"/>
        <v>4.130625</v>
      </c>
      <c r="Y844" s="72"/>
      <c r="Z844" s="72"/>
      <c r="AA844" s="72">
        <f t="shared" si="464"/>
        <v>4.130625</v>
      </c>
      <c r="AB844" s="81">
        <v>7.11</v>
      </c>
      <c r="AC844" s="69">
        <f t="shared" si="463"/>
        <v>29.36874375</v>
      </c>
      <c r="AD844" s="69">
        <f t="shared" si="461"/>
        <v>143.41515</v>
      </c>
      <c r="AE844" s="69">
        <f t="shared" si="460"/>
        <v>29.28675</v>
      </c>
    </row>
    <row r="845" customFormat="1" spans="1:31">
      <c r="A845" s="19"/>
      <c r="B845" s="20"/>
      <c r="C845" s="21">
        <v>241026000025</v>
      </c>
      <c r="D845" s="22">
        <v>45595</v>
      </c>
      <c r="E845" s="22" t="s">
        <v>44</v>
      </c>
      <c r="F845" s="20" t="s">
        <v>45</v>
      </c>
      <c r="G845" s="20" t="s">
        <v>286</v>
      </c>
      <c r="H845" s="20">
        <v>0.96</v>
      </c>
      <c r="I845" s="39">
        <v>120</v>
      </c>
      <c r="J845" s="40"/>
      <c r="K845" s="41"/>
      <c r="L845" s="20"/>
      <c r="M845" s="41"/>
      <c r="N845" s="42"/>
      <c r="O845" s="43">
        <f t="shared" si="471"/>
        <v>120</v>
      </c>
      <c r="P845" s="45"/>
      <c r="Q845" s="45"/>
      <c r="R845" s="69">
        <f t="shared" si="467"/>
        <v>72</v>
      </c>
      <c r="S845" s="69"/>
      <c r="T845" s="70">
        <f t="shared" si="468"/>
        <v>0.9897</v>
      </c>
      <c r="U845" s="69"/>
      <c r="V845" s="69"/>
      <c r="W845" s="71">
        <f t="shared" si="462"/>
        <v>72.9897</v>
      </c>
      <c r="X845" s="72">
        <f t="shared" si="469"/>
        <v>2.6436</v>
      </c>
      <c r="Y845" s="72"/>
      <c r="Z845" s="72"/>
      <c r="AA845" s="72">
        <f t="shared" si="464"/>
        <v>2.6436</v>
      </c>
      <c r="AB845" s="81">
        <v>7.11</v>
      </c>
      <c r="AC845" s="69">
        <f t="shared" si="463"/>
        <v>18.795996</v>
      </c>
      <c r="AD845" s="69">
        <f t="shared" si="461"/>
        <v>91.785696</v>
      </c>
      <c r="AE845" s="69">
        <f t="shared" si="460"/>
        <v>28.214304</v>
      </c>
    </row>
    <row r="846" customFormat="1" spans="1:31">
      <c r="A846" s="19"/>
      <c r="B846" s="20"/>
      <c r="C846" s="21">
        <v>241027000008</v>
      </c>
      <c r="D846" s="22">
        <v>45595</v>
      </c>
      <c r="E846" s="22" t="s">
        <v>55</v>
      </c>
      <c r="F846" s="20" t="s">
        <v>56</v>
      </c>
      <c r="G846" s="20" t="s">
        <v>500</v>
      </c>
      <c r="H846" s="20">
        <v>10.5</v>
      </c>
      <c r="I846" s="39">
        <v>1207.5</v>
      </c>
      <c r="J846" s="40"/>
      <c r="K846" s="41"/>
      <c r="L846" s="20"/>
      <c r="M846" s="41"/>
      <c r="N846" s="42"/>
      <c r="O846" s="43">
        <f t="shared" si="471"/>
        <v>1207.5</v>
      </c>
      <c r="P846" s="45"/>
      <c r="Q846" s="45"/>
      <c r="R846" s="69">
        <f t="shared" si="467"/>
        <v>787.5</v>
      </c>
      <c r="S846" s="69"/>
      <c r="T846" s="70">
        <f t="shared" si="468"/>
        <v>10.82484375</v>
      </c>
      <c r="U846" s="69"/>
      <c r="V846" s="69"/>
      <c r="W846" s="71">
        <f t="shared" si="462"/>
        <v>798.32484375</v>
      </c>
      <c r="X846" s="72">
        <f t="shared" si="469"/>
        <v>28.914375</v>
      </c>
      <c r="Y846" s="72"/>
      <c r="Z846" s="72"/>
      <c r="AA846" s="72">
        <f t="shared" si="464"/>
        <v>28.914375</v>
      </c>
      <c r="AB846" s="81">
        <v>7.11</v>
      </c>
      <c r="AC846" s="69">
        <f t="shared" si="463"/>
        <v>205.58120625</v>
      </c>
      <c r="AD846" s="69">
        <f t="shared" si="461"/>
        <v>1003.90605</v>
      </c>
      <c r="AE846" s="69">
        <f t="shared" si="460"/>
        <v>203.59395</v>
      </c>
    </row>
    <row r="847" customFormat="1" spans="1:31">
      <c r="A847" s="19"/>
      <c r="B847" s="20"/>
      <c r="C847" s="21">
        <v>241027000010</v>
      </c>
      <c r="D847" s="22">
        <v>45595</v>
      </c>
      <c r="E847" s="22" t="s">
        <v>37</v>
      </c>
      <c r="F847" s="20" t="s">
        <v>53</v>
      </c>
      <c r="G847" s="20" t="s">
        <v>54</v>
      </c>
      <c r="H847" s="20">
        <v>3.5</v>
      </c>
      <c r="I847" s="43"/>
      <c r="J847" s="46">
        <v>92925.05</v>
      </c>
      <c r="K847" s="41"/>
      <c r="L847" s="47">
        <f>SUM(J847/M847)</f>
        <v>1639.17880969558</v>
      </c>
      <c r="M847" s="48">
        <v>56.690002</v>
      </c>
      <c r="N847" s="42">
        <v>7.11</v>
      </c>
      <c r="O847" s="43">
        <f>SUM(M847*N847)</f>
        <v>403.06591422</v>
      </c>
      <c r="P847" s="45"/>
      <c r="Q847" s="45"/>
      <c r="R847" s="69">
        <f t="shared" si="467"/>
        <v>262.5</v>
      </c>
      <c r="S847" s="69"/>
      <c r="T847" s="70">
        <f t="shared" si="468"/>
        <v>3.60828125</v>
      </c>
      <c r="U847" s="69"/>
      <c r="V847" s="69"/>
      <c r="W847" s="71">
        <f t="shared" si="462"/>
        <v>266.10828125</v>
      </c>
      <c r="X847" s="72">
        <f t="shared" si="469"/>
        <v>9.638125</v>
      </c>
      <c r="Y847" s="72"/>
      <c r="Z847" s="72"/>
      <c r="AA847" s="72">
        <f t="shared" si="464"/>
        <v>9.638125</v>
      </c>
      <c r="AB847" s="81">
        <v>7.11</v>
      </c>
      <c r="AC847" s="69">
        <f t="shared" si="463"/>
        <v>68.52706875</v>
      </c>
      <c r="AD847" s="69">
        <f t="shared" si="461"/>
        <v>334.63535</v>
      </c>
      <c r="AE847" s="69">
        <f t="shared" si="460"/>
        <v>68.43056422</v>
      </c>
    </row>
    <row r="848" customFormat="1" spans="1:31">
      <c r="A848" s="19"/>
      <c r="B848" s="20"/>
      <c r="C848" s="21">
        <v>241027000014</v>
      </c>
      <c r="D848" s="22">
        <v>45595</v>
      </c>
      <c r="E848" s="22" t="s">
        <v>47</v>
      </c>
      <c r="F848" s="20" t="s">
        <v>47</v>
      </c>
      <c r="G848" s="20" t="s">
        <v>64</v>
      </c>
      <c r="H848" s="20">
        <v>2.5</v>
      </c>
      <c r="I848" s="39">
        <v>287.5</v>
      </c>
      <c r="J848" s="40"/>
      <c r="K848" s="41"/>
      <c r="L848" s="20"/>
      <c r="M848" s="41"/>
      <c r="N848" s="42"/>
      <c r="O848" s="43">
        <f t="shared" ref="O848:O852" si="472">SUM(I848)</f>
        <v>287.5</v>
      </c>
      <c r="P848" s="45"/>
      <c r="Q848" s="45"/>
      <c r="R848" s="69">
        <f t="shared" si="467"/>
        <v>187.5</v>
      </c>
      <c r="S848" s="69"/>
      <c r="T848" s="70">
        <f t="shared" si="468"/>
        <v>2.57734375</v>
      </c>
      <c r="U848" s="69"/>
      <c r="V848" s="69"/>
      <c r="W848" s="71">
        <f t="shared" si="462"/>
        <v>190.07734375</v>
      </c>
      <c r="X848" s="72">
        <f t="shared" si="469"/>
        <v>6.884375</v>
      </c>
      <c r="Y848" s="72"/>
      <c r="Z848" s="72"/>
      <c r="AA848" s="72">
        <f t="shared" si="464"/>
        <v>6.884375</v>
      </c>
      <c r="AB848" s="81">
        <v>7.11</v>
      </c>
      <c r="AC848" s="69">
        <f t="shared" ref="AC848:AC879" si="473">SUM(AA848*AB848)</f>
        <v>48.94790625</v>
      </c>
      <c r="AD848" s="69">
        <f t="shared" si="461"/>
        <v>239.02525</v>
      </c>
      <c r="AE848" s="69">
        <f t="shared" si="460"/>
        <v>48.47475</v>
      </c>
    </row>
    <row r="849" customFormat="1" spans="1:31">
      <c r="A849" s="19"/>
      <c r="B849" s="20"/>
      <c r="C849" s="21">
        <v>241028000018</v>
      </c>
      <c r="D849" s="22">
        <v>45595</v>
      </c>
      <c r="E849" s="22" t="s">
        <v>55</v>
      </c>
      <c r="F849" s="20" t="s">
        <v>56</v>
      </c>
      <c r="G849" s="20" t="s">
        <v>531</v>
      </c>
      <c r="H849" s="20">
        <v>2.5</v>
      </c>
      <c r="I849" s="39">
        <v>1283</v>
      </c>
      <c r="J849" s="40"/>
      <c r="K849" s="41"/>
      <c r="L849" s="20"/>
      <c r="M849" s="41"/>
      <c r="N849" s="42"/>
      <c r="O849" s="43">
        <f t="shared" si="472"/>
        <v>1283</v>
      </c>
      <c r="P849" s="45"/>
      <c r="Q849" s="45"/>
      <c r="R849" s="69">
        <f t="shared" si="467"/>
        <v>187.5</v>
      </c>
      <c r="S849" s="69"/>
      <c r="T849" s="70">
        <f t="shared" si="468"/>
        <v>2.57734375</v>
      </c>
      <c r="U849" s="69"/>
      <c r="V849" s="69"/>
      <c r="W849" s="71">
        <f t="shared" si="462"/>
        <v>190.07734375</v>
      </c>
      <c r="X849" s="72">
        <f t="shared" si="469"/>
        <v>6.884375</v>
      </c>
      <c r="Y849" s="72"/>
      <c r="Z849" s="72"/>
      <c r="AA849" s="72">
        <f t="shared" si="464"/>
        <v>6.884375</v>
      </c>
      <c r="AB849" s="81">
        <v>7.11</v>
      </c>
      <c r="AC849" s="69">
        <f t="shared" si="473"/>
        <v>48.94790625</v>
      </c>
      <c r="AD849" s="69">
        <f t="shared" si="461"/>
        <v>239.02525</v>
      </c>
      <c r="AE849" s="69">
        <f t="shared" ref="AE849:AE880" si="474">SUM(O849-AD849)</f>
        <v>1043.97475</v>
      </c>
    </row>
    <row r="850" customFormat="1" spans="1:31">
      <c r="A850" s="19"/>
      <c r="B850" s="20"/>
      <c r="C850" s="21">
        <v>241028000041</v>
      </c>
      <c r="D850" s="22">
        <v>45595</v>
      </c>
      <c r="E850" s="22" t="s">
        <v>41</v>
      </c>
      <c r="F850" s="20" t="s">
        <v>42</v>
      </c>
      <c r="G850" s="20" t="s">
        <v>476</v>
      </c>
      <c r="H850" s="20">
        <v>1.5</v>
      </c>
      <c r="I850" s="39">
        <v>170</v>
      </c>
      <c r="J850" s="40"/>
      <c r="K850" s="41"/>
      <c r="L850" s="20"/>
      <c r="M850" s="41"/>
      <c r="N850" s="42"/>
      <c r="O850" s="43">
        <f t="shared" si="472"/>
        <v>170</v>
      </c>
      <c r="P850" s="45"/>
      <c r="Q850" s="45"/>
      <c r="R850" s="69">
        <f t="shared" si="467"/>
        <v>112.5</v>
      </c>
      <c r="S850" s="69"/>
      <c r="T850" s="70">
        <f t="shared" si="468"/>
        <v>1.54640625</v>
      </c>
      <c r="U850" s="69"/>
      <c r="V850" s="69"/>
      <c r="W850" s="71">
        <f t="shared" si="462"/>
        <v>114.04640625</v>
      </c>
      <c r="X850" s="72">
        <f t="shared" si="469"/>
        <v>4.130625</v>
      </c>
      <c r="Y850" s="72"/>
      <c r="Z850" s="72"/>
      <c r="AA850" s="72">
        <f t="shared" si="464"/>
        <v>4.130625</v>
      </c>
      <c r="AB850" s="81">
        <v>7.11</v>
      </c>
      <c r="AC850" s="69">
        <f t="shared" si="473"/>
        <v>29.36874375</v>
      </c>
      <c r="AD850" s="69">
        <f t="shared" si="461"/>
        <v>143.41515</v>
      </c>
      <c r="AE850" s="69">
        <f t="shared" si="474"/>
        <v>26.58485</v>
      </c>
    </row>
    <row r="851" customFormat="1" spans="1:31">
      <c r="A851" s="19"/>
      <c r="B851" s="20"/>
      <c r="C851" s="21">
        <v>241028000048</v>
      </c>
      <c r="D851" s="22">
        <v>45595</v>
      </c>
      <c r="E851" s="22" t="s">
        <v>47</v>
      </c>
      <c r="F851" s="20" t="s">
        <v>47</v>
      </c>
      <c r="G851" s="20" t="s">
        <v>532</v>
      </c>
      <c r="H851" s="20">
        <v>22.5</v>
      </c>
      <c r="I851" s="39">
        <v>2702.5</v>
      </c>
      <c r="J851" s="40"/>
      <c r="K851" s="41"/>
      <c r="L851" s="20"/>
      <c r="M851" s="41"/>
      <c r="N851" s="42"/>
      <c r="O851" s="43">
        <f t="shared" si="472"/>
        <v>2702.5</v>
      </c>
      <c r="P851" s="45"/>
      <c r="Q851" s="45"/>
      <c r="R851" s="69">
        <f t="shared" si="467"/>
        <v>1687.5</v>
      </c>
      <c r="S851" s="69"/>
      <c r="T851" s="70">
        <f t="shared" si="468"/>
        <v>23.19609375</v>
      </c>
      <c r="U851" s="69"/>
      <c r="V851" s="69"/>
      <c r="W851" s="71">
        <f t="shared" ref="W851:W882" si="475">SUM(R851:V851)</f>
        <v>1710.69609375</v>
      </c>
      <c r="X851" s="72">
        <f t="shared" si="469"/>
        <v>61.959375</v>
      </c>
      <c r="Y851" s="72"/>
      <c r="Z851" s="72"/>
      <c r="AA851" s="72">
        <f t="shared" ref="AA851:AA882" si="476">SUM(X851:Z851)</f>
        <v>61.959375</v>
      </c>
      <c r="AB851" s="81">
        <v>7.11</v>
      </c>
      <c r="AC851" s="69">
        <f t="shared" si="473"/>
        <v>440.53115625</v>
      </c>
      <c r="AD851" s="69">
        <f t="shared" ref="AD851:AD882" si="477">SUM(W851+AC851)</f>
        <v>2151.22725</v>
      </c>
      <c r="AE851" s="69">
        <f t="shared" si="474"/>
        <v>551.27275</v>
      </c>
    </row>
    <row r="852" customFormat="1" spans="1:31">
      <c r="A852" s="19"/>
      <c r="B852" s="20"/>
      <c r="C852" s="21">
        <v>241028000054</v>
      </c>
      <c r="D852" s="22">
        <v>45595</v>
      </c>
      <c r="E852" s="22" t="s">
        <v>41</v>
      </c>
      <c r="F852" s="20" t="s">
        <v>42</v>
      </c>
      <c r="G852" s="20" t="s">
        <v>200</v>
      </c>
      <c r="H852" s="20">
        <v>2.5</v>
      </c>
      <c r="I852" s="39">
        <v>300</v>
      </c>
      <c r="J852" s="40"/>
      <c r="K852" s="41"/>
      <c r="L852" s="20"/>
      <c r="M852" s="41"/>
      <c r="N852" s="42"/>
      <c r="O852" s="43">
        <f t="shared" si="472"/>
        <v>300</v>
      </c>
      <c r="P852" s="49"/>
      <c r="Q852" s="49"/>
      <c r="R852" s="69">
        <f t="shared" si="467"/>
        <v>187.5</v>
      </c>
      <c r="S852" s="69"/>
      <c r="T852" s="70">
        <f t="shared" si="468"/>
        <v>2.57734375</v>
      </c>
      <c r="U852" s="69"/>
      <c r="V852" s="69"/>
      <c r="W852" s="71">
        <f t="shared" si="475"/>
        <v>190.07734375</v>
      </c>
      <c r="X852" s="72">
        <f t="shared" si="469"/>
        <v>6.884375</v>
      </c>
      <c r="Y852" s="72"/>
      <c r="Z852" s="72"/>
      <c r="AA852" s="72">
        <f t="shared" si="476"/>
        <v>6.884375</v>
      </c>
      <c r="AB852" s="81">
        <v>7.11</v>
      </c>
      <c r="AC852" s="69">
        <f t="shared" si="473"/>
        <v>48.94790625</v>
      </c>
      <c r="AD852" s="69">
        <f t="shared" si="477"/>
        <v>239.02525</v>
      </c>
      <c r="AE852" s="69">
        <f t="shared" si="474"/>
        <v>60.97475</v>
      </c>
    </row>
    <row r="853" customFormat="1" spans="1:31">
      <c r="A853" s="19" t="s">
        <v>533</v>
      </c>
      <c r="B853" s="20" t="s">
        <v>534</v>
      </c>
      <c r="C853" s="21">
        <v>241017000061</v>
      </c>
      <c r="D853" s="22">
        <v>45595</v>
      </c>
      <c r="E853" s="22" t="s">
        <v>88</v>
      </c>
      <c r="F853" s="20" t="s">
        <v>120</v>
      </c>
      <c r="G853" s="20" t="s">
        <v>309</v>
      </c>
      <c r="H853" s="20">
        <v>6.5</v>
      </c>
      <c r="I853" s="43"/>
      <c r="J853" s="40"/>
      <c r="K853" s="48">
        <v>56.42</v>
      </c>
      <c r="L853" s="47">
        <f>SUM(J853/M853)</f>
        <v>0</v>
      </c>
      <c r="M853" s="48">
        <v>56.42</v>
      </c>
      <c r="N853" s="42">
        <v>7.11</v>
      </c>
      <c r="O853" s="43">
        <f t="shared" ref="O853:O855" si="478">SUM(M853*N853)</f>
        <v>401.1462</v>
      </c>
      <c r="P853" s="44">
        <f>SUM(O853:O930)</f>
        <v>130818.5795</v>
      </c>
      <c r="Q853" s="118" t="s">
        <v>535</v>
      </c>
      <c r="R853" s="69">
        <f>SUM(104135/2150)*H853</f>
        <v>314.826744186046</v>
      </c>
      <c r="S853" s="69">
        <f>SUM(14/2150)*H853</f>
        <v>0.0423255813953488</v>
      </c>
      <c r="T853" s="70">
        <f>SUM(141.75/2150)*H853</f>
        <v>0.428546511627907</v>
      </c>
      <c r="U853" s="69"/>
      <c r="V853" s="69"/>
      <c r="W853" s="71">
        <f t="shared" si="475"/>
        <v>315.29761627907</v>
      </c>
      <c r="X853" s="72">
        <f>SUM(1669.01/2150)*H853</f>
        <v>5.04584418604651</v>
      </c>
      <c r="Y853" s="72"/>
      <c r="Z853" s="72"/>
      <c r="AA853" s="72">
        <f t="shared" si="476"/>
        <v>5.04584418604651</v>
      </c>
      <c r="AB853" s="81">
        <v>7.11</v>
      </c>
      <c r="AC853" s="69">
        <f t="shared" si="473"/>
        <v>35.8759521627907</v>
      </c>
      <c r="AD853" s="69">
        <f t="shared" si="477"/>
        <v>351.17356844186</v>
      </c>
      <c r="AE853" s="69">
        <f t="shared" si="474"/>
        <v>49.97263155814</v>
      </c>
    </row>
    <row r="854" customFormat="1" spans="1:31">
      <c r="A854" s="19"/>
      <c r="B854" s="20"/>
      <c r="C854" s="21">
        <v>241018000046</v>
      </c>
      <c r="D854" s="22">
        <v>45595</v>
      </c>
      <c r="E854" s="22" t="s">
        <v>76</v>
      </c>
      <c r="F854" s="20" t="s">
        <v>77</v>
      </c>
      <c r="G854" s="20" t="s">
        <v>318</v>
      </c>
      <c r="H854" s="20">
        <v>1.5</v>
      </c>
      <c r="I854" s="50"/>
      <c r="J854" s="46">
        <v>17640</v>
      </c>
      <c r="K854" s="41"/>
      <c r="L854" s="47">
        <f t="shared" ref="L854:L859" si="479">SUM(J854/M854)</f>
        <v>1743.08300395257</v>
      </c>
      <c r="M854" s="48">
        <v>10.12</v>
      </c>
      <c r="N854" s="42">
        <v>7.11</v>
      </c>
      <c r="O854" s="43">
        <f t="shared" si="478"/>
        <v>71.9532</v>
      </c>
      <c r="P854" s="45"/>
      <c r="Q854" s="45"/>
      <c r="R854" s="69">
        <f t="shared" ref="R854:R885" si="480">SUM(104135/2150)*H854</f>
        <v>72.6523255813953</v>
      </c>
      <c r="S854" s="69">
        <f t="shared" ref="S854:S885" si="481">SUM(14/2150)*H854</f>
        <v>0.00976744186046512</v>
      </c>
      <c r="T854" s="70">
        <f t="shared" ref="T854:T885" si="482">SUM(141.75/2150)*H854</f>
        <v>0.0988953488372093</v>
      </c>
      <c r="U854" s="69"/>
      <c r="V854" s="69"/>
      <c r="W854" s="71">
        <f t="shared" si="475"/>
        <v>72.760988372093</v>
      </c>
      <c r="X854" s="72">
        <f t="shared" ref="X854:X885" si="483">SUM(1669.01/2150)*H854</f>
        <v>1.16442558139535</v>
      </c>
      <c r="Y854" s="72"/>
      <c r="Z854" s="72"/>
      <c r="AA854" s="72">
        <f t="shared" si="476"/>
        <v>1.16442558139535</v>
      </c>
      <c r="AB854" s="81">
        <v>7.11</v>
      </c>
      <c r="AC854" s="69">
        <f t="shared" si="473"/>
        <v>8.27906588372093</v>
      </c>
      <c r="AD854" s="69">
        <f t="shared" si="477"/>
        <v>81.0400542558139</v>
      </c>
      <c r="AE854" s="69">
        <f t="shared" si="474"/>
        <v>-9.0868542558139</v>
      </c>
    </row>
    <row r="855" customFormat="1" spans="1:31">
      <c r="A855" s="19"/>
      <c r="B855" s="20"/>
      <c r="C855" s="21">
        <v>241021000006</v>
      </c>
      <c r="D855" s="22">
        <v>45595</v>
      </c>
      <c r="E855" s="22" t="s">
        <v>66</v>
      </c>
      <c r="F855" s="20" t="s">
        <v>67</v>
      </c>
      <c r="G855" s="20" t="s">
        <v>357</v>
      </c>
      <c r="H855" s="20">
        <v>33</v>
      </c>
      <c r="I855" s="50"/>
      <c r="J855" s="46">
        <v>509600</v>
      </c>
      <c r="K855" s="41"/>
      <c r="L855" s="47">
        <f t="shared" si="479"/>
        <v>1741.98400218773</v>
      </c>
      <c r="M855" s="48">
        <v>292.54</v>
      </c>
      <c r="N855" s="42">
        <v>7.11</v>
      </c>
      <c r="O855" s="43">
        <f t="shared" si="478"/>
        <v>2079.9594</v>
      </c>
      <c r="P855" s="45"/>
      <c r="Q855" s="45"/>
      <c r="R855" s="69">
        <f t="shared" si="480"/>
        <v>1598.3511627907</v>
      </c>
      <c r="S855" s="69">
        <f t="shared" si="481"/>
        <v>0.214883720930233</v>
      </c>
      <c r="T855" s="70">
        <f t="shared" si="482"/>
        <v>2.1756976744186</v>
      </c>
      <c r="U855" s="69"/>
      <c r="V855" s="69"/>
      <c r="W855" s="71">
        <f t="shared" si="475"/>
        <v>1600.74174418605</v>
      </c>
      <c r="X855" s="72">
        <f t="shared" si="483"/>
        <v>25.6173627906977</v>
      </c>
      <c r="Y855" s="72"/>
      <c r="Z855" s="72"/>
      <c r="AA855" s="72">
        <f t="shared" si="476"/>
        <v>25.6173627906977</v>
      </c>
      <c r="AB855" s="81">
        <v>7.11</v>
      </c>
      <c r="AC855" s="69">
        <f t="shared" si="473"/>
        <v>182.13944944186</v>
      </c>
      <c r="AD855" s="69">
        <f t="shared" si="477"/>
        <v>1782.88119362791</v>
      </c>
      <c r="AE855" s="69">
        <f t="shared" si="474"/>
        <v>297.07820637209</v>
      </c>
    </row>
    <row r="856" customFormat="1" spans="1:31">
      <c r="A856" s="19"/>
      <c r="B856" s="20"/>
      <c r="C856" s="21">
        <v>241021000012</v>
      </c>
      <c r="D856" s="22">
        <v>45595</v>
      </c>
      <c r="E856" s="22" t="s">
        <v>66</v>
      </c>
      <c r="F856" s="20" t="s">
        <v>67</v>
      </c>
      <c r="G856" s="20" t="s">
        <v>536</v>
      </c>
      <c r="H856" s="20">
        <v>2</v>
      </c>
      <c r="I856" s="39">
        <v>141</v>
      </c>
      <c r="J856" s="40"/>
      <c r="K856" s="41"/>
      <c r="L856" s="20"/>
      <c r="M856" s="41"/>
      <c r="N856" s="42"/>
      <c r="O856" s="43">
        <f t="shared" ref="O856:O861" si="484">SUM(I856)</f>
        <v>141</v>
      </c>
      <c r="P856" s="45"/>
      <c r="Q856" s="45"/>
      <c r="R856" s="69">
        <f t="shared" si="480"/>
        <v>96.8697674418605</v>
      </c>
      <c r="S856" s="69">
        <f t="shared" si="481"/>
        <v>0.0130232558139535</v>
      </c>
      <c r="T856" s="70">
        <f t="shared" si="482"/>
        <v>0.131860465116279</v>
      </c>
      <c r="U856" s="69"/>
      <c r="V856" s="69"/>
      <c r="W856" s="71">
        <f t="shared" si="475"/>
        <v>97.0146511627907</v>
      </c>
      <c r="X856" s="72">
        <f t="shared" si="483"/>
        <v>1.55256744186047</v>
      </c>
      <c r="Y856" s="72"/>
      <c r="Z856" s="72"/>
      <c r="AA856" s="72">
        <f t="shared" si="476"/>
        <v>1.55256744186047</v>
      </c>
      <c r="AB856" s="81">
        <v>7.11</v>
      </c>
      <c r="AC856" s="69">
        <f t="shared" si="473"/>
        <v>11.0387545116279</v>
      </c>
      <c r="AD856" s="69">
        <f t="shared" si="477"/>
        <v>108.053405674419</v>
      </c>
      <c r="AE856" s="69">
        <f t="shared" si="474"/>
        <v>32.946594325581</v>
      </c>
    </row>
    <row r="857" customFormat="1" spans="1:31">
      <c r="A857" s="19"/>
      <c r="B857" s="20"/>
      <c r="C857" s="21">
        <v>241021000066</v>
      </c>
      <c r="D857" s="22">
        <v>45595</v>
      </c>
      <c r="E857" s="22" t="s">
        <v>66</v>
      </c>
      <c r="F857" s="20" t="s">
        <v>67</v>
      </c>
      <c r="G857" s="20" t="s">
        <v>179</v>
      </c>
      <c r="H857" s="20">
        <v>7</v>
      </c>
      <c r="I857" s="43"/>
      <c r="J857" s="46">
        <v>105921</v>
      </c>
      <c r="K857" s="41"/>
      <c r="L857" s="47">
        <f>SUM(J857/M857)</f>
        <v>1744.99176276771</v>
      </c>
      <c r="M857" s="48">
        <v>60.7</v>
      </c>
      <c r="N857" s="42">
        <v>7.11</v>
      </c>
      <c r="O857" s="43">
        <f t="shared" ref="O857:O862" si="485">SUM(M857*N857)</f>
        <v>431.577</v>
      </c>
      <c r="P857" s="45"/>
      <c r="Q857" s="45"/>
      <c r="R857" s="69">
        <f t="shared" si="480"/>
        <v>339.044186046512</v>
      </c>
      <c r="S857" s="69">
        <f t="shared" si="481"/>
        <v>0.0455813953488372</v>
      </c>
      <c r="T857" s="70">
        <f t="shared" si="482"/>
        <v>0.461511627906977</v>
      </c>
      <c r="U857" s="69"/>
      <c r="V857" s="69"/>
      <c r="W857" s="71">
        <f t="shared" si="475"/>
        <v>339.551279069767</v>
      </c>
      <c r="X857" s="72">
        <f t="shared" si="483"/>
        <v>5.43398604651163</v>
      </c>
      <c r="Y857" s="72"/>
      <c r="Z857" s="72"/>
      <c r="AA857" s="72">
        <f t="shared" si="476"/>
        <v>5.43398604651163</v>
      </c>
      <c r="AB857" s="81">
        <v>7.11</v>
      </c>
      <c r="AC857" s="69">
        <f t="shared" si="473"/>
        <v>38.6356407906977</v>
      </c>
      <c r="AD857" s="69">
        <f t="shared" si="477"/>
        <v>378.186919860465</v>
      </c>
      <c r="AE857" s="69">
        <f t="shared" si="474"/>
        <v>53.390080139535</v>
      </c>
    </row>
    <row r="858" customFormat="1" spans="1:31">
      <c r="A858" s="19"/>
      <c r="B858" s="20"/>
      <c r="C858" s="21">
        <v>241022000023</v>
      </c>
      <c r="D858" s="22">
        <v>45595</v>
      </c>
      <c r="E858" s="22" t="s">
        <v>66</v>
      </c>
      <c r="F858" s="20" t="s">
        <v>67</v>
      </c>
      <c r="G858" s="20" t="s">
        <v>226</v>
      </c>
      <c r="H858" s="20">
        <v>0.32</v>
      </c>
      <c r="I858" s="39">
        <v>72</v>
      </c>
      <c r="J858" s="40"/>
      <c r="K858" s="41"/>
      <c r="L858" s="20"/>
      <c r="M858" s="41"/>
      <c r="N858" s="42"/>
      <c r="O858" s="43">
        <f t="shared" si="484"/>
        <v>72</v>
      </c>
      <c r="P858" s="45"/>
      <c r="Q858" s="45"/>
      <c r="R858" s="69">
        <f t="shared" si="480"/>
        <v>15.4991627906977</v>
      </c>
      <c r="S858" s="69">
        <f t="shared" si="481"/>
        <v>0.00208372093023256</v>
      </c>
      <c r="T858" s="70">
        <f t="shared" si="482"/>
        <v>0.0210976744186047</v>
      </c>
      <c r="U858" s="69"/>
      <c r="V858" s="69"/>
      <c r="W858" s="71">
        <f t="shared" si="475"/>
        <v>15.5223441860465</v>
      </c>
      <c r="X858" s="72">
        <f t="shared" si="483"/>
        <v>0.248410790697674</v>
      </c>
      <c r="Y858" s="72"/>
      <c r="Z858" s="72"/>
      <c r="AA858" s="72">
        <f t="shared" si="476"/>
        <v>0.248410790697674</v>
      </c>
      <c r="AB858" s="81">
        <v>7.11</v>
      </c>
      <c r="AC858" s="69">
        <f t="shared" si="473"/>
        <v>1.76620072186047</v>
      </c>
      <c r="AD858" s="69">
        <f t="shared" si="477"/>
        <v>17.288544907907</v>
      </c>
      <c r="AE858" s="69">
        <f t="shared" si="474"/>
        <v>54.711455092093</v>
      </c>
    </row>
    <row r="859" customFormat="1" spans="1:31">
      <c r="A859" s="19"/>
      <c r="B859" s="20"/>
      <c r="C859" s="21">
        <v>241022000027</v>
      </c>
      <c r="D859" s="22">
        <v>45595</v>
      </c>
      <c r="E859" s="22" t="s">
        <v>66</v>
      </c>
      <c r="F859" s="20" t="s">
        <v>67</v>
      </c>
      <c r="G859" s="20" t="s">
        <v>208</v>
      </c>
      <c r="H859" s="20">
        <v>7</v>
      </c>
      <c r="I859" s="50"/>
      <c r="J859" s="46">
        <v>156816</v>
      </c>
      <c r="K859" s="41"/>
      <c r="L859" s="47">
        <f t="shared" si="479"/>
        <v>2382.49772105743</v>
      </c>
      <c r="M859" s="48">
        <v>65.82</v>
      </c>
      <c r="N859" s="42">
        <v>7.11</v>
      </c>
      <c r="O859" s="43">
        <f t="shared" si="485"/>
        <v>467.9802</v>
      </c>
      <c r="P859" s="45"/>
      <c r="Q859" s="45"/>
      <c r="R859" s="69">
        <f t="shared" si="480"/>
        <v>339.044186046512</v>
      </c>
      <c r="S859" s="69">
        <f t="shared" si="481"/>
        <v>0.0455813953488372</v>
      </c>
      <c r="T859" s="70">
        <f t="shared" si="482"/>
        <v>0.461511627906977</v>
      </c>
      <c r="U859" s="69"/>
      <c r="V859" s="69"/>
      <c r="W859" s="71">
        <f t="shared" si="475"/>
        <v>339.551279069767</v>
      </c>
      <c r="X859" s="72">
        <f t="shared" si="483"/>
        <v>5.43398604651163</v>
      </c>
      <c r="Y859" s="72"/>
      <c r="Z859" s="72"/>
      <c r="AA859" s="72">
        <f t="shared" si="476"/>
        <v>5.43398604651163</v>
      </c>
      <c r="AB859" s="81">
        <v>7.11</v>
      </c>
      <c r="AC859" s="69">
        <f t="shared" si="473"/>
        <v>38.6356407906977</v>
      </c>
      <c r="AD859" s="69">
        <f t="shared" si="477"/>
        <v>378.186919860465</v>
      </c>
      <c r="AE859" s="69">
        <f t="shared" si="474"/>
        <v>89.793280139535</v>
      </c>
    </row>
    <row r="860" customFormat="1" spans="1:31">
      <c r="A860" s="19"/>
      <c r="B860" s="20"/>
      <c r="C860" s="21">
        <v>241022000030</v>
      </c>
      <c r="D860" s="22">
        <v>45595</v>
      </c>
      <c r="E860" s="22" t="s">
        <v>37</v>
      </c>
      <c r="F860" s="20" t="s">
        <v>38</v>
      </c>
      <c r="G860" s="20" t="s">
        <v>537</v>
      </c>
      <c r="H860" s="20">
        <v>6</v>
      </c>
      <c r="I860" s="39">
        <v>366</v>
      </c>
      <c r="J860" s="40"/>
      <c r="K860" s="41"/>
      <c r="L860" s="20"/>
      <c r="M860" s="41"/>
      <c r="N860" s="42"/>
      <c r="O860" s="43">
        <f t="shared" si="484"/>
        <v>366</v>
      </c>
      <c r="P860" s="45"/>
      <c r="Q860" s="45"/>
      <c r="R860" s="69">
        <f t="shared" si="480"/>
        <v>290.609302325581</v>
      </c>
      <c r="S860" s="69">
        <f t="shared" si="481"/>
        <v>0.0390697674418605</v>
      </c>
      <c r="T860" s="70">
        <f t="shared" si="482"/>
        <v>0.395581395348837</v>
      </c>
      <c r="U860" s="69"/>
      <c r="V860" s="69"/>
      <c r="W860" s="71">
        <f t="shared" si="475"/>
        <v>291.043953488372</v>
      </c>
      <c r="X860" s="72">
        <f t="shared" si="483"/>
        <v>4.6577023255814</v>
      </c>
      <c r="Y860" s="72"/>
      <c r="Z860" s="72"/>
      <c r="AA860" s="72">
        <f t="shared" si="476"/>
        <v>4.6577023255814</v>
      </c>
      <c r="AB860" s="81">
        <v>7.11</v>
      </c>
      <c r="AC860" s="69">
        <f t="shared" si="473"/>
        <v>33.1162635348837</v>
      </c>
      <c r="AD860" s="69">
        <f t="shared" si="477"/>
        <v>324.160217023256</v>
      </c>
      <c r="AE860" s="69">
        <f t="shared" si="474"/>
        <v>41.839782976744</v>
      </c>
    </row>
    <row r="861" customFormat="1" spans="1:31">
      <c r="A861" s="19"/>
      <c r="B861" s="20"/>
      <c r="C861" s="21">
        <v>241022000042</v>
      </c>
      <c r="D861" s="22">
        <v>45595</v>
      </c>
      <c r="E861" s="22" t="s">
        <v>55</v>
      </c>
      <c r="F861" s="20" t="s">
        <v>56</v>
      </c>
      <c r="G861" s="20" t="s">
        <v>152</v>
      </c>
      <c r="H861" s="20">
        <v>1.5</v>
      </c>
      <c r="I861" s="39">
        <v>96</v>
      </c>
      <c r="J861" s="40"/>
      <c r="K861" s="41"/>
      <c r="L861" s="20"/>
      <c r="M861" s="41"/>
      <c r="N861" s="42"/>
      <c r="O861" s="43">
        <f t="shared" si="484"/>
        <v>96</v>
      </c>
      <c r="P861" s="45"/>
      <c r="Q861" s="45"/>
      <c r="R861" s="69">
        <f t="shared" si="480"/>
        <v>72.6523255813953</v>
      </c>
      <c r="S861" s="69">
        <f t="shared" si="481"/>
        <v>0.00976744186046512</v>
      </c>
      <c r="T861" s="70">
        <f t="shared" si="482"/>
        <v>0.0988953488372093</v>
      </c>
      <c r="U861" s="69"/>
      <c r="V861" s="69"/>
      <c r="W861" s="71">
        <f t="shared" si="475"/>
        <v>72.760988372093</v>
      </c>
      <c r="X861" s="72">
        <f t="shared" si="483"/>
        <v>1.16442558139535</v>
      </c>
      <c r="Y861" s="72"/>
      <c r="Z861" s="72"/>
      <c r="AA861" s="72">
        <f t="shared" si="476"/>
        <v>1.16442558139535</v>
      </c>
      <c r="AB861" s="81">
        <v>7.11</v>
      </c>
      <c r="AC861" s="69">
        <f t="shared" si="473"/>
        <v>8.27906588372093</v>
      </c>
      <c r="AD861" s="69">
        <f t="shared" si="477"/>
        <v>81.0400542558139</v>
      </c>
      <c r="AE861" s="69">
        <f t="shared" si="474"/>
        <v>14.9599457441861</v>
      </c>
    </row>
    <row r="862" customFormat="1" spans="1:31">
      <c r="A862" s="19"/>
      <c r="B862" s="20"/>
      <c r="C862" s="21">
        <v>241023000003</v>
      </c>
      <c r="D862" s="22">
        <v>45595</v>
      </c>
      <c r="E862" s="22" t="s">
        <v>41</v>
      </c>
      <c r="F862" s="20" t="s">
        <v>42</v>
      </c>
      <c r="G862" s="20" t="s">
        <v>185</v>
      </c>
      <c r="H862" s="20">
        <v>2</v>
      </c>
      <c r="I862" s="50"/>
      <c r="J862" s="46">
        <v>31347</v>
      </c>
      <c r="K862" s="41"/>
      <c r="L862" s="47">
        <f t="shared" ref="L862:L867" si="486">SUM(J862/M862)</f>
        <v>1728.05953693495</v>
      </c>
      <c r="M862" s="48">
        <v>18.14</v>
      </c>
      <c r="N862" s="42">
        <v>7.11</v>
      </c>
      <c r="O862" s="43">
        <f t="shared" si="485"/>
        <v>128.9754</v>
      </c>
      <c r="P862" s="45"/>
      <c r="Q862" s="45"/>
      <c r="R862" s="69">
        <f t="shared" si="480"/>
        <v>96.8697674418605</v>
      </c>
      <c r="S862" s="69">
        <f t="shared" si="481"/>
        <v>0.0130232558139535</v>
      </c>
      <c r="T862" s="70">
        <f t="shared" si="482"/>
        <v>0.131860465116279</v>
      </c>
      <c r="U862" s="69"/>
      <c r="V862" s="69"/>
      <c r="W862" s="71">
        <f t="shared" si="475"/>
        <v>97.0146511627907</v>
      </c>
      <c r="X862" s="72">
        <f t="shared" si="483"/>
        <v>1.55256744186047</v>
      </c>
      <c r="Y862" s="72"/>
      <c r="Z862" s="72"/>
      <c r="AA862" s="72">
        <f t="shared" si="476"/>
        <v>1.55256744186047</v>
      </c>
      <c r="AB862" s="81">
        <v>7.11</v>
      </c>
      <c r="AC862" s="69">
        <f t="shared" si="473"/>
        <v>11.0387545116279</v>
      </c>
      <c r="AD862" s="69">
        <f t="shared" si="477"/>
        <v>108.053405674419</v>
      </c>
      <c r="AE862" s="69">
        <f t="shared" si="474"/>
        <v>20.921994325581</v>
      </c>
    </row>
    <row r="863" customFormat="1" spans="1:31">
      <c r="A863" s="19"/>
      <c r="B863" s="20"/>
      <c r="C863" s="21">
        <v>241023000004</v>
      </c>
      <c r="D863" s="22">
        <v>45595</v>
      </c>
      <c r="E863" s="22" t="s">
        <v>47</v>
      </c>
      <c r="F863" s="20" t="s">
        <v>47</v>
      </c>
      <c r="G863" s="20" t="s">
        <v>65</v>
      </c>
      <c r="H863" s="20">
        <v>7</v>
      </c>
      <c r="I863" s="39">
        <v>461</v>
      </c>
      <c r="J863" s="40"/>
      <c r="K863" s="41"/>
      <c r="L863" s="20"/>
      <c r="M863" s="41"/>
      <c r="N863" s="42"/>
      <c r="O863" s="43">
        <f t="shared" ref="O863:O868" si="487">SUM(I863)</f>
        <v>461</v>
      </c>
      <c r="P863" s="45"/>
      <c r="Q863" s="45"/>
      <c r="R863" s="69">
        <f t="shared" si="480"/>
        <v>339.044186046512</v>
      </c>
      <c r="S863" s="69">
        <f t="shared" si="481"/>
        <v>0.0455813953488372</v>
      </c>
      <c r="T863" s="70">
        <f t="shared" si="482"/>
        <v>0.461511627906977</v>
      </c>
      <c r="U863" s="69"/>
      <c r="V863" s="69"/>
      <c r="W863" s="71">
        <f t="shared" si="475"/>
        <v>339.551279069767</v>
      </c>
      <c r="X863" s="72">
        <f t="shared" si="483"/>
        <v>5.43398604651163</v>
      </c>
      <c r="Y863" s="72"/>
      <c r="Z863" s="72"/>
      <c r="AA863" s="72">
        <f t="shared" si="476"/>
        <v>5.43398604651163</v>
      </c>
      <c r="AB863" s="81">
        <v>7.11</v>
      </c>
      <c r="AC863" s="69">
        <f t="shared" si="473"/>
        <v>38.6356407906977</v>
      </c>
      <c r="AD863" s="69">
        <f t="shared" si="477"/>
        <v>378.186919860465</v>
      </c>
      <c r="AE863" s="69">
        <f t="shared" si="474"/>
        <v>82.813080139535</v>
      </c>
    </row>
    <row r="864" customFormat="1" spans="1:31">
      <c r="A864" s="19"/>
      <c r="B864" s="20"/>
      <c r="C864" s="21">
        <v>241023000006</v>
      </c>
      <c r="D864" s="22">
        <v>45595</v>
      </c>
      <c r="E864" s="22" t="s">
        <v>37</v>
      </c>
      <c r="F864" s="20" t="s">
        <v>196</v>
      </c>
      <c r="G864" s="20" t="s">
        <v>197</v>
      </c>
      <c r="H864" s="20">
        <v>21.5</v>
      </c>
      <c r="I864" s="39">
        <v>1406.5</v>
      </c>
      <c r="J864" s="40"/>
      <c r="K864" s="41"/>
      <c r="L864" s="20"/>
      <c r="M864" s="41"/>
      <c r="N864" s="42"/>
      <c r="O864" s="43">
        <f t="shared" si="487"/>
        <v>1406.5</v>
      </c>
      <c r="P864" s="45"/>
      <c r="Q864" s="45"/>
      <c r="R864" s="69">
        <f t="shared" si="480"/>
        <v>1041.35</v>
      </c>
      <c r="S864" s="69">
        <f t="shared" si="481"/>
        <v>0.14</v>
      </c>
      <c r="T864" s="70">
        <f t="shared" si="482"/>
        <v>1.4175</v>
      </c>
      <c r="U864" s="69"/>
      <c r="V864" s="69"/>
      <c r="W864" s="71">
        <f t="shared" si="475"/>
        <v>1042.9075</v>
      </c>
      <c r="X864" s="72">
        <f t="shared" si="483"/>
        <v>16.6901</v>
      </c>
      <c r="Y864" s="72"/>
      <c r="Z864" s="72"/>
      <c r="AA864" s="72">
        <f t="shared" si="476"/>
        <v>16.6901</v>
      </c>
      <c r="AB864" s="81">
        <v>7.11</v>
      </c>
      <c r="AC864" s="69">
        <f t="shared" si="473"/>
        <v>118.666611</v>
      </c>
      <c r="AD864" s="69">
        <f t="shared" si="477"/>
        <v>1161.574111</v>
      </c>
      <c r="AE864" s="69">
        <f t="shared" si="474"/>
        <v>244.925889</v>
      </c>
    </row>
    <row r="865" customFormat="1" spans="1:31">
      <c r="A865" s="19"/>
      <c r="B865" s="20"/>
      <c r="C865" s="21">
        <v>241023000012</v>
      </c>
      <c r="D865" s="22">
        <v>45595</v>
      </c>
      <c r="E865" s="22" t="s">
        <v>88</v>
      </c>
      <c r="F865" s="20" t="s">
        <v>120</v>
      </c>
      <c r="G865" s="20" t="s">
        <v>319</v>
      </c>
      <c r="H865" s="20">
        <v>1.5</v>
      </c>
      <c r="I865" s="43"/>
      <c r="J865" s="46">
        <v>16403</v>
      </c>
      <c r="K865" s="41"/>
      <c r="L865" s="47">
        <f t="shared" si="486"/>
        <v>1745</v>
      </c>
      <c r="M865" s="48">
        <v>9.4</v>
      </c>
      <c r="N865" s="42">
        <v>7.11</v>
      </c>
      <c r="O865" s="43">
        <f>SUM(M865*N865)</f>
        <v>66.834</v>
      </c>
      <c r="P865" s="45"/>
      <c r="Q865" s="45"/>
      <c r="R865" s="69">
        <f t="shared" si="480"/>
        <v>72.6523255813953</v>
      </c>
      <c r="S865" s="69">
        <f t="shared" si="481"/>
        <v>0.00976744186046512</v>
      </c>
      <c r="T865" s="70">
        <f t="shared" si="482"/>
        <v>0.0988953488372093</v>
      </c>
      <c r="U865" s="69"/>
      <c r="V865" s="69"/>
      <c r="W865" s="71">
        <f t="shared" si="475"/>
        <v>72.760988372093</v>
      </c>
      <c r="X865" s="72">
        <f t="shared" si="483"/>
        <v>1.16442558139535</v>
      </c>
      <c r="Y865" s="72"/>
      <c r="Z865" s="72"/>
      <c r="AA865" s="72">
        <f t="shared" si="476"/>
        <v>1.16442558139535</v>
      </c>
      <c r="AB865" s="81">
        <v>7.11</v>
      </c>
      <c r="AC865" s="69">
        <f t="shared" si="473"/>
        <v>8.27906588372093</v>
      </c>
      <c r="AD865" s="69">
        <f t="shared" si="477"/>
        <v>81.0400542558139</v>
      </c>
      <c r="AE865" s="69">
        <f t="shared" si="474"/>
        <v>-14.2060542558139</v>
      </c>
    </row>
    <row r="866" customFormat="1" spans="1:31">
      <c r="A866" s="19"/>
      <c r="B866" s="20"/>
      <c r="C866" s="21">
        <v>241023000013</v>
      </c>
      <c r="D866" s="22">
        <v>45595</v>
      </c>
      <c r="E866" s="22" t="s">
        <v>47</v>
      </c>
      <c r="F866" s="20" t="s">
        <v>47</v>
      </c>
      <c r="G866" s="20" t="s">
        <v>538</v>
      </c>
      <c r="H866" s="20">
        <v>167.5</v>
      </c>
      <c r="I866" s="39">
        <v>11347.5</v>
      </c>
      <c r="J866" s="40"/>
      <c r="K866" s="41"/>
      <c r="L866" s="20"/>
      <c r="M866" s="41"/>
      <c r="N866" s="42"/>
      <c r="O866" s="43">
        <f t="shared" si="487"/>
        <v>11347.5</v>
      </c>
      <c r="P866" s="45"/>
      <c r="Q866" s="45"/>
      <c r="R866" s="69">
        <f t="shared" si="480"/>
        <v>8112.84302325581</v>
      </c>
      <c r="S866" s="69">
        <f t="shared" si="481"/>
        <v>1.0906976744186</v>
      </c>
      <c r="T866" s="70">
        <f t="shared" si="482"/>
        <v>11.0433139534884</v>
      </c>
      <c r="U866" s="69"/>
      <c r="V866" s="69"/>
      <c r="W866" s="71">
        <f t="shared" si="475"/>
        <v>8124.97703488372</v>
      </c>
      <c r="X866" s="72">
        <f t="shared" si="483"/>
        <v>130.027523255814</v>
      </c>
      <c r="Y866" s="72"/>
      <c r="Z866" s="72"/>
      <c r="AA866" s="72">
        <f t="shared" si="476"/>
        <v>130.027523255814</v>
      </c>
      <c r="AB866" s="81">
        <v>7.11</v>
      </c>
      <c r="AC866" s="69">
        <f t="shared" si="473"/>
        <v>924.495690348837</v>
      </c>
      <c r="AD866" s="69">
        <f t="shared" si="477"/>
        <v>9049.47272523256</v>
      </c>
      <c r="AE866" s="69">
        <f t="shared" si="474"/>
        <v>2298.02727476744</v>
      </c>
    </row>
    <row r="867" customFormat="1" spans="1:31">
      <c r="A867" s="19"/>
      <c r="B867" s="20"/>
      <c r="C867" s="21">
        <v>241023000018</v>
      </c>
      <c r="D867" s="22">
        <v>45595</v>
      </c>
      <c r="E867" s="22" t="s">
        <v>76</v>
      </c>
      <c r="F867" s="20" t="s">
        <v>77</v>
      </c>
      <c r="G867" s="20" t="s">
        <v>539</v>
      </c>
      <c r="H867" s="20">
        <v>13.5</v>
      </c>
      <c r="I867" s="50"/>
      <c r="J867" s="46">
        <v>199920</v>
      </c>
      <c r="K867" s="41"/>
      <c r="L867" s="47">
        <f t="shared" si="486"/>
        <v>1742.0704078076</v>
      </c>
      <c r="M867" s="48">
        <v>114.76</v>
      </c>
      <c r="N867" s="42">
        <v>7.11</v>
      </c>
      <c r="O867" s="43">
        <f>SUM(M867*N867)</f>
        <v>815.9436</v>
      </c>
      <c r="P867" s="45"/>
      <c r="Q867" s="45"/>
      <c r="R867" s="69">
        <f t="shared" si="480"/>
        <v>653.870930232558</v>
      </c>
      <c r="S867" s="69">
        <f t="shared" si="481"/>
        <v>0.087906976744186</v>
      </c>
      <c r="T867" s="70">
        <f t="shared" si="482"/>
        <v>0.890058139534884</v>
      </c>
      <c r="U867" s="69"/>
      <c r="V867" s="69"/>
      <c r="W867" s="71">
        <f t="shared" si="475"/>
        <v>654.848895348837</v>
      </c>
      <c r="X867" s="72">
        <f t="shared" si="483"/>
        <v>10.4798302325581</v>
      </c>
      <c r="Y867" s="72"/>
      <c r="Z867" s="72"/>
      <c r="AA867" s="72">
        <f t="shared" si="476"/>
        <v>10.4798302325581</v>
      </c>
      <c r="AB867" s="81">
        <v>7.11</v>
      </c>
      <c r="AC867" s="69">
        <f t="shared" si="473"/>
        <v>74.5115929534884</v>
      </c>
      <c r="AD867" s="69">
        <f t="shared" si="477"/>
        <v>729.360488302326</v>
      </c>
      <c r="AE867" s="69">
        <f t="shared" si="474"/>
        <v>86.5831116976741</v>
      </c>
    </row>
    <row r="868" customFormat="1" spans="1:31">
      <c r="A868" s="19"/>
      <c r="B868" s="20"/>
      <c r="C868" s="21">
        <v>241023000019</v>
      </c>
      <c r="D868" s="22">
        <v>45595</v>
      </c>
      <c r="E868" s="22" t="s">
        <v>55</v>
      </c>
      <c r="F868" s="20" t="s">
        <v>56</v>
      </c>
      <c r="G868" s="20" t="s">
        <v>112</v>
      </c>
      <c r="H868" s="20">
        <v>19</v>
      </c>
      <c r="I868" s="39">
        <v>1146</v>
      </c>
      <c r="J868" s="40"/>
      <c r="K868" s="41"/>
      <c r="L868" s="20"/>
      <c r="M868" s="41"/>
      <c r="N868" s="42"/>
      <c r="O868" s="43">
        <f t="shared" si="487"/>
        <v>1146</v>
      </c>
      <c r="P868" s="45"/>
      <c r="Q868" s="45"/>
      <c r="R868" s="69">
        <f t="shared" si="480"/>
        <v>920.262790697674</v>
      </c>
      <c r="S868" s="69">
        <f t="shared" si="481"/>
        <v>0.123720930232558</v>
      </c>
      <c r="T868" s="70">
        <f t="shared" si="482"/>
        <v>1.25267441860465</v>
      </c>
      <c r="U868" s="69"/>
      <c r="V868" s="69"/>
      <c r="W868" s="71">
        <f t="shared" si="475"/>
        <v>921.639186046512</v>
      </c>
      <c r="X868" s="72">
        <f t="shared" si="483"/>
        <v>14.7493906976744</v>
      </c>
      <c r="Y868" s="72"/>
      <c r="Z868" s="72"/>
      <c r="AA868" s="72">
        <f t="shared" si="476"/>
        <v>14.7493906976744</v>
      </c>
      <c r="AB868" s="81">
        <v>7.11</v>
      </c>
      <c r="AC868" s="69">
        <f t="shared" si="473"/>
        <v>104.868167860465</v>
      </c>
      <c r="AD868" s="69">
        <f t="shared" si="477"/>
        <v>1026.50735390698</v>
      </c>
      <c r="AE868" s="69">
        <f t="shared" si="474"/>
        <v>119.49264609302</v>
      </c>
    </row>
    <row r="869" customFormat="1" spans="1:31">
      <c r="A869" s="19"/>
      <c r="B869" s="20"/>
      <c r="C869" s="21">
        <v>241023000033</v>
      </c>
      <c r="D869" s="22">
        <v>45595</v>
      </c>
      <c r="E869" s="22" t="s">
        <v>88</v>
      </c>
      <c r="F869" s="20" t="s">
        <v>118</v>
      </c>
      <c r="G869" s="20" t="s">
        <v>540</v>
      </c>
      <c r="H869" s="20">
        <v>0.29</v>
      </c>
      <c r="I869" s="43"/>
      <c r="J869" s="46">
        <v>16403</v>
      </c>
      <c r="K869" s="41"/>
      <c r="L869" s="47">
        <f t="shared" ref="L869:L877" si="488">SUM(J869/M869)</f>
        <v>1745</v>
      </c>
      <c r="M869" s="48">
        <v>9.4</v>
      </c>
      <c r="N869" s="42">
        <v>7.11</v>
      </c>
      <c r="O869" s="43">
        <f t="shared" ref="O869:O877" si="489">SUM(M869*N869)</f>
        <v>66.834</v>
      </c>
      <c r="P869" s="45"/>
      <c r="Q869" s="45"/>
      <c r="R869" s="69">
        <f t="shared" si="480"/>
        <v>14.0461162790698</v>
      </c>
      <c r="S869" s="69">
        <f t="shared" si="481"/>
        <v>0.00188837209302326</v>
      </c>
      <c r="T869" s="70">
        <f t="shared" si="482"/>
        <v>0.0191197674418605</v>
      </c>
      <c r="U869" s="69"/>
      <c r="V869" s="69"/>
      <c r="W869" s="71">
        <f t="shared" si="475"/>
        <v>14.0671244186047</v>
      </c>
      <c r="X869" s="72">
        <f t="shared" si="483"/>
        <v>0.225122279069767</v>
      </c>
      <c r="Y869" s="72"/>
      <c r="Z869" s="72"/>
      <c r="AA869" s="72">
        <f t="shared" si="476"/>
        <v>0.225122279069767</v>
      </c>
      <c r="AB869" s="81">
        <v>7.11</v>
      </c>
      <c r="AC869" s="69">
        <f t="shared" si="473"/>
        <v>1.60061940418605</v>
      </c>
      <c r="AD869" s="69">
        <f t="shared" si="477"/>
        <v>15.6677438227907</v>
      </c>
      <c r="AE869" s="69">
        <f t="shared" si="474"/>
        <v>51.1662561772093</v>
      </c>
    </row>
    <row r="870" customFormat="1" spans="1:31">
      <c r="A870" s="19"/>
      <c r="B870" s="20"/>
      <c r="C870" s="21">
        <v>241024000003</v>
      </c>
      <c r="D870" s="22">
        <v>45595</v>
      </c>
      <c r="E870" s="22" t="s">
        <v>66</v>
      </c>
      <c r="F870" s="20" t="s">
        <v>67</v>
      </c>
      <c r="G870" s="20" t="s">
        <v>516</v>
      </c>
      <c r="H870" s="20">
        <v>27.5</v>
      </c>
      <c r="I870" s="50"/>
      <c r="J870" s="46">
        <v>366850</v>
      </c>
      <c r="K870" s="41"/>
      <c r="L870" s="47">
        <f t="shared" si="488"/>
        <v>1635.31404627112</v>
      </c>
      <c r="M870" s="48">
        <v>224.33</v>
      </c>
      <c r="N870" s="42">
        <v>7.11</v>
      </c>
      <c r="O870" s="43">
        <f t="shared" si="489"/>
        <v>1594.9863</v>
      </c>
      <c r="P870" s="45"/>
      <c r="Q870" s="45"/>
      <c r="R870" s="69">
        <f t="shared" si="480"/>
        <v>1331.95930232558</v>
      </c>
      <c r="S870" s="69">
        <f t="shared" si="481"/>
        <v>0.17906976744186</v>
      </c>
      <c r="T870" s="70">
        <f t="shared" si="482"/>
        <v>1.81308139534884</v>
      </c>
      <c r="U870" s="69"/>
      <c r="V870" s="69"/>
      <c r="W870" s="71">
        <f t="shared" si="475"/>
        <v>1333.95145348837</v>
      </c>
      <c r="X870" s="72">
        <f t="shared" si="483"/>
        <v>21.3478023255814</v>
      </c>
      <c r="Y870" s="72"/>
      <c r="Z870" s="72"/>
      <c r="AA870" s="72">
        <f t="shared" si="476"/>
        <v>21.3478023255814</v>
      </c>
      <c r="AB870" s="81">
        <v>7.11</v>
      </c>
      <c r="AC870" s="69">
        <f t="shared" si="473"/>
        <v>151.782874534884</v>
      </c>
      <c r="AD870" s="69">
        <f t="shared" si="477"/>
        <v>1485.73432802326</v>
      </c>
      <c r="AE870" s="69">
        <f t="shared" si="474"/>
        <v>109.25197197674</v>
      </c>
    </row>
    <row r="871" customFormat="1" spans="1:31">
      <c r="A871" s="19"/>
      <c r="B871" s="20"/>
      <c r="C871" s="21">
        <v>241024000004</v>
      </c>
      <c r="D871" s="22">
        <v>45595</v>
      </c>
      <c r="E871" s="22" t="s">
        <v>37</v>
      </c>
      <c r="F871" s="20" t="s">
        <v>38</v>
      </c>
      <c r="G871" s="20" t="s">
        <v>541</v>
      </c>
      <c r="H871" s="20">
        <v>0.42</v>
      </c>
      <c r="I871" s="39">
        <v>66</v>
      </c>
      <c r="J871" s="40"/>
      <c r="K871" s="41"/>
      <c r="L871" s="20"/>
      <c r="M871" s="41"/>
      <c r="N871" s="42"/>
      <c r="O871" s="43">
        <f>SUM(I871)</f>
        <v>66</v>
      </c>
      <c r="P871" s="45"/>
      <c r="Q871" s="45"/>
      <c r="R871" s="69">
        <f t="shared" si="480"/>
        <v>20.3426511627907</v>
      </c>
      <c r="S871" s="69">
        <f t="shared" si="481"/>
        <v>0.00273488372093023</v>
      </c>
      <c r="T871" s="70">
        <f t="shared" si="482"/>
        <v>0.0276906976744186</v>
      </c>
      <c r="U871" s="69"/>
      <c r="V871" s="69"/>
      <c r="W871" s="71">
        <f t="shared" si="475"/>
        <v>20.373076744186</v>
      </c>
      <c r="X871" s="72">
        <f t="shared" si="483"/>
        <v>0.326039162790698</v>
      </c>
      <c r="Y871" s="72"/>
      <c r="Z871" s="72"/>
      <c r="AA871" s="72">
        <f t="shared" si="476"/>
        <v>0.326039162790698</v>
      </c>
      <c r="AB871" s="81">
        <v>7.11</v>
      </c>
      <c r="AC871" s="69">
        <f t="shared" si="473"/>
        <v>2.31813844744186</v>
      </c>
      <c r="AD871" s="69">
        <f t="shared" si="477"/>
        <v>22.6912151916279</v>
      </c>
      <c r="AE871" s="69">
        <f t="shared" si="474"/>
        <v>43.3087848083721</v>
      </c>
    </row>
    <row r="872" customFormat="1" spans="1:31">
      <c r="A872" s="19"/>
      <c r="B872" s="20"/>
      <c r="C872" s="21">
        <v>241024000006</v>
      </c>
      <c r="D872" s="22">
        <v>45595</v>
      </c>
      <c r="E872" s="22" t="s">
        <v>66</v>
      </c>
      <c r="F872" s="20" t="s">
        <v>67</v>
      </c>
      <c r="G872" s="20" t="s">
        <v>181</v>
      </c>
      <c r="H872" s="20">
        <v>12</v>
      </c>
      <c r="I872" s="50"/>
      <c r="J872" s="46">
        <v>230399.72</v>
      </c>
      <c r="K872" s="41"/>
      <c r="L872" s="47">
        <f t="shared" si="488"/>
        <v>1656.71762421802</v>
      </c>
      <c r="M872" s="48">
        <v>139.07</v>
      </c>
      <c r="N872" s="42">
        <v>7.11</v>
      </c>
      <c r="O872" s="43">
        <f t="shared" si="489"/>
        <v>988.7877</v>
      </c>
      <c r="P872" s="45"/>
      <c r="Q872" s="45"/>
      <c r="R872" s="69">
        <f t="shared" si="480"/>
        <v>581.218604651163</v>
      </c>
      <c r="S872" s="69">
        <f t="shared" si="481"/>
        <v>0.0781395348837209</v>
      </c>
      <c r="T872" s="70">
        <f t="shared" si="482"/>
        <v>0.791162790697674</v>
      </c>
      <c r="U872" s="69"/>
      <c r="V872" s="69"/>
      <c r="W872" s="71">
        <f t="shared" si="475"/>
        <v>582.087906976744</v>
      </c>
      <c r="X872" s="72">
        <f t="shared" si="483"/>
        <v>9.31540465116279</v>
      </c>
      <c r="Y872" s="72"/>
      <c r="Z872" s="72"/>
      <c r="AA872" s="72">
        <f t="shared" si="476"/>
        <v>9.31540465116279</v>
      </c>
      <c r="AB872" s="81">
        <v>7.11</v>
      </c>
      <c r="AC872" s="69">
        <f t="shared" si="473"/>
        <v>66.2325270697674</v>
      </c>
      <c r="AD872" s="69">
        <f t="shared" si="477"/>
        <v>648.320434046512</v>
      </c>
      <c r="AE872" s="69">
        <f t="shared" si="474"/>
        <v>340.467265953488</v>
      </c>
    </row>
    <row r="873" customFormat="1" spans="1:31">
      <c r="A873" s="19"/>
      <c r="B873" s="20"/>
      <c r="C873" s="21">
        <v>241024000007</v>
      </c>
      <c r="D873" s="22">
        <v>45595</v>
      </c>
      <c r="E873" s="22" t="s">
        <v>66</v>
      </c>
      <c r="F873" s="20" t="s">
        <v>67</v>
      </c>
      <c r="G873" s="20" t="s">
        <v>181</v>
      </c>
      <c r="H873" s="20">
        <v>18.5</v>
      </c>
      <c r="I873" s="50"/>
      <c r="J873" s="46">
        <v>271445</v>
      </c>
      <c r="K873" s="41"/>
      <c r="L873" s="47">
        <f t="shared" si="488"/>
        <v>1656.66768385719</v>
      </c>
      <c r="M873" s="48">
        <v>163.85</v>
      </c>
      <c r="N873" s="42">
        <v>7.11</v>
      </c>
      <c r="O873" s="43">
        <f t="shared" si="489"/>
        <v>1164.9735</v>
      </c>
      <c r="P873" s="45"/>
      <c r="Q873" s="45"/>
      <c r="R873" s="69">
        <f t="shared" si="480"/>
        <v>896.045348837209</v>
      </c>
      <c r="S873" s="69">
        <f t="shared" si="481"/>
        <v>0.12046511627907</v>
      </c>
      <c r="T873" s="70">
        <f t="shared" si="482"/>
        <v>1.21970930232558</v>
      </c>
      <c r="U873" s="69"/>
      <c r="V873" s="69"/>
      <c r="W873" s="71">
        <f t="shared" si="475"/>
        <v>897.385523255814</v>
      </c>
      <c r="X873" s="72">
        <f t="shared" si="483"/>
        <v>14.3612488372093</v>
      </c>
      <c r="Y873" s="72"/>
      <c r="Z873" s="72"/>
      <c r="AA873" s="72">
        <f t="shared" si="476"/>
        <v>14.3612488372093</v>
      </c>
      <c r="AB873" s="81">
        <v>7.11</v>
      </c>
      <c r="AC873" s="69">
        <f t="shared" si="473"/>
        <v>102.108479232558</v>
      </c>
      <c r="AD873" s="69">
        <f t="shared" si="477"/>
        <v>999.494002488372</v>
      </c>
      <c r="AE873" s="69">
        <f t="shared" si="474"/>
        <v>165.479497511628</v>
      </c>
    </row>
    <row r="874" customFormat="1" spans="1:31">
      <c r="A874" s="19"/>
      <c r="B874" s="20"/>
      <c r="C874" s="82">
        <v>241024000008</v>
      </c>
      <c r="D874" s="83">
        <v>45595</v>
      </c>
      <c r="E874" s="22" t="s">
        <v>66</v>
      </c>
      <c r="F874" s="84" t="s">
        <v>67</v>
      </c>
      <c r="G874" s="84" t="s">
        <v>181</v>
      </c>
      <c r="H874" s="84">
        <v>13</v>
      </c>
      <c r="I874" s="50"/>
      <c r="J874" s="46">
        <v>196885</v>
      </c>
      <c r="K874" s="41"/>
      <c r="L874" s="47">
        <f t="shared" si="488"/>
        <v>1656.72332547964</v>
      </c>
      <c r="M874" s="48">
        <v>118.84</v>
      </c>
      <c r="N874" s="42">
        <v>7.11</v>
      </c>
      <c r="O874" s="43">
        <f t="shared" si="489"/>
        <v>844.9524</v>
      </c>
      <c r="P874" s="45"/>
      <c r="Q874" s="45"/>
      <c r="R874" s="69">
        <f t="shared" si="480"/>
        <v>629.653488372093</v>
      </c>
      <c r="S874" s="69">
        <f t="shared" si="481"/>
        <v>0.0846511627906977</v>
      </c>
      <c r="T874" s="70">
        <f t="shared" si="482"/>
        <v>0.857093023255814</v>
      </c>
      <c r="U874" s="69"/>
      <c r="V874" s="69"/>
      <c r="W874" s="71">
        <f t="shared" si="475"/>
        <v>630.59523255814</v>
      </c>
      <c r="X874" s="72">
        <f t="shared" si="483"/>
        <v>10.091688372093</v>
      </c>
      <c r="Y874" s="72"/>
      <c r="Z874" s="72"/>
      <c r="AA874" s="72">
        <f t="shared" si="476"/>
        <v>10.091688372093</v>
      </c>
      <c r="AB874" s="81">
        <v>7.11</v>
      </c>
      <c r="AC874" s="69">
        <f t="shared" si="473"/>
        <v>71.7519043255814</v>
      </c>
      <c r="AD874" s="69">
        <f t="shared" si="477"/>
        <v>702.347136883721</v>
      </c>
      <c r="AE874" s="69">
        <f t="shared" si="474"/>
        <v>142.605263116279</v>
      </c>
    </row>
    <row r="875" customFormat="1" spans="1:31">
      <c r="A875" s="19"/>
      <c r="B875" s="20"/>
      <c r="C875" s="21">
        <v>241024000019</v>
      </c>
      <c r="D875" s="22">
        <v>45595</v>
      </c>
      <c r="E875" s="22" t="s">
        <v>41</v>
      </c>
      <c r="F875" s="20" t="s">
        <v>42</v>
      </c>
      <c r="G875" s="20" t="s">
        <v>255</v>
      </c>
      <c r="H875" s="20">
        <v>9</v>
      </c>
      <c r="I875" s="43"/>
      <c r="J875" s="46">
        <v>142043</v>
      </c>
      <c r="K875" s="41"/>
      <c r="L875" s="47">
        <f t="shared" si="488"/>
        <v>1745</v>
      </c>
      <c r="M875" s="48">
        <v>81.4</v>
      </c>
      <c r="N875" s="42">
        <v>7.11</v>
      </c>
      <c r="O875" s="43">
        <f t="shared" si="489"/>
        <v>578.754</v>
      </c>
      <c r="P875" s="45"/>
      <c r="Q875" s="45"/>
      <c r="R875" s="69">
        <f t="shared" si="480"/>
        <v>435.913953488372</v>
      </c>
      <c r="S875" s="69">
        <f t="shared" si="481"/>
        <v>0.0586046511627907</v>
      </c>
      <c r="T875" s="70">
        <f t="shared" si="482"/>
        <v>0.593372093023256</v>
      </c>
      <c r="U875" s="69"/>
      <c r="V875" s="69"/>
      <c r="W875" s="71">
        <f t="shared" si="475"/>
        <v>436.565930232558</v>
      </c>
      <c r="X875" s="72">
        <f t="shared" si="483"/>
        <v>6.98655348837209</v>
      </c>
      <c r="Y875" s="72"/>
      <c r="Z875" s="72"/>
      <c r="AA875" s="72">
        <f t="shared" si="476"/>
        <v>6.98655348837209</v>
      </c>
      <c r="AB875" s="81">
        <v>7.11</v>
      </c>
      <c r="AC875" s="69">
        <f t="shared" si="473"/>
        <v>49.6743953023256</v>
      </c>
      <c r="AD875" s="69">
        <f t="shared" si="477"/>
        <v>486.240325534884</v>
      </c>
      <c r="AE875" s="69">
        <f t="shared" si="474"/>
        <v>92.513674465116</v>
      </c>
    </row>
    <row r="876" customFormat="1" spans="1:31">
      <c r="A876" s="19"/>
      <c r="B876" s="20"/>
      <c r="C876" s="21">
        <v>241024000025</v>
      </c>
      <c r="D876" s="22">
        <v>45595</v>
      </c>
      <c r="E876" s="22" t="s">
        <v>55</v>
      </c>
      <c r="F876" s="20" t="s">
        <v>56</v>
      </c>
      <c r="G876" s="20" t="s">
        <v>417</v>
      </c>
      <c r="H876" s="20">
        <v>9</v>
      </c>
      <c r="I876" s="43"/>
      <c r="J876" s="46">
        <v>136150</v>
      </c>
      <c r="K876" s="41"/>
      <c r="L876" s="47">
        <f t="shared" si="488"/>
        <v>1750</v>
      </c>
      <c r="M876" s="48">
        <v>77.8</v>
      </c>
      <c r="N876" s="42">
        <v>7.11</v>
      </c>
      <c r="O876" s="43">
        <f t="shared" si="489"/>
        <v>553.158</v>
      </c>
      <c r="P876" s="45"/>
      <c r="Q876" s="45"/>
      <c r="R876" s="69">
        <f t="shared" si="480"/>
        <v>435.913953488372</v>
      </c>
      <c r="S876" s="69">
        <f t="shared" si="481"/>
        <v>0.0586046511627907</v>
      </c>
      <c r="T876" s="70">
        <f t="shared" si="482"/>
        <v>0.593372093023256</v>
      </c>
      <c r="U876" s="69"/>
      <c r="V876" s="69"/>
      <c r="W876" s="71">
        <f t="shared" si="475"/>
        <v>436.565930232558</v>
      </c>
      <c r="X876" s="72">
        <f t="shared" si="483"/>
        <v>6.98655348837209</v>
      </c>
      <c r="Y876" s="72"/>
      <c r="Z876" s="72"/>
      <c r="AA876" s="72">
        <f t="shared" si="476"/>
        <v>6.98655348837209</v>
      </c>
      <c r="AB876" s="81">
        <v>7.11</v>
      </c>
      <c r="AC876" s="69">
        <f t="shared" si="473"/>
        <v>49.6743953023256</v>
      </c>
      <c r="AD876" s="69">
        <f t="shared" si="477"/>
        <v>486.240325534884</v>
      </c>
      <c r="AE876" s="69">
        <f t="shared" si="474"/>
        <v>66.917674465116</v>
      </c>
    </row>
    <row r="877" customFormat="1" spans="1:31">
      <c r="A877" s="19"/>
      <c r="B877" s="20"/>
      <c r="C877" s="21">
        <v>241024000026</v>
      </c>
      <c r="D877" s="22">
        <v>45595</v>
      </c>
      <c r="E877" s="22" t="s">
        <v>55</v>
      </c>
      <c r="F877" s="20" t="s">
        <v>56</v>
      </c>
      <c r="G877" s="20" t="s">
        <v>542</v>
      </c>
      <c r="H877" s="20">
        <v>67</v>
      </c>
      <c r="I877" s="43"/>
      <c r="J877" s="46">
        <v>966556</v>
      </c>
      <c r="K877" s="41"/>
      <c r="L877" s="47">
        <f t="shared" si="488"/>
        <v>1745.00090269002</v>
      </c>
      <c r="M877" s="48">
        <v>553.9</v>
      </c>
      <c r="N877" s="42">
        <v>7.11</v>
      </c>
      <c r="O877" s="43">
        <f t="shared" si="489"/>
        <v>3938.229</v>
      </c>
      <c r="P877" s="45"/>
      <c r="Q877" s="45"/>
      <c r="R877" s="69">
        <f t="shared" si="480"/>
        <v>3245.13720930233</v>
      </c>
      <c r="S877" s="69">
        <f t="shared" si="481"/>
        <v>0.436279069767442</v>
      </c>
      <c r="T877" s="70">
        <f t="shared" si="482"/>
        <v>4.41732558139535</v>
      </c>
      <c r="U877" s="69"/>
      <c r="V877" s="69"/>
      <c r="W877" s="71">
        <f t="shared" si="475"/>
        <v>3249.99081395349</v>
      </c>
      <c r="X877" s="72">
        <f t="shared" si="483"/>
        <v>52.0110093023256</v>
      </c>
      <c r="Y877" s="72"/>
      <c r="Z877" s="72"/>
      <c r="AA877" s="72">
        <f t="shared" si="476"/>
        <v>52.0110093023256</v>
      </c>
      <c r="AB877" s="81">
        <v>7.11</v>
      </c>
      <c r="AC877" s="69">
        <f t="shared" si="473"/>
        <v>369.798276139535</v>
      </c>
      <c r="AD877" s="69">
        <f t="shared" si="477"/>
        <v>3619.78909009302</v>
      </c>
      <c r="AE877" s="69">
        <f t="shared" si="474"/>
        <v>318.43990990698</v>
      </c>
    </row>
    <row r="878" customFormat="1" spans="1:31">
      <c r="A878" s="19"/>
      <c r="B878" s="20"/>
      <c r="C878" s="21">
        <v>241024000027</v>
      </c>
      <c r="D878" s="22">
        <v>45595</v>
      </c>
      <c r="E878" s="22" t="s">
        <v>66</v>
      </c>
      <c r="F878" s="20" t="s">
        <v>67</v>
      </c>
      <c r="G878" s="20" t="s">
        <v>543</v>
      </c>
      <c r="H878" s="20">
        <v>0.24</v>
      </c>
      <c r="I878" s="39">
        <v>60</v>
      </c>
      <c r="J878" s="40"/>
      <c r="K878" s="41"/>
      <c r="L878" s="20"/>
      <c r="M878" s="41"/>
      <c r="N878" s="42"/>
      <c r="O878" s="43">
        <f t="shared" ref="O878:O883" si="490">SUM(I878)</f>
        <v>60</v>
      </c>
      <c r="P878" s="45"/>
      <c r="Q878" s="45"/>
      <c r="R878" s="69">
        <f t="shared" si="480"/>
        <v>11.6243720930233</v>
      </c>
      <c r="S878" s="69">
        <f t="shared" si="481"/>
        <v>0.00156279069767442</v>
      </c>
      <c r="T878" s="70">
        <f t="shared" si="482"/>
        <v>0.0158232558139535</v>
      </c>
      <c r="U878" s="69"/>
      <c r="V878" s="69"/>
      <c r="W878" s="71">
        <f t="shared" si="475"/>
        <v>11.6417581395349</v>
      </c>
      <c r="X878" s="72">
        <f t="shared" si="483"/>
        <v>0.186308093023256</v>
      </c>
      <c r="Y878" s="72"/>
      <c r="Z878" s="72"/>
      <c r="AA878" s="72">
        <f t="shared" si="476"/>
        <v>0.186308093023256</v>
      </c>
      <c r="AB878" s="81">
        <v>7.11</v>
      </c>
      <c r="AC878" s="69">
        <f t="shared" si="473"/>
        <v>1.32465054139535</v>
      </c>
      <c r="AD878" s="69">
        <f t="shared" si="477"/>
        <v>12.9664086809302</v>
      </c>
      <c r="AE878" s="69">
        <f t="shared" si="474"/>
        <v>47.0335913190698</v>
      </c>
    </row>
    <row r="879" customFormat="1" spans="1:31">
      <c r="A879" s="19"/>
      <c r="B879" s="20"/>
      <c r="C879" s="21">
        <v>241024000029</v>
      </c>
      <c r="D879" s="22">
        <v>45595</v>
      </c>
      <c r="E879" s="22" t="s">
        <v>37</v>
      </c>
      <c r="F879" s="20" t="s">
        <v>38</v>
      </c>
      <c r="G879" s="20" t="s">
        <v>544</v>
      </c>
      <c r="H879" s="20">
        <v>7</v>
      </c>
      <c r="I879" s="39">
        <v>468</v>
      </c>
      <c r="J879" s="40"/>
      <c r="K879" s="41"/>
      <c r="L879" s="20"/>
      <c r="M879" s="41"/>
      <c r="N879" s="42"/>
      <c r="O879" s="43">
        <f t="shared" si="490"/>
        <v>468</v>
      </c>
      <c r="P879" s="45"/>
      <c r="Q879" s="45"/>
      <c r="R879" s="69">
        <f t="shared" si="480"/>
        <v>339.044186046512</v>
      </c>
      <c r="S879" s="69">
        <f t="shared" si="481"/>
        <v>0.0455813953488372</v>
      </c>
      <c r="T879" s="70">
        <f t="shared" si="482"/>
        <v>0.461511627906977</v>
      </c>
      <c r="U879" s="69"/>
      <c r="V879" s="69"/>
      <c r="W879" s="71">
        <f t="shared" si="475"/>
        <v>339.551279069767</v>
      </c>
      <c r="X879" s="72">
        <f t="shared" si="483"/>
        <v>5.43398604651163</v>
      </c>
      <c r="Y879" s="72"/>
      <c r="Z879" s="72"/>
      <c r="AA879" s="72">
        <f t="shared" si="476"/>
        <v>5.43398604651163</v>
      </c>
      <c r="AB879" s="81">
        <v>7.11</v>
      </c>
      <c r="AC879" s="69">
        <f t="shared" si="473"/>
        <v>38.6356407906977</v>
      </c>
      <c r="AD879" s="69">
        <f t="shared" si="477"/>
        <v>378.186919860465</v>
      </c>
      <c r="AE879" s="69">
        <f t="shared" si="474"/>
        <v>89.813080139535</v>
      </c>
    </row>
    <row r="880" customFormat="1" spans="1:31">
      <c r="A880" s="19"/>
      <c r="B880" s="20"/>
      <c r="C880" s="21">
        <v>241024000030</v>
      </c>
      <c r="D880" s="22">
        <v>45595</v>
      </c>
      <c r="E880" s="22" t="s">
        <v>37</v>
      </c>
      <c r="F880" s="20" t="s">
        <v>38</v>
      </c>
      <c r="G880" s="20" t="s">
        <v>419</v>
      </c>
      <c r="H880" s="20">
        <v>6</v>
      </c>
      <c r="I880" s="39">
        <v>360</v>
      </c>
      <c r="J880" s="40"/>
      <c r="K880" s="41"/>
      <c r="L880" s="20"/>
      <c r="M880" s="41"/>
      <c r="N880" s="42"/>
      <c r="O880" s="43">
        <f t="shared" si="490"/>
        <v>360</v>
      </c>
      <c r="P880" s="45"/>
      <c r="Q880" s="45"/>
      <c r="R880" s="69">
        <f t="shared" si="480"/>
        <v>290.609302325581</v>
      </c>
      <c r="S880" s="69">
        <f t="shared" si="481"/>
        <v>0.0390697674418605</v>
      </c>
      <c r="T880" s="70">
        <f t="shared" si="482"/>
        <v>0.395581395348837</v>
      </c>
      <c r="U880" s="69"/>
      <c r="V880" s="69"/>
      <c r="W880" s="71">
        <f t="shared" si="475"/>
        <v>291.043953488372</v>
      </c>
      <c r="X880" s="72">
        <f t="shared" si="483"/>
        <v>4.6577023255814</v>
      </c>
      <c r="Y880" s="72"/>
      <c r="Z880" s="72"/>
      <c r="AA880" s="72">
        <f t="shared" si="476"/>
        <v>4.6577023255814</v>
      </c>
      <c r="AB880" s="81">
        <v>7.11</v>
      </c>
      <c r="AC880" s="69">
        <f t="shared" ref="AC880:AC911" si="491">SUM(AA880*AB880)</f>
        <v>33.1162635348837</v>
      </c>
      <c r="AD880" s="69">
        <f t="shared" si="477"/>
        <v>324.160217023256</v>
      </c>
      <c r="AE880" s="69">
        <f t="shared" si="474"/>
        <v>35.839782976744</v>
      </c>
    </row>
    <row r="881" customFormat="1" spans="1:31">
      <c r="A881" s="19"/>
      <c r="B881" s="20"/>
      <c r="C881" s="21">
        <v>241024000031</v>
      </c>
      <c r="D881" s="22">
        <v>45595</v>
      </c>
      <c r="E881" s="22" t="s">
        <v>55</v>
      </c>
      <c r="F881" s="20" t="s">
        <v>56</v>
      </c>
      <c r="G881" s="20" t="s">
        <v>112</v>
      </c>
      <c r="H881" s="20">
        <v>1.5</v>
      </c>
      <c r="I881" s="39">
        <v>97.5</v>
      </c>
      <c r="J881" s="40"/>
      <c r="K881" s="41"/>
      <c r="L881" s="20"/>
      <c r="M881" s="41"/>
      <c r="N881" s="42"/>
      <c r="O881" s="43">
        <f t="shared" si="490"/>
        <v>97.5</v>
      </c>
      <c r="P881" s="45"/>
      <c r="Q881" s="45"/>
      <c r="R881" s="69">
        <f t="shared" si="480"/>
        <v>72.6523255813953</v>
      </c>
      <c r="S881" s="69">
        <f t="shared" si="481"/>
        <v>0.00976744186046512</v>
      </c>
      <c r="T881" s="70">
        <f t="shared" si="482"/>
        <v>0.0988953488372093</v>
      </c>
      <c r="U881" s="69"/>
      <c r="V881" s="69"/>
      <c r="W881" s="71">
        <f t="shared" si="475"/>
        <v>72.760988372093</v>
      </c>
      <c r="X881" s="72">
        <f t="shared" si="483"/>
        <v>1.16442558139535</v>
      </c>
      <c r="Y881" s="72"/>
      <c r="Z881" s="72"/>
      <c r="AA881" s="72">
        <f t="shared" si="476"/>
        <v>1.16442558139535</v>
      </c>
      <c r="AB881" s="81">
        <v>7.11</v>
      </c>
      <c r="AC881" s="69">
        <f t="shared" si="491"/>
        <v>8.27906588372093</v>
      </c>
      <c r="AD881" s="69">
        <f t="shared" si="477"/>
        <v>81.0400542558139</v>
      </c>
      <c r="AE881" s="69">
        <f t="shared" ref="AE881:AE912" si="492">SUM(O881-AD881)</f>
        <v>16.4599457441861</v>
      </c>
    </row>
    <row r="882" customFormat="1" spans="1:31">
      <c r="A882" s="19"/>
      <c r="B882" s="20"/>
      <c r="C882" s="21">
        <v>241024000032</v>
      </c>
      <c r="D882" s="22">
        <v>45595</v>
      </c>
      <c r="E882" s="22" t="s">
        <v>55</v>
      </c>
      <c r="F882" s="20" t="s">
        <v>56</v>
      </c>
      <c r="G882" s="20" t="s">
        <v>112</v>
      </c>
      <c r="H882" s="20">
        <v>5</v>
      </c>
      <c r="I882" s="39">
        <v>318</v>
      </c>
      <c r="J882" s="40"/>
      <c r="K882" s="41"/>
      <c r="L882" s="20"/>
      <c r="M882" s="41"/>
      <c r="N882" s="42"/>
      <c r="O882" s="43">
        <f t="shared" si="490"/>
        <v>318</v>
      </c>
      <c r="P882" s="45"/>
      <c r="Q882" s="45"/>
      <c r="R882" s="69">
        <f t="shared" si="480"/>
        <v>242.174418604651</v>
      </c>
      <c r="S882" s="69">
        <f t="shared" si="481"/>
        <v>0.0325581395348837</v>
      </c>
      <c r="T882" s="70">
        <f t="shared" si="482"/>
        <v>0.329651162790698</v>
      </c>
      <c r="U882" s="69"/>
      <c r="V882" s="69"/>
      <c r="W882" s="71">
        <f t="shared" si="475"/>
        <v>242.536627906977</v>
      </c>
      <c r="X882" s="72">
        <f t="shared" si="483"/>
        <v>3.88141860465116</v>
      </c>
      <c r="Y882" s="72"/>
      <c r="Z882" s="72"/>
      <c r="AA882" s="72">
        <f t="shared" si="476"/>
        <v>3.88141860465116</v>
      </c>
      <c r="AB882" s="81">
        <v>7.11</v>
      </c>
      <c r="AC882" s="69">
        <f t="shared" si="491"/>
        <v>27.5968862790698</v>
      </c>
      <c r="AD882" s="69">
        <f t="shared" si="477"/>
        <v>270.133514186047</v>
      </c>
      <c r="AE882" s="69">
        <f t="shared" si="492"/>
        <v>47.8664858139535</v>
      </c>
    </row>
    <row r="883" customFormat="1" spans="1:31">
      <c r="A883" s="19"/>
      <c r="B883" s="20"/>
      <c r="C883" s="21">
        <v>241024000035</v>
      </c>
      <c r="D883" s="22">
        <v>45595</v>
      </c>
      <c r="E883" s="22" t="s">
        <v>37</v>
      </c>
      <c r="F883" s="20" t="s">
        <v>545</v>
      </c>
      <c r="G883" s="20" t="s">
        <v>546</v>
      </c>
      <c r="H883" s="20">
        <v>7.5</v>
      </c>
      <c r="I883" s="39">
        <v>501</v>
      </c>
      <c r="J883" s="40"/>
      <c r="K883" s="41"/>
      <c r="L883" s="20"/>
      <c r="M883" s="41"/>
      <c r="N883" s="42"/>
      <c r="O883" s="43">
        <f t="shared" si="490"/>
        <v>501</v>
      </c>
      <c r="P883" s="45"/>
      <c r="Q883" s="45"/>
      <c r="R883" s="69">
        <f t="shared" si="480"/>
        <v>363.261627906977</v>
      </c>
      <c r="S883" s="69">
        <f t="shared" si="481"/>
        <v>0.0488372093023256</v>
      </c>
      <c r="T883" s="70">
        <f t="shared" si="482"/>
        <v>0.494476744186047</v>
      </c>
      <c r="U883" s="69"/>
      <c r="V883" s="69"/>
      <c r="W883" s="71">
        <f t="shared" ref="W883:W914" si="493">SUM(R883:V883)</f>
        <v>363.804941860465</v>
      </c>
      <c r="X883" s="72">
        <f t="shared" si="483"/>
        <v>5.82212790697674</v>
      </c>
      <c r="Y883" s="72"/>
      <c r="Z883" s="72"/>
      <c r="AA883" s="72">
        <f t="shared" ref="AA883:AA914" si="494">SUM(X883:Z883)</f>
        <v>5.82212790697674</v>
      </c>
      <c r="AB883" s="81">
        <v>7.11</v>
      </c>
      <c r="AC883" s="69">
        <f t="shared" si="491"/>
        <v>41.3953294186047</v>
      </c>
      <c r="AD883" s="69">
        <f t="shared" ref="AD883:AD914" si="495">SUM(W883+AC883)</f>
        <v>405.20027127907</v>
      </c>
      <c r="AE883" s="69">
        <f t="shared" si="492"/>
        <v>95.7997287209302</v>
      </c>
    </row>
    <row r="884" customFormat="1" spans="1:31">
      <c r="A884" s="19"/>
      <c r="B884" s="20"/>
      <c r="C884" s="21">
        <v>241024000036</v>
      </c>
      <c r="D884" s="22">
        <v>45595</v>
      </c>
      <c r="E884" s="22" t="s">
        <v>37</v>
      </c>
      <c r="F884" s="20" t="s">
        <v>38</v>
      </c>
      <c r="G884" s="20" t="s">
        <v>547</v>
      </c>
      <c r="H884" s="20">
        <v>23.5</v>
      </c>
      <c r="I884" s="50"/>
      <c r="J884" s="46">
        <v>362000</v>
      </c>
      <c r="K884" s="41"/>
      <c r="L884" s="47">
        <f>SUM(J884/M884)</f>
        <v>1738.54576889828</v>
      </c>
      <c r="M884" s="48">
        <v>208.22</v>
      </c>
      <c r="N884" s="42">
        <v>7.11</v>
      </c>
      <c r="O884" s="43">
        <f>SUM(M884*N884)</f>
        <v>1480.4442</v>
      </c>
      <c r="P884" s="45"/>
      <c r="Q884" s="45"/>
      <c r="R884" s="69">
        <f t="shared" si="480"/>
        <v>1138.21976744186</v>
      </c>
      <c r="S884" s="69">
        <f t="shared" si="481"/>
        <v>0.153023255813953</v>
      </c>
      <c r="T884" s="70">
        <f t="shared" si="482"/>
        <v>1.54936046511628</v>
      </c>
      <c r="U884" s="69"/>
      <c r="V884" s="69"/>
      <c r="W884" s="71">
        <f t="shared" si="493"/>
        <v>1139.92215116279</v>
      </c>
      <c r="X884" s="72">
        <f t="shared" si="483"/>
        <v>18.2426674418605</v>
      </c>
      <c r="Y884" s="72"/>
      <c r="Z884" s="72"/>
      <c r="AA884" s="72">
        <f t="shared" si="494"/>
        <v>18.2426674418605</v>
      </c>
      <c r="AB884" s="81">
        <v>7.11</v>
      </c>
      <c r="AC884" s="69">
        <f t="shared" si="491"/>
        <v>129.705365511628</v>
      </c>
      <c r="AD884" s="69">
        <f t="shared" si="495"/>
        <v>1269.62751667442</v>
      </c>
      <c r="AE884" s="69">
        <f t="shared" si="492"/>
        <v>210.816683325582</v>
      </c>
    </row>
    <row r="885" customFormat="1" spans="1:31">
      <c r="A885" s="19"/>
      <c r="B885" s="20"/>
      <c r="C885" s="21">
        <v>241024000037</v>
      </c>
      <c r="D885" s="22">
        <v>45595</v>
      </c>
      <c r="E885" s="22" t="s">
        <v>41</v>
      </c>
      <c r="F885" s="20" t="s">
        <v>42</v>
      </c>
      <c r="G885" s="20" t="s">
        <v>548</v>
      </c>
      <c r="H885" s="20">
        <v>209.5</v>
      </c>
      <c r="I885" s="39">
        <v>11850</v>
      </c>
      <c r="J885" s="40"/>
      <c r="K885" s="41"/>
      <c r="L885" s="20"/>
      <c r="M885" s="41"/>
      <c r="N885" s="42"/>
      <c r="O885" s="43">
        <f t="shared" ref="O885:O889" si="496">SUM(I885)</f>
        <v>11850</v>
      </c>
      <c r="P885" s="45"/>
      <c r="Q885" s="45"/>
      <c r="R885" s="69">
        <f t="shared" si="480"/>
        <v>10147.1081395349</v>
      </c>
      <c r="S885" s="69">
        <f t="shared" si="481"/>
        <v>1.36418604651163</v>
      </c>
      <c r="T885" s="70">
        <f t="shared" si="482"/>
        <v>13.8123837209302</v>
      </c>
      <c r="U885" s="69"/>
      <c r="V885" s="69"/>
      <c r="W885" s="71">
        <f t="shared" si="493"/>
        <v>10162.2847093023</v>
      </c>
      <c r="X885" s="72">
        <f t="shared" si="483"/>
        <v>162.631439534884</v>
      </c>
      <c r="Y885" s="72">
        <v>42.19</v>
      </c>
      <c r="Z885" s="72"/>
      <c r="AA885" s="72">
        <f t="shared" si="494"/>
        <v>204.821439534884</v>
      </c>
      <c r="AB885" s="81">
        <v>7.11</v>
      </c>
      <c r="AC885" s="69">
        <f t="shared" si="491"/>
        <v>1456.28043509302</v>
      </c>
      <c r="AD885" s="69">
        <f t="shared" si="495"/>
        <v>11618.5651443953</v>
      </c>
      <c r="AE885" s="69">
        <f t="shared" si="492"/>
        <v>231.434855604652</v>
      </c>
    </row>
    <row r="886" customFormat="1" spans="1:31">
      <c r="A886" s="19"/>
      <c r="B886" s="20"/>
      <c r="C886" s="21">
        <v>241024000038</v>
      </c>
      <c r="D886" s="22">
        <v>45595</v>
      </c>
      <c r="E886" s="22" t="s">
        <v>41</v>
      </c>
      <c r="F886" s="20" t="s">
        <v>549</v>
      </c>
      <c r="G886" s="20" t="s">
        <v>550</v>
      </c>
      <c r="H886" s="20">
        <v>5.5</v>
      </c>
      <c r="I886" s="43"/>
      <c r="J886" s="46">
        <v>87075.5</v>
      </c>
      <c r="K886" s="41"/>
      <c r="L886" s="47">
        <f>SUM(J886/M886)</f>
        <v>1745</v>
      </c>
      <c r="M886" s="48">
        <v>49.9</v>
      </c>
      <c r="N886" s="42">
        <v>7.11</v>
      </c>
      <c r="O886" s="43">
        <f>SUM(M886*N886)</f>
        <v>354.789</v>
      </c>
      <c r="P886" s="45"/>
      <c r="Q886" s="45"/>
      <c r="R886" s="69">
        <f t="shared" ref="R886:R930" si="497">SUM(104135/2150)*H886</f>
        <v>266.391860465116</v>
      </c>
      <c r="S886" s="69">
        <f t="shared" ref="S886:S930" si="498">SUM(14/2150)*H886</f>
        <v>0.0358139534883721</v>
      </c>
      <c r="T886" s="70">
        <f t="shared" ref="T886:T930" si="499">SUM(141.75/2150)*H886</f>
        <v>0.362616279069767</v>
      </c>
      <c r="U886" s="69"/>
      <c r="V886" s="69"/>
      <c r="W886" s="71">
        <f t="shared" si="493"/>
        <v>266.790290697674</v>
      </c>
      <c r="X886" s="72">
        <f t="shared" ref="X886:X930" si="500">SUM(1669.01/2150)*H886</f>
        <v>4.26956046511628</v>
      </c>
      <c r="Y886" s="72"/>
      <c r="Z886" s="72"/>
      <c r="AA886" s="72">
        <f t="shared" si="494"/>
        <v>4.26956046511628</v>
      </c>
      <c r="AB886" s="81">
        <v>7.11</v>
      </c>
      <c r="AC886" s="69">
        <f t="shared" si="491"/>
        <v>30.3565749069767</v>
      </c>
      <c r="AD886" s="69">
        <f t="shared" si="495"/>
        <v>297.146865604651</v>
      </c>
      <c r="AE886" s="69">
        <f t="shared" si="492"/>
        <v>57.6421343953488</v>
      </c>
    </row>
    <row r="887" customFormat="1" spans="1:31">
      <c r="A887" s="19"/>
      <c r="B887" s="20"/>
      <c r="C887" s="21">
        <v>241024000048</v>
      </c>
      <c r="D887" s="22">
        <v>45595</v>
      </c>
      <c r="E887" s="22" t="s">
        <v>37</v>
      </c>
      <c r="F887" s="20" t="s">
        <v>38</v>
      </c>
      <c r="G887" s="20" t="s">
        <v>291</v>
      </c>
      <c r="H887" s="20">
        <v>85</v>
      </c>
      <c r="I887" s="39">
        <v>4845</v>
      </c>
      <c r="J887" s="40"/>
      <c r="K887" s="41"/>
      <c r="L887" s="20"/>
      <c r="M887" s="41"/>
      <c r="N887" s="42"/>
      <c r="O887" s="43">
        <f t="shared" si="496"/>
        <v>4845</v>
      </c>
      <c r="P887" s="45"/>
      <c r="Q887" s="45"/>
      <c r="R887" s="69">
        <f t="shared" si="497"/>
        <v>4116.96511627907</v>
      </c>
      <c r="S887" s="69">
        <f t="shared" si="498"/>
        <v>0.553488372093023</v>
      </c>
      <c r="T887" s="70">
        <f t="shared" si="499"/>
        <v>5.60406976744186</v>
      </c>
      <c r="U887" s="69"/>
      <c r="V887" s="69"/>
      <c r="W887" s="71">
        <f t="shared" si="493"/>
        <v>4123.1226744186</v>
      </c>
      <c r="X887" s="72">
        <f t="shared" si="500"/>
        <v>65.9841162790698</v>
      </c>
      <c r="Y887" s="72"/>
      <c r="Z887" s="72"/>
      <c r="AA887" s="72">
        <f t="shared" si="494"/>
        <v>65.9841162790698</v>
      </c>
      <c r="AB887" s="81">
        <v>7.11</v>
      </c>
      <c r="AC887" s="69">
        <f t="shared" si="491"/>
        <v>469.147066744186</v>
      </c>
      <c r="AD887" s="69">
        <f t="shared" si="495"/>
        <v>4592.26974116279</v>
      </c>
      <c r="AE887" s="69">
        <f t="shared" si="492"/>
        <v>252.730258837209</v>
      </c>
    </row>
    <row r="888" customFormat="1" spans="1:31">
      <c r="A888" s="19"/>
      <c r="B888" s="20"/>
      <c r="C888" s="21">
        <v>241024000049</v>
      </c>
      <c r="D888" s="22">
        <v>45595</v>
      </c>
      <c r="E888" s="22" t="s">
        <v>41</v>
      </c>
      <c r="F888" s="20" t="s">
        <v>42</v>
      </c>
      <c r="G888" s="20" t="s">
        <v>551</v>
      </c>
      <c r="H888" s="20">
        <v>0.46</v>
      </c>
      <c r="I888" s="39">
        <v>63</v>
      </c>
      <c r="J888" s="40"/>
      <c r="K888" s="41"/>
      <c r="L888" s="20"/>
      <c r="M888" s="41"/>
      <c r="N888" s="42"/>
      <c r="O888" s="43">
        <f t="shared" si="496"/>
        <v>63</v>
      </c>
      <c r="P888" s="45"/>
      <c r="Q888" s="45"/>
      <c r="R888" s="69">
        <f t="shared" si="497"/>
        <v>22.2800465116279</v>
      </c>
      <c r="S888" s="69">
        <f t="shared" si="498"/>
        <v>0.0029953488372093</v>
      </c>
      <c r="T888" s="70">
        <f t="shared" si="499"/>
        <v>0.0303279069767442</v>
      </c>
      <c r="U888" s="69"/>
      <c r="V888" s="69"/>
      <c r="W888" s="71">
        <f t="shared" si="493"/>
        <v>22.3133697674419</v>
      </c>
      <c r="X888" s="72">
        <f t="shared" si="500"/>
        <v>0.357090511627907</v>
      </c>
      <c r="Y888" s="72"/>
      <c r="Z888" s="72"/>
      <c r="AA888" s="72">
        <f t="shared" si="494"/>
        <v>0.357090511627907</v>
      </c>
      <c r="AB888" s="81">
        <v>7.11</v>
      </c>
      <c r="AC888" s="69">
        <f t="shared" si="491"/>
        <v>2.53891353767442</v>
      </c>
      <c r="AD888" s="69">
        <f t="shared" si="495"/>
        <v>24.8522833051163</v>
      </c>
      <c r="AE888" s="69">
        <f t="shared" si="492"/>
        <v>38.1477166948837</v>
      </c>
    </row>
    <row r="889" customFormat="1" spans="1:31">
      <c r="A889" s="19"/>
      <c r="B889" s="20"/>
      <c r="C889" s="21">
        <v>241024000050</v>
      </c>
      <c r="D889" s="22">
        <v>45595</v>
      </c>
      <c r="E889" s="22" t="s">
        <v>55</v>
      </c>
      <c r="F889" s="20" t="s">
        <v>56</v>
      </c>
      <c r="G889" s="20" t="s">
        <v>211</v>
      </c>
      <c r="H889" s="20">
        <v>2</v>
      </c>
      <c r="I889" s="39">
        <v>141</v>
      </c>
      <c r="J889" s="40"/>
      <c r="K889" s="41"/>
      <c r="L889" s="20"/>
      <c r="M889" s="41"/>
      <c r="N889" s="42"/>
      <c r="O889" s="43">
        <f t="shared" si="496"/>
        <v>141</v>
      </c>
      <c r="P889" s="45"/>
      <c r="Q889" s="45"/>
      <c r="R889" s="69">
        <f t="shared" si="497"/>
        <v>96.8697674418605</v>
      </c>
      <c r="S889" s="69">
        <f t="shared" si="498"/>
        <v>0.0130232558139535</v>
      </c>
      <c r="T889" s="70">
        <f t="shared" si="499"/>
        <v>0.131860465116279</v>
      </c>
      <c r="U889" s="69"/>
      <c r="V889" s="69"/>
      <c r="W889" s="71">
        <f t="shared" si="493"/>
        <v>97.0146511627907</v>
      </c>
      <c r="X889" s="72">
        <f t="shared" si="500"/>
        <v>1.55256744186047</v>
      </c>
      <c r="Y889" s="72"/>
      <c r="Z889" s="72"/>
      <c r="AA889" s="72">
        <f t="shared" si="494"/>
        <v>1.55256744186047</v>
      </c>
      <c r="AB889" s="81">
        <v>7.11</v>
      </c>
      <c r="AC889" s="69">
        <f t="shared" si="491"/>
        <v>11.0387545116279</v>
      </c>
      <c r="AD889" s="69">
        <f t="shared" si="495"/>
        <v>108.053405674419</v>
      </c>
      <c r="AE889" s="69">
        <f t="shared" si="492"/>
        <v>32.9465943255814</v>
      </c>
    </row>
    <row r="890" customFormat="1" spans="1:31">
      <c r="A890" s="19"/>
      <c r="B890" s="20"/>
      <c r="C890" s="21">
        <v>241024000051</v>
      </c>
      <c r="D890" s="22">
        <v>45595</v>
      </c>
      <c r="E890" s="22" t="s">
        <v>88</v>
      </c>
      <c r="F890" s="20" t="s">
        <v>120</v>
      </c>
      <c r="G890" s="20" t="s">
        <v>309</v>
      </c>
      <c r="H890" s="20">
        <v>11</v>
      </c>
      <c r="I890" s="43"/>
      <c r="J890" s="40"/>
      <c r="K890" s="48">
        <v>94.9</v>
      </c>
      <c r="L890" s="47">
        <f>SUM(J890/M890)</f>
        <v>0</v>
      </c>
      <c r="M890" s="48">
        <v>94.9</v>
      </c>
      <c r="N890" s="42">
        <v>7.11</v>
      </c>
      <c r="O890" s="43">
        <f>SUM(M890*N890)</f>
        <v>674.739</v>
      </c>
      <c r="P890" s="45"/>
      <c r="Q890" s="45"/>
      <c r="R890" s="69">
        <f t="shared" si="497"/>
        <v>532.783720930233</v>
      </c>
      <c r="S890" s="69">
        <f t="shared" si="498"/>
        <v>0.0716279069767442</v>
      </c>
      <c r="T890" s="70">
        <f t="shared" si="499"/>
        <v>0.725232558139535</v>
      </c>
      <c r="U890" s="69"/>
      <c r="V890" s="69"/>
      <c r="W890" s="71">
        <f t="shared" si="493"/>
        <v>533.580581395349</v>
      </c>
      <c r="X890" s="72">
        <f t="shared" si="500"/>
        <v>8.53912093023256</v>
      </c>
      <c r="Y890" s="72"/>
      <c r="Z890" s="72"/>
      <c r="AA890" s="72">
        <f t="shared" si="494"/>
        <v>8.53912093023256</v>
      </c>
      <c r="AB890" s="81">
        <v>7.11</v>
      </c>
      <c r="AC890" s="69">
        <f t="shared" si="491"/>
        <v>60.7131498139535</v>
      </c>
      <c r="AD890" s="69">
        <f t="shared" si="495"/>
        <v>594.293731209302</v>
      </c>
      <c r="AE890" s="69">
        <f t="shared" si="492"/>
        <v>80.4452687906977</v>
      </c>
    </row>
    <row r="891" customFormat="1" spans="1:31">
      <c r="A891" s="19"/>
      <c r="B891" s="20"/>
      <c r="C891" s="21">
        <v>241025000004</v>
      </c>
      <c r="D891" s="22">
        <v>45595</v>
      </c>
      <c r="E891" s="22" t="s">
        <v>66</v>
      </c>
      <c r="F891" s="20" t="s">
        <v>67</v>
      </c>
      <c r="G891" s="20" t="s">
        <v>207</v>
      </c>
      <c r="H891" s="20">
        <v>168</v>
      </c>
      <c r="I891" s="39">
        <v>10634</v>
      </c>
      <c r="J891" s="40"/>
      <c r="K891" s="41"/>
      <c r="L891" s="20"/>
      <c r="M891" s="41"/>
      <c r="N891" s="42"/>
      <c r="O891" s="43">
        <f t="shared" ref="O891:O898" si="501">SUM(I891)</f>
        <v>10634</v>
      </c>
      <c r="P891" s="45"/>
      <c r="Q891" s="45"/>
      <c r="R891" s="69">
        <f t="shared" si="497"/>
        <v>8137.06046511628</v>
      </c>
      <c r="S891" s="69">
        <f t="shared" si="498"/>
        <v>1.09395348837209</v>
      </c>
      <c r="T891" s="70">
        <f t="shared" si="499"/>
        <v>11.0762790697674</v>
      </c>
      <c r="U891" s="70">
        <v>50</v>
      </c>
      <c r="V891" s="69"/>
      <c r="W891" s="71">
        <f t="shared" si="493"/>
        <v>8199.23069767442</v>
      </c>
      <c r="X891" s="72">
        <f t="shared" si="500"/>
        <v>130.415665116279</v>
      </c>
      <c r="Y891" s="72"/>
      <c r="Z891" s="72"/>
      <c r="AA891" s="72">
        <f t="shared" si="494"/>
        <v>130.415665116279</v>
      </c>
      <c r="AB891" s="81">
        <v>7.11</v>
      </c>
      <c r="AC891" s="69">
        <f t="shared" si="491"/>
        <v>927.255378976744</v>
      </c>
      <c r="AD891" s="69">
        <f t="shared" si="495"/>
        <v>9126.48607665116</v>
      </c>
      <c r="AE891" s="69">
        <f t="shared" si="492"/>
        <v>1507.51392334884</v>
      </c>
    </row>
    <row r="892" customFormat="1" spans="1:31">
      <c r="A892" s="19"/>
      <c r="B892" s="20"/>
      <c r="C892" s="21">
        <v>241025000005</v>
      </c>
      <c r="D892" s="22">
        <v>45595</v>
      </c>
      <c r="E892" s="22" t="s">
        <v>66</v>
      </c>
      <c r="F892" s="20" t="s">
        <v>67</v>
      </c>
      <c r="G892" s="20" t="s">
        <v>552</v>
      </c>
      <c r="H892" s="20">
        <v>0.54</v>
      </c>
      <c r="I892" s="39">
        <v>66</v>
      </c>
      <c r="J892" s="40"/>
      <c r="K892" s="41"/>
      <c r="L892" s="20"/>
      <c r="M892" s="41"/>
      <c r="N892" s="42"/>
      <c r="O892" s="43">
        <f t="shared" si="501"/>
        <v>66</v>
      </c>
      <c r="P892" s="45"/>
      <c r="Q892" s="45"/>
      <c r="R892" s="69">
        <f t="shared" si="497"/>
        <v>26.1548372093023</v>
      </c>
      <c r="S892" s="69">
        <f t="shared" si="498"/>
        <v>0.00351627906976744</v>
      </c>
      <c r="T892" s="70">
        <f t="shared" si="499"/>
        <v>0.0356023255813954</v>
      </c>
      <c r="U892" s="69"/>
      <c r="V892" s="69"/>
      <c r="W892" s="71">
        <f t="shared" si="493"/>
        <v>26.1939558139535</v>
      </c>
      <c r="X892" s="72">
        <f t="shared" si="500"/>
        <v>0.419193209302326</v>
      </c>
      <c r="Y892" s="72"/>
      <c r="Z892" s="72"/>
      <c r="AA892" s="72">
        <f t="shared" si="494"/>
        <v>0.419193209302326</v>
      </c>
      <c r="AB892" s="81">
        <v>7.11</v>
      </c>
      <c r="AC892" s="69">
        <f t="shared" si="491"/>
        <v>2.98046371813954</v>
      </c>
      <c r="AD892" s="69">
        <f t="shared" si="495"/>
        <v>29.174419532093</v>
      </c>
      <c r="AE892" s="69">
        <f t="shared" si="492"/>
        <v>36.825580467907</v>
      </c>
    </row>
    <row r="893" customFormat="1" spans="1:31">
      <c r="A893" s="19"/>
      <c r="B893" s="20"/>
      <c r="C893" s="21">
        <v>241025000008</v>
      </c>
      <c r="D893" s="22">
        <v>45595</v>
      </c>
      <c r="E893" s="22" t="s">
        <v>41</v>
      </c>
      <c r="F893" s="20" t="s">
        <v>42</v>
      </c>
      <c r="G893" s="20" t="s">
        <v>553</v>
      </c>
      <c r="H893" s="20">
        <v>8</v>
      </c>
      <c r="I893" s="39">
        <v>534</v>
      </c>
      <c r="J893" s="40"/>
      <c r="K893" s="41"/>
      <c r="L893" s="20"/>
      <c r="M893" s="41"/>
      <c r="N893" s="42"/>
      <c r="O893" s="43">
        <f t="shared" si="501"/>
        <v>534</v>
      </c>
      <c r="P893" s="45"/>
      <c r="Q893" s="45"/>
      <c r="R893" s="69">
        <f t="shared" si="497"/>
        <v>387.479069767442</v>
      </c>
      <c r="S893" s="69">
        <f t="shared" si="498"/>
        <v>0.052093023255814</v>
      </c>
      <c r="T893" s="70">
        <f t="shared" si="499"/>
        <v>0.527441860465116</v>
      </c>
      <c r="U893" s="69"/>
      <c r="V893" s="69"/>
      <c r="W893" s="71">
        <f t="shared" si="493"/>
        <v>388.058604651163</v>
      </c>
      <c r="X893" s="72">
        <f t="shared" si="500"/>
        <v>6.21026976744186</v>
      </c>
      <c r="Y893" s="72"/>
      <c r="Z893" s="72"/>
      <c r="AA893" s="72">
        <f t="shared" si="494"/>
        <v>6.21026976744186</v>
      </c>
      <c r="AB893" s="81">
        <v>7.11</v>
      </c>
      <c r="AC893" s="69">
        <f t="shared" si="491"/>
        <v>44.1550180465116</v>
      </c>
      <c r="AD893" s="69">
        <f t="shared" si="495"/>
        <v>432.213622697674</v>
      </c>
      <c r="AE893" s="69">
        <f t="shared" si="492"/>
        <v>101.786377302326</v>
      </c>
    </row>
    <row r="894" customFormat="1" spans="1:31">
      <c r="A894" s="19"/>
      <c r="B894" s="20"/>
      <c r="C894" s="21">
        <v>241025000009</v>
      </c>
      <c r="D894" s="22">
        <v>45595</v>
      </c>
      <c r="E894" s="22" t="s">
        <v>41</v>
      </c>
      <c r="F894" s="20" t="s">
        <v>42</v>
      </c>
      <c r="G894" s="20" t="s">
        <v>554</v>
      </c>
      <c r="H894" s="20">
        <v>0.9</v>
      </c>
      <c r="I894" s="39">
        <v>66</v>
      </c>
      <c r="J894" s="40"/>
      <c r="K894" s="41"/>
      <c r="L894" s="20"/>
      <c r="M894" s="41"/>
      <c r="N894" s="42"/>
      <c r="O894" s="43">
        <f t="shared" si="501"/>
        <v>66</v>
      </c>
      <c r="P894" s="45"/>
      <c r="Q894" s="45"/>
      <c r="R894" s="69">
        <f t="shared" si="497"/>
        <v>43.5913953488372</v>
      </c>
      <c r="S894" s="69">
        <f t="shared" si="498"/>
        <v>0.00586046511627907</v>
      </c>
      <c r="T894" s="70">
        <f t="shared" si="499"/>
        <v>0.0593372093023256</v>
      </c>
      <c r="U894" s="69"/>
      <c r="V894" s="69"/>
      <c r="W894" s="71">
        <f t="shared" si="493"/>
        <v>43.6565930232558</v>
      </c>
      <c r="X894" s="72">
        <f t="shared" si="500"/>
        <v>0.698655348837209</v>
      </c>
      <c r="Y894" s="72"/>
      <c r="Z894" s="72"/>
      <c r="AA894" s="72">
        <f t="shared" si="494"/>
        <v>0.698655348837209</v>
      </c>
      <c r="AB894" s="81">
        <v>7.11</v>
      </c>
      <c r="AC894" s="69">
        <f t="shared" si="491"/>
        <v>4.96743953023256</v>
      </c>
      <c r="AD894" s="69">
        <f t="shared" si="495"/>
        <v>48.6240325534884</v>
      </c>
      <c r="AE894" s="69">
        <f t="shared" si="492"/>
        <v>17.3759674465116</v>
      </c>
    </row>
    <row r="895" customFormat="1" spans="1:31">
      <c r="A895" s="19"/>
      <c r="B895" s="20"/>
      <c r="C895" s="21">
        <v>241025000015</v>
      </c>
      <c r="D895" s="22">
        <v>45595</v>
      </c>
      <c r="E895" s="22" t="s">
        <v>66</v>
      </c>
      <c r="F895" s="20" t="s">
        <v>67</v>
      </c>
      <c r="G895" s="20" t="s">
        <v>555</v>
      </c>
      <c r="H895" s="20">
        <v>52.5</v>
      </c>
      <c r="I895" s="39">
        <v>2887.5</v>
      </c>
      <c r="J895" s="40"/>
      <c r="K895" s="41"/>
      <c r="L895" s="20"/>
      <c r="M895" s="41"/>
      <c r="N895" s="42"/>
      <c r="O895" s="43">
        <f t="shared" si="501"/>
        <v>2887.5</v>
      </c>
      <c r="P895" s="45"/>
      <c r="Q895" s="45"/>
      <c r="R895" s="69">
        <f t="shared" si="497"/>
        <v>2542.83139534884</v>
      </c>
      <c r="S895" s="69">
        <f t="shared" si="498"/>
        <v>0.341860465116279</v>
      </c>
      <c r="T895" s="70">
        <f t="shared" si="499"/>
        <v>3.46133720930233</v>
      </c>
      <c r="U895" s="69"/>
      <c r="V895" s="69"/>
      <c r="W895" s="71">
        <f t="shared" si="493"/>
        <v>2546.63459302326</v>
      </c>
      <c r="X895" s="72">
        <f t="shared" si="500"/>
        <v>40.7548953488372</v>
      </c>
      <c r="Y895" s="72"/>
      <c r="Z895" s="72"/>
      <c r="AA895" s="72">
        <f t="shared" si="494"/>
        <v>40.7548953488372</v>
      </c>
      <c r="AB895" s="81">
        <v>7.11</v>
      </c>
      <c r="AC895" s="69">
        <f t="shared" si="491"/>
        <v>289.767305930233</v>
      </c>
      <c r="AD895" s="69">
        <f t="shared" si="495"/>
        <v>2836.40189895349</v>
      </c>
      <c r="AE895" s="69">
        <f t="shared" si="492"/>
        <v>51.0981010465116</v>
      </c>
    </row>
    <row r="896" customFormat="1" spans="1:31">
      <c r="A896" s="19"/>
      <c r="B896" s="20"/>
      <c r="C896" s="82">
        <v>241025000030</v>
      </c>
      <c r="D896" s="83">
        <v>45595</v>
      </c>
      <c r="E896" s="22" t="s">
        <v>47</v>
      </c>
      <c r="F896" s="84" t="s">
        <v>47</v>
      </c>
      <c r="G896" s="84" t="s">
        <v>556</v>
      </c>
      <c r="H896" s="84">
        <v>3</v>
      </c>
      <c r="I896" s="50">
        <v>192</v>
      </c>
      <c r="J896" s="40"/>
      <c r="K896" s="41"/>
      <c r="L896" s="20"/>
      <c r="M896" s="41"/>
      <c r="N896" s="42"/>
      <c r="O896" s="43">
        <f t="shared" si="501"/>
        <v>192</v>
      </c>
      <c r="P896" s="45"/>
      <c r="Q896" s="45"/>
      <c r="R896" s="69">
        <f t="shared" si="497"/>
        <v>145.304651162791</v>
      </c>
      <c r="S896" s="69">
        <f t="shared" si="498"/>
        <v>0.0195348837209302</v>
      </c>
      <c r="T896" s="70">
        <f t="shared" si="499"/>
        <v>0.197790697674419</v>
      </c>
      <c r="U896" s="69"/>
      <c r="V896" s="69"/>
      <c r="W896" s="71">
        <f t="shared" si="493"/>
        <v>145.521976744186</v>
      </c>
      <c r="X896" s="72">
        <f t="shared" si="500"/>
        <v>2.3288511627907</v>
      </c>
      <c r="Y896" s="72"/>
      <c r="Z896" s="72"/>
      <c r="AA896" s="72">
        <f t="shared" si="494"/>
        <v>2.3288511627907</v>
      </c>
      <c r="AB896" s="81">
        <v>7.11</v>
      </c>
      <c r="AC896" s="69">
        <f t="shared" si="491"/>
        <v>16.5581317674419</v>
      </c>
      <c r="AD896" s="69">
        <f t="shared" si="495"/>
        <v>162.080108511628</v>
      </c>
      <c r="AE896" s="69">
        <f t="shared" si="492"/>
        <v>29.9198914883721</v>
      </c>
    </row>
    <row r="897" customFormat="1" spans="1:31">
      <c r="A897" s="19"/>
      <c r="B897" s="20"/>
      <c r="C897" s="21">
        <v>241025000031</v>
      </c>
      <c r="D897" s="22">
        <v>45595</v>
      </c>
      <c r="E897" s="22" t="s">
        <v>66</v>
      </c>
      <c r="F897" s="20" t="s">
        <v>67</v>
      </c>
      <c r="G897" s="20" t="s">
        <v>557</v>
      </c>
      <c r="H897" s="20">
        <v>9</v>
      </c>
      <c r="I897" s="39">
        <v>522</v>
      </c>
      <c r="J897" s="40"/>
      <c r="K897" s="41"/>
      <c r="L897" s="20"/>
      <c r="M897" s="41"/>
      <c r="N897" s="42"/>
      <c r="O897" s="43">
        <f t="shared" si="501"/>
        <v>522</v>
      </c>
      <c r="P897" s="45"/>
      <c r="Q897" s="45"/>
      <c r="R897" s="69">
        <f t="shared" si="497"/>
        <v>435.913953488372</v>
      </c>
      <c r="S897" s="69">
        <f t="shared" si="498"/>
        <v>0.0586046511627907</v>
      </c>
      <c r="T897" s="70">
        <f t="shared" si="499"/>
        <v>0.593372093023256</v>
      </c>
      <c r="U897" s="69"/>
      <c r="V897" s="69"/>
      <c r="W897" s="71">
        <f t="shared" si="493"/>
        <v>436.565930232558</v>
      </c>
      <c r="X897" s="72">
        <f t="shared" si="500"/>
        <v>6.98655348837209</v>
      </c>
      <c r="Y897" s="72"/>
      <c r="Z897" s="72"/>
      <c r="AA897" s="72">
        <f t="shared" si="494"/>
        <v>6.98655348837209</v>
      </c>
      <c r="AB897" s="81">
        <v>7.11</v>
      </c>
      <c r="AC897" s="69">
        <f t="shared" si="491"/>
        <v>49.6743953023256</v>
      </c>
      <c r="AD897" s="69">
        <f t="shared" si="495"/>
        <v>486.240325534884</v>
      </c>
      <c r="AE897" s="69">
        <f t="shared" si="492"/>
        <v>35.7596744651163</v>
      </c>
    </row>
    <row r="898" customFormat="1" spans="1:31">
      <c r="A898" s="19"/>
      <c r="B898" s="20"/>
      <c r="C898" s="21">
        <v>241025000032</v>
      </c>
      <c r="D898" s="22">
        <v>45595</v>
      </c>
      <c r="E898" s="22" t="s">
        <v>37</v>
      </c>
      <c r="F898" s="20" t="s">
        <v>38</v>
      </c>
      <c r="G898" s="20" t="s">
        <v>558</v>
      </c>
      <c r="H898" s="20">
        <v>147.5</v>
      </c>
      <c r="I898" s="39">
        <v>9507.5</v>
      </c>
      <c r="J898" s="40"/>
      <c r="K898" s="41"/>
      <c r="L898" s="20"/>
      <c r="M898" s="41"/>
      <c r="N898" s="42"/>
      <c r="O898" s="43">
        <f t="shared" si="501"/>
        <v>9507.5</v>
      </c>
      <c r="P898" s="45"/>
      <c r="Q898" s="45"/>
      <c r="R898" s="69">
        <f t="shared" si="497"/>
        <v>7144.14534883721</v>
      </c>
      <c r="S898" s="69">
        <f t="shared" si="498"/>
        <v>0.96046511627907</v>
      </c>
      <c r="T898" s="70">
        <f t="shared" si="499"/>
        <v>9.72470930232558</v>
      </c>
      <c r="U898" s="69"/>
      <c r="V898" s="69"/>
      <c r="W898" s="71">
        <f t="shared" si="493"/>
        <v>7154.83052325581</v>
      </c>
      <c r="X898" s="72">
        <f t="shared" si="500"/>
        <v>114.501848837209</v>
      </c>
      <c r="Y898" s="72"/>
      <c r="Z898" s="72"/>
      <c r="AA898" s="72">
        <f t="shared" si="494"/>
        <v>114.501848837209</v>
      </c>
      <c r="AB898" s="81">
        <v>7.11</v>
      </c>
      <c r="AC898" s="69">
        <f t="shared" si="491"/>
        <v>814.108145232558</v>
      </c>
      <c r="AD898" s="69">
        <f t="shared" si="495"/>
        <v>7968.93866848837</v>
      </c>
      <c r="AE898" s="69">
        <f t="shared" si="492"/>
        <v>1538.56133151163</v>
      </c>
    </row>
    <row r="899" customFormat="1" spans="1:31">
      <c r="A899" s="19"/>
      <c r="B899" s="20"/>
      <c r="C899" s="21">
        <v>241025000034</v>
      </c>
      <c r="D899" s="22">
        <v>45595</v>
      </c>
      <c r="E899" s="22" t="s">
        <v>66</v>
      </c>
      <c r="F899" s="20" t="s">
        <v>67</v>
      </c>
      <c r="G899" s="20" t="s">
        <v>269</v>
      </c>
      <c r="H899" s="20">
        <v>25</v>
      </c>
      <c r="I899" s="50"/>
      <c r="J899" s="46">
        <v>316250</v>
      </c>
      <c r="K899" s="41"/>
      <c r="L899" s="47">
        <f>SUM(J899/M899)</f>
        <v>1635.3811149033</v>
      </c>
      <c r="M899" s="48">
        <v>193.38</v>
      </c>
      <c r="N899" s="42">
        <v>7.11</v>
      </c>
      <c r="O899" s="43">
        <f>SUM(M899*N899)</f>
        <v>1374.9318</v>
      </c>
      <c r="P899" s="45"/>
      <c r="Q899" s="45"/>
      <c r="R899" s="69">
        <f t="shared" si="497"/>
        <v>1210.87209302326</v>
      </c>
      <c r="S899" s="69">
        <f t="shared" si="498"/>
        <v>0.162790697674419</v>
      </c>
      <c r="T899" s="70">
        <f t="shared" si="499"/>
        <v>1.64825581395349</v>
      </c>
      <c r="U899" s="69"/>
      <c r="V899" s="69"/>
      <c r="W899" s="71">
        <f t="shared" si="493"/>
        <v>1212.68313953488</v>
      </c>
      <c r="X899" s="72">
        <f t="shared" si="500"/>
        <v>19.4070930232558</v>
      </c>
      <c r="Y899" s="72"/>
      <c r="Z899" s="72"/>
      <c r="AA899" s="72">
        <f t="shared" si="494"/>
        <v>19.4070930232558</v>
      </c>
      <c r="AB899" s="81">
        <v>7.11</v>
      </c>
      <c r="AC899" s="69">
        <f t="shared" si="491"/>
        <v>137.984431395349</v>
      </c>
      <c r="AD899" s="69">
        <f t="shared" si="495"/>
        <v>1350.66757093023</v>
      </c>
      <c r="AE899" s="69">
        <f t="shared" si="492"/>
        <v>24.2642290697677</v>
      </c>
    </row>
    <row r="900" customFormat="1" spans="1:31">
      <c r="A900" s="19"/>
      <c r="B900" s="20"/>
      <c r="C900" s="21">
        <v>241025000035</v>
      </c>
      <c r="D900" s="22">
        <v>45595</v>
      </c>
      <c r="E900" s="22" t="s">
        <v>66</v>
      </c>
      <c r="F900" s="20" t="s">
        <v>67</v>
      </c>
      <c r="G900" s="20" t="s">
        <v>269</v>
      </c>
      <c r="H900" s="20">
        <v>34</v>
      </c>
      <c r="I900" s="50"/>
      <c r="J900" s="46">
        <v>614330</v>
      </c>
      <c r="K900" s="41"/>
      <c r="L900" s="47">
        <f>SUM(J900/M900)</f>
        <v>1635.33514348081</v>
      </c>
      <c r="M900" s="48">
        <v>375.66</v>
      </c>
      <c r="N900" s="42">
        <v>7.11</v>
      </c>
      <c r="O900" s="43">
        <f>SUM(M900*N900)</f>
        <v>2670.9426</v>
      </c>
      <c r="P900" s="45"/>
      <c r="Q900" s="45"/>
      <c r="R900" s="69">
        <f t="shared" si="497"/>
        <v>1646.78604651163</v>
      </c>
      <c r="S900" s="69">
        <f t="shared" si="498"/>
        <v>0.221395348837209</v>
      </c>
      <c r="T900" s="70">
        <f t="shared" si="499"/>
        <v>2.24162790697674</v>
      </c>
      <c r="U900" s="70">
        <v>200</v>
      </c>
      <c r="V900" s="70">
        <v>601</v>
      </c>
      <c r="W900" s="71">
        <f t="shared" si="493"/>
        <v>2450.24906976744</v>
      </c>
      <c r="X900" s="72">
        <f t="shared" si="500"/>
        <v>26.3936465116279</v>
      </c>
      <c r="Y900" s="72"/>
      <c r="Z900" s="72"/>
      <c r="AA900" s="72">
        <f t="shared" si="494"/>
        <v>26.3936465116279</v>
      </c>
      <c r="AB900" s="81">
        <v>7.11</v>
      </c>
      <c r="AC900" s="69">
        <f t="shared" si="491"/>
        <v>187.658826697674</v>
      </c>
      <c r="AD900" s="69">
        <f t="shared" si="495"/>
        <v>2637.90789646512</v>
      </c>
      <c r="AE900" s="69">
        <f t="shared" si="492"/>
        <v>33.0347035348836</v>
      </c>
    </row>
    <row r="901" customFormat="1" spans="1:31">
      <c r="A901" s="19"/>
      <c r="B901" s="20"/>
      <c r="C901" s="21">
        <v>241025000037</v>
      </c>
      <c r="D901" s="22">
        <v>45595</v>
      </c>
      <c r="E901" s="22" t="s">
        <v>44</v>
      </c>
      <c r="F901" s="20" t="s">
        <v>45</v>
      </c>
      <c r="G901" s="20" t="s">
        <v>559</v>
      </c>
      <c r="H901" s="20">
        <v>2.5</v>
      </c>
      <c r="I901" s="39">
        <v>171</v>
      </c>
      <c r="J901" s="40"/>
      <c r="K901" s="41"/>
      <c r="L901" s="20"/>
      <c r="M901" s="41"/>
      <c r="N901" s="42"/>
      <c r="O901" s="43">
        <f t="shared" ref="O901:O904" si="502">SUM(I901)</f>
        <v>171</v>
      </c>
      <c r="P901" s="45"/>
      <c r="Q901" s="45"/>
      <c r="R901" s="69">
        <f t="shared" si="497"/>
        <v>121.087209302326</v>
      </c>
      <c r="S901" s="69">
        <f t="shared" si="498"/>
        <v>0.0162790697674419</v>
      </c>
      <c r="T901" s="70">
        <f t="shared" si="499"/>
        <v>0.164825581395349</v>
      </c>
      <c r="U901" s="69"/>
      <c r="V901" s="69"/>
      <c r="W901" s="71">
        <f t="shared" si="493"/>
        <v>121.268313953488</v>
      </c>
      <c r="X901" s="72">
        <f t="shared" si="500"/>
        <v>1.94070930232558</v>
      </c>
      <c r="Y901" s="72"/>
      <c r="Z901" s="72"/>
      <c r="AA901" s="72">
        <f t="shared" si="494"/>
        <v>1.94070930232558</v>
      </c>
      <c r="AB901" s="81">
        <v>7.11</v>
      </c>
      <c r="AC901" s="69">
        <f t="shared" si="491"/>
        <v>13.7984431395349</v>
      </c>
      <c r="AD901" s="69">
        <f t="shared" si="495"/>
        <v>135.066757093023</v>
      </c>
      <c r="AE901" s="69">
        <f t="shared" si="492"/>
        <v>35.9332429069767</v>
      </c>
    </row>
    <row r="902" customFormat="1" spans="1:31">
      <c r="A902" s="19"/>
      <c r="B902" s="20"/>
      <c r="C902" s="21">
        <v>241025000041</v>
      </c>
      <c r="D902" s="22">
        <v>45595</v>
      </c>
      <c r="E902" s="22" t="s">
        <v>37</v>
      </c>
      <c r="F902" s="20" t="s">
        <v>38</v>
      </c>
      <c r="G902" s="20" t="s">
        <v>267</v>
      </c>
      <c r="H902" s="20">
        <v>7.5</v>
      </c>
      <c r="I902" s="39">
        <v>435</v>
      </c>
      <c r="J902" s="40"/>
      <c r="K902" s="41"/>
      <c r="L902" s="20"/>
      <c r="M902" s="41"/>
      <c r="N902" s="42"/>
      <c r="O902" s="43">
        <f t="shared" si="502"/>
        <v>435</v>
      </c>
      <c r="P902" s="45"/>
      <c r="Q902" s="45"/>
      <c r="R902" s="69">
        <f t="shared" si="497"/>
        <v>363.261627906977</v>
      </c>
      <c r="S902" s="69">
        <f t="shared" si="498"/>
        <v>0.0488372093023256</v>
      </c>
      <c r="T902" s="70">
        <f t="shared" si="499"/>
        <v>0.494476744186047</v>
      </c>
      <c r="U902" s="69"/>
      <c r="V902" s="69"/>
      <c r="W902" s="71">
        <f t="shared" si="493"/>
        <v>363.804941860465</v>
      </c>
      <c r="X902" s="72">
        <f t="shared" si="500"/>
        <v>5.82212790697674</v>
      </c>
      <c r="Y902" s="72"/>
      <c r="Z902" s="72"/>
      <c r="AA902" s="72">
        <f t="shared" si="494"/>
        <v>5.82212790697674</v>
      </c>
      <c r="AB902" s="81">
        <v>7.11</v>
      </c>
      <c r="AC902" s="69">
        <f t="shared" si="491"/>
        <v>41.3953294186047</v>
      </c>
      <c r="AD902" s="69">
        <f t="shared" si="495"/>
        <v>405.20027127907</v>
      </c>
      <c r="AE902" s="69">
        <f t="shared" si="492"/>
        <v>29.7997287209302</v>
      </c>
    </row>
    <row r="903" customFormat="1" spans="1:31">
      <c r="A903" s="19"/>
      <c r="B903" s="20"/>
      <c r="C903" s="21">
        <v>241025000042</v>
      </c>
      <c r="D903" s="22">
        <v>45595</v>
      </c>
      <c r="E903" s="22" t="s">
        <v>37</v>
      </c>
      <c r="F903" s="20" t="s">
        <v>38</v>
      </c>
      <c r="G903" s="20" t="s">
        <v>267</v>
      </c>
      <c r="H903" s="20">
        <v>2</v>
      </c>
      <c r="I903" s="39">
        <v>116</v>
      </c>
      <c r="J903" s="40"/>
      <c r="K903" s="41"/>
      <c r="L903" s="20"/>
      <c r="M903" s="41"/>
      <c r="N903" s="42"/>
      <c r="O903" s="43">
        <f t="shared" si="502"/>
        <v>116</v>
      </c>
      <c r="P903" s="45"/>
      <c r="Q903" s="45"/>
      <c r="R903" s="69">
        <f t="shared" si="497"/>
        <v>96.8697674418605</v>
      </c>
      <c r="S903" s="69">
        <f t="shared" si="498"/>
        <v>0.0130232558139535</v>
      </c>
      <c r="T903" s="70">
        <f t="shared" si="499"/>
        <v>0.131860465116279</v>
      </c>
      <c r="U903" s="69"/>
      <c r="V903" s="69"/>
      <c r="W903" s="71">
        <f t="shared" si="493"/>
        <v>97.0146511627907</v>
      </c>
      <c r="X903" s="72">
        <f t="shared" si="500"/>
        <v>1.55256744186047</v>
      </c>
      <c r="Y903" s="72"/>
      <c r="Z903" s="72"/>
      <c r="AA903" s="72">
        <f t="shared" si="494"/>
        <v>1.55256744186047</v>
      </c>
      <c r="AB903" s="81">
        <v>7.11</v>
      </c>
      <c r="AC903" s="69">
        <f t="shared" si="491"/>
        <v>11.0387545116279</v>
      </c>
      <c r="AD903" s="69">
        <f t="shared" si="495"/>
        <v>108.053405674419</v>
      </c>
      <c r="AE903" s="69">
        <f t="shared" si="492"/>
        <v>7.9465943255814</v>
      </c>
    </row>
    <row r="904" customFormat="1" spans="1:31">
      <c r="A904" s="19"/>
      <c r="B904" s="20"/>
      <c r="C904" s="21">
        <v>241025000051</v>
      </c>
      <c r="D904" s="22">
        <v>45595</v>
      </c>
      <c r="E904" s="22" t="s">
        <v>44</v>
      </c>
      <c r="F904" s="20" t="s">
        <v>45</v>
      </c>
      <c r="G904" s="20" t="s">
        <v>560</v>
      </c>
      <c r="H904" s="20">
        <v>20.5</v>
      </c>
      <c r="I904" s="39">
        <v>1359</v>
      </c>
      <c r="J904" s="40"/>
      <c r="K904" s="41"/>
      <c r="L904" s="20"/>
      <c r="M904" s="41"/>
      <c r="N904" s="42"/>
      <c r="O904" s="43">
        <f t="shared" si="502"/>
        <v>1359</v>
      </c>
      <c r="P904" s="45"/>
      <c r="Q904" s="45"/>
      <c r="R904" s="69">
        <f t="shared" si="497"/>
        <v>992.91511627907</v>
      </c>
      <c r="S904" s="69">
        <f t="shared" si="498"/>
        <v>0.133488372093023</v>
      </c>
      <c r="T904" s="70">
        <f t="shared" si="499"/>
        <v>1.35156976744186</v>
      </c>
      <c r="U904" s="69"/>
      <c r="V904" s="69"/>
      <c r="W904" s="71">
        <f t="shared" si="493"/>
        <v>994.400174418605</v>
      </c>
      <c r="X904" s="72">
        <f t="shared" si="500"/>
        <v>15.9138162790698</v>
      </c>
      <c r="Y904" s="72"/>
      <c r="Z904" s="72"/>
      <c r="AA904" s="72">
        <f t="shared" si="494"/>
        <v>15.9138162790698</v>
      </c>
      <c r="AB904" s="81">
        <v>7.11</v>
      </c>
      <c r="AC904" s="69">
        <f t="shared" si="491"/>
        <v>113.147233744186</v>
      </c>
      <c r="AD904" s="69">
        <f t="shared" si="495"/>
        <v>1107.54740816279</v>
      </c>
      <c r="AE904" s="69">
        <f t="shared" si="492"/>
        <v>251.452591837209</v>
      </c>
    </row>
    <row r="905" customFormat="1" spans="1:31">
      <c r="A905" s="19"/>
      <c r="B905" s="20"/>
      <c r="C905" s="21">
        <v>241025000054</v>
      </c>
      <c r="D905" s="22">
        <v>45595</v>
      </c>
      <c r="E905" s="22" t="s">
        <v>41</v>
      </c>
      <c r="F905" s="20" t="s">
        <v>42</v>
      </c>
      <c r="G905" s="20" t="s">
        <v>506</v>
      </c>
      <c r="H905" s="20">
        <v>1.5</v>
      </c>
      <c r="I905" s="43"/>
      <c r="J905" s="46">
        <v>29036.8</v>
      </c>
      <c r="K905" s="41"/>
      <c r="L905" s="47">
        <f>SUM(J905/M905)</f>
        <v>1745</v>
      </c>
      <c r="M905" s="48">
        <v>16.64</v>
      </c>
      <c r="N905" s="42">
        <v>7.11</v>
      </c>
      <c r="O905" s="43">
        <f>SUM(M905*N905)</f>
        <v>118.3104</v>
      </c>
      <c r="P905" s="45"/>
      <c r="Q905" s="45"/>
      <c r="R905" s="69">
        <f t="shared" si="497"/>
        <v>72.6523255813953</v>
      </c>
      <c r="S905" s="69">
        <f t="shared" si="498"/>
        <v>0.00976744186046512</v>
      </c>
      <c r="T905" s="70">
        <f t="shared" si="499"/>
        <v>0.0988953488372093</v>
      </c>
      <c r="U905" s="69"/>
      <c r="V905" s="70">
        <v>18</v>
      </c>
      <c r="W905" s="71">
        <f t="shared" si="493"/>
        <v>90.760988372093</v>
      </c>
      <c r="X905" s="72">
        <f t="shared" si="500"/>
        <v>1.16442558139535</v>
      </c>
      <c r="Y905" s="72"/>
      <c r="Z905" s="72"/>
      <c r="AA905" s="72">
        <f t="shared" si="494"/>
        <v>1.16442558139535</v>
      </c>
      <c r="AB905" s="81">
        <v>7.11</v>
      </c>
      <c r="AC905" s="69">
        <f t="shared" si="491"/>
        <v>8.27906588372093</v>
      </c>
      <c r="AD905" s="69">
        <f t="shared" si="495"/>
        <v>99.0400542558139</v>
      </c>
      <c r="AE905" s="69">
        <f t="shared" si="492"/>
        <v>19.2703457441861</v>
      </c>
    </row>
    <row r="906" customFormat="1" spans="1:31">
      <c r="A906" s="19"/>
      <c r="B906" s="20"/>
      <c r="C906" s="21">
        <v>241025000055</v>
      </c>
      <c r="D906" s="22">
        <v>45595</v>
      </c>
      <c r="E906" s="22" t="s">
        <v>41</v>
      </c>
      <c r="F906" s="20" t="s">
        <v>42</v>
      </c>
      <c r="G906" s="20" t="s">
        <v>114</v>
      </c>
      <c r="H906" s="20">
        <v>0.56</v>
      </c>
      <c r="I906" s="39">
        <v>66</v>
      </c>
      <c r="J906" s="40"/>
      <c r="K906" s="41"/>
      <c r="L906" s="20"/>
      <c r="M906" s="41"/>
      <c r="N906" s="42"/>
      <c r="O906" s="43">
        <f t="shared" ref="O906:O914" si="503">SUM(I906)</f>
        <v>66</v>
      </c>
      <c r="P906" s="45"/>
      <c r="Q906" s="45"/>
      <c r="R906" s="69">
        <f t="shared" si="497"/>
        <v>27.1235348837209</v>
      </c>
      <c r="S906" s="69">
        <f t="shared" si="498"/>
        <v>0.00364651162790698</v>
      </c>
      <c r="T906" s="70">
        <f t="shared" si="499"/>
        <v>0.0369209302325581</v>
      </c>
      <c r="U906" s="69"/>
      <c r="V906" s="69"/>
      <c r="W906" s="71">
        <f t="shared" si="493"/>
        <v>27.1641023255814</v>
      </c>
      <c r="X906" s="72">
        <f t="shared" si="500"/>
        <v>0.43471888372093</v>
      </c>
      <c r="Y906" s="72"/>
      <c r="Z906" s="72"/>
      <c r="AA906" s="72">
        <f t="shared" si="494"/>
        <v>0.43471888372093</v>
      </c>
      <c r="AB906" s="81">
        <v>7.11</v>
      </c>
      <c r="AC906" s="69">
        <f t="shared" si="491"/>
        <v>3.09085126325581</v>
      </c>
      <c r="AD906" s="69">
        <f t="shared" si="495"/>
        <v>30.2549535888372</v>
      </c>
      <c r="AE906" s="69">
        <f t="shared" si="492"/>
        <v>35.7450464111628</v>
      </c>
    </row>
    <row r="907" customFormat="1" spans="1:31">
      <c r="A907" s="19"/>
      <c r="B907" s="20"/>
      <c r="C907" s="21">
        <v>241025000056</v>
      </c>
      <c r="D907" s="22">
        <v>45595</v>
      </c>
      <c r="E907" s="22" t="s">
        <v>41</v>
      </c>
      <c r="F907" s="20" t="s">
        <v>42</v>
      </c>
      <c r="G907" s="20" t="s">
        <v>157</v>
      </c>
      <c r="H907" s="20">
        <v>7</v>
      </c>
      <c r="I907" s="39">
        <v>508.2</v>
      </c>
      <c r="J907" s="40"/>
      <c r="K907" s="41"/>
      <c r="L907" s="20"/>
      <c r="M907" s="41"/>
      <c r="N907" s="42"/>
      <c r="O907" s="43">
        <f t="shared" si="503"/>
        <v>508.2</v>
      </c>
      <c r="P907" s="45"/>
      <c r="Q907" s="45"/>
      <c r="R907" s="69">
        <f t="shared" si="497"/>
        <v>339.044186046512</v>
      </c>
      <c r="S907" s="69">
        <f t="shared" si="498"/>
        <v>0.0455813953488372</v>
      </c>
      <c r="T907" s="70">
        <f t="shared" si="499"/>
        <v>0.461511627906977</v>
      </c>
      <c r="U907" s="69"/>
      <c r="V907" s="69"/>
      <c r="W907" s="71">
        <f t="shared" si="493"/>
        <v>339.551279069767</v>
      </c>
      <c r="X907" s="72">
        <f t="shared" si="500"/>
        <v>5.43398604651163</v>
      </c>
      <c r="Y907" s="72"/>
      <c r="Z907" s="72"/>
      <c r="AA907" s="72">
        <f t="shared" si="494"/>
        <v>5.43398604651163</v>
      </c>
      <c r="AB907" s="81">
        <v>7.11</v>
      </c>
      <c r="AC907" s="69">
        <f t="shared" si="491"/>
        <v>38.6356407906977</v>
      </c>
      <c r="AD907" s="69">
        <f t="shared" si="495"/>
        <v>378.186919860465</v>
      </c>
      <c r="AE907" s="69">
        <f t="shared" si="492"/>
        <v>130.013080139535</v>
      </c>
    </row>
    <row r="908" customFormat="1" spans="1:31">
      <c r="A908" s="19"/>
      <c r="B908" s="20"/>
      <c r="C908" s="21">
        <v>241025000060</v>
      </c>
      <c r="D908" s="22">
        <v>45595</v>
      </c>
      <c r="E908" s="22" t="s">
        <v>66</v>
      </c>
      <c r="F908" s="20" t="s">
        <v>67</v>
      </c>
      <c r="G908" s="20" t="s">
        <v>79</v>
      </c>
      <c r="H908" s="20">
        <v>31</v>
      </c>
      <c r="I908" s="39">
        <v>1798</v>
      </c>
      <c r="J908" s="40"/>
      <c r="K908" s="41"/>
      <c r="L908" s="20"/>
      <c r="M908" s="41"/>
      <c r="N908" s="42"/>
      <c r="O908" s="43">
        <f t="shared" si="503"/>
        <v>1798</v>
      </c>
      <c r="P908" s="45"/>
      <c r="Q908" s="45"/>
      <c r="R908" s="69">
        <f t="shared" si="497"/>
        <v>1501.48139534884</v>
      </c>
      <c r="S908" s="69">
        <f t="shared" si="498"/>
        <v>0.201860465116279</v>
      </c>
      <c r="T908" s="70">
        <f t="shared" si="499"/>
        <v>2.04383720930233</v>
      </c>
      <c r="U908" s="69"/>
      <c r="V908" s="69"/>
      <c r="W908" s="71">
        <f t="shared" si="493"/>
        <v>1503.72709302326</v>
      </c>
      <c r="X908" s="72">
        <f t="shared" si="500"/>
        <v>24.0647953488372</v>
      </c>
      <c r="Y908" s="72"/>
      <c r="Z908" s="72"/>
      <c r="AA908" s="72">
        <f t="shared" si="494"/>
        <v>24.0647953488372</v>
      </c>
      <c r="AB908" s="81">
        <v>7.11</v>
      </c>
      <c r="AC908" s="69">
        <f t="shared" si="491"/>
        <v>171.100694930233</v>
      </c>
      <c r="AD908" s="69">
        <f t="shared" si="495"/>
        <v>1674.82778795349</v>
      </c>
      <c r="AE908" s="69">
        <f t="shared" si="492"/>
        <v>123.172212046512</v>
      </c>
    </row>
    <row r="909" customFormat="1" spans="1:31">
      <c r="A909" s="19"/>
      <c r="B909" s="20"/>
      <c r="C909" s="21">
        <v>241026000001</v>
      </c>
      <c r="D909" s="22">
        <v>45595</v>
      </c>
      <c r="E909" s="22" t="s">
        <v>135</v>
      </c>
      <c r="F909" s="20" t="s">
        <v>136</v>
      </c>
      <c r="G909" s="20" t="s">
        <v>392</v>
      </c>
      <c r="H909" s="20">
        <v>459.5</v>
      </c>
      <c r="I909" s="39">
        <v>25732</v>
      </c>
      <c r="J909" s="40"/>
      <c r="K909" s="41"/>
      <c r="L909" s="20"/>
      <c r="M909" s="41"/>
      <c r="N909" s="42"/>
      <c r="O909" s="43">
        <f t="shared" si="503"/>
        <v>25732</v>
      </c>
      <c r="P909" s="45"/>
      <c r="Q909" s="45"/>
      <c r="R909" s="69">
        <f t="shared" si="497"/>
        <v>22255.8290697674</v>
      </c>
      <c r="S909" s="69">
        <f t="shared" si="498"/>
        <v>2.99209302325581</v>
      </c>
      <c r="T909" s="70">
        <f t="shared" si="499"/>
        <v>30.2949418604651</v>
      </c>
      <c r="U909" s="69"/>
      <c r="V909" s="69"/>
      <c r="W909" s="71">
        <f t="shared" si="493"/>
        <v>22289.1161046512</v>
      </c>
      <c r="X909" s="72">
        <f t="shared" si="500"/>
        <v>356.702369767442</v>
      </c>
      <c r="Y909" s="72"/>
      <c r="Z909" s="72"/>
      <c r="AA909" s="72">
        <f t="shared" si="494"/>
        <v>356.702369767442</v>
      </c>
      <c r="AB909" s="81">
        <v>7.11</v>
      </c>
      <c r="AC909" s="69">
        <f t="shared" si="491"/>
        <v>2536.15384904651</v>
      </c>
      <c r="AD909" s="69">
        <f t="shared" si="495"/>
        <v>24825.2699536977</v>
      </c>
      <c r="AE909" s="69">
        <f t="shared" si="492"/>
        <v>906.730046302328</v>
      </c>
    </row>
    <row r="910" customFormat="1" spans="1:31">
      <c r="A910" s="19"/>
      <c r="B910" s="20"/>
      <c r="C910" s="21">
        <v>241026000003</v>
      </c>
      <c r="D910" s="22">
        <v>45595</v>
      </c>
      <c r="E910" s="22" t="s">
        <v>41</v>
      </c>
      <c r="F910" s="20" t="s">
        <v>42</v>
      </c>
      <c r="G910" s="20" t="s">
        <v>472</v>
      </c>
      <c r="H910" s="20">
        <v>0.644</v>
      </c>
      <c r="I910" s="39">
        <v>66</v>
      </c>
      <c r="J910" s="40"/>
      <c r="K910" s="41"/>
      <c r="L910" s="20"/>
      <c r="M910" s="41"/>
      <c r="N910" s="42"/>
      <c r="O910" s="43">
        <f t="shared" si="503"/>
        <v>66</v>
      </c>
      <c r="P910" s="45"/>
      <c r="Q910" s="45"/>
      <c r="R910" s="69">
        <f t="shared" si="497"/>
        <v>31.1920651162791</v>
      </c>
      <c r="S910" s="69">
        <f t="shared" si="498"/>
        <v>0.00419348837209302</v>
      </c>
      <c r="T910" s="70">
        <f t="shared" si="499"/>
        <v>0.0424590697674419</v>
      </c>
      <c r="U910" s="69"/>
      <c r="V910" s="69"/>
      <c r="W910" s="71">
        <f t="shared" si="493"/>
        <v>31.2387176744186</v>
      </c>
      <c r="X910" s="72">
        <f t="shared" si="500"/>
        <v>0.49992671627907</v>
      </c>
      <c r="Y910" s="72"/>
      <c r="Z910" s="72"/>
      <c r="AA910" s="72">
        <f t="shared" si="494"/>
        <v>0.49992671627907</v>
      </c>
      <c r="AB910" s="81">
        <v>7.11</v>
      </c>
      <c r="AC910" s="69">
        <f t="shared" si="491"/>
        <v>3.55447895274419</v>
      </c>
      <c r="AD910" s="69">
        <f t="shared" si="495"/>
        <v>34.7931966271628</v>
      </c>
      <c r="AE910" s="69">
        <f t="shared" si="492"/>
        <v>31.2068033728372</v>
      </c>
    </row>
    <row r="911" customFormat="1" spans="1:31">
      <c r="A911" s="19"/>
      <c r="B911" s="20"/>
      <c r="C911" s="21">
        <v>241026000010</v>
      </c>
      <c r="D911" s="22">
        <v>45595</v>
      </c>
      <c r="E911" s="22" t="s">
        <v>66</v>
      </c>
      <c r="F911" s="20" t="s">
        <v>67</v>
      </c>
      <c r="G911" s="20" t="s">
        <v>257</v>
      </c>
      <c r="H911" s="20">
        <v>4.5</v>
      </c>
      <c r="I911" s="39">
        <v>270</v>
      </c>
      <c r="J911" s="40"/>
      <c r="K911" s="41"/>
      <c r="L911" s="20"/>
      <c r="M911" s="41"/>
      <c r="N911" s="42"/>
      <c r="O911" s="43">
        <f t="shared" si="503"/>
        <v>270</v>
      </c>
      <c r="P911" s="45"/>
      <c r="Q911" s="45"/>
      <c r="R911" s="69">
        <f t="shared" si="497"/>
        <v>217.956976744186</v>
      </c>
      <c r="S911" s="69">
        <f t="shared" si="498"/>
        <v>0.0293023255813953</v>
      </c>
      <c r="T911" s="70">
        <f t="shared" si="499"/>
        <v>0.296686046511628</v>
      </c>
      <c r="U911" s="69"/>
      <c r="V911" s="69"/>
      <c r="W911" s="71">
        <f t="shared" si="493"/>
        <v>218.282965116279</v>
      </c>
      <c r="X911" s="72">
        <f t="shared" si="500"/>
        <v>3.49327674418605</v>
      </c>
      <c r="Y911" s="72"/>
      <c r="Z911" s="72"/>
      <c r="AA911" s="72">
        <f t="shared" si="494"/>
        <v>3.49327674418605</v>
      </c>
      <c r="AB911" s="81">
        <v>7.11</v>
      </c>
      <c r="AC911" s="69">
        <f t="shared" si="491"/>
        <v>24.8371976511628</v>
      </c>
      <c r="AD911" s="69">
        <f t="shared" si="495"/>
        <v>243.120162767442</v>
      </c>
      <c r="AE911" s="69">
        <f t="shared" si="492"/>
        <v>26.8798372325581</v>
      </c>
    </row>
    <row r="912" customFormat="1" spans="1:31">
      <c r="A912" s="19"/>
      <c r="B912" s="20"/>
      <c r="C912" s="21">
        <v>241026000012</v>
      </c>
      <c r="D912" s="22">
        <v>45595</v>
      </c>
      <c r="E912" s="22" t="s">
        <v>66</v>
      </c>
      <c r="F912" s="20" t="s">
        <v>67</v>
      </c>
      <c r="G912" s="20" t="s">
        <v>511</v>
      </c>
      <c r="H912" s="20">
        <v>0.74</v>
      </c>
      <c r="I912" s="39">
        <v>72</v>
      </c>
      <c r="J912" s="40"/>
      <c r="K912" s="41"/>
      <c r="L912" s="20"/>
      <c r="M912" s="41"/>
      <c r="N912" s="42"/>
      <c r="O912" s="43">
        <f t="shared" si="503"/>
        <v>72</v>
      </c>
      <c r="P912" s="45"/>
      <c r="Q912" s="45"/>
      <c r="R912" s="69">
        <f t="shared" si="497"/>
        <v>35.8418139534884</v>
      </c>
      <c r="S912" s="69">
        <f t="shared" si="498"/>
        <v>0.00481860465116279</v>
      </c>
      <c r="T912" s="70">
        <f t="shared" si="499"/>
        <v>0.0487883720930233</v>
      </c>
      <c r="U912" s="69"/>
      <c r="V912" s="69"/>
      <c r="W912" s="71">
        <f t="shared" si="493"/>
        <v>35.8954209302326</v>
      </c>
      <c r="X912" s="72">
        <f t="shared" si="500"/>
        <v>0.574449953488372</v>
      </c>
      <c r="Y912" s="72"/>
      <c r="Z912" s="72"/>
      <c r="AA912" s="72">
        <f t="shared" si="494"/>
        <v>0.574449953488372</v>
      </c>
      <c r="AB912" s="81">
        <v>7.11</v>
      </c>
      <c r="AC912" s="69">
        <f t="shared" ref="AC912:AC930" si="504">SUM(AA912*AB912)</f>
        <v>4.08433916930233</v>
      </c>
      <c r="AD912" s="69">
        <f t="shared" si="495"/>
        <v>39.9797600995349</v>
      </c>
      <c r="AE912" s="69">
        <f t="shared" si="492"/>
        <v>32.0202399004651</v>
      </c>
    </row>
    <row r="913" customFormat="1" spans="1:31">
      <c r="A913" s="19"/>
      <c r="B913" s="20"/>
      <c r="C913" s="21">
        <v>241026000016</v>
      </c>
      <c r="D913" s="22">
        <v>45595</v>
      </c>
      <c r="E913" s="22" t="s">
        <v>37</v>
      </c>
      <c r="F913" s="20" t="s">
        <v>38</v>
      </c>
      <c r="G913" s="20" t="s">
        <v>561</v>
      </c>
      <c r="H913" s="20">
        <v>85</v>
      </c>
      <c r="I913" s="39">
        <v>4887.5</v>
      </c>
      <c r="J913" s="40"/>
      <c r="K913" s="41"/>
      <c r="L913" s="20"/>
      <c r="M913" s="41"/>
      <c r="N913" s="42"/>
      <c r="O913" s="43">
        <f t="shared" si="503"/>
        <v>4887.5</v>
      </c>
      <c r="P913" s="45"/>
      <c r="Q913" s="45"/>
      <c r="R913" s="69">
        <f t="shared" si="497"/>
        <v>4116.96511627907</v>
      </c>
      <c r="S913" s="69">
        <f t="shared" si="498"/>
        <v>0.553488372093023</v>
      </c>
      <c r="T913" s="70">
        <f t="shared" si="499"/>
        <v>5.60406976744186</v>
      </c>
      <c r="U913" s="69"/>
      <c r="V913" s="69"/>
      <c r="W913" s="71">
        <f t="shared" si="493"/>
        <v>4123.1226744186</v>
      </c>
      <c r="X913" s="72">
        <f t="shared" si="500"/>
        <v>65.9841162790698</v>
      </c>
      <c r="Y913" s="72"/>
      <c r="Z913" s="72"/>
      <c r="AA913" s="72">
        <f t="shared" si="494"/>
        <v>65.9841162790698</v>
      </c>
      <c r="AB913" s="81">
        <v>7.11</v>
      </c>
      <c r="AC913" s="69">
        <f t="shared" si="504"/>
        <v>469.147066744186</v>
      </c>
      <c r="AD913" s="69">
        <f t="shared" si="495"/>
        <v>4592.26974116279</v>
      </c>
      <c r="AE913" s="69">
        <f t="shared" ref="AE913:AE930" si="505">SUM(O913-AD913)</f>
        <v>295.230258837209</v>
      </c>
    </row>
    <row r="914" customFormat="1" spans="1:31">
      <c r="A914" s="19"/>
      <c r="B914" s="20"/>
      <c r="C914" s="21">
        <v>241026000017</v>
      </c>
      <c r="D914" s="22">
        <v>45595</v>
      </c>
      <c r="E914" s="22" t="s">
        <v>44</v>
      </c>
      <c r="F914" s="20" t="s">
        <v>45</v>
      </c>
      <c r="G914" s="20" t="s">
        <v>562</v>
      </c>
      <c r="H914" s="20">
        <v>5</v>
      </c>
      <c r="I914" s="39">
        <v>368</v>
      </c>
      <c r="J914" s="40"/>
      <c r="K914" s="41"/>
      <c r="L914" s="20"/>
      <c r="M914" s="41"/>
      <c r="N914" s="42"/>
      <c r="O914" s="43">
        <f t="shared" si="503"/>
        <v>368</v>
      </c>
      <c r="P914" s="45"/>
      <c r="Q914" s="45"/>
      <c r="R914" s="69">
        <f t="shared" si="497"/>
        <v>242.174418604651</v>
      </c>
      <c r="S914" s="69">
        <f t="shared" si="498"/>
        <v>0.0325581395348837</v>
      </c>
      <c r="T914" s="70">
        <f t="shared" si="499"/>
        <v>0.329651162790698</v>
      </c>
      <c r="U914" s="69"/>
      <c r="V914" s="70">
        <v>18</v>
      </c>
      <c r="W914" s="71">
        <f t="shared" si="493"/>
        <v>260.536627906977</v>
      </c>
      <c r="X914" s="72">
        <f t="shared" si="500"/>
        <v>3.88141860465116</v>
      </c>
      <c r="Y914" s="72"/>
      <c r="Z914" s="72"/>
      <c r="AA914" s="72">
        <f t="shared" si="494"/>
        <v>3.88141860465116</v>
      </c>
      <c r="AB914" s="81">
        <v>7.11</v>
      </c>
      <c r="AC914" s="69">
        <f t="shared" si="504"/>
        <v>27.5968862790698</v>
      </c>
      <c r="AD914" s="69">
        <f t="shared" si="495"/>
        <v>288.133514186047</v>
      </c>
      <c r="AE914" s="69">
        <f t="shared" si="505"/>
        <v>79.8664858139535</v>
      </c>
    </row>
    <row r="915" customFormat="1" spans="1:31">
      <c r="A915" s="19"/>
      <c r="B915" s="20"/>
      <c r="C915" s="21">
        <v>241026000021</v>
      </c>
      <c r="D915" s="22">
        <v>45595</v>
      </c>
      <c r="E915" s="22" t="s">
        <v>66</v>
      </c>
      <c r="F915" s="20" t="s">
        <v>67</v>
      </c>
      <c r="G915" s="20" t="s">
        <v>269</v>
      </c>
      <c r="H915" s="20">
        <v>2.5</v>
      </c>
      <c r="I915" s="50"/>
      <c r="J915" s="46">
        <v>33350</v>
      </c>
      <c r="K915" s="41"/>
      <c r="L915" s="47">
        <f>SUM(J915/M915)</f>
        <v>1635.60568906327</v>
      </c>
      <c r="M915" s="48">
        <v>20.39</v>
      </c>
      <c r="N915" s="42">
        <v>7.11</v>
      </c>
      <c r="O915" s="43">
        <f>SUM(M915*N915)</f>
        <v>144.9729</v>
      </c>
      <c r="P915" s="45"/>
      <c r="Q915" s="45"/>
      <c r="R915" s="69">
        <f t="shared" si="497"/>
        <v>121.087209302326</v>
      </c>
      <c r="S915" s="69">
        <f t="shared" si="498"/>
        <v>0.0162790697674419</v>
      </c>
      <c r="T915" s="70">
        <f t="shared" si="499"/>
        <v>0.164825581395349</v>
      </c>
      <c r="U915" s="69"/>
      <c r="V915" s="69"/>
      <c r="W915" s="71">
        <f t="shared" ref="W915:W930" si="506">SUM(R915:V915)</f>
        <v>121.268313953488</v>
      </c>
      <c r="X915" s="72">
        <f t="shared" si="500"/>
        <v>1.94070930232558</v>
      </c>
      <c r="Y915" s="72"/>
      <c r="Z915" s="72"/>
      <c r="AA915" s="72">
        <f t="shared" ref="AA915:AA930" si="507">SUM(X915:Z915)</f>
        <v>1.94070930232558</v>
      </c>
      <c r="AB915" s="81">
        <v>7.11</v>
      </c>
      <c r="AC915" s="69">
        <f t="shared" si="504"/>
        <v>13.7984431395349</v>
      </c>
      <c r="AD915" s="69">
        <f t="shared" ref="AD915:AD930" si="508">SUM(W915+AC915)</f>
        <v>135.066757093023</v>
      </c>
      <c r="AE915" s="69">
        <f t="shared" si="505"/>
        <v>9.90614290697675</v>
      </c>
    </row>
    <row r="916" customFormat="1" spans="1:31">
      <c r="A916" s="19"/>
      <c r="B916" s="20"/>
      <c r="C916" s="21">
        <v>241026000023</v>
      </c>
      <c r="D916" s="22">
        <v>45595</v>
      </c>
      <c r="E916" s="22" t="s">
        <v>47</v>
      </c>
      <c r="F916" s="20" t="s">
        <v>47</v>
      </c>
      <c r="G916" s="20" t="s">
        <v>64</v>
      </c>
      <c r="H916" s="20">
        <v>6</v>
      </c>
      <c r="I916" s="39">
        <v>366</v>
      </c>
      <c r="J916" s="40"/>
      <c r="K916" s="41"/>
      <c r="L916" s="20"/>
      <c r="M916" s="41"/>
      <c r="N916" s="42"/>
      <c r="O916" s="43">
        <f t="shared" ref="O916:O920" si="509">SUM(I916)</f>
        <v>366</v>
      </c>
      <c r="P916" s="45"/>
      <c r="Q916" s="45"/>
      <c r="R916" s="69">
        <f t="shared" si="497"/>
        <v>290.609302325581</v>
      </c>
      <c r="S916" s="69">
        <f t="shared" si="498"/>
        <v>0.0390697674418605</v>
      </c>
      <c r="T916" s="70">
        <f t="shared" si="499"/>
        <v>0.395581395348837</v>
      </c>
      <c r="U916" s="69"/>
      <c r="V916" s="69"/>
      <c r="W916" s="71">
        <f t="shared" si="506"/>
        <v>291.043953488372</v>
      </c>
      <c r="X916" s="72">
        <f t="shared" si="500"/>
        <v>4.6577023255814</v>
      </c>
      <c r="Y916" s="72"/>
      <c r="Z916" s="72"/>
      <c r="AA916" s="72">
        <f t="shared" si="507"/>
        <v>4.6577023255814</v>
      </c>
      <c r="AB916" s="81">
        <v>7.11</v>
      </c>
      <c r="AC916" s="69">
        <f t="shared" si="504"/>
        <v>33.1162635348837</v>
      </c>
      <c r="AD916" s="69">
        <f t="shared" si="508"/>
        <v>324.160217023256</v>
      </c>
      <c r="AE916" s="69">
        <f t="shared" si="505"/>
        <v>41.8397829767442</v>
      </c>
    </row>
    <row r="917" customFormat="1" spans="1:31">
      <c r="A917" s="19"/>
      <c r="B917" s="20"/>
      <c r="C917" s="21">
        <v>241026000024</v>
      </c>
      <c r="D917" s="22">
        <v>45595</v>
      </c>
      <c r="E917" s="22" t="s">
        <v>55</v>
      </c>
      <c r="F917" s="20" t="s">
        <v>56</v>
      </c>
      <c r="G917" s="20" t="s">
        <v>112</v>
      </c>
      <c r="H917" s="20">
        <v>20.5</v>
      </c>
      <c r="I917" s="39">
        <v>1236</v>
      </c>
      <c r="J917" s="40"/>
      <c r="K917" s="41"/>
      <c r="L917" s="20"/>
      <c r="M917" s="41"/>
      <c r="N917" s="42"/>
      <c r="O917" s="43">
        <f t="shared" si="509"/>
        <v>1236</v>
      </c>
      <c r="P917" s="45"/>
      <c r="Q917" s="45"/>
      <c r="R917" s="69">
        <f t="shared" si="497"/>
        <v>992.91511627907</v>
      </c>
      <c r="S917" s="69">
        <f t="shared" si="498"/>
        <v>0.133488372093023</v>
      </c>
      <c r="T917" s="70">
        <f t="shared" si="499"/>
        <v>1.35156976744186</v>
      </c>
      <c r="U917" s="69"/>
      <c r="V917" s="69"/>
      <c r="W917" s="71">
        <f t="shared" si="506"/>
        <v>994.400174418605</v>
      </c>
      <c r="X917" s="72">
        <f t="shared" si="500"/>
        <v>15.9138162790698</v>
      </c>
      <c r="Y917" s="72"/>
      <c r="Z917" s="72"/>
      <c r="AA917" s="72">
        <f t="shared" si="507"/>
        <v>15.9138162790698</v>
      </c>
      <c r="AB917" s="81">
        <v>7.11</v>
      </c>
      <c r="AC917" s="69">
        <f t="shared" si="504"/>
        <v>113.147233744186</v>
      </c>
      <c r="AD917" s="69">
        <f t="shared" si="508"/>
        <v>1107.54740816279</v>
      </c>
      <c r="AE917" s="69">
        <f t="shared" si="505"/>
        <v>128.452591837209</v>
      </c>
    </row>
    <row r="918" customFormat="1" spans="1:31">
      <c r="A918" s="19"/>
      <c r="B918" s="20"/>
      <c r="C918" s="82">
        <v>241027000003</v>
      </c>
      <c r="D918" s="83">
        <v>45595</v>
      </c>
      <c r="E918" s="22" t="s">
        <v>41</v>
      </c>
      <c r="F918" s="84" t="s">
        <v>42</v>
      </c>
      <c r="G918" s="84" t="s">
        <v>225</v>
      </c>
      <c r="H918" s="84">
        <v>20</v>
      </c>
      <c r="I918" s="50"/>
      <c r="J918" s="46">
        <v>293058</v>
      </c>
      <c r="K918" s="41"/>
      <c r="L918" s="47">
        <f t="shared" ref="L918:L923" si="510">SUM(J918/M918)</f>
        <v>1727.73257870534</v>
      </c>
      <c r="M918" s="48">
        <v>169.62</v>
      </c>
      <c r="N918" s="42">
        <v>7.11</v>
      </c>
      <c r="O918" s="43">
        <f t="shared" ref="O918:O923" si="511">SUM(M918*N918)</f>
        <v>1205.9982</v>
      </c>
      <c r="P918" s="45"/>
      <c r="Q918" s="45"/>
      <c r="R918" s="69">
        <f t="shared" si="497"/>
        <v>968.697674418605</v>
      </c>
      <c r="S918" s="69">
        <f t="shared" si="498"/>
        <v>0.130232558139535</v>
      </c>
      <c r="T918" s="70">
        <f t="shared" si="499"/>
        <v>1.31860465116279</v>
      </c>
      <c r="U918" s="69"/>
      <c r="V918" s="69"/>
      <c r="W918" s="71">
        <f t="shared" si="506"/>
        <v>970.146511627907</v>
      </c>
      <c r="X918" s="72">
        <f t="shared" si="500"/>
        <v>15.5256744186047</v>
      </c>
      <c r="Y918" s="72"/>
      <c r="Z918" s="72"/>
      <c r="AA918" s="72">
        <f t="shared" si="507"/>
        <v>15.5256744186047</v>
      </c>
      <c r="AB918" s="81">
        <v>7.11</v>
      </c>
      <c r="AC918" s="69">
        <f t="shared" si="504"/>
        <v>110.387545116279</v>
      </c>
      <c r="AD918" s="69">
        <f t="shared" si="508"/>
        <v>1080.53405674419</v>
      </c>
      <c r="AE918" s="69">
        <f t="shared" si="505"/>
        <v>125.464143255814</v>
      </c>
    </row>
    <row r="919" customFormat="1" spans="1:31">
      <c r="A919" s="19"/>
      <c r="B919" s="20"/>
      <c r="C919" s="21">
        <v>241027000007</v>
      </c>
      <c r="D919" s="22">
        <v>45595</v>
      </c>
      <c r="E919" s="22" t="s">
        <v>55</v>
      </c>
      <c r="F919" s="20" t="s">
        <v>56</v>
      </c>
      <c r="G919" s="20" t="s">
        <v>152</v>
      </c>
      <c r="H919" s="20">
        <v>6.5</v>
      </c>
      <c r="I919" s="39">
        <v>461</v>
      </c>
      <c r="J919" s="40"/>
      <c r="K919" s="41"/>
      <c r="L919" s="20"/>
      <c r="M919" s="41"/>
      <c r="N919" s="42"/>
      <c r="O919" s="43">
        <f t="shared" si="509"/>
        <v>461</v>
      </c>
      <c r="P919" s="45"/>
      <c r="Q919" s="45"/>
      <c r="R919" s="69">
        <f t="shared" si="497"/>
        <v>314.826744186046</v>
      </c>
      <c r="S919" s="69">
        <f t="shared" si="498"/>
        <v>0.0423255813953488</v>
      </c>
      <c r="T919" s="70">
        <f t="shared" si="499"/>
        <v>0.428546511627907</v>
      </c>
      <c r="U919" s="69"/>
      <c r="V919" s="70">
        <v>65</v>
      </c>
      <c r="W919" s="71">
        <f t="shared" si="506"/>
        <v>380.29761627907</v>
      </c>
      <c r="X919" s="72">
        <f t="shared" si="500"/>
        <v>5.04584418604651</v>
      </c>
      <c r="Y919" s="72"/>
      <c r="Z919" s="72"/>
      <c r="AA919" s="72">
        <f t="shared" si="507"/>
        <v>5.04584418604651</v>
      </c>
      <c r="AB919" s="81">
        <v>7.11</v>
      </c>
      <c r="AC919" s="69">
        <f t="shared" si="504"/>
        <v>35.8759521627907</v>
      </c>
      <c r="AD919" s="69">
        <f t="shared" si="508"/>
        <v>416.17356844186</v>
      </c>
      <c r="AE919" s="69">
        <f t="shared" si="505"/>
        <v>44.8264315581396</v>
      </c>
    </row>
    <row r="920" customFormat="1" spans="1:31">
      <c r="A920" s="19"/>
      <c r="B920" s="20"/>
      <c r="C920" s="21">
        <v>241028000002</v>
      </c>
      <c r="D920" s="22">
        <v>45595</v>
      </c>
      <c r="E920" s="22" t="s">
        <v>66</v>
      </c>
      <c r="F920" s="20" t="s">
        <v>67</v>
      </c>
      <c r="G920" s="20" t="s">
        <v>206</v>
      </c>
      <c r="H920" s="20">
        <v>3.5</v>
      </c>
      <c r="I920" s="39">
        <v>244.5</v>
      </c>
      <c r="J920" s="40"/>
      <c r="K920" s="41"/>
      <c r="L920" s="20"/>
      <c r="M920" s="41"/>
      <c r="N920" s="42"/>
      <c r="O920" s="43">
        <f t="shared" si="509"/>
        <v>244.5</v>
      </c>
      <c r="P920" s="45"/>
      <c r="Q920" s="45"/>
      <c r="R920" s="69">
        <f t="shared" si="497"/>
        <v>169.522093023256</v>
      </c>
      <c r="S920" s="69">
        <f t="shared" si="498"/>
        <v>0.0227906976744186</v>
      </c>
      <c r="T920" s="70">
        <f t="shared" si="499"/>
        <v>0.230755813953488</v>
      </c>
      <c r="U920" s="69"/>
      <c r="V920" s="69"/>
      <c r="W920" s="71">
        <f t="shared" si="506"/>
        <v>169.775639534884</v>
      </c>
      <c r="X920" s="72">
        <f t="shared" si="500"/>
        <v>2.71699302325581</v>
      </c>
      <c r="Y920" s="72"/>
      <c r="Z920" s="72"/>
      <c r="AA920" s="72">
        <f t="shared" si="507"/>
        <v>2.71699302325581</v>
      </c>
      <c r="AB920" s="81">
        <v>7.11</v>
      </c>
      <c r="AC920" s="69">
        <f t="shared" si="504"/>
        <v>19.3178203953488</v>
      </c>
      <c r="AD920" s="69">
        <f t="shared" si="508"/>
        <v>189.093459930233</v>
      </c>
      <c r="AE920" s="69">
        <f t="shared" si="505"/>
        <v>55.4065400697674</v>
      </c>
    </row>
    <row r="921" customFormat="1" spans="1:31">
      <c r="A921" s="19"/>
      <c r="B921" s="20"/>
      <c r="C921" s="21">
        <v>241028000003</v>
      </c>
      <c r="D921" s="22">
        <v>45595</v>
      </c>
      <c r="E921" s="22" t="s">
        <v>66</v>
      </c>
      <c r="F921" s="20" t="s">
        <v>67</v>
      </c>
      <c r="G921" s="20" t="s">
        <v>138</v>
      </c>
      <c r="H921" s="20">
        <v>13</v>
      </c>
      <c r="I921" s="50"/>
      <c r="J921" s="46">
        <v>173420</v>
      </c>
      <c r="K921" s="41"/>
      <c r="L921" s="47">
        <f t="shared" si="510"/>
        <v>1635.42059600151</v>
      </c>
      <c r="M921" s="48">
        <v>106.04</v>
      </c>
      <c r="N921" s="42">
        <v>7.11</v>
      </c>
      <c r="O921" s="43">
        <f t="shared" si="511"/>
        <v>753.9444</v>
      </c>
      <c r="P921" s="45"/>
      <c r="Q921" s="45"/>
      <c r="R921" s="69">
        <f t="shared" si="497"/>
        <v>629.653488372093</v>
      </c>
      <c r="S921" s="69">
        <f t="shared" si="498"/>
        <v>0.0846511627906977</v>
      </c>
      <c r="T921" s="70">
        <f t="shared" si="499"/>
        <v>0.857093023255814</v>
      </c>
      <c r="U921" s="69"/>
      <c r="V921" s="69"/>
      <c r="W921" s="71">
        <f t="shared" si="506"/>
        <v>630.59523255814</v>
      </c>
      <c r="X921" s="72">
        <f t="shared" si="500"/>
        <v>10.091688372093</v>
      </c>
      <c r="Y921" s="72"/>
      <c r="Z921" s="72"/>
      <c r="AA921" s="72">
        <f t="shared" si="507"/>
        <v>10.091688372093</v>
      </c>
      <c r="AB921" s="81">
        <v>7.11</v>
      </c>
      <c r="AC921" s="69">
        <f t="shared" si="504"/>
        <v>71.7519043255814</v>
      </c>
      <c r="AD921" s="69">
        <f t="shared" si="508"/>
        <v>702.347136883721</v>
      </c>
      <c r="AE921" s="69">
        <f t="shared" si="505"/>
        <v>51.5972631162791</v>
      </c>
    </row>
    <row r="922" customFormat="1" spans="1:31">
      <c r="A922" s="19"/>
      <c r="B922" s="20"/>
      <c r="C922" s="21">
        <v>241028000008</v>
      </c>
      <c r="D922" s="22">
        <v>45595</v>
      </c>
      <c r="E922" s="22" t="s">
        <v>66</v>
      </c>
      <c r="F922" s="20" t="s">
        <v>67</v>
      </c>
      <c r="G922" s="20" t="s">
        <v>563</v>
      </c>
      <c r="H922" s="20">
        <v>1</v>
      </c>
      <c r="I922" s="39">
        <v>68</v>
      </c>
      <c r="J922" s="40"/>
      <c r="K922" s="41"/>
      <c r="L922" s="20"/>
      <c r="M922" s="41"/>
      <c r="N922" s="42"/>
      <c r="O922" s="43">
        <f t="shared" ref="O922:O927" si="512">SUM(I922)</f>
        <v>68</v>
      </c>
      <c r="P922" s="45"/>
      <c r="Q922" s="45"/>
      <c r="R922" s="69">
        <f t="shared" si="497"/>
        <v>48.4348837209302</v>
      </c>
      <c r="S922" s="69">
        <f t="shared" si="498"/>
        <v>0.00651162790697674</v>
      </c>
      <c r="T922" s="70">
        <f t="shared" si="499"/>
        <v>0.0659302325581395</v>
      </c>
      <c r="U922" s="69"/>
      <c r="V922" s="69"/>
      <c r="W922" s="71">
        <f t="shared" si="506"/>
        <v>48.5073255813953</v>
      </c>
      <c r="X922" s="72">
        <f t="shared" si="500"/>
        <v>0.776283720930233</v>
      </c>
      <c r="Y922" s="72"/>
      <c r="Z922" s="72"/>
      <c r="AA922" s="72">
        <f t="shared" si="507"/>
        <v>0.776283720930233</v>
      </c>
      <c r="AB922" s="81">
        <v>7.11</v>
      </c>
      <c r="AC922" s="69">
        <f t="shared" si="504"/>
        <v>5.51937725581395</v>
      </c>
      <c r="AD922" s="69">
        <f t="shared" si="508"/>
        <v>54.0267028372093</v>
      </c>
      <c r="AE922" s="69">
        <f t="shared" si="505"/>
        <v>13.9732971627907</v>
      </c>
    </row>
    <row r="923" customFormat="1" spans="1:31">
      <c r="A923" s="19"/>
      <c r="B923" s="20"/>
      <c r="C923" s="21">
        <v>241028000010</v>
      </c>
      <c r="D923" s="22">
        <v>45595</v>
      </c>
      <c r="E923" s="22" t="s">
        <v>66</v>
      </c>
      <c r="F923" s="20" t="s">
        <v>67</v>
      </c>
      <c r="G923" s="20" t="s">
        <v>516</v>
      </c>
      <c r="H923" s="20">
        <v>84.5</v>
      </c>
      <c r="I923" s="50"/>
      <c r="J923" s="46">
        <v>1127230</v>
      </c>
      <c r="K923" s="41"/>
      <c r="L923" s="47">
        <f t="shared" si="510"/>
        <v>1635.3019686353</v>
      </c>
      <c r="M923" s="48">
        <v>689.31</v>
      </c>
      <c r="N923" s="42">
        <v>7.11</v>
      </c>
      <c r="O923" s="43">
        <f t="shared" si="511"/>
        <v>4900.9941</v>
      </c>
      <c r="P923" s="45"/>
      <c r="Q923" s="45"/>
      <c r="R923" s="69">
        <f t="shared" si="497"/>
        <v>4092.7476744186</v>
      </c>
      <c r="S923" s="69">
        <f t="shared" si="498"/>
        <v>0.550232558139535</v>
      </c>
      <c r="T923" s="70">
        <f t="shared" si="499"/>
        <v>5.57110465116279</v>
      </c>
      <c r="U923" s="69"/>
      <c r="V923" s="69"/>
      <c r="W923" s="71">
        <f t="shared" si="506"/>
        <v>4098.86901162791</v>
      </c>
      <c r="X923" s="72">
        <f t="shared" si="500"/>
        <v>65.5959744186047</v>
      </c>
      <c r="Y923" s="72"/>
      <c r="Z923" s="72"/>
      <c r="AA923" s="72">
        <f t="shared" si="507"/>
        <v>65.5959744186047</v>
      </c>
      <c r="AB923" s="81">
        <v>7.11</v>
      </c>
      <c r="AC923" s="69">
        <f t="shared" si="504"/>
        <v>466.387378116279</v>
      </c>
      <c r="AD923" s="69">
        <f t="shared" si="508"/>
        <v>4565.25638974419</v>
      </c>
      <c r="AE923" s="69">
        <f t="shared" si="505"/>
        <v>335.737710255814</v>
      </c>
    </row>
    <row r="924" customFormat="1" spans="1:31">
      <c r="A924" s="19"/>
      <c r="B924" s="20"/>
      <c r="C924" s="21">
        <v>241028000011</v>
      </c>
      <c r="D924" s="22">
        <v>45595</v>
      </c>
      <c r="E924" s="22" t="s">
        <v>66</v>
      </c>
      <c r="F924" s="20" t="s">
        <v>67</v>
      </c>
      <c r="G924" s="20" t="s">
        <v>129</v>
      </c>
      <c r="H924" s="20">
        <v>1.5</v>
      </c>
      <c r="I924" s="39">
        <v>94.5</v>
      </c>
      <c r="J924" s="40"/>
      <c r="K924" s="41"/>
      <c r="L924" s="20"/>
      <c r="M924" s="41"/>
      <c r="N924" s="42"/>
      <c r="O924" s="43">
        <f t="shared" si="512"/>
        <v>94.5</v>
      </c>
      <c r="P924" s="45"/>
      <c r="Q924" s="45"/>
      <c r="R924" s="69">
        <f t="shared" si="497"/>
        <v>72.6523255813953</v>
      </c>
      <c r="S924" s="69">
        <f t="shared" si="498"/>
        <v>0.00976744186046512</v>
      </c>
      <c r="T924" s="70">
        <f t="shared" si="499"/>
        <v>0.0988953488372093</v>
      </c>
      <c r="U924" s="69"/>
      <c r="V924" s="69"/>
      <c r="W924" s="71">
        <f t="shared" si="506"/>
        <v>72.760988372093</v>
      </c>
      <c r="X924" s="72">
        <f t="shared" si="500"/>
        <v>1.16442558139535</v>
      </c>
      <c r="Y924" s="72"/>
      <c r="Z924" s="72"/>
      <c r="AA924" s="72">
        <f t="shared" si="507"/>
        <v>1.16442558139535</v>
      </c>
      <c r="AB924" s="81">
        <v>7.11</v>
      </c>
      <c r="AC924" s="69">
        <f t="shared" si="504"/>
        <v>8.27906588372093</v>
      </c>
      <c r="AD924" s="69">
        <f t="shared" si="508"/>
        <v>81.0400542558139</v>
      </c>
      <c r="AE924" s="69">
        <f t="shared" si="505"/>
        <v>13.4599457441861</v>
      </c>
    </row>
    <row r="925" customFormat="1" spans="1:31">
      <c r="A925" s="19"/>
      <c r="B925" s="20"/>
      <c r="C925" s="21">
        <v>241028000012</v>
      </c>
      <c r="D925" s="22">
        <v>45595</v>
      </c>
      <c r="E925" s="22" t="s">
        <v>66</v>
      </c>
      <c r="F925" s="20" t="s">
        <v>67</v>
      </c>
      <c r="G925" s="20" t="s">
        <v>84</v>
      </c>
      <c r="H925" s="20">
        <v>56.5</v>
      </c>
      <c r="I925" s="39">
        <v>3277</v>
      </c>
      <c r="J925" s="40"/>
      <c r="K925" s="41"/>
      <c r="L925" s="20"/>
      <c r="M925" s="41"/>
      <c r="N925" s="42"/>
      <c r="O925" s="43">
        <f t="shared" si="512"/>
        <v>3277</v>
      </c>
      <c r="P925" s="45"/>
      <c r="Q925" s="45"/>
      <c r="R925" s="69">
        <f t="shared" si="497"/>
        <v>2736.57093023256</v>
      </c>
      <c r="S925" s="69">
        <f t="shared" si="498"/>
        <v>0.367906976744186</v>
      </c>
      <c r="T925" s="70">
        <f t="shared" si="499"/>
        <v>3.72505813953488</v>
      </c>
      <c r="U925" s="69"/>
      <c r="V925" s="69"/>
      <c r="W925" s="71">
        <f t="shared" si="506"/>
        <v>2740.66389534884</v>
      </c>
      <c r="X925" s="72">
        <f t="shared" si="500"/>
        <v>43.8600302325581</v>
      </c>
      <c r="Y925" s="72"/>
      <c r="Z925" s="72"/>
      <c r="AA925" s="72">
        <f t="shared" si="507"/>
        <v>43.8600302325581</v>
      </c>
      <c r="AB925" s="81">
        <v>7.11</v>
      </c>
      <c r="AC925" s="69">
        <f t="shared" si="504"/>
        <v>311.844814953488</v>
      </c>
      <c r="AD925" s="69">
        <f t="shared" si="508"/>
        <v>3052.50871030233</v>
      </c>
      <c r="AE925" s="69">
        <f t="shared" si="505"/>
        <v>224.491289697675</v>
      </c>
    </row>
    <row r="926" customFormat="1" spans="1:31">
      <c r="A926" s="19"/>
      <c r="B926" s="20"/>
      <c r="C926" s="21">
        <v>241028000031</v>
      </c>
      <c r="D926" s="22">
        <v>45595</v>
      </c>
      <c r="E926" s="22" t="s">
        <v>37</v>
      </c>
      <c r="F926" s="20" t="s">
        <v>38</v>
      </c>
      <c r="G926" s="20" t="s">
        <v>537</v>
      </c>
      <c r="H926" s="20">
        <v>0.5</v>
      </c>
      <c r="I926" s="39">
        <v>66</v>
      </c>
      <c r="J926" s="40"/>
      <c r="K926" s="41"/>
      <c r="L926" s="20"/>
      <c r="M926" s="41"/>
      <c r="N926" s="42"/>
      <c r="O926" s="43">
        <f t="shared" si="512"/>
        <v>66</v>
      </c>
      <c r="P926" s="45"/>
      <c r="Q926" s="45"/>
      <c r="R926" s="69">
        <f t="shared" si="497"/>
        <v>24.2174418604651</v>
      </c>
      <c r="S926" s="69">
        <f t="shared" si="498"/>
        <v>0.00325581395348837</v>
      </c>
      <c r="T926" s="70">
        <f t="shared" si="499"/>
        <v>0.0329651162790698</v>
      </c>
      <c r="U926" s="69"/>
      <c r="V926" s="69"/>
      <c r="W926" s="71">
        <f t="shared" si="506"/>
        <v>24.2536627906977</v>
      </c>
      <c r="X926" s="72">
        <f t="shared" si="500"/>
        <v>0.388141860465116</v>
      </c>
      <c r="Y926" s="72"/>
      <c r="Z926" s="72"/>
      <c r="AA926" s="72">
        <f t="shared" si="507"/>
        <v>0.388141860465116</v>
      </c>
      <c r="AB926" s="81">
        <v>7.11</v>
      </c>
      <c r="AC926" s="69">
        <f t="shared" si="504"/>
        <v>2.75968862790698</v>
      </c>
      <c r="AD926" s="69">
        <f t="shared" si="508"/>
        <v>27.0133514186046</v>
      </c>
      <c r="AE926" s="69">
        <f t="shared" si="505"/>
        <v>38.9866485813954</v>
      </c>
    </row>
    <row r="927" customFormat="1" spans="1:31">
      <c r="A927" s="19"/>
      <c r="B927" s="20"/>
      <c r="C927" s="21">
        <v>241028000034</v>
      </c>
      <c r="D927" s="22">
        <v>45595</v>
      </c>
      <c r="E927" s="22" t="s">
        <v>66</v>
      </c>
      <c r="F927" s="20" t="s">
        <v>67</v>
      </c>
      <c r="G927" s="20" t="s">
        <v>129</v>
      </c>
      <c r="H927" s="20">
        <v>3.5</v>
      </c>
      <c r="I927" s="39">
        <v>220.5</v>
      </c>
      <c r="J927" s="40"/>
      <c r="K927" s="41"/>
      <c r="L927" s="20"/>
      <c r="M927" s="41"/>
      <c r="N927" s="42"/>
      <c r="O927" s="43">
        <f t="shared" si="512"/>
        <v>220.5</v>
      </c>
      <c r="P927" s="45"/>
      <c r="Q927" s="45"/>
      <c r="R927" s="69">
        <f t="shared" si="497"/>
        <v>169.522093023256</v>
      </c>
      <c r="S927" s="69">
        <f t="shared" si="498"/>
        <v>0.0227906976744186</v>
      </c>
      <c r="T927" s="70">
        <f t="shared" si="499"/>
        <v>0.230755813953488</v>
      </c>
      <c r="U927" s="69"/>
      <c r="V927" s="69"/>
      <c r="W927" s="71">
        <f t="shared" si="506"/>
        <v>169.775639534884</v>
      </c>
      <c r="X927" s="72">
        <f t="shared" si="500"/>
        <v>2.71699302325581</v>
      </c>
      <c r="Y927" s="72"/>
      <c r="Z927" s="72"/>
      <c r="AA927" s="72">
        <f t="shared" si="507"/>
        <v>2.71699302325581</v>
      </c>
      <c r="AB927" s="81">
        <v>7.11</v>
      </c>
      <c r="AC927" s="69">
        <f t="shared" si="504"/>
        <v>19.3178203953488</v>
      </c>
      <c r="AD927" s="69">
        <f t="shared" si="508"/>
        <v>189.093459930233</v>
      </c>
      <c r="AE927" s="69">
        <f t="shared" ref="AE927:AE958" si="513">SUM(O927-AD927)</f>
        <v>31.4065400697674</v>
      </c>
    </row>
    <row r="928" customFormat="1" spans="1:31">
      <c r="A928" s="19"/>
      <c r="B928" s="20"/>
      <c r="C928" s="21">
        <v>241028000037</v>
      </c>
      <c r="D928" s="22">
        <v>45595</v>
      </c>
      <c r="E928" s="22" t="s">
        <v>41</v>
      </c>
      <c r="F928" s="20" t="s">
        <v>42</v>
      </c>
      <c r="G928" s="20" t="s">
        <v>255</v>
      </c>
      <c r="H928" s="20">
        <v>2.5</v>
      </c>
      <c r="I928" s="43"/>
      <c r="J928" s="46">
        <v>39960</v>
      </c>
      <c r="K928" s="41"/>
      <c r="L928" s="47">
        <f t="shared" ref="L928:L933" si="514">SUM(J928/M928)</f>
        <v>1744.97816593886</v>
      </c>
      <c r="M928" s="48">
        <v>22.9</v>
      </c>
      <c r="N928" s="42">
        <v>7.11</v>
      </c>
      <c r="O928" s="43">
        <f t="shared" ref="O928:O933" si="515">SUM(M928*N928)</f>
        <v>162.819</v>
      </c>
      <c r="P928" s="45"/>
      <c r="Q928" s="45"/>
      <c r="R928" s="69">
        <f t="shared" si="497"/>
        <v>121.087209302326</v>
      </c>
      <c r="S928" s="69">
        <f t="shared" si="498"/>
        <v>0.0162790697674419</v>
      </c>
      <c r="T928" s="70">
        <f t="shared" si="499"/>
        <v>0.164825581395349</v>
      </c>
      <c r="U928" s="69"/>
      <c r="V928" s="69"/>
      <c r="W928" s="71">
        <f t="shared" si="506"/>
        <v>121.268313953488</v>
      </c>
      <c r="X928" s="72">
        <f t="shared" si="500"/>
        <v>1.94070930232558</v>
      </c>
      <c r="Y928" s="72"/>
      <c r="Z928" s="72"/>
      <c r="AA928" s="72">
        <f t="shared" si="507"/>
        <v>1.94070930232558</v>
      </c>
      <c r="AB928" s="81">
        <v>7.11</v>
      </c>
      <c r="AC928" s="69">
        <f t="shared" ref="AC928:AC959" si="516">SUM(AA928*AB928)</f>
        <v>13.7984431395349</v>
      </c>
      <c r="AD928" s="69">
        <f t="shared" si="508"/>
        <v>135.066757093023</v>
      </c>
      <c r="AE928" s="69">
        <f t="shared" si="513"/>
        <v>27.7522429069767</v>
      </c>
    </row>
    <row r="929" customFormat="1" spans="1:31">
      <c r="A929" s="19"/>
      <c r="B929" s="20"/>
      <c r="C929" s="21">
        <v>241028000039</v>
      </c>
      <c r="D929" s="22">
        <v>45595</v>
      </c>
      <c r="E929" s="22" t="s">
        <v>41</v>
      </c>
      <c r="F929" s="20" t="s">
        <v>42</v>
      </c>
      <c r="G929" s="20" t="s">
        <v>157</v>
      </c>
      <c r="H929" s="20">
        <v>35</v>
      </c>
      <c r="I929" s="39">
        <v>2161.95</v>
      </c>
      <c r="J929" s="40"/>
      <c r="K929" s="41"/>
      <c r="L929" s="20"/>
      <c r="M929" s="41"/>
      <c r="N929" s="42"/>
      <c r="O929" s="43">
        <f t="shared" ref="O929:O931" si="517">SUM(I929)</f>
        <v>2161.95</v>
      </c>
      <c r="P929" s="45"/>
      <c r="Q929" s="45"/>
      <c r="R929" s="69">
        <f t="shared" si="497"/>
        <v>1695.22093023256</v>
      </c>
      <c r="S929" s="69">
        <f t="shared" si="498"/>
        <v>0.227906976744186</v>
      </c>
      <c r="T929" s="70">
        <f t="shared" si="499"/>
        <v>2.30755813953488</v>
      </c>
      <c r="U929" s="69"/>
      <c r="V929" s="69"/>
      <c r="W929" s="71">
        <f t="shared" ref="W929:W960" si="518">SUM(R929:V929)</f>
        <v>1697.75639534884</v>
      </c>
      <c r="X929" s="72">
        <f t="shared" si="500"/>
        <v>27.1699302325581</v>
      </c>
      <c r="Y929" s="72"/>
      <c r="Z929" s="72"/>
      <c r="AA929" s="72">
        <f t="shared" ref="AA929:AA960" si="519">SUM(X929:Z929)</f>
        <v>27.1699302325581</v>
      </c>
      <c r="AB929" s="81">
        <v>7.11</v>
      </c>
      <c r="AC929" s="69">
        <f t="shared" si="516"/>
        <v>193.178203953488</v>
      </c>
      <c r="AD929" s="69">
        <f t="shared" ref="AD929:AD960" si="520">SUM(W929+AC929)</f>
        <v>1890.93459930233</v>
      </c>
      <c r="AE929" s="69">
        <f t="shared" si="513"/>
        <v>271.015400697675</v>
      </c>
    </row>
    <row r="930" customFormat="1" spans="1:31">
      <c r="A930" s="19"/>
      <c r="B930" s="20"/>
      <c r="C930" s="21">
        <v>241028000052</v>
      </c>
      <c r="D930" s="22">
        <v>45595</v>
      </c>
      <c r="E930" s="22" t="s">
        <v>66</v>
      </c>
      <c r="F930" s="20" t="s">
        <v>67</v>
      </c>
      <c r="G930" s="20" t="s">
        <v>79</v>
      </c>
      <c r="H930" s="20">
        <v>5</v>
      </c>
      <c r="I930" s="39">
        <v>522</v>
      </c>
      <c r="J930" s="40"/>
      <c r="K930" s="41"/>
      <c r="L930" s="20"/>
      <c r="M930" s="41"/>
      <c r="N930" s="42"/>
      <c r="O930" s="43">
        <f t="shared" si="517"/>
        <v>522</v>
      </c>
      <c r="P930" s="49"/>
      <c r="Q930" s="49"/>
      <c r="R930" s="69">
        <f t="shared" si="497"/>
        <v>242.174418604651</v>
      </c>
      <c r="S930" s="69">
        <f t="shared" si="498"/>
        <v>0.0325581395348837</v>
      </c>
      <c r="T930" s="70">
        <f t="shared" si="499"/>
        <v>0.329651162790698</v>
      </c>
      <c r="U930" s="69"/>
      <c r="V930" s="69"/>
      <c r="W930" s="71">
        <f t="shared" si="518"/>
        <v>242.536627906977</v>
      </c>
      <c r="X930" s="72">
        <f t="shared" si="500"/>
        <v>3.88141860465116</v>
      </c>
      <c r="Y930" s="72"/>
      <c r="Z930" s="72"/>
      <c r="AA930" s="72">
        <f t="shared" si="519"/>
        <v>3.88141860465116</v>
      </c>
      <c r="AB930" s="81">
        <v>7.11</v>
      </c>
      <c r="AC930" s="69">
        <f t="shared" si="516"/>
        <v>27.5968862790698</v>
      </c>
      <c r="AD930" s="69">
        <f t="shared" si="520"/>
        <v>270.133514186047</v>
      </c>
      <c r="AE930" s="69">
        <f t="shared" si="513"/>
        <v>251.866485813953</v>
      </c>
    </row>
    <row r="931" customFormat="1" spans="1:31">
      <c r="A931" s="19" t="s">
        <v>564</v>
      </c>
      <c r="B931" s="20" t="s">
        <v>565</v>
      </c>
      <c r="C931" s="21">
        <v>241017000006</v>
      </c>
      <c r="D931" s="22">
        <v>45598</v>
      </c>
      <c r="E931" s="22" t="s">
        <v>66</v>
      </c>
      <c r="F931" s="20" t="s">
        <v>67</v>
      </c>
      <c r="G931" s="20" t="s">
        <v>566</v>
      </c>
      <c r="H931" s="20">
        <v>3.5</v>
      </c>
      <c r="I931" s="39">
        <v>283.95</v>
      </c>
      <c r="J931" s="40"/>
      <c r="K931" s="41"/>
      <c r="L931" s="40"/>
      <c r="M931" s="41"/>
      <c r="N931" s="42"/>
      <c r="O931" s="43">
        <f t="shared" si="517"/>
        <v>283.95</v>
      </c>
      <c r="P931" s="44">
        <f>SUM(O931:O1005)</f>
        <v>120887.5429</v>
      </c>
      <c r="Q931" s="44" t="s">
        <v>95</v>
      </c>
      <c r="R931" s="69">
        <f>SUM(102794/1796)*H931</f>
        <v>200.322383073497</v>
      </c>
      <c r="S931" s="69"/>
      <c r="T931" s="70">
        <f>SUM(120/1796)*H931</f>
        <v>0.233853006681514</v>
      </c>
      <c r="U931" s="69"/>
      <c r="V931" s="69"/>
      <c r="W931" s="71">
        <f t="shared" si="518"/>
        <v>200.556236080178</v>
      </c>
      <c r="X931" s="72">
        <f>SUM(1214.22/1796)*H931</f>
        <v>2.3662416481069</v>
      </c>
      <c r="Y931" s="72"/>
      <c r="Z931" s="72"/>
      <c r="AA931" s="72">
        <f t="shared" si="519"/>
        <v>2.3662416481069</v>
      </c>
      <c r="AB931" s="81">
        <v>7.11</v>
      </c>
      <c r="AC931" s="69">
        <f t="shared" si="516"/>
        <v>16.8239781180401</v>
      </c>
      <c r="AD931" s="69">
        <f t="shared" si="520"/>
        <v>217.380214198218</v>
      </c>
      <c r="AE931" s="69">
        <f t="shared" si="513"/>
        <v>66.5697858017817</v>
      </c>
    </row>
    <row r="932" customFormat="1" spans="1:31">
      <c r="A932" s="19"/>
      <c r="B932" s="20"/>
      <c r="C932" s="21">
        <v>241023000009</v>
      </c>
      <c r="D932" s="22">
        <v>45598</v>
      </c>
      <c r="E932" s="22" t="s">
        <v>41</v>
      </c>
      <c r="F932" s="20" t="s">
        <v>42</v>
      </c>
      <c r="G932" s="20" t="s">
        <v>282</v>
      </c>
      <c r="H932" s="20">
        <v>0.28</v>
      </c>
      <c r="I932" s="43"/>
      <c r="J932" s="46">
        <v>17973</v>
      </c>
      <c r="K932" s="41"/>
      <c r="L932" s="47">
        <f t="shared" si="514"/>
        <v>1744.95145631068</v>
      </c>
      <c r="M932" s="48">
        <v>10.3</v>
      </c>
      <c r="N932" s="42">
        <v>7.11</v>
      </c>
      <c r="O932" s="43">
        <f t="shared" si="515"/>
        <v>73.233</v>
      </c>
      <c r="P932" s="45"/>
      <c r="Q932" s="45"/>
      <c r="R932" s="69">
        <f t="shared" ref="R932:R963" si="521">SUM(102794/1796)*H932</f>
        <v>16.0257906458797</v>
      </c>
      <c r="S932" s="69"/>
      <c r="T932" s="70">
        <f t="shared" ref="T932:T963" si="522">SUM(120/1796)*H932</f>
        <v>0.0187082405345212</v>
      </c>
      <c r="U932" s="69"/>
      <c r="V932" s="69"/>
      <c r="W932" s="71">
        <f t="shared" si="518"/>
        <v>16.0444988864143</v>
      </c>
      <c r="X932" s="72">
        <f t="shared" ref="X932:X963" si="523">SUM(1214.22/1796)*H932</f>
        <v>0.189299331848552</v>
      </c>
      <c r="Y932" s="72"/>
      <c r="Z932" s="72"/>
      <c r="AA932" s="72">
        <f t="shared" si="519"/>
        <v>0.189299331848552</v>
      </c>
      <c r="AB932" s="81">
        <v>7.11</v>
      </c>
      <c r="AC932" s="69">
        <f t="shared" si="516"/>
        <v>1.34591824944321</v>
      </c>
      <c r="AD932" s="69">
        <f t="shared" si="520"/>
        <v>17.3904171358575</v>
      </c>
      <c r="AE932" s="69">
        <f t="shared" si="513"/>
        <v>55.8425828641425</v>
      </c>
    </row>
    <row r="933" customFormat="1" spans="1:31">
      <c r="A933" s="19"/>
      <c r="B933" s="20"/>
      <c r="C933" s="21">
        <v>241023000015</v>
      </c>
      <c r="D933" s="22">
        <v>45598</v>
      </c>
      <c r="E933" s="22" t="s">
        <v>41</v>
      </c>
      <c r="F933" s="20" t="s">
        <v>42</v>
      </c>
      <c r="G933" s="20" t="s">
        <v>185</v>
      </c>
      <c r="H933" s="20">
        <v>1.5</v>
      </c>
      <c r="I933" s="50"/>
      <c r="J933" s="46">
        <v>26001</v>
      </c>
      <c r="K933" s="41"/>
      <c r="L933" s="47">
        <f t="shared" si="514"/>
        <v>1724.20424403183</v>
      </c>
      <c r="M933" s="48">
        <v>15.08</v>
      </c>
      <c r="N933" s="42">
        <v>7.11</v>
      </c>
      <c r="O933" s="43">
        <f t="shared" si="515"/>
        <v>107.2188</v>
      </c>
      <c r="P933" s="45"/>
      <c r="Q933" s="45"/>
      <c r="R933" s="69">
        <f t="shared" si="521"/>
        <v>85.8524498886414</v>
      </c>
      <c r="S933" s="69"/>
      <c r="T933" s="70">
        <f t="shared" si="522"/>
        <v>0.10022271714922</v>
      </c>
      <c r="U933" s="69"/>
      <c r="V933" s="69"/>
      <c r="W933" s="71">
        <f t="shared" si="518"/>
        <v>85.9526726057907</v>
      </c>
      <c r="X933" s="72">
        <f t="shared" si="523"/>
        <v>1.01410356347439</v>
      </c>
      <c r="Y933" s="72"/>
      <c r="Z933" s="72"/>
      <c r="AA933" s="72">
        <f t="shared" si="519"/>
        <v>1.01410356347439</v>
      </c>
      <c r="AB933" s="81">
        <v>7.11</v>
      </c>
      <c r="AC933" s="69">
        <f t="shared" si="516"/>
        <v>7.2102763363029</v>
      </c>
      <c r="AD933" s="69">
        <f t="shared" si="520"/>
        <v>93.1629489420935</v>
      </c>
      <c r="AE933" s="69">
        <f t="shared" si="513"/>
        <v>14.0558510579065</v>
      </c>
    </row>
    <row r="934" customFormat="1" spans="1:31">
      <c r="A934" s="19"/>
      <c r="B934" s="20"/>
      <c r="C934" s="21">
        <v>241023000023</v>
      </c>
      <c r="D934" s="22">
        <v>45598</v>
      </c>
      <c r="E934" s="22" t="s">
        <v>37</v>
      </c>
      <c r="F934" s="20" t="s">
        <v>38</v>
      </c>
      <c r="G934" s="20" t="s">
        <v>567</v>
      </c>
      <c r="H934" s="20">
        <v>0.96</v>
      </c>
      <c r="I934" s="39">
        <v>-66</v>
      </c>
      <c r="J934" s="40"/>
      <c r="K934" s="41"/>
      <c r="L934" s="40"/>
      <c r="M934" s="41"/>
      <c r="N934" s="42"/>
      <c r="O934" s="43">
        <f t="shared" ref="O934:O942" si="524">SUM(I934)</f>
        <v>-66</v>
      </c>
      <c r="P934" s="45"/>
      <c r="Q934" s="45"/>
      <c r="R934" s="69">
        <f t="shared" si="521"/>
        <v>54.9455679287305</v>
      </c>
      <c r="S934" s="69"/>
      <c r="T934" s="70">
        <f t="shared" si="522"/>
        <v>0.0641425389755011</v>
      </c>
      <c r="U934" s="69"/>
      <c r="V934" s="69"/>
      <c r="W934" s="71">
        <f t="shared" si="518"/>
        <v>55.009710467706</v>
      </c>
      <c r="X934" s="72">
        <f t="shared" si="523"/>
        <v>0.649026280623608</v>
      </c>
      <c r="Y934" s="72"/>
      <c r="Z934" s="72"/>
      <c r="AA934" s="72">
        <f t="shared" si="519"/>
        <v>0.649026280623608</v>
      </c>
      <c r="AB934" s="81">
        <v>7.11</v>
      </c>
      <c r="AC934" s="69">
        <f t="shared" si="516"/>
        <v>4.61457685523385</v>
      </c>
      <c r="AD934" s="69">
        <f t="shared" si="520"/>
        <v>59.6242873229399</v>
      </c>
      <c r="AE934" s="69">
        <f t="shared" si="513"/>
        <v>-125.62428732294</v>
      </c>
    </row>
    <row r="935" customFormat="1" spans="1:31">
      <c r="A935" s="19"/>
      <c r="B935" s="20"/>
      <c r="C935" s="21">
        <v>241024000001</v>
      </c>
      <c r="D935" s="22">
        <v>45598</v>
      </c>
      <c r="E935" s="22" t="s">
        <v>88</v>
      </c>
      <c r="F935" s="20" t="s">
        <v>118</v>
      </c>
      <c r="G935" s="20" t="s">
        <v>119</v>
      </c>
      <c r="H935" s="20">
        <v>9.5</v>
      </c>
      <c r="I935" s="43"/>
      <c r="J935" s="46">
        <v>229136</v>
      </c>
      <c r="K935" s="41"/>
      <c r="L935" s="47">
        <f>SUM(J935/M935)</f>
        <v>1745.00038077831</v>
      </c>
      <c r="M935" s="48">
        <v>131.31</v>
      </c>
      <c r="N935" s="42">
        <v>7.11</v>
      </c>
      <c r="O935" s="43">
        <f>SUM(M935*N935)</f>
        <v>933.6141</v>
      </c>
      <c r="P935" s="45"/>
      <c r="Q935" s="45"/>
      <c r="R935" s="69">
        <f t="shared" si="521"/>
        <v>543.732182628062</v>
      </c>
      <c r="S935" s="69"/>
      <c r="T935" s="70">
        <f t="shared" si="522"/>
        <v>0.634743875278396</v>
      </c>
      <c r="U935" s="69"/>
      <c r="V935" s="69"/>
      <c r="W935" s="71">
        <f t="shared" si="518"/>
        <v>544.366926503341</v>
      </c>
      <c r="X935" s="72">
        <f t="shared" si="523"/>
        <v>6.42265590200445</v>
      </c>
      <c r="Y935" s="72"/>
      <c r="Z935" s="72"/>
      <c r="AA935" s="72">
        <f t="shared" si="519"/>
        <v>6.42265590200445</v>
      </c>
      <c r="AB935" s="81">
        <v>7.11</v>
      </c>
      <c r="AC935" s="69">
        <f t="shared" si="516"/>
        <v>45.6650834632517</v>
      </c>
      <c r="AD935" s="69">
        <f t="shared" si="520"/>
        <v>590.032009966592</v>
      </c>
      <c r="AE935" s="69">
        <f t="shared" si="513"/>
        <v>343.582090033408</v>
      </c>
    </row>
    <row r="936" customFormat="1" spans="1:31">
      <c r="A936" s="19"/>
      <c r="B936" s="20"/>
      <c r="C936" s="21">
        <v>241024000005</v>
      </c>
      <c r="D936" s="22">
        <v>45598</v>
      </c>
      <c r="E936" s="22" t="s">
        <v>66</v>
      </c>
      <c r="F936" s="20" t="s">
        <v>67</v>
      </c>
      <c r="G936" s="20" t="s">
        <v>568</v>
      </c>
      <c r="H936" s="20">
        <v>5</v>
      </c>
      <c r="I936" s="39">
        <v>382.8</v>
      </c>
      <c r="J936" s="40"/>
      <c r="K936" s="41"/>
      <c r="L936" s="40"/>
      <c r="M936" s="41"/>
      <c r="N936" s="42"/>
      <c r="O936" s="43">
        <f t="shared" si="524"/>
        <v>382.8</v>
      </c>
      <c r="P936" s="45"/>
      <c r="Q936" s="45"/>
      <c r="R936" s="69">
        <f t="shared" si="521"/>
        <v>286.174832962138</v>
      </c>
      <c r="S936" s="69"/>
      <c r="T936" s="70">
        <f t="shared" si="522"/>
        <v>0.334075723830735</v>
      </c>
      <c r="U936" s="69"/>
      <c r="V936" s="69"/>
      <c r="W936" s="71">
        <f t="shared" si="518"/>
        <v>286.508908685969</v>
      </c>
      <c r="X936" s="72">
        <f t="shared" si="523"/>
        <v>3.38034521158129</v>
      </c>
      <c r="Y936" s="72"/>
      <c r="Z936" s="72"/>
      <c r="AA936" s="72">
        <f t="shared" si="519"/>
        <v>3.38034521158129</v>
      </c>
      <c r="AB936" s="81">
        <v>7.11</v>
      </c>
      <c r="AC936" s="69">
        <f t="shared" si="516"/>
        <v>24.034254454343</v>
      </c>
      <c r="AD936" s="69">
        <f t="shared" si="520"/>
        <v>310.543163140312</v>
      </c>
      <c r="AE936" s="69">
        <f t="shared" si="513"/>
        <v>72.2568368596882</v>
      </c>
    </row>
    <row r="937" customFormat="1" spans="1:31">
      <c r="A937" s="19"/>
      <c r="B937" s="20"/>
      <c r="C937" s="21">
        <v>241024000015</v>
      </c>
      <c r="D937" s="22">
        <v>45598</v>
      </c>
      <c r="E937" s="22" t="s">
        <v>240</v>
      </c>
      <c r="F937" s="20" t="s">
        <v>241</v>
      </c>
      <c r="G937" s="20" t="s">
        <v>569</v>
      </c>
      <c r="H937" s="20">
        <v>12.5</v>
      </c>
      <c r="I937" s="39">
        <v>831.6</v>
      </c>
      <c r="J937" s="40"/>
      <c r="K937" s="41"/>
      <c r="L937" s="40"/>
      <c r="M937" s="41"/>
      <c r="N937" s="42"/>
      <c r="O937" s="43">
        <f t="shared" si="524"/>
        <v>831.6</v>
      </c>
      <c r="P937" s="45"/>
      <c r="Q937" s="45"/>
      <c r="R937" s="69">
        <f t="shared" si="521"/>
        <v>715.437082405345</v>
      </c>
      <c r="S937" s="69"/>
      <c r="T937" s="70">
        <f t="shared" si="522"/>
        <v>0.835189309576837</v>
      </c>
      <c r="U937" s="69"/>
      <c r="V937" s="69"/>
      <c r="W937" s="71">
        <f t="shared" si="518"/>
        <v>716.272271714922</v>
      </c>
      <c r="X937" s="72">
        <f t="shared" si="523"/>
        <v>8.45086302895323</v>
      </c>
      <c r="Y937" s="72"/>
      <c r="Z937" s="72"/>
      <c r="AA937" s="72">
        <f t="shared" si="519"/>
        <v>8.45086302895323</v>
      </c>
      <c r="AB937" s="81">
        <v>7.11</v>
      </c>
      <c r="AC937" s="69">
        <f t="shared" si="516"/>
        <v>60.0856361358575</v>
      </c>
      <c r="AD937" s="69">
        <f t="shared" si="520"/>
        <v>776.35790785078</v>
      </c>
      <c r="AE937" s="69">
        <f t="shared" si="513"/>
        <v>55.2420921492204</v>
      </c>
    </row>
    <row r="938" customFormat="1" spans="1:31">
      <c r="A938" s="19"/>
      <c r="B938" s="20"/>
      <c r="C938" s="21">
        <v>241024000023</v>
      </c>
      <c r="D938" s="22">
        <v>45598</v>
      </c>
      <c r="E938" s="22" t="s">
        <v>55</v>
      </c>
      <c r="F938" s="20" t="s">
        <v>56</v>
      </c>
      <c r="G938" s="20" t="s">
        <v>152</v>
      </c>
      <c r="H938" s="20">
        <v>3.5</v>
      </c>
      <c r="I938" s="39">
        <v>245</v>
      </c>
      <c r="J938" s="40"/>
      <c r="K938" s="41"/>
      <c r="L938" s="40"/>
      <c r="M938" s="41"/>
      <c r="N938" s="42"/>
      <c r="O938" s="43">
        <f t="shared" si="524"/>
        <v>245</v>
      </c>
      <c r="P938" s="45"/>
      <c r="Q938" s="45"/>
      <c r="R938" s="69">
        <f t="shared" si="521"/>
        <v>200.322383073497</v>
      </c>
      <c r="S938" s="69"/>
      <c r="T938" s="70">
        <f t="shared" si="522"/>
        <v>0.233853006681514</v>
      </c>
      <c r="U938" s="69"/>
      <c r="V938" s="69"/>
      <c r="W938" s="71">
        <f t="shared" si="518"/>
        <v>200.556236080178</v>
      </c>
      <c r="X938" s="72">
        <f t="shared" si="523"/>
        <v>2.3662416481069</v>
      </c>
      <c r="Y938" s="72"/>
      <c r="Z938" s="72"/>
      <c r="AA938" s="72">
        <f t="shared" si="519"/>
        <v>2.3662416481069</v>
      </c>
      <c r="AB938" s="81">
        <v>7.11</v>
      </c>
      <c r="AC938" s="69">
        <f t="shared" si="516"/>
        <v>16.8239781180401</v>
      </c>
      <c r="AD938" s="69">
        <f t="shared" si="520"/>
        <v>217.380214198218</v>
      </c>
      <c r="AE938" s="69">
        <f t="shared" si="513"/>
        <v>27.6197858017817</v>
      </c>
    </row>
    <row r="939" customFormat="1" spans="1:31">
      <c r="A939" s="19"/>
      <c r="B939" s="20"/>
      <c r="C939" s="21">
        <v>241024000024</v>
      </c>
      <c r="D939" s="22">
        <v>45598</v>
      </c>
      <c r="E939" s="22" t="s">
        <v>66</v>
      </c>
      <c r="F939" s="20" t="s">
        <v>67</v>
      </c>
      <c r="G939" s="20" t="s">
        <v>570</v>
      </c>
      <c r="H939" s="20">
        <v>1</v>
      </c>
      <c r="I939" s="39">
        <v>85</v>
      </c>
      <c r="J939" s="40"/>
      <c r="K939" s="41"/>
      <c r="L939" s="40"/>
      <c r="M939" s="41"/>
      <c r="N939" s="42"/>
      <c r="O939" s="43">
        <f t="shared" si="524"/>
        <v>85</v>
      </c>
      <c r="P939" s="45"/>
      <c r="Q939" s="45"/>
      <c r="R939" s="69">
        <f t="shared" si="521"/>
        <v>57.2349665924276</v>
      </c>
      <c r="S939" s="69"/>
      <c r="T939" s="70">
        <f t="shared" si="522"/>
        <v>0.066815144766147</v>
      </c>
      <c r="U939" s="69"/>
      <c r="V939" s="69"/>
      <c r="W939" s="71">
        <f t="shared" si="518"/>
        <v>57.3017817371938</v>
      </c>
      <c r="X939" s="72">
        <f t="shared" si="523"/>
        <v>0.676069042316258</v>
      </c>
      <c r="Y939" s="72"/>
      <c r="Z939" s="72"/>
      <c r="AA939" s="72">
        <f t="shared" si="519"/>
        <v>0.676069042316258</v>
      </c>
      <c r="AB939" s="81">
        <v>7.11</v>
      </c>
      <c r="AC939" s="69">
        <f t="shared" si="516"/>
        <v>4.8068508908686</v>
      </c>
      <c r="AD939" s="69">
        <f t="shared" si="520"/>
        <v>62.1086326280624</v>
      </c>
      <c r="AE939" s="69">
        <f t="shared" si="513"/>
        <v>22.8913673719376</v>
      </c>
    </row>
    <row r="940" customFormat="1" spans="1:31">
      <c r="A940" s="19"/>
      <c r="B940" s="20"/>
      <c r="C940" s="21">
        <v>241024000028</v>
      </c>
      <c r="D940" s="22">
        <v>45598</v>
      </c>
      <c r="E940" s="22" t="s">
        <v>66</v>
      </c>
      <c r="F940" s="20" t="s">
        <v>67</v>
      </c>
      <c r="G940" s="20" t="s">
        <v>571</v>
      </c>
      <c r="H940" s="20">
        <v>8</v>
      </c>
      <c r="I940" s="39">
        <v>600</v>
      </c>
      <c r="J940" s="40"/>
      <c r="K940" s="41"/>
      <c r="L940" s="40"/>
      <c r="M940" s="41"/>
      <c r="N940" s="42"/>
      <c r="O940" s="43">
        <f t="shared" si="524"/>
        <v>600</v>
      </c>
      <c r="P940" s="45"/>
      <c r="Q940" s="45"/>
      <c r="R940" s="69">
        <f t="shared" si="521"/>
        <v>457.879732739421</v>
      </c>
      <c r="S940" s="69"/>
      <c r="T940" s="70">
        <f t="shared" si="522"/>
        <v>0.534521158129176</v>
      </c>
      <c r="U940" s="69"/>
      <c r="V940" s="69"/>
      <c r="W940" s="71">
        <f t="shared" si="518"/>
        <v>458.41425389755</v>
      </c>
      <c r="X940" s="72">
        <f t="shared" si="523"/>
        <v>5.40855233853007</v>
      </c>
      <c r="Y940" s="72"/>
      <c r="Z940" s="72"/>
      <c r="AA940" s="72">
        <f t="shared" si="519"/>
        <v>5.40855233853007</v>
      </c>
      <c r="AB940" s="81">
        <v>7.11</v>
      </c>
      <c r="AC940" s="69">
        <f t="shared" si="516"/>
        <v>38.4548071269488</v>
      </c>
      <c r="AD940" s="69">
        <f t="shared" si="520"/>
        <v>496.869061024499</v>
      </c>
      <c r="AE940" s="69">
        <f t="shared" si="513"/>
        <v>103.130938975501</v>
      </c>
    </row>
    <row r="941" customFormat="1" spans="1:31">
      <c r="A941" s="19"/>
      <c r="B941" s="20"/>
      <c r="C941" s="21">
        <v>241024000034</v>
      </c>
      <c r="D941" s="22">
        <v>45598</v>
      </c>
      <c r="E941" s="22" t="s">
        <v>55</v>
      </c>
      <c r="F941" s="20" t="s">
        <v>56</v>
      </c>
      <c r="G941" s="20" t="s">
        <v>258</v>
      </c>
      <c r="H941" s="20">
        <v>1.5</v>
      </c>
      <c r="I941" s="39">
        <v>183.95</v>
      </c>
      <c r="J941" s="40"/>
      <c r="K941" s="41"/>
      <c r="L941" s="40"/>
      <c r="M941" s="41"/>
      <c r="N941" s="42"/>
      <c r="O941" s="43">
        <f t="shared" si="524"/>
        <v>183.95</v>
      </c>
      <c r="P941" s="45"/>
      <c r="Q941" s="45"/>
      <c r="R941" s="69">
        <f t="shared" si="521"/>
        <v>85.8524498886414</v>
      </c>
      <c r="S941" s="69"/>
      <c r="T941" s="70">
        <f t="shared" si="522"/>
        <v>0.10022271714922</v>
      </c>
      <c r="U941" s="69"/>
      <c r="V941" s="69"/>
      <c r="W941" s="71">
        <f t="shared" si="518"/>
        <v>85.9526726057907</v>
      </c>
      <c r="X941" s="72">
        <f t="shared" si="523"/>
        <v>1.01410356347439</v>
      </c>
      <c r="Y941" s="72"/>
      <c r="Z941" s="72"/>
      <c r="AA941" s="72">
        <f t="shared" si="519"/>
        <v>1.01410356347439</v>
      </c>
      <c r="AB941" s="81">
        <v>7.11</v>
      </c>
      <c r="AC941" s="69">
        <f t="shared" si="516"/>
        <v>7.2102763363029</v>
      </c>
      <c r="AD941" s="69">
        <f t="shared" si="520"/>
        <v>93.1629489420935</v>
      </c>
      <c r="AE941" s="69">
        <f t="shared" si="513"/>
        <v>90.7870510579064</v>
      </c>
    </row>
    <row r="942" customFormat="1" spans="1:31">
      <c r="A942" s="19"/>
      <c r="B942" s="20"/>
      <c r="C942" s="21">
        <v>241024000039</v>
      </c>
      <c r="D942" s="22">
        <v>45598</v>
      </c>
      <c r="E942" s="22" t="s">
        <v>37</v>
      </c>
      <c r="F942" s="20" t="s">
        <v>38</v>
      </c>
      <c r="G942" s="20" t="s">
        <v>108</v>
      </c>
      <c r="H942" s="20">
        <v>0.6</v>
      </c>
      <c r="I942" s="39">
        <v>72.6</v>
      </c>
      <c r="J942" s="40"/>
      <c r="K942" s="41"/>
      <c r="L942" s="40"/>
      <c r="M942" s="41"/>
      <c r="N942" s="42"/>
      <c r="O942" s="43">
        <f t="shared" si="524"/>
        <v>72.6</v>
      </c>
      <c r="P942" s="45"/>
      <c r="Q942" s="45"/>
      <c r="R942" s="69">
        <f t="shared" si="521"/>
        <v>34.3409799554566</v>
      </c>
      <c r="S942" s="69"/>
      <c r="T942" s="70">
        <f t="shared" si="522"/>
        <v>0.0400890868596882</v>
      </c>
      <c r="U942" s="69"/>
      <c r="V942" s="69"/>
      <c r="W942" s="71">
        <f t="shared" si="518"/>
        <v>34.3810690423163</v>
      </c>
      <c r="X942" s="72">
        <f t="shared" si="523"/>
        <v>0.405641425389755</v>
      </c>
      <c r="Y942" s="72"/>
      <c r="Z942" s="72"/>
      <c r="AA942" s="72">
        <f t="shared" si="519"/>
        <v>0.405641425389755</v>
      </c>
      <c r="AB942" s="81">
        <v>7.11</v>
      </c>
      <c r="AC942" s="69">
        <f t="shared" si="516"/>
        <v>2.88411053452116</v>
      </c>
      <c r="AD942" s="69">
        <f t="shared" si="520"/>
        <v>37.2651795768374</v>
      </c>
      <c r="AE942" s="69">
        <f t="shared" si="513"/>
        <v>35.3348204231626</v>
      </c>
    </row>
    <row r="943" customFormat="1" spans="1:31">
      <c r="A943" s="19"/>
      <c r="B943" s="20"/>
      <c r="C943" s="21">
        <v>241024000040</v>
      </c>
      <c r="D943" s="22">
        <v>45598</v>
      </c>
      <c r="E943" s="22" t="s">
        <v>37</v>
      </c>
      <c r="F943" s="20" t="s">
        <v>38</v>
      </c>
      <c r="G943" s="20" t="s">
        <v>503</v>
      </c>
      <c r="H943" s="20">
        <v>6</v>
      </c>
      <c r="I943" s="87">
        <v>422</v>
      </c>
      <c r="J943" s="40"/>
      <c r="K943" s="41"/>
      <c r="L943" s="40"/>
      <c r="M943" s="41"/>
      <c r="N943" s="42"/>
      <c r="O943" s="43">
        <f>SUBTOTAL(9,I943)</f>
        <v>422</v>
      </c>
      <c r="P943" s="45"/>
      <c r="Q943" s="45"/>
      <c r="R943" s="69">
        <f t="shared" si="521"/>
        <v>343.409799554566</v>
      </c>
      <c r="S943" s="69"/>
      <c r="T943" s="70">
        <f t="shared" si="522"/>
        <v>0.400890868596882</v>
      </c>
      <c r="U943" s="69"/>
      <c r="V943" s="69"/>
      <c r="W943" s="71">
        <f t="shared" si="518"/>
        <v>343.810690423163</v>
      </c>
      <c r="X943" s="72">
        <f t="shared" si="523"/>
        <v>4.05641425389755</v>
      </c>
      <c r="Y943" s="72"/>
      <c r="Z943" s="72"/>
      <c r="AA943" s="72">
        <f t="shared" si="519"/>
        <v>4.05641425389755</v>
      </c>
      <c r="AB943" s="81">
        <v>7.11</v>
      </c>
      <c r="AC943" s="69">
        <f t="shared" si="516"/>
        <v>28.8411053452116</v>
      </c>
      <c r="AD943" s="69">
        <f t="shared" si="520"/>
        <v>372.651795768374</v>
      </c>
      <c r="AE943" s="69">
        <f t="shared" si="513"/>
        <v>49.348204231626</v>
      </c>
    </row>
    <row r="944" customFormat="1" spans="1:31">
      <c r="A944" s="19"/>
      <c r="B944" s="20"/>
      <c r="C944" s="21">
        <v>241024000042</v>
      </c>
      <c r="D944" s="22">
        <v>45598</v>
      </c>
      <c r="E944" s="22" t="s">
        <v>37</v>
      </c>
      <c r="F944" s="20" t="s">
        <v>38</v>
      </c>
      <c r="G944" s="20" t="s">
        <v>179</v>
      </c>
      <c r="H944" s="20">
        <v>3</v>
      </c>
      <c r="I944" s="50"/>
      <c r="J944" s="46">
        <v>65856</v>
      </c>
      <c r="K944" s="41"/>
      <c r="L944" s="47">
        <f>SUM(J944/M944)</f>
        <v>1742.22222222222</v>
      </c>
      <c r="M944" s="48">
        <v>37.8</v>
      </c>
      <c r="N944" s="42">
        <v>7.11</v>
      </c>
      <c r="O944" s="43">
        <f>SUM(M944*N944)</f>
        <v>268.758</v>
      </c>
      <c r="P944" s="45"/>
      <c r="Q944" s="45"/>
      <c r="R944" s="69">
        <f t="shared" si="521"/>
        <v>171.704899777283</v>
      </c>
      <c r="S944" s="69"/>
      <c r="T944" s="70">
        <f t="shared" si="522"/>
        <v>0.200445434298441</v>
      </c>
      <c r="U944" s="69"/>
      <c r="V944" s="69"/>
      <c r="W944" s="71">
        <f t="shared" si="518"/>
        <v>171.905345211581</v>
      </c>
      <c r="X944" s="72">
        <f t="shared" si="523"/>
        <v>2.02820712694878</v>
      </c>
      <c r="Y944" s="72"/>
      <c r="Z944" s="72"/>
      <c r="AA944" s="72">
        <f t="shared" si="519"/>
        <v>2.02820712694878</v>
      </c>
      <c r="AB944" s="81">
        <v>7.11</v>
      </c>
      <c r="AC944" s="69">
        <f t="shared" si="516"/>
        <v>14.4205526726058</v>
      </c>
      <c r="AD944" s="69">
        <f t="shared" si="520"/>
        <v>186.325897884187</v>
      </c>
      <c r="AE944" s="69">
        <f t="shared" si="513"/>
        <v>82.4321021158129</v>
      </c>
    </row>
    <row r="945" customFormat="1" spans="1:31">
      <c r="A945" s="19"/>
      <c r="B945" s="20"/>
      <c r="C945" s="21">
        <v>241024000043</v>
      </c>
      <c r="D945" s="22">
        <v>45598</v>
      </c>
      <c r="E945" s="22" t="s">
        <v>37</v>
      </c>
      <c r="F945" s="20" t="s">
        <v>38</v>
      </c>
      <c r="G945" s="20" t="s">
        <v>572</v>
      </c>
      <c r="H945" s="20">
        <v>15</v>
      </c>
      <c r="I945" s="39">
        <v>996.6</v>
      </c>
      <c r="J945" s="40"/>
      <c r="K945" s="41"/>
      <c r="L945" s="40"/>
      <c r="M945" s="41"/>
      <c r="N945" s="42"/>
      <c r="O945" s="43">
        <f t="shared" ref="O945:O963" si="525">SUM(I945)</f>
        <v>996.6</v>
      </c>
      <c r="P945" s="45"/>
      <c r="Q945" s="45"/>
      <c r="R945" s="69">
        <f t="shared" si="521"/>
        <v>858.524498886414</v>
      </c>
      <c r="S945" s="69"/>
      <c r="T945" s="70">
        <f t="shared" si="522"/>
        <v>1.00222717149221</v>
      </c>
      <c r="U945" s="69"/>
      <c r="V945" s="69"/>
      <c r="W945" s="71">
        <f t="shared" si="518"/>
        <v>859.526726057906</v>
      </c>
      <c r="X945" s="72">
        <f t="shared" si="523"/>
        <v>10.1410356347439</v>
      </c>
      <c r="Y945" s="72"/>
      <c r="Z945" s="72"/>
      <c r="AA945" s="72">
        <f t="shared" si="519"/>
        <v>10.1410356347439</v>
      </c>
      <c r="AB945" s="81">
        <v>7.11</v>
      </c>
      <c r="AC945" s="69">
        <f t="shared" si="516"/>
        <v>72.102763363029</v>
      </c>
      <c r="AD945" s="69">
        <f t="shared" si="520"/>
        <v>931.629489420935</v>
      </c>
      <c r="AE945" s="69">
        <f t="shared" si="513"/>
        <v>64.9705105790646</v>
      </c>
    </row>
    <row r="946" customFormat="1" spans="1:31">
      <c r="A946" s="19"/>
      <c r="B946" s="20"/>
      <c r="C946" s="21">
        <v>241024000046</v>
      </c>
      <c r="D946" s="22">
        <v>45598</v>
      </c>
      <c r="E946" s="22" t="s">
        <v>37</v>
      </c>
      <c r="F946" s="20" t="s">
        <v>38</v>
      </c>
      <c r="G946" s="20" t="s">
        <v>521</v>
      </c>
      <c r="H946" s="20">
        <v>0.51</v>
      </c>
      <c r="I946" s="39">
        <v>79.2</v>
      </c>
      <c r="J946" s="40"/>
      <c r="K946" s="41"/>
      <c r="L946" s="40"/>
      <c r="M946" s="41"/>
      <c r="N946" s="42"/>
      <c r="O946" s="43">
        <f t="shared" si="525"/>
        <v>79.2</v>
      </c>
      <c r="P946" s="45"/>
      <c r="Q946" s="45"/>
      <c r="R946" s="69">
        <f t="shared" si="521"/>
        <v>29.1898329621381</v>
      </c>
      <c r="S946" s="69"/>
      <c r="T946" s="70">
        <f t="shared" si="522"/>
        <v>0.034075723830735</v>
      </c>
      <c r="U946" s="69"/>
      <c r="V946" s="69"/>
      <c r="W946" s="71">
        <f t="shared" si="518"/>
        <v>29.2239086859688</v>
      </c>
      <c r="X946" s="72">
        <f t="shared" si="523"/>
        <v>0.344795211581292</v>
      </c>
      <c r="Y946" s="72"/>
      <c r="Z946" s="72"/>
      <c r="AA946" s="72">
        <f t="shared" si="519"/>
        <v>0.344795211581292</v>
      </c>
      <c r="AB946" s="81">
        <v>7.11</v>
      </c>
      <c r="AC946" s="69">
        <f t="shared" si="516"/>
        <v>2.45149395434298</v>
      </c>
      <c r="AD946" s="69">
        <f t="shared" si="520"/>
        <v>31.6754026403118</v>
      </c>
      <c r="AE946" s="69">
        <f t="shared" si="513"/>
        <v>47.5245973596882</v>
      </c>
    </row>
    <row r="947" customFormat="1" spans="1:31">
      <c r="A947" s="19"/>
      <c r="B947" s="20"/>
      <c r="C947" s="21">
        <v>241024000055</v>
      </c>
      <c r="D947" s="22">
        <v>45598</v>
      </c>
      <c r="E947" s="22" t="s">
        <v>47</v>
      </c>
      <c r="F947" s="20" t="s">
        <v>47</v>
      </c>
      <c r="G947" s="20" t="s">
        <v>573</v>
      </c>
      <c r="H947" s="20">
        <v>43.5</v>
      </c>
      <c r="I947" s="43"/>
      <c r="J947" s="46">
        <v>660483</v>
      </c>
      <c r="K947" s="41"/>
      <c r="L947" s="47">
        <f>SUM(J947/M947)</f>
        <v>1745.00132100396</v>
      </c>
      <c r="M947" s="48">
        <v>378.5</v>
      </c>
      <c r="N947" s="42">
        <v>7.11</v>
      </c>
      <c r="O947" s="43">
        <f>SUM(M947*N947)</f>
        <v>2691.135</v>
      </c>
      <c r="P947" s="45"/>
      <c r="Q947" s="45"/>
      <c r="R947" s="69">
        <f t="shared" si="521"/>
        <v>2489.7210467706</v>
      </c>
      <c r="S947" s="69"/>
      <c r="T947" s="70">
        <f t="shared" si="522"/>
        <v>2.90645879732739</v>
      </c>
      <c r="U947" s="69"/>
      <c r="V947" s="69"/>
      <c r="W947" s="71">
        <f t="shared" si="518"/>
        <v>2492.62750556793</v>
      </c>
      <c r="X947" s="72">
        <f t="shared" si="523"/>
        <v>29.4090033407572</v>
      </c>
      <c r="Y947" s="72"/>
      <c r="Z947" s="72"/>
      <c r="AA947" s="72">
        <f t="shared" si="519"/>
        <v>29.4090033407572</v>
      </c>
      <c r="AB947" s="81">
        <v>7.11</v>
      </c>
      <c r="AC947" s="69">
        <f t="shared" si="516"/>
        <v>209.098013752784</v>
      </c>
      <c r="AD947" s="69">
        <f t="shared" si="520"/>
        <v>2701.72551932071</v>
      </c>
      <c r="AE947" s="69">
        <f t="shared" si="513"/>
        <v>-10.5905193207127</v>
      </c>
    </row>
    <row r="948" customFormat="1" spans="1:31">
      <c r="A948" s="19"/>
      <c r="B948" s="20"/>
      <c r="C948" s="21">
        <v>241024000056</v>
      </c>
      <c r="D948" s="22">
        <v>45598</v>
      </c>
      <c r="E948" s="22" t="s">
        <v>88</v>
      </c>
      <c r="F948" s="20" t="s">
        <v>89</v>
      </c>
      <c r="G948" s="20" t="s">
        <v>90</v>
      </c>
      <c r="H948" s="20">
        <v>12</v>
      </c>
      <c r="I948" s="39">
        <v>798.6</v>
      </c>
      <c r="J948" s="40"/>
      <c r="K948" s="41"/>
      <c r="L948" s="40"/>
      <c r="M948" s="41"/>
      <c r="N948" s="42"/>
      <c r="O948" s="43">
        <f t="shared" si="525"/>
        <v>798.6</v>
      </c>
      <c r="P948" s="45"/>
      <c r="Q948" s="45"/>
      <c r="R948" s="69">
        <f t="shared" si="521"/>
        <v>686.819599109131</v>
      </c>
      <c r="S948" s="69"/>
      <c r="T948" s="70">
        <f t="shared" si="522"/>
        <v>0.801781737193764</v>
      </c>
      <c r="U948" s="69"/>
      <c r="V948" s="69"/>
      <c r="W948" s="71">
        <f t="shared" si="518"/>
        <v>687.621380846325</v>
      </c>
      <c r="X948" s="72">
        <f t="shared" si="523"/>
        <v>8.1128285077951</v>
      </c>
      <c r="Y948" s="72"/>
      <c r="Z948" s="72"/>
      <c r="AA948" s="72">
        <f t="shared" si="519"/>
        <v>8.1128285077951</v>
      </c>
      <c r="AB948" s="81">
        <v>7.11</v>
      </c>
      <c r="AC948" s="69">
        <f t="shared" si="516"/>
        <v>57.6822106904232</v>
      </c>
      <c r="AD948" s="69">
        <f t="shared" si="520"/>
        <v>745.303591536748</v>
      </c>
      <c r="AE948" s="69">
        <f t="shared" si="513"/>
        <v>53.2964084632516</v>
      </c>
    </row>
    <row r="949" customFormat="1" spans="1:31">
      <c r="A949" s="19"/>
      <c r="B949" s="20"/>
      <c r="C949" s="21">
        <v>241025000001</v>
      </c>
      <c r="D949" s="22">
        <v>45598</v>
      </c>
      <c r="E949" s="22" t="s">
        <v>66</v>
      </c>
      <c r="F949" s="20" t="s">
        <v>67</v>
      </c>
      <c r="G949" s="20" t="s">
        <v>574</v>
      </c>
      <c r="H949" s="20">
        <v>1.5</v>
      </c>
      <c r="I949" s="39">
        <v>117.15</v>
      </c>
      <c r="J949" s="40"/>
      <c r="K949" s="41"/>
      <c r="L949" s="40"/>
      <c r="M949" s="41"/>
      <c r="N949" s="42"/>
      <c r="O949" s="43">
        <f t="shared" si="525"/>
        <v>117.15</v>
      </c>
      <c r="P949" s="45"/>
      <c r="Q949" s="45"/>
      <c r="R949" s="69">
        <f t="shared" si="521"/>
        <v>85.8524498886414</v>
      </c>
      <c r="S949" s="69"/>
      <c r="T949" s="70">
        <f t="shared" si="522"/>
        <v>0.10022271714922</v>
      </c>
      <c r="U949" s="69"/>
      <c r="V949" s="69"/>
      <c r="W949" s="71">
        <f t="shared" si="518"/>
        <v>85.9526726057907</v>
      </c>
      <c r="X949" s="72">
        <f t="shared" si="523"/>
        <v>1.01410356347439</v>
      </c>
      <c r="Y949" s="72"/>
      <c r="Z949" s="72"/>
      <c r="AA949" s="72">
        <f t="shared" si="519"/>
        <v>1.01410356347439</v>
      </c>
      <c r="AB949" s="81">
        <v>7.11</v>
      </c>
      <c r="AC949" s="69">
        <f t="shared" si="516"/>
        <v>7.2102763363029</v>
      </c>
      <c r="AD949" s="69">
        <f t="shared" si="520"/>
        <v>93.1629489420935</v>
      </c>
      <c r="AE949" s="69">
        <f t="shared" si="513"/>
        <v>23.9870510579065</v>
      </c>
    </row>
    <row r="950" customFormat="1" spans="1:31">
      <c r="A950" s="19"/>
      <c r="B950" s="20"/>
      <c r="C950" s="21">
        <v>241025000003</v>
      </c>
      <c r="D950" s="22">
        <v>45598</v>
      </c>
      <c r="E950" s="22" t="s">
        <v>66</v>
      </c>
      <c r="F950" s="20" t="s">
        <v>67</v>
      </c>
      <c r="G950" s="20" t="s">
        <v>575</v>
      </c>
      <c r="H950" s="20">
        <v>5.5</v>
      </c>
      <c r="I950" s="39">
        <v>415.8</v>
      </c>
      <c r="J950" s="40"/>
      <c r="K950" s="41"/>
      <c r="L950" s="40"/>
      <c r="M950" s="41"/>
      <c r="N950" s="42"/>
      <c r="O950" s="43">
        <f t="shared" si="525"/>
        <v>415.8</v>
      </c>
      <c r="P950" s="45"/>
      <c r="Q950" s="45"/>
      <c r="R950" s="69">
        <f t="shared" si="521"/>
        <v>314.792316258352</v>
      </c>
      <c r="S950" s="69"/>
      <c r="T950" s="70">
        <f t="shared" si="522"/>
        <v>0.367483296213808</v>
      </c>
      <c r="U950" s="69"/>
      <c r="V950" s="69"/>
      <c r="W950" s="71">
        <f t="shared" si="518"/>
        <v>315.159799554566</v>
      </c>
      <c r="X950" s="72">
        <f t="shared" si="523"/>
        <v>3.71837973273942</v>
      </c>
      <c r="Y950" s="72"/>
      <c r="Z950" s="72"/>
      <c r="AA950" s="72">
        <f t="shared" si="519"/>
        <v>3.71837973273942</v>
      </c>
      <c r="AB950" s="81">
        <v>7.11</v>
      </c>
      <c r="AC950" s="69">
        <f t="shared" si="516"/>
        <v>26.4376798997773</v>
      </c>
      <c r="AD950" s="69">
        <f t="shared" si="520"/>
        <v>341.597479454343</v>
      </c>
      <c r="AE950" s="69">
        <f t="shared" si="513"/>
        <v>74.202520545657</v>
      </c>
    </row>
    <row r="951" customFormat="1" spans="1:31">
      <c r="A951" s="19"/>
      <c r="B951" s="20"/>
      <c r="C951" s="21">
        <v>241025000006</v>
      </c>
      <c r="D951" s="22">
        <v>45598</v>
      </c>
      <c r="E951" s="22" t="s">
        <v>66</v>
      </c>
      <c r="F951" s="20" t="s">
        <v>67</v>
      </c>
      <c r="G951" s="20" t="s">
        <v>223</v>
      </c>
      <c r="H951" s="20">
        <v>18</v>
      </c>
      <c r="I951" s="39">
        <v>1152</v>
      </c>
      <c r="J951" s="40"/>
      <c r="K951" s="41"/>
      <c r="L951" s="40"/>
      <c r="M951" s="41"/>
      <c r="N951" s="42"/>
      <c r="O951" s="43">
        <f t="shared" si="525"/>
        <v>1152</v>
      </c>
      <c r="P951" s="45"/>
      <c r="Q951" s="45"/>
      <c r="R951" s="69">
        <f t="shared" si="521"/>
        <v>1030.2293986637</v>
      </c>
      <c r="S951" s="69"/>
      <c r="T951" s="70">
        <f t="shared" si="522"/>
        <v>1.20267260579065</v>
      </c>
      <c r="U951" s="69"/>
      <c r="V951" s="69"/>
      <c r="W951" s="71">
        <f t="shared" si="518"/>
        <v>1031.43207126949</v>
      </c>
      <c r="X951" s="72">
        <f t="shared" si="523"/>
        <v>12.1692427616927</v>
      </c>
      <c r="Y951" s="72"/>
      <c r="Z951" s="72"/>
      <c r="AA951" s="72">
        <f t="shared" si="519"/>
        <v>12.1692427616927</v>
      </c>
      <c r="AB951" s="81">
        <v>7.11</v>
      </c>
      <c r="AC951" s="69">
        <f t="shared" si="516"/>
        <v>86.5233160356347</v>
      </c>
      <c r="AD951" s="69">
        <f t="shared" si="520"/>
        <v>1117.95538730512</v>
      </c>
      <c r="AE951" s="69">
        <f t="shared" si="513"/>
        <v>34.0446126948775</v>
      </c>
    </row>
    <row r="952" customFormat="1" spans="1:31">
      <c r="A952" s="19"/>
      <c r="B952" s="20"/>
      <c r="C952" s="82">
        <v>241025000007</v>
      </c>
      <c r="D952" s="83">
        <v>45598</v>
      </c>
      <c r="E952" s="22" t="s">
        <v>41</v>
      </c>
      <c r="F952" s="84" t="s">
        <v>42</v>
      </c>
      <c r="G952" s="84" t="s">
        <v>553</v>
      </c>
      <c r="H952" s="84">
        <v>9.5</v>
      </c>
      <c r="I952" s="88">
        <v>696.3</v>
      </c>
      <c r="J952" s="40"/>
      <c r="K952" s="41"/>
      <c r="L952" s="40"/>
      <c r="M952" s="41"/>
      <c r="N952" s="42"/>
      <c r="O952" s="43">
        <f t="shared" si="525"/>
        <v>696.3</v>
      </c>
      <c r="P952" s="45"/>
      <c r="Q952" s="45"/>
      <c r="R952" s="69">
        <f t="shared" si="521"/>
        <v>543.732182628062</v>
      </c>
      <c r="S952" s="69"/>
      <c r="T952" s="70">
        <f t="shared" si="522"/>
        <v>0.634743875278396</v>
      </c>
      <c r="U952" s="69"/>
      <c r="V952" s="69"/>
      <c r="W952" s="71">
        <f t="shared" si="518"/>
        <v>544.366926503341</v>
      </c>
      <c r="X952" s="72">
        <f t="shared" si="523"/>
        <v>6.42265590200445</v>
      </c>
      <c r="Y952" s="72"/>
      <c r="Z952" s="72"/>
      <c r="AA952" s="72">
        <f t="shared" si="519"/>
        <v>6.42265590200445</v>
      </c>
      <c r="AB952" s="81">
        <v>7.11</v>
      </c>
      <c r="AC952" s="69">
        <f t="shared" si="516"/>
        <v>45.6650834632517</v>
      </c>
      <c r="AD952" s="69">
        <f t="shared" si="520"/>
        <v>590.032009966592</v>
      </c>
      <c r="AE952" s="69">
        <f t="shared" si="513"/>
        <v>106.267990033407</v>
      </c>
    </row>
    <row r="953" customFormat="1" spans="1:31">
      <c r="A953" s="19"/>
      <c r="B953" s="20"/>
      <c r="C953" s="21">
        <v>241025000010</v>
      </c>
      <c r="D953" s="22">
        <v>45598</v>
      </c>
      <c r="E953" s="22" t="s">
        <v>55</v>
      </c>
      <c r="F953" s="20" t="s">
        <v>56</v>
      </c>
      <c r="G953" s="20" t="s">
        <v>116</v>
      </c>
      <c r="H953" s="20">
        <v>3.5</v>
      </c>
      <c r="I953" s="39">
        <v>268.35</v>
      </c>
      <c r="J953" s="40"/>
      <c r="K953" s="41"/>
      <c r="L953" s="40"/>
      <c r="M953" s="41"/>
      <c r="N953" s="42"/>
      <c r="O953" s="43">
        <f t="shared" si="525"/>
        <v>268.35</v>
      </c>
      <c r="P953" s="45"/>
      <c r="Q953" s="45"/>
      <c r="R953" s="69">
        <f t="shared" si="521"/>
        <v>200.322383073497</v>
      </c>
      <c r="S953" s="69"/>
      <c r="T953" s="70">
        <f t="shared" si="522"/>
        <v>0.233853006681514</v>
      </c>
      <c r="U953" s="69"/>
      <c r="V953" s="69"/>
      <c r="W953" s="71">
        <f t="shared" si="518"/>
        <v>200.556236080178</v>
      </c>
      <c r="X953" s="72">
        <f t="shared" si="523"/>
        <v>2.3662416481069</v>
      </c>
      <c r="Y953" s="72"/>
      <c r="Z953" s="72"/>
      <c r="AA953" s="72">
        <f t="shared" si="519"/>
        <v>2.3662416481069</v>
      </c>
      <c r="AB953" s="81">
        <v>7.11</v>
      </c>
      <c r="AC953" s="69">
        <f t="shared" si="516"/>
        <v>16.8239781180401</v>
      </c>
      <c r="AD953" s="69">
        <f t="shared" si="520"/>
        <v>217.380214198218</v>
      </c>
      <c r="AE953" s="69">
        <f t="shared" si="513"/>
        <v>50.9697858017817</v>
      </c>
    </row>
    <row r="954" customFormat="1" spans="1:31">
      <c r="A954" s="19"/>
      <c r="B954" s="20"/>
      <c r="C954" s="21">
        <v>241025000011</v>
      </c>
      <c r="D954" s="22">
        <v>45598</v>
      </c>
      <c r="E954" s="22" t="s">
        <v>240</v>
      </c>
      <c r="F954" s="20" t="s">
        <v>241</v>
      </c>
      <c r="G954" s="20" t="s">
        <v>222</v>
      </c>
      <c r="H954" s="20">
        <v>261.5</v>
      </c>
      <c r="I954" s="39">
        <v>17805.75</v>
      </c>
      <c r="J954" s="40"/>
      <c r="K954" s="41"/>
      <c r="L954" s="40"/>
      <c r="M954" s="41"/>
      <c r="N954" s="42"/>
      <c r="O954" s="43">
        <f t="shared" si="525"/>
        <v>17805.75</v>
      </c>
      <c r="P954" s="45"/>
      <c r="Q954" s="45"/>
      <c r="R954" s="69">
        <f t="shared" si="521"/>
        <v>14966.9437639198</v>
      </c>
      <c r="S954" s="69"/>
      <c r="T954" s="70">
        <f t="shared" si="522"/>
        <v>17.4721603563474</v>
      </c>
      <c r="U954" s="69"/>
      <c r="V954" s="69"/>
      <c r="W954" s="71">
        <f t="shared" si="518"/>
        <v>14984.4159242762</v>
      </c>
      <c r="X954" s="72">
        <f t="shared" si="523"/>
        <v>176.792054565702</v>
      </c>
      <c r="Y954" s="72"/>
      <c r="Z954" s="72"/>
      <c r="AA954" s="72">
        <f t="shared" si="519"/>
        <v>176.792054565702</v>
      </c>
      <c r="AB954" s="81">
        <v>7.11</v>
      </c>
      <c r="AC954" s="69">
        <f t="shared" si="516"/>
        <v>1256.99150796214</v>
      </c>
      <c r="AD954" s="69">
        <f t="shared" si="520"/>
        <v>16241.4074322383</v>
      </c>
      <c r="AE954" s="69">
        <f t="shared" si="513"/>
        <v>1564.34256776169</v>
      </c>
    </row>
    <row r="955" customFormat="1" spans="1:31">
      <c r="A955" s="19"/>
      <c r="B955" s="20"/>
      <c r="C955" s="21">
        <v>241025000012</v>
      </c>
      <c r="D955" s="22">
        <v>45598</v>
      </c>
      <c r="E955" s="22" t="s">
        <v>37</v>
      </c>
      <c r="F955" s="20" t="s">
        <v>38</v>
      </c>
      <c r="G955" s="20" t="s">
        <v>576</v>
      </c>
      <c r="H955" s="20">
        <v>8</v>
      </c>
      <c r="I955" s="39">
        <v>534.6</v>
      </c>
      <c r="J955" s="40"/>
      <c r="K955" s="41"/>
      <c r="L955" s="40"/>
      <c r="M955" s="41"/>
      <c r="N955" s="42"/>
      <c r="O955" s="43">
        <f t="shared" si="525"/>
        <v>534.6</v>
      </c>
      <c r="P955" s="45"/>
      <c r="Q955" s="45"/>
      <c r="R955" s="69">
        <f t="shared" si="521"/>
        <v>457.879732739421</v>
      </c>
      <c r="S955" s="69"/>
      <c r="T955" s="70">
        <f t="shared" si="522"/>
        <v>0.534521158129176</v>
      </c>
      <c r="U955" s="69"/>
      <c r="V955" s="69"/>
      <c r="W955" s="71">
        <f t="shared" si="518"/>
        <v>458.41425389755</v>
      </c>
      <c r="X955" s="72">
        <f t="shared" si="523"/>
        <v>5.40855233853007</v>
      </c>
      <c r="Y955" s="72"/>
      <c r="Z955" s="72"/>
      <c r="AA955" s="72">
        <f t="shared" si="519"/>
        <v>5.40855233853007</v>
      </c>
      <c r="AB955" s="81">
        <v>7.11</v>
      </c>
      <c r="AC955" s="69">
        <f t="shared" si="516"/>
        <v>38.4548071269488</v>
      </c>
      <c r="AD955" s="69">
        <f t="shared" si="520"/>
        <v>496.869061024499</v>
      </c>
      <c r="AE955" s="69">
        <f t="shared" si="513"/>
        <v>37.7309389755011</v>
      </c>
    </row>
    <row r="956" customFormat="1" spans="1:31">
      <c r="A956" s="19"/>
      <c r="B956" s="20"/>
      <c r="C956" s="21">
        <v>241025000014</v>
      </c>
      <c r="D956" s="22">
        <v>45598</v>
      </c>
      <c r="E956" s="22" t="s">
        <v>66</v>
      </c>
      <c r="F956" s="20" t="s">
        <v>67</v>
      </c>
      <c r="G956" s="20" t="s">
        <v>460</v>
      </c>
      <c r="H956" s="20">
        <v>83.5</v>
      </c>
      <c r="I956" s="39">
        <v>5190</v>
      </c>
      <c r="J956" s="40"/>
      <c r="K956" s="41"/>
      <c r="L956" s="40"/>
      <c r="M956" s="41"/>
      <c r="N956" s="42"/>
      <c r="O956" s="43">
        <f t="shared" si="525"/>
        <v>5190</v>
      </c>
      <c r="P956" s="45"/>
      <c r="Q956" s="45"/>
      <c r="R956" s="69">
        <f t="shared" si="521"/>
        <v>4779.11971046771</v>
      </c>
      <c r="S956" s="69"/>
      <c r="T956" s="70">
        <f t="shared" si="522"/>
        <v>5.57906458797327</v>
      </c>
      <c r="U956" s="70">
        <v>180</v>
      </c>
      <c r="V956" s="69"/>
      <c r="W956" s="71">
        <f t="shared" si="518"/>
        <v>4964.69877505568</v>
      </c>
      <c r="X956" s="72">
        <f t="shared" si="523"/>
        <v>56.4517650334076</v>
      </c>
      <c r="Y956" s="72"/>
      <c r="Z956" s="72"/>
      <c r="AA956" s="72">
        <f t="shared" si="519"/>
        <v>56.4517650334076</v>
      </c>
      <c r="AB956" s="81">
        <v>7.11</v>
      </c>
      <c r="AC956" s="69">
        <f t="shared" si="516"/>
        <v>401.372049387528</v>
      </c>
      <c r="AD956" s="69">
        <f t="shared" si="520"/>
        <v>5366.07082444321</v>
      </c>
      <c r="AE956" s="69">
        <f t="shared" si="513"/>
        <v>-176.070824443207</v>
      </c>
    </row>
    <row r="957" customFormat="1" spans="1:31">
      <c r="A957" s="19"/>
      <c r="B957" s="20"/>
      <c r="C957" s="21">
        <v>241025000016</v>
      </c>
      <c r="D957" s="22">
        <v>45598</v>
      </c>
      <c r="E957" s="22" t="s">
        <v>66</v>
      </c>
      <c r="F957" s="20" t="s">
        <v>67</v>
      </c>
      <c r="G957" s="20" t="s">
        <v>151</v>
      </c>
      <c r="H957" s="20">
        <v>2.5</v>
      </c>
      <c r="I957" s="39">
        <v>175.5</v>
      </c>
      <c r="J957" s="40"/>
      <c r="K957" s="41"/>
      <c r="L957" s="40"/>
      <c r="M957" s="41"/>
      <c r="N957" s="42"/>
      <c r="O957" s="43">
        <f t="shared" si="525"/>
        <v>175.5</v>
      </c>
      <c r="P957" s="45"/>
      <c r="Q957" s="45"/>
      <c r="R957" s="69">
        <f t="shared" si="521"/>
        <v>143.087416481069</v>
      </c>
      <c r="S957" s="69"/>
      <c r="T957" s="70">
        <f t="shared" si="522"/>
        <v>0.167037861915368</v>
      </c>
      <c r="U957" s="69"/>
      <c r="V957" s="69"/>
      <c r="W957" s="71">
        <f t="shared" si="518"/>
        <v>143.254454342984</v>
      </c>
      <c r="X957" s="72">
        <f t="shared" si="523"/>
        <v>1.69017260579065</v>
      </c>
      <c r="Y957" s="72"/>
      <c r="Z957" s="72"/>
      <c r="AA957" s="72">
        <f t="shared" si="519"/>
        <v>1.69017260579065</v>
      </c>
      <c r="AB957" s="81">
        <v>7.11</v>
      </c>
      <c r="AC957" s="69">
        <f t="shared" si="516"/>
        <v>12.0171272271715</v>
      </c>
      <c r="AD957" s="69">
        <f t="shared" si="520"/>
        <v>155.271581570156</v>
      </c>
      <c r="AE957" s="69">
        <f t="shared" si="513"/>
        <v>20.2284184298441</v>
      </c>
    </row>
    <row r="958" customFormat="1" spans="1:31">
      <c r="A958" s="19"/>
      <c r="B958" s="20"/>
      <c r="C958" s="21">
        <v>241025000018</v>
      </c>
      <c r="D958" s="22">
        <v>45598</v>
      </c>
      <c r="E958" s="22" t="s">
        <v>55</v>
      </c>
      <c r="F958" s="20" t="s">
        <v>56</v>
      </c>
      <c r="G958" s="20" t="s">
        <v>152</v>
      </c>
      <c r="H958" s="20">
        <v>10.5</v>
      </c>
      <c r="I958" s="39">
        <v>636</v>
      </c>
      <c r="J958" s="40"/>
      <c r="K958" s="41"/>
      <c r="L958" s="40"/>
      <c r="M958" s="41"/>
      <c r="N958" s="42"/>
      <c r="O958" s="43">
        <f t="shared" si="525"/>
        <v>636</v>
      </c>
      <c r="P958" s="45"/>
      <c r="Q958" s="45"/>
      <c r="R958" s="69">
        <f t="shared" si="521"/>
        <v>600.96714922049</v>
      </c>
      <c r="S958" s="69"/>
      <c r="T958" s="70">
        <f t="shared" si="522"/>
        <v>0.701559020044544</v>
      </c>
      <c r="U958" s="69"/>
      <c r="V958" s="69"/>
      <c r="W958" s="71">
        <f t="shared" si="518"/>
        <v>601.668708240535</v>
      </c>
      <c r="X958" s="72">
        <f t="shared" si="523"/>
        <v>7.09872494432071</v>
      </c>
      <c r="Y958" s="72"/>
      <c r="Z958" s="72"/>
      <c r="AA958" s="72">
        <f t="shared" si="519"/>
        <v>7.09872494432071</v>
      </c>
      <c r="AB958" s="81">
        <v>7.11</v>
      </c>
      <c r="AC958" s="69">
        <f t="shared" si="516"/>
        <v>50.4719343541203</v>
      </c>
      <c r="AD958" s="69">
        <f t="shared" si="520"/>
        <v>652.140642594655</v>
      </c>
      <c r="AE958" s="69">
        <f t="shared" si="513"/>
        <v>-16.1406425946549</v>
      </c>
    </row>
    <row r="959" customFormat="1" spans="1:31">
      <c r="A959" s="19"/>
      <c r="B959" s="20"/>
      <c r="C959" s="21">
        <v>241025000019</v>
      </c>
      <c r="D959" s="22">
        <v>45598</v>
      </c>
      <c r="E959" s="22" t="s">
        <v>76</v>
      </c>
      <c r="F959" s="20" t="s">
        <v>77</v>
      </c>
      <c r="G959" s="20" t="s">
        <v>236</v>
      </c>
      <c r="H959" s="20">
        <v>7.5</v>
      </c>
      <c r="I959" s="39">
        <v>760.4</v>
      </c>
      <c r="J959" s="40"/>
      <c r="K959" s="41"/>
      <c r="L959" s="40"/>
      <c r="M959" s="41"/>
      <c r="N959" s="42"/>
      <c r="O959" s="43">
        <f t="shared" si="525"/>
        <v>760.4</v>
      </c>
      <c r="P959" s="45"/>
      <c r="Q959" s="45"/>
      <c r="R959" s="69">
        <f t="shared" si="521"/>
        <v>429.262249443207</v>
      </c>
      <c r="S959" s="69"/>
      <c r="T959" s="70">
        <f t="shared" si="522"/>
        <v>0.501113585746103</v>
      </c>
      <c r="U959" s="69"/>
      <c r="V959" s="69"/>
      <c r="W959" s="71">
        <f t="shared" si="518"/>
        <v>429.763363028953</v>
      </c>
      <c r="X959" s="72">
        <f t="shared" si="523"/>
        <v>5.07051781737194</v>
      </c>
      <c r="Y959" s="72">
        <v>17.15</v>
      </c>
      <c r="Z959" s="72"/>
      <c r="AA959" s="72">
        <f t="shared" si="519"/>
        <v>22.2205178173719</v>
      </c>
      <c r="AB959" s="81">
        <v>7.11</v>
      </c>
      <c r="AC959" s="69">
        <f t="shared" si="516"/>
        <v>157.987881681514</v>
      </c>
      <c r="AD959" s="69">
        <f t="shared" si="520"/>
        <v>587.751244710468</v>
      </c>
      <c r="AE959" s="69">
        <f t="shared" ref="AE959:AE1004" si="526">SUM(O959-AD959)</f>
        <v>172.648755289532</v>
      </c>
    </row>
    <row r="960" customFormat="1" spans="1:31">
      <c r="A960" s="19"/>
      <c r="B960" s="20"/>
      <c r="C960" s="21">
        <v>241025000021</v>
      </c>
      <c r="D960" s="22">
        <v>45598</v>
      </c>
      <c r="E960" s="22" t="s">
        <v>55</v>
      </c>
      <c r="F960" s="20" t="s">
        <v>56</v>
      </c>
      <c r="G960" s="20" t="s">
        <v>152</v>
      </c>
      <c r="H960" s="20">
        <v>10</v>
      </c>
      <c r="I960" s="39">
        <v>637</v>
      </c>
      <c r="J960" s="40"/>
      <c r="K960" s="41"/>
      <c r="L960" s="40"/>
      <c r="M960" s="41"/>
      <c r="N960" s="42"/>
      <c r="O960" s="43">
        <f t="shared" si="525"/>
        <v>637</v>
      </c>
      <c r="P960" s="45"/>
      <c r="Q960" s="45"/>
      <c r="R960" s="69">
        <f t="shared" si="521"/>
        <v>572.349665924276</v>
      </c>
      <c r="S960" s="69"/>
      <c r="T960" s="70">
        <f t="shared" si="522"/>
        <v>0.66815144766147</v>
      </c>
      <c r="U960" s="69"/>
      <c r="V960" s="69"/>
      <c r="W960" s="71">
        <f t="shared" si="518"/>
        <v>573.017817371938</v>
      </c>
      <c r="X960" s="72">
        <f t="shared" si="523"/>
        <v>6.76069042316258</v>
      </c>
      <c r="Y960" s="72"/>
      <c r="Z960" s="72"/>
      <c r="AA960" s="72">
        <f t="shared" si="519"/>
        <v>6.76069042316258</v>
      </c>
      <c r="AB960" s="81">
        <v>7.11</v>
      </c>
      <c r="AC960" s="69">
        <f t="shared" ref="AC960:AC1003" si="527">SUM(AA960*AB960)</f>
        <v>48.068508908686</v>
      </c>
      <c r="AD960" s="69">
        <f t="shared" si="520"/>
        <v>621.086326280624</v>
      </c>
      <c r="AE960" s="69">
        <f t="shared" si="526"/>
        <v>15.9136737193763</v>
      </c>
    </row>
    <row r="961" customFormat="1" spans="1:31">
      <c r="A961" s="19"/>
      <c r="B961" s="20"/>
      <c r="C961" s="21">
        <v>241025000023</v>
      </c>
      <c r="D961" s="22">
        <v>45598</v>
      </c>
      <c r="E961" s="22" t="s">
        <v>66</v>
      </c>
      <c r="F961" s="20" t="s">
        <v>67</v>
      </c>
      <c r="G961" s="20" t="s">
        <v>577</v>
      </c>
      <c r="H961" s="20">
        <v>18</v>
      </c>
      <c r="I961" s="39">
        <v>1313.4</v>
      </c>
      <c r="J961" s="40"/>
      <c r="K961" s="41"/>
      <c r="L961" s="40"/>
      <c r="M961" s="41"/>
      <c r="N961" s="42"/>
      <c r="O961" s="43">
        <f t="shared" si="525"/>
        <v>1313.4</v>
      </c>
      <c r="P961" s="45"/>
      <c r="Q961" s="45"/>
      <c r="R961" s="69">
        <f t="shared" si="521"/>
        <v>1030.2293986637</v>
      </c>
      <c r="S961" s="69"/>
      <c r="T961" s="70">
        <f t="shared" si="522"/>
        <v>1.20267260579065</v>
      </c>
      <c r="U961" s="69"/>
      <c r="V961" s="69"/>
      <c r="W961" s="71">
        <f t="shared" ref="W961:W1004" si="528">SUM(R961:V961)</f>
        <v>1031.43207126949</v>
      </c>
      <c r="X961" s="72">
        <f t="shared" si="523"/>
        <v>12.1692427616927</v>
      </c>
      <c r="Y961" s="72"/>
      <c r="Z961" s="72"/>
      <c r="AA961" s="72">
        <f t="shared" ref="AA961:AA1004" si="529">SUM(X961:Z961)</f>
        <v>12.1692427616927</v>
      </c>
      <c r="AB961" s="81">
        <v>7.11</v>
      </c>
      <c r="AC961" s="69">
        <f t="shared" si="527"/>
        <v>86.5233160356347</v>
      </c>
      <c r="AD961" s="69">
        <f t="shared" ref="AD961:AD1003" si="530">SUM(W961+AC961)</f>
        <v>1117.95538730512</v>
      </c>
      <c r="AE961" s="69">
        <f t="shared" si="526"/>
        <v>195.444612694878</v>
      </c>
    </row>
    <row r="962" customFormat="1" spans="1:31">
      <c r="A962" s="19"/>
      <c r="B962" s="20"/>
      <c r="C962" s="21">
        <v>241025000026</v>
      </c>
      <c r="D962" s="22">
        <v>45598</v>
      </c>
      <c r="E962" s="22" t="s">
        <v>47</v>
      </c>
      <c r="F962" s="20" t="s">
        <v>47</v>
      </c>
      <c r="G962" s="20" t="s">
        <v>578</v>
      </c>
      <c r="H962" s="20">
        <v>26</v>
      </c>
      <c r="I962" s="39">
        <v>2028</v>
      </c>
      <c r="J962" s="40"/>
      <c r="K962" s="41"/>
      <c r="L962" s="40"/>
      <c r="M962" s="41"/>
      <c r="N962" s="42"/>
      <c r="O962" s="43">
        <f t="shared" si="525"/>
        <v>2028</v>
      </c>
      <c r="P962" s="45"/>
      <c r="Q962" s="45"/>
      <c r="R962" s="69">
        <f t="shared" si="521"/>
        <v>1488.10913140312</v>
      </c>
      <c r="S962" s="69"/>
      <c r="T962" s="70">
        <f t="shared" si="522"/>
        <v>1.73719376391982</v>
      </c>
      <c r="U962" s="69"/>
      <c r="V962" s="69"/>
      <c r="W962" s="71">
        <f t="shared" si="528"/>
        <v>1489.84632516704</v>
      </c>
      <c r="X962" s="72">
        <f t="shared" si="523"/>
        <v>17.5777951002227</v>
      </c>
      <c r="Y962" s="72"/>
      <c r="Z962" s="72"/>
      <c r="AA962" s="72">
        <f t="shared" si="529"/>
        <v>17.5777951002227</v>
      </c>
      <c r="AB962" s="81">
        <v>7.11</v>
      </c>
      <c r="AC962" s="69">
        <f t="shared" si="527"/>
        <v>124.978123162584</v>
      </c>
      <c r="AD962" s="69">
        <f t="shared" si="530"/>
        <v>1614.82444832962</v>
      </c>
      <c r="AE962" s="69">
        <f t="shared" si="526"/>
        <v>413.175551670379</v>
      </c>
    </row>
    <row r="963" customFormat="1" spans="1:31">
      <c r="A963" s="19"/>
      <c r="B963" s="20"/>
      <c r="C963" s="21">
        <v>241025000027</v>
      </c>
      <c r="D963" s="22">
        <v>45598</v>
      </c>
      <c r="E963" s="22" t="s">
        <v>37</v>
      </c>
      <c r="F963" s="20" t="s">
        <v>38</v>
      </c>
      <c r="G963" s="20" t="s">
        <v>111</v>
      </c>
      <c r="H963" s="20">
        <v>2</v>
      </c>
      <c r="I963" s="39">
        <v>155.1</v>
      </c>
      <c r="J963" s="40"/>
      <c r="K963" s="41"/>
      <c r="L963" s="40"/>
      <c r="M963" s="41"/>
      <c r="N963" s="42"/>
      <c r="O963" s="43">
        <f t="shared" si="525"/>
        <v>155.1</v>
      </c>
      <c r="P963" s="45"/>
      <c r="Q963" s="45"/>
      <c r="R963" s="69">
        <f t="shared" si="521"/>
        <v>114.469933184855</v>
      </c>
      <c r="S963" s="69"/>
      <c r="T963" s="70">
        <f t="shared" si="522"/>
        <v>0.133630289532294</v>
      </c>
      <c r="U963" s="69"/>
      <c r="V963" s="69"/>
      <c r="W963" s="71">
        <f t="shared" si="528"/>
        <v>114.603563474388</v>
      </c>
      <c r="X963" s="72">
        <f t="shared" si="523"/>
        <v>1.35213808463252</v>
      </c>
      <c r="Y963" s="72"/>
      <c r="Z963" s="72"/>
      <c r="AA963" s="72">
        <f t="shared" si="529"/>
        <v>1.35213808463252</v>
      </c>
      <c r="AB963" s="81">
        <v>7.11</v>
      </c>
      <c r="AC963" s="69">
        <f t="shared" si="527"/>
        <v>9.61370178173719</v>
      </c>
      <c r="AD963" s="69">
        <f t="shared" si="530"/>
        <v>124.217265256125</v>
      </c>
      <c r="AE963" s="69">
        <f t="shared" si="526"/>
        <v>30.8827347438753</v>
      </c>
    </row>
    <row r="964" customFormat="1" spans="1:31">
      <c r="A964" s="19"/>
      <c r="B964" s="20"/>
      <c r="C964" s="21">
        <v>241025000028</v>
      </c>
      <c r="D964" s="22">
        <v>45598</v>
      </c>
      <c r="E964" s="22" t="s">
        <v>47</v>
      </c>
      <c r="F964" s="20" t="s">
        <v>47</v>
      </c>
      <c r="G964" s="20" t="s">
        <v>154</v>
      </c>
      <c r="H964" s="20">
        <v>4.5</v>
      </c>
      <c r="I964" s="43"/>
      <c r="J964" s="46">
        <v>85801</v>
      </c>
      <c r="K964" s="41"/>
      <c r="L964" s="47">
        <f t="shared" ref="L964:L966" si="531">SUM(J964/M964)</f>
        <v>1744.98670957955</v>
      </c>
      <c r="M964" s="48">
        <v>49.170002</v>
      </c>
      <c r="N964" s="42">
        <v>7.11</v>
      </c>
      <c r="O964" s="43">
        <f t="shared" ref="O964:O966" si="532">SUM(M964*N964)</f>
        <v>349.59871422</v>
      </c>
      <c r="P964" s="45"/>
      <c r="Q964" s="45"/>
      <c r="R964" s="69">
        <f t="shared" ref="R964:R1005" si="533">SUM(102794/1796)*H964</f>
        <v>257.557349665924</v>
      </c>
      <c r="S964" s="69"/>
      <c r="T964" s="70">
        <f t="shared" ref="T964:T1005" si="534">SUM(120/1796)*H964</f>
        <v>0.300668151447662</v>
      </c>
      <c r="U964" s="69"/>
      <c r="V964" s="69"/>
      <c r="W964" s="71">
        <f t="shared" si="528"/>
        <v>257.858017817372</v>
      </c>
      <c r="X964" s="72">
        <f t="shared" ref="X964:X1005" si="535">SUM(1214.22/1796)*H964</f>
        <v>3.04231069042316</v>
      </c>
      <c r="Y964" s="72"/>
      <c r="Z964" s="72"/>
      <c r="AA964" s="72">
        <f t="shared" si="529"/>
        <v>3.04231069042316</v>
      </c>
      <c r="AB964" s="81">
        <v>7.11</v>
      </c>
      <c r="AC964" s="69">
        <f t="shared" si="527"/>
        <v>21.6308290089087</v>
      </c>
      <c r="AD964" s="69">
        <f t="shared" si="530"/>
        <v>279.488846826281</v>
      </c>
      <c r="AE964" s="69">
        <f t="shared" si="526"/>
        <v>70.1098673937194</v>
      </c>
    </row>
    <row r="965" customFormat="1" spans="1:31">
      <c r="A965" s="19"/>
      <c r="B965" s="20"/>
      <c r="C965" s="21">
        <v>241025000029</v>
      </c>
      <c r="D965" s="22">
        <v>45598</v>
      </c>
      <c r="E965" s="22" t="s">
        <v>47</v>
      </c>
      <c r="F965" s="20" t="s">
        <v>47</v>
      </c>
      <c r="G965" s="20" t="s">
        <v>154</v>
      </c>
      <c r="H965" s="20">
        <v>5</v>
      </c>
      <c r="I965" s="43"/>
      <c r="J965" s="46">
        <v>95242</v>
      </c>
      <c r="K965" s="41"/>
      <c r="L965" s="47">
        <f t="shared" si="531"/>
        <v>1744.99823176981</v>
      </c>
      <c r="M965" s="48">
        <v>54.579998</v>
      </c>
      <c r="N965" s="42">
        <v>7.11</v>
      </c>
      <c r="O965" s="43">
        <f t="shared" si="532"/>
        <v>388.06378578</v>
      </c>
      <c r="P965" s="45"/>
      <c r="Q965" s="45"/>
      <c r="R965" s="69">
        <f t="shared" si="533"/>
        <v>286.174832962138</v>
      </c>
      <c r="S965" s="69"/>
      <c r="T965" s="70">
        <f t="shared" si="534"/>
        <v>0.334075723830735</v>
      </c>
      <c r="U965" s="69"/>
      <c r="V965" s="69"/>
      <c r="W965" s="71">
        <f t="shared" si="528"/>
        <v>286.508908685969</v>
      </c>
      <c r="X965" s="72">
        <f t="shared" si="535"/>
        <v>3.38034521158129</v>
      </c>
      <c r="Y965" s="72"/>
      <c r="Z965" s="72"/>
      <c r="AA965" s="72">
        <f t="shared" si="529"/>
        <v>3.38034521158129</v>
      </c>
      <c r="AB965" s="81">
        <v>7.11</v>
      </c>
      <c r="AC965" s="69">
        <f t="shared" si="527"/>
        <v>24.034254454343</v>
      </c>
      <c r="AD965" s="69">
        <f t="shared" si="530"/>
        <v>310.543163140312</v>
      </c>
      <c r="AE965" s="69">
        <f t="shared" si="526"/>
        <v>77.5206226396882</v>
      </c>
    </row>
    <row r="966" customFormat="1" spans="1:31">
      <c r="A966" s="19"/>
      <c r="B966" s="20"/>
      <c r="C966" s="21">
        <v>241025000033</v>
      </c>
      <c r="D966" s="22">
        <v>45598</v>
      </c>
      <c r="E966" s="22" t="s">
        <v>41</v>
      </c>
      <c r="F966" s="20" t="s">
        <v>42</v>
      </c>
      <c r="G966" s="20" t="s">
        <v>185</v>
      </c>
      <c r="H966" s="20">
        <v>9.5</v>
      </c>
      <c r="I966" s="50"/>
      <c r="J966" s="46">
        <v>195858</v>
      </c>
      <c r="K966" s="41"/>
      <c r="L966" s="47">
        <f t="shared" si="531"/>
        <v>1726.99056520589</v>
      </c>
      <c r="M966" s="48">
        <v>113.41</v>
      </c>
      <c r="N966" s="42">
        <v>7.11</v>
      </c>
      <c r="O966" s="43">
        <f t="shared" si="532"/>
        <v>806.3451</v>
      </c>
      <c r="P966" s="45"/>
      <c r="Q966" s="45"/>
      <c r="R966" s="69">
        <f t="shared" si="533"/>
        <v>543.732182628062</v>
      </c>
      <c r="S966" s="69"/>
      <c r="T966" s="70">
        <f t="shared" si="534"/>
        <v>0.634743875278396</v>
      </c>
      <c r="U966" s="69"/>
      <c r="V966" s="69"/>
      <c r="W966" s="71">
        <f t="shared" si="528"/>
        <v>544.366926503341</v>
      </c>
      <c r="X966" s="72">
        <f t="shared" si="535"/>
        <v>6.42265590200445</v>
      </c>
      <c r="Y966" s="72"/>
      <c r="Z966" s="72"/>
      <c r="AA966" s="72">
        <f t="shared" si="529"/>
        <v>6.42265590200445</v>
      </c>
      <c r="AB966" s="81">
        <v>7.11</v>
      </c>
      <c r="AC966" s="69">
        <f t="shared" si="527"/>
        <v>45.6650834632517</v>
      </c>
      <c r="AD966" s="69">
        <f t="shared" si="530"/>
        <v>590.032009966592</v>
      </c>
      <c r="AE966" s="69">
        <f t="shared" si="526"/>
        <v>216.313090033408</v>
      </c>
    </row>
    <row r="967" customFormat="1" spans="1:31">
      <c r="A967" s="19"/>
      <c r="B967" s="20"/>
      <c r="C967" s="21">
        <v>241025000038</v>
      </c>
      <c r="D967" s="22">
        <v>45598</v>
      </c>
      <c r="E967" s="22" t="s">
        <v>55</v>
      </c>
      <c r="F967" s="20" t="s">
        <v>56</v>
      </c>
      <c r="G967" s="20" t="s">
        <v>500</v>
      </c>
      <c r="H967" s="20">
        <v>0.36</v>
      </c>
      <c r="I967" s="39">
        <v>72</v>
      </c>
      <c r="J967" s="40"/>
      <c r="K967" s="41"/>
      <c r="L967" s="40"/>
      <c r="M967" s="41"/>
      <c r="N967" s="42"/>
      <c r="O967" s="43">
        <f t="shared" ref="O967:O977" si="536">SUM(I967)</f>
        <v>72</v>
      </c>
      <c r="P967" s="45"/>
      <c r="Q967" s="45"/>
      <c r="R967" s="69">
        <f t="shared" si="533"/>
        <v>20.6045879732739</v>
      </c>
      <c r="S967" s="69"/>
      <c r="T967" s="70">
        <f t="shared" si="534"/>
        <v>0.0240534521158129</v>
      </c>
      <c r="U967" s="69"/>
      <c r="V967" s="69"/>
      <c r="W967" s="71">
        <f t="shared" si="528"/>
        <v>20.6286414253898</v>
      </c>
      <c r="X967" s="72">
        <f t="shared" si="535"/>
        <v>0.243384855233853</v>
      </c>
      <c r="Y967" s="72"/>
      <c r="Z967" s="72"/>
      <c r="AA967" s="72">
        <f t="shared" si="529"/>
        <v>0.243384855233853</v>
      </c>
      <c r="AB967" s="81">
        <v>7.11</v>
      </c>
      <c r="AC967" s="69">
        <f t="shared" si="527"/>
        <v>1.7304663207127</v>
      </c>
      <c r="AD967" s="69">
        <f t="shared" si="530"/>
        <v>22.3591077461024</v>
      </c>
      <c r="AE967" s="69">
        <f t="shared" si="526"/>
        <v>49.6408922538976</v>
      </c>
    </row>
    <row r="968" customFormat="1" spans="1:31">
      <c r="A968" s="19"/>
      <c r="B968" s="20"/>
      <c r="C968" s="21">
        <v>241025000039</v>
      </c>
      <c r="D968" s="22">
        <v>45598</v>
      </c>
      <c r="E968" s="22" t="s">
        <v>37</v>
      </c>
      <c r="F968" s="20" t="s">
        <v>38</v>
      </c>
      <c r="G968" s="20" t="s">
        <v>579</v>
      </c>
      <c r="H968" s="20">
        <v>3</v>
      </c>
      <c r="I968" s="39">
        <v>231</v>
      </c>
      <c r="J968" s="40"/>
      <c r="K968" s="41"/>
      <c r="L968" s="40"/>
      <c r="M968" s="41"/>
      <c r="N968" s="42"/>
      <c r="O968" s="43">
        <f t="shared" si="536"/>
        <v>231</v>
      </c>
      <c r="P968" s="45"/>
      <c r="Q968" s="45"/>
      <c r="R968" s="69">
        <f t="shared" si="533"/>
        <v>171.704899777283</v>
      </c>
      <c r="S968" s="69"/>
      <c r="T968" s="70">
        <f t="shared" si="534"/>
        <v>0.200445434298441</v>
      </c>
      <c r="U968" s="69"/>
      <c r="V968" s="69"/>
      <c r="W968" s="71">
        <f t="shared" si="528"/>
        <v>171.905345211581</v>
      </c>
      <c r="X968" s="72">
        <f t="shared" si="535"/>
        <v>2.02820712694878</v>
      </c>
      <c r="Y968" s="72"/>
      <c r="Z968" s="72"/>
      <c r="AA968" s="72">
        <f t="shared" si="529"/>
        <v>2.02820712694878</v>
      </c>
      <c r="AB968" s="81">
        <v>7.11</v>
      </c>
      <c r="AC968" s="69">
        <f t="shared" si="527"/>
        <v>14.4205526726058</v>
      </c>
      <c r="AD968" s="69">
        <f t="shared" si="530"/>
        <v>186.325897884187</v>
      </c>
      <c r="AE968" s="69">
        <f t="shared" si="526"/>
        <v>44.6741021158129</v>
      </c>
    </row>
    <row r="969" customFormat="1" spans="1:31">
      <c r="A969" s="19"/>
      <c r="B969" s="20"/>
      <c r="C969" s="21">
        <v>241025000040</v>
      </c>
      <c r="D969" s="22">
        <v>45598</v>
      </c>
      <c r="E969" s="22" t="s">
        <v>37</v>
      </c>
      <c r="F969" s="20" t="s">
        <v>38</v>
      </c>
      <c r="G969" s="20" t="s">
        <v>396</v>
      </c>
      <c r="H969" s="20">
        <v>7</v>
      </c>
      <c r="I969" s="39">
        <v>455</v>
      </c>
      <c r="J969" s="40"/>
      <c r="K969" s="41"/>
      <c r="L969" s="40"/>
      <c r="M969" s="41"/>
      <c r="N969" s="42"/>
      <c r="O969" s="43">
        <f t="shared" si="536"/>
        <v>455</v>
      </c>
      <c r="P969" s="45"/>
      <c r="Q969" s="45"/>
      <c r="R969" s="69">
        <f t="shared" si="533"/>
        <v>400.644766146993</v>
      </c>
      <c r="S969" s="69"/>
      <c r="T969" s="70">
        <f t="shared" si="534"/>
        <v>0.467706013363029</v>
      </c>
      <c r="U969" s="69"/>
      <c r="V969" s="69"/>
      <c r="W969" s="71">
        <f t="shared" si="528"/>
        <v>401.112472160356</v>
      </c>
      <c r="X969" s="72">
        <f t="shared" si="535"/>
        <v>4.73248329621381</v>
      </c>
      <c r="Y969" s="72"/>
      <c r="Z969" s="72"/>
      <c r="AA969" s="72">
        <f t="shared" si="529"/>
        <v>4.73248329621381</v>
      </c>
      <c r="AB969" s="81">
        <v>7.11</v>
      </c>
      <c r="AC969" s="69">
        <f t="shared" si="527"/>
        <v>33.6479562360802</v>
      </c>
      <c r="AD969" s="69">
        <f t="shared" si="530"/>
        <v>434.760428396437</v>
      </c>
      <c r="AE969" s="69">
        <f t="shared" si="526"/>
        <v>20.2395716035634</v>
      </c>
    </row>
    <row r="970" customFormat="1" spans="1:31">
      <c r="A970" s="19"/>
      <c r="B970" s="20"/>
      <c r="C970" s="21">
        <v>241025000048</v>
      </c>
      <c r="D970" s="22">
        <v>45598</v>
      </c>
      <c r="E970" s="22" t="s">
        <v>66</v>
      </c>
      <c r="F970" s="20" t="s">
        <v>67</v>
      </c>
      <c r="G970" s="20" t="s">
        <v>223</v>
      </c>
      <c r="H970" s="20">
        <v>0.42</v>
      </c>
      <c r="I970" s="39">
        <v>68</v>
      </c>
      <c r="J970" s="40"/>
      <c r="K970" s="41"/>
      <c r="L970" s="40"/>
      <c r="M970" s="41"/>
      <c r="N970" s="42"/>
      <c r="O970" s="43">
        <f t="shared" si="536"/>
        <v>68</v>
      </c>
      <c r="P970" s="45"/>
      <c r="Q970" s="45"/>
      <c r="R970" s="69">
        <f t="shared" si="533"/>
        <v>24.0386859688196</v>
      </c>
      <c r="S970" s="69"/>
      <c r="T970" s="70">
        <f t="shared" si="534"/>
        <v>0.0280623608017817</v>
      </c>
      <c r="U970" s="69"/>
      <c r="V970" s="69"/>
      <c r="W970" s="71">
        <f t="shared" si="528"/>
        <v>24.0667483296214</v>
      </c>
      <c r="X970" s="72">
        <f t="shared" si="535"/>
        <v>0.283948997772829</v>
      </c>
      <c r="Y970" s="72"/>
      <c r="Z970" s="72"/>
      <c r="AA970" s="72">
        <f t="shared" si="529"/>
        <v>0.283948997772829</v>
      </c>
      <c r="AB970" s="81">
        <v>7.11</v>
      </c>
      <c r="AC970" s="69">
        <f t="shared" si="527"/>
        <v>2.01887737416481</v>
      </c>
      <c r="AD970" s="69">
        <f t="shared" si="530"/>
        <v>26.0856257037862</v>
      </c>
      <c r="AE970" s="69">
        <f t="shared" si="526"/>
        <v>41.9143742962138</v>
      </c>
    </row>
    <row r="971" customFormat="1" spans="1:31">
      <c r="A971" s="19"/>
      <c r="B971" s="20"/>
      <c r="C971" s="21">
        <v>241025000049</v>
      </c>
      <c r="D971" s="22">
        <v>45598</v>
      </c>
      <c r="E971" s="22" t="s">
        <v>37</v>
      </c>
      <c r="F971" s="20" t="s">
        <v>38</v>
      </c>
      <c r="G971" s="20" t="s">
        <v>580</v>
      </c>
      <c r="H971" s="20">
        <v>10</v>
      </c>
      <c r="I971" s="39">
        <v>666.6</v>
      </c>
      <c r="J971" s="40"/>
      <c r="K971" s="41"/>
      <c r="L971" s="40"/>
      <c r="M971" s="41"/>
      <c r="N971" s="42"/>
      <c r="O971" s="43">
        <f t="shared" si="536"/>
        <v>666.6</v>
      </c>
      <c r="P971" s="45"/>
      <c r="Q971" s="45"/>
      <c r="R971" s="69">
        <f t="shared" si="533"/>
        <v>572.349665924276</v>
      </c>
      <c r="S971" s="69"/>
      <c r="T971" s="70">
        <f t="shared" si="534"/>
        <v>0.66815144766147</v>
      </c>
      <c r="U971" s="69"/>
      <c r="V971" s="69"/>
      <c r="W971" s="71">
        <f t="shared" si="528"/>
        <v>573.017817371938</v>
      </c>
      <c r="X971" s="72">
        <f t="shared" si="535"/>
        <v>6.76069042316258</v>
      </c>
      <c r="Y971" s="72"/>
      <c r="Z971" s="72"/>
      <c r="AA971" s="72">
        <f t="shared" si="529"/>
        <v>6.76069042316258</v>
      </c>
      <c r="AB971" s="81">
        <v>7.11</v>
      </c>
      <c r="AC971" s="69">
        <f t="shared" si="527"/>
        <v>48.068508908686</v>
      </c>
      <c r="AD971" s="69">
        <f t="shared" si="530"/>
        <v>621.086326280624</v>
      </c>
      <c r="AE971" s="69">
        <f t="shared" si="526"/>
        <v>45.5136737193764</v>
      </c>
    </row>
    <row r="972" customFormat="1" spans="1:31">
      <c r="A972" s="19"/>
      <c r="B972" s="20"/>
      <c r="C972" s="21">
        <v>241025000057</v>
      </c>
      <c r="D972" s="22">
        <v>45598</v>
      </c>
      <c r="E972" s="22" t="s">
        <v>41</v>
      </c>
      <c r="F972" s="20" t="s">
        <v>42</v>
      </c>
      <c r="G972" s="20" t="s">
        <v>157</v>
      </c>
      <c r="H972" s="20">
        <v>5</v>
      </c>
      <c r="I972" s="39">
        <v>425.5</v>
      </c>
      <c r="J972" s="40"/>
      <c r="K972" s="41"/>
      <c r="L972" s="40"/>
      <c r="M972" s="41"/>
      <c r="N972" s="42"/>
      <c r="O972" s="43">
        <f t="shared" si="536"/>
        <v>425.5</v>
      </c>
      <c r="P972" s="45"/>
      <c r="Q972" s="45"/>
      <c r="R972" s="69">
        <f t="shared" si="533"/>
        <v>286.174832962138</v>
      </c>
      <c r="S972" s="69"/>
      <c r="T972" s="70">
        <f t="shared" si="534"/>
        <v>0.334075723830735</v>
      </c>
      <c r="U972" s="69"/>
      <c r="V972" s="69"/>
      <c r="W972" s="71">
        <f t="shared" si="528"/>
        <v>286.508908685969</v>
      </c>
      <c r="X972" s="72">
        <f t="shared" si="535"/>
        <v>3.38034521158129</v>
      </c>
      <c r="Y972" s="72"/>
      <c r="Z972" s="72"/>
      <c r="AA972" s="72">
        <f t="shared" si="529"/>
        <v>3.38034521158129</v>
      </c>
      <c r="AB972" s="81">
        <v>7.11</v>
      </c>
      <c r="AC972" s="69">
        <f t="shared" si="527"/>
        <v>24.034254454343</v>
      </c>
      <c r="AD972" s="69">
        <f t="shared" si="530"/>
        <v>310.543163140312</v>
      </c>
      <c r="AE972" s="69">
        <f t="shared" si="526"/>
        <v>114.956836859688</v>
      </c>
    </row>
    <row r="973" customFormat="1" spans="1:31">
      <c r="A973" s="19"/>
      <c r="B973" s="20"/>
      <c r="C973" s="21">
        <v>241025000061</v>
      </c>
      <c r="D973" s="22">
        <v>45598</v>
      </c>
      <c r="E973" s="22" t="s">
        <v>66</v>
      </c>
      <c r="F973" s="20" t="s">
        <v>67</v>
      </c>
      <c r="G973" s="20" t="s">
        <v>79</v>
      </c>
      <c r="H973" s="20">
        <v>1</v>
      </c>
      <c r="I973" s="39">
        <v>62</v>
      </c>
      <c r="J973" s="40"/>
      <c r="K973" s="41"/>
      <c r="L973" s="40"/>
      <c r="M973" s="41"/>
      <c r="N973" s="42"/>
      <c r="O973" s="43">
        <f t="shared" si="536"/>
        <v>62</v>
      </c>
      <c r="P973" s="45"/>
      <c r="Q973" s="45"/>
      <c r="R973" s="69">
        <f t="shared" si="533"/>
        <v>57.2349665924276</v>
      </c>
      <c r="S973" s="69"/>
      <c r="T973" s="70">
        <f t="shared" si="534"/>
        <v>0.066815144766147</v>
      </c>
      <c r="U973" s="69"/>
      <c r="V973" s="69"/>
      <c r="W973" s="71">
        <f t="shared" si="528"/>
        <v>57.3017817371938</v>
      </c>
      <c r="X973" s="72">
        <f t="shared" si="535"/>
        <v>0.676069042316258</v>
      </c>
      <c r="Y973" s="72"/>
      <c r="Z973" s="72"/>
      <c r="AA973" s="72">
        <f t="shared" si="529"/>
        <v>0.676069042316258</v>
      </c>
      <c r="AB973" s="81">
        <v>7.11</v>
      </c>
      <c r="AC973" s="69">
        <f t="shared" si="527"/>
        <v>4.8068508908686</v>
      </c>
      <c r="AD973" s="69">
        <f t="shared" si="530"/>
        <v>62.1086326280624</v>
      </c>
      <c r="AE973" s="69">
        <f t="shared" si="526"/>
        <v>-0.10863262806236</v>
      </c>
    </row>
    <row r="974" customFormat="1" spans="1:31">
      <c r="A974" s="19"/>
      <c r="B974" s="20"/>
      <c r="C974" s="82">
        <v>241025000062</v>
      </c>
      <c r="D974" s="83">
        <v>45598</v>
      </c>
      <c r="E974" s="22" t="s">
        <v>240</v>
      </c>
      <c r="F974" s="84" t="s">
        <v>241</v>
      </c>
      <c r="G974" s="84" t="s">
        <v>221</v>
      </c>
      <c r="H974" s="84">
        <v>654</v>
      </c>
      <c r="I974" s="39">
        <v>40875</v>
      </c>
      <c r="J974" s="40"/>
      <c r="K974" s="41"/>
      <c r="L974" s="40"/>
      <c r="M974" s="41"/>
      <c r="N974" s="42"/>
      <c r="O974" s="43">
        <f t="shared" si="536"/>
        <v>40875</v>
      </c>
      <c r="P974" s="45"/>
      <c r="Q974" s="45"/>
      <c r="R974" s="69">
        <f t="shared" si="533"/>
        <v>37431.6681514477</v>
      </c>
      <c r="S974" s="69"/>
      <c r="T974" s="70">
        <f t="shared" si="534"/>
        <v>43.6971046770601</v>
      </c>
      <c r="U974" s="69"/>
      <c r="V974" s="69"/>
      <c r="W974" s="71">
        <f t="shared" si="528"/>
        <v>37475.3652561247</v>
      </c>
      <c r="X974" s="72">
        <f t="shared" si="535"/>
        <v>442.149153674833</v>
      </c>
      <c r="Y974" s="72"/>
      <c r="Z974" s="72"/>
      <c r="AA974" s="72">
        <f t="shared" si="529"/>
        <v>442.149153674833</v>
      </c>
      <c r="AB974" s="81">
        <v>7.11</v>
      </c>
      <c r="AC974" s="69">
        <f t="shared" si="527"/>
        <v>3143.68048262806</v>
      </c>
      <c r="AD974" s="69">
        <f t="shared" si="530"/>
        <v>40619.0457387528</v>
      </c>
      <c r="AE974" s="69">
        <f t="shared" si="526"/>
        <v>255.954261247214</v>
      </c>
    </row>
    <row r="975" customFormat="1" spans="1:31">
      <c r="A975" s="19"/>
      <c r="B975" s="20"/>
      <c r="C975" s="21">
        <v>241026000007</v>
      </c>
      <c r="D975" s="22">
        <v>45598</v>
      </c>
      <c r="E975" s="22" t="s">
        <v>66</v>
      </c>
      <c r="F975" s="20" t="s">
        <v>67</v>
      </c>
      <c r="G975" s="20" t="s">
        <v>151</v>
      </c>
      <c r="H975" s="20">
        <v>5</v>
      </c>
      <c r="I975" s="39">
        <v>382.8</v>
      </c>
      <c r="J975" s="40"/>
      <c r="K975" s="41"/>
      <c r="L975" s="40"/>
      <c r="M975" s="41"/>
      <c r="N975" s="42"/>
      <c r="O975" s="43">
        <f t="shared" si="536"/>
        <v>382.8</v>
      </c>
      <c r="P975" s="45"/>
      <c r="Q975" s="45"/>
      <c r="R975" s="69">
        <f t="shared" si="533"/>
        <v>286.174832962138</v>
      </c>
      <c r="S975" s="69"/>
      <c r="T975" s="70">
        <f t="shared" si="534"/>
        <v>0.334075723830735</v>
      </c>
      <c r="U975" s="69"/>
      <c r="V975" s="69"/>
      <c r="W975" s="71">
        <f t="shared" si="528"/>
        <v>286.508908685969</v>
      </c>
      <c r="X975" s="72">
        <f t="shared" si="535"/>
        <v>3.38034521158129</v>
      </c>
      <c r="Y975" s="72"/>
      <c r="Z975" s="72"/>
      <c r="AA975" s="72">
        <f t="shared" si="529"/>
        <v>3.38034521158129</v>
      </c>
      <c r="AB975" s="81">
        <v>7.11</v>
      </c>
      <c r="AC975" s="69">
        <f t="shared" si="527"/>
        <v>24.034254454343</v>
      </c>
      <c r="AD975" s="69">
        <f t="shared" si="530"/>
        <v>310.543163140312</v>
      </c>
      <c r="AE975" s="69">
        <f t="shared" si="526"/>
        <v>72.2568368596882</v>
      </c>
    </row>
    <row r="976" customFormat="1" spans="1:31">
      <c r="A976" s="19"/>
      <c r="B976" s="20"/>
      <c r="C976" s="21">
        <v>241026000013</v>
      </c>
      <c r="D976" s="22">
        <v>45598</v>
      </c>
      <c r="E976" s="22" t="s">
        <v>66</v>
      </c>
      <c r="F976" s="20" t="s">
        <v>67</v>
      </c>
      <c r="G976" s="20" t="s">
        <v>519</v>
      </c>
      <c r="H976" s="20">
        <v>10</v>
      </c>
      <c r="I976" s="39">
        <v>720</v>
      </c>
      <c r="J976" s="40"/>
      <c r="K976" s="41"/>
      <c r="L976" s="40"/>
      <c r="M976" s="41"/>
      <c r="N976" s="42"/>
      <c r="O976" s="43">
        <f t="shared" si="536"/>
        <v>720</v>
      </c>
      <c r="P976" s="45"/>
      <c r="Q976" s="45"/>
      <c r="R976" s="69">
        <f t="shared" si="533"/>
        <v>572.349665924276</v>
      </c>
      <c r="S976" s="69"/>
      <c r="T976" s="70">
        <f t="shared" si="534"/>
        <v>0.66815144766147</v>
      </c>
      <c r="U976" s="69"/>
      <c r="V976" s="69"/>
      <c r="W976" s="71">
        <f t="shared" si="528"/>
        <v>573.017817371938</v>
      </c>
      <c r="X976" s="72">
        <f t="shared" si="535"/>
        <v>6.76069042316258</v>
      </c>
      <c r="Y976" s="72"/>
      <c r="Z976" s="72"/>
      <c r="AA976" s="72">
        <f t="shared" si="529"/>
        <v>6.76069042316258</v>
      </c>
      <c r="AB976" s="81">
        <v>7.11</v>
      </c>
      <c r="AC976" s="69">
        <f t="shared" si="527"/>
        <v>48.068508908686</v>
      </c>
      <c r="AD976" s="69">
        <f t="shared" si="530"/>
        <v>621.086326280624</v>
      </c>
      <c r="AE976" s="69">
        <f t="shared" si="526"/>
        <v>98.9136737193763</v>
      </c>
    </row>
    <row r="977" customFormat="1" spans="1:31">
      <c r="A977" s="19"/>
      <c r="B977" s="20"/>
      <c r="C977" s="21">
        <v>241026000020</v>
      </c>
      <c r="D977" s="22">
        <v>45598</v>
      </c>
      <c r="E977" s="22" t="s">
        <v>66</v>
      </c>
      <c r="F977" s="20" t="s">
        <v>67</v>
      </c>
      <c r="G977" s="20" t="s">
        <v>436</v>
      </c>
      <c r="H977" s="20">
        <v>1.5</v>
      </c>
      <c r="I977" s="39">
        <v>107.5</v>
      </c>
      <c r="J977" s="40"/>
      <c r="K977" s="41"/>
      <c r="L977" s="40"/>
      <c r="M977" s="41"/>
      <c r="N977" s="42"/>
      <c r="O977" s="43">
        <f t="shared" si="536"/>
        <v>107.5</v>
      </c>
      <c r="P977" s="45"/>
      <c r="Q977" s="45"/>
      <c r="R977" s="69">
        <f t="shared" si="533"/>
        <v>85.8524498886414</v>
      </c>
      <c r="S977" s="69"/>
      <c r="T977" s="70">
        <f t="shared" si="534"/>
        <v>0.10022271714922</v>
      </c>
      <c r="U977" s="69"/>
      <c r="V977" s="69"/>
      <c r="W977" s="71">
        <f t="shared" si="528"/>
        <v>85.9526726057907</v>
      </c>
      <c r="X977" s="72">
        <f t="shared" si="535"/>
        <v>1.01410356347439</v>
      </c>
      <c r="Y977" s="72"/>
      <c r="Z977" s="72"/>
      <c r="AA977" s="72">
        <f t="shared" si="529"/>
        <v>1.01410356347439</v>
      </c>
      <c r="AB977" s="81">
        <v>7.11</v>
      </c>
      <c r="AC977" s="69">
        <f t="shared" si="527"/>
        <v>7.2102763363029</v>
      </c>
      <c r="AD977" s="69">
        <f t="shared" si="530"/>
        <v>93.1629489420935</v>
      </c>
      <c r="AE977" s="69">
        <f t="shared" si="526"/>
        <v>14.3370510579065</v>
      </c>
    </row>
    <row r="978" customFormat="1" spans="1:31">
      <c r="A978" s="19"/>
      <c r="B978" s="20"/>
      <c r="C978" s="21">
        <v>241027000004</v>
      </c>
      <c r="D978" s="22">
        <v>45598</v>
      </c>
      <c r="E978" s="22" t="s">
        <v>41</v>
      </c>
      <c r="F978" s="20" t="s">
        <v>42</v>
      </c>
      <c r="G978" s="20" t="s">
        <v>225</v>
      </c>
      <c r="H978" s="20">
        <v>1</v>
      </c>
      <c r="I978" s="50"/>
      <c r="J978" s="46">
        <v>17496</v>
      </c>
      <c r="K978" s="41"/>
      <c r="L978" s="47">
        <f>SUM(J978/M978)</f>
        <v>1713.61410381978</v>
      </c>
      <c r="M978" s="48">
        <v>10.21</v>
      </c>
      <c r="N978" s="42">
        <v>7.11</v>
      </c>
      <c r="O978" s="43">
        <f>SUM(M978*N978)</f>
        <v>72.5931</v>
      </c>
      <c r="P978" s="45"/>
      <c r="Q978" s="45"/>
      <c r="R978" s="69">
        <f t="shared" si="533"/>
        <v>57.2349665924276</v>
      </c>
      <c r="S978" s="69"/>
      <c r="T978" s="70">
        <f t="shared" si="534"/>
        <v>0.066815144766147</v>
      </c>
      <c r="U978" s="69"/>
      <c r="V978" s="69"/>
      <c r="W978" s="71">
        <f t="shared" si="528"/>
        <v>57.3017817371938</v>
      </c>
      <c r="X978" s="72">
        <f t="shared" si="535"/>
        <v>0.676069042316258</v>
      </c>
      <c r="Y978" s="72"/>
      <c r="Z978" s="72"/>
      <c r="AA978" s="72">
        <f t="shared" si="529"/>
        <v>0.676069042316258</v>
      </c>
      <c r="AB978" s="81">
        <v>7.11</v>
      </c>
      <c r="AC978" s="69">
        <f t="shared" si="527"/>
        <v>4.8068508908686</v>
      </c>
      <c r="AD978" s="69">
        <f t="shared" si="530"/>
        <v>62.1086326280624</v>
      </c>
      <c r="AE978" s="69">
        <f t="shared" si="526"/>
        <v>10.4844673719376</v>
      </c>
    </row>
    <row r="979" customFormat="1" spans="1:31">
      <c r="A979" s="19"/>
      <c r="B979" s="20"/>
      <c r="C979" s="21">
        <v>241027000005</v>
      </c>
      <c r="D979" s="22">
        <v>45598</v>
      </c>
      <c r="E979" s="22" t="s">
        <v>41</v>
      </c>
      <c r="F979" s="20" t="s">
        <v>42</v>
      </c>
      <c r="G979" s="20" t="s">
        <v>244</v>
      </c>
      <c r="H979" s="20">
        <v>4</v>
      </c>
      <c r="I979" s="39">
        <v>280</v>
      </c>
      <c r="J979" s="40"/>
      <c r="K979" s="41"/>
      <c r="L979" s="40"/>
      <c r="M979" s="41"/>
      <c r="N979" s="42"/>
      <c r="O979" s="43">
        <f t="shared" ref="O979:O983" si="537">SUM(I979)</f>
        <v>280</v>
      </c>
      <c r="P979" s="45"/>
      <c r="Q979" s="45"/>
      <c r="R979" s="69">
        <f t="shared" si="533"/>
        <v>228.93986636971</v>
      </c>
      <c r="S979" s="69"/>
      <c r="T979" s="70">
        <f t="shared" si="534"/>
        <v>0.267260579064588</v>
      </c>
      <c r="U979" s="69"/>
      <c r="V979" s="69"/>
      <c r="W979" s="71">
        <f t="shared" si="528"/>
        <v>229.207126948775</v>
      </c>
      <c r="X979" s="72">
        <f t="shared" si="535"/>
        <v>2.70427616926503</v>
      </c>
      <c r="Y979" s="72"/>
      <c r="Z979" s="72"/>
      <c r="AA979" s="72">
        <f t="shared" si="529"/>
        <v>2.70427616926503</v>
      </c>
      <c r="AB979" s="81">
        <v>7.11</v>
      </c>
      <c r="AC979" s="69">
        <f t="shared" si="527"/>
        <v>19.2274035634744</v>
      </c>
      <c r="AD979" s="69">
        <f t="shared" si="530"/>
        <v>248.434530512249</v>
      </c>
      <c r="AE979" s="69">
        <f t="shared" si="526"/>
        <v>31.5654694877506</v>
      </c>
    </row>
    <row r="980" customFormat="1" spans="1:31">
      <c r="A980" s="19"/>
      <c r="B980" s="20"/>
      <c r="C980" s="21">
        <v>241027000009</v>
      </c>
      <c r="D980" s="22">
        <v>45598</v>
      </c>
      <c r="E980" s="22" t="s">
        <v>41</v>
      </c>
      <c r="F980" s="20" t="s">
        <v>42</v>
      </c>
      <c r="G980" s="20" t="s">
        <v>62</v>
      </c>
      <c r="H980" s="20">
        <v>3</v>
      </c>
      <c r="I980" s="50"/>
      <c r="J980" s="46">
        <v>51589.5</v>
      </c>
      <c r="K980" s="41"/>
      <c r="L980" s="47">
        <f>SUM(J980/M980)</f>
        <v>1737.0202020202</v>
      </c>
      <c r="M980" s="48">
        <v>29.7</v>
      </c>
      <c r="N980" s="42">
        <v>7.11</v>
      </c>
      <c r="O980" s="43">
        <f>SUM(M980*N980)</f>
        <v>211.167</v>
      </c>
      <c r="P980" s="45"/>
      <c r="Q980" s="45"/>
      <c r="R980" s="69">
        <f t="shared" si="533"/>
        <v>171.704899777283</v>
      </c>
      <c r="S980" s="69"/>
      <c r="T980" s="70">
        <f t="shared" si="534"/>
        <v>0.200445434298441</v>
      </c>
      <c r="U980" s="69"/>
      <c r="V980" s="69"/>
      <c r="W980" s="71">
        <f t="shared" si="528"/>
        <v>171.905345211581</v>
      </c>
      <c r="X980" s="72">
        <f t="shared" si="535"/>
        <v>2.02820712694878</v>
      </c>
      <c r="Y980" s="72"/>
      <c r="Z980" s="72"/>
      <c r="AA980" s="72">
        <f t="shared" si="529"/>
        <v>2.02820712694878</v>
      </c>
      <c r="AB980" s="81">
        <v>7.11</v>
      </c>
      <c r="AC980" s="69">
        <f t="shared" si="527"/>
        <v>14.4205526726058</v>
      </c>
      <c r="AD980" s="69">
        <f t="shared" si="530"/>
        <v>186.325897884187</v>
      </c>
      <c r="AE980" s="69">
        <f t="shared" si="526"/>
        <v>24.8411021158129</v>
      </c>
    </row>
    <row r="981" customFormat="1" spans="1:31">
      <c r="A981" s="19"/>
      <c r="B981" s="20"/>
      <c r="C981" s="21">
        <v>241028000001</v>
      </c>
      <c r="D981" s="22">
        <v>45598</v>
      </c>
      <c r="E981" s="22" t="s">
        <v>66</v>
      </c>
      <c r="F981" s="20" t="s">
        <v>67</v>
      </c>
      <c r="G981" s="20" t="s">
        <v>581</v>
      </c>
      <c r="H981" s="20">
        <v>11.5</v>
      </c>
      <c r="I981" s="39">
        <v>897</v>
      </c>
      <c r="J981" s="40"/>
      <c r="K981" s="41"/>
      <c r="L981" s="40"/>
      <c r="M981" s="41"/>
      <c r="N981" s="42"/>
      <c r="O981" s="43">
        <f t="shared" si="537"/>
        <v>897</v>
      </c>
      <c r="P981" s="45"/>
      <c r="Q981" s="45"/>
      <c r="R981" s="69">
        <f t="shared" si="533"/>
        <v>658.202115812918</v>
      </c>
      <c r="S981" s="69"/>
      <c r="T981" s="70">
        <f t="shared" si="534"/>
        <v>0.768374164810691</v>
      </c>
      <c r="U981" s="69"/>
      <c r="V981" s="69"/>
      <c r="W981" s="71">
        <f t="shared" si="528"/>
        <v>658.970489977728</v>
      </c>
      <c r="X981" s="72">
        <f t="shared" si="535"/>
        <v>7.77479398663697</v>
      </c>
      <c r="Y981" s="72"/>
      <c r="Z981" s="72"/>
      <c r="AA981" s="72">
        <f t="shared" si="529"/>
        <v>7.77479398663697</v>
      </c>
      <c r="AB981" s="81">
        <v>7.11</v>
      </c>
      <c r="AC981" s="69">
        <f t="shared" si="527"/>
        <v>55.2787852449889</v>
      </c>
      <c r="AD981" s="69">
        <f t="shared" si="530"/>
        <v>714.249275222717</v>
      </c>
      <c r="AE981" s="69">
        <f t="shared" si="526"/>
        <v>182.750724777283</v>
      </c>
    </row>
    <row r="982" customFormat="1" spans="1:31">
      <c r="A982" s="19"/>
      <c r="B982" s="20"/>
      <c r="C982" s="21">
        <v>241028000005</v>
      </c>
      <c r="D982" s="22">
        <v>45598</v>
      </c>
      <c r="E982" s="22" t="s">
        <v>66</v>
      </c>
      <c r="F982" s="20" t="s">
        <v>67</v>
      </c>
      <c r="G982" s="20" t="s">
        <v>574</v>
      </c>
      <c r="H982" s="20">
        <v>0.48</v>
      </c>
      <c r="I982" s="39">
        <v>85</v>
      </c>
      <c r="J982" s="40"/>
      <c r="K982" s="41"/>
      <c r="L982" s="40"/>
      <c r="M982" s="41"/>
      <c r="N982" s="42"/>
      <c r="O982" s="43">
        <f t="shared" si="537"/>
        <v>85</v>
      </c>
      <c r="P982" s="45"/>
      <c r="Q982" s="45"/>
      <c r="R982" s="69">
        <f t="shared" si="533"/>
        <v>27.4727839643653</v>
      </c>
      <c r="S982" s="69"/>
      <c r="T982" s="70">
        <f t="shared" si="534"/>
        <v>0.0320712694877506</v>
      </c>
      <c r="U982" s="69"/>
      <c r="V982" s="69"/>
      <c r="W982" s="71">
        <f t="shared" si="528"/>
        <v>27.504855233853</v>
      </c>
      <c r="X982" s="72">
        <f t="shared" si="535"/>
        <v>0.324513140311804</v>
      </c>
      <c r="Y982" s="72"/>
      <c r="Z982" s="72"/>
      <c r="AA982" s="72">
        <f t="shared" si="529"/>
        <v>0.324513140311804</v>
      </c>
      <c r="AB982" s="81">
        <v>7.11</v>
      </c>
      <c r="AC982" s="69">
        <f t="shared" si="527"/>
        <v>2.30728842761693</v>
      </c>
      <c r="AD982" s="69">
        <f t="shared" si="530"/>
        <v>29.8121436614699</v>
      </c>
      <c r="AE982" s="69">
        <f t="shared" si="526"/>
        <v>55.1878563385301</v>
      </c>
    </row>
    <row r="983" customFormat="1" spans="1:31">
      <c r="A983" s="19"/>
      <c r="B983" s="20"/>
      <c r="C983" s="21">
        <v>241028000009</v>
      </c>
      <c r="D983" s="22">
        <v>45598</v>
      </c>
      <c r="E983" s="22" t="s">
        <v>66</v>
      </c>
      <c r="F983" s="20" t="s">
        <v>67</v>
      </c>
      <c r="G983" s="20" t="s">
        <v>582</v>
      </c>
      <c r="H983" s="20">
        <v>6</v>
      </c>
      <c r="I983" s="39">
        <v>427.6</v>
      </c>
      <c r="J983" s="40"/>
      <c r="K983" s="41"/>
      <c r="L983" s="40"/>
      <c r="M983" s="41"/>
      <c r="N983" s="42"/>
      <c r="O983" s="43">
        <f t="shared" si="537"/>
        <v>427.6</v>
      </c>
      <c r="P983" s="45"/>
      <c r="Q983" s="45"/>
      <c r="R983" s="69">
        <f t="shared" si="533"/>
        <v>343.409799554566</v>
      </c>
      <c r="S983" s="69"/>
      <c r="T983" s="70">
        <f t="shared" si="534"/>
        <v>0.400890868596882</v>
      </c>
      <c r="U983" s="69"/>
      <c r="V983" s="69"/>
      <c r="W983" s="71">
        <f t="shared" si="528"/>
        <v>343.810690423163</v>
      </c>
      <c r="X983" s="72">
        <f t="shared" si="535"/>
        <v>4.05641425389755</v>
      </c>
      <c r="Y983" s="72">
        <v>3.51</v>
      </c>
      <c r="Z983" s="72"/>
      <c r="AA983" s="72">
        <f t="shared" si="529"/>
        <v>7.56641425389755</v>
      </c>
      <c r="AB983" s="81">
        <v>7.11</v>
      </c>
      <c r="AC983" s="69">
        <f t="shared" si="527"/>
        <v>53.7972053452116</v>
      </c>
      <c r="AD983" s="69">
        <f t="shared" si="530"/>
        <v>397.607895768374</v>
      </c>
      <c r="AE983" s="69">
        <f t="shared" si="526"/>
        <v>29.9921042316258</v>
      </c>
    </row>
    <row r="984" customFormat="1" spans="1:31">
      <c r="A984" s="19"/>
      <c r="B984" s="20"/>
      <c r="C984" s="21">
        <v>241028000013</v>
      </c>
      <c r="D984" s="22">
        <v>45598</v>
      </c>
      <c r="E984" s="22" t="s">
        <v>66</v>
      </c>
      <c r="F984" s="20" t="s">
        <v>67</v>
      </c>
      <c r="G984" s="20" t="s">
        <v>69</v>
      </c>
      <c r="H984" s="20">
        <v>9</v>
      </c>
      <c r="I984" s="50"/>
      <c r="J984" s="46">
        <v>147147</v>
      </c>
      <c r="K984" s="41"/>
      <c r="L984" s="47">
        <f>SUM(J984/M984)</f>
        <v>1742.00307801586</v>
      </c>
      <c r="M984" s="48">
        <v>84.47</v>
      </c>
      <c r="N984" s="42">
        <v>7.11</v>
      </c>
      <c r="O984" s="43">
        <f>SUM(M984*N984)</f>
        <v>600.5817</v>
      </c>
      <c r="P984" s="45"/>
      <c r="Q984" s="45"/>
      <c r="R984" s="69">
        <f t="shared" si="533"/>
        <v>515.114699331849</v>
      </c>
      <c r="S984" s="69"/>
      <c r="T984" s="70">
        <f t="shared" si="534"/>
        <v>0.601336302895323</v>
      </c>
      <c r="U984" s="69"/>
      <c r="V984" s="69"/>
      <c r="W984" s="71">
        <f t="shared" si="528"/>
        <v>515.716035634744</v>
      </c>
      <c r="X984" s="72">
        <f t="shared" si="535"/>
        <v>6.08462138084633</v>
      </c>
      <c r="Y984" s="72"/>
      <c r="Z984" s="72"/>
      <c r="AA984" s="72">
        <f t="shared" si="529"/>
        <v>6.08462138084633</v>
      </c>
      <c r="AB984" s="81">
        <v>7.11</v>
      </c>
      <c r="AC984" s="69">
        <f t="shared" si="527"/>
        <v>43.2616580178174</v>
      </c>
      <c r="AD984" s="69">
        <f t="shared" si="530"/>
        <v>558.977693652561</v>
      </c>
      <c r="AE984" s="69">
        <f t="shared" si="526"/>
        <v>41.6040063474387</v>
      </c>
    </row>
    <row r="985" customFormat="1" spans="1:31">
      <c r="A985" s="19"/>
      <c r="B985" s="20"/>
      <c r="C985" s="21">
        <v>241028000014</v>
      </c>
      <c r="D985" s="22">
        <v>45598</v>
      </c>
      <c r="E985" s="22" t="s">
        <v>44</v>
      </c>
      <c r="F985" s="20" t="s">
        <v>45</v>
      </c>
      <c r="G985" s="20" t="s">
        <v>583</v>
      </c>
      <c r="H985" s="20">
        <v>3.5</v>
      </c>
      <c r="I985" s="39">
        <v>260.7</v>
      </c>
      <c r="J985" s="40"/>
      <c r="K985" s="41"/>
      <c r="L985" s="40"/>
      <c r="M985" s="41"/>
      <c r="N985" s="42"/>
      <c r="O985" s="43">
        <f t="shared" ref="O985:O996" si="538">SUM(I985)</f>
        <v>260.7</v>
      </c>
      <c r="P985" s="45"/>
      <c r="Q985" s="45"/>
      <c r="R985" s="69">
        <f t="shared" si="533"/>
        <v>200.322383073497</v>
      </c>
      <c r="S985" s="69"/>
      <c r="T985" s="70">
        <f t="shared" si="534"/>
        <v>0.233853006681514</v>
      </c>
      <c r="U985" s="69"/>
      <c r="V985" s="69"/>
      <c r="W985" s="71">
        <f t="shared" si="528"/>
        <v>200.556236080178</v>
      </c>
      <c r="X985" s="72">
        <f t="shared" si="535"/>
        <v>2.3662416481069</v>
      </c>
      <c r="Y985" s="72"/>
      <c r="Z985" s="72"/>
      <c r="AA985" s="72">
        <f t="shared" si="529"/>
        <v>2.3662416481069</v>
      </c>
      <c r="AB985" s="81">
        <v>7.11</v>
      </c>
      <c r="AC985" s="69">
        <f t="shared" si="527"/>
        <v>16.8239781180401</v>
      </c>
      <c r="AD985" s="69">
        <f t="shared" si="530"/>
        <v>217.380214198218</v>
      </c>
      <c r="AE985" s="69">
        <f t="shared" si="526"/>
        <v>43.3197858017817</v>
      </c>
    </row>
    <row r="986" customFormat="1" spans="1:31">
      <c r="A986" s="19"/>
      <c r="B986" s="20"/>
      <c r="C986" s="21">
        <v>241028000015</v>
      </c>
      <c r="D986" s="22">
        <v>45598</v>
      </c>
      <c r="E986" s="22" t="s">
        <v>41</v>
      </c>
      <c r="F986" s="20" t="s">
        <v>42</v>
      </c>
      <c r="G986" s="20" t="s">
        <v>584</v>
      </c>
      <c r="H986" s="20">
        <v>13.5</v>
      </c>
      <c r="I986" s="39">
        <v>986</v>
      </c>
      <c r="J986" s="40"/>
      <c r="K986" s="41"/>
      <c r="L986" s="40"/>
      <c r="M986" s="41"/>
      <c r="N986" s="42"/>
      <c r="O986" s="43">
        <f t="shared" si="538"/>
        <v>986</v>
      </c>
      <c r="P986" s="45"/>
      <c r="Q986" s="45"/>
      <c r="R986" s="69">
        <f t="shared" si="533"/>
        <v>772.672048997773</v>
      </c>
      <c r="S986" s="69"/>
      <c r="T986" s="70">
        <f t="shared" si="534"/>
        <v>0.902004454342984</v>
      </c>
      <c r="U986" s="69"/>
      <c r="V986" s="69"/>
      <c r="W986" s="71">
        <f t="shared" si="528"/>
        <v>773.574053452116</v>
      </c>
      <c r="X986" s="72">
        <f t="shared" si="535"/>
        <v>9.12693207126949</v>
      </c>
      <c r="Y986" s="72"/>
      <c r="Z986" s="72"/>
      <c r="AA986" s="72">
        <f t="shared" si="529"/>
        <v>9.12693207126949</v>
      </c>
      <c r="AB986" s="81">
        <v>7.11</v>
      </c>
      <c r="AC986" s="69">
        <f t="shared" si="527"/>
        <v>64.8924870267261</v>
      </c>
      <c r="AD986" s="69">
        <f t="shared" si="530"/>
        <v>838.466540478842</v>
      </c>
      <c r="AE986" s="69">
        <f t="shared" si="526"/>
        <v>147.533459521158</v>
      </c>
    </row>
    <row r="987" customFormat="1" spans="1:31">
      <c r="A987" s="19"/>
      <c r="B987" s="20"/>
      <c r="C987" s="21">
        <v>241028000017</v>
      </c>
      <c r="D987" s="22">
        <v>45598</v>
      </c>
      <c r="E987" s="22" t="s">
        <v>41</v>
      </c>
      <c r="F987" s="20" t="s">
        <v>42</v>
      </c>
      <c r="G987" s="20" t="s">
        <v>185</v>
      </c>
      <c r="H987" s="20">
        <v>5</v>
      </c>
      <c r="I987" s="50"/>
      <c r="J987" s="46">
        <v>84807</v>
      </c>
      <c r="K987" s="41"/>
      <c r="L987" s="47">
        <f>SUM(J987/M987)</f>
        <v>1724.77120195241</v>
      </c>
      <c r="M987" s="48">
        <v>49.17</v>
      </c>
      <c r="N987" s="42">
        <v>7.11</v>
      </c>
      <c r="O987" s="43">
        <f>SUM(M987*N987)</f>
        <v>349.5987</v>
      </c>
      <c r="P987" s="45"/>
      <c r="Q987" s="45"/>
      <c r="R987" s="69">
        <f t="shared" si="533"/>
        <v>286.174832962138</v>
      </c>
      <c r="S987" s="69"/>
      <c r="T987" s="70">
        <f t="shared" si="534"/>
        <v>0.334075723830735</v>
      </c>
      <c r="U987" s="69"/>
      <c r="V987" s="69"/>
      <c r="W987" s="71">
        <f t="shared" si="528"/>
        <v>286.508908685969</v>
      </c>
      <c r="X987" s="72">
        <f t="shared" si="535"/>
        <v>3.38034521158129</v>
      </c>
      <c r="Y987" s="72"/>
      <c r="Z987" s="72"/>
      <c r="AA987" s="72">
        <f t="shared" si="529"/>
        <v>3.38034521158129</v>
      </c>
      <c r="AB987" s="81">
        <v>7.11</v>
      </c>
      <c r="AC987" s="69">
        <f t="shared" si="527"/>
        <v>24.034254454343</v>
      </c>
      <c r="AD987" s="69">
        <f t="shared" si="530"/>
        <v>310.543163140312</v>
      </c>
      <c r="AE987" s="69">
        <f t="shared" si="526"/>
        <v>39.0555368596882</v>
      </c>
    </row>
    <row r="988" customFormat="1" spans="1:31">
      <c r="A988" s="19"/>
      <c r="B988" s="20"/>
      <c r="C988" s="21">
        <v>241028000020</v>
      </c>
      <c r="D988" s="22">
        <v>45598</v>
      </c>
      <c r="E988" s="22" t="s">
        <v>55</v>
      </c>
      <c r="F988" s="20" t="s">
        <v>56</v>
      </c>
      <c r="G988" s="20" t="s">
        <v>57</v>
      </c>
      <c r="H988" s="20">
        <v>1.5</v>
      </c>
      <c r="I988" s="39">
        <v>79</v>
      </c>
      <c r="J988" s="40"/>
      <c r="K988" s="41"/>
      <c r="L988" s="40"/>
      <c r="M988" s="41"/>
      <c r="N988" s="42"/>
      <c r="O988" s="43">
        <f t="shared" si="538"/>
        <v>79</v>
      </c>
      <c r="P988" s="45"/>
      <c r="Q988" s="45"/>
      <c r="R988" s="69">
        <f t="shared" si="533"/>
        <v>85.8524498886414</v>
      </c>
      <c r="S988" s="69"/>
      <c r="T988" s="70">
        <f t="shared" si="534"/>
        <v>0.10022271714922</v>
      </c>
      <c r="U988" s="69"/>
      <c r="V988" s="69"/>
      <c r="W988" s="71">
        <f t="shared" si="528"/>
        <v>85.9526726057907</v>
      </c>
      <c r="X988" s="72">
        <f t="shared" si="535"/>
        <v>1.01410356347439</v>
      </c>
      <c r="Y988" s="72"/>
      <c r="Z988" s="72"/>
      <c r="AA988" s="72">
        <f t="shared" si="529"/>
        <v>1.01410356347439</v>
      </c>
      <c r="AB988" s="81">
        <v>7.11</v>
      </c>
      <c r="AC988" s="69">
        <f t="shared" si="527"/>
        <v>7.2102763363029</v>
      </c>
      <c r="AD988" s="69">
        <f t="shared" si="530"/>
        <v>93.1629489420935</v>
      </c>
      <c r="AE988" s="69">
        <f t="shared" si="526"/>
        <v>-14.1629489420935</v>
      </c>
    </row>
    <row r="989" customFormat="1" spans="1:31">
      <c r="A989" s="19"/>
      <c r="B989" s="20"/>
      <c r="C989" s="21">
        <v>241028000028</v>
      </c>
      <c r="D989" s="22">
        <v>45598</v>
      </c>
      <c r="E989" s="22" t="s">
        <v>37</v>
      </c>
      <c r="F989" s="20" t="s">
        <v>38</v>
      </c>
      <c r="G989" s="20" t="s">
        <v>585</v>
      </c>
      <c r="H989" s="20">
        <v>69</v>
      </c>
      <c r="I989" s="39">
        <v>4347</v>
      </c>
      <c r="J989" s="40"/>
      <c r="K989" s="41"/>
      <c r="L989" s="40"/>
      <c r="M989" s="41"/>
      <c r="N989" s="42"/>
      <c r="O989" s="43">
        <f t="shared" si="538"/>
        <v>4347</v>
      </c>
      <c r="P989" s="45"/>
      <c r="Q989" s="45"/>
      <c r="R989" s="69">
        <f t="shared" si="533"/>
        <v>3949.21269487751</v>
      </c>
      <c r="S989" s="69"/>
      <c r="T989" s="70">
        <f t="shared" si="534"/>
        <v>4.61024498886414</v>
      </c>
      <c r="U989" s="69"/>
      <c r="V989" s="69"/>
      <c r="W989" s="71">
        <f t="shared" si="528"/>
        <v>3953.82293986637</v>
      </c>
      <c r="X989" s="72">
        <f t="shared" si="535"/>
        <v>46.6487639198218</v>
      </c>
      <c r="Y989" s="72"/>
      <c r="Z989" s="72"/>
      <c r="AA989" s="72">
        <f t="shared" si="529"/>
        <v>46.6487639198218</v>
      </c>
      <c r="AB989" s="81">
        <v>7.11</v>
      </c>
      <c r="AC989" s="69">
        <f t="shared" si="527"/>
        <v>331.672711469933</v>
      </c>
      <c r="AD989" s="69">
        <f t="shared" si="530"/>
        <v>4285.4956513363</v>
      </c>
      <c r="AE989" s="69">
        <f t="shared" si="526"/>
        <v>61.5043486636969</v>
      </c>
    </row>
    <row r="990" customFormat="1" spans="1:31">
      <c r="A990" s="19"/>
      <c r="B990" s="20"/>
      <c r="C990" s="21">
        <v>241028000029</v>
      </c>
      <c r="D990" s="22">
        <v>45598</v>
      </c>
      <c r="E990" s="22" t="s">
        <v>37</v>
      </c>
      <c r="F990" s="20" t="s">
        <v>38</v>
      </c>
      <c r="G990" s="20" t="s">
        <v>521</v>
      </c>
      <c r="H990" s="20">
        <v>2.5</v>
      </c>
      <c r="I990" s="39">
        <v>245.7</v>
      </c>
      <c r="J990" s="40"/>
      <c r="K990" s="41"/>
      <c r="L990" s="40"/>
      <c r="M990" s="41"/>
      <c r="N990" s="42"/>
      <c r="O990" s="43">
        <f t="shared" si="538"/>
        <v>245.7</v>
      </c>
      <c r="P990" s="45"/>
      <c r="Q990" s="45"/>
      <c r="R990" s="69">
        <f t="shared" si="533"/>
        <v>143.087416481069</v>
      </c>
      <c r="S990" s="69"/>
      <c r="T990" s="70">
        <f t="shared" si="534"/>
        <v>0.167037861915368</v>
      </c>
      <c r="U990" s="69"/>
      <c r="V990" s="69"/>
      <c r="W990" s="71">
        <f t="shared" si="528"/>
        <v>143.254454342984</v>
      </c>
      <c r="X990" s="72">
        <f t="shared" si="535"/>
        <v>1.69017260579065</v>
      </c>
      <c r="Y990" s="72"/>
      <c r="Z990" s="72"/>
      <c r="AA990" s="72">
        <f t="shared" si="529"/>
        <v>1.69017260579065</v>
      </c>
      <c r="AB990" s="81">
        <v>7.11</v>
      </c>
      <c r="AC990" s="69">
        <f t="shared" si="527"/>
        <v>12.0171272271715</v>
      </c>
      <c r="AD990" s="69">
        <f t="shared" si="530"/>
        <v>155.271581570156</v>
      </c>
      <c r="AE990" s="69">
        <f t="shared" si="526"/>
        <v>90.4284184298441</v>
      </c>
    </row>
    <row r="991" customFormat="1" spans="1:31">
      <c r="A991" s="19"/>
      <c r="B991" s="20"/>
      <c r="C991" s="21">
        <v>241028000030</v>
      </c>
      <c r="D991" s="22">
        <v>45598</v>
      </c>
      <c r="E991" s="22" t="s">
        <v>37</v>
      </c>
      <c r="F991" s="20" t="s">
        <v>38</v>
      </c>
      <c r="G991" s="20" t="s">
        <v>586</v>
      </c>
      <c r="H991" s="20">
        <v>4</v>
      </c>
      <c r="I991" s="39">
        <v>290</v>
      </c>
      <c r="J991" s="40"/>
      <c r="K991" s="41"/>
      <c r="L991" s="40"/>
      <c r="M991" s="41"/>
      <c r="N991" s="42"/>
      <c r="O991" s="43">
        <f t="shared" si="538"/>
        <v>290</v>
      </c>
      <c r="P991" s="45"/>
      <c r="Q991" s="45"/>
      <c r="R991" s="69">
        <f t="shared" si="533"/>
        <v>228.93986636971</v>
      </c>
      <c r="S991" s="69"/>
      <c r="T991" s="70">
        <f t="shared" si="534"/>
        <v>0.267260579064588</v>
      </c>
      <c r="U991" s="69"/>
      <c r="V991" s="69"/>
      <c r="W991" s="71">
        <f t="shared" si="528"/>
        <v>229.207126948775</v>
      </c>
      <c r="X991" s="72">
        <f t="shared" si="535"/>
        <v>2.70427616926503</v>
      </c>
      <c r="Y991" s="72"/>
      <c r="Z991" s="72"/>
      <c r="AA991" s="72">
        <f t="shared" si="529"/>
        <v>2.70427616926503</v>
      </c>
      <c r="AB991" s="81">
        <v>7.11</v>
      </c>
      <c r="AC991" s="69">
        <f t="shared" si="527"/>
        <v>19.2274035634744</v>
      </c>
      <c r="AD991" s="69">
        <f t="shared" si="530"/>
        <v>248.434530512249</v>
      </c>
      <c r="AE991" s="69">
        <f t="shared" si="526"/>
        <v>41.5654694877506</v>
      </c>
    </row>
    <row r="992" customFormat="1" spans="1:31">
      <c r="A992" s="19"/>
      <c r="B992" s="20"/>
      <c r="C992" s="21">
        <v>241028000032</v>
      </c>
      <c r="D992" s="22">
        <v>45598</v>
      </c>
      <c r="E992" s="22" t="s">
        <v>37</v>
      </c>
      <c r="F992" s="20" t="s">
        <v>38</v>
      </c>
      <c r="G992" s="20" t="s">
        <v>351</v>
      </c>
      <c r="H992" s="20">
        <v>2</v>
      </c>
      <c r="I992" s="39">
        <v>195.6</v>
      </c>
      <c r="J992" s="40"/>
      <c r="K992" s="41"/>
      <c r="L992" s="40"/>
      <c r="M992" s="41"/>
      <c r="N992" s="42"/>
      <c r="O992" s="43">
        <f t="shared" si="538"/>
        <v>195.6</v>
      </c>
      <c r="P992" s="45"/>
      <c r="Q992" s="45"/>
      <c r="R992" s="69">
        <f t="shared" si="533"/>
        <v>114.469933184855</v>
      </c>
      <c r="S992" s="69"/>
      <c r="T992" s="70">
        <f t="shared" si="534"/>
        <v>0.133630289532294</v>
      </c>
      <c r="U992" s="69"/>
      <c r="V992" s="69"/>
      <c r="W992" s="71">
        <f t="shared" si="528"/>
        <v>114.603563474388</v>
      </c>
      <c r="X992" s="72">
        <f t="shared" si="535"/>
        <v>1.35213808463252</v>
      </c>
      <c r="Y992" s="72"/>
      <c r="Z992" s="72"/>
      <c r="AA992" s="72">
        <f t="shared" si="529"/>
        <v>1.35213808463252</v>
      </c>
      <c r="AB992" s="81">
        <v>7.11</v>
      </c>
      <c r="AC992" s="69">
        <f t="shared" si="527"/>
        <v>9.61370178173719</v>
      </c>
      <c r="AD992" s="69">
        <f t="shared" si="530"/>
        <v>124.217265256125</v>
      </c>
      <c r="AE992" s="69">
        <f t="shared" si="526"/>
        <v>71.3827347438753</v>
      </c>
    </row>
    <row r="993" customFormat="1" spans="1:31">
      <c r="A993" s="19"/>
      <c r="B993" s="20"/>
      <c r="C993" s="21">
        <v>241028000035</v>
      </c>
      <c r="D993" s="22">
        <v>45598</v>
      </c>
      <c r="E993" s="22" t="s">
        <v>66</v>
      </c>
      <c r="F993" s="20" t="s">
        <v>67</v>
      </c>
      <c r="G993" s="20" t="s">
        <v>587</v>
      </c>
      <c r="H993" s="20">
        <v>35</v>
      </c>
      <c r="I993" s="39">
        <v>2425</v>
      </c>
      <c r="J993" s="40"/>
      <c r="K993" s="41"/>
      <c r="L993" s="40"/>
      <c r="M993" s="41"/>
      <c r="N993" s="42"/>
      <c r="O993" s="43">
        <f t="shared" si="538"/>
        <v>2425</v>
      </c>
      <c r="P993" s="45"/>
      <c r="Q993" s="45"/>
      <c r="R993" s="69">
        <f t="shared" si="533"/>
        <v>2003.22383073497</v>
      </c>
      <c r="S993" s="69"/>
      <c r="T993" s="70">
        <f t="shared" si="534"/>
        <v>2.33853006681514</v>
      </c>
      <c r="U993" s="69"/>
      <c r="V993" s="69"/>
      <c r="W993" s="71">
        <f t="shared" si="528"/>
        <v>2005.56236080178</v>
      </c>
      <c r="X993" s="72">
        <f t="shared" si="535"/>
        <v>23.662416481069</v>
      </c>
      <c r="Y993" s="72"/>
      <c r="Z993" s="72"/>
      <c r="AA993" s="72">
        <f t="shared" si="529"/>
        <v>23.662416481069</v>
      </c>
      <c r="AB993" s="81">
        <v>7.11</v>
      </c>
      <c r="AC993" s="69">
        <f t="shared" si="527"/>
        <v>168.239781180401</v>
      </c>
      <c r="AD993" s="69">
        <f t="shared" si="530"/>
        <v>2173.80214198218</v>
      </c>
      <c r="AE993" s="69">
        <f t="shared" si="526"/>
        <v>251.197858017817</v>
      </c>
    </row>
    <row r="994" customFormat="1" spans="1:31">
      <c r="A994" s="19"/>
      <c r="B994" s="20"/>
      <c r="C994" s="21">
        <v>241028000040</v>
      </c>
      <c r="D994" s="22">
        <v>45598</v>
      </c>
      <c r="E994" s="22" t="s">
        <v>37</v>
      </c>
      <c r="F994" s="20" t="s">
        <v>38</v>
      </c>
      <c r="G994" s="20" t="s">
        <v>521</v>
      </c>
      <c r="H994" s="20">
        <v>4</v>
      </c>
      <c r="I994" s="39">
        <v>390</v>
      </c>
      <c r="J994" s="40"/>
      <c r="K994" s="41"/>
      <c r="L994" s="40"/>
      <c r="M994" s="41"/>
      <c r="N994" s="42"/>
      <c r="O994" s="43">
        <f t="shared" si="538"/>
        <v>390</v>
      </c>
      <c r="P994" s="45"/>
      <c r="Q994" s="45"/>
      <c r="R994" s="69">
        <f t="shared" si="533"/>
        <v>228.93986636971</v>
      </c>
      <c r="S994" s="69"/>
      <c r="T994" s="70">
        <f t="shared" si="534"/>
        <v>0.267260579064588</v>
      </c>
      <c r="U994" s="69"/>
      <c r="V994" s="69"/>
      <c r="W994" s="71">
        <f t="shared" si="528"/>
        <v>229.207126948775</v>
      </c>
      <c r="X994" s="72">
        <f t="shared" si="535"/>
        <v>2.70427616926503</v>
      </c>
      <c r="Y994" s="72"/>
      <c r="Z994" s="72"/>
      <c r="AA994" s="72">
        <f t="shared" si="529"/>
        <v>2.70427616926503</v>
      </c>
      <c r="AB994" s="81">
        <v>7.11</v>
      </c>
      <c r="AC994" s="69">
        <f t="shared" si="527"/>
        <v>19.2274035634744</v>
      </c>
      <c r="AD994" s="69">
        <f t="shared" si="530"/>
        <v>248.434530512249</v>
      </c>
      <c r="AE994" s="69">
        <f t="shared" si="526"/>
        <v>141.565469487751</v>
      </c>
    </row>
    <row r="995" customFormat="1" spans="1:31">
      <c r="A995" s="19"/>
      <c r="B995" s="20"/>
      <c r="C995" s="21">
        <v>241028000045</v>
      </c>
      <c r="D995" s="22">
        <v>45598</v>
      </c>
      <c r="E995" s="22" t="s">
        <v>37</v>
      </c>
      <c r="F995" s="20" t="s">
        <v>38</v>
      </c>
      <c r="G995" s="20" t="s">
        <v>588</v>
      </c>
      <c r="H995" s="20">
        <v>8.5</v>
      </c>
      <c r="I995" s="39">
        <v>739.4</v>
      </c>
      <c r="J995" s="40"/>
      <c r="K995" s="41"/>
      <c r="L995" s="40"/>
      <c r="M995" s="41"/>
      <c r="N995" s="42"/>
      <c r="O995" s="43">
        <f t="shared" si="538"/>
        <v>739.4</v>
      </c>
      <c r="P995" s="45"/>
      <c r="Q995" s="45"/>
      <c r="R995" s="69">
        <f t="shared" si="533"/>
        <v>486.497216035635</v>
      </c>
      <c r="S995" s="69"/>
      <c r="T995" s="70">
        <f t="shared" si="534"/>
        <v>0.567928730512249</v>
      </c>
      <c r="U995" s="69"/>
      <c r="V995" s="69"/>
      <c r="W995" s="71">
        <f t="shared" si="528"/>
        <v>487.065144766147</v>
      </c>
      <c r="X995" s="72">
        <f t="shared" si="535"/>
        <v>5.7465868596882</v>
      </c>
      <c r="Y995" s="72"/>
      <c r="Z995" s="72"/>
      <c r="AA995" s="72">
        <f t="shared" si="529"/>
        <v>5.7465868596882</v>
      </c>
      <c r="AB995" s="81">
        <v>7.11</v>
      </c>
      <c r="AC995" s="69">
        <f t="shared" si="527"/>
        <v>40.8582325723831</v>
      </c>
      <c r="AD995" s="69">
        <f t="shared" si="530"/>
        <v>527.92337733853</v>
      </c>
      <c r="AE995" s="69">
        <f t="shared" si="526"/>
        <v>211.47662266147</v>
      </c>
    </row>
    <row r="996" customFormat="1" spans="1:31">
      <c r="A996" s="19"/>
      <c r="B996" s="20"/>
      <c r="C996" s="82">
        <v>241028000049</v>
      </c>
      <c r="D996" s="83">
        <v>45598</v>
      </c>
      <c r="E996" s="22" t="s">
        <v>76</v>
      </c>
      <c r="F996" s="84" t="s">
        <v>77</v>
      </c>
      <c r="G996" s="84" t="s">
        <v>589</v>
      </c>
      <c r="H996" s="84">
        <v>31</v>
      </c>
      <c r="I996" s="88">
        <v>2528.4</v>
      </c>
      <c r="J996" s="40"/>
      <c r="K996" s="41"/>
      <c r="L996" s="40"/>
      <c r="M996" s="41"/>
      <c r="N996" s="42"/>
      <c r="O996" s="43">
        <f t="shared" si="538"/>
        <v>2528.4</v>
      </c>
      <c r="P996" s="45"/>
      <c r="Q996" s="45"/>
      <c r="R996" s="69">
        <f t="shared" si="533"/>
        <v>1774.28396436526</v>
      </c>
      <c r="S996" s="69"/>
      <c r="T996" s="70">
        <f t="shared" si="534"/>
        <v>2.07126948775056</v>
      </c>
      <c r="U996" s="69"/>
      <c r="V996" s="69"/>
      <c r="W996" s="71">
        <f t="shared" si="528"/>
        <v>1776.35523385301</v>
      </c>
      <c r="X996" s="72">
        <f t="shared" si="535"/>
        <v>20.958140311804</v>
      </c>
      <c r="Y996" s="72"/>
      <c r="Z996" s="72"/>
      <c r="AA996" s="72">
        <f t="shared" si="529"/>
        <v>20.958140311804</v>
      </c>
      <c r="AB996" s="81">
        <v>7.11</v>
      </c>
      <c r="AC996" s="69">
        <f t="shared" si="527"/>
        <v>149.012377616927</v>
      </c>
      <c r="AD996" s="69">
        <f t="shared" si="530"/>
        <v>1925.36761146993</v>
      </c>
      <c r="AE996" s="69">
        <f t="shared" si="526"/>
        <v>603.032388530067</v>
      </c>
    </row>
    <row r="997" customFormat="1" spans="1:31">
      <c r="A997" s="19"/>
      <c r="B997" s="20"/>
      <c r="C997" s="21">
        <v>241028000051</v>
      </c>
      <c r="D997" s="22">
        <v>45598</v>
      </c>
      <c r="E997" s="22" t="s">
        <v>55</v>
      </c>
      <c r="F997" s="20" t="s">
        <v>56</v>
      </c>
      <c r="G997" s="20" t="s">
        <v>193</v>
      </c>
      <c r="H997" s="20">
        <v>13</v>
      </c>
      <c r="I997" s="43"/>
      <c r="J997" s="46">
        <v>224564</v>
      </c>
      <c r="K997" s="41"/>
      <c r="L997" s="47">
        <f>SUM(J997/M997)</f>
        <v>1744.99961146942</v>
      </c>
      <c r="M997" s="48">
        <v>128.69</v>
      </c>
      <c r="N997" s="42">
        <v>7.11</v>
      </c>
      <c r="O997" s="43">
        <f>SUM(M997*N997)</f>
        <v>914.9859</v>
      </c>
      <c r="P997" s="45"/>
      <c r="Q997" s="45"/>
      <c r="R997" s="69">
        <f t="shared" si="533"/>
        <v>744.054565701559</v>
      </c>
      <c r="S997" s="69"/>
      <c r="T997" s="70">
        <f t="shared" si="534"/>
        <v>0.868596881959911</v>
      </c>
      <c r="U997" s="69"/>
      <c r="V997" s="70">
        <v>39</v>
      </c>
      <c r="W997" s="71">
        <f t="shared" si="528"/>
        <v>783.923162583519</v>
      </c>
      <c r="X997" s="72">
        <f t="shared" si="535"/>
        <v>8.78889755011136</v>
      </c>
      <c r="Y997" s="72"/>
      <c r="Z997" s="72"/>
      <c r="AA997" s="72">
        <f t="shared" si="529"/>
        <v>8.78889755011136</v>
      </c>
      <c r="AB997" s="81">
        <v>7.11</v>
      </c>
      <c r="AC997" s="69">
        <f t="shared" si="527"/>
        <v>62.4890615812918</v>
      </c>
      <c r="AD997" s="69">
        <f t="shared" si="530"/>
        <v>846.412224164811</v>
      </c>
      <c r="AE997" s="69">
        <f t="shared" si="526"/>
        <v>68.5736758351893</v>
      </c>
    </row>
    <row r="998" customFormat="1" spans="1:31">
      <c r="A998" s="19"/>
      <c r="B998" s="20"/>
      <c r="C998" s="21">
        <v>241028000053</v>
      </c>
      <c r="D998" s="22">
        <v>45598</v>
      </c>
      <c r="E998" s="22" t="s">
        <v>66</v>
      </c>
      <c r="F998" s="20" t="s">
        <v>67</v>
      </c>
      <c r="G998" s="20" t="s">
        <v>79</v>
      </c>
      <c r="H998" s="20">
        <v>5.5</v>
      </c>
      <c r="I998" s="39">
        <v>341</v>
      </c>
      <c r="J998" s="40"/>
      <c r="K998" s="41"/>
      <c r="L998" s="40"/>
      <c r="M998" s="41"/>
      <c r="N998" s="42"/>
      <c r="O998" s="43">
        <f t="shared" ref="O998:O1008" si="539">SUM(I998)</f>
        <v>341</v>
      </c>
      <c r="P998" s="45"/>
      <c r="Q998" s="45"/>
      <c r="R998" s="69">
        <f t="shared" si="533"/>
        <v>314.792316258352</v>
      </c>
      <c r="S998" s="69"/>
      <c r="T998" s="70">
        <f t="shared" si="534"/>
        <v>0.367483296213808</v>
      </c>
      <c r="U998" s="69"/>
      <c r="V998" s="69"/>
      <c r="W998" s="71">
        <f t="shared" si="528"/>
        <v>315.159799554566</v>
      </c>
      <c r="X998" s="72">
        <f t="shared" si="535"/>
        <v>3.71837973273942</v>
      </c>
      <c r="Y998" s="72"/>
      <c r="Z998" s="72"/>
      <c r="AA998" s="72">
        <f t="shared" si="529"/>
        <v>3.71837973273942</v>
      </c>
      <c r="AB998" s="81">
        <v>7.11</v>
      </c>
      <c r="AC998" s="69">
        <f t="shared" si="527"/>
        <v>26.4376798997773</v>
      </c>
      <c r="AD998" s="69">
        <f t="shared" si="530"/>
        <v>341.597479454343</v>
      </c>
      <c r="AE998" s="69">
        <f t="shared" si="526"/>
        <v>-0.597479454342988</v>
      </c>
    </row>
    <row r="999" customFormat="1" spans="1:31">
      <c r="A999" s="19"/>
      <c r="B999" s="20"/>
      <c r="C999" s="21">
        <v>241028000055</v>
      </c>
      <c r="D999" s="22">
        <v>45598</v>
      </c>
      <c r="E999" s="22" t="s">
        <v>66</v>
      </c>
      <c r="F999" s="20" t="s">
        <v>67</v>
      </c>
      <c r="G999" s="20" t="s">
        <v>519</v>
      </c>
      <c r="H999" s="20">
        <v>1.5</v>
      </c>
      <c r="I999" s="39">
        <v>108</v>
      </c>
      <c r="J999" s="40"/>
      <c r="K999" s="41"/>
      <c r="L999" s="40"/>
      <c r="M999" s="41"/>
      <c r="N999" s="42"/>
      <c r="O999" s="43">
        <f t="shared" si="539"/>
        <v>108</v>
      </c>
      <c r="P999" s="45"/>
      <c r="Q999" s="45"/>
      <c r="R999" s="69">
        <f t="shared" si="533"/>
        <v>85.8524498886414</v>
      </c>
      <c r="S999" s="69"/>
      <c r="T999" s="70">
        <f t="shared" si="534"/>
        <v>0.10022271714922</v>
      </c>
      <c r="U999" s="69"/>
      <c r="V999" s="69"/>
      <c r="W999" s="71">
        <f t="shared" si="528"/>
        <v>85.9526726057907</v>
      </c>
      <c r="X999" s="72">
        <f t="shared" si="535"/>
        <v>1.01410356347439</v>
      </c>
      <c r="Y999" s="72"/>
      <c r="Z999" s="72"/>
      <c r="AA999" s="72">
        <f t="shared" si="529"/>
        <v>1.01410356347439</v>
      </c>
      <c r="AB999" s="81">
        <v>7.11</v>
      </c>
      <c r="AC999" s="69">
        <f t="shared" si="527"/>
        <v>7.2102763363029</v>
      </c>
      <c r="AD999" s="69">
        <f t="shared" si="530"/>
        <v>93.1629489420935</v>
      </c>
      <c r="AE999" s="69">
        <f t="shared" si="526"/>
        <v>14.8370510579065</v>
      </c>
    </row>
    <row r="1000" customFormat="1" spans="1:31">
      <c r="A1000" s="19"/>
      <c r="B1000" s="20"/>
      <c r="C1000" s="21">
        <v>241029000002</v>
      </c>
      <c r="D1000" s="22">
        <v>45598</v>
      </c>
      <c r="E1000" s="22" t="s">
        <v>66</v>
      </c>
      <c r="F1000" s="20" t="s">
        <v>67</v>
      </c>
      <c r="G1000" s="20" t="s">
        <v>141</v>
      </c>
      <c r="H1000" s="20">
        <v>10</v>
      </c>
      <c r="I1000" s="39">
        <v>738</v>
      </c>
      <c r="J1000" s="40"/>
      <c r="K1000" s="41"/>
      <c r="L1000" s="40"/>
      <c r="M1000" s="41"/>
      <c r="N1000" s="42"/>
      <c r="O1000" s="43">
        <f t="shared" si="539"/>
        <v>738</v>
      </c>
      <c r="P1000" s="45"/>
      <c r="Q1000" s="45"/>
      <c r="R1000" s="69">
        <f t="shared" si="533"/>
        <v>572.349665924276</v>
      </c>
      <c r="S1000" s="69"/>
      <c r="T1000" s="70">
        <f t="shared" si="534"/>
        <v>0.66815144766147</v>
      </c>
      <c r="U1000" s="69"/>
      <c r="V1000" s="70">
        <v>88</v>
      </c>
      <c r="W1000" s="71">
        <f t="shared" si="528"/>
        <v>661.017817371938</v>
      </c>
      <c r="X1000" s="72">
        <f t="shared" si="535"/>
        <v>6.76069042316258</v>
      </c>
      <c r="Y1000" s="72"/>
      <c r="Z1000" s="72"/>
      <c r="AA1000" s="72">
        <f t="shared" si="529"/>
        <v>6.76069042316258</v>
      </c>
      <c r="AB1000" s="81">
        <v>7.11</v>
      </c>
      <c r="AC1000" s="69">
        <f t="shared" si="527"/>
        <v>48.068508908686</v>
      </c>
      <c r="AD1000" s="69">
        <f t="shared" si="530"/>
        <v>709.086326280624</v>
      </c>
      <c r="AE1000" s="69">
        <f t="shared" si="526"/>
        <v>28.9136737193763</v>
      </c>
    </row>
    <row r="1001" customFormat="1" spans="1:31">
      <c r="A1001" s="19"/>
      <c r="B1001" s="20"/>
      <c r="C1001" s="21">
        <v>241029000007</v>
      </c>
      <c r="D1001" s="22">
        <v>45598</v>
      </c>
      <c r="E1001" s="22" t="s">
        <v>66</v>
      </c>
      <c r="F1001" s="20" t="s">
        <v>67</v>
      </c>
      <c r="G1001" s="20" t="s">
        <v>257</v>
      </c>
      <c r="H1001" s="20">
        <v>3.5</v>
      </c>
      <c r="I1001" s="39">
        <v>227.5</v>
      </c>
      <c r="J1001" s="40"/>
      <c r="K1001" s="41"/>
      <c r="L1001" s="40"/>
      <c r="M1001" s="41"/>
      <c r="N1001" s="42"/>
      <c r="O1001" s="43">
        <f t="shared" si="539"/>
        <v>227.5</v>
      </c>
      <c r="P1001" s="45"/>
      <c r="Q1001" s="45"/>
      <c r="R1001" s="69">
        <f t="shared" si="533"/>
        <v>200.322383073497</v>
      </c>
      <c r="S1001" s="69"/>
      <c r="T1001" s="70">
        <f t="shared" si="534"/>
        <v>0.233853006681514</v>
      </c>
      <c r="U1001" s="69"/>
      <c r="V1001" s="69"/>
      <c r="W1001" s="71">
        <f t="shared" si="528"/>
        <v>200.556236080178</v>
      </c>
      <c r="X1001" s="72">
        <f t="shared" si="535"/>
        <v>2.3662416481069</v>
      </c>
      <c r="Y1001" s="72"/>
      <c r="Z1001" s="72"/>
      <c r="AA1001" s="72">
        <f t="shared" si="529"/>
        <v>2.3662416481069</v>
      </c>
      <c r="AB1001" s="81">
        <v>7.11</v>
      </c>
      <c r="AC1001" s="69">
        <f t="shared" si="527"/>
        <v>16.8239781180401</v>
      </c>
      <c r="AD1001" s="69">
        <f t="shared" si="530"/>
        <v>217.380214198218</v>
      </c>
      <c r="AE1001" s="69">
        <f t="shared" si="526"/>
        <v>10.1197858017817</v>
      </c>
    </row>
    <row r="1002" customFormat="1" spans="1:31">
      <c r="A1002" s="19"/>
      <c r="B1002" s="20"/>
      <c r="C1002" s="21">
        <v>241029000013</v>
      </c>
      <c r="D1002" s="22">
        <v>45598</v>
      </c>
      <c r="E1002" s="22" t="s">
        <v>37</v>
      </c>
      <c r="F1002" s="20" t="s">
        <v>38</v>
      </c>
      <c r="G1002" s="20" t="s">
        <v>590</v>
      </c>
      <c r="H1002" s="20">
        <v>1.5</v>
      </c>
      <c r="I1002" s="39">
        <v>136.5</v>
      </c>
      <c r="J1002" s="40"/>
      <c r="K1002" s="41"/>
      <c r="L1002" s="40"/>
      <c r="M1002" s="41"/>
      <c r="N1002" s="42"/>
      <c r="O1002" s="43">
        <f t="shared" si="539"/>
        <v>136.5</v>
      </c>
      <c r="P1002" s="45"/>
      <c r="Q1002" s="45"/>
      <c r="R1002" s="69">
        <f t="shared" si="533"/>
        <v>85.8524498886414</v>
      </c>
      <c r="S1002" s="69"/>
      <c r="T1002" s="70">
        <f t="shared" si="534"/>
        <v>0.10022271714922</v>
      </c>
      <c r="U1002" s="69"/>
      <c r="V1002" s="69"/>
      <c r="W1002" s="71">
        <f t="shared" si="528"/>
        <v>85.9526726057907</v>
      </c>
      <c r="X1002" s="72">
        <f t="shared" si="535"/>
        <v>1.01410356347439</v>
      </c>
      <c r="Y1002" s="72"/>
      <c r="Z1002" s="72"/>
      <c r="AA1002" s="72">
        <f t="shared" si="529"/>
        <v>1.01410356347439</v>
      </c>
      <c r="AB1002" s="81">
        <v>7.11</v>
      </c>
      <c r="AC1002" s="69">
        <f t="shared" si="527"/>
        <v>7.2102763363029</v>
      </c>
      <c r="AD1002" s="69">
        <f t="shared" si="530"/>
        <v>93.1629489420935</v>
      </c>
      <c r="AE1002" s="69">
        <f t="shared" si="526"/>
        <v>43.3370510579065</v>
      </c>
    </row>
    <row r="1003" customFormat="1" spans="1:31">
      <c r="A1003" s="19"/>
      <c r="B1003" s="20"/>
      <c r="C1003" s="21">
        <v>241029000025</v>
      </c>
      <c r="D1003" s="22">
        <v>45598</v>
      </c>
      <c r="E1003" s="22" t="s">
        <v>44</v>
      </c>
      <c r="F1003" s="20" t="s">
        <v>45</v>
      </c>
      <c r="G1003" s="20" t="s">
        <v>591</v>
      </c>
      <c r="H1003" s="20">
        <v>246</v>
      </c>
      <c r="I1003" s="39">
        <v>16309.6</v>
      </c>
      <c r="J1003" s="40"/>
      <c r="K1003" s="41"/>
      <c r="L1003" s="40"/>
      <c r="M1003" s="41"/>
      <c r="N1003" s="42"/>
      <c r="O1003" s="43">
        <f t="shared" si="539"/>
        <v>16309.6</v>
      </c>
      <c r="P1003" s="45"/>
      <c r="Q1003" s="45"/>
      <c r="R1003" s="69">
        <f t="shared" si="533"/>
        <v>14079.8017817372</v>
      </c>
      <c r="S1003" s="69"/>
      <c r="T1003" s="70">
        <f t="shared" si="534"/>
        <v>16.4365256124722</v>
      </c>
      <c r="U1003" s="69"/>
      <c r="V1003" s="70">
        <v>114</v>
      </c>
      <c r="W1003" s="71">
        <f t="shared" si="528"/>
        <v>14210.2383073497</v>
      </c>
      <c r="X1003" s="72">
        <f t="shared" si="535"/>
        <v>166.3129844098</v>
      </c>
      <c r="Y1003" s="72"/>
      <c r="Z1003" s="72"/>
      <c r="AA1003" s="72">
        <f t="shared" si="529"/>
        <v>166.3129844098</v>
      </c>
      <c r="AB1003" s="81">
        <v>7.11</v>
      </c>
      <c r="AC1003" s="69">
        <f t="shared" si="527"/>
        <v>1182.48531915368</v>
      </c>
      <c r="AD1003" s="69">
        <f t="shared" si="530"/>
        <v>15392.7236265033</v>
      </c>
      <c r="AE1003" s="69">
        <f t="shared" si="526"/>
        <v>916.876373496658</v>
      </c>
    </row>
    <row r="1004" customFormat="1" spans="1:31">
      <c r="A1004" s="19"/>
      <c r="B1004" s="20"/>
      <c r="C1004" s="21">
        <v>241029000035</v>
      </c>
      <c r="D1004" s="22">
        <v>45598</v>
      </c>
      <c r="E1004" s="22" t="s">
        <v>55</v>
      </c>
      <c r="F1004" s="20" t="s">
        <v>56</v>
      </c>
      <c r="G1004" s="20" t="s">
        <v>500</v>
      </c>
      <c r="H1004" s="20">
        <v>1.5</v>
      </c>
      <c r="I1004" s="39">
        <v>110</v>
      </c>
      <c r="J1004" s="40"/>
      <c r="K1004" s="41"/>
      <c r="L1004" s="40"/>
      <c r="M1004" s="41"/>
      <c r="N1004" s="42"/>
      <c r="O1004" s="43">
        <f t="shared" si="539"/>
        <v>110</v>
      </c>
      <c r="P1004" s="45"/>
      <c r="Q1004" s="45"/>
      <c r="R1004" s="69">
        <f t="shared" si="533"/>
        <v>85.8524498886414</v>
      </c>
      <c r="S1004" s="69"/>
      <c r="T1004" s="70">
        <f t="shared" si="534"/>
        <v>0.10022271714922</v>
      </c>
      <c r="U1004" s="69"/>
      <c r="V1004" s="69"/>
      <c r="W1004" s="71">
        <f t="shared" si="528"/>
        <v>85.9526726057907</v>
      </c>
      <c r="X1004" s="72">
        <f t="shared" si="535"/>
        <v>1.01410356347439</v>
      </c>
      <c r="Y1004" s="72"/>
      <c r="Z1004" s="72"/>
      <c r="AA1004" s="72">
        <f t="shared" si="529"/>
        <v>1.01410356347439</v>
      </c>
      <c r="AB1004" s="81">
        <v>7.11</v>
      </c>
      <c r="AC1004" s="69">
        <f t="shared" ref="AC1004:AC1016" si="540">SUM(AA1004*AB1004)</f>
        <v>7.2102763363029</v>
      </c>
      <c r="AD1004" s="69">
        <f t="shared" ref="AD1004:AD1016" si="541">SUM(W1004+AC1004)</f>
        <v>93.1629489420935</v>
      </c>
      <c r="AE1004" s="69">
        <f t="shared" si="526"/>
        <v>16.8370510579065</v>
      </c>
    </row>
    <row r="1005" customFormat="1" spans="1:31">
      <c r="A1005" s="19"/>
      <c r="B1005" s="20"/>
      <c r="C1005" s="21">
        <v>241029000046</v>
      </c>
      <c r="D1005" s="22">
        <v>45598</v>
      </c>
      <c r="E1005" s="22" t="s">
        <v>47</v>
      </c>
      <c r="F1005" s="20" t="s">
        <v>47</v>
      </c>
      <c r="G1005" s="20" t="s">
        <v>65</v>
      </c>
      <c r="H1005" s="20">
        <v>0.89133334</v>
      </c>
      <c r="I1005" s="39">
        <v>107.6</v>
      </c>
      <c r="J1005" s="40"/>
      <c r="K1005" s="41"/>
      <c r="L1005" s="40"/>
      <c r="M1005" s="41"/>
      <c r="N1005" s="42"/>
      <c r="O1005" s="43">
        <f t="shared" si="539"/>
        <v>107.6</v>
      </c>
      <c r="P1005" s="49"/>
      <c r="Q1005" s="49"/>
      <c r="R1005" s="69">
        <f t="shared" si="533"/>
        <v>51.0154339376169</v>
      </c>
      <c r="S1005" s="69"/>
      <c r="T1005" s="70">
        <f t="shared" si="534"/>
        <v>0.0595545661469933</v>
      </c>
      <c r="U1005" s="69"/>
      <c r="V1005" s="69"/>
      <c r="W1005" s="71">
        <f t="shared" ref="W1005:W1015" si="542">SUM(R1005:V1005)</f>
        <v>51.0749885037639</v>
      </c>
      <c r="X1005" s="72">
        <f t="shared" si="535"/>
        <v>0.602602877558352</v>
      </c>
      <c r="Y1005" s="72"/>
      <c r="Z1005" s="72"/>
      <c r="AA1005" s="72">
        <f t="shared" ref="AA1005:AA1015" si="543">SUM(X1005:Z1005)</f>
        <v>0.602602877558352</v>
      </c>
      <c r="AB1005" s="81">
        <v>7.11</v>
      </c>
      <c r="AC1005" s="69">
        <f t="shared" si="540"/>
        <v>4.28450645943988</v>
      </c>
      <c r="AD1005" s="69">
        <f t="shared" si="541"/>
        <v>55.3594949632038</v>
      </c>
      <c r="AE1005" s="69">
        <f t="shared" ref="AE1005:AE1015" si="544">SUM(O1005-AD1005)</f>
        <v>52.2405050367962</v>
      </c>
    </row>
    <row r="1006" customFormat="1" spans="1:31">
      <c r="A1006" s="19" t="s">
        <v>592</v>
      </c>
      <c r="B1006" s="20" t="s">
        <v>593</v>
      </c>
      <c r="C1006" s="21">
        <v>241026000015</v>
      </c>
      <c r="D1006" s="22">
        <v>45596</v>
      </c>
      <c r="E1006" s="22" t="s">
        <v>37</v>
      </c>
      <c r="F1006" s="20" t="s">
        <v>38</v>
      </c>
      <c r="G1006" s="20" t="s">
        <v>495</v>
      </c>
      <c r="H1006" s="20">
        <v>0.62</v>
      </c>
      <c r="I1006" s="39">
        <v>115</v>
      </c>
      <c r="J1006" s="40"/>
      <c r="K1006" s="41"/>
      <c r="L1006" s="20"/>
      <c r="M1006" s="41"/>
      <c r="N1006" s="42"/>
      <c r="O1006" s="43">
        <f t="shared" si="539"/>
        <v>115</v>
      </c>
      <c r="P1006" s="44">
        <f>SUM(O1006:O1015)</f>
        <v>6909.7641</v>
      </c>
      <c r="Q1006" s="44" t="s">
        <v>40</v>
      </c>
      <c r="R1006" s="69">
        <f>SUM(3600/55)*H1006</f>
        <v>40.5818181818182</v>
      </c>
      <c r="S1006" s="69"/>
      <c r="T1006" s="70">
        <f>SUM(45.98/55)*H1006</f>
        <v>0.51832</v>
      </c>
      <c r="U1006" s="69"/>
      <c r="V1006" s="69"/>
      <c r="W1006" s="71">
        <f t="shared" si="542"/>
        <v>41.1001381818182</v>
      </c>
      <c r="X1006" s="72">
        <f>SUM(212.18/55)*H1006</f>
        <v>2.39184727272727</v>
      </c>
      <c r="Y1006" s="72"/>
      <c r="Z1006" s="72"/>
      <c r="AA1006" s="72">
        <f t="shared" si="543"/>
        <v>2.39184727272727</v>
      </c>
      <c r="AB1006" s="81">
        <v>7.11</v>
      </c>
      <c r="AC1006" s="69">
        <f t="shared" si="540"/>
        <v>17.0060341090909</v>
      </c>
      <c r="AD1006" s="69">
        <f t="shared" si="541"/>
        <v>58.1061722909091</v>
      </c>
      <c r="AE1006" s="69">
        <f t="shared" si="544"/>
        <v>56.8938277090909</v>
      </c>
    </row>
    <row r="1007" customFormat="1" spans="1:31">
      <c r="A1007" s="19"/>
      <c r="B1007" s="20"/>
      <c r="C1007" s="21">
        <v>241027000002</v>
      </c>
      <c r="D1007" s="22">
        <v>45596</v>
      </c>
      <c r="E1007" s="22" t="s">
        <v>41</v>
      </c>
      <c r="F1007" s="20" t="s">
        <v>42</v>
      </c>
      <c r="G1007" s="20" t="s">
        <v>594</v>
      </c>
      <c r="H1007" s="20">
        <v>15.5</v>
      </c>
      <c r="I1007" s="39">
        <v>1782</v>
      </c>
      <c r="J1007" s="40"/>
      <c r="K1007" s="41"/>
      <c r="L1007" s="20"/>
      <c r="M1007" s="41"/>
      <c r="N1007" s="42"/>
      <c r="O1007" s="43">
        <f t="shared" si="539"/>
        <v>1782</v>
      </c>
      <c r="P1007" s="45"/>
      <c r="Q1007" s="45"/>
      <c r="R1007" s="69">
        <f t="shared" ref="R1007:R1015" si="545">SUM(3600/55)*H1007</f>
        <v>1014.54545454545</v>
      </c>
      <c r="S1007" s="69"/>
      <c r="T1007" s="70">
        <f t="shared" ref="T1007:T1015" si="546">SUM(45.98/55)*H1007</f>
        <v>12.958</v>
      </c>
      <c r="U1007" s="69"/>
      <c r="V1007" s="69"/>
      <c r="W1007" s="71">
        <f t="shared" si="542"/>
        <v>1027.50345454545</v>
      </c>
      <c r="X1007" s="72">
        <f t="shared" ref="X1007:X1015" si="547">SUM(212.18/55)*H1007</f>
        <v>59.7961818181818</v>
      </c>
      <c r="Y1007" s="72"/>
      <c r="Z1007" s="72"/>
      <c r="AA1007" s="72">
        <f t="shared" si="543"/>
        <v>59.7961818181818</v>
      </c>
      <c r="AB1007" s="81">
        <v>7.11</v>
      </c>
      <c r="AC1007" s="69">
        <f t="shared" si="540"/>
        <v>425.150852727273</v>
      </c>
      <c r="AD1007" s="69">
        <f t="shared" si="541"/>
        <v>1452.65430727273</v>
      </c>
      <c r="AE1007" s="69">
        <f t="shared" si="544"/>
        <v>329.345692727273</v>
      </c>
    </row>
    <row r="1008" customFormat="1" spans="1:31">
      <c r="A1008" s="19"/>
      <c r="B1008" s="20"/>
      <c r="C1008" s="21">
        <v>241028000023</v>
      </c>
      <c r="D1008" s="22">
        <v>45596</v>
      </c>
      <c r="E1008" s="22" t="s">
        <v>55</v>
      </c>
      <c r="F1008" s="20" t="s">
        <v>56</v>
      </c>
      <c r="G1008" s="20" t="s">
        <v>500</v>
      </c>
      <c r="H1008" s="20">
        <v>5</v>
      </c>
      <c r="I1008" s="39">
        <v>575</v>
      </c>
      <c r="J1008" s="40"/>
      <c r="K1008" s="41"/>
      <c r="L1008" s="20"/>
      <c r="M1008" s="41"/>
      <c r="N1008" s="42"/>
      <c r="O1008" s="43">
        <f t="shared" si="539"/>
        <v>575</v>
      </c>
      <c r="P1008" s="45"/>
      <c r="Q1008" s="45"/>
      <c r="R1008" s="69">
        <f t="shared" si="545"/>
        <v>327.272727272727</v>
      </c>
      <c r="S1008" s="69"/>
      <c r="T1008" s="70">
        <f t="shared" si="546"/>
        <v>4.18</v>
      </c>
      <c r="U1008" s="69"/>
      <c r="V1008" s="69"/>
      <c r="W1008" s="71">
        <f t="shared" si="542"/>
        <v>331.452727272727</v>
      </c>
      <c r="X1008" s="72">
        <f t="shared" si="547"/>
        <v>19.2890909090909</v>
      </c>
      <c r="Y1008" s="72"/>
      <c r="Z1008" s="72"/>
      <c r="AA1008" s="72">
        <f t="shared" si="543"/>
        <v>19.2890909090909</v>
      </c>
      <c r="AB1008" s="81">
        <v>7.11</v>
      </c>
      <c r="AC1008" s="69">
        <f t="shared" si="540"/>
        <v>137.145436363636</v>
      </c>
      <c r="AD1008" s="69">
        <f t="shared" si="541"/>
        <v>468.598163636364</v>
      </c>
      <c r="AE1008" s="69">
        <f t="shared" si="544"/>
        <v>106.401836363636</v>
      </c>
    </row>
    <row r="1009" customFormat="1" spans="1:31">
      <c r="A1009" s="19"/>
      <c r="B1009" s="20"/>
      <c r="C1009" s="21">
        <v>241028000038</v>
      </c>
      <c r="D1009" s="22">
        <v>45596</v>
      </c>
      <c r="E1009" s="22" t="s">
        <v>37</v>
      </c>
      <c r="F1009" s="20" t="s">
        <v>38</v>
      </c>
      <c r="G1009" s="20" t="s">
        <v>186</v>
      </c>
      <c r="H1009" s="20">
        <v>23</v>
      </c>
      <c r="I1009" s="50"/>
      <c r="J1009" s="46">
        <v>642735</v>
      </c>
      <c r="K1009" s="41"/>
      <c r="L1009" s="47">
        <f>SUM(J1009/M1009)</f>
        <v>1727.7358135534</v>
      </c>
      <c r="M1009" s="48">
        <v>372.01</v>
      </c>
      <c r="N1009" s="42">
        <v>7.11</v>
      </c>
      <c r="O1009" s="43">
        <f>SUM(M1009*N1009)</f>
        <v>2644.9911</v>
      </c>
      <c r="P1009" s="45"/>
      <c r="Q1009" s="45"/>
      <c r="R1009" s="69">
        <f t="shared" si="545"/>
        <v>1505.45454545455</v>
      </c>
      <c r="S1009" s="69"/>
      <c r="T1009" s="70">
        <f t="shared" si="546"/>
        <v>19.228</v>
      </c>
      <c r="U1009" s="69"/>
      <c r="V1009" s="69"/>
      <c r="W1009" s="71">
        <f t="shared" si="542"/>
        <v>1524.68254545455</v>
      </c>
      <c r="X1009" s="72">
        <f t="shared" si="547"/>
        <v>88.7298181818182</v>
      </c>
      <c r="Y1009" s="72"/>
      <c r="Z1009" s="72"/>
      <c r="AA1009" s="72">
        <f t="shared" si="543"/>
        <v>88.7298181818182</v>
      </c>
      <c r="AB1009" s="81">
        <v>7.11</v>
      </c>
      <c r="AC1009" s="69">
        <f t="shared" si="540"/>
        <v>630.869007272727</v>
      </c>
      <c r="AD1009" s="69">
        <f t="shared" si="541"/>
        <v>2155.55155272727</v>
      </c>
      <c r="AE1009" s="69">
        <f t="shared" si="544"/>
        <v>489.439547272727</v>
      </c>
    </row>
    <row r="1010" customFormat="1" spans="1:31">
      <c r="A1010" s="19"/>
      <c r="B1010" s="20"/>
      <c r="C1010" s="21">
        <v>241029000005</v>
      </c>
      <c r="D1010" s="22">
        <v>45596</v>
      </c>
      <c r="E1010" s="22" t="s">
        <v>66</v>
      </c>
      <c r="F1010" s="20" t="s">
        <v>67</v>
      </c>
      <c r="G1010" s="20" t="s">
        <v>139</v>
      </c>
      <c r="H1010" s="20">
        <v>3.5</v>
      </c>
      <c r="I1010" s="39">
        <v>402.5</v>
      </c>
      <c r="J1010" s="40"/>
      <c r="K1010" s="41"/>
      <c r="L1010" s="20"/>
      <c r="M1010" s="41"/>
      <c r="N1010" s="42"/>
      <c r="O1010" s="43">
        <f t="shared" ref="O1010:O1017" si="548">SUM(I1010)</f>
        <v>402.5</v>
      </c>
      <c r="P1010" s="45"/>
      <c r="Q1010" s="45"/>
      <c r="R1010" s="69">
        <f t="shared" si="545"/>
        <v>229.090909090909</v>
      </c>
      <c r="S1010" s="69"/>
      <c r="T1010" s="70">
        <f t="shared" si="546"/>
        <v>2.926</v>
      </c>
      <c r="U1010" s="69"/>
      <c r="V1010" s="69"/>
      <c r="W1010" s="71">
        <f t="shared" si="542"/>
        <v>232.016909090909</v>
      </c>
      <c r="X1010" s="72">
        <f t="shared" si="547"/>
        <v>13.5023636363636</v>
      </c>
      <c r="Y1010" s="72"/>
      <c r="Z1010" s="72"/>
      <c r="AA1010" s="72">
        <f t="shared" si="543"/>
        <v>13.5023636363636</v>
      </c>
      <c r="AB1010" s="81">
        <v>7.11</v>
      </c>
      <c r="AC1010" s="69">
        <f t="shared" si="540"/>
        <v>96.0018054545455</v>
      </c>
      <c r="AD1010" s="69">
        <f t="shared" si="541"/>
        <v>328.018714545455</v>
      </c>
      <c r="AE1010" s="69">
        <f t="shared" si="544"/>
        <v>74.4812854545455</v>
      </c>
    </row>
    <row r="1011" customFormat="1" spans="1:31">
      <c r="A1011" s="19"/>
      <c r="B1011" s="20"/>
      <c r="C1011" s="21">
        <v>241029000008</v>
      </c>
      <c r="D1011" s="22">
        <v>45596</v>
      </c>
      <c r="E1011" s="22" t="s">
        <v>66</v>
      </c>
      <c r="F1011" s="20" t="s">
        <v>67</v>
      </c>
      <c r="G1011" s="20" t="s">
        <v>332</v>
      </c>
      <c r="H1011" s="20">
        <v>1.5</v>
      </c>
      <c r="I1011" s="39">
        <v>340</v>
      </c>
      <c r="J1011" s="40"/>
      <c r="K1011" s="41"/>
      <c r="L1011" s="20"/>
      <c r="M1011" s="41"/>
      <c r="N1011" s="42"/>
      <c r="O1011" s="43">
        <f t="shared" si="548"/>
        <v>340</v>
      </c>
      <c r="P1011" s="45"/>
      <c r="Q1011" s="45"/>
      <c r="R1011" s="69">
        <f t="shared" si="545"/>
        <v>98.1818181818182</v>
      </c>
      <c r="S1011" s="69"/>
      <c r="T1011" s="70">
        <f t="shared" si="546"/>
        <v>1.254</v>
      </c>
      <c r="U1011" s="69"/>
      <c r="V1011" s="69"/>
      <c r="W1011" s="71">
        <f t="shared" si="542"/>
        <v>99.4358181818182</v>
      </c>
      <c r="X1011" s="72">
        <f t="shared" si="547"/>
        <v>5.78672727272727</v>
      </c>
      <c r="Y1011" s="72"/>
      <c r="Z1011" s="72"/>
      <c r="AA1011" s="72">
        <f t="shared" si="543"/>
        <v>5.78672727272727</v>
      </c>
      <c r="AB1011" s="81">
        <v>7.11</v>
      </c>
      <c r="AC1011" s="69">
        <f t="shared" si="540"/>
        <v>41.1436309090909</v>
      </c>
      <c r="AD1011" s="69">
        <f t="shared" si="541"/>
        <v>140.579449090909</v>
      </c>
      <c r="AE1011" s="69">
        <f t="shared" si="544"/>
        <v>199.420550909091</v>
      </c>
    </row>
    <row r="1012" customFormat="1" spans="1:31">
      <c r="A1012" s="19"/>
      <c r="B1012" s="20"/>
      <c r="C1012" s="21">
        <v>241029000011</v>
      </c>
      <c r="D1012" s="22">
        <v>45596</v>
      </c>
      <c r="E1012" s="22" t="s">
        <v>41</v>
      </c>
      <c r="F1012" s="20" t="s">
        <v>42</v>
      </c>
      <c r="G1012" s="20" t="s">
        <v>595</v>
      </c>
      <c r="H1012" s="20">
        <v>1.5</v>
      </c>
      <c r="I1012" s="43"/>
      <c r="J1012" s="46">
        <v>42411.45</v>
      </c>
      <c r="K1012" s="41"/>
      <c r="L1012" s="47">
        <f>SUM(J1012/M1012)</f>
        <v>1745.32716049383</v>
      </c>
      <c r="M1012" s="48">
        <v>24.3</v>
      </c>
      <c r="N1012" s="42">
        <v>7.11</v>
      </c>
      <c r="O1012" s="43">
        <f>SUM(M1012*N1012)</f>
        <v>172.773</v>
      </c>
      <c r="P1012" s="45"/>
      <c r="Q1012" s="45"/>
      <c r="R1012" s="69">
        <f t="shared" si="545"/>
        <v>98.1818181818182</v>
      </c>
      <c r="S1012" s="69"/>
      <c r="T1012" s="70">
        <f t="shared" si="546"/>
        <v>1.254</v>
      </c>
      <c r="U1012" s="69"/>
      <c r="V1012" s="69"/>
      <c r="W1012" s="71">
        <f t="shared" si="542"/>
        <v>99.4358181818182</v>
      </c>
      <c r="X1012" s="72">
        <f t="shared" si="547"/>
        <v>5.78672727272727</v>
      </c>
      <c r="Y1012" s="72"/>
      <c r="Z1012" s="72"/>
      <c r="AA1012" s="72">
        <f t="shared" si="543"/>
        <v>5.78672727272727</v>
      </c>
      <c r="AB1012" s="81">
        <v>7.11</v>
      </c>
      <c r="AC1012" s="69">
        <f t="shared" si="540"/>
        <v>41.1436309090909</v>
      </c>
      <c r="AD1012" s="69">
        <f t="shared" si="541"/>
        <v>140.579449090909</v>
      </c>
      <c r="AE1012" s="69">
        <f t="shared" si="544"/>
        <v>32.1935509090909</v>
      </c>
    </row>
    <row r="1013" customFormat="1" spans="1:31">
      <c r="A1013" s="19"/>
      <c r="B1013" s="20"/>
      <c r="C1013" s="21">
        <v>241029000018</v>
      </c>
      <c r="D1013" s="22">
        <v>45596</v>
      </c>
      <c r="E1013" s="22" t="s">
        <v>37</v>
      </c>
      <c r="F1013" s="20" t="s">
        <v>38</v>
      </c>
      <c r="G1013" s="20" t="s">
        <v>495</v>
      </c>
      <c r="H1013" s="20">
        <v>2.5</v>
      </c>
      <c r="I1013" s="39">
        <v>287.5</v>
      </c>
      <c r="J1013" s="40"/>
      <c r="K1013" s="41"/>
      <c r="L1013" s="20"/>
      <c r="M1013" s="41"/>
      <c r="N1013" s="42"/>
      <c r="O1013" s="43">
        <f t="shared" si="548"/>
        <v>287.5</v>
      </c>
      <c r="P1013" s="45"/>
      <c r="Q1013" s="45"/>
      <c r="R1013" s="69">
        <f t="shared" si="545"/>
        <v>163.636363636364</v>
      </c>
      <c r="S1013" s="69"/>
      <c r="T1013" s="70">
        <f t="shared" si="546"/>
        <v>2.09</v>
      </c>
      <c r="U1013" s="69"/>
      <c r="V1013" s="70">
        <v>33</v>
      </c>
      <c r="W1013" s="71">
        <f t="shared" si="542"/>
        <v>198.726363636364</v>
      </c>
      <c r="X1013" s="72">
        <f t="shared" si="547"/>
        <v>9.64454545454545</v>
      </c>
      <c r="Y1013" s="72"/>
      <c r="Z1013" s="72"/>
      <c r="AA1013" s="72">
        <f t="shared" si="543"/>
        <v>9.64454545454545</v>
      </c>
      <c r="AB1013" s="81">
        <v>7.11</v>
      </c>
      <c r="AC1013" s="69">
        <f t="shared" si="540"/>
        <v>68.5727181818182</v>
      </c>
      <c r="AD1013" s="69">
        <f t="shared" si="541"/>
        <v>267.299081818182</v>
      </c>
      <c r="AE1013" s="69">
        <f t="shared" si="544"/>
        <v>20.2009181818182</v>
      </c>
    </row>
    <row r="1014" customFormat="1" spans="1:31">
      <c r="A1014" s="19"/>
      <c r="B1014" s="20"/>
      <c r="C1014" s="21">
        <v>241030000003</v>
      </c>
      <c r="D1014" s="22">
        <v>45596</v>
      </c>
      <c r="E1014" s="22" t="s">
        <v>66</v>
      </c>
      <c r="F1014" s="20" t="s">
        <v>67</v>
      </c>
      <c r="G1014" s="20" t="s">
        <v>129</v>
      </c>
      <c r="H1014" s="20">
        <v>2</v>
      </c>
      <c r="I1014" s="39">
        <v>240</v>
      </c>
      <c r="J1014" s="40"/>
      <c r="K1014" s="41"/>
      <c r="L1014" s="20"/>
      <c r="M1014" s="41"/>
      <c r="N1014" s="42"/>
      <c r="O1014" s="43">
        <f t="shared" si="548"/>
        <v>240</v>
      </c>
      <c r="P1014" s="45"/>
      <c r="Q1014" s="45"/>
      <c r="R1014" s="69">
        <f t="shared" si="545"/>
        <v>130.909090909091</v>
      </c>
      <c r="S1014" s="69"/>
      <c r="T1014" s="70">
        <f t="shared" si="546"/>
        <v>1.672</v>
      </c>
      <c r="U1014" s="69"/>
      <c r="V1014" s="69"/>
      <c r="W1014" s="71">
        <f t="shared" si="542"/>
        <v>132.581090909091</v>
      </c>
      <c r="X1014" s="72">
        <f t="shared" si="547"/>
        <v>7.71563636363636</v>
      </c>
      <c r="Y1014" s="72"/>
      <c r="Z1014" s="72"/>
      <c r="AA1014" s="72">
        <f t="shared" si="543"/>
        <v>7.71563636363636</v>
      </c>
      <c r="AB1014" s="81">
        <v>7.11</v>
      </c>
      <c r="AC1014" s="69">
        <f t="shared" si="540"/>
        <v>54.8581745454545</v>
      </c>
      <c r="AD1014" s="69">
        <f t="shared" si="541"/>
        <v>187.439265454545</v>
      </c>
      <c r="AE1014" s="69">
        <f t="shared" si="544"/>
        <v>52.5607345454546</v>
      </c>
    </row>
    <row r="1015" customFormat="1" spans="1:31">
      <c r="A1015" s="19"/>
      <c r="B1015" s="20"/>
      <c r="C1015" s="21">
        <v>241030000004</v>
      </c>
      <c r="D1015" s="22">
        <v>45596</v>
      </c>
      <c r="E1015" s="22" t="s">
        <v>66</v>
      </c>
      <c r="F1015" s="20" t="s">
        <v>67</v>
      </c>
      <c r="G1015" s="20" t="s">
        <v>79</v>
      </c>
      <c r="H1015" s="20">
        <v>2</v>
      </c>
      <c r="I1015" s="39">
        <v>350</v>
      </c>
      <c r="J1015" s="40"/>
      <c r="K1015" s="41"/>
      <c r="L1015" s="20"/>
      <c r="M1015" s="41"/>
      <c r="N1015" s="42"/>
      <c r="O1015" s="43">
        <f t="shared" si="548"/>
        <v>350</v>
      </c>
      <c r="P1015" s="49"/>
      <c r="Q1015" s="49"/>
      <c r="R1015" s="69">
        <f t="shared" si="545"/>
        <v>130.909090909091</v>
      </c>
      <c r="S1015" s="69"/>
      <c r="T1015" s="70">
        <f t="shared" si="546"/>
        <v>1.672</v>
      </c>
      <c r="U1015" s="69"/>
      <c r="V1015" s="69"/>
      <c r="W1015" s="71">
        <f t="shared" si="542"/>
        <v>132.581090909091</v>
      </c>
      <c r="X1015" s="72">
        <f t="shared" si="547"/>
        <v>7.71563636363636</v>
      </c>
      <c r="Y1015" s="72"/>
      <c r="Z1015" s="72"/>
      <c r="AA1015" s="72">
        <f t="shared" si="543"/>
        <v>7.71563636363636</v>
      </c>
      <c r="AB1015" s="81">
        <v>7.11</v>
      </c>
      <c r="AC1015" s="69">
        <f t="shared" si="540"/>
        <v>54.8581745454545</v>
      </c>
      <c r="AD1015" s="69">
        <f t="shared" si="541"/>
        <v>187.439265454545</v>
      </c>
      <c r="AE1015" s="69">
        <f t="shared" si="544"/>
        <v>162.560734545455</v>
      </c>
    </row>
    <row r="1016" customFormat="1" spans="1:31">
      <c r="A1016" s="19" t="s">
        <v>596</v>
      </c>
      <c r="B1016" s="20" t="s">
        <v>597</v>
      </c>
      <c r="C1016" s="21">
        <v>241031000030</v>
      </c>
      <c r="D1016" s="22">
        <v>45605</v>
      </c>
      <c r="E1016" s="22" t="s">
        <v>66</v>
      </c>
      <c r="F1016" s="20" t="s">
        <v>67</v>
      </c>
      <c r="G1016" s="20" t="s">
        <v>598</v>
      </c>
      <c r="H1016" s="20">
        <v>1861.5</v>
      </c>
      <c r="I1016" s="39">
        <v>110807</v>
      </c>
      <c r="J1016" s="43"/>
      <c r="K1016" s="41"/>
      <c r="L1016" s="43"/>
      <c r="M1016" s="41"/>
      <c r="N1016" s="42"/>
      <c r="O1016" s="43">
        <f t="shared" si="548"/>
        <v>110807</v>
      </c>
      <c r="P1016" s="44">
        <f>SUM(O1016:O1017)</f>
        <v>122912</v>
      </c>
      <c r="Q1016" s="44" t="s">
        <v>95</v>
      </c>
      <c r="R1016" s="44">
        <v>96036</v>
      </c>
      <c r="S1016" s="44"/>
      <c r="T1016" s="124">
        <v>192</v>
      </c>
      <c r="U1016" s="70">
        <f>SUM(60+180+250)</f>
        <v>490</v>
      </c>
      <c r="V1016" s="44"/>
      <c r="W1016" s="44">
        <f>SUM(R1016:V1017)</f>
        <v>96718</v>
      </c>
      <c r="X1016" s="125">
        <v>1083.09</v>
      </c>
      <c r="Y1016" s="72">
        <v>281.29</v>
      </c>
      <c r="Z1016" s="125"/>
      <c r="AA1016" s="125">
        <f>SUM(X1016:Z1017)</f>
        <v>1364.38</v>
      </c>
      <c r="AB1016" s="128">
        <v>7.11</v>
      </c>
      <c r="AC1016" s="44">
        <f t="shared" si="540"/>
        <v>9700.7418</v>
      </c>
      <c r="AD1016" s="44">
        <f t="shared" si="541"/>
        <v>106418.7418</v>
      </c>
      <c r="AE1016" s="44">
        <f>SUM(P1016-AD1016)</f>
        <v>16493.2582</v>
      </c>
    </row>
    <row r="1017" customFormat="1" spans="1:31">
      <c r="A1017" s="19"/>
      <c r="B1017" s="20"/>
      <c r="C1017" s="21">
        <v>241031000032</v>
      </c>
      <c r="D1017" s="22">
        <v>45605</v>
      </c>
      <c r="E1017" s="22" t="s">
        <v>66</v>
      </c>
      <c r="F1017" s="20" t="s">
        <v>67</v>
      </c>
      <c r="G1017" s="20" t="s">
        <v>598</v>
      </c>
      <c r="H1017" s="20">
        <v>197.5</v>
      </c>
      <c r="I1017" s="39">
        <v>12105</v>
      </c>
      <c r="J1017" s="43"/>
      <c r="K1017" s="41"/>
      <c r="L1017" s="43"/>
      <c r="M1017" s="41"/>
      <c r="N1017" s="42"/>
      <c r="O1017" s="43">
        <f t="shared" si="548"/>
        <v>12105</v>
      </c>
      <c r="P1017" s="49"/>
      <c r="Q1017" s="49"/>
      <c r="R1017" s="49"/>
      <c r="S1017" s="49"/>
      <c r="T1017" s="126"/>
      <c r="U1017" s="69"/>
      <c r="V1017" s="49"/>
      <c r="W1017" s="49"/>
      <c r="X1017" s="127"/>
      <c r="Y1017" s="72"/>
      <c r="Z1017" s="127"/>
      <c r="AA1017" s="127"/>
      <c r="AB1017" s="129"/>
      <c r="AC1017" s="49"/>
      <c r="AD1017" s="49"/>
      <c r="AE1017" s="49"/>
    </row>
    <row r="1018" spans="1:31">
      <c r="A1018" s="119" t="s">
        <v>599</v>
      </c>
      <c r="B1018" s="120"/>
      <c r="C1018" s="120"/>
      <c r="D1018" s="120"/>
      <c r="E1018" s="120"/>
      <c r="F1018" s="120"/>
      <c r="G1018" s="120"/>
      <c r="H1018" s="120"/>
      <c r="I1018" s="121">
        <f>SUM(I3:I1017)</f>
        <v>1804865.71901</v>
      </c>
      <c r="J1018" s="122"/>
      <c r="K1018" s="123"/>
      <c r="L1018" s="122"/>
      <c r="M1018" s="122">
        <f>SUM(M3:M1017)</f>
        <v>72621.089856</v>
      </c>
      <c r="N1018" s="120"/>
      <c r="O1018" s="121">
        <f>SUM(O3:O1017)</f>
        <v>2321201.66788616</v>
      </c>
      <c r="P1018" s="121">
        <f>SUM(P3:P1017)</f>
        <v>2321201.66788616</v>
      </c>
      <c r="Q1018" s="120"/>
      <c r="R1018" s="120"/>
      <c r="S1018" s="120"/>
      <c r="T1018" s="120"/>
      <c r="U1018" s="120"/>
      <c r="V1018" s="120"/>
      <c r="W1018" s="71">
        <f>SUM(W3:W3)</f>
        <v>0</v>
      </c>
      <c r="X1018" s="123"/>
      <c r="Y1018" s="123"/>
      <c r="Z1018" s="123"/>
      <c r="AA1018" s="123"/>
      <c r="AB1018" s="122"/>
      <c r="AC1018" s="122"/>
      <c r="AD1018" s="120"/>
      <c r="AE1018" s="130">
        <f>SUM(AE4:AE1017)</f>
        <v>347594.163237376</v>
      </c>
    </row>
    <row r="1021" customFormat="1" spans="4:28">
      <c r="D1021" s="3"/>
      <c r="E1021" s="3"/>
      <c r="J1021" s="4"/>
      <c r="K1021" s="5"/>
      <c r="L1021" s="4"/>
      <c r="W1021" s="7"/>
      <c r="X1021" s="5"/>
      <c r="Y1021" s="5"/>
      <c r="Z1021" s="5"/>
      <c r="AA1021" s="5"/>
      <c r="AB1021" s="4"/>
    </row>
    <row r="1022" customFormat="1" spans="4:28">
      <c r="D1022" s="3"/>
      <c r="E1022" s="3"/>
      <c r="J1022" s="4"/>
      <c r="K1022" s="5"/>
      <c r="L1022" s="4"/>
      <c r="W1022" s="7"/>
      <c r="X1022" s="5"/>
      <c r="Y1022" s="5"/>
      <c r="Z1022" s="5"/>
      <c r="AA1022" s="5"/>
      <c r="AB1022" s="4"/>
    </row>
    <row r="1023" customFormat="1" spans="4:28">
      <c r="D1023" s="3"/>
      <c r="E1023" s="3"/>
      <c r="J1023" s="4"/>
      <c r="K1023" s="5"/>
      <c r="L1023" s="4"/>
      <c r="W1023" s="7"/>
      <c r="X1023" s="5"/>
      <c r="Y1023" s="5"/>
      <c r="Z1023" s="5"/>
      <c r="AA1023" s="5"/>
      <c r="AB1023" s="4"/>
    </row>
    <row r="1024" customFormat="1" spans="4:28">
      <c r="D1024" s="3"/>
      <c r="E1024" s="3"/>
      <c r="J1024" s="4"/>
      <c r="K1024" s="5"/>
      <c r="L1024" s="4"/>
      <c r="W1024" s="7"/>
      <c r="X1024" s="5"/>
      <c r="Y1024" s="5"/>
      <c r="Z1024" s="5"/>
      <c r="AA1024" s="5"/>
      <c r="AB1024" s="4"/>
    </row>
    <row r="1025" customFormat="1" spans="4:28">
      <c r="D1025" s="3"/>
      <c r="E1025" s="3"/>
      <c r="J1025" s="4"/>
      <c r="K1025" s="5"/>
      <c r="L1025" s="4"/>
      <c r="W1025" s="7"/>
      <c r="X1025" s="5"/>
      <c r="Y1025" s="5"/>
      <c r="Z1025" s="5"/>
      <c r="AA1025" s="5"/>
      <c r="AB1025" s="4"/>
    </row>
    <row r="1026" customFormat="1" spans="4:28">
      <c r="D1026" s="3"/>
      <c r="E1026" s="3"/>
      <c r="J1026" s="4"/>
      <c r="K1026" s="5"/>
      <c r="L1026" s="4"/>
      <c r="W1026" s="7"/>
      <c r="X1026" s="5"/>
      <c r="Y1026" s="5"/>
      <c r="Z1026" s="5"/>
      <c r="AA1026" s="5"/>
      <c r="AB1026" s="4"/>
    </row>
    <row r="1027" customFormat="1" spans="4:28">
      <c r="D1027" s="3"/>
      <c r="E1027" s="3"/>
      <c r="J1027" s="4"/>
      <c r="K1027" s="5"/>
      <c r="L1027" s="4"/>
      <c r="W1027" s="7"/>
      <c r="X1027" s="5"/>
      <c r="Y1027" s="5"/>
      <c r="Z1027" s="5"/>
      <c r="AA1027" s="5"/>
      <c r="AB1027" s="4"/>
    </row>
    <row r="1028" customFormat="1" spans="4:28">
      <c r="D1028" s="3"/>
      <c r="E1028" s="3"/>
      <c r="J1028" s="4"/>
      <c r="K1028" s="5"/>
      <c r="L1028" s="4"/>
      <c r="W1028" s="7"/>
      <c r="X1028" s="5"/>
      <c r="Y1028" s="5"/>
      <c r="Z1028" s="5"/>
      <c r="AA1028" s="5"/>
      <c r="AB1028" s="4"/>
    </row>
    <row r="1029" customFormat="1" spans="4:28">
      <c r="D1029" s="3"/>
      <c r="E1029" s="3"/>
      <c r="J1029" s="4"/>
      <c r="K1029" s="5"/>
      <c r="L1029" s="4"/>
      <c r="W1029" s="7"/>
      <c r="X1029" s="5"/>
      <c r="Y1029" s="5"/>
      <c r="Z1029" s="5"/>
      <c r="AA1029" s="5"/>
      <c r="AB1029" s="4"/>
    </row>
    <row r="1030" customFormat="1" spans="4:28">
      <c r="D1030" s="3"/>
      <c r="E1030" s="3"/>
      <c r="J1030" s="4"/>
      <c r="K1030" s="5"/>
      <c r="L1030" s="4"/>
      <c r="W1030" s="7"/>
      <c r="X1030" s="5"/>
      <c r="Y1030" s="5"/>
      <c r="Z1030" s="5"/>
      <c r="AA1030" s="5"/>
      <c r="AB1030" s="4"/>
    </row>
    <row r="1031" customFormat="1" spans="4:28">
      <c r="D1031" s="3"/>
      <c r="E1031" s="3"/>
      <c r="J1031" s="4"/>
      <c r="K1031" s="5"/>
      <c r="L1031" s="4"/>
      <c r="W1031" s="7"/>
      <c r="X1031" s="5"/>
      <c r="Y1031" s="5"/>
      <c r="Z1031" s="5"/>
      <c r="AA1031" s="5"/>
      <c r="AB1031" s="4"/>
    </row>
    <row r="1032" customFormat="1" spans="4:28">
      <c r="D1032" s="3"/>
      <c r="E1032" s="3"/>
      <c r="J1032" s="4"/>
      <c r="K1032" s="5"/>
      <c r="L1032" s="4"/>
      <c r="W1032" s="7"/>
      <c r="X1032" s="5"/>
      <c r="Y1032" s="5"/>
      <c r="Z1032" s="5"/>
      <c r="AA1032" s="5"/>
      <c r="AB1032" s="4"/>
    </row>
    <row r="1033" customFormat="1" spans="4:28">
      <c r="D1033" s="3"/>
      <c r="E1033" s="3"/>
      <c r="J1033" s="4"/>
      <c r="K1033" s="5"/>
      <c r="L1033" s="4"/>
      <c r="W1033" s="7"/>
      <c r="X1033" s="5"/>
      <c r="Y1033" s="5"/>
      <c r="Z1033" s="5"/>
      <c r="AA1033" s="5"/>
      <c r="AB1033" s="4"/>
    </row>
    <row r="1034" customFormat="1" spans="4:28">
      <c r="D1034" s="3"/>
      <c r="E1034" s="3"/>
      <c r="J1034" s="4"/>
      <c r="K1034" s="5"/>
      <c r="L1034" s="4"/>
      <c r="W1034" s="7"/>
      <c r="X1034" s="5"/>
      <c r="Y1034" s="5"/>
      <c r="Z1034" s="5"/>
      <c r="AA1034" s="5"/>
      <c r="AB1034" s="4"/>
    </row>
    <row r="1035" customFormat="1" spans="4:28">
      <c r="D1035" s="3"/>
      <c r="E1035" s="3"/>
      <c r="J1035" s="4"/>
      <c r="K1035" s="5"/>
      <c r="L1035" s="4"/>
      <c r="W1035" s="7"/>
      <c r="X1035" s="5"/>
      <c r="Y1035" s="5"/>
      <c r="Z1035" s="5"/>
      <c r="AA1035" s="5"/>
      <c r="AB1035" s="4"/>
    </row>
    <row r="1036" customFormat="1" spans="4:28">
      <c r="D1036" s="3"/>
      <c r="E1036" s="3"/>
      <c r="J1036" s="4"/>
      <c r="K1036" s="5"/>
      <c r="L1036" s="4"/>
      <c r="W1036" s="7"/>
      <c r="X1036" s="5"/>
      <c r="Y1036" s="5"/>
      <c r="Z1036" s="5"/>
      <c r="AA1036" s="5"/>
      <c r="AB1036" s="4"/>
    </row>
    <row r="1037" customFormat="1" spans="4:28">
      <c r="D1037" s="3"/>
      <c r="E1037" s="3"/>
      <c r="J1037" s="4"/>
      <c r="K1037" s="5"/>
      <c r="L1037" s="4"/>
      <c r="W1037" s="7"/>
      <c r="X1037" s="5"/>
      <c r="Y1037" s="5"/>
      <c r="Z1037" s="5"/>
      <c r="AA1037" s="5"/>
      <c r="AB1037" s="4"/>
    </row>
    <row r="1038" customFormat="1" spans="4:28">
      <c r="D1038" s="3"/>
      <c r="E1038" s="3"/>
      <c r="J1038" s="4"/>
      <c r="K1038" s="5"/>
      <c r="L1038" s="4"/>
      <c r="W1038" s="7"/>
      <c r="X1038" s="5"/>
      <c r="Y1038" s="5"/>
      <c r="Z1038" s="5"/>
      <c r="AA1038" s="5"/>
      <c r="AB1038" s="4"/>
    </row>
    <row r="1039" customFormat="1" spans="4:28">
      <c r="D1039" s="3"/>
      <c r="E1039" s="3"/>
      <c r="J1039" s="4"/>
      <c r="K1039" s="5"/>
      <c r="L1039" s="4"/>
      <c r="W1039" s="7"/>
      <c r="X1039" s="5"/>
      <c r="Y1039" s="5"/>
      <c r="Z1039" s="5"/>
      <c r="AA1039" s="5"/>
      <c r="AB1039" s="4"/>
    </row>
    <row r="1040" customFormat="1" spans="4:28">
      <c r="D1040" s="3"/>
      <c r="E1040" s="3"/>
      <c r="J1040" s="4"/>
      <c r="K1040" s="5"/>
      <c r="L1040" s="4"/>
      <c r="W1040" s="7"/>
      <c r="X1040" s="5"/>
      <c r="Y1040" s="5"/>
      <c r="Z1040" s="5"/>
      <c r="AA1040" s="5"/>
      <c r="AB1040" s="4"/>
    </row>
    <row r="1041" customFormat="1" spans="4:28">
      <c r="D1041" s="3"/>
      <c r="E1041" s="3"/>
      <c r="J1041" s="4"/>
      <c r="K1041" s="5"/>
      <c r="L1041" s="4"/>
      <c r="W1041" s="7"/>
      <c r="X1041" s="5"/>
      <c r="Y1041" s="5"/>
      <c r="Z1041" s="5"/>
      <c r="AA1041" s="5"/>
      <c r="AB1041" s="4"/>
    </row>
    <row r="1042" customFormat="1" spans="4:28">
      <c r="D1042" s="3"/>
      <c r="E1042" s="3"/>
      <c r="J1042" s="4"/>
      <c r="K1042" s="5"/>
      <c r="L1042" s="4"/>
      <c r="W1042" s="7"/>
      <c r="X1042" s="5"/>
      <c r="Y1042" s="5"/>
      <c r="Z1042" s="5"/>
      <c r="AA1042" s="5"/>
      <c r="AB1042" s="4"/>
    </row>
    <row r="1043" customFormat="1" spans="4:28">
      <c r="D1043" s="3"/>
      <c r="E1043" s="3"/>
      <c r="J1043" s="4"/>
      <c r="K1043" s="5"/>
      <c r="L1043" s="4"/>
      <c r="W1043" s="7"/>
      <c r="X1043" s="5"/>
      <c r="Y1043" s="5"/>
      <c r="Z1043" s="5"/>
      <c r="AA1043" s="5"/>
      <c r="AB1043" s="4"/>
    </row>
    <row r="1044" customFormat="1" spans="4:28">
      <c r="D1044" s="3"/>
      <c r="E1044" s="3"/>
      <c r="J1044" s="4"/>
      <c r="K1044" s="5"/>
      <c r="L1044" s="4"/>
      <c r="W1044" s="7"/>
      <c r="X1044" s="5"/>
      <c r="Y1044" s="5"/>
      <c r="Z1044" s="5"/>
      <c r="AA1044" s="5"/>
      <c r="AB1044" s="4"/>
    </row>
    <row r="1045" customFormat="1" spans="4:28">
      <c r="D1045" s="3"/>
      <c r="E1045" s="3"/>
      <c r="J1045" s="4"/>
      <c r="K1045" s="5"/>
      <c r="L1045" s="4"/>
      <c r="W1045" s="7"/>
      <c r="X1045" s="5"/>
      <c r="Y1045" s="5"/>
      <c r="Z1045" s="5"/>
      <c r="AA1045" s="5"/>
      <c r="AB1045" s="4"/>
    </row>
    <row r="1046" customFormat="1" spans="4:28">
      <c r="D1046" s="3"/>
      <c r="E1046" s="3"/>
      <c r="J1046" s="4"/>
      <c r="K1046" s="5"/>
      <c r="L1046" s="4"/>
      <c r="W1046" s="7"/>
      <c r="X1046" s="5"/>
      <c r="Y1046" s="5"/>
      <c r="Z1046" s="5"/>
      <c r="AA1046" s="5"/>
      <c r="AB1046" s="4"/>
    </row>
  </sheetData>
  <autoFilter xmlns:etc="http://www.wps.cn/officeDocument/2017/etCustomData" ref="A2:AE1018" etc:filterBottomFollowUsedRange="0">
    <extLst/>
  </autoFilter>
  <mergeCells count="136">
    <mergeCell ref="A1:AE1"/>
    <mergeCell ref="I2:O2"/>
    <mergeCell ref="Q2:U2"/>
    <mergeCell ref="X2:AC2"/>
    <mergeCell ref="A2:A3"/>
    <mergeCell ref="A4:A13"/>
    <mergeCell ref="A14:A31"/>
    <mergeCell ref="A32:A45"/>
    <mergeCell ref="A46:A100"/>
    <mergeCell ref="A101:A248"/>
    <mergeCell ref="A250:A312"/>
    <mergeCell ref="A313:A330"/>
    <mergeCell ref="A331:A392"/>
    <mergeCell ref="A393:A413"/>
    <mergeCell ref="A414:A497"/>
    <mergeCell ref="A499:A544"/>
    <mergeCell ref="A545:A565"/>
    <mergeCell ref="A566:A575"/>
    <mergeCell ref="A576:A625"/>
    <mergeCell ref="A626:A630"/>
    <mergeCell ref="A631:A640"/>
    <mergeCell ref="A641:A646"/>
    <mergeCell ref="A647:A682"/>
    <mergeCell ref="A683:A758"/>
    <mergeCell ref="A759:A765"/>
    <mergeCell ref="A766:A774"/>
    <mergeCell ref="A775:A835"/>
    <mergeCell ref="A836:A852"/>
    <mergeCell ref="A853:A930"/>
    <mergeCell ref="A931:A1005"/>
    <mergeCell ref="A1006:A1015"/>
    <mergeCell ref="A1016:A1017"/>
    <mergeCell ref="B2:B3"/>
    <mergeCell ref="B4:B13"/>
    <mergeCell ref="B14:B31"/>
    <mergeCell ref="B32:B45"/>
    <mergeCell ref="B46:B100"/>
    <mergeCell ref="B101:B248"/>
    <mergeCell ref="B250:B312"/>
    <mergeCell ref="B313:B330"/>
    <mergeCell ref="B331:B392"/>
    <mergeCell ref="B393:B413"/>
    <mergeCell ref="B414:B497"/>
    <mergeCell ref="B499:B544"/>
    <mergeCell ref="B545:B565"/>
    <mergeCell ref="B566:B575"/>
    <mergeCell ref="B576:B625"/>
    <mergeCell ref="B626:B630"/>
    <mergeCell ref="B631:B640"/>
    <mergeCell ref="B641:B646"/>
    <mergeCell ref="B647:B682"/>
    <mergeCell ref="B683:B758"/>
    <mergeCell ref="B759:B765"/>
    <mergeCell ref="B766:B774"/>
    <mergeCell ref="B775:B835"/>
    <mergeCell ref="B836:B852"/>
    <mergeCell ref="B853:B930"/>
    <mergeCell ref="B931:B1005"/>
    <mergeCell ref="B1006:B1015"/>
    <mergeCell ref="B1016:B1017"/>
    <mergeCell ref="C2:C3"/>
    <mergeCell ref="D2:D3"/>
    <mergeCell ref="E2:E3"/>
    <mergeCell ref="F2:F3"/>
    <mergeCell ref="G2:G3"/>
    <mergeCell ref="H2:H3"/>
    <mergeCell ref="P2:P3"/>
    <mergeCell ref="P4:P13"/>
    <mergeCell ref="P14:P31"/>
    <mergeCell ref="P32:P45"/>
    <mergeCell ref="P46:P100"/>
    <mergeCell ref="P101:P248"/>
    <mergeCell ref="P250:P312"/>
    <mergeCell ref="P313:P330"/>
    <mergeCell ref="P331:P392"/>
    <mergeCell ref="P393:P413"/>
    <mergeCell ref="P414:P497"/>
    <mergeCell ref="P499:P544"/>
    <mergeCell ref="P545:P565"/>
    <mergeCell ref="P566:P575"/>
    <mergeCell ref="P576:P625"/>
    <mergeCell ref="P626:P630"/>
    <mergeCell ref="P631:P640"/>
    <mergeCell ref="P641:P646"/>
    <mergeCell ref="P647:P682"/>
    <mergeCell ref="P683:P758"/>
    <mergeCell ref="P759:P765"/>
    <mergeCell ref="P766:P774"/>
    <mergeCell ref="P775:P835"/>
    <mergeCell ref="P836:P852"/>
    <mergeCell ref="P853:P930"/>
    <mergeCell ref="P931:P1005"/>
    <mergeCell ref="P1006:P1015"/>
    <mergeCell ref="P1016:P1017"/>
    <mergeCell ref="Q4:Q13"/>
    <mergeCell ref="Q14:Q31"/>
    <mergeCell ref="Q32:Q45"/>
    <mergeCell ref="Q46:Q100"/>
    <mergeCell ref="Q101:Q248"/>
    <mergeCell ref="Q250:Q312"/>
    <mergeCell ref="Q313:Q330"/>
    <mergeCell ref="Q331:Q392"/>
    <mergeCell ref="Q393:Q413"/>
    <mergeCell ref="Q414:Q497"/>
    <mergeCell ref="Q499:Q544"/>
    <mergeCell ref="Q545:Q565"/>
    <mergeCell ref="Q566:Q575"/>
    <mergeCell ref="Q576:Q625"/>
    <mergeCell ref="Q626:Q630"/>
    <mergeCell ref="Q631:Q640"/>
    <mergeCell ref="Q641:Q646"/>
    <mergeCell ref="Q647:Q682"/>
    <mergeCell ref="Q683:Q758"/>
    <mergeCell ref="Q759:Q765"/>
    <mergeCell ref="Q766:Q774"/>
    <mergeCell ref="Q775:Q835"/>
    <mergeCell ref="Q836:Q852"/>
    <mergeCell ref="Q853:Q930"/>
    <mergeCell ref="Q931:Q1005"/>
    <mergeCell ref="Q1006:Q1015"/>
    <mergeCell ref="Q1016:Q1017"/>
    <mergeCell ref="R1016:R1017"/>
    <mergeCell ref="S1016:S1017"/>
    <mergeCell ref="T1016:T1017"/>
    <mergeCell ref="V2:V3"/>
    <mergeCell ref="V1016:V1017"/>
    <mergeCell ref="W2:W3"/>
    <mergeCell ref="W1016:W1017"/>
    <mergeCell ref="X1016:X1017"/>
    <mergeCell ref="Z1016:Z1017"/>
    <mergeCell ref="AA1016:AA1017"/>
    <mergeCell ref="AB1016:AB1017"/>
    <mergeCell ref="AC1016:AC1017"/>
    <mergeCell ref="AD1016:AD1017"/>
    <mergeCell ref="AE2:AE3"/>
    <mergeCell ref="AE1016:AE1017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2025-07-23T06:40:37Z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