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Sheet1!$A$2:$AE$1039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M5" authorId="0">
      <text>
        <r>
          <rPr>
            <sz val="9"/>
            <rFont val="宋体"/>
            <charset val="134"/>
          </rPr>
          <t xml:space="preserve">预付1495转到付USD205.92.
</t>
        </r>
      </text>
    </comment>
    <comment ref="M6" authorId="0">
      <text>
        <r>
          <rPr>
            <sz val="9"/>
            <rFont val="宋体"/>
            <charset val="134"/>
          </rPr>
          <t xml:space="preserve">预付180转到付USD24.79.
</t>
        </r>
      </text>
    </comment>
    <comment ref="M25" authorId="0">
      <text>
        <r>
          <rPr>
            <sz val="9"/>
            <rFont val="宋体"/>
            <charset val="134"/>
          </rPr>
          <t xml:space="preserve">40626000008=RMB4450
Paid RMB350
4450-350=RMB4100转到付USD564.73.
</t>
        </r>
      </text>
    </comment>
    <comment ref="M29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M35" authorId="0">
      <text>
        <r>
          <rPr>
            <sz val="9"/>
            <rFont val="宋体"/>
            <charset val="134"/>
          </rPr>
          <t xml:space="preserve">预付930转到付USD128.45.
</t>
        </r>
      </text>
    </comment>
    <comment ref="M37" authorId="0">
      <text>
        <r>
          <rPr>
            <sz val="9"/>
            <rFont val="宋体"/>
            <charset val="134"/>
          </rPr>
          <t xml:space="preserve">预付69转到付USD9.5.
</t>
        </r>
      </text>
    </comment>
    <comment ref="M39" authorId="0">
      <text>
        <r>
          <rPr>
            <sz val="9"/>
            <rFont val="宋体"/>
            <charset val="134"/>
          </rPr>
          <t xml:space="preserve">预付3520转到付USD484.84.
</t>
        </r>
      </text>
    </comment>
    <comment ref="M43" authorId="0">
      <text>
        <r>
          <rPr>
            <sz val="9"/>
            <rFont val="宋体"/>
            <charset val="134"/>
          </rPr>
          <t xml:space="preserve">预付243转到付USD33.47.
</t>
        </r>
      </text>
    </comment>
    <comment ref="M47" authorId="0">
      <text>
        <r>
          <rPr>
            <sz val="9"/>
            <rFont val="宋体"/>
            <charset val="134"/>
          </rPr>
          <t xml:space="preserve">预付333转到付USD45.86
</t>
        </r>
      </text>
    </comment>
    <comment ref="M49" authorId="0">
      <text>
        <r>
          <rPr>
            <sz val="9"/>
            <rFont val="宋体"/>
            <charset val="134"/>
          </rPr>
          <t xml:space="preserve">预付660转到付USD90.9
</t>
        </r>
      </text>
    </comment>
    <comment ref="M55" authorId="0">
      <text>
        <r>
          <rPr>
            <sz val="9"/>
            <rFont val="宋体"/>
            <charset val="134"/>
          </rPr>
          <t xml:space="preserve">预付34287.5转到付USD4722.79.
</t>
        </r>
      </text>
    </comment>
    <comment ref="M57" authorId="0">
      <text>
        <r>
          <rPr>
            <sz val="9"/>
            <rFont val="宋体"/>
            <charset val="134"/>
          </rPr>
          <t xml:space="preserve">预付1380转到付USD190.08.
</t>
        </r>
      </text>
    </comment>
    <comment ref="M60" authorId="0">
      <text>
        <r>
          <rPr>
            <sz val="9"/>
            <rFont val="宋体"/>
            <charset val="134"/>
          </rPr>
          <t xml:space="preserve">预付63转到付USD8.67
</t>
        </r>
      </text>
    </comment>
    <comment ref="M62" authorId="0">
      <text>
        <r>
          <rPr>
            <sz val="9"/>
            <rFont val="宋体"/>
            <charset val="134"/>
          </rPr>
          <t>预付1380转到付USD190.08.</t>
        </r>
      </text>
    </comment>
    <comment ref="M65" authorId="0">
      <text>
        <r>
          <rPr>
            <sz val="9"/>
            <rFont val="宋体"/>
            <charset val="134"/>
          </rPr>
          <t xml:space="preserve">预付4007转到付SD551.92.
</t>
        </r>
      </text>
    </comment>
    <comment ref="M72" authorId="0">
      <text>
        <r>
          <rPr>
            <sz val="9"/>
            <rFont val="宋体"/>
            <charset val="134"/>
          </rPr>
          <t xml:space="preserve">预付1230转到付USD169.42.
</t>
        </r>
      </text>
    </comment>
    <comment ref="M78" authorId="0">
      <text>
        <r>
          <rPr>
            <sz val="9"/>
            <rFont val="宋体"/>
            <charset val="134"/>
          </rPr>
          <t xml:space="preserve">预付1787.5转到付USD246.21.
</t>
        </r>
      </text>
    </comment>
    <comment ref="M85" authorId="0">
      <text>
        <r>
          <rPr>
            <sz val="9"/>
            <rFont val="宋体"/>
            <charset val="134"/>
          </rPr>
          <t xml:space="preserve">预付300转到付USD41.32.
</t>
        </r>
      </text>
    </comment>
    <comment ref="M88" authorId="0">
      <text>
        <r>
          <rPr>
            <sz val="9"/>
            <rFont val="宋体"/>
            <charset val="134"/>
          </rPr>
          <t xml:space="preserve">预付1989转到付USD273.96.
</t>
        </r>
      </text>
    </comment>
    <comment ref="M91" authorId="0">
      <text>
        <r>
          <rPr>
            <sz val="9"/>
            <rFont val="宋体"/>
            <charset val="134"/>
          </rPr>
          <t xml:space="preserve">预付1229转到付USD169.28.
</t>
        </r>
      </text>
    </comment>
    <comment ref="M96" authorId="0">
      <text>
        <r>
          <rPr>
            <sz val="9"/>
            <rFont val="宋体"/>
            <charset val="134"/>
          </rPr>
          <t xml:space="preserve">预付69.3转到付SD9.57.
</t>
        </r>
      </text>
    </comment>
    <comment ref="M98" authorId="0">
      <text>
        <r>
          <rPr>
            <sz val="9"/>
            <rFont val="宋体"/>
            <charset val="134"/>
          </rPr>
          <t xml:space="preserve">预付665转到付USD91.59.
</t>
        </r>
      </text>
    </comment>
    <comment ref="M117" authorId="0">
      <text>
        <r>
          <rPr>
            <sz val="9"/>
            <rFont val="宋体"/>
            <charset val="134"/>
          </rPr>
          <t xml:space="preserve">预付1710转到付USD235.53.
</t>
        </r>
      </text>
    </comment>
    <comment ref="M120" authorId="0">
      <text>
        <r>
          <rPr>
            <sz val="9"/>
            <rFont val="宋体"/>
            <charset val="134"/>
          </rPr>
          <t xml:space="preserve">预付45025.5转到付USD6201.85
</t>
        </r>
      </text>
    </comment>
    <comment ref="M121" authorId="0">
      <text>
        <r>
          <rPr>
            <sz val="9"/>
            <rFont val="宋体"/>
            <charset val="134"/>
          </rPr>
          <t xml:space="preserve">预付1112转到付USD153.16.
</t>
        </r>
      </text>
    </comment>
    <comment ref="M123" authorId="0">
      <text>
        <r>
          <rPr>
            <sz val="9"/>
            <rFont val="宋体"/>
            <charset val="134"/>
          </rPr>
          <t>预付63转到付USD8.67.</t>
        </r>
      </text>
    </comment>
    <comment ref="M126" authorId="0">
      <text>
        <r>
          <rPr>
            <sz val="9"/>
            <rFont val="宋体"/>
            <charset val="134"/>
          </rPr>
          <t xml:space="preserve">预付2172.5转到付USD299.24
</t>
        </r>
      </text>
    </comment>
    <comment ref="M129" authorId="0">
      <text>
        <r>
          <rPr>
            <sz val="9"/>
            <rFont val="宋体"/>
            <charset val="134"/>
          </rPr>
          <t xml:space="preserve">预付4730转到付USD651.51.
</t>
        </r>
      </text>
    </comment>
    <comment ref="M132" authorId="0">
      <text>
        <r>
          <rPr>
            <sz val="9"/>
            <rFont val="宋体"/>
            <charset val="134"/>
          </rPr>
          <t xml:space="preserve">预付300转到付USD41.32.
</t>
        </r>
      </text>
    </comment>
    <comment ref="M137" authorId="0">
      <text>
        <r>
          <rPr>
            <sz val="9"/>
            <rFont val="宋体"/>
            <charset val="134"/>
          </rPr>
          <t>预付80转到付USD11.01.</t>
        </r>
      </text>
    </comment>
    <comment ref="M139" authorId="0">
      <text>
        <r>
          <rPr>
            <sz val="9"/>
            <rFont val="宋体"/>
            <charset val="134"/>
          </rPr>
          <t xml:space="preserve">预付2491.9转到付USD343.23.
</t>
        </r>
      </text>
    </comment>
    <comment ref="M146" authorId="0">
      <text>
        <r>
          <rPr>
            <sz val="9"/>
            <rFont val="宋体"/>
            <charset val="134"/>
          </rPr>
          <t xml:space="preserve">预付2117转到付USD291.6.
</t>
        </r>
      </text>
    </comment>
    <comment ref="M147" authorId="0">
      <text>
        <r>
          <rPr>
            <sz val="9"/>
            <rFont val="宋体"/>
            <charset val="134"/>
          </rPr>
          <t xml:space="preserve">预付748转到付SD103.03.
</t>
        </r>
      </text>
    </comment>
    <comment ref="M150" authorId="0">
      <text>
        <r>
          <rPr>
            <sz val="9"/>
            <rFont val="宋体"/>
            <charset val="134"/>
          </rPr>
          <t xml:space="preserve">预付75.9转到付USD10.45
</t>
        </r>
      </text>
    </comment>
    <comment ref="I155" authorId="0">
      <text>
        <r>
          <rPr>
            <sz val="9"/>
            <rFont val="宋体"/>
            <charset val="134"/>
          </rPr>
          <t xml:space="preserve">到付USD25.74转预付188.
</t>
        </r>
      </text>
    </comment>
    <comment ref="M165" authorId="0">
      <text>
        <r>
          <rPr>
            <sz val="9"/>
            <rFont val="宋体"/>
            <charset val="134"/>
          </rPr>
          <t xml:space="preserve">预付69.3转到付USD9.54.
</t>
        </r>
      </text>
    </comment>
    <comment ref="M171" authorId="0">
      <text>
        <r>
          <rPr>
            <sz val="9"/>
            <rFont val="宋体"/>
            <charset val="134"/>
          </rPr>
          <t>预付1260转到付USD173.55.</t>
        </r>
      </text>
    </comment>
    <comment ref="M185" authorId="0">
      <text>
        <r>
          <rPr>
            <sz val="9"/>
            <rFont val="宋体"/>
            <charset val="134"/>
          </rPr>
          <t xml:space="preserve">预付522.5转到付SD71.96.
</t>
        </r>
      </text>
    </comment>
    <comment ref="M188" authorId="0">
      <text>
        <r>
          <rPr>
            <sz val="9"/>
            <rFont val="宋体"/>
            <charset val="134"/>
          </rPr>
          <t xml:space="preserve">预付605转到付USD83.33.
</t>
        </r>
      </text>
    </comment>
    <comment ref="I199" authorId="0">
      <text>
        <r>
          <rPr>
            <b/>
            <sz val="9"/>
            <rFont val="宋体"/>
            <charset val="134"/>
          </rPr>
          <t>240614000041赔偿款1430抵扣24070500021运费</t>
        </r>
        <r>
          <rPr>
            <sz val="9"/>
            <rFont val="宋体"/>
            <charset val="134"/>
          </rPr>
          <t xml:space="preserve">
</t>
        </r>
      </text>
    </comment>
    <comment ref="M200" authorId="0">
      <text>
        <r>
          <rPr>
            <sz val="9"/>
            <rFont val="宋体"/>
            <charset val="134"/>
          </rPr>
          <t>预付376.5转到付USD51.85.</t>
        </r>
      </text>
    </comment>
    <comment ref="M205" authorId="0">
      <text>
        <r>
          <rPr>
            <sz val="9"/>
            <rFont val="宋体"/>
            <charset val="134"/>
          </rPr>
          <t>预付7055.52转到付USD971.83.</t>
        </r>
      </text>
    </comment>
    <comment ref="M217" authorId="0">
      <text>
        <r>
          <rPr>
            <sz val="9"/>
            <rFont val="宋体"/>
            <charset val="134"/>
          </rPr>
          <t xml:space="preserve">预付2770转到付USD381.54.
</t>
        </r>
      </text>
    </comment>
    <comment ref="M229" authorId="0">
      <text>
        <r>
          <rPr>
            <sz val="9"/>
            <rFont val="宋体"/>
            <charset val="134"/>
          </rPr>
          <t xml:space="preserve">预付1230转到付USD169.42.
</t>
        </r>
      </text>
    </comment>
    <comment ref="I238" authorId="0">
      <text>
        <r>
          <rPr>
            <sz val="9"/>
            <rFont val="宋体"/>
            <charset val="134"/>
          </rPr>
          <t xml:space="preserve">仓库计错重量，7.5KG实际是2KG.19/7微信退回运费475元
</t>
        </r>
      </text>
    </comment>
    <comment ref="M238" authorId="0">
      <text>
        <r>
          <rPr>
            <sz val="9"/>
            <rFont val="宋体"/>
            <charset val="134"/>
          </rPr>
          <t xml:space="preserve">预付629.7转到付USD86.73.
</t>
        </r>
      </text>
    </comment>
    <comment ref="M242" authorId="0">
      <text>
        <r>
          <rPr>
            <sz val="9"/>
            <rFont val="宋体"/>
            <charset val="134"/>
          </rPr>
          <t xml:space="preserve">预付2002.5转到付USD275.82.
</t>
        </r>
      </text>
    </comment>
    <comment ref="M251" authorId="0">
      <text>
        <r>
          <rPr>
            <sz val="9"/>
            <rFont val="宋体"/>
            <charset val="134"/>
          </rPr>
          <t xml:space="preserve">预付427.2转到付USD58.84.
</t>
        </r>
      </text>
    </comment>
    <comment ref="M256" authorId="0">
      <text>
        <r>
          <rPr>
            <sz val="9"/>
            <rFont val="宋体"/>
            <charset val="134"/>
          </rPr>
          <t>预付915.75转到付USD126.13.</t>
        </r>
      </text>
    </comment>
    <comment ref="M258" authorId="0">
      <text>
        <r>
          <rPr>
            <sz val="9"/>
            <rFont val="宋体"/>
            <charset val="134"/>
          </rPr>
          <t xml:space="preserve">预付153转到付USD21.07.
</t>
        </r>
      </text>
    </comment>
    <comment ref="M259" authorId="0">
      <text>
        <r>
          <rPr>
            <sz val="9"/>
            <rFont val="宋体"/>
            <charset val="134"/>
          </rPr>
          <t xml:space="preserve">预付1085转到付USD149.
44.
</t>
        </r>
      </text>
    </comment>
    <comment ref="M262" authorId="0">
      <text>
        <r>
          <rPr>
            <sz val="9"/>
            <rFont val="宋体"/>
            <charset val="134"/>
          </rPr>
          <t xml:space="preserve">预付1350转到付USD185.95.
</t>
        </r>
      </text>
    </comment>
    <comment ref="M263" authorId="0">
      <text>
        <r>
          <rPr>
            <sz val="9"/>
            <rFont val="宋体"/>
            <charset val="134"/>
          </rPr>
          <t xml:space="preserve">预付93转到付USD12.8
</t>
        </r>
      </text>
    </comment>
    <comment ref="M265" authorId="0">
      <text>
        <r>
          <rPr>
            <sz val="9"/>
            <rFont val="宋体"/>
            <charset val="134"/>
          </rPr>
          <t xml:space="preserve">预付63转到付SD8.67.
</t>
        </r>
      </text>
    </comment>
    <comment ref="M268" authorId="0">
      <text>
        <r>
          <rPr>
            <sz val="9"/>
            <rFont val="宋体"/>
            <charset val="134"/>
          </rPr>
          <t xml:space="preserve">预付1705转到付SD234.84.
</t>
        </r>
      </text>
    </comment>
    <comment ref="I269" authorId="0">
      <text>
        <r>
          <rPr>
            <sz val="9"/>
            <rFont val="宋体"/>
            <charset val="134"/>
          </rPr>
          <t xml:space="preserve">240705000028  18596元+8000元*汇率220=1760000奈拉    共计：26596元
</t>
        </r>
      </text>
    </comment>
    <comment ref="M269" authorId="0">
      <text>
        <r>
          <rPr>
            <sz val="9"/>
            <rFont val="宋体"/>
            <charset val="134"/>
          </rPr>
          <t xml:space="preserve">预付8000转到付USD1101.92
</t>
        </r>
      </text>
    </comment>
    <comment ref="M276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M277" authorId="0">
      <text>
        <r>
          <rPr>
            <sz val="9"/>
            <rFont val="宋体"/>
            <charset val="134"/>
          </rPr>
          <t xml:space="preserve">预付82.5转到付USD11.36.
</t>
        </r>
      </text>
    </comment>
    <comment ref="M279" authorId="0">
      <text>
        <r>
          <rPr>
            <sz val="9"/>
            <rFont val="宋体"/>
            <charset val="134"/>
          </rPr>
          <t xml:space="preserve">预付165转到付USD22.72.
</t>
        </r>
      </text>
    </comment>
    <comment ref="M283" authorId="0">
      <text>
        <r>
          <rPr>
            <sz val="9"/>
            <rFont val="宋体"/>
            <charset val="134"/>
          </rPr>
          <t xml:space="preserve">预付429.5转到付SD59.15.
</t>
        </r>
      </text>
    </comment>
    <comment ref="M285" authorId="0">
      <text>
        <r>
          <rPr>
            <sz val="9"/>
            <rFont val="宋体"/>
            <charset val="134"/>
          </rPr>
          <t xml:space="preserve">预付302.5转到付ISD41.66.
</t>
        </r>
      </text>
    </comment>
    <comment ref="M293" authorId="0">
      <text>
        <r>
          <rPr>
            <sz val="9"/>
            <rFont val="宋体"/>
            <charset val="134"/>
          </rPr>
          <t xml:space="preserve">预付440转到付USD60.6.
</t>
        </r>
      </text>
    </comment>
    <comment ref="M303" authorId="0">
      <text>
        <r>
          <rPr>
            <sz val="9"/>
            <rFont val="宋体"/>
            <charset val="134"/>
          </rPr>
          <t xml:space="preserve">预付8470转到付USD1166.66.
</t>
        </r>
      </text>
    </comment>
    <comment ref="M323" authorId="0">
      <text>
        <r>
          <rPr>
            <sz val="9"/>
            <rFont val="宋体"/>
            <charset val="134"/>
          </rPr>
          <t xml:space="preserve">预付3900转到付SD537.19.
</t>
        </r>
      </text>
    </comment>
    <comment ref="M325" authorId="0">
      <text>
        <r>
          <rPr>
            <sz val="9"/>
            <rFont val="宋体"/>
            <charset val="134"/>
          </rPr>
          <t xml:space="preserve">预付82.5转到付USD11.36.
</t>
        </r>
      </text>
    </comment>
    <comment ref="M327" authorId="0">
      <text>
        <r>
          <rPr>
            <sz val="9"/>
            <rFont val="宋体"/>
            <charset val="134"/>
          </rPr>
          <t xml:space="preserve">预付6930转到付SD954.54.
</t>
        </r>
      </text>
    </comment>
    <comment ref="M339" authorId="0">
      <text>
        <r>
          <rPr>
            <sz val="9"/>
            <rFont val="宋体"/>
            <charset val="134"/>
          </rPr>
          <t xml:space="preserve">预付172.5转到付SD23.76.
</t>
        </r>
      </text>
    </comment>
    <comment ref="M344" authorId="0">
      <text>
        <r>
          <rPr>
            <sz val="9"/>
            <rFont val="宋体"/>
            <charset val="134"/>
          </rPr>
          <t xml:space="preserve">预付2189转到付USD301.51.
</t>
        </r>
      </text>
    </comment>
    <comment ref="I349" authorId="0">
      <text>
        <r>
          <rPr>
            <sz val="9"/>
            <rFont val="宋体"/>
            <charset val="134"/>
          </rPr>
          <t xml:space="preserve">到付USD3480.6转预付25233.
</t>
        </r>
      </text>
    </comment>
    <comment ref="M352" authorId="0">
      <text>
        <r>
          <rPr>
            <sz val="9"/>
            <rFont val="宋体"/>
            <charset val="134"/>
          </rPr>
          <t xml:space="preserve">预付114014转到付USD15704.4.
</t>
        </r>
      </text>
    </comment>
    <comment ref="I353" authorId="0">
      <text>
        <r>
          <rPr>
            <sz val="9"/>
            <rFont val="宋体"/>
            <charset val="134"/>
          </rPr>
          <t xml:space="preserve">到付USD2128.37转预付15452.
</t>
        </r>
      </text>
    </comment>
    <comment ref="M354" authorId="0">
      <text>
        <r>
          <rPr>
            <sz val="9"/>
            <rFont val="宋体"/>
            <charset val="134"/>
          </rPr>
          <t xml:space="preserve">预付15970.08转到付USD2199.73.
</t>
        </r>
      </text>
    </comment>
    <comment ref="M355" authorId="0">
      <text>
        <r>
          <rPr>
            <sz val="9"/>
            <rFont val="宋体"/>
            <charset val="134"/>
          </rPr>
          <t xml:space="preserve">预付7943转到付USD1094.07..
</t>
        </r>
      </text>
    </comment>
    <comment ref="M357" authorId="0">
      <text>
        <r>
          <rPr>
            <sz val="9"/>
            <rFont val="宋体"/>
            <charset val="134"/>
          </rPr>
          <t xml:space="preserve">预付192.5转到付USD26.51.
</t>
        </r>
      </text>
    </comment>
    <comment ref="M359" authorId="0">
      <text>
        <r>
          <rPr>
            <sz val="9"/>
            <rFont val="宋体"/>
            <charset val="134"/>
          </rPr>
          <t>预付422转到付SD58.12.</t>
        </r>
      </text>
    </comment>
    <comment ref="M361" authorId="0">
      <text>
        <r>
          <rPr>
            <sz val="9"/>
            <rFont val="宋体"/>
            <charset val="134"/>
          </rPr>
          <t xml:space="preserve">预付1430转到付USD196.96
</t>
        </r>
      </text>
    </comment>
    <comment ref="M362" authorId="0">
      <text>
        <r>
          <rPr>
            <sz val="9"/>
            <rFont val="宋体"/>
            <charset val="134"/>
          </rPr>
          <t>预付8940转到位USD1231.4.</t>
        </r>
      </text>
    </comment>
    <comment ref="M366" authorId="0">
      <text>
        <r>
          <rPr>
            <sz val="9"/>
            <rFont val="宋体"/>
            <charset val="134"/>
          </rPr>
          <t xml:space="preserve">预付2125.2转到付USD292.76.
</t>
        </r>
      </text>
    </comment>
    <comment ref="M367" authorId="0">
      <text>
        <r>
          <rPr>
            <sz val="9"/>
            <rFont val="宋体"/>
            <charset val="134"/>
          </rPr>
          <t xml:space="preserve">预付234转到付USD32.23.
</t>
        </r>
      </text>
    </comment>
    <comment ref="M376" authorId="0">
      <text>
        <r>
          <rPr>
            <sz val="9"/>
            <rFont val="宋体"/>
            <charset val="134"/>
          </rPr>
          <t xml:space="preserve">预付3844转到付USD529.47.
</t>
        </r>
      </text>
    </comment>
    <comment ref="M383" authorId="0">
      <text>
        <r>
          <rPr>
            <sz val="9"/>
            <rFont val="宋体"/>
            <charset val="134"/>
          </rPr>
          <t>预付252转到付USD34.71.</t>
        </r>
      </text>
    </comment>
    <comment ref="M386" authorId="0">
      <text>
        <r>
          <rPr>
            <sz val="9"/>
            <rFont val="宋体"/>
            <charset val="134"/>
          </rPr>
          <t>预付2250转到付USD309.91.</t>
        </r>
      </text>
    </comment>
    <comment ref="M396" authorId="0">
      <text>
        <r>
          <rPr>
            <sz val="9"/>
            <rFont val="宋体"/>
            <charset val="134"/>
          </rPr>
          <t xml:space="preserve">预付1100转到付USD151.51.
</t>
        </r>
      </text>
    </comment>
    <comment ref="M413" authorId="0">
      <text>
        <r>
          <rPr>
            <sz val="9"/>
            <rFont val="宋体"/>
            <charset val="134"/>
          </rPr>
          <t xml:space="preserve">预付1740转到付USD239.66.
</t>
        </r>
      </text>
    </comment>
    <comment ref="M418" authorId="0">
      <text>
        <r>
          <rPr>
            <b/>
            <sz val="9"/>
            <rFont val="宋体"/>
            <charset val="134"/>
          </rPr>
          <t>预付506.85转到付USD69.81</t>
        </r>
        <r>
          <rPr>
            <sz val="9"/>
            <rFont val="宋体"/>
            <charset val="134"/>
          </rPr>
          <t xml:space="preserve">
</t>
        </r>
      </text>
    </comment>
    <comment ref="M420" authorId="0">
      <text>
        <r>
          <rPr>
            <sz val="9"/>
            <rFont val="宋体"/>
            <charset val="134"/>
          </rPr>
          <t xml:space="preserve">预付1046.1转到付USD144.09.
</t>
        </r>
      </text>
    </comment>
    <comment ref="M421" authorId="0">
      <text>
        <r>
          <rPr>
            <sz val="9"/>
            <rFont val="宋体"/>
            <charset val="134"/>
          </rPr>
          <t xml:space="preserve">预付5938.5转到付USD817.97.
</t>
        </r>
      </text>
    </comment>
    <comment ref="M431" authorId="0">
      <text>
        <r>
          <rPr>
            <sz val="9"/>
            <rFont val="宋体"/>
            <charset val="134"/>
          </rPr>
          <t>预付69.3转到付USD9.54.</t>
        </r>
      </text>
    </comment>
    <comment ref="M446" authorId="0">
      <text>
        <r>
          <rPr>
            <sz val="9"/>
            <rFont val="宋体"/>
            <charset val="134"/>
          </rPr>
          <t xml:space="preserve">预付2155转到付USD296.83.
</t>
        </r>
      </text>
    </comment>
    <comment ref="M448" authorId="0">
      <text>
        <r>
          <rPr>
            <sz val="9"/>
            <rFont val="宋体"/>
            <charset val="134"/>
          </rPr>
          <t xml:space="preserve">预付330转到付USD45.45.
</t>
        </r>
      </text>
    </comment>
    <comment ref="M462" authorId="0">
      <text>
        <r>
          <rPr>
            <sz val="9"/>
            <rFont val="宋体"/>
            <charset val="134"/>
          </rPr>
          <t xml:space="preserve">预付2450转到付USD337.46.
</t>
        </r>
      </text>
    </comment>
    <comment ref="M464" authorId="0">
      <text>
        <r>
          <rPr>
            <sz val="9"/>
            <rFont val="宋体"/>
            <charset val="134"/>
          </rPr>
          <t xml:space="preserve">预付414.15转到付USD57.04.
</t>
        </r>
      </text>
    </comment>
    <comment ref="M477" authorId="0">
      <text>
        <r>
          <rPr>
            <sz val="9"/>
            <rFont val="宋体"/>
            <charset val="134"/>
          </rPr>
          <t>预付2820转到付USD388.42.</t>
        </r>
      </text>
    </comment>
    <comment ref="M478" authorId="0">
      <text>
        <r>
          <rPr>
            <sz val="9"/>
            <rFont val="宋体"/>
            <charset val="134"/>
          </rPr>
          <t xml:space="preserve">预付2660转到付USD366.39.
</t>
        </r>
      </text>
    </comment>
    <comment ref="M485" authorId="0">
      <text>
        <r>
          <rPr>
            <sz val="9"/>
            <rFont val="宋体"/>
            <charset val="134"/>
          </rPr>
          <t xml:space="preserve">预付165转到付USD22.72.
</t>
        </r>
      </text>
    </comment>
    <comment ref="M486" authorId="0">
      <text>
        <r>
          <rPr>
            <sz val="9"/>
            <rFont val="宋体"/>
            <charset val="134"/>
          </rPr>
          <t xml:space="preserve">预付810转到付USD111.57.
</t>
        </r>
      </text>
    </comment>
    <comment ref="M487" authorId="0">
      <text>
        <r>
          <rPr>
            <sz val="9"/>
            <rFont val="宋体"/>
            <charset val="134"/>
          </rPr>
          <t xml:space="preserve">预付2958转到付USD407.43.
</t>
        </r>
      </text>
    </comment>
    <comment ref="M488" authorId="0">
      <text>
        <r>
          <rPr>
            <sz val="9"/>
            <rFont val="宋体"/>
            <charset val="134"/>
          </rPr>
          <t xml:space="preserve">预付662.5转到付USD91.25
</t>
        </r>
      </text>
    </comment>
    <comment ref="M489" authorId="0">
      <text>
        <r>
          <rPr>
            <sz val="9"/>
            <rFont val="宋体"/>
            <charset val="134"/>
          </rPr>
          <t xml:space="preserve">预付1510.5转到付USD208.05.
</t>
        </r>
      </text>
    </comment>
    <comment ref="M496" authorId="0">
      <text>
        <r>
          <rPr>
            <sz val="9"/>
            <rFont val="宋体"/>
            <charset val="134"/>
          </rPr>
          <t xml:space="preserve">预付556.5转到付USD76.65.
</t>
        </r>
      </text>
    </comment>
    <comment ref="M499" authorId="0">
      <text>
        <r>
          <rPr>
            <sz val="9"/>
            <rFont val="宋体"/>
            <charset val="134"/>
          </rPr>
          <t xml:space="preserve">预付604.5转到付USD83.26.
</t>
        </r>
      </text>
    </comment>
    <comment ref="I500" authorId="0">
      <text>
        <r>
          <rPr>
            <sz val="9"/>
            <rFont val="宋体"/>
            <charset val="134"/>
          </rPr>
          <t xml:space="preserve">到付USD13.2转预付96.
</t>
        </r>
      </text>
    </comment>
    <comment ref="I504" authorId="0">
      <text>
        <r>
          <rPr>
            <b/>
            <sz val="9"/>
            <rFont val="宋体"/>
            <charset val="134"/>
          </rPr>
          <t>应收8476元，剩余5000元.到付转预付688.70</t>
        </r>
        <r>
          <rPr>
            <sz val="9"/>
            <rFont val="宋体"/>
            <charset val="134"/>
          </rPr>
          <t xml:space="preserve">
</t>
        </r>
      </text>
    </comment>
    <comment ref="M511" authorId="0">
      <text>
        <r>
          <rPr>
            <sz val="9"/>
            <rFont val="宋体"/>
            <charset val="134"/>
          </rPr>
          <t xml:space="preserve">预付2049转到付USD282.23.
</t>
        </r>
      </text>
    </comment>
    <comment ref="M512" authorId="0">
      <text>
        <r>
          <rPr>
            <sz val="9"/>
            <rFont val="宋体"/>
            <charset val="134"/>
          </rPr>
          <t xml:space="preserve">预付213转到付USD29.33.
</t>
        </r>
      </text>
    </comment>
    <comment ref="M514" authorId="0">
      <text>
        <r>
          <rPr>
            <sz val="9"/>
            <rFont val="宋体"/>
            <charset val="134"/>
          </rPr>
          <t xml:space="preserve">预付2810.5转到付SD387.12.
</t>
        </r>
      </text>
    </comment>
    <comment ref="M517" authorId="0">
      <text>
        <r>
          <rPr>
            <sz val="9"/>
            <rFont val="宋体"/>
            <charset val="134"/>
          </rPr>
          <t xml:space="preserve">预付636.5转到付SD87.67.
</t>
        </r>
      </text>
    </comment>
    <comment ref="M519" authorId="0">
      <text>
        <r>
          <rPr>
            <sz val="9"/>
            <rFont val="宋体"/>
            <charset val="134"/>
          </rPr>
          <t xml:space="preserve">预付954转到付ASD131.4
</t>
        </r>
      </text>
    </comment>
    <comment ref="M522" authorId="0">
      <text>
        <r>
          <rPr>
            <sz val="9"/>
            <rFont val="宋体"/>
            <charset val="134"/>
          </rPr>
          <t xml:space="preserve">预付1320转到付USD181.81.
</t>
        </r>
      </text>
    </comment>
    <comment ref="M536" authorId="0">
      <text>
        <r>
          <rPr>
            <sz val="9"/>
            <rFont val="宋体"/>
            <charset val="134"/>
          </rPr>
          <t xml:space="preserve">预付1491.05转到付SD205.37.
</t>
        </r>
      </text>
    </comment>
    <comment ref="M537" authorId="0">
      <text>
        <r>
          <rPr>
            <sz val="9"/>
            <rFont val="宋体"/>
            <charset val="134"/>
          </rPr>
          <t xml:space="preserve">预付382.8转 到付USD52.72.
</t>
        </r>
      </text>
    </comment>
    <comment ref="I541" authorId="0">
      <text>
        <r>
          <rPr>
            <sz val="9"/>
            <rFont val="宋体"/>
            <charset val="134"/>
          </rPr>
          <t xml:space="preserve">客户多付1287.5元，6/8微信退回，实收3990元.
</t>
        </r>
      </text>
    </comment>
    <comment ref="M541" authorId="0">
      <text>
        <r>
          <rPr>
            <sz val="9"/>
            <rFont val="宋体"/>
            <charset val="134"/>
          </rPr>
          <t xml:space="preserve">预付5277.5转到付USD726.92.客户多付1287.5元。6/8微信退回
</t>
        </r>
      </text>
    </comment>
    <comment ref="M542" authorId="0">
      <text>
        <r>
          <rPr>
            <sz val="9"/>
            <rFont val="宋体"/>
            <charset val="134"/>
          </rPr>
          <t xml:space="preserve">预付69.3转到付USD9.54.
</t>
        </r>
      </text>
    </comment>
    <comment ref="M551" authorId="0">
      <text>
        <r>
          <rPr>
            <sz val="9"/>
            <rFont val="宋体"/>
            <charset val="134"/>
          </rPr>
          <t xml:space="preserve">预付490转到付USD67.49.
</t>
        </r>
      </text>
    </comment>
    <comment ref="M554" authorId="0">
      <text>
        <r>
          <rPr>
            <sz val="9"/>
            <rFont val="宋体"/>
            <charset val="134"/>
          </rPr>
          <t xml:space="preserve">预付325转到付USD44.76.
</t>
        </r>
      </text>
    </comment>
    <comment ref="M558" authorId="0">
      <text>
        <r>
          <rPr>
            <sz val="9"/>
            <rFont val="宋体"/>
            <charset val="134"/>
          </rPr>
          <t xml:space="preserve">预付1392转到付SD191.73.
</t>
        </r>
      </text>
    </comment>
    <comment ref="M564" authorId="0">
      <text>
        <r>
          <rPr>
            <sz val="9"/>
            <rFont val="宋体"/>
            <charset val="134"/>
          </rPr>
          <t xml:space="preserve">预付382.2转到付USD52.64.
</t>
        </r>
      </text>
    </comment>
    <comment ref="M567" authorId="0">
      <text>
        <r>
          <rPr>
            <sz val="9"/>
            <rFont val="宋体"/>
            <charset val="134"/>
          </rPr>
          <t xml:space="preserve">预付97.5转USD13.42
</t>
        </r>
      </text>
    </comment>
    <comment ref="M569" authorId="0">
      <text>
        <r>
          <rPr>
            <sz val="9"/>
            <rFont val="宋体"/>
            <charset val="134"/>
          </rPr>
          <t xml:space="preserve">预付300转到付USD41.32.
</t>
        </r>
      </text>
    </comment>
    <comment ref="M582" authorId="0">
      <text>
        <r>
          <rPr>
            <sz val="9"/>
            <rFont val="宋体"/>
            <charset val="134"/>
          </rPr>
          <t xml:space="preserve">预付977.5转到付USD134.64.
</t>
        </r>
      </text>
    </comment>
    <comment ref="M598" authorId="0">
      <text>
        <r>
          <rPr>
            <sz val="9"/>
            <rFont val="宋体"/>
            <charset val="134"/>
          </rPr>
          <t xml:space="preserve">预付8828转到付USD1215.97.
</t>
        </r>
      </text>
    </comment>
    <comment ref="V598" authorId="0">
      <text>
        <r>
          <rPr>
            <sz val="9"/>
            <rFont val="宋体"/>
            <charset val="134"/>
          </rPr>
          <t xml:space="preserve">代垫运费406已转回公司，不用计客户的.
</t>
        </r>
      </text>
    </comment>
    <comment ref="M600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M603" authorId="0">
      <text>
        <r>
          <rPr>
            <sz val="9"/>
            <rFont val="宋体"/>
            <charset val="134"/>
          </rPr>
          <t xml:space="preserve">预付273转到付USD37.6.
</t>
        </r>
      </text>
    </comment>
    <comment ref="M606" authorId="0">
      <text>
        <r>
          <rPr>
            <sz val="9"/>
            <rFont val="宋体"/>
            <charset val="134"/>
          </rPr>
          <t>预付2523转到付USD347.52.</t>
        </r>
      </text>
    </comment>
    <comment ref="M607" authorId="0">
      <text>
        <r>
          <rPr>
            <sz val="9"/>
            <rFont val="宋体"/>
            <charset val="134"/>
          </rPr>
          <t xml:space="preserve">预付1885转到付USD259.64.
</t>
        </r>
      </text>
    </comment>
    <comment ref="M609" authorId="0">
      <text>
        <r>
          <rPr>
            <sz val="9"/>
            <rFont val="宋体"/>
            <charset val="134"/>
          </rPr>
          <t xml:space="preserve">预付1339.5转到付USD184.5.
</t>
        </r>
      </text>
    </comment>
    <comment ref="M614" authorId="0">
      <text>
        <r>
          <rPr>
            <sz val="9"/>
            <rFont val="宋体"/>
            <charset val="134"/>
          </rPr>
          <t xml:space="preserve">预付2465转到付USD339.53.
</t>
        </r>
      </text>
    </comment>
    <comment ref="M616" authorId="0">
      <text>
        <r>
          <rPr>
            <sz val="9"/>
            <rFont val="宋体"/>
            <charset val="134"/>
          </rPr>
          <t xml:space="preserve">预付636转到付USD87.6.
</t>
        </r>
      </text>
    </comment>
    <comment ref="M618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M620" authorId="0">
      <text>
        <r>
          <rPr>
            <sz val="9"/>
            <rFont val="宋体"/>
            <charset val="134"/>
          </rPr>
          <t xml:space="preserve">预付153转到付USD21.07
</t>
        </r>
      </text>
    </comment>
    <comment ref="M622" authorId="0">
      <text>
        <r>
          <rPr>
            <sz val="9"/>
            <rFont val="宋体"/>
            <charset val="134"/>
          </rPr>
          <t>预付2711转到付USD373.41.</t>
        </r>
      </text>
    </comment>
    <comment ref="M624" authorId="0">
      <text>
        <r>
          <rPr>
            <sz val="9"/>
            <rFont val="宋体"/>
            <charset val="134"/>
          </rPr>
          <t xml:space="preserve">预付63转到付USD8.67
</t>
        </r>
      </text>
    </comment>
    <comment ref="M625" authorId="0">
      <text>
        <r>
          <rPr>
            <sz val="9"/>
            <rFont val="宋体"/>
            <charset val="134"/>
          </rPr>
          <t xml:space="preserve">预付87转到付SD11.98.
</t>
        </r>
      </text>
    </comment>
    <comment ref="M631" authorId="0">
      <text>
        <r>
          <rPr>
            <sz val="9"/>
            <rFont val="宋体"/>
            <charset val="134"/>
          </rPr>
          <t xml:space="preserve">预付53转到付USD7.3.
</t>
        </r>
      </text>
    </comment>
    <comment ref="M635" authorId="0">
      <text>
        <r>
          <rPr>
            <sz val="9"/>
            <rFont val="宋体"/>
            <charset val="134"/>
          </rPr>
          <t xml:space="preserve">预付1218转到付USD167.76.
</t>
        </r>
      </text>
    </comment>
    <comment ref="M636" authorId="0">
      <text>
        <r>
          <rPr>
            <sz val="9"/>
            <rFont val="宋体"/>
            <charset val="134"/>
          </rPr>
          <t xml:space="preserve">预付348转到付SD47.93.
</t>
        </r>
      </text>
    </comment>
    <comment ref="M637" authorId="0">
      <text>
        <r>
          <rPr>
            <sz val="9"/>
            <rFont val="宋体"/>
            <charset val="134"/>
          </rPr>
          <t xml:space="preserve">预付530转到付USD73.
</t>
        </r>
      </text>
    </comment>
    <comment ref="M645" authorId="0">
      <text>
        <r>
          <rPr>
            <sz val="9"/>
            <rFont val="宋体"/>
            <charset val="134"/>
          </rPr>
          <t xml:space="preserve">预付9990.5转到付USD1376.1
</t>
        </r>
      </text>
    </comment>
    <comment ref="M647" authorId="0">
      <text>
        <r>
          <rPr>
            <sz val="9"/>
            <rFont val="宋体"/>
            <charset val="134"/>
          </rPr>
          <t xml:space="preserve">预付689罚到付USD94.9.
</t>
        </r>
      </text>
    </comment>
    <comment ref="M648" authorId="0">
      <text>
        <r>
          <rPr>
            <sz val="9"/>
            <rFont val="宋体"/>
            <charset val="134"/>
          </rPr>
          <t xml:space="preserve">预付9912转到付SD1365.28.
</t>
        </r>
      </text>
    </comment>
    <comment ref="M655" authorId="0">
      <text>
        <r>
          <rPr>
            <sz val="9"/>
            <rFont val="宋体"/>
            <charset val="134"/>
          </rPr>
          <t xml:space="preserve">预付300转到付SD41.32.
</t>
        </r>
      </text>
    </comment>
    <comment ref="M657" authorId="0">
      <text>
        <r>
          <rPr>
            <sz val="9"/>
            <rFont val="宋体"/>
            <charset val="134"/>
          </rPr>
          <t xml:space="preserve">预付2046转到付USD281.81.
</t>
        </r>
      </text>
    </comment>
    <comment ref="M658" authorId="0">
      <text>
        <r>
          <rPr>
            <sz val="9"/>
            <rFont val="宋体"/>
            <charset val="134"/>
          </rPr>
          <t xml:space="preserve">预付460转到付USD63.36.
</t>
        </r>
      </text>
    </comment>
    <comment ref="M660" authorId="0">
      <text>
        <r>
          <rPr>
            <sz val="9"/>
            <rFont val="宋体"/>
            <charset val="134"/>
          </rPr>
          <t xml:space="preserve">预付465转到付USD64.04
</t>
        </r>
      </text>
    </comment>
    <comment ref="M663" authorId="0">
      <text>
        <r>
          <rPr>
            <sz val="9"/>
            <rFont val="宋体"/>
            <charset val="134"/>
          </rPr>
          <t xml:space="preserve">预付75.9转到付USD10.45.
</t>
        </r>
      </text>
    </comment>
    <comment ref="M664" authorId="0">
      <text>
        <r>
          <rPr>
            <sz val="9"/>
            <rFont val="宋体"/>
            <charset val="134"/>
          </rPr>
          <t>预付6622.5转到付USD912.19.</t>
        </r>
      </text>
    </comment>
    <comment ref="M665" authorId="0">
      <text>
        <r>
          <rPr>
            <sz val="9"/>
            <rFont val="宋体"/>
            <charset val="134"/>
          </rPr>
          <t xml:space="preserve">预付898转到付USD123.69.
</t>
        </r>
      </text>
    </comment>
    <comment ref="M666" authorId="0">
      <text>
        <r>
          <rPr>
            <sz val="9"/>
            <rFont val="宋体"/>
            <charset val="134"/>
          </rPr>
          <t xml:space="preserve">预付1339.8转到付USD184.54.
</t>
        </r>
      </text>
    </comment>
    <comment ref="M667" authorId="0">
      <text>
        <r>
          <rPr>
            <sz val="9"/>
            <rFont val="宋体"/>
            <charset val="134"/>
          </rPr>
          <t xml:space="preserve">预付5880转到付USD809.91.
</t>
        </r>
      </text>
    </comment>
    <comment ref="M670" authorId="0">
      <text>
        <r>
          <rPr>
            <sz val="9"/>
            <rFont val="宋体"/>
            <charset val="134"/>
          </rPr>
          <t xml:space="preserve">预付240转到付SD33.05.
</t>
        </r>
      </text>
    </comment>
    <comment ref="M675" authorId="0">
      <text>
        <r>
          <rPr>
            <sz val="9"/>
            <rFont val="宋体"/>
            <charset val="134"/>
          </rPr>
          <t xml:space="preserve">预付210转到付ASD28.92.
</t>
        </r>
      </text>
    </comment>
    <comment ref="M692" authorId="0">
      <text>
        <r>
          <rPr>
            <sz val="9"/>
            <rFont val="宋体"/>
            <charset val="134"/>
          </rPr>
          <t xml:space="preserve">预付201转到付SD27.68
</t>
        </r>
      </text>
    </comment>
    <comment ref="M712" authorId="0">
      <text>
        <r>
          <rPr>
            <sz val="9"/>
            <rFont val="宋体"/>
            <charset val="134"/>
          </rPr>
          <t xml:space="preserve">预付75.9转到付USD10.45.
</t>
        </r>
      </text>
    </comment>
    <comment ref="M713" authorId="0">
      <text>
        <r>
          <rPr>
            <sz val="9"/>
            <rFont val="宋体"/>
            <charset val="134"/>
          </rPr>
          <t xml:space="preserve">预付1495转到付SD205.92.
</t>
        </r>
      </text>
    </comment>
    <comment ref="M719" authorId="0">
      <text>
        <r>
          <rPr>
            <sz val="9"/>
            <rFont val="宋体"/>
            <charset val="134"/>
          </rPr>
          <t xml:space="preserve">预付3080转到付USD424.24.
</t>
        </r>
      </text>
    </comment>
    <comment ref="M721" authorId="0">
      <text>
        <r>
          <rPr>
            <sz val="9"/>
            <rFont val="宋体"/>
            <charset val="134"/>
          </rPr>
          <t xml:space="preserve">预付243转到付USD33.47.
</t>
        </r>
      </text>
    </comment>
    <comment ref="M722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M731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M735" authorId="0">
      <text>
        <r>
          <rPr>
            <sz val="9"/>
            <rFont val="宋体"/>
            <charset val="134"/>
          </rPr>
          <t xml:space="preserve">预付6728转到位SD926.72.
</t>
        </r>
      </text>
    </comment>
    <comment ref="M736" authorId="0">
      <text>
        <r>
          <rPr>
            <sz val="9"/>
            <rFont val="宋体"/>
            <charset val="134"/>
          </rPr>
          <t xml:space="preserve">预付2043转到付USD281.4
</t>
        </r>
      </text>
    </comment>
    <comment ref="M738" authorId="0">
      <text>
        <r>
          <rPr>
            <sz val="9"/>
            <rFont val="宋体"/>
            <charset val="134"/>
          </rPr>
          <t xml:space="preserve">预付102转到付USD14.04.
</t>
        </r>
      </text>
    </comment>
    <comment ref="M739" authorId="0">
      <text>
        <r>
          <rPr>
            <sz val="9"/>
            <rFont val="宋体"/>
            <charset val="134"/>
          </rPr>
          <t xml:space="preserve">预付3153.5转到付USD434.36
</t>
        </r>
      </text>
    </comment>
    <comment ref="M740" authorId="0">
      <text>
        <r>
          <rPr>
            <sz val="9"/>
            <rFont val="宋体"/>
            <charset val="134"/>
          </rPr>
          <t xml:space="preserve">预付53转到付USD7.3
</t>
        </r>
      </text>
    </comment>
    <comment ref="M742" authorId="0">
      <text>
        <r>
          <rPr>
            <sz val="9"/>
            <rFont val="宋体"/>
            <charset val="134"/>
          </rPr>
          <t xml:space="preserve">预付1885转到付USD259.64.
</t>
        </r>
      </text>
    </comment>
    <comment ref="M746" authorId="0">
      <text>
        <r>
          <rPr>
            <sz val="9"/>
            <rFont val="宋体"/>
            <charset val="134"/>
          </rPr>
          <t xml:space="preserve">预付11377转到付USD1567.07.
</t>
        </r>
      </text>
    </comment>
    <comment ref="M747" authorId="0">
      <text>
        <r>
          <rPr>
            <sz val="9"/>
            <rFont val="宋体"/>
            <charset val="134"/>
          </rPr>
          <t xml:space="preserve">预付414.95转到付USD57.15.
</t>
        </r>
      </text>
    </comment>
    <comment ref="M748" authorId="0">
      <text>
        <r>
          <rPr>
            <sz val="9"/>
            <rFont val="宋体"/>
            <charset val="134"/>
          </rPr>
          <t>预付252转到付USD34.71.</t>
        </r>
      </text>
    </comment>
    <comment ref="M749" authorId="0">
      <text>
        <r>
          <rPr>
            <sz val="9"/>
            <rFont val="宋体"/>
            <charset val="134"/>
          </rPr>
          <t xml:space="preserve">预付53转到付USD7.3.
</t>
        </r>
      </text>
    </comment>
    <comment ref="M755" authorId="0">
      <text>
        <r>
          <rPr>
            <sz val="9"/>
            <rFont val="宋体"/>
            <charset val="134"/>
          </rPr>
          <t xml:space="preserve">预付1066转到付USD146.83.
</t>
        </r>
      </text>
    </comment>
    <comment ref="M756" authorId="0">
      <text>
        <r>
          <rPr>
            <sz val="9"/>
            <rFont val="宋体"/>
            <charset val="134"/>
          </rPr>
          <t xml:space="preserve">预付63转到付SD8.67.
</t>
        </r>
      </text>
    </comment>
    <comment ref="M757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M762" authorId="0">
      <text>
        <r>
          <rPr>
            <sz val="9"/>
            <rFont val="宋体"/>
            <charset val="134"/>
          </rPr>
          <t xml:space="preserve">预付503.5转到付USD69.35.
</t>
        </r>
      </text>
    </comment>
    <comment ref="M763" authorId="0">
      <text>
        <r>
          <rPr>
            <sz val="9"/>
            <rFont val="宋体"/>
            <charset val="134"/>
          </rPr>
          <t xml:space="preserve">预付217转到付USD29.88.
</t>
        </r>
      </text>
    </comment>
    <comment ref="M768" authorId="0">
      <text>
        <r>
          <rPr>
            <sz val="9"/>
            <rFont val="宋体"/>
            <charset val="134"/>
          </rPr>
          <t xml:space="preserve">预付609.5转到付USD83.95.
</t>
        </r>
      </text>
    </comment>
    <comment ref="M769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M771" authorId="0">
      <text>
        <r>
          <rPr>
            <sz val="9"/>
            <rFont val="宋体"/>
            <charset val="134"/>
          </rPr>
          <t xml:space="preserve">预付265转到付SD36.5.
</t>
        </r>
      </text>
    </comment>
    <comment ref="M776" authorId="0">
      <text>
        <r>
          <rPr>
            <sz val="9"/>
            <rFont val="宋体"/>
            <charset val="134"/>
          </rPr>
          <t xml:space="preserve">预付1510.5转到付SD208.05.
</t>
        </r>
      </text>
    </comment>
    <comment ref="M779" authorId="0">
      <text>
        <r>
          <rPr>
            <sz val="9"/>
            <rFont val="宋体"/>
            <charset val="134"/>
          </rPr>
          <t xml:space="preserve">预付2883转到付USD397.1
</t>
        </r>
      </text>
    </comment>
    <comment ref="M785" authorId="0">
      <text>
        <r>
          <rPr>
            <sz val="9"/>
            <rFont val="宋体"/>
            <charset val="134"/>
          </rPr>
          <t xml:space="preserve">预付360转到位SD49.58.
</t>
        </r>
      </text>
    </comment>
    <comment ref="M788" authorId="0">
      <text>
        <r>
          <rPr>
            <sz val="9"/>
            <rFont val="宋体"/>
            <charset val="134"/>
          </rPr>
          <t xml:space="preserve">预付287.5转到付USD39.6.
</t>
        </r>
      </text>
    </comment>
    <comment ref="C798" authorId="0">
      <text>
        <r>
          <rPr>
            <sz val="9"/>
            <rFont val="宋体"/>
            <charset val="134"/>
          </rPr>
          <t xml:space="preserve">23KG不用收运费
</t>
        </r>
      </text>
    </comment>
    <comment ref="M826" authorId="0">
      <text>
        <r>
          <rPr>
            <sz val="9"/>
            <rFont val="宋体"/>
            <charset val="134"/>
          </rPr>
          <t xml:space="preserve">预付1457.5转到付USD200.75.
</t>
        </r>
      </text>
    </comment>
    <comment ref="M832" authorId="0">
      <text>
        <r>
          <rPr>
            <sz val="9"/>
            <rFont val="宋体"/>
            <charset val="134"/>
          </rPr>
          <t xml:space="preserve">预付406转到位USD55.92.
</t>
        </r>
      </text>
    </comment>
    <comment ref="M833" authorId="0">
      <text>
        <r>
          <rPr>
            <sz val="9"/>
            <rFont val="宋体"/>
            <charset val="134"/>
          </rPr>
          <t>预付1045.5转到付USD144.</t>
        </r>
      </text>
    </comment>
    <comment ref="M835" authorId="0">
      <text>
        <r>
          <rPr>
            <sz val="9"/>
            <rFont val="宋体"/>
            <charset val="134"/>
          </rPr>
          <t>预付690转到付USD95.04.</t>
        </r>
      </text>
    </comment>
    <comment ref="M840" authorId="0">
      <text>
        <r>
          <rPr>
            <sz val="9"/>
            <rFont val="宋体"/>
            <charset val="134"/>
          </rPr>
          <t xml:space="preserve">预付344.5转到付USD47.45.
</t>
        </r>
      </text>
    </comment>
    <comment ref="M842" authorId="0">
      <text>
        <r>
          <rPr>
            <sz val="9"/>
            <rFont val="宋体"/>
            <charset val="134"/>
          </rPr>
          <t xml:space="preserve">预付63转到付USD8.67.
</t>
        </r>
      </text>
    </comment>
    <comment ref="M846" authorId="0">
      <text>
        <r>
          <rPr>
            <sz val="9"/>
            <rFont val="宋体"/>
            <charset val="134"/>
          </rPr>
          <t xml:space="preserve">预付87转到付SD11.98.
</t>
        </r>
      </text>
    </comment>
    <comment ref="M850" authorId="0">
      <text>
        <r>
          <rPr>
            <sz val="9"/>
            <rFont val="宋体"/>
            <charset val="134"/>
          </rPr>
          <t xml:space="preserve">预付53转到付USD7.3.
</t>
        </r>
      </text>
    </comment>
    <comment ref="M851" authorId="0">
      <text>
        <r>
          <rPr>
            <b/>
            <sz val="9"/>
            <rFont val="宋体"/>
            <charset val="134"/>
          </rPr>
          <t>预付490.5转到付USD67.56.</t>
        </r>
      </text>
    </comment>
    <comment ref="M856" authorId="0">
      <text>
        <r>
          <rPr>
            <sz val="9"/>
            <rFont val="宋体"/>
            <charset val="134"/>
          </rPr>
          <t xml:space="preserve">预付2726转到位SD375.48.
</t>
        </r>
      </text>
    </comment>
    <comment ref="M861" authorId="0">
      <text>
        <r>
          <rPr>
            <sz val="9"/>
            <rFont val="宋体"/>
            <charset val="134"/>
          </rPr>
          <t xml:space="preserve">预付153转到付USD21.07.
</t>
        </r>
      </text>
    </comment>
    <comment ref="M871" authorId="0">
      <text>
        <r>
          <rPr>
            <sz val="9"/>
            <rFont val="宋体"/>
            <charset val="134"/>
          </rPr>
          <t xml:space="preserve">预付6439.5转到付USD886.98.
</t>
        </r>
      </text>
    </comment>
    <comment ref="M874" authorId="0">
      <text>
        <r>
          <rPr>
            <sz val="9"/>
            <rFont val="宋体"/>
            <charset val="134"/>
          </rPr>
          <t xml:space="preserve">预付3233转到付SD445.31.
</t>
        </r>
      </text>
    </comment>
    <comment ref="M876" authorId="0">
      <text>
        <r>
          <rPr>
            <sz val="9"/>
            <rFont val="宋体"/>
            <charset val="134"/>
          </rPr>
          <t xml:space="preserve">预付1060.5转到付USD146.07.
</t>
        </r>
      </text>
    </comment>
    <comment ref="M878" authorId="0">
      <text>
        <r>
          <rPr>
            <sz val="9"/>
            <rFont val="宋体"/>
            <charset val="134"/>
          </rPr>
          <t xml:space="preserve">预付185.5转到付SD25.55.
</t>
        </r>
      </text>
    </comment>
    <comment ref="M888" authorId="0">
      <text>
        <r>
          <rPr>
            <sz val="9"/>
            <rFont val="宋体"/>
            <charset val="134"/>
          </rPr>
          <t xml:space="preserve">预付472转到付USD65.01.
</t>
        </r>
      </text>
    </comment>
    <comment ref="C889" authorId="0">
      <text>
        <r>
          <rPr>
            <sz val="9"/>
            <rFont val="宋体"/>
            <charset val="134"/>
          </rPr>
          <t xml:space="preserve">无人机有罚款。
</t>
        </r>
      </text>
    </comment>
    <comment ref="I889" authorId="0">
      <text>
        <r>
          <rPr>
            <sz val="9"/>
            <rFont val="宋体"/>
            <charset val="134"/>
          </rPr>
          <t xml:space="preserve">其中12500是无人机罚款.
</t>
        </r>
      </text>
    </comment>
    <comment ref="Z889" authorId="0">
      <text>
        <r>
          <rPr>
            <sz val="9"/>
            <rFont val="宋体"/>
            <charset val="134"/>
          </rPr>
          <t xml:space="preserve">无人机罚款.
</t>
        </r>
      </text>
    </comment>
    <comment ref="M905" authorId="0">
      <text>
        <r>
          <rPr>
            <b/>
            <sz val="9"/>
            <rFont val="宋体"/>
            <charset val="134"/>
          </rPr>
          <t>预付510转到付SD70.24.:</t>
        </r>
        <r>
          <rPr>
            <sz val="9"/>
            <rFont val="宋体"/>
            <charset val="134"/>
          </rPr>
          <t xml:space="preserve">
</t>
        </r>
      </text>
    </comment>
    <comment ref="M912" authorId="0">
      <text>
        <r>
          <rPr>
            <sz val="9"/>
            <rFont val="宋体"/>
            <charset val="134"/>
          </rPr>
          <t xml:space="preserve">预付1560.88转到付USD214.98.
</t>
        </r>
      </text>
    </comment>
    <comment ref="M914" authorId="0">
      <text>
        <r>
          <rPr>
            <sz val="9"/>
            <rFont val="宋体"/>
            <charset val="134"/>
          </rPr>
          <t>预付610转到付USD84.02.</t>
        </r>
      </text>
    </comment>
    <comment ref="M915" authorId="0">
      <text>
        <r>
          <rPr>
            <sz val="9"/>
            <rFont val="宋体"/>
            <charset val="134"/>
          </rPr>
          <t xml:space="preserve">预付445.5转到付USD61.36
</t>
        </r>
      </text>
    </comment>
    <comment ref="I924" authorId="0">
      <text>
        <r>
          <rPr>
            <sz val="9"/>
            <rFont val="宋体"/>
            <charset val="134"/>
          </rPr>
          <t xml:space="preserve">到付USD2129.84转预付15441.5.
</t>
        </r>
      </text>
    </comment>
    <comment ref="M935" authorId="0">
      <text>
        <r>
          <rPr>
            <sz val="9"/>
            <rFont val="宋体"/>
            <charset val="134"/>
          </rPr>
          <t xml:space="preserve">预付821.7转到付USD113.18.
</t>
        </r>
      </text>
    </comment>
    <comment ref="M943" authorId="0">
      <text>
        <r>
          <rPr>
            <sz val="9"/>
            <rFont val="宋体"/>
            <charset val="134"/>
          </rPr>
          <t xml:space="preserve">预付298.2转到付USD41.07.
</t>
        </r>
      </text>
    </comment>
    <comment ref="M954" authorId="0">
      <text>
        <r>
          <rPr>
            <sz val="9"/>
            <rFont val="宋体"/>
            <charset val="134"/>
          </rPr>
          <t xml:space="preserve">预付580转到付USD79.88
</t>
        </r>
      </text>
    </comment>
    <comment ref="M955" authorId="0">
      <text>
        <r>
          <rPr>
            <sz val="9"/>
            <rFont val="宋体"/>
            <charset val="134"/>
          </rPr>
          <t>预付487.5转到付USD67.14.</t>
        </r>
      </text>
    </comment>
    <comment ref="M959" authorId="0">
      <text>
        <r>
          <rPr>
            <sz val="9"/>
            <rFont val="宋体"/>
            <charset val="134"/>
          </rPr>
          <t xml:space="preserve">预付561转到付USD77.27.
</t>
        </r>
      </text>
    </comment>
    <comment ref="M966" authorId="0">
      <text>
        <r>
          <rPr>
            <sz val="9"/>
            <rFont val="宋体"/>
            <charset val="134"/>
          </rPr>
          <t xml:space="preserve">预付1625转到付USD223.82
</t>
        </r>
      </text>
    </comment>
    <comment ref="M972" authorId="0">
      <text>
        <r>
          <rPr>
            <sz val="9"/>
            <rFont val="宋体"/>
            <charset val="134"/>
          </rPr>
          <t xml:space="preserve">预付172.5转到付USD23.76.
</t>
        </r>
      </text>
    </comment>
    <comment ref="M981" authorId="0">
      <text>
        <r>
          <rPr>
            <sz val="9"/>
            <rFont val="宋体"/>
            <charset val="134"/>
          </rPr>
          <t xml:space="preserve">预付21525转到位USD2964.87.
</t>
        </r>
      </text>
    </comment>
    <comment ref="M982" authorId="0">
      <text>
        <r>
          <rPr>
            <sz val="9"/>
            <rFont val="宋体"/>
            <charset val="134"/>
          </rPr>
          <t xml:space="preserve">预付675转到付USD92.97.
</t>
        </r>
      </text>
    </comment>
    <comment ref="M983" authorId="0">
      <text>
        <r>
          <rPr>
            <sz val="9"/>
            <rFont val="宋体"/>
            <charset val="134"/>
          </rPr>
          <t xml:space="preserve">预付79.5转到付USD10.98.
</t>
        </r>
      </text>
    </comment>
    <comment ref="M984" authorId="0">
      <text>
        <r>
          <rPr>
            <sz val="9"/>
            <rFont val="宋体"/>
            <charset val="134"/>
          </rPr>
          <t xml:space="preserve">预付2429转到位USD334.57.
</t>
        </r>
      </text>
    </comment>
    <comment ref="M993" authorId="0">
      <text>
        <r>
          <rPr>
            <sz val="9"/>
            <rFont val="宋体"/>
            <charset val="134"/>
          </rPr>
          <t xml:space="preserve">预付130.2转到付USD17.93.
</t>
        </r>
      </text>
    </comment>
    <comment ref="M995" authorId="0">
      <text>
        <r>
          <rPr>
            <sz val="9"/>
            <rFont val="宋体"/>
            <charset val="134"/>
          </rPr>
          <t xml:space="preserve">预付3125转USD430.44
</t>
        </r>
      </text>
    </comment>
    <comment ref="M996" authorId="0">
      <text>
        <r>
          <rPr>
            <sz val="9"/>
            <rFont val="宋体"/>
            <charset val="134"/>
          </rPr>
          <t xml:space="preserve">预付247.5转到付USD34.09.
</t>
        </r>
      </text>
    </comment>
    <comment ref="M1000" authorId="0">
      <text>
        <r>
          <rPr>
            <sz val="9"/>
            <rFont val="宋体"/>
            <charset val="134"/>
          </rPr>
          <t xml:space="preserve">预付405转到付USD55.78.
</t>
        </r>
      </text>
    </comment>
    <comment ref="M1007" authorId="0">
      <text>
        <r>
          <rPr>
            <sz val="9"/>
            <rFont val="宋体"/>
            <charset val="134"/>
          </rPr>
          <t xml:space="preserve">预付15225转到位SD2097.1.
</t>
        </r>
      </text>
    </comment>
    <comment ref="M1008" authorId="0">
      <text>
        <r>
          <rPr>
            <sz val="9"/>
            <rFont val="宋体"/>
            <charset val="134"/>
          </rPr>
          <t xml:space="preserve">预付53转到付USD7.3.
</t>
        </r>
      </text>
    </comment>
    <comment ref="M1012" authorId="0">
      <text>
        <r>
          <rPr>
            <sz val="9"/>
            <rFont val="宋体"/>
            <charset val="134"/>
          </rPr>
          <t xml:space="preserve">预付1166.7转到付SD160.7
</t>
        </r>
      </text>
    </comment>
    <comment ref="M1013" authorId="0">
      <text>
        <r>
          <rPr>
            <sz val="9"/>
            <rFont val="宋体"/>
            <charset val="134"/>
          </rPr>
          <t xml:space="preserve">预付363转到付USD50.
</t>
        </r>
      </text>
    </comment>
    <comment ref="M1014" authorId="0">
      <text>
        <r>
          <rPr>
            <sz val="9"/>
            <rFont val="宋体"/>
            <charset val="134"/>
          </rPr>
          <t xml:space="preserve">预付5742转到位USD790.9.
</t>
        </r>
      </text>
    </comment>
    <comment ref="M1020" authorId="0">
      <text>
        <r>
          <rPr>
            <sz val="9"/>
            <rFont val="宋体"/>
            <charset val="134"/>
          </rPr>
          <t xml:space="preserve">预付185.5转USD25.55
</t>
        </r>
      </text>
    </comment>
    <comment ref="M1021" authorId="0">
      <text>
        <r>
          <rPr>
            <sz val="9"/>
            <rFont val="宋体"/>
            <charset val="134"/>
          </rPr>
          <t xml:space="preserve">预付63转USD8.67.
</t>
        </r>
      </text>
    </comment>
    <comment ref="M1032" authorId="0">
      <text>
        <r>
          <rPr>
            <sz val="9"/>
            <rFont val="宋体"/>
            <charset val="134"/>
          </rPr>
          <t xml:space="preserve">预付123转到付USD16.94.
</t>
        </r>
      </text>
    </comment>
    <comment ref="M1033" authorId="0">
      <text>
        <r>
          <rPr>
            <sz val="9"/>
            <rFont val="宋体"/>
            <charset val="134"/>
          </rPr>
          <t xml:space="preserve">预付795转到付USD109.5.
</t>
        </r>
      </text>
    </comment>
  </commentList>
</comments>
</file>

<file path=xl/sharedStrings.xml><?xml version="1.0" encoding="utf-8"?>
<sst xmlns="http://schemas.openxmlformats.org/spreadsheetml/2006/main" count="3273" uniqueCount="602">
  <si>
    <t>2024年07月份LOS毛利表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</si>
  <si>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</si>
  <si>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</si>
  <si>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</si>
  <si>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</si>
  <si>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</si>
  <si>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</si>
  <si>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</si>
  <si>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</si>
  <si>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</si>
  <si>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</si>
  <si>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</si>
  <si>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</si>
  <si>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</si>
  <si>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</si>
  <si>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</si>
  <si>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</si>
  <si>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</si>
  <si>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</si>
  <si>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</si>
  <si>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</si>
  <si>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</si>
  <si>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</si>
  <si>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</si>
  <si>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</si>
  <si>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</t>
  </si>
  <si>
    <t>提货费</t>
  </si>
  <si>
    <t>送货费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</si>
  <si>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</si>
  <si>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</si>
  <si>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</si>
  <si>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</si>
  <si>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</si>
  <si>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</si>
  <si>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</si>
  <si>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JOB070339</t>
  </si>
  <si>
    <t>COLL004040</t>
  </si>
  <si>
    <t>Sam.Pao</t>
  </si>
  <si>
    <t>ShanShan</t>
  </si>
  <si>
    <t>富姐</t>
  </si>
  <si>
    <t>吕沛霖</t>
  </si>
  <si>
    <t>喵喵速运-Layne</t>
  </si>
  <si>
    <t>Li 明亮</t>
  </si>
  <si>
    <t>Rose 徐艳秋</t>
  </si>
  <si>
    <t>黄颖</t>
  </si>
  <si>
    <t>ying</t>
  </si>
  <si>
    <t>luzong</t>
  </si>
  <si>
    <t>Bella</t>
  </si>
  <si>
    <t>Bella Chan</t>
  </si>
  <si>
    <t>Henry Yu</t>
  </si>
  <si>
    <t>fang ming</t>
  </si>
  <si>
    <t>JiaFeng</t>
  </si>
  <si>
    <t>jiafeng</t>
  </si>
  <si>
    <t>鸿</t>
  </si>
  <si>
    <t>Mr.Leo</t>
  </si>
  <si>
    <t>罗伟健</t>
  </si>
  <si>
    <t>MailMail速运-演员</t>
  </si>
  <si>
    <t>chen a tong</t>
  </si>
  <si>
    <t>朱小飞</t>
  </si>
  <si>
    <t>Isabel Zhu</t>
  </si>
  <si>
    <t>Long Er</t>
  </si>
  <si>
    <t>Sadiq bangaje</t>
  </si>
  <si>
    <t>Mr Guan</t>
  </si>
  <si>
    <t>SHI</t>
  </si>
  <si>
    <t>ChenBin</t>
  </si>
  <si>
    <t>KeKe</t>
  </si>
  <si>
    <t>Jack</t>
  </si>
  <si>
    <t>JOB070340</t>
  </si>
  <si>
    <t>COLL004035</t>
  </si>
  <si>
    <t>huang peng</t>
  </si>
  <si>
    <t>顶派=93163
广州通达=5204.2</t>
  </si>
  <si>
    <t>MaiKaiNian</t>
  </si>
  <si>
    <t>liangyu</t>
  </si>
  <si>
    <t>huang</t>
  </si>
  <si>
    <t>Zou Qiyang</t>
  </si>
  <si>
    <t>Lin Kai</t>
  </si>
  <si>
    <t>Ope Olofinjana</t>
  </si>
  <si>
    <t>Los王红升</t>
  </si>
  <si>
    <t>OTW 埃德维</t>
  </si>
  <si>
    <t>wangweijun</t>
  </si>
  <si>
    <t>yingyunjiao</t>
  </si>
  <si>
    <t>无人</t>
  </si>
  <si>
    <t>土狗泥</t>
  </si>
  <si>
    <t>TOYIN S.ADEKUNLE</t>
  </si>
  <si>
    <t>东东</t>
  </si>
  <si>
    <t>Yang</t>
  </si>
  <si>
    <t>SHAEK</t>
  </si>
  <si>
    <t>William Xu</t>
  </si>
  <si>
    <t>Robin Tai</t>
  </si>
  <si>
    <t>Mr.Bernie</t>
  </si>
  <si>
    <t>huangdan</t>
  </si>
  <si>
    <t>Hu Hai Liang</t>
  </si>
  <si>
    <t>Hillter</t>
  </si>
  <si>
    <t>Sue</t>
  </si>
  <si>
    <t>fast hours DM NIGHT LED</t>
  </si>
  <si>
    <t>Gao Hui</t>
  </si>
  <si>
    <t>zhang long ting</t>
  </si>
  <si>
    <t>Joy</t>
  </si>
  <si>
    <t>HARAFOAM</t>
  </si>
  <si>
    <t>Li Chang Rong</t>
  </si>
  <si>
    <t>remi</t>
  </si>
  <si>
    <t>春城</t>
  </si>
  <si>
    <t>David Lee</t>
  </si>
  <si>
    <t>Cindy</t>
  </si>
  <si>
    <t>Aluminium Smelter</t>
  </si>
  <si>
    <t>JACK</t>
  </si>
  <si>
    <t>chenhuaping</t>
  </si>
  <si>
    <t>zhou ji kao rou</t>
  </si>
  <si>
    <t>weng zixian</t>
  </si>
  <si>
    <t>Mr Peter</t>
  </si>
  <si>
    <t>Qingqing Zhang</t>
  </si>
  <si>
    <t>Nicole li</t>
  </si>
  <si>
    <t>LOMO</t>
  </si>
  <si>
    <t>TangQian</t>
  </si>
  <si>
    <t>Gabi</t>
  </si>
  <si>
    <t>Alice08105750388</t>
  </si>
  <si>
    <t>Maureen Kingsley</t>
  </si>
  <si>
    <t>Atten Engr Kola Balogun</t>
  </si>
  <si>
    <t>WEI</t>
  </si>
  <si>
    <t>Ka Ka 4分部</t>
  </si>
  <si>
    <t>Wu Jiao Xing</t>
  </si>
  <si>
    <t>zhounengquan</t>
  </si>
  <si>
    <t>zhang yong chong</t>
  </si>
  <si>
    <t>Alex</t>
  </si>
  <si>
    <t>Aminu yaro</t>
  </si>
  <si>
    <t>JOB070341</t>
  </si>
  <si>
    <t>COLL004036</t>
  </si>
  <si>
    <t>苏慧琪</t>
  </si>
  <si>
    <t>Danny</t>
  </si>
  <si>
    <t>wang王鸿辉</t>
  </si>
  <si>
    <t>顶派</t>
  </si>
  <si>
    <t>Abigail Ekeke</t>
  </si>
  <si>
    <t>zhaochuanhong</t>
  </si>
  <si>
    <t>Halifa Success</t>
  </si>
  <si>
    <t>liangdawei</t>
  </si>
  <si>
    <t>Lisa</t>
  </si>
  <si>
    <t>xiaohanbing</t>
  </si>
  <si>
    <t>wangleishan</t>
  </si>
  <si>
    <t>Gege</t>
  </si>
  <si>
    <t>MA ZONG</t>
  </si>
  <si>
    <t>Charles obiora chukwuekmeka</t>
  </si>
  <si>
    <t>Hua Junxian</t>
  </si>
  <si>
    <t>new hope 边鹏飞</t>
  </si>
  <si>
    <t>lilaijuan</t>
  </si>
  <si>
    <t>James</t>
  </si>
  <si>
    <t>Rachel</t>
  </si>
  <si>
    <t>Zhou Jia Liang</t>
  </si>
  <si>
    <t>Paul</t>
  </si>
  <si>
    <t>SKY JET</t>
  </si>
  <si>
    <t>Nkechi</t>
  </si>
  <si>
    <t>LeeZhuHua</t>
  </si>
  <si>
    <t>JOB070342</t>
  </si>
  <si>
    <t>COLL004042</t>
  </si>
  <si>
    <t>leoyang</t>
  </si>
  <si>
    <t>Mr Chen</t>
  </si>
  <si>
    <t>Tensam-谢</t>
  </si>
  <si>
    <t>Toyin Adekunle</t>
  </si>
  <si>
    <t>Mr Luo</t>
  </si>
  <si>
    <t>Dan Dan</t>
  </si>
  <si>
    <t>shangyafei</t>
  </si>
  <si>
    <t>YEMI</t>
  </si>
  <si>
    <t>JOB070343</t>
  </si>
  <si>
    <t>COLL004038</t>
  </si>
  <si>
    <t>DAVID ZHAO</t>
  </si>
  <si>
    <t xml:space="preserve">顶派
</t>
  </si>
  <si>
    <t>REMI</t>
  </si>
  <si>
    <t>DUDUHE鹤</t>
  </si>
  <si>
    <t>SHAN NAN</t>
  </si>
  <si>
    <t>Richard</t>
  </si>
  <si>
    <t>陆总</t>
  </si>
  <si>
    <t>LuZhiLong</t>
  </si>
  <si>
    <t>weiwei</t>
  </si>
  <si>
    <t>ERIC</t>
  </si>
  <si>
    <t>MIranda</t>
  </si>
  <si>
    <t>jiyingfeng</t>
  </si>
  <si>
    <t>JOB070345</t>
  </si>
  <si>
    <t>COLL004045</t>
  </si>
  <si>
    <t>javen</t>
  </si>
  <si>
    <t>Ma</t>
  </si>
  <si>
    <t>Yangbin</t>
  </si>
  <si>
    <t>YAN YAN</t>
  </si>
  <si>
    <t>JOB070346</t>
  </si>
  <si>
    <t>COLL004039</t>
  </si>
  <si>
    <t>Yang Peng Tao</t>
  </si>
  <si>
    <t>haowangjun</t>
  </si>
  <si>
    <t>WangMingXin</t>
  </si>
  <si>
    <t>David</t>
  </si>
  <si>
    <t>dejare James</t>
  </si>
  <si>
    <t>Lee Wen Wei</t>
  </si>
  <si>
    <t>Josiah John Efe</t>
  </si>
  <si>
    <t>Wang Jiu Lin</t>
  </si>
  <si>
    <t>Jessica</t>
  </si>
  <si>
    <t>Tomonsachi</t>
  </si>
  <si>
    <t>Segun Babatunde</t>
  </si>
  <si>
    <t>CHE YUAN</t>
  </si>
  <si>
    <t>MR lI</t>
  </si>
  <si>
    <t>Chukwudi Ibe</t>
  </si>
  <si>
    <t>Kristy Liu</t>
  </si>
  <si>
    <t>sam</t>
  </si>
  <si>
    <t>Unique Desh logistics</t>
  </si>
  <si>
    <t>Mailmail/Taiwo</t>
  </si>
  <si>
    <t>Mr. Jiang</t>
  </si>
  <si>
    <t>JOB070347</t>
  </si>
  <si>
    <t>COLL004047</t>
  </si>
  <si>
    <t>TANG YONGBI</t>
  </si>
  <si>
    <t>方显</t>
  </si>
  <si>
    <t>JOB070348</t>
  </si>
  <si>
    <t>COLL004041</t>
  </si>
  <si>
    <t>los徐周鹏</t>
  </si>
  <si>
    <t>clarkzeng2</t>
  </si>
  <si>
    <t>zengyugui</t>
  </si>
  <si>
    <t>Jackie Ms</t>
  </si>
  <si>
    <t>MrMark</t>
  </si>
  <si>
    <t>shaodong</t>
  </si>
  <si>
    <t>felix</t>
  </si>
  <si>
    <t>chief kenneco</t>
  </si>
  <si>
    <t>Shekinah</t>
  </si>
  <si>
    <t>Dong Jian Ping</t>
  </si>
  <si>
    <t>YA</t>
  </si>
  <si>
    <t>Jane</t>
  </si>
  <si>
    <t>Hellen</t>
  </si>
  <si>
    <t>JOB070350</t>
  </si>
  <si>
    <t>COLL004050</t>
  </si>
  <si>
    <t>yang yang</t>
  </si>
  <si>
    <t>mazhiwei</t>
  </si>
  <si>
    <t>HUBING</t>
  </si>
  <si>
    <t>William Wei</t>
  </si>
  <si>
    <t>CENTURY INDUSTRIAL FZE</t>
  </si>
  <si>
    <t>Julie LEE</t>
  </si>
  <si>
    <t>Julie lee</t>
  </si>
  <si>
    <t>JOB070351</t>
  </si>
  <si>
    <t>COLL004052</t>
  </si>
  <si>
    <t>Kelly He</t>
  </si>
  <si>
    <t>Guo Ze Xi</t>
  </si>
  <si>
    <t>Liang Liu Liu</t>
  </si>
  <si>
    <t>JOB070352</t>
  </si>
  <si>
    <t>COLL004044</t>
  </si>
  <si>
    <t>CJ</t>
  </si>
  <si>
    <t>Li Si Zhe</t>
  </si>
  <si>
    <t>mouhuaqiang</t>
  </si>
  <si>
    <t>Miss Chen</t>
  </si>
  <si>
    <t>Victor Tang</t>
  </si>
  <si>
    <t>Kim</t>
  </si>
  <si>
    <t>Eric Qu</t>
  </si>
  <si>
    <t>Sophia Igbafe</t>
  </si>
  <si>
    <t>Olatunde Mustapha</t>
  </si>
  <si>
    <t>los孙龙飞</t>
  </si>
  <si>
    <t>G.sir</t>
  </si>
  <si>
    <t>Li Jian Hong</t>
  </si>
  <si>
    <t>Fang Yu Lan</t>
  </si>
  <si>
    <t>Kaylee Tan</t>
  </si>
  <si>
    <t>EY</t>
  </si>
  <si>
    <t>Jing</t>
  </si>
  <si>
    <t>CH</t>
  </si>
  <si>
    <t>Dou Dou</t>
  </si>
  <si>
    <t>Jerry Zhang</t>
  </si>
  <si>
    <t>Lukas</t>
  </si>
  <si>
    <t>Kong Ling Jian</t>
  </si>
  <si>
    <t>Ah Jie</t>
  </si>
  <si>
    <t>Adamz</t>
  </si>
  <si>
    <t>Mr Wang</t>
  </si>
  <si>
    <t>JOB070353</t>
  </si>
  <si>
    <t>COLL004046</t>
  </si>
  <si>
    <t>Tony</t>
  </si>
  <si>
    <t>Hu Wen Cheng</t>
  </si>
  <si>
    <t>Umar</t>
  </si>
  <si>
    <t>yunus </t>
  </si>
  <si>
    <t>21th CENTURY</t>
  </si>
  <si>
    <t>SEGUN</t>
  </si>
  <si>
    <t>eng.Muhammad Hassnain</t>
  </si>
  <si>
    <t>Mailmail Abv sales person 1</t>
  </si>
  <si>
    <t>Kalio Edith</t>
  </si>
  <si>
    <t>ANTHONY</t>
  </si>
  <si>
    <t>Leo Liang</t>
  </si>
  <si>
    <t>Lin Qing Yuan</t>
  </si>
  <si>
    <t>Seman</t>
  </si>
  <si>
    <t>Hollie Emiko</t>
  </si>
  <si>
    <t>SF Jerry 顾</t>
  </si>
  <si>
    <t>Kenny Oyekunle</t>
  </si>
  <si>
    <t>JAMES Felicity</t>
  </si>
  <si>
    <t>Huang peng</t>
  </si>
  <si>
    <t>啃樱桃的小丸子</t>
  </si>
  <si>
    <t>nick.wang</t>
  </si>
  <si>
    <t>Zhang Pengpeng</t>
  </si>
  <si>
    <t>JIANG CHUAN DAO</t>
  </si>
  <si>
    <t>JOB070354</t>
  </si>
  <si>
    <t>COLL004051</t>
  </si>
  <si>
    <t>baozi</t>
  </si>
  <si>
    <t>liyunguo</t>
  </si>
  <si>
    <t>Xujianyun</t>
  </si>
  <si>
    <t>Steven Abuja</t>
  </si>
  <si>
    <t>Chisomaga Italy</t>
  </si>
  <si>
    <t>Rotimi</t>
  </si>
  <si>
    <t>Xiang Hong Shi</t>
  </si>
  <si>
    <t>Henry Adelaye</t>
  </si>
  <si>
    <t>Alina 二喵</t>
  </si>
  <si>
    <t>Xu Hao ke</t>
  </si>
  <si>
    <t>LUO XIANG DONG</t>
  </si>
  <si>
    <t>Cherry</t>
  </si>
  <si>
    <t>JOB070355</t>
  </si>
  <si>
    <t>COLL004054</t>
  </si>
  <si>
    <t>Liu feng pu</t>
  </si>
  <si>
    <t>BFSH</t>
  </si>
  <si>
    <t>lin wei hui</t>
  </si>
  <si>
    <t>Charles</t>
  </si>
  <si>
    <t>Tom</t>
  </si>
  <si>
    <t>Tom chen</t>
  </si>
  <si>
    <t>Kevin</t>
  </si>
  <si>
    <t>JOB070356</t>
  </si>
  <si>
    <t>COLL004055</t>
  </si>
  <si>
    <t>Huangpu</t>
  </si>
  <si>
    <t>阿米拉海运</t>
  </si>
  <si>
    <t>Auja</t>
  </si>
  <si>
    <t>AiGeLi</t>
  </si>
  <si>
    <t>sarah</t>
  </si>
  <si>
    <t>Liang Cai Yi</t>
  </si>
  <si>
    <t>BEINE</t>
  </si>
  <si>
    <t>FRANK</t>
  </si>
  <si>
    <t>SAMPAO</t>
  </si>
  <si>
    <t>Mr.Kassem Younes</t>
  </si>
  <si>
    <t>JOB070357</t>
  </si>
  <si>
    <t>COLL004056</t>
  </si>
  <si>
    <t>陆梓龙</t>
  </si>
  <si>
    <t>JOB070358</t>
  </si>
  <si>
    <t>COLL004053</t>
  </si>
  <si>
    <t>Felix</t>
  </si>
  <si>
    <t>Arasi Ibrahim</t>
  </si>
  <si>
    <t>Wang Jian</t>
  </si>
  <si>
    <t>LEO WEI</t>
  </si>
  <si>
    <t>陈 权</t>
  </si>
  <si>
    <t>Sowsco Well Services Nig Ltd</t>
  </si>
  <si>
    <t>chidi</t>
  </si>
  <si>
    <t>zhangjingcheng</t>
  </si>
  <si>
    <t>William benson</t>
  </si>
  <si>
    <t>Jonathan</t>
  </si>
  <si>
    <t>Edmond Eric</t>
  </si>
  <si>
    <t>MR GODEC</t>
  </si>
  <si>
    <t>Mr Olusola Abidemi</t>
  </si>
  <si>
    <t>Oxford Niu</t>
  </si>
  <si>
    <t>Eric Ren</t>
  </si>
  <si>
    <t>Ifeanyi ogbudibe</t>
  </si>
  <si>
    <t>JOB070359</t>
  </si>
  <si>
    <t>COLL004058</t>
  </si>
  <si>
    <t>chenchen</t>
  </si>
  <si>
    <t>Lizzy</t>
  </si>
  <si>
    <t>Shengzhi Yue</t>
  </si>
  <si>
    <t>YUE</t>
  </si>
  <si>
    <t>CMI</t>
  </si>
  <si>
    <t>Azibapu Eruani</t>
  </si>
  <si>
    <t>cheng</t>
  </si>
  <si>
    <t>Liu Yan</t>
  </si>
  <si>
    <t>LiuJun</t>
  </si>
  <si>
    <t>Usma</t>
  </si>
  <si>
    <t>JOB070361</t>
  </si>
  <si>
    <t>COLL004048</t>
  </si>
  <si>
    <t>Adams</t>
  </si>
  <si>
    <t>huochao</t>
  </si>
  <si>
    <t>cary cai</t>
  </si>
  <si>
    <t>CHEN + SHUI</t>
  </si>
  <si>
    <t>alh. abdulia</t>
  </si>
  <si>
    <t>Mr</t>
  </si>
  <si>
    <t>Dauda Joanna .S</t>
  </si>
  <si>
    <t>zhangchao</t>
  </si>
  <si>
    <t>chenlu</t>
  </si>
  <si>
    <t>Mr Tee</t>
  </si>
  <si>
    <t>zhang jian</t>
  </si>
  <si>
    <t>ouyang</t>
  </si>
  <si>
    <t>Michael</t>
  </si>
  <si>
    <t>CHENG ZHONG</t>
  </si>
  <si>
    <t>Mr. Jason</t>
  </si>
  <si>
    <t>Billy Xiong</t>
  </si>
  <si>
    <t>Ai jia</t>
  </si>
  <si>
    <t>Ibrahim Bashir Bello</t>
  </si>
  <si>
    <t>Johnson</t>
  </si>
  <si>
    <t>Adam Labaran</t>
  </si>
  <si>
    <t>Lu hu</t>
  </si>
  <si>
    <t>Zhou Ji BBQ</t>
  </si>
  <si>
    <t>zhangjian</t>
  </si>
  <si>
    <t>JOB070362</t>
  </si>
  <si>
    <t>COLL004062</t>
  </si>
  <si>
    <t>WuTao</t>
  </si>
  <si>
    <t>JOB070364</t>
  </si>
  <si>
    <t>COLL004064</t>
  </si>
  <si>
    <t>JOB070365</t>
  </si>
  <si>
    <t>COLL004057</t>
  </si>
  <si>
    <t>顶派=97024.5
广州通达=4381.6</t>
  </si>
  <si>
    <t>Zhang Xin Jian</t>
  </si>
  <si>
    <t>Eric Yang</t>
  </si>
  <si>
    <t>dengwenyong</t>
  </si>
  <si>
    <t>Ye Hui</t>
  </si>
  <si>
    <t>Adam e</t>
  </si>
  <si>
    <t>Jinggang Pan</t>
  </si>
  <si>
    <t>Mr Folabidayo</t>
  </si>
  <si>
    <t>Zeng Ni</t>
  </si>
  <si>
    <t>ZhuYunLian</t>
  </si>
  <si>
    <t>Keangz Basil</t>
  </si>
  <si>
    <t>GONG</t>
  </si>
  <si>
    <t>seanpeal</t>
  </si>
  <si>
    <t>jason</t>
  </si>
  <si>
    <t>PATRICK LIU</t>
  </si>
  <si>
    <t>Mr.Yang</t>
  </si>
  <si>
    <t>JOANNE</t>
  </si>
  <si>
    <t>zhangguofeng</t>
  </si>
  <si>
    <t>Du Li Zi Xin</t>
  </si>
  <si>
    <t>Yusky</t>
  </si>
  <si>
    <t>JOB070366</t>
  </si>
  <si>
    <t>COLL004059</t>
  </si>
  <si>
    <t>Sirius</t>
  </si>
  <si>
    <t>liupeng</t>
  </si>
  <si>
    <t>Amy</t>
  </si>
  <si>
    <t>Tian Zhuang Bo</t>
  </si>
  <si>
    <t>Roy Yang</t>
  </si>
  <si>
    <t>Meiqi</t>
  </si>
  <si>
    <t>yangweiwei</t>
  </si>
  <si>
    <t>Peggy</t>
  </si>
  <si>
    <t>AFNAN</t>
  </si>
  <si>
    <t>Laura</t>
  </si>
  <si>
    <t>William Moses</t>
  </si>
  <si>
    <t>Mr Ken</t>
  </si>
  <si>
    <t>Xiao Xi Bin</t>
  </si>
  <si>
    <t>Wangjianshe</t>
  </si>
  <si>
    <t>Summer</t>
  </si>
  <si>
    <t>WENCY</t>
  </si>
  <si>
    <t>HASHIMU AMINU</t>
  </si>
  <si>
    <t>Tom Wu</t>
  </si>
  <si>
    <t>Wilson Liang</t>
  </si>
  <si>
    <t>JOB070367</t>
  </si>
  <si>
    <t>COLL004066</t>
  </si>
  <si>
    <t>ANQI</t>
  </si>
  <si>
    <t>JOB070368</t>
  </si>
  <si>
    <t>COLL004067</t>
  </si>
  <si>
    <t>Xie Yi</t>
  </si>
  <si>
    <t>Emmy De Great</t>
  </si>
  <si>
    <t>JOB070369</t>
  </si>
  <si>
    <t>COLL004068</t>
  </si>
  <si>
    <t>JOB070371</t>
  </si>
  <si>
    <t>COLL004061</t>
  </si>
  <si>
    <t>Sunday Adelena</t>
  </si>
  <si>
    <t>weiweisheng</t>
  </si>
  <si>
    <t>zhou jia jun</t>
  </si>
  <si>
    <t>Jack Yang</t>
  </si>
  <si>
    <t>Boulos Enterprises Limited</t>
  </si>
  <si>
    <t>yingweiyu</t>
  </si>
  <si>
    <t>Bruce</t>
  </si>
  <si>
    <t>yuwang</t>
  </si>
  <si>
    <t>Wen Yi Min</t>
  </si>
  <si>
    <t>Ren Cheng</t>
  </si>
  <si>
    <t>Xin Ting</t>
  </si>
  <si>
    <t>Ayodele Oyebanji</t>
  </si>
  <si>
    <t>Adeniyi</t>
  </si>
  <si>
    <t>Spring 盛世飞扬</t>
  </si>
  <si>
    <t>Idris</t>
  </si>
  <si>
    <t>Macdonald Amadin</t>
  </si>
  <si>
    <t>JOB070372</t>
  </si>
  <si>
    <t>COLL004071</t>
  </si>
  <si>
    <t>wangwei</t>
  </si>
  <si>
    <t>YingYi</t>
  </si>
  <si>
    <t>ShiYuLiu</t>
  </si>
  <si>
    <t>JOB070373</t>
  </si>
  <si>
    <t>COLL004065</t>
  </si>
  <si>
    <t>Ms</t>
  </si>
  <si>
    <t>Olawale Faniyi</t>
  </si>
  <si>
    <t>Mr Yinka.</t>
  </si>
  <si>
    <t>musa birma</t>
  </si>
  <si>
    <t>Weiwei</t>
  </si>
  <si>
    <t>Gene</t>
  </si>
  <si>
    <t>Jhon</t>
  </si>
  <si>
    <t>Yang Qing</t>
  </si>
  <si>
    <t>Jones</t>
  </si>
  <si>
    <t>Chen Hao Miao</t>
  </si>
  <si>
    <t>qunguo</t>
  </si>
  <si>
    <t>Liu Mao</t>
  </si>
  <si>
    <t>Ke Ren</t>
  </si>
  <si>
    <t>Lu Zong</t>
  </si>
  <si>
    <t>Sun Lu Jie</t>
  </si>
  <si>
    <t>lanzong</t>
  </si>
  <si>
    <t>Maggie</t>
  </si>
  <si>
    <t>Lao Zhan</t>
  </si>
  <si>
    <t>yezhi</t>
  </si>
  <si>
    <t>Yue yue</t>
  </si>
  <si>
    <t>Mr.Li jianwei</t>
  </si>
  <si>
    <t>lu tong liu</t>
  </si>
  <si>
    <t>Mr.Cheng</t>
  </si>
  <si>
    <t>panda</t>
  </si>
  <si>
    <t>Jacklee</t>
  </si>
  <si>
    <t>Zou Bo</t>
  </si>
  <si>
    <t>JOB070374</t>
  </si>
  <si>
    <t>COLL004069</t>
  </si>
  <si>
    <t>Owen Qin</t>
  </si>
  <si>
    <t>Lv Yang</t>
  </si>
  <si>
    <t>Jerry</t>
  </si>
  <si>
    <t>Lu Hu</t>
  </si>
  <si>
    <t>Wangxiangru</t>
  </si>
  <si>
    <t>Alex Zhu</t>
  </si>
  <si>
    <t>Chimezie</t>
  </si>
  <si>
    <t>OLIVER</t>
  </si>
  <si>
    <t>GUORONG LONG</t>
  </si>
  <si>
    <t>Victor</t>
  </si>
  <si>
    <t>Dim joseph</t>
  </si>
  <si>
    <t>Tim</t>
  </si>
  <si>
    <t>Xing Kong</t>
  </si>
  <si>
    <t>ZOU Qiyang</t>
  </si>
  <si>
    <t>NAN GUA</t>
  </si>
  <si>
    <t>lingxiang</t>
  </si>
  <si>
    <t>JOB070376</t>
  </si>
  <si>
    <t>COLL004075</t>
  </si>
  <si>
    <t>MR HE</t>
  </si>
  <si>
    <t>Mr Cheng</t>
  </si>
  <si>
    <t>Japhia 于佳慧</t>
  </si>
  <si>
    <t>sun long fei</t>
  </si>
  <si>
    <t>lucky usma</t>
  </si>
  <si>
    <t>JOB070377</t>
  </si>
  <si>
    <t>COLL004076</t>
  </si>
  <si>
    <t>Jahnson</t>
  </si>
  <si>
    <t>JOB070378</t>
  </si>
  <si>
    <t>COLL004078</t>
  </si>
  <si>
    <t>JOB070379</t>
  </si>
  <si>
    <t>COLL004080</t>
  </si>
  <si>
    <t>wanghui</t>
  </si>
  <si>
    <t>JOB070380</t>
  </si>
  <si>
    <t>COLL004081</t>
  </si>
  <si>
    <t>Zhang Wen Hao</t>
  </si>
  <si>
    <t>JOB070382</t>
  </si>
  <si>
    <t>COLL004072</t>
  </si>
  <si>
    <t>Jia Yongqing</t>
  </si>
  <si>
    <t>ER NIU</t>
  </si>
  <si>
    <t>abv 李伟</t>
  </si>
  <si>
    <t>Festac ShopRite Lee</t>
  </si>
  <si>
    <t>Saliha Ibrahim</t>
  </si>
  <si>
    <t>Josen</t>
  </si>
  <si>
    <t>Musa</t>
  </si>
  <si>
    <r>
      <rPr>
        <sz val="10"/>
        <rFont val="Microsoft JhengHei"/>
        <charset val="134"/>
      </rPr>
      <t xml:space="preserve">ruby </t>
    </r>
    <r>
      <rPr>
        <sz val="10"/>
        <rFont val="Times New Roman"/>
        <charset val="134"/>
      </rPr>
      <t>‪</t>
    </r>
  </si>
  <si>
    <t>Jason</t>
  </si>
  <si>
    <t>David Wei</t>
  </si>
  <si>
    <t>TianRongLiang</t>
  </si>
  <si>
    <t>Ajay Agarwal</t>
  </si>
  <si>
    <t>Ekko</t>
  </si>
  <si>
    <t>Sofia</t>
  </si>
  <si>
    <t>Mr.Cui</t>
  </si>
  <si>
    <t>jiang jiang</t>
  </si>
  <si>
    <t>蔡鲜昇</t>
  </si>
  <si>
    <t>JASON</t>
  </si>
  <si>
    <t>JOB070383</t>
  </si>
  <si>
    <t>COLL004073</t>
  </si>
  <si>
    <t>Mr Jiang Li</t>
  </si>
  <si>
    <t>Mr Xiang</t>
  </si>
  <si>
    <t>Wang Fei</t>
  </si>
  <si>
    <t>Jonathan Liveth</t>
  </si>
  <si>
    <t>Guo ZhaoXu</t>
  </si>
  <si>
    <t>zhang feng</t>
  </si>
  <si>
    <t>wangli</t>
  </si>
  <si>
    <t>亚丽</t>
  </si>
  <si>
    <t>Mr zhang</t>
  </si>
  <si>
    <t>Emeka Okpala</t>
  </si>
  <si>
    <t>Mike</t>
  </si>
  <si>
    <t>Engr. Kola Balogun</t>
  </si>
  <si>
    <t>Yuan Tian</t>
  </si>
  <si>
    <t>lagos Handsome boy</t>
  </si>
  <si>
    <t>Wole Solanke</t>
  </si>
  <si>
    <t>Mr Patrick</t>
  </si>
  <si>
    <t>C陈文俊</t>
  </si>
  <si>
    <t>JOB070384</t>
  </si>
  <si>
    <t>COLL004079</t>
  </si>
  <si>
    <t>yuyibin</t>
  </si>
  <si>
    <t>Luo Bo</t>
  </si>
  <si>
    <t>Peng Qi Ming</t>
  </si>
  <si>
    <t>NiNi</t>
  </si>
  <si>
    <t>Miss Yemisi</t>
  </si>
  <si>
    <t>Zhu Xuetao</t>
  </si>
  <si>
    <t>YI NUO</t>
  </si>
  <si>
    <t>ruiyang Hotel</t>
  </si>
  <si>
    <t>zhaojiqiang</t>
  </si>
  <si>
    <t>Mr Olatunde</t>
  </si>
  <si>
    <t>Elsie Xu</t>
  </si>
  <si>
    <t>MeiMei</t>
  </si>
  <si>
    <t>JOB070385</t>
  </si>
  <si>
    <t>COLL004083</t>
  </si>
  <si>
    <t>Mr. Yang</t>
  </si>
  <si>
    <t>Harafoam</t>
  </si>
  <si>
    <t>LOUIS</t>
  </si>
  <si>
    <t>Fafunso</t>
  </si>
  <si>
    <t>JOB070386</t>
  </si>
  <si>
    <t>COLL004077</t>
  </si>
  <si>
    <t>顶派=146856
广州通达=7004.4</t>
  </si>
  <si>
    <t>Aanu</t>
  </si>
  <si>
    <t>FANGYONG</t>
  </si>
  <si>
    <t>Solomon Okoro</t>
  </si>
  <si>
    <t>Charly</t>
  </si>
  <si>
    <t>A YU</t>
  </si>
  <si>
    <t>li tao</t>
  </si>
  <si>
    <t>Mr Gbolahan</t>
  </si>
  <si>
    <t>Li Xiong</t>
  </si>
  <si>
    <t>Obioma</t>
  </si>
  <si>
    <t>wangmeng</t>
  </si>
  <si>
    <t>DING</t>
  </si>
  <si>
    <t>Mr Ola</t>
  </si>
  <si>
    <t>Vicky Kuo</t>
  </si>
  <si>
    <t>King sley</t>
  </si>
  <si>
    <t>JOB070387</t>
  </si>
  <si>
    <t>COLL004088</t>
  </si>
  <si>
    <t>Mr.Abubaka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</si>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</sst>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</numFmts>
  <fonts count="44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sz val="9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10"/>
      <color rgb="FF000000"/>
      <name val="Microsoft JhengHei"/>
      <charset val="134"/>
    </font>
    <font>
      <sz val="9"/>
      <color rgb="FF000000"/>
      <name val="Microsoft JhengHei"/>
      <charset val="134"/>
    </font>
    <font>
      <sz val="9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13" applyNumberFormat="0" applyAlignment="0" applyProtection="0">
      <alignment vertical="center"/>
    </xf>
    <xf numFmtId="0" fontId="31" fillId="9" borderId="14" applyNumberFormat="0" applyAlignment="0" applyProtection="0">
      <alignment vertical="center"/>
    </xf>
    <xf numFmtId="0" fontId="32" fillId="9" borderId="13" applyNumberFormat="0" applyAlignment="0" applyProtection="0">
      <alignment vertical="center"/>
    </xf>
    <xf numFmtId="0" fontId="33" fillId="10" borderId="15" applyNumberFormat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7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9" fontId="5" fillId="2" borderId="2" xfId="1" applyNumberFormat="1" applyFont="1" applyFill="1" applyBorder="1" applyAlignment="1">
      <alignment horizontal="center" vertical="center"/>
    </xf>
    <xf numFmtId="180" fontId="6" fillId="2" borderId="2" xfId="1" applyNumberFormat="1" applyFont="1" applyFill="1" applyBorder="1" applyAlignment="1">
      <alignment horizontal="center" vertical="center"/>
    </xf>
    <xf numFmtId="180" fontId="6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80" fontId="6" fillId="2" borderId="3" xfId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181" fontId="7" fillId="2" borderId="2" xfId="0" applyNumberFormat="1" applyFont="1" applyFill="1" applyBorder="1">
      <alignment vertical="center"/>
    </xf>
    <xf numFmtId="58" fontId="8" fillId="0" borderId="2" xfId="0" applyNumberFormat="1" applyFont="1" applyBorder="1" applyAlignment="1">
      <alignment horizontal="center" vertical="center"/>
    </xf>
    <xf numFmtId="181" fontId="7" fillId="3" borderId="2" xfId="0" applyNumberFormat="1" applyFont="1" applyFill="1" applyBorder="1">
      <alignment vertical="center"/>
    </xf>
    <xf numFmtId="58" fontId="8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>
      <alignment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82" fontId="1" fillId="3" borderId="4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82" fontId="10" fillId="0" borderId="6" xfId="0" applyNumberFormat="1" applyFont="1" applyFill="1" applyBorder="1" applyAlignment="1">
      <alignment horizontal="right" vertical="center"/>
    </xf>
    <xf numFmtId="182" fontId="1" fillId="4" borderId="1" xfId="0" applyNumberFormat="1" applyFont="1" applyFill="1" applyBorder="1" applyAlignment="1">
      <alignment horizontal="center" vertical="center"/>
    </xf>
    <xf numFmtId="182" fontId="4" fillId="3" borderId="2" xfId="0" applyNumberFormat="1" applyFont="1" applyFill="1" applyBorder="1" applyAlignment="1">
      <alignment horizontal="right" vertical="center"/>
    </xf>
    <xf numFmtId="176" fontId="11" fillId="3" borderId="2" xfId="0" applyNumberFormat="1" applyFont="1" applyFill="1" applyBorder="1" applyAlignment="1">
      <alignment horizontal="center" vertical="center" wrapText="1"/>
    </xf>
    <xf numFmtId="177" fontId="11" fillId="3" borderId="2" xfId="0" applyNumberFormat="1" applyFont="1" applyFill="1" applyBorder="1" applyAlignment="1">
      <alignment horizontal="center" vertical="center" wrapText="1"/>
    </xf>
    <xf numFmtId="177" fontId="4" fillId="3" borderId="2" xfId="0" applyNumberFormat="1" applyFont="1" applyFill="1" applyBorder="1" applyAlignment="1">
      <alignment horizontal="center" vertical="center" wrapText="1"/>
    </xf>
    <xf numFmtId="0" fontId="12" fillId="3" borderId="2" xfId="0" applyNumberFormat="1" applyFont="1" applyFill="1" applyBorder="1" applyAlignment="1">
      <alignment horizontal="center" vertical="center"/>
    </xf>
    <xf numFmtId="182" fontId="13" fillId="0" borderId="2" xfId="0" applyNumberFormat="1" applyFont="1" applyFill="1" applyBorder="1" applyAlignment="1">
      <alignment horizontal="right" vertical="center"/>
    </xf>
    <xf numFmtId="182" fontId="1" fillId="4" borderId="3" xfId="0" applyNumberFormat="1" applyFont="1" applyFill="1" applyBorder="1" applyAlignment="1">
      <alignment horizontal="center" vertical="center"/>
    </xf>
    <xf numFmtId="182" fontId="14" fillId="0" borderId="2" xfId="0" applyNumberFormat="1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7" fontId="7" fillId="2" borderId="2" xfId="0" applyNumberFormat="1" applyFont="1" applyFill="1" applyBorder="1">
      <alignment vertical="center"/>
    </xf>
    <xf numFmtId="176" fontId="15" fillId="2" borderId="2" xfId="0" applyNumberFormat="1" applyFont="1" applyFill="1" applyBorder="1" applyAlignment="1">
      <alignment horizontal="center" vertical="center"/>
    </xf>
    <xf numFmtId="182" fontId="7" fillId="2" borderId="2" xfId="0" applyNumberFormat="1" applyFont="1" applyFill="1" applyBorder="1">
      <alignment vertical="center"/>
    </xf>
    <xf numFmtId="182" fontId="2" fillId="0" borderId="1" xfId="0" applyNumberFormat="1" applyFont="1" applyBorder="1" applyAlignment="1">
      <alignment horizontal="center" vertical="center"/>
    </xf>
    <xf numFmtId="182" fontId="7" fillId="3" borderId="2" xfId="0" applyNumberFormat="1" applyFont="1" applyFill="1" applyBorder="1">
      <alignment vertical="center"/>
    </xf>
    <xf numFmtId="176" fontId="14" fillId="0" borderId="2" xfId="0" applyNumberFormat="1" applyFont="1" applyBorder="1" applyAlignment="1">
      <alignment horizontal="center" vertical="center"/>
    </xf>
    <xf numFmtId="176" fontId="14" fillId="3" borderId="2" xfId="0" applyNumberFormat="1" applyFont="1" applyFill="1" applyBorder="1" applyAlignment="1">
      <alignment horizontal="center" vertical="center"/>
    </xf>
    <xf numFmtId="177" fontId="14" fillId="2" borderId="2" xfId="0" applyNumberFormat="1" applyFont="1" applyFill="1" applyBorder="1">
      <alignment vertical="center"/>
    </xf>
    <xf numFmtId="182" fontId="2" fillId="0" borderId="3" xfId="0" applyNumberFormat="1" applyFont="1" applyBorder="1" applyAlignment="1">
      <alignment horizontal="center" vertical="center"/>
    </xf>
    <xf numFmtId="182" fontId="2" fillId="0" borderId="7" xfId="0" applyNumberFormat="1" applyFont="1" applyBorder="1" applyAlignment="1">
      <alignment horizontal="center" vertical="center"/>
    </xf>
    <xf numFmtId="182" fontId="14" fillId="3" borderId="2" xfId="0" applyNumberFormat="1" applyFont="1" applyFill="1" applyBorder="1">
      <alignment vertical="center"/>
    </xf>
    <xf numFmtId="177" fontId="7" fillId="3" borderId="2" xfId="0" applyNumberFormat="1" applyFont="1" applyFill="1" applyBorder="1">
      <alignment vertical="center"/>
    </xf>
    <xf numFmtId="177" fontId="14" fillId="3" borderId="2" xfId="0" applyNumberFormat="1" applyFont="1" applyFill="1" applyBorder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7" fontId="16" fillId="0" borderId="0" xfId="0" applyNumberFormat="1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82" fontId="4" fillId="5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82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82" fontId="12" fillId="0" borderId="8" xfId="0" applyNumberFormat="1" applyFont="1" applyFill="1" applyBorder="1" applyAlignment="1">
      <alignment horizontal="center" vertical="center" wrapText="1"/>
    </xf>
    <xf numFmtId="7" fontId="16" fillId="3" borderId="1" xfId="0" applyNumberFormat="1" applyFont="1" applyFill="1" applyBorder="1" applyAlignment="1">
      <alignment horizontal="center" vertical="center" wrapText="1"/>
    </xf>
    <xf numFmtId="177" fontId="12" fillId="3" borderId="2" xfId="0" applyNumberFormat="1" applyFont="1" applyFill="1" applyBorder="1" applyAlignment="1">
      <alignment horizontal="center" vertical="center"/>
    </xf>
    <xf numFmtId="183" fontId="17" fillId="5" borderId="2" xfId="4" applyNumberFormat="1" applyFont="1" applyFill="1" applyBorder="1" applyAlignment="1">
      <alignment horizontal="center" vertical="center"/>
    </xf>
    <xf numFmtId="182" fontId="13" fillId="5" borderId="2" xfId="4" applyNumberFormat="1" applyFont="1" applyFill="1" applyBorder="1" applyAlignment="1">
      <alignment horizontal="center" vertical="center"/>
    </xf>
    <xf numFmtId="183" fontId="13" fillId="0" borderId="2" xfId="4" applyNumberFormat="1" applyFont="1" applyFill="1" applyBorder="1" applyAlignment="1">
      <alignment horizontal="center" vertical="center"/>
    </xf>
    <xf numFmtId="182" fontId="13" fillId="0" borderId="2" xfId="4" applyNumberFormat="1" applyFont="1" applyFill="1" applyBorder="1" applyAlignment="1">
      <alignment horizontal="center" vertical="center"/>
    </xf>
    <xf numFmtId="182" fontId="12" fillId="0" borderId="9" xfId="0" applyNumberFormat="1" applyFont="1" applyFill="1" applyBorder="1" applyAlignment="1">
      <alignment horizontal="center" vertical="center" wrapText="1"/>
    </xf>
    <xf numFmtId="7" fontId="16" fillId="3" borderId="3" xfId="0" applyNumberFormat="1" applyFont="1" applyFill="1" applyBorder="1" applyAlignment="1">
      <alignment horizontal="center" vertical="center" wrapText="1"/>
    </xf>
    <xf numFmtId="177" fontId="18" fillId="3" borderId="2" xfId="0" applyNumberFormat="1" applyFont="1" applyFill="1" applyBorder="1" applyAlignment="1">
      <alignment vertical="center" wrapText="1"/>
    </xf>
    <xf numFmtId="182" fontId="2" fillId="0" borderId="2" xfId="0" applyNumberFormat="1" applyFont="1" applyBorder="1" applyAlignment="1">
      <alignment vertical="center"/>
    </xf>
    <xf numFmtId="182" fontId="2" fillId="3" borderId="2" xfId="0" applyNumberFormat="1" applyFont="1" applyFill="1" applyBorder="1" applyAlignment="1">
      <alignment vertical="center"/>
    </xf>
    <xf numFmtId="7" fontId="2" fillId="0" borderId="2" xfId="0" applyNumberFormat="1" applyFont="1" applyBorder="1" applyAlignment="1">
      <alignment vertical="center"/>
    </xf>
    <xf numFmtId="177" fontId="2" fillId="0" borderId="2" xfId="0" applyNumberFormat="1" applyFont="1" applyBorder="1" applyAlignment="1">
      <alignment vertical="center"/>
    </xf>
    <xf numFmtId="182" fontId="2" fillId="0" borderId="1" xfId="0" applyNumberFormat="1" applyFont="1" applyBorder="1" applyAlignment="1">
      <alignment horizontal="center" vertical="center" wrapText="1"/>
    </xf>
    <xf numFmtId="176" fontId="12" fillId="3" borderId="2" xfId="0" applyNumberFormat="1" applyFont="1" applyFill="1" applyBorder="1" applyAlignment="1">
      <alignment horizontal="center" vertical="center"/>
    </xf>
    <xf numFmtId="182" fontId="12" fillId="4" borderId="1" xfId="0" applyNumberFormat="1" applyFont="1" applyFill="1" applyBorder="1" applyAlignment="1">
      <alignment horizontal="center" vertical="center"/>
    </xf>
    <xf numFmtId="182" fontId="1" fillId="6" borderId="1" xfId="0" applyNumberFormat="1" applyFont="1" applyFill="1" applyBorder="1" applyAlignment="1">
      <alignment horizontal="center" vertical="center"/>
    </xf>
    <xf numFmtId="177" fontId="12" fillId="3" borderId="2" xfId="0" applyNumberFormat="1" applyFont="1" applyFill="1" applyBorder="1" applyAlignment="1">
      <alignment horizontal="right" vertical="center"/>
    </xf>
    <xf numFmtId="176" fontId="16" fillId="3" borderId="2" xfId="0" applyNumberFormat="1" applyFont="1" applyFill="1" applyBorder="1" applyAlignment="1">
      <alignment horizontal="center" vertical="center"/>
    </xf>
    <xf numFmtId="182" fontId="12" fillId="3" borderId="2" xfId="0" applyNumberFormat="1" applyFont="1" applyFill="1" applyBorder="1" applyAlignment="1">
      <alignment horizontal="center" vertical="center"/>
    </xf>
    <xf numFmtId="182" fontId="12" fillId="4" borderId="2" xfId="0" applyNumberFormat="1" applyFont="1" applyFill="1" applyBorder="1" applyAlignment="1">
      <alignment horizontal="center" vertical="center"/>
    </xf>
    <xf numFmtId="182" fontId="1" fillId="6" borderId="7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vertical="center"/>
    </xf>
    <xf numFmtId="182" fontId="14" fillId="2" borderId="2" xfId="0" applyNumberFormat="1" applyFont="1" applyFill="1" applyBorder="1">
      <alignment vertical="center"/>
    </xf>
    <xf numFmtId="176" fontId="7" fillId="2" borderId="2" xfId="0" applyNumberFormat="1" applyFont="1" applyFill="1" applyBorder="1" applyAlignment="1">
      <alignment horizontal="center" vertical="center"/>
    </xf>
    <xf numFmtId="182" fontId="7" fillId="0" borderId="2" xfId="0" applyNumberFormat="1" applyFont="1" applyFill="1" applyBorder="1" applyAlignment="1">
      <alignment horizontal="right" vertical="center"/>
    </xf>
    <xf numFmtId="182" fontId="2" fillId="0" borderId="2" xfId="0" applyNumberFormat="1" applyFont="1" applyBorder="1" applyAlignment="1">
      <alignment horizontal="center" vertical="center"/>
    </xf>
    <xf numFmtId="182" fontId="2" fillId="0" borderId="2" xfId="0" applyNumberFormat="1" applyFont="1" applyBorder="1">
      <alignment vertical="center"/>
    </xf>
    <xf numFmtId="177" fontId="2" fillId="0" borderId="2" xfId="0" applyNumberFormat="1" applyFont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2" xfId="0" applyFont="1" applyFill="1" applyBorder="1">
      <alignment vertical="center"/>
    </xf>
    <xf numFmtId="181" fontId="19" fillId="2" borderId="2" xfId="0" applyNumberFormat="1" applyFont="1" applyFill="1" applyBorder="1">
      <alignment vertical="center"/>
    </xf>
    <xf numFmtId="181" fontId="19" fillId="3" borderId="2" xfId="0" applyNumberFormat="1" applyFont="1" applyFill="1" applyBorder="1">
      <alignment vertical="center"/>
    </xf>
    <xf numFmtId="0" fontId="19" fillId="3" borderId="2" xfId="0" applyFont="1" applyFill="1" applyBorder="1">
      <alignment vertical="center"/>
    </xf>
    <xf numFmtId="182" fontId="19" fillId="3" borderId="2" xfId="0" applyNumberFormat="1" applyFont="1" applyFill="1" applyBorder="1">
      <alignment vertical="center"/>
    </xf>
    <xf numFmtId="177" fontId="19" fillId="2" borderId="2" xfId="0" applyNumberFormat="1" applyFont="1" applyFill="1" applyBorder="1">
      <alignment vertical="center"/>
    </xf>
    <xf numFmtId="176" fontId="20" fillId="2" borderId="2" xfId="0" applyNumberFormat="1" applyFont="1" applyFill="1" applyBorder="1" applyAlignment="1">
      <alignment horizontal="center" vertical="center"/>
    </xf>
    <xf numFmtId="182" fontId="19" fillId="2" borderId="2" xfId="0" applyNumberFormat="1" applyFont="1" applyFill="1" applyBorder="1">
      <alignment vertical="center"/>
    </xf>
    <xf numFmtId="176" fontId="21" fillId="0" borderId="2" xfId="0" applyNumberFormat="1" applyFont="1" applyBorder="1" applyAlignment="1">
      <alignment horizontal="center" vertical="center"/>
    </xf>
    <xf numFmtId="182" fontId="14" fillId="0" borderId="2" xfId="0" applyNumberFormat="1" applyFont="1" applyBorder="1">
      <alignment vertical="center"/>
    </xf>
    <xf numFmtId="182" fontId="21" fillId="0" borderId="2" xfId="0" applyNumberFormat="1" applyFont="1" applyBorder="1" applyAlignment="1">
      <alignment horizontal="center" vertical="center"/>
    </xf>
    <xf numFmtId="182" fontId="2" fillId="3" borderId="2" xfId="0" applyNumberFormat="1" applyFont="1" applyFill="1" applyBorder="1">
      <alignment vertical="center"/>
    </xf>
    <xf numFmtId="181" fontId="2" fillId="0" borderId="2" xfId="0" applyNumberFormat="1" applyFont="1" applyFill="1" applyBorder="1">
      <alignment vertical="center"/>
    </xf>
    <xf numFmtId="182" fontId="2" fillId="0" borderId="2" xfId="0" applyNumberFormat="1" applyFont="1" applyFill="1" applyBorder="1" applyAlignment="1">
      <alignment vertical="center"/>
    </xf>
    <xf numFmtId="181" fontId="2" fillId="3" borderId="2" xfId="0" applyNumberFormat="1" applyFont="1" applyFill="1" applyBorder="1">
      <alignment vertical="center"/>
    </xf>
    <xf numFmtId="177" fontId="7" fillId="0" borderId="2" xfId="0" applyNumberFormat="1" applyFont="1" applyBorder="1" applyAlignment="1">
      <alignment vertical="center"/>
    </xf>
    <xf numFmtId="0" fontId="14" fillId="0" borderId="2" xfId="0" applyFont="1" applyFill="1" applyBorder="1" applyAlignment="1">
      <alignment horizontal="center" vertical="center"/>
    </xf>
    <xf numFmtId="176" fontId="14" fillId="0" borderId="2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/>
    </xf>
    <xf numFmtId="176" fontId="0" fillId="0" borderId="2" xfId="0" applyNumberFormat="1" applyBorder="1" applyAlignment="1">
      <alignment vertical="center"/>
    </xf>
    <xf numFmtId="177" fontId="0" fillId="0" borderId="2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mailmailexp.com/Logistics_Admin/javascript:openDetail('240715000034');" TargetMode="External"/><Relationship Id="rId98" Type="http://schemas.openxmlformats.org/officeDocument/2006/relationships/hyperlink" Target="http://www.mailmailexp.com/Logistics_Admin/javascript:openDetail('240715000031');" TargetMode="External"/><Relationship Id="rId97" Type="http://schemas.openxmlformats.org/officeDocument/2006/relationships/hyperlink" Target="http://www.mailmailexp.com/Logistics_Admin/javascript:openDetail('240715000030');" TargetMode="External"/><Relationship Id="rId96" Type="http://schemas.openxmlformats.org/officeDocument/2006/relationships/hyperlink" Target="http://www.mailmailexp.com/Logistics_Admin/javascript:openDetail('240715000022');" TargetMode="External"/><Relationship Id="rId95" Type="http://schemas.openxmlformats.org/officeDocument/2006/relationships/hyperlink" Target="http://www.mailmailexp.com/Logistics_Admin/javascript:openDetail('240715000017');" TargetMode="External"/><Relationship Id="rId94" Type="http://schemas.openxmlformats.org/officeDocument/2006/relationships/hyperlink" Target="http://www.mailmailexp.com/Logistics_Admin/javascript:openDetail('240715000013');" TargetMode="External"/><Relationship Id="rId93" Type="http://schemas.openxmlformats.org/officeDocument/2006/relationships/hyperlink" Target="http://www.mailmailexp.com/Logistics_Admin/javascript:openDetail('240715000009');" TargetMode="External"/><Relationship Id="rId92" Type="http://schemas.openxmlformats.org/officeDocument/2006/relationships/hyperlink" Target="http://www.mailmailexp.com/Logistics_Admin/javascript:openDetail('240715000004');" TargetMode="External"/><Relationship Id="rId91" Type="http://schemas.openxmlformats.org/officeDocument/2006/relationships/hyperlink" Target="http://www.mailmailexp.com/Logistics_Admin/javascript:openDetail('240715000003');" TargetMode="External"/><Relationship Id="rId90" Type="http://schemas.openxmlformats.org/officeDocument/2006/relationships/hyperlink" Target="http://www.mailmailexp.com/Logistics_Admin/javascript:openDetail('240714000008');" TargetMode="External"/><Relationship Id="rId9" Type="http://schemas.openxmlformats.org/officeDocument/2006/relationships/hyperlink" Target="http://www.mailmailexp.com/Logistics_Admin/javascript:openDetail('240418000019');" TargetMode="External"/><Relationship Id="rId89" Type="http://schemas.openxmlformats.org/officeDocument/2006/relationships/hyperlink" Target="http://www.mailmailexp.com/Logistics_Admin/javascript:openDetail('240714000003');" TargetMode="External"/><Relationship Id="rId88" Type="http://schemas.openxmlformats.org/officeDocument/2006/relationships/hyperlink" Target="http://www.mailmailexp.com/Logistics_Admin/javascript:openDetail('240714000002');" TargetMode="External"/><Relationship Id="rId87" Type="http://schemas.openxmlformats.org/officeDocument/2006/relationships/hyperlink" Target="http://www.mailmailexp.com/Logistics_Admin/javascript:openDetail('240713000011');" TargetMode="External"/><Relationship Id="rId86" Type="http://schemas.openxmlformats.org/officeDocument/2006/relationships/hyperlink" Target="http://www.mailmailexp.com/Logistics_Admin/javascript:openDetail('240713000009');" TargetMode="External"/><Relationship Id="rId85" Type="http://schemas.openxmlformats.org/officeDocument/2006/relationships/hyperlink" Target="http://www.mailmailexp.com/Logistics_Admin/javascript:openDetail('240713000007');" TargetMode="External"/><Relationship Id="rId84" Type="http://schemas.openxmlformats.org/officeDocument/2006/relationships/hyperlink" Target="http://www.mailmailexp.com/Logistics_Admin/javascript:openDetail('240713000004');" TargetMode="External"/><Relationship Id="rId83" Type="http://schemas.openxmlformats.org/officeDocument/2006/relationships/hyperlink" Target="http://www.mailmailexp.com/Logistics_Admin/javascript:openDetail('240712000046');" TargetMode="External"/><Relationship Id="rId82" Type="http://schemas.openxmlformats.org/officeDocument/2006/relationships/hyperlink" Target="http://www.mailmailexp.com/Logistics_Admin/javascript:openDetail('240712000042');" TargetMode="External"/><Relationship Id="rId81" Type="http://schemas.openxmlformats.org/officeDocument/2006/relationships/hyperlink" Target="http://www.mailmailexp.com/Logistics_Admin/javascript:openDetail('240712000039');" TargetMode="External"/><Relationship Id="rId80" Type="http://schemas.openxmlformats.org/officeDocument/2006/relationships/hyperlink" Target="http://www.mailmailexp.com/Logistics_Admin/javascript:openDetail('240712000028');" TargetMode="External"/><Relationship Id="rId8" Type="http://schemas.openxmlformats.org/officeDocument/2006/relationships/hyperlink" Target="http://www.mailmailexp.com/Logistics_Admin/javascript:openDetail('240417000038');" TargetMode="External"/><Relationship Id="rId79" Type="http://schemas.openxmlformats.org/officeDocument/2006/relationships/hyperlink" Target="http://www.mailmailexp.com/Logistics_Admin/javascript:openDetail('240712000027');" TargetMode="External"/><Relationship Id="rId78" Type="http://schemas.openxmlformats.org/officeDocument/2006/relationships/hyperlink" Target="http://www.mailmailexp.com/Logistics_Admin/javascript:openDetail('240712000024');" TargetMode="External"/><Relationship Id="rId77" Type="http://schemas.openxmlformats.org/officeDocument/2006/relationships/hyperlink" Target="http://www.mailmailexp.com/Logistics_Admin/javascript:openDetail('240712000018');" TargetMode="External"/><Relationship Id="rId76" Type="http://schemas.openxmlformats.org/officeDocument/2006/relationships/hyperlink" Target="http://www.mailmailexp.com/Logistics_Admin/javascript:openDetail('240712000008');" TargetMode="External"/><Relationship Id="rId75" Type="http://schemas.openxmlformats.org/officeDocument/2006/relationships/hyperlink" Target="http://www.mailmailexp.com/Logistics_Admin/javascript:openDetail('240711000025');" TargetMode="External"/><Relationship Id="rId74" Type="http://schemas.openxmlformats.org/officeDocument/2006/relationships/hyperlink" Target="http://www.mailmailexp.com/Logistics_Admin/javascript:openDetail('240711000013');" TargetMode="External"/><Relationship Id="rId73" Type="http://schemas.openxmlformats.org/officeDocument/2006/relationships/hyperlink" Target="http://www.mailmailexp.com/Logistics_Admin/javascript:openDetail('240710000032');" TargetMode="External"/><Relationship Id="rId72" Type="http://schemas.openxmlformats.org/officeDocument/2006/relationships/hyperlink" Target="http://www.mailmailexp.com/Logistics_Admin/javascript:openDetail('240716000030');" TargetMode="External"/><Relationship Id="rId71" Type="http://schemas.openxmlformats.org/officeDocument/2006/relationships/hyperlink" Target="http://www.mailmailexp.com/Logistics_Admin/javascript:openDetail('240716000026');" TargetMode="External"/><Relationship Id="rId70" Type="http://schemas.openxmlformats.org/officeDocument/2006/relationships/hyperlink" Target="http://www.mailmailexp.com/Logistics_Admin/javascript:openDetail('240716000018');" TargetMode="External"/><Relationship Id="rId7" Type="http://schemas.openxmlformats.org/officeDocument/2006/relationships/hyperlink" Target="http://www.mailmailexp.com/Logistics_Admin/javascript:openDetail('240417000035');" TargetMode="External"/><Relationship Id="rId69" Type="http://schemas.openxmlformats.org/officeDocument/2006/relationships/hyperlink" Target="http://www.mailmailexp.com/Logistics_Admin/javascript:openDetail('240716000015');" TargetMode="External"/><Relationship Id="rId68" Type="http://schemas.openxmlformats.org/officeDocument/2006/relationships/hyperlink" Target="http://www.mailmailexp.com/Logistics_Admin/javascript:openDetail('240716000012');" TargetMode="External"/><Relationship Id="rId67" Type="http://schemas.openxmlformats.org/officeDocument/2006/relationships/hyperlink" Target="http://www.mailmailexp.com/Logistics_Admin/javascript:openDetail('240716000011');" TargetMode="External"/><Relationship Id="rId66" Type="http://schemas.openxmlformats.org/officeDocument/2006/relationships/hyperlink" Target="http://www.mailmailexp.com/Logistics_Admin/javascript:openDetail('240715000050');" TargetMode="External"/><Relationship Id="rId65" Type="http://schemas.openxmlformats.org/officeDocument/2006/relationships/hyperlink" Target="http://www.mailmailexp.com/Logistics_Admin/javascript:openDetail('240715000047');" TargetMode="External"/><Relationship Id="rId64" Type="http://schemas.openxmlformats.org/officeDocument/2006/relationships/hyperlink" Target="http://www.mailmailexp.com/Logistics_Admin/javascript:openDetail('240715000045');" TargetMode="External"/><Relationship Id="rId63" Type="http://schemas.openxmlformats.org/officeDocument/2006/relationships/hyperlink" Target="http://www.mailmailexp.com/Logistics_Admin/javascript:openDetail('240715000041');" TargetMode="External"/><Relationship Id="rId62" Type="http://schemas.openxmlformats.org/officeDocument/2006/relationships/hyperlink" Target="http://www.mailmailexp.com/Logistics_Admin/javascript:openDetail('240715000040');" TargetMode="External"/><Relationship Id="rId61" Type="http://schemas.openxmlformats.org/officeDocument/2006/relationships/hyperlink" Target="http://www.mailmailexp.com/Logistics_Admin/javascript:openDetail('240715000036');" TargetMode="External"/><Relationship Id="rId60" Type="http://schemas.openxmlformats.org/officeDocument/2006/relationships/hyperlink" Target="http://www.mailmailexp.com/Logistics_Admin/javascript:openDetail('240715000035');" TargetMode="External"/><Relationship Id="rId6" Type="http://schemas.openxmlformats.org/officeDocument/2006/relationships/hyperlink" Target="http://www.mailmailexp.com/Logistics_Admin/javascript:openDetail('240409000028');" TargetMode="External"/><Relationship Id="rId59" Type="http://schemas.openxmlformats.org/officeDocument/2006/relationships/hyperlink" Target="http://www.mailmailexp.com/Logistics_Admin/javascript:openDetail('240715000033');" TargetMode="External"/><Relationship Id="rId58" Type="http://schemas.openxmlformats.org/officeDocument/2006/relationships/hyperlink" Target="http://www.mailmailexp.com/Logistics_Admin/javascript:openDetail('240715000027');" TargetMode="External"/><Relationship Id="rId57" Type="http://schemas.openxmlformats.org/officeDocument/2006/relationships/hyperlink" Target="http://www.mailmailexp.com/Logistics_Admin/javascript:openDetail('240715000026');" TargetMode="External"/><Relationship Id="rId56" Type="http://schemas.openxmlformats.org/officeDocument/2006/relationships/hyperlink" Target="http://www.mailmailexp.com/Logistics_Admin/javascript:openDetail('240715000025');" TargetMode="External"/><Relationship Id="rId55" Type="http://schemas.openxmlformats.org/officeDocument/2006/relationships/hyperlink" Target="http://www.mailmailexp.com/Logistics_Admin/javascript:openDetail('240715000020');" TargetMode="External"/><Relationship Id="rId54" Type="http://schemas.openxmlformats.org/officeDocument/2006/relationships/hyperlink" Target="http://www.mailmailexp.com/Logistics_Admin/javascript:openDetail('240715000019');" TargetMode="External"/><Relationship Id="rId53" Type="http://schemas.openxmlformats.org/officeDocument/2006/relationships/hyperlink" Target="http://www.mailmailexp.com/Logistics_Admin/javascript:openDetail('240715000016');" TargetMode="External"/><Relationship Id="rId52" Type="http://schemas.openxmlformats.org/officeDocument/2006/relationships/hyperlink" Target="http://www.mailmailexp.com/Logistics_Admin/javascript:openDetail('240715000015');" TargetMode="External"/><Relationship Id="rId51" Type="http://schemas.openxmlformats.org/officeDocument/2006/relationships/hyperlink" Target="http://www.mailmailexp.com/Logistics_Admin/javascript:openDetail('240715000014');" TargetMode="External"/><Relationship Id="rId50" Type="http://schemas.openxmlformats.org/officeDocument/2006/relationships/hyperlink" Target="http://www.mailmailexp.com/Logistics_Admin/javascript:openDetail('240715000012');" TargetMode="External"/><Relationship Id="rId5" Type="http://schemas.openxmlformats.org/officeDocument/2006/relationships/hyperlink" Target="http://www.mailmailexp.com/Logistics_Admin/javascript:openDetail('240409000027');" TargetMode="External"/><Relationship Id="rId49" Type="http://schemas.openxmlformats.org/officeDocument/2006/relationships/hyperlink" Target="http://www.mailmailexp.com/Logistics_Admin/javascript:openDetail('240715000006');" TargetMode="External"/><Relationship Id="rId48" Type="http://schemas.openxmlformats.org/officeDocument/2006/relationships/hyperlink" Target="http://www.mailmailexp.com/Logistics_Admin/javascript:openDetail('240715000005');" TargetMode="External"/><Relationship Id="rId47" Type="http://schemas.openxmlformats.org/officeDocument/2006/relationships/hyperlink" Target="http://www.mailmailexp.com/Logistics_Admin/javascript:openDetail('240714000009');" TargetMode="External"/><Relationship Id="rId46" Type="http://schemas.openxmlformats.org/officeDocument/2006/relationships/hyperlink" Target="http://www.mailmailexp.com/Logistics_Admin/javascript:openDetail('240714000004');" TargetMode="External"/><Relationship Id="rId45" Type="http://schemas.openxmlformats.org/officeDocument/2006/relationships/hyperlink" Target="http://www.mailmailexp.com/Logistics_Admin/javascript:openDetail('240713000014');" TargetMode="External"/><Relationship Id="rId44" Type="http://schemas.openxmlformats.org/officeDocument/2006/relationships/hyperlink" Target="http://www.mailmailexp.com/Logistics_Admin/javascript:openDetail('240713000012');" TargetMode="External"/><Relationship Id="rId43" Type="http://schemas.openxmlformats.org/officeDocument/2006/relationships/hyperlink" Target="http://www.mailmailexp.com/Logistics_Admin/javascript:openDetail('240713000005');" TargetMode="External"/><Relationship Id="rId42" Type="http://schemas.openxmlformats.org/officeDocument/2006/relationships/hyperlink" Target="http://www.mailmailexp.com/Logistics_Admin/javascript:openDetail('240713000001');" TargetMode="External"/><Relationship Id="rId41" Type="http://schemas.openxmlformats.org/officeDocument/2006/relationships/hyperlink" Target="http://www.mailmailexp.com/Logistics_Admin/javascript:openDetail('240712000037');" TargetMode="External"/><Relationship Id="rId40" Type="http://schemas.openxmlformats.org/officeDocument/2006/relationships/hyperlink" Target="http://www.mailmailexp.com/Logistics_Admin/javascript:openDetail('240712000034');" TargetMode="External"/><Relationship Id="rId4" Type="http://schemas.openxmlformats.org/officeDocument/2006/relationships/hyperlink" Target="http://www.mailmailexp.com/Logistics_Admin/javascript:openDetail('240407000015');" TargetMode="External"/><Relationship Id="rId39" Type="http://schemas.openxmlformats.org/officeDocument/2006/relationships/hyperlink" Target="http://www.mailmailexp.com/Logistics_Admin/javascript:openDetail('240712000033');" TargetMode="External"/><Relationship Id="rId38" Type="http://schemas.openxmlformats.org/officeDocument/2006/relationships/hyperlink" Target="http://www.mailmailexp.com/Logistics_Admin/javascript:openDetail('240712000032');" TargetMode="External"/><Relationship Id="rId37" Type="http://schemas.openxmlformats.org/officeDocument/2006/relationships/hyperlink" Target="http://www.mailmailexp.com/Logistics_Admin/javascript:openDetail('240712000031');" TargetMode="External"/><Relationship Id="rId36" Type="http://schemas.openxmlformats.org/officeDocument/2006/relationships/hyperlink" Target="http://www.mailmailexp.com/Logistics_Admin/javascript:openDetail('240712000029');" TargetMode="External"/><Relationship Id="rId35" Type="http://schemas.openxmlformats.org/officeDocument/2006/relationships/hyperlink" Target="http://www.mailmailexp.com/Logistics_Admin/javascript:openDetail('240712000015');" TargetMode="External"/><Relationship Id="rId34" Type="http://schemas.openxmlformats.org/officeDocument/2006/relationships/hyperlink" Target="http://www.mailmailexp.com/Logistics_Admin/javascript:openDetail('240712000013');" TargetMode="External"/><Relationship Id="rId33" Type="http://schemas.openxmlformats.org/officeDocument/2006/relationships/hyperlink" Target="http://www.mailmailexp.com/Logistics_Admin/javascript:openDetail('240712000012');" TargetMode="External"/><Relationship Id="rId32" Type="http://schemas.openxmlformats.org/officeDocument/2006/relationships/hyperlink" Target="http://www.mailmailexp.com/Logistics_Admin/javascript:openDetail('240712000011');" TargetMode="External"/><Relationship Id="rId31" Type="http://schemas.openxmlformats.org/officeDocument/2006/relationships/hyperlink" Target="http://www.mailmailexp.com/Logistics_Admin/javascript:openDetail('240712000009');" TargetMode="External"/><Relationship Id="rId30" Type="http://schemas.openxmlformats.org/officeDocument/2006/relationships/hyperlink" Target="http://www.mailmailexp.com/Logistics_Admin/javascript:openDetail('240712000006');" TargetMode="External"/><Relationship Id="rId3" Type="http://schemas.openxmlformats.org/officeDocument/2006/relationships/hyperlink" Target="http://www.mailmailexp.com/Logistics_Admin/javascript:openDetail('240403000032');" TargetMode="External"/><Relationship Id="rId29" Type="http://schemas.openxmlformats.org/officeDocument/2006/relationships/hyperlink" Target="http://www.mailmailexp.com/Logistics_Admin/javascript:openDetail('240711000020');" TargetMode="External"/><Relationship Id="rId28" Type="http://schemas.openxmlformats.org/officeDocument/2006/relationships/hyperlink" Target="http://www.mailmailexp.com/Logistics_Admin/javascript:openDetail('240711000008');" TargetMode="External"/><Relationship Id="rId27" Type="http://schemas.openxmlformats.org/officeDocument/2006/relationships/hyperlink" Target="http://www.mailmailexp.com/Logistics_Admin/javascript:openDetail('240711000005');" TargetMode="External"/><Relationship Id="rId26" Type="http://schemas.openxmlformats.org/officeDocument/2006/relationships/hyperlink" Target="http://www.mailmailexp.com/Logistics_Admin/javascript:openDetail('240711000003');" TargetMode="External"/><Relationship Id="rId25" Type="http://schemas.openxmlformats.org/officeDocument/2006/relationships/hyperlink" Target="http://www.mailmailexp.com/Logistics_Admin/javascript:openDetail('240717000032');" TargetMode="External"/><Relationship Id="rId24" Type="http://schemas.openxmlformats.org/officeDocument/2006/relationships/hyperlink" Target="http://www.mailmailexp.com/Logistics_Admin/javascript:openDetail('240717000011');" TargetMode="External"/><Relationship Id="rId23" Type="http://schemas.openxmlformats.org/officeDocument/2006/relationships/hyperlink" Target="http://www.mailmailexp.com/Logistics_Admin/javascript:openDetail('240717000009');" TargetMode="External"/><Relationship Id="rId22" Type="http://schemas.openxmlformats.org/officeDocument/2006/relationships/hyperlink" Target="http://www.mailmailexp.com/Logistics_Admin/javascript:openDetail('240716000029');" TargetMode="External"/><Relationship Id="rId21" Type="http://schemas.openxmlformats.org/officeDocument/2006/relationships/hyperlink" Target="http://www.mailmailexp.com/Logistics_Admin/javascript:openDetail('240716000021');" TargetMode="External"/><Relationship Id="rId20" Type="http://schemas.openxmlformats.org/officeDocument/2006/relationships/hyperlink" Target="http://www.mailmailexp.com/Logistics_Admin/javascript:openDetail('240715000021');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http://www.mailmailexp.com/Logistics_Admin/javascript:openDetail('240715000002');" TargetMode="External"/><Relationship Id="rId18" Type="http://schemas.openxmlformats.org/officeDocument/2006/relationships/hyperlink" Target="http://www.mailmailexp.com/Logistics_Admin/javascript:openDetail('240703000013');" TargetMode="External"/><Relationship Id="rId17" Type="http://schemas.openxmlformats.org/officeDocument/2006/relationships/hyperlink" Target="http://www.mailmailexp.com/Logistics_Admin/javascript:openDetail('240703000010');" TargetMode="External"/><Relationship Id="rId16" Type="http://schemas.openxmlformats.org/officeDocument/2006/relationships/hyperlink" Target="http://www.mailmailexp.com/Logistics_Admin/javascript:openDetail('240702000033');" TargetMode="External"/><Relationship Id="rId15" Type="http://schemas.openxmlformats.org/officeDocument/2006/relationships/hyperlink" Target="http://www.mailmailexp.com/Logistics_Admin/javascript:openDetail('240701000027');" TargetMode="External"/><Relationship Id="rId144" Type="http://schemas.openxmlformats.org/officeDocument/2006/relationships/hyperlink" Target="http://www.mailmailexp.com/Logistics_Admin/javascript:openDetail('240722000030');" TargetMode="External"/><Relationship Id="rId143" Type="http://schemas.openxmlformats.org/officeDocument/2006/relationships/hyperlink" Target="http://www.mailmailexp.com/Logistics_Admin/javascript:openDetail('240722000010');" TargetMode="External"/><Relationship Id="rId142" Type="http://schemas.openxmlformats.org/officeDocument/2006/relationships/hyperlink" Target="http://www.mailmailexp.com/Logistics_Admin/javascript:openDetail('240722000009');" TargetMode="External"/><Relationship Id="rId141" Type="http://schemas.openxmlformats.org/officeDocument/2006/relationships/hyperlink" Target="http://www.mailmailexp.com/Logistics_Admin/javascript:openDetail('240720000016');" TargetMode="External"/><Relationship Id="rId140" Type="http://schemas.openxmlformats.org/officeDocument/2006/relationships/hyperlink" Target="http://www.mailmailexp.com/Logistics_Admin/javascript:openDetail('240719000033');" TargetMode="External"/><Relationship Id="rId14" Type="http://schemas.openxmlformats.org/officeDocument/2006/relationships/hyperlink" Target="http://www.mailmailexp.com/Logistics_Admin/javascript:openDetail('240627000017');" TargetMode="External"/><Relationship Id="rId139" Type="http://schemas.openxmlformats.org/officeDocument/2006/relationships/hyperlink" Target="http://www.mailmailexp.com/Logistics_Admin/javascript:openDetail('240719000023');" TargetMode="External"/><Relationship Id="rId138" Type="http://schemas.openxmlformats.org/officeDocument/2006/relationships/hyperlink" Target="http://www.mailmailexp.com/Logistics_Admin/javascript:openDetail('240719000022');" TargetMode="External"/><Relationship Id="rId137" Type="http://schemas.openxmlformats.org/officeDocument/2006/relationships/hyperlink" Target="http://www.mailmailexp.com/Logistics_Admin/javascript:openDetail('240721000003');" TargetMode="External"/><Relationship Id="rId136" Type="http://schemas.openxmlformats.org/officeDocument/2006/relationships/hyperlink" Target="http://www.mailmailexp.com/Logistics_Admin/javascript:openDetail('240720000013');" TargetMode="External"/><Relationship Id="rId135" Type="http://schemas.openxmlformats.org/officeDocument/2006/relationships/hyperlink" Target="http://www.mailmailexp.com/Logistics_Admin/javascript:openDetail('240719000027');" TargetMode="External"/><Relationship Id="rId134" Type="http://schemas.openxmlformats.org/officeDocument/2006/relationships/hyperlink" Target="http://www.mailmailexp.com/Logistics_Admin/javascript:openDetail('240719000016');" TargetMode="External"/><Relationship Id="rId133" Type="http://schemas.openxmlformats.org/officeDocument/2006/relationships/hyperlink" Target="http://www.mailmailexp.com/Logistics_Admin/javascript:openDetail('240719000012');" TargetMode="External"/><Relationship Id="rId132" Type="http://schemas.openxmlformats.org/officeDocument/2006/relationships/hyperlink" Target="http://www.mailmailexp.com/Logistics_Admin/javascript:openDetail('240718000003');" TargetMode="External"/><Relationship Id="rId131" Type="http://schemas.openxmlformats.org/officeDocument/2006/relationships/hyperlink" Target="http://www.mailmailexp.com/Logistics_Admin/javascript:openDetail('240719000031');" TargetMode="External"/><Relationship Id="rId130" Type="http://schemas.openxmlformats.org/officeDocument/2006/relationships/hyperlink" Target="http://www.mailmailexp.com/Logistics_Admin/javascript:openDetail('240719000030');" TargetMode="External"/><Relationship Id="rId13" Type="http://schemas.openxmlformats.org/officeDocument/2006/relationships/hyperlink" Target="http://www.mailmailexp.com/Logistics_Admin/javascript:openDetail('240625000031');" TargetMode="External"/><Relationship Id="rId129" Type="http://schemas.openxmlformats.org/officeDocument/2006/relationships/hyperlink" Target="http://www.mailmailexp.com/Logistics_Admin/javascript:openDetail('240719000004');" TargetMode="External"/><Relationship Id="rId128" Type="http://schemas.openxmlformats.org/officeDocument/2006/relationships/hyperlink" Target="http://www.mailmailexp.com/Logistics_Admin/javascript:openDetail('240718000032');" TargetMode="External"/><Relationship Id="rId127" Type="http://schemas.openxmlformats.org/officeDocument/2006/relationships/hyperlink" Target="http://www.mailmailexp.com/Logistics_Admin/javascript:openDetail('240718000021');" TargetMode="External"/><Relationship Id="rId126" Type="http://schemas.openxmlformats.org/officeDocument/2006/relationships/hyperlink" Target="http://www.mailmailexp.com/Logistics_Admin/javascript:openDetail('240718000017');" TargetMode="External"/><Relationship Id="rId125" Type="http://schemas.openxmlformats.org/officeDocument/2006/relationships/hyperlink" Target="http://www.mailmailexp.com/Logistics_Admin/javascript:openDetail('240718000010');" TargetMode="External"/><Relationship Id="rId124" Type="http://schemas.openxmlformats.org/officeDocument/2006/relationships/hyperlink" Target="http://www.mailmailexp.com/Logistics_Admin/javascript:openDetail('240718000009');" TargetMode="External"/><Relationship Id="rId123" Type="http://schemas.openxmlformats.org/officeDocument/2006/relationships/hyperlink" Target="http://www.mailmailexp.com/Logistics_Admin/javascript:openDetail('240718000006');" TargetMode="External"/><Relationship Id="rId122" Type="http://schemas.openxmlformats.org/officeDocument/2006/relationships/hyperlink" Target="http://www.mailmailexp.com/Logistics_Admin/javascript:openDetail('240717000036');" TargetMode="External"/><Relationship Id="rId121" Type="http://schemas.openxmlformats.org/officeDocument/2006/relationships/hyperlink" Target="http://www.mailmailexp.com/Logistics_Admin/javascript:openDetail('240717000027');" TargetMode="External"/><Relationship Id="rId120" Type="http://schemas.openxmlformats.org/officeDocument/2006/relationships/hyperlink" Target="http://www.mailmailexp.com/Logistics_Admin/javascript:openDetail('240717000019');" TargetMode="External"/><Relationship Id="rId12" Type="http://schemas.openxmlformats.org/officeDocument/2006/relationships/hyperlink" Target="http://www.mailmailexp.com/Logistics_Admin/javascript:openDetail('240625000030');" TargetMode="External"/><Relationship Id="rId119" Type="http://schemas.openxmlformats.org/officeDocument/2006/relationships/hyperlink" Target="http://www.mailmailexp.com/Logistics_Admin/javascript:openDetail('240717000018');" TargetMode="External"/><Relationship Id="rId118" Type="http://schemas.openxmlformats.org/officeDocument/2006/relationships/hyperlink" Target="http://www.mailmailexp.com/Logistics_Admin/javascript:openDetail('240718000042');" TargetMode="External"/><Relationship Id="rId117" Type="http://schemas.openxmlformats.org/officeDocument/2006/relationships/hyperlink" Target="http://www.mailmailexp.com/Logistics_Admin/javascript:openDetail('240717000033');" TargetMode="External"/><Relationship Id="rId116" Type="http://schemas.openxmlformats.org/officeDocument/2006/relationships/hyperlink" Target="http://www.mailmailexp.com/Logistics_Admin/javascript:openDetail('240717000030');" TargetMode="External"/><Relationship Id="rId115" Type="http://schemas.openxmlformats.org/officeDocument/2006/relationships/hyperlink" Target="http://www.mailmailexp.com/Logistics_Admin/javascript:openDetail('240717000023');" TargetMode="External"/><Relationship Id="rId114" Type="http://schemas.openxmlformats.org/officeDocument/2006/relationships/hyperlink" Target="http://www.mailmailexp.com/Logistics_Admin/javascript:openDetail('240717000022');" TargetMode="External"/><Relationship Id="rId113" Type="http://schemas.openxmlformats.org/officeDocument/2006/relationships/hyperlink" Target="http://www.mailmailexp.com/Logistics_Admin/javascript:openDetail('240717000014');" TargetMode="External"/><Relationship Id="rId112" Type="http://schemas.openxmlformats.org/officeDocument/2006/relationships/hyperlink" Target="http://www.mailmailexp.com/Logistics_Admin/javascript:openDetail('240717000004');" TargetMode="External"/><Relationship Id="rId111" Type="http://schemas.openxmlformats.org/officeDocument/2006/relationships/hyperlink" Target="http://www.mailmailexp.com/Logistics_Admin/javascript:openDetail('240716000040');" TargetMode="External"/><Relationship Id="rId110" Type="http://schemas.openxmlformats.org/officeDocument/2006/relationships/hyperlink" Target="http://www.mailmailexp.com/Logistics_Admin/javascript:openDetail('240716000038');" TargetMode="External"/><Relationship Id="rId11" Type="http://schemas.openxmlformats.org/officeDocument/2006/relationships/hyperlink" Target="http://www.mailmailexp.com/Logistics_Admin/javascript:openDetail('240513000036');" TargetMode="External"/><Relationship Id="rId109" Type="http://schemas.openxmlformats.org/officeDocument/2006/relationships/hyperlink" Target="http://www.mailmailexp.com/Logistics_Admin/javascript:openDetail('240716000035');" TargetMode="External"/><Relationship Id="rId108" Type="http://schemas.openxmlformats.org/officeDocument/2006/relationships/hyperlink" Target="http://www.mailmailexp.com/Logistics_Admin/javascript:openDetail('240716000031');" TargetMode="External"/><Relationship Id="rId107" Type="http://schemas.openxmlformats.org/officeDocument/2006/relationships/hyperlink" Target="http://www.mailmailexp.com/Logistics_Admin/javascript:openDetail('240716000028');" TargetMode="External"/><Relationship Id="rId106" Type="http://schemas.openxmlformats.org/officeDocument/2006/relationships/hyperlink" Target="http://www.mailmailexp.com/Logistics_Admin/javascript:openDetail('240716000027');" TargetMode="External"/><Relationship Id="rId105" Type="http://schemas.openxmlformats.org/officeDocument/2006/relationships/hyperlink" Target="http://www.mailmailexp.com/Logistics_Admin/javascript:openDetail('240716000017');" TargetMode="External"/><Relationship Id="rId104" Type="http://schemas.openxmlformats.org/officeDocument/2006/relationships/hyperlink" Target="http://www.mailmailexp.com/Logistics_Admin/javascript:openDetail('240716000013');" TargetMode="External"/><Relationship Id="rId103" Type="http://schemas.openxmlformats.org/officeDocument/2006/relationships/hyperlink" Target="http://www.mailmailexp.com/Logistics_Admin/javascript:openDetail('240716000004');" TargetMode="External"/><Relationship Id="rId102" Type="http://schemas.openxmlformats.org/officeDocument/2006/relationships/hyperlink" Target="http://www.mailmailexp.com/Logistics_Admin/javascript:openDetail('240716000003');" TargetMode="External"/><Relationship Id="rId101" Type="http://schemas.openxmlformats.org/officeDocument/2006/relationships/hyperlink" Target="http://www.mailmailexp.com/Logistics_Admin/javascript:openDetail('240716000002');" TargetMode="External"/><Relationship Id="rId100" Type="http://schemas.openxmlformats.org/officeDocument/2006/relationships/hyperlink" Target="http://www.mailmailexp.com/Logistics_Admin/javascript:openDetail('240715000046');" TargetMode="External"/><Relationship Id="rId10" Type="http://schemas.openxmlformats.org/officeDocument/2006/relationships/hyperlink" Target="http://www.mailmailexp.com/Logistics_Admin/javascript:openDetail('240418000026');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F1085"/>
  <sheetViews>
    <sheetView tabSelected="1" zoomScale="110" zoomScaleNormal="110" workbookViewId="0">
      <selection activeCell="E122" sqref="E122:E715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2"/>
    <col min="6" max="6" width="17.375" customWidth="1"/>
    <col min="7" max="8" width="11.5"/>
    <col min="9" max="9" width="13.875"/>
    <col min="10" max="10" width="15.125" style="3"/>
    <col min="11" max="11" width="15.125" style="4"/>
    <col min="12" max="12" width="13.875" style="3"/>
    <col min="13" max="13" width="13.625"/>
    <col min="14" max="14" width="13.75"/>
    <col min="15" max="15" width="13.875"/>
    <col min="16" max="16" width="12.375" customWidth="1"/>
    <col min="17" max="17" width="11.25" customWidth="1"/>
    <col min="18" max="18" width="16.125"/>
    <col min="19" max="19" width="11.25" style="5" customWidth="1"/>
    <col min="20" max="20" width="10.25" style="5"/>
    <col min="21" max="22" width="11.25" style="5"/>
    <col min="23" max="23" width="14.75" style="6"/>
    <col min="24" max="24" width="11.875" style="4" customWidth="1"/>
    <col min="25" max="25" width="11.125" style="4" customWidth="1"/>
    <col min="26" max="26" width="11.375" style="4"/>
    <col min="27" max="27" width="12.625" style="4"/>
    <col min="28" max="28" width="12" style="3"/>
    <col min="29" max="29" width="12.875"/>
    <col min="30" max="30" width="14.875"/>
    <col min="31" max="31" width="14.75"/>
    <col min="32" max="32" width="12.625"/>
  </cols>
  <sheetData>
    <row r="1" ht="31" customHeight="1" spans="1:31">
      <c r="A1" s="7" t="s">
        <v>0</v>
      </c>
      <c r="B1" s="7"/>
      <c r="C1" s="7"/>
      <c r="D1" s="7"/>
      <c r="E1" s="7"/>
      <c r="F1" s="7"/>
      <c r="G1" s="7"/>
      <c r="H1" s="7"/>
      <c r="I1" s="7"/>
      <c r="J1" s="25"/>
      <c r="K1" s="26"/>
      <c r="L1" s="25"/>
      <c r="M1" s="7"/>
      <c r="N1" s="27"/>
      <c r="O1" s="7"/>
      <c r="P1" s="7"/>
      <c r="Q1" s="7"/>
      <c r="R1" s="7"/>
      <c r="S1" s="56"/>
      <c r="T1" s="56"/>
      <c r="U1" s="57"/>
      <c r="V1" s="56"/>
      <c r="W1" s="58"/>
      <c r="X1" s="26"/>
      <c r="Y1" s="26"/>
      <c r="Z1" s="26"/>
      <c r="AA1" s="26"/>
      <c r="AB1" s="25"/>
      <c r="AC1" s="26"/>
      <c r="AD1" s="7"/>
      <c r="AE1" s="7"/>
    </row>
    <row r="2" s="1" customFormat="1" ht="23" customHeight="1" spans="1:31">
      <c r="A2" s="8" t="s">
        <v>1</v>
      </c>
      <c r="B2" s="9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3" t="s">
        <v>7</v>
      </c>
      <c r="H2" s="13" t="s">
        <v>8</v>
      </c>
      <c r="I2" s="28" t="s">
        <v>9</v>
      </c>
      <c r="J2" s="29"/>
      <c r="K2" s="30"/>
      <c r="L2" s="29"/>
      <c r="M2" s="30"/>
      <c r="N2" s="31"/>
      <c r="O2" s="32"/>
      <c r="P2" s="33" t="s">
        <v>10</v>
      </c>
      <c r="Q2" s="59" t="s">
        <v>11</v>
      </c>
      <c r="R2" s="60"/>
      <c r="S2" s="61"/>
      <c r="T2" s="62"/>
      <c r="U2" s="63"/>
      <c r="V2" s="64" t="s">
        <v>12</v>
      </c>
      <c r="W2" s="65" t="s">
        <v>13</v>
      </c>
      <c r="X2" s="66" t="s">
        <v>14</v>
      </c>
      <c r="Y2" s="66"/>
      <c r="Z2" s="66"/>
      <c r="AA2" s="66"/>
      <c r="AB2" s="79"/>
      <c r="AC2" s="66"/>
      <c r="AD2" s="80" t="s">
        <v>15</v>
      </c>
      <c r="AE2" s="81" t="s">
        <v>16</v>
      </c>
    </row>
    <row r="3" s="1" customFormat="1" ht="27" customHeight="1" spans="1:31">
      <c r="A3" s="14"/>
      <c r="B3" s="15"/>
      <c r="C3" s="10"/>
      <c r="D3" s="11"/>
      <c r="E3" s="16"/>
      <c r="F3" s="17"/>
      <c r="G3" s="17"/>
      <c r="H3" s="17"/>
      <c r="I3" s="34" t="s">
        <v>17</v>
      </c>
      <c r="J3" s="35" t="s">
        <v>18</v>
      </c>
      <c r="K3" s="36" t="s">
        <v>19</v>
      </c>
      <c r="L3" s="35" t="s">
        <v>20</v>
      </c>
      <c r="M3" s="37" t="s">
        <v>21</v>
      </c>
      <c r="N3" s="38" t="s">
        <v>22</v>
      </c>
      <c r="O3" s="39" t="s">
        <v>23</v>
      </c>
      <c r="P3" s="40"/>
      <c r="Q3" s="67" t="s">
        <v>24</v>
      </c>
      <c r="R3" s="68" t="s">
        <v>25</v>
      </c>
      <c r="S3" s="69" t="s">
        <v>26</v>
      </c>
      <c r="T3" s="70" t="s">
        <v>27</v>
      </c>
      <c r="U3" s="69" t="s">
        <v>28</v>
      </c>
      <c r="V3" s="71"/>
      <c r="W3" s="72"/>
      <c r="X3" s="73" t="s">
        <v>29</v>
      </c>
      <c r="Y3" s="73" t="s">
        <v>30</v>
      </c>
      <c r="Z3" s="73" t="s">
        <v>31</v>
      </c>
      <c r="AA3" s="82" t="s">
        <v>32</v>
      </c>
      <c r="AB3" s="83" t="s">
        <v>33</v>
      </c>
      <c r="AC3" s="84" t="s">
        <v>23</v>
      </c>
      <c r="AD3" s="85" t="s">
        <v>34</v>
      </c>
      <c r="AE3" s="86"/>
    </row>
    <row r="4" customFormat="1" spans="1:31">
      <c r="A4" s="18" t="s">
        <v>35</v>
      </c>
      <c r="B4" s="19" t="s">
        <v>36</v>
      </c>
      <c r="C4" s="20">
        <v>240626000043</v>
      </c>
      <c r="D4" s="21">
        <v>45477</v>
      </c>
      <c r="E4" s="21" t="s">
        <v>37</v>
      </c>
      <c r="F4" s="19" t="s">
        <v>37</v>
      </c>
      <c r="G4" s="19" t="s">
        <v>38</v>
      </c>
      <c r="H4" s="19">
        <v>0.56</v>
      </c>
      <c r="I4" s="41">
        <v>115</v>
      </c>
      <c r="J4" s="42"/>
      <c r="K4" s="43"/>
      <c r="L4" s="19"/>
      <c r="M4" s="43"/>
      <c r="N4" s="44"/>
      <c r="O4" s="45">
        <f t="shared" ref="O4:O9" si="0">SUM(I4)</f>
        <v>115</v>
      </c>
      <c r="P4" s="46">
        <f>SUM(O4:O19)</f>
        <v>9541.5796</v>
      </c>
      <c r="Q4" s="46" t="s">
        <v>39</v>
      </c>
      <c r="R4" s="74">
        <f>SUM(5000/64)*H4</f>
        <v>43.75</v>
      </c>
      <c r="S4" s="74"/>
      <c r="T4" s="75">
        <f>SUM(113.54/64)*H4</f>
        <v>0.993475</v>
      </c>
      <c r="U4" s="74"/>
      <c r="V4" s="74"/>
      <c r="W4" s="76">
        <f>SUM(R4:V4)</f>
        <v>44.743475</v>
      </c>
      <c r="X4" s="77">
        <f>SUM(220.25/64)*H4</f>
        <v>1.9271875</v>
      </c>
      <c r="Y4" s="77"/>
      <c r="Z4" s="77"/>
      <c r="AA4" s="77">
        <f>SUM(X4:Z4)</f>
        <v>1.9271875</v>
      </c>
      <c r="AB4" s="87">
        <v>7.26</v>
      </c>
      <c r="AC4" s="74">
        <f>SUM(AA4*AB4)</f>
        <v>13.99138125</v>
      </c>
      <c r="AD4" s="74">
        <f>SUM(W4+AC4)</f>
        <v>58.73485625</v>
      </c>
      <c r="AE4" s="74">
        <f>SUM(O4-AD4)</f>
        <v>56.26514375</v>
      </c>
    </row>
    <row r="5" customFormat="1" spans="1:31">
      <c r="A5" s="18"/>
      <c r="B5" s="19"/>
      <c r="C5" s="20">
        <v>240627000010</v>
      </c>
      <c r="D5" s="21">
        <v>45477</v>
      </c>
      <c r="E5" s="21" t="s">
        <v>40</v>
      </c>
      <c r="F5" s="19" t="s">
        <v>41</v>
      </c>
      <c r="G5" s="19" t="s">
        <v>42</v>
      </c>
      <c r="H5" s="19">
        <v>13</v>
      </c>
      <c r="I5" s="47"/>
      <c r="J5" s="48">
        <v>363285</v>
      </c>
      <c r="K5" s="43"/>
      <c r="L5" s="49">
        <f>SUM(J5/M5)</f>
        <v>1764.20454545455</v>
      </c>
      <c r="M5" s="50">
        <v>205.92</v>
      </c>
      <c r="N5" s="44">
        <v>7.26</v>
      </c>
      <c r="O5" s="45">
        <f>SUM(M5*N5)</f>
        <v>1494.9792</v>
      </c>
      <c r="P5" s="51"/>
      <c r="Q5" s="51"/>
      <c r="R5" s="74">
        <f t="shared" ref="R5:R19" si="1">SUM(5000/64)*H5</f>
        <v>1015.625</v>
      </c>
      <c r="S5" s="74"/>
      <c r="T5" s="75">
        <f t="shared" ref="T5:T19" si="2">SUM(113.54/64)*H5</f>
        <v>23.0628125</v>
      </c>
      <c r="U5" s="74"/>
      <c r="V5" s="74"/>
      <c r="W5" s="76">
        <f t="shared" ref="W5:W19" si="3">SUM(R5:V5)</f>
        <v>1038.6878125</v>
      </c>
      <c r="X5" s="77">
        <f t="shared" ref="X5:X19" si="4">SUM(220.25/64)*H5</f>
        <v>44.73828125</v>
      </c>
      <c r="Y5" s="77"/>
      <c r="Z5" s="77"/>
      <c r="AA5" s="77">
        <f t="shared" ref="AA5:AA19" si="5">SUM(X5:Z5)</f>
        <v>44.73828125</v>
      </c>
      <c r="AB5" s="87">
        <v>7.26</v>
      </c>
      <c r="AC5" s="74">
        <f t="shared" ref="AC5:AC19" si="6">SUM(AA5*AB5)</f>
        <v>324.799921875</v>
      </c>
      <c r="AD5" s="74">
        <f t="shared" ref="AD5:AD19" si="7">SUM(W5+AC5)</f>
        <v>1363.487734375</v>
      </c>
      <c r="AE5" s="74">
        <f t="shared" ref="AE5:AE19" si="8">SUM(O5-AD5)</f>
        <v>131.491465625</v>
      </c>
    </row>
    <row r="6" customFormat="1" spans="1:31">
      <c r="A6" s="18"/>
      <c r="B6" s="19"/>
      <c r="C6" s="20">
        <v>240627000012</v>
      </c>
      <c r="D6" s="21">
        <v>45477</v>
      </c>
      <c r="E6" s="21" t="s">
        <v>40</v>
      </c>
      <c r="F6" s="19" t="s">
        <v>41</v>
      </c>
      <c r="G6" s="19" t="s">
        <v>43</v>
      </c>
      <c r="H6" s="19">
        <v>1.5</v>
      </c>
      <c r="I6" s="47"/>
      <c r="J6" s="48">
        <v>38100</v>
      </c>
      <c r="K6" s="43"/>
      <c r="L6" s="49">
        <f>SUM(J6/M6)</f>
        <v>1536.91004437273</v>
      </c>
      <c r="M6" s="50">
        <v>24.79</v>
      </c>
      <c r="N6" s="44">
        <v>7.26</v>
      </c>
      <c r="O6" s="45">
        <f>SUM(M6*N6)</f>
        <v>179.9754</v>
      </c>
      <c r="P6" s="51"/>
      <c r="Q6" s="51"/>
      <c r="R6" s="74">
        <f t="shared" si="1"/>
        <v>117.1875</v>
      </c>
      <c r="S6" s="74"/>
      <c r="T6" s="75">
        <f t="shared" si="2"/>
        <v>2.66109375</v>
      </c>
      <c r="U6" s="74"/>
      <c r="V6" s="74"/>
      <c r="W6" s="76">
        <f t="shared" si="3"/>
        <v>119.84859375</v>
      </c>
      <c r="X6" s="77">
        <f t="shared" si="4"/>
        <v>5.162109375</v>
      </c>
      <c r="Y6" s="77"/>
      <c r="Z6" s="77"/>
      <c r="AA6" s="77">
        <f t="shared" si="5"/>
        <v>5.162109375</v>
      </c>
      <c r="AB6" s="87">
        <v>7.26</v>
      </c>
      <c r="AC6" s="74">
        <f t="shared" si="6"/>
        <v>37.4769140625</v>
      </c>
      <c r="AD6" s="74">
        <f t="shared" si="7"/>
        <v>157.3255078125</v>
      </c>
      <c r="AE6" s="74">
        <f t="shared" si="8"/>
        <v>22.6498921875</v>
      </c>
    </row>
    <row r="7" customFormat="1" spans="1:31">
      <c r="A7" s="18"/>
      <c r="B7" s="19"/>
      <c r="C7" s="20">
        <v>240628000026</v>
      </c>
      <c r="D7" s="21">
        <v>45477</v>
      </c>
      <c r="E7" s="21" t="s">
        <v>44</v>
      </c>
      <c r="F7" s="19" t="s">
        <v>45</v>
      </c>
      <c r="G7" s="19" t="s">
        <v>46</v>
      </c>
      <c r="H7" s="19">
        <v>3</v>
      </c>
      <c r="I7" s="41">
        <v>515</v>
      </c>
      <c r="J7" s="42"/>
      <c r="K7" s="43"/>
      <c r="L7" s="19"/>
      <c r="M7" s="43"/>
      <c r="N7" s="44"/>
      <c r="O7" s="45">
        <f t="shared" si="0"/>
        <v>515</v>
      </c>
      <c r="P7" s="51"/>
      <c r="Q7" s="51"/>
      <c r="R7" s="74">
        <f t="shared" si="1"/>
        <v>234.375</v>
      </c>
      <c r="S7" s="74"/>
      <c r="T7" s="75">
        <f t="shared" si="2"/>
        <v>5.3221875</v>
      </c>
      <c r="U7" s="74"/>
      <c r="V7" s="74"/>
      <c r="W7" s="76">
        <f t="shared" si="3"/>
        <v>239.6971875</v>
      </c>
      <c r="X7" s="77">
        <f t="shared" si="4"/>
        <v>10.32421875</v>
      </c>
      <c r="Y7" s="77">
        <v>11</v>
      </c>
      <c r="Z7" s="77"/>
      <c r="AA7" s="77">
        <f t="shared" si="5"/>
        <v>21.32421875</v>
      </c>
      <c r="AB7" s="87">
        <v>7.26</v>
      </c>
      <c r="AC7" s="74">
        <f t="shared" si="6"/>
        <v>154.813828125</v>
      </c>
      <c r="AD7" s="74">
        <f t="shared" si="7"/>
        <v>394.511015625</v>
      </c>
      <c r="AE7" s="74">
        <f t="shared" si="8"/>
        <v>120.488984375</v>
      </c>
    </row>
    <row r="8" customFormat="1" spans="1:31">
      <c r="A8" s="18"/>
      <c r="B8" s="19"/>
      <c r="C8" s="20">
        <v>240628000034</v>
      </c>
      <c r="D8" s="21">
        <v>45477</v>
      </c>
      <c r="E8" s="21" t="s">
        <v>47</v>
      </c>
      <c r="F8" s="19" t="s">
        <v>48</v>
      </c>
      <c r="G8" s="19" t="s">
        <v>49</v>
      </c>
      <c r="H8" s="19">
        <v>2.5</v>
      </c>
      <c r="I8" s="41">
        <v>300</v>
      </c>
      <c r="J8" s="42"/>
      <c r="K8" s="43"/>
      <c r="L8" s="19"/>
      <c r="M8" s="43"/>
      <c r="N8" s="44"/>
      <c r="O8" s="45">
        <f t="shared" si="0"/>
        <v>300</v>
      </c>
      <c r="P8" s="51"/>
      <c r="Q8" s="51"/>
      <c r="R8" s="74">
        <f t="shared" si="1"/>
        <v>195.3125</v>
      </c>
      <c r="S8" s="74"/>
      <c r="T8" s="75">
        <f t="shared" si="2"/>
        <v>4.43515625</v>
      </c>
      <c r="U8" s="74"/>
      <c r="V8" s="74"/>
      <c r="W8" s="76">
        <f t="shared" si="3"/>
        <v>199.74765625</v>
      </c>
      <c r="X8" s="77">
        <f t="shared" si="4"/>
        <v>8.603515625</v>
      </c>
      <c r="Y8" s="77"/>
      <c r="Z8" s="77"/>
      <c r="AA8" s="77">
        <f t="shared" si="5"/>
        <v>8.603515625</v>
      </c>
      <c r="AB8" s="87">
        <v>7.26</v>
      </c>
      <c r="AC8" s="74">
        <f t="shared" si="6"/>
        <v>62.4615234375</v>
      </c>
      <c r="AD8" s="74">
        <f t="shared" si="7"/>
        <v>262.2091796875</v>
      </c>
      <c r="AE8" s="74">
        <f t="shared" si="8"/>
        <v>37.7908203125</v>
      </c>
    </row>
    <row r="9" customFormat="1" spans="1:31">
      <c r="A9" s="18"/>
      <c r="B9" s="19"/>
      <c r="C9" s="20">
        <v>240628000039</v>
      </c>
      <c r="D9" s="21">
        <v>45477</v>
      </c>
      <c r="E9" s="21" t="s">
        <v>47</v>
      </c>
      <c r="F9" s="19" t="s">
        <v>48</v>
      </c>
      <c r="G9" s="19" t="s">
        <v>50</v>
      </c>
      <c r="H9" s="19">
        <v>3.5</v>
      </c>
      <c r="I9" s="41">
        <v>420</v>
      </c>
      <c r="J9" s="42"/>
      <c r="K9" s="43"/>
      <c r="L9" s="19"/>
      <c r="M9" s="43"/>
      <c r="N9" s="44"/>
      <c r="O9" s="45">
        <f t="shared" si="0"/>
        <v>420</v>
      </c>
      <c r="P9" s="51"/>
      <c r="Q9" s="51"/>
      <c r="R9" s="74">
        <f t="shared" si="1"/>
        <v>273.4375</v>
      </c>
      <c r="S9" s="74"/>
      <c r="T9" s="75">
        <f t="shared" si="2"/>
        <v>6.20921875</v>
      </c>
      <c r="U9" s="74"/>
      <c r="V9" s="74"/>
      <c r="W9" s="76">
        <f t="shared" si="3"/>
        <v>279.64671875</v>
      </c>
      <c r="X9" s="77">
        <f t="shared" si="4"/>
        <v>12.044921875</v>
      </c>
      <c r="Y9" s="77"/>
      <c r="Z9" s="77"/>
      <c r="AA9" s="77">
        <f t="shared" si="5"/>
        <v>12.044921875</v>
      </c>
      <c r="AB9" s="87">
        <v>7.26</v>
      </c>
      <c r="AC9" s="74">
        <f t="shared" si="6"/>
        <v>87.4461328125</v>
      </c>
      <c r="AD9" s="74">
        <f t="shared" si="7"/>
        <v>367.0928515625</v>
      </c>
      <c r="AE9" s="74">
        <f t="shared" si="8"/>
        <v>52.9071484375</v>
      </c>
    </row>
    <row r="10" customFormat="1" spans="1:31">
      <c r="A10" s="18"/>
      <c r="B10" s="19"/>
      <c r="C10" s="20">
        <v>240628000041</v>
      </c>
      <c r="D10" s="21">
        <v>45477</v>
      </c>
      <c r="E10" s="21" t="s">
        <v>44</v>
      </c>
      <c r="F10" s="19" t="s">
        <v>51</v>
      </c>
      <c r="G10" s="19" t="s">
        <v>52</v>
      </c>
      <c r="H10" s="19">
        <v>3</v>
      </c>
      <c r="I10" s="45"/>
      <c r="J10" s="48">
        <v>72170</v>
      </c>
      <c r="K10" s="43"/>
      <c r="L10" s="49">
        <f>SUM(J10/M10)</f>
        <v>1506.05175292154</v>
      </c>
      <c r="M10" s="50">
        <v>47.92</v>
      </c>
      <c r="N10" s="44">
        <v>7.26</v>
      </c>
      <c r="O10" s="45">
        <f>SUM(M10*N10)</f>
        <v>347.8992</v>
      </c>
      <c r="P10" s="51"/>
      <c r="Q10" s="51"/>
      <c r="R10" s="74">
        <f t="shared" si="1"/>
        <v>234.375</v>
      </c>
      <c r="S10" s="74"/>
      <c r="T10" s="75">
        <f t="shared" si="2"/>
        <v>5.3221875</v>
      </c>
      <c r="U10" s="74"/>
      <c r="V10" s="74"/>
      <c r="W10" s="76">
        <f t="shared" si="3"/>
        <v>239.6971875</v>
      </c>
      <c r="X10" s="77">
        <f t="shared" si="4"/>
        <v>10.32421875</v>
      </c>
      <c r="Y10" s="77"/>
      <c r="Z10" s="77"/>
      <c r="AA10" s="77">
        <f t="shared" si="5"/>
        <v>10.32421875</v>
      </c>
      <c r="AB10" s="87">
        <v>7.26</v>
      </c>
      <c r="AC10" s="74">
        <f t="shared" si="6"/>
        <v>74.953828125</v>
      </c>
      <c r="AD10" s="74">
        <f t="shared" si="7"/>
        <v>314.651015625</v>
      </c>
      <c r="AE10" s="74">
        <f t="shared" si="8"/>
        <v>33.248184375</v>
      </c>
    </row>
    <row r="11" customFormat="1" spans="1:31">
      <c r="A11" s="18"/>
      <c r="B11" s="19"/>
      <c r="C11" s="20">
        <v>240630000004</v>
      </c>
      <c r="D11" s="21">
        <v>45477</v>
      </c>
      <c r="E11" s="21" t="s">
        <v>37</v>
      </c>
      <c r="F11" s="19" t="s">
        <v>53</v>
      </c>
      <c r="G11" s="19" t="s">
        <v>54</v>
      </c>
      <c r="H11" s="19">
        <v>6</v>
      </c>
      <c r="I11" s="45"/>
      <c r="J11" s="48">
        <v>144319.98</v>
      </c>
      <c r="K11" s="43"/>
      <c r="L11" s="49">
        <f>SUM(J11/M11)</f>
        <v>1506</v>
      </c>
      <c r="M11" s="50">
        <v>95.83</v>
      </c>
      <c r="N11" s="44">
        <v>7.26</v>
      </c>
      <c r="O11" s="45">
        <f>SUM(M11*N11)</f>
        <v>695.7258</v>
      </c>
      <c r="P11" s="51"/>
      <c r="Q11" s="51"/>
      <c r="R11" s="74">
        <f t="shared" si="1"/>
        <v>468.75</v>
      </c>
      <c r="S11" s="74"/>
      <c r="T11" s="75">
        <f t="shared" si="2"/>
        <v>10.644375</v>
      </c>
      <c r="U11" s="74"/>
      <c r="V11" s="74"/>
      <c r="W11" s="76">
        <f t="shared" si="3"/>
        <v>479.394375</v>
      </c>
      <c r="X11" s="77">
        <f t="shared" si="4"/>
        <v>20.6484375</v>
      </c>
      <c r="Y11" s="77"/>
      <c r="Z11" s="77"/>
      <c r="AA11" s="77">
        <f t="shared" si="5"/>
        <v>20.6484375</v>
      </c>
      <c r="AB11" s="87">
        <v>7.26</v>
      </c>
      <c r="AC11" s="74">
        <f t="shared" si="6"/>
        <v>149.90765625</v>
      </c>
      <c r="AD11" s="74">
        <f t="shared" si="7"/>
        <v>629.30203125</v>
      </c>
      <c r="AE11" s="74">
        <f t="shared" si="8"/>
        <v>66.42376875</v>
      </c>
    </row>
    <row r="12" customFormat="1" spans="1:31">
      <c r="A12" s="18"/>
      <c r="B12" s="19"/>
      <c r="C12" s="20">
        <v>240701000001</v>
      </c>
      <c r="D12" s="21">
        <v>45477</v>
      </c>
      <c r="E12" s="21" t="s">
        <v>55</v>
      </c>
      <c r="F12" s="19" t="s">
        <v>56</v>
      </c>
      <c r="G12" s="19" t="s">
        <v>57</v>
      </c>
      <c r="H12" s="19">
        <v>0.1</v>
      </c>
      <c r="I12" s="41">
        <v>120</v>
      </c>
      <c r="J12" s="42"/>
      <c r="K12" s="43"/>
      <c r="L12" s="19"/>
      <c r="M12" s="43"/>
      <c r="N12" s="44"/>
      <c r="O12" s="45">
        <f t="shared" ref="O12:O24" si="9">SUM(I12)</f>
        <v>120</v>
      </c>
      <c r="P12" s="51"/>
      <c r="Q12" s="51"/>
      <c r="R12" s="74">
        <f t="shared" si="1"/>
        <v>7.8125</v>
      </c>
      <c r="S12" s="74"/>
      <c r="T12" s="75">
        <f t="shared" si="2"/>
        <v>0.17740625</v>
      </c>
      <c r="U12" s="74"/>
      <c r="V12" s="74"/>
      <c r="W12" s="76">
        <f t="shared" si="3"/>
        <v>7.98990625</v>
      </c>
      <c r="X12" s="77">
        <f t="shared" si="4"/>
        <v>0.344140625</v>
      </c>
      <c r="Y12" s="77"/>
      <c r="Z12" s="77"/>
      <c r="AA12" s="77">
        <f t="shared" si="5"/>
        <v>0.344140625</v>
      </c>
      <c r="AB12" s="87">
        <v>7.26</v>
      </c>
      <c r="AC12" s="74">
        <f t="shared" si="6"/>
        <v>2.4984609375</v>
      </c>
      <c r="AD12" s="74">
        <f t="shared" si="7"/>
        <v>10.4883671875</v>
      </c>
      <c r="AE12" s="74">
        <f t="shared" si="8"/>
        <v>109.5116328125</v>
      </c>
    </row>
    <row r="13" customFormat="1" spans="1:31">
      <c r="A13" s="18"/>
      <c r="B13" s="19"/>
      <c r="C13" s="20">
        <v>240701000012</v>
      </c>
      <c r="D13" s="21">
        <v>45477</v>
      </c>
      <c r="E13" s="21" t="s">
        <v>58</v>
      </c>
      <c r="F13" s="19" t="s">
        <v>59</v>
      </c>
      <c r="G13" s="19" t="s">
        <v>60</v>
      </c>
      <c r="H13" s="19">
        <v>2.5</v>
      </c>
      <c r="I13" s="41">
        <v>300</v>
      </c>
      <c r="J13" s="42"/>
      <c r="K13" s="43"/>
      <c r="L13" s="19"/>
      <c r="M13" s="43"/>
      <c r="N13" s="44"/>
      <c r="O13" s="45">
        <f t="shared" si="9"/>
        <v>300</v>
      </c>
      <c r="P13" s="51"/>
      <c r="Q13" s="51"/>
      <c r="R13" s="74">
        <f t="shared" si="1"/>
        <v>195.3125</v>
      </c>
      <c r="S13" s="74"/>
      <c r="T13" s="75">
        <f t="shared" si="2"/>
        <v>4.43515625</v>
      </c>
      <c r="U13" s="74"/>
      <c r="V13" s="74"/>
      <c r="W13" s="76">
        <f t="shared" si="3"/>
        <v>199.74765625</v>
      </c>
      <c r="X13" s="77">
        <f t="shared" si="4"/>
        <v>8.603515625</v>
      </c>
      <c r="Y13" s="77"/>
      <c r="Z13" s="77"/>
      <c r="AA13" s="77">
        <f t="shared" si="5"/>
        <v>8.603515625</v>
      </c>
      <c r="AB13" s="87">
        <v>7.26</v>
      </c>
      <c r="AC13" s="74">
        <f t="shared" si="6"/>
        <v>62.4615234375</v>
      </c>
      <c r="AD13" s="74">
        <f t="shared" si="7"/>
        <v>262.2091796875</v>
      </c>
      <c r="AE13" s="74">
        <f t="shared" si="8"/>
        <v>37.7908203125</v>
      </c>
    </row>
    <row r="14" customFormat="1" spans="1:31">
      <c r="A14" s="18"/>
      <c r="B14" s="19"/>
      <c r="C14" s="20">
        <v>240701000039</v>
      </c>
      <c r="D14" s="21">
        <v>45477</v>
      </c>
      <c r="E14" s="21" t="s">
        <v>58</v>
      </c>
      <c r="F14" s="19" t="s">
        <v>59</v>
      </c>
      <c r="G14" s="19" t="s">
        <v>61</v>
      </c>
      <c r="H14" s="19">
        <v>0.37</v>
      </c>
      <c r="I14" s="41">
        <v>120</v>
      </c>
      <c r="J14" s="42"/>
      <c r="K14" s="43"/>
      <c r="L14" s="19"/>
      <c r="M14" s="43"/>
      <c r="N14" s="44"/>
      <c r="O14" s="45">
        <f t="shared" si="9"/>
        <v>120</v>
      </c>
      <c r="P14" s="51"/>
      <c r="Q14" s="51"/>
      <c r="R14" s="74">
        <f t="shared" si="1"/>
        <v>28.90625</v>
      </c>
      <c r="S14" s="74"/>
      <c r="T14" s="75">
        <f t="shared" si="2"/>
        <v>0.656403125</v>
      </c>
      <c r="U14" s="74"/>
      <c r="V14" s="74"/>
      <c r="W14" s="76">
        <f t="shared" si="3"/>
        <v>29.562653125</v>
      </c>
      <c r="X14" s="77">
        <f t="shared" si="4"/>
        <v>1.2733203125</v>
      </c>
      <c r="Y14" s="77"/>
      <c r="Z14" s="77"/>
      <c r="AA14" s="77">
        <f t="shared" si="5"/>
        <v>1.2733203125</v>
      </c>
      <c r="AB14" s="87">
        <v>7.26</v>
      </c>
      <c r="AC14" s="74">
        <f t="shared" si="6"/>
        <v>9.24430546875</v>
      </c>
      <c r="AD14" s="74">
        <f t="shared" si="7"/>
        <v>38.80695859375</v>
      </c>
      <c r="AE14" s="74">
        <f t="shared" si="8"/>
        <v>81.19304140625</v>
      </c>
    </row>
    <row r="15" customFormat="1" spans="1:31">
      <c r="A15" s="18"/>
      <c r="B15" s="19"/>
      <c r="C15" s="20">
        <v>240701000040</v>
      </c>
      <c r="D15" s="21">
        <v>45477</v>
      </c>
      <c r="E15" s="21" t="s">
        <v>37</v>
      </c>
      <c r="F15" s="19" t="s">
        <v>37</v>
      </c>
      <c r="G15" s="19" t="s">
        <v>62</v>
      </c>
      <c r="H15" s="19">
        <v>2</v>
      </c>
      <c r="I15" s="41">
        <v>310</v>
      </c>
      <c r="J15" s="42"/>
      <c r="K15" s="43"/>
      <c r="L15" s="19"/>
      <c r="M15" s="43"/>
      <c r="N15" s="44"/>
      <c r="O15" s="45">
        <f t="shared" si="9"/>
        <v>310</v>
      </c>
      <c r="P15" s="51"/>
      <c r="Q15" s="51"/>
      <c r="R15" s="74">
        <f t="shared" si="1"/>
        <v>156.25</v>
      </c>
      <c r="S15" s="74"/>
      <c r="T15" s="75">
        <f t="shared" si="2"/>
        <v>3.548125</v>
      </c>
      <c r="U15" s="74"/>
      <c r="V15" s="74"/>
      <c r="W15" s="76">
        <f t="shared" si="3"/>
        <v>159.798125</v>
      </c>
      <c r="X15" s="77">
        <f t="shared" si="4"/>
        <v>6.8828125</v>
      </c>
      <c r="Y15" s="77"/>
      <c r="Z15" s="77"/>
      <c r="AA15" s="77">
        <f t="shared" si="5"/>
        <v>6.8828125</v>
      </c>
      <c r="AB15" s="87">
        <v>7.26</v>
      </c>
      <c r="AC15" s="74">
        <f t="shared" si="6"/>
        <v>49.96921875</v>
      </c>
      <c r="AD15" s="74">
        <f t="shared" si="7"/>
        <v>209.76734375</v>
      </c>
      <c r="AE15" s="74">
        <f t="shared" si="8"/>
        <v>100.23265625</v>
      </c>
    </row>
    <row r="16" customFormat="1" spans="1:31">
      <c r="A16" s="18"/>
      <c r="B16" s="19"/>
      <c r="C16" s="20">
        <v>240701000051</v>
      </c>
      <c r="D16" s="21">
        <v>45477</v>
      </c>
      <c r="E16" s="21" t="s">
        <v>37</v>
      </c>
      <c r="F16" s="19" t="s">
        <v>37</v>
      </c>
      <c r="G16" s="19" t="s">
        <v>63</v>
      </c>
      <c r="H16" s="19">
        <v>19</v>
      </c>
      <c r="I16" s="41">
        <v>2280</v>
      </c>
      <c r="J16" s="42"/>
      <c r="K16" s="43"/>
      <c r="L16" s="19"/>
      <c r="M16" s="43"/>
      <c r="N16" s="44"/>
      <c r="O16" s="45">
        <f t="shared" si="9"/>
        <v>2280</v>
      </c>
      <c r="P16" s="51"/>
      <c r="Q16" s="51"/>
      <c r="R16" s="74">
        <f t="shared" si="1"/>
        <v>1484.375</v>
      </c>
      <c r="S16" s="74"/>
      <c r="T16" s="75">
        <f t="shared" si="2"/>
        <v>33.7071875</v>
      </c>
      <c r="U16" s="74"/>
      <c r="V16" s="74"/>
      <c r="W16" s="76">
        <f t="shared" si="3"/>
        <v>1518.0821875</v>
      </c>
      <c r="X16" s="77">
        <f t="shared" si="4"/>
        <v>65.38671875</v>
      </c>
      <c r="Y16" s="77"/>
      <c r="Z16" s="77"/>
      <c r="AA16" s="77">
        <f t="shared" si="5"/>
        <v>65.38671875</v>
      </c>
      <c r="AB16" s="87">
        <v>7.26</v>
      </c>
      <c r="AC16" s="74">
        <f t="shared" si="6"/>
        <v>474.707578125</v>
      </c>
      <c r="AD16" s="74">
        <f t="shared" si="7"/>
        <v>1992.789765625</v>
      </c>
      <c r="AE16" s="74">
        <f t="shared" si="8"/>
        <v>287.210234375</v>
      </c>
    </row>
    <row r="17" customFormat="1" spans="1:31">
      <c r="A17" s="18"/>
      <c r="B17" s="19"/>
      <c r="C17" s="20">
        <v>240701000057</v>
      </c>
      <c r="D17" s="21">
        <v>45477</v>
      </c>
      <c r="E17" s="21" t="s">
        <v>37</v>
      </c>
      <c r="F17" s="19" t="s">
        <v>37</v>
      </c>
      <c r="G17" s="19" t="s">
        <v>64</v>
      </c>
      <c r="H17" s="19">
        <v>1</v>
      </c>
      <c r="I17" s="41">
        <v>123</v>
      </c>
      <c r="J17" s="42"/>
      <c r="K17" s="43"/>
      <c r="L17" s="19"/>
      <c r="M17" s="43"/>
      <c r="N17" s="44"/>
      <c r="O17" s="45">
        <f t="shared" si="9"/>
        <v>123</v>
      </c>
      <c r="P17" s="51"/>
      <c r="Q17" s="51"/>
      <c r="R17" s="74">
        <f t="shared" si="1"/>
        <v>78.125</v>
      </c>
      <c r="S17" s="74"/>
      <c r="T17" s="75">
        <f t="shared" si="2"/>
        <v>1.7740625</v>
      </c>
      <c r="U17" s="74"/>
      <c r="V17" s="74"/>
      <c r="W17" s="76">
        <f t="shared" si="3"/>
        <v>79.8990625</v>
      </c>
      <c r="X17" s="77">
        <f t="shared" si="4"/>
        <v>3.44140625</v>
      </c>
      <c r="Y17" s="77"/>
      <c r="Z17" s="77"/>
      <c r="AA17" s="77">
        <f t="shared" si="5"/>
        <v>3.44140625</v>
      </c>
      <c r="AB17" s="87">
        <v>7.26</v>
      </c>
      <c r="AC17" s="74">
        <f t="shared" si="6"/>
        <v>24.984609375</v>
      </c>
      <c r="AD17" s="74">
        <f t="shared" si="7"/>
        <v>104.883671875</v>
      </c>
      <c r="AE17" s="74">
        <f t="shared" si="8"/>
        <v>18.116328125</v>
      </c>
    </row>
    <row r="18" customFormat="1" spans="1:31">
      <c r="A18" s="18"/>
      <c r="B18" s="19"/>
      <c r="C18" s="20">
        <v>240702000015</v>
      </c>
      <c r="D18" s="21">
        <v>45477</v>
      </c>
      <c r="E18" s="21" t="s">
        <v>58</v>
      </c>
      <c r="F18" s="19" t="s">
        <v>59</v>
      </c>
      <c r="G18" s="19" t="s">
        <v>65</v>
      </c>
      <c r="H18" s="19">
        <v>0.89416665</v>
      </c>
      <c r="I18" s="41">
        <v>120</v>
      </c>
      <c r="J18" s="42"/>
      <c r="K18" s="43"/>
      <c r="L18" s="19"/>
      <c r="M18" s="43"/>
      <c r="N18" s="44"/>
      <c r="O18" s="45">
        <f t="shared" si="9"/>
        <v>120</v>
      </c>
      <c r="P18" s="51"/>
      <c r="Q18" s="51"/>
      <c r="R18" s="74">
        <f t="shared" si="1"/>
        <v>69.85676953125</v>
      </c>
      <c r="S18" s="74"/>
      <c r="T18" s="75">
        <f t="shared" si="2"/>
        <v>1.58630752251562</v>
      </c>
      <c r="U18" s="74"/>
      <c r="V18" s="74"/>
      <c r="W18" s="76">
        <f t="shared" si="3"/>
        <v>71.4430770537656</v>
      </c>
      <c r="X18" s="77">
        <f t="shared" si="4"/>
        <v>3.07719069785156</v>
      </c>
      <c r="Y18" s="77"/>
      <c r="Z18" s="77"/>
      <c r="AA18" s="77">
        <f t="shared" si="5"/>
        <v>3.07719069785156</v>
      </c>
      <c r="AB18" s="87">
        <v>7.26</v>
      </c>
      <c r="AC18" s="74">
        <f t="shared" si="6"/>
        <v>22.3404044664023</v>
      </c>
      <c r="AD18" s="74">
        <f t="shared" ref="AD18:AD49" si="10">SUM(W18+AC18)</f>
        <v>93.783481520168</v>
      </c>
      <c r="AE18" s="74">
        <f t="shared" ref="AE18:AE49" si="11">SUM(O18-AD18)</f>
        <v>26.216518479832</v>
      </c>
    </row>
    <row r="19" customFormat="1" spans="1:31">
      <c r="A19" s="18"/>
      <c r="B19" s="19"/>
      <c r="C19" s="20">
        <v>240702000025</v>
      </c>
      <c r="D19" s="21">
        <v>45477</v>
      </c>
      <c r="E19" s="21" t="s">
        <v>40</v>
      </c>
      <c r="F19" s="19" t="s">
        <v>41</v>
      </c>
      <c r="G19" s="19" t="s">
        <v>66</v>
      </c>
      <c r="H19" s="19">
        <v>9.5</v>
      </c>
      <c r="I19" s="41">
        <v>2100</v>
      </c>
      <c r="J19" s="42"/>
      <c r="K19" s="43"/>
      <c r="L19" s="19"/>
      <c r="M19" s="43"/>
      <c r="N19" s="44"/>
      <c r="O19" s="45">
        <f t="shared" si="9"/>
        <v>2100</v>
      </c>
      <c r="P19" s="52"/>
      <c r="Q19" s="52"/>
      <c r="R19" s="74">
        <f t="shared" si="1"/>
        <v>742.1875</v>
      </c>
      <c r="S19" s="74"/>
      <c r="T19" s="75">
        <f t="shared" si="2"/>
        <v>16.85359375</v>
      </c>
      <c r="U19" s="74"/>
      <c r="V19" s="74"/>
      <c r="W19" s="76">
        <f t="shared" ref="W19:W50" si="12">SUM(R19:V19)</f>
        <v>759.04109375</v>
      </c>
      <c r="X19" s="77">
        <f t="shared" si="4"/>
        <v>32.693359375</v>
      </c>
      <c r="Y19" s="77"/>
      <c r="Z19" s="77"/>
      <c r="AA19" s="77">
        <f t="shared" si="5"/>
        <v>32.693359375</v>
      </c>
      <c r="AB19" s="87">
        <v>7.26</v>
      </c>
      <c r="AC19" s="74">
        <f t="shared" ref="AC19:AC50" si="13">SUM(AA19*AB19)</f>
        <v>237.3537890625</v>
      </c>
      <c r="AD19" s="74">
        <f t="shared" si="10"/>
        <v>996.3948828125</v>
      </c>
      <c r="AE19" s="74">
        <f t="shared" si="11"/>
        <v>1103.6051171875</v>
      </c>
    </row>
    <row r="20" customFormat="1" spans="1:31">
      <c r="A20" s="18" t="s">
        <v>67</v>
      </c>
      <c r="B20" s="19" t="s">
        <v>68</v>
      </c>
      <c r="C20" s="20">
        <v>240625000028</v>
      </c>
      <c r="D20" s="21">
        <v>45477</v>
      </c>
      <c r="E20" s="21" t="s">
        <v>47</v>
      </c>
      <c r="F20" s="19" t="s">
        <v>48</v>
      </c>
      <c r="G20" s="19" t="s">
        <v>69</v>
      </c>
      <c r="H20" s="19">
        <v>10</v>
      </c>
      <c r="I20" s="41">
        <v>576</v>
      </c>
      <c r="J20" s="42"/>
      <c r="K20" s="43"/>
      <c r="L20" s="19"/>
      <c r="M20" s="43"/>
      <c r="N20" s="44"/>
      <c r="O20" s="45">
        <f t="shared" si="9"/>
        <v>576</v>
      </c>
      <c r="P20" s="46">
        <f>SUM(O20:O80)</f>
        <v>122449.5754</v>
      </c>
      <c r="Q20" s="78" t="s">
        <v>70</v>
      </c>
      <c r="R20" s="74">
        <f>SUM(98367.2/2032)*H20</f>
        <v>484.090551181102</v>
      </c>
      <c r="S20" s="74"/>
      <c r="T20" s="75">
        <f>SUM(239.19/2032)*H20</f>
        <v>1.17711614173228</v>
      </c>
      <c r="U20" s="74"/>
      <c r="V20" s="74"/>
      <c r="W20" s="76">
        <f t="shared" si="12"/>
        <v>485.267667322835</v>
      </c>
      <c r="X20" s="77">
        <f>SUM(1201.83/2032)*H20</f>
        <v>5.91451771653543</v>
      </c>
      <c r="Y20" s="77"/>
      <c r="Z20" s="77"/>
      <c r="AA20" s="77">
        <f t="shared" ref="AA20:AA51" si="14">SUM(X20:Z20)</f>
        <v>5.91451771653543</v>
      </c>
      <c r="AB20" s="87">
        <v>7.26</v>
      </c>
      <c r="AC20" s="74">
        <f t="shared" si="13"/>
        <v>42.9393986220472</v>
      </c>
      <c r="AD20" s="74">
        <f t="shared" si="10"/>
        <v>528.207065944882</v>
      </c>
      <c r="AE20" s="74">
        <f t="shared" si="11"/>
        <v>47.7929340551181</v>
      </c>
    </row>
    <row r="21" customFormat="1" spans="1:31">
      <c r="A21" s="18"/>
      <c r="B21" s="19"/>
      <c r="C21" s="20">
        <v>240625000037</v>
      </c>
      <c r="D21" s="21">
        <v>45477</v>
      </c>
      <c r="E21" s="21" t="s">
        <v>37</v>
      </c>
      <c r="F21" s="19" t="s">
        <v>37</v>
      </c>
      <c r="G21" s="19" t="s">
        <v>71</v>
      </c>
      <c r="H21" s="19">
        <v>31</v>
      </c>
      <c r="I21" s="41">
        <v>1713</v>
      </c>
      <c r="J21" s="42"/>
      <c r="K21" s="43"/>
      <c r="L21" s="19"/>
      <c r="M21" s="43"/>
      <c r="N21" s="44"/>
      <c r="O21" s="45">
        <f t="shared" si="9"/>
        <v>1713</v>
      </c>
      <c r="P21" s="51"/>
      <c r="Q21" s="51"/>
      <c r="R21" s="74">
        <f t="shared" ref="R21:R52" si="15">SUM(98367.2/2032)*H21</f>
        <v>1500.68070866142</v>
      </c>
      <c r="S21" s="74"/>
      <c r="T21" s="75">
        <f t="shared" ref="T21:T52" si="16">SUM(239.19/2032)*H21</f>
        <v>3.64906003937008</v>
      </c>
      <c r="U21" s="74"/>
      <c r="V21" s="74"/>
      <c r="W21" s="76">
        <f t="shared" si="12"/>
        <v>1504.32976870079</v>
      </c>
      <c r="X21" s="77">
        <f t="shared" ref="X21:X52" si="17">SUM(1201.83/2032)*H21</f>
        <v>18.3350049212598</v>
      </c>
      <c r="Y21" s="77"/>
      <c r="Z21" s="77"/>
      <c r="AA21" s="77">
        <f t="shared" si="14"/>
        <v>18.3350049212598</v>
      </c>
      <c r="AB21" s="87">
        <v>7.26</v>
      </c>
      <c r="AC21" s="74">
        <f t="shared" si="13"/>
        <v>133.112135728346</v>
      </c>
      <c r="AD21" s="74">
        <f t="shared" si="10"/>
        <v>1637.44190442913</v>
      </c>
      <c r="AE21" s="74">
        <f t="shared" si="11"/>
        <v>75.5580955708699</v>
      </c>
    </row>
    <row r="22" customFormat="1" spans="1:31">
      <c r="A22" s="18"/>
      <c r="B22" s="19"/>
      <c r="C22" s="20">
        <v>240625000042</v>
      </c>
      <c r="D22" s="21">
        <v>45477</v>
      </c>
      <c r="E22" s="21" t="s">
        <v>44</v>
      </c>
      <c r="F22" s="19" t="s">
        <v>45</v>
      </c>
      <c r="G22" s="19" t="s">
        <v>72</v>
      </c>
      <c r="H22" s="19">
        <v>8.5</v>
      </c>
      <c r="I22" s="41">
        <v>490.5</v>
      </c>
      <c r="J22" s="42"/>
      <c r="K22" s="43"/>
      <c r="L22" s="19"/>
      <c r="M22" s="43"/>
      <c r="N22" s="44"/>
      <c r="O22" s="45">
        <f t="shared" si="9"/>
        <v>490.5</v>
      </c>
      <c r="P22" s="51"/>
      <c r="Q22" s="51"/>
      <c r="R22" s="74">
        <f t="shared" si="15"/>
        <v>411.476968503937</v>
      </c>
      <c r="S22" s="74"/>
      <c r="T22" s="75">
        <f t="shared" si="16"/>
        <v>1.00054872047244</v>
      </c>
      <c r="U22" s="74"/>
      <c r="V22" s="74"/>
      <c r="W22" s="76">
        <f t="shared" si="12"/>
        <v>412.477517224409</v>
      </c>
      <c r="X22" s="77">
        <f t="shared" si="17"/>
        <v>5.02734005905512</v>
      </c>
      <c r="Y22" s="77"/>
      <c r="Z22" s="77"/>
      <c r="AA22" s="77">
        <f t="shared" si="14"/>
        <v>5.02734005905512</v>
      </c>
      <c r="AB22" s="87">
        <v>7.26</v>
      </c>
      <c r="AC22" s="74">
        <f t="shared" si="13"/>
        <v>36.4984888287402</v>
      </c>
      <c r="AD22" s="74">
        <f t="shared" si="10"/>
        <v>448.97600605315</v>
      </c>
      <c r="AE22" s="74">
        <f t="shared" si="11"/>
        <v>41.52399394685</v>
      </c>
    </row>
    <row r="23" customFormat="1" spans="1:31">
      <c r="A23" s="18"/>
      <c r="B23" s="19"/>
      <c r="C23" s="20">
        <v>240625000046</v>
      </c>
      <c r="D23" s="21">
        <v>45477</v>
      </c>
      <c r="E23" s="21" t="s">
        <v>47</v>
      </c>
      <c r="F23" s="19" t="s">
        <v>48</v>
      </c>
      <c r="G23" s="19" t="s">
        <v>73</v>
      </c>
      <c r="H23" s="19">
        <v>5.5</v>
      </c>
      <c r="I23" s="41">
        <v>333</v>
      </c>
      <c r="J23" s="42"/>
      <c r="K23" s="43"/>
      <c r="L23" s="19"/>
      <c r="M23" s="43"/>
      <c r="N23" s="44"/>
      <c r="O23" s="45">
        <f t="shared" si="9"/>
        <v>333</v>
      </c>
      <c r="P23" s="51"/>
      <c r="Q23" s="51"/>
      <c r="R23" s="74">
        <f t="shared" si="15"/>
        <v>266.249803149606</v>
      </c>
      <c r="S23" s="74"/>
      <c r="T23" s="75">
        <f t="shared" si="16"/>
        <v>0.647413877952756</v>
      </c>
      <c r="U23" s="74"/>
      <c r="V23" s="74"/>
      <c r="W23" s="76">
        <f t="shared" si="12"/>
        <v>266.897217027559</v>
      </c>
      <c r="X23" s="77">
        <f t="shared" si="17"/>
        <v>3.25298474409449</v>
      </c>
      <c r="Y23" s="77"/>
      <c r="Z23" s="77"/>
      <c r="AA23" s="77">
        <f t="shared" si="14"/>
        <v>3.25298474409449</v>
      </c>
      <c r="AB23" s="87">
        <v>7.26</v>
      </c>
      <c r="AC23" s="74">
        <f t="shared" si="13"/>
        <v>23.616669242126</v>
      </c>
      <c r="AD23" s="74">
        <f t="shared" si="10"/>
        <v>290.513886269685</v>
      </c>
      <c r="AE23" s="74">
        <f t="shared" si="11"/>
        <v>42.486113730315</v>
      </c>
    </row>
    <row r="24" customFormat="1" spans="1:31">
      <c r="A24" s="18"/>
      <c r="B24" s="19"/>
      <c r="C24" s="20">
        <v>240626000007</v>
      </c>
      <c r="D24" s="21">
        <v>45477</v>
      </c>
      <c r="E24" s="21" t="s">
        <v>47</v>
      </c>
      <c r="F24" s="19" t="s">
        <v>48</v>
      </c>
      <c r="G24" s="19" t="s">
        <v>74</v>
      </c>
      <c r="H24" s="19">
        <v>10.5</v>
      </c>
      <c r="I24" s="41">
        <v>630</v>
      </c>
      <c r="J24" s="42"/>
      <c r="K24" s="43"/>
      <c r="L24" s="19"/>
      <c r="M24" s="43"/>
      <c r="N24" s="44"/>
      <c r="O24" s="45">
        <f t="shared" si="9"/>
        <v>630</v>
      </c>
      <c r="P24" s="51"/>
      <c r="Q24" s="51"/>
      <c r="R24" s="74">
        <f t="shared" si="15"/>
        <v>508.295078740157</v>
      </c>
      <c r="S24" s="74"/>
      <c r="T24" s="75">
        <f t="shared" si="16"/>
        <v>1.2359719488189</v>
      </c>
      <c r="U24" s="74"/>
      <c r="V24" s="74"/>
      <c r="W24" s="76">
        <f t="shared" si="12"/>
        <v>509.531050688976</v>
      </c>
      <c r="X24" s="77">
        <f t="shared" si="17"/>
        <v>6.2102436023622</v>
      </c>
      <c r="Y24" s="77"/>
      <c r="Z24" s="77"/>
      <c r="AA24" s="77">
        <f t="shared" si="14"/>
        <v>6.2102436023622</v>
      </c>
      <c r="AB24" s="87">
        <v>7.26</v>
      </c>
      <c r="AC24" s="74">
        <f t="shared" si="13"/>
        <v>45.0863685531496</v>
      </c>
      <c r="AD24" s="74">
        <f t="shared" si="10"/>
        <v>554.617419242126</v>
      </c>
      <c r="AE24" s="74">
        <f t="shared" si="11"/>
        <v>75.3825807578741</v>
      </c>
    </row>
    <row r="25" customFormat="1" spans="1:31">
      <c r="A25" s="18"/>
      <c r="B25" s="19"/>
      <c r="C25" s="20">
        <v>240626000008</v>
      </c>
      <c r="D25" s="21">
        <v>45477</v>
      </c>
      <c r="E25" s="21" t="s">
        <v>40</v>
      </c>
      <c r="F25" s="19" t="s">
        <v>41</v>
      </c>
      <c r="G25" s="19" t="s">
        <v>75</v>
      </c>
      <c r="H25" s="19">
        <v>74</v>
      </c>
      <c r="I25" s="53">
        <v>350</v>
      </c>
      <c r="J25" s="42"/>
      <c r="K25" s="43"/>
      <c r="L25" s="49">
        <f t="shared" ref="L25:L27" si="18">SUM(J25/M25)</f>
        <v>0</v>
      </c>
      <c r="M25" s="50">
        <v>564.73</v>
      </c>
      <c r="N25" s="44">
        <v>7.26</v>
      </c>
      <c r="O25" s="45">
        <f>SUM(M25*N25+I25)</f>
        <v>4449.9398</v>
      </c>
      <c r="P25" s="51"/>
      <c r="Q25" s="51"/>
      <c r="R25" s="74">
        <f t="shared" si="15"/>
        <v>3582.27007874016</v>
      </c>
      <c r="S25" s="74"/>
      <c r="T25" s="75">
        <f t="shared" si="16"/>
        <v>8.7106594488189</v>
      </c>
      <c r="U25" s="74">
        <v>30</v>
      </c>
      <c r="V25" s="74"/>
      <c r="W25" s="76">
        <f t="shared" si="12"/>
        <v>3620.98073818898</v>
      </c>
      <c r="X25" s="77">
        <f t="shared" si="17"/>
        <v>43.7674311023622</v>
      </c>
      <c r="Y25" s="77"/>
      <c r="Z25" s="77"/>
      <c r="AA25" s="77">
        <f t="shared" si="14"/>
        <v>43.7674311023622</v>
      </c>
      <c r="AB25" s="87">
        <v>7.26</v>
      </c>
      <c r="AC25" s="74">
        <f t="shared" si="13"/>
        <v>317.75154980315</v>
      </c>
      <c r="AD25" s="74">
        <f t="shared" si="10"/>
        <v>3938.73228799213</v>
      </c>
      <c r="AE25" s="74">
        <f t="shared" si="11"/>
        <v>511.20751200787</v>
      </c>
    </row>
    <row r="26" customFormat="1" spans="1:31">
      <c r="A26" s="18"/>
      <c r="B26" s="19"/>
      <c r="C26" s="20">
        <v>240626000024</v>
      </c>
      <c r="D26" s="21">
        <v>45477</v>
      </c>
      <c r="E26" s="21" t="s">
        <v>58</v>
      </c>
      <c r="F26" s="19" t="s">
        <v>59</v>
      </c>
      <c r="G26" s="19" t="s">
        <v>76</v>
      </c>
      <c r="H26" s="19">
        <v>0.26</v>
      </c>
      <c r="I26" s="45"/>
      <c r="J26" s="48">
        <v>14062.4</v>
      </c>
      <c r="K26" s="43"/>
      <c r="L26" s="49">
        <f t="shared" si="18"/>
        <v>1598</v>
      </c>
      <c r="M26" s="50">
        <v>8.8</v>
      </c>
      <c r="N26" s="44">
        <v>7.26</v>
      </c>
      <c r="O26" s="45">
        <f t="shared" ref="O26:O29" si="19">SUM(M26*N26)</f>
        <v>63.888</v>
      </c>
      <c r="P26" s="51"/>
      <c r="Q26" s="51"/>
      <c r="R26" s="74">
        <f t="shared" si="15"/>
        <v>12.5863543307087</v>
      </c>
      <c r="S26" s="74"/>
      <c r="T26" s="75">
        <f t="shared" si="16"/>
        <v>0.0306050196850394</v>
      </c>
      <c r="U26" s="74"/>
      <c r="V26" s="74"/>
      <c r="W26" s="76">
        <f t="shared" si="12"/>
        <v>12.6169593503937</v>
      </c>
      <c r="X26" s="77">
        <f t="shared" si="17"/>
        <v>0.153777460629921</v>
      </c>
      <c r="Y26" s="77"/>
      <c r="Z26" s="77"/>
      <c r="AA26" s="77">
        <f t="shared" si="14"/>
        <v>0.153777460629921</v>
      </c>
      <c r="AB26" s="87">
        <v>7.26</v>
      </c>
      <c r="AC26" s="74">
        <f t="shared" si="13"/>
        <v>1.11642436417323</v>
      </c>
      <c r="AD26" s="74">
        <f t="shared" si="10"/>
        <v>13.7333837145669</v>
      </c>
      <c r="AE26" s="74">
        <f t="shared" si="11"/>
        <v>50.1546162854331</v>
      </c>
    </row>
    <row r="27" customFormat="1" spans="1:31">
      <c r="A27" s="18"/>
      <c r="B27" s="19"/>
      <c r="C27" s="20">
        <v>240626000028</v>
      </c>
      <c r="D27" s="21">
        <v>45477</v>
      </c>
      <c r="E27" s="21" t="s">
        <v>47</v>
      </c>
      <c r="F27" s="19" t="s">
        <v>48</v>
      </c>
      <c r="G27" s="19" t="s">
        <v>77</v>
      </c>
      <c r="H27" s="19">
        <v>6.5</v>
      </c>
      <c r="I27" s="45"/>
      <c r="J27" s="48">
        <v>89077</v>
      </c>
      <c r="K27" s="43"/>
      <c r="L27" s="49">
        <f t="shared" si="18"/>
        <v>1704.82296650718</v>
      </c>
      <c r="M27" s="50">
        <v>52.25</v>
      </c>
      <c r="N27" s="44">
        <v>7.26</v>
      </c>
      <c r="O27" s="45">
        <f t="shared" si="19"/>
        <v>379.335</v>
      </c>
      <c r="P27" s="51"/>
      <c r="Q27" s="51"/>
      <c r="R27" s="74">
        <f t="shared" si="15"/>
        <v>314.658858267716</v>
      </c>
      <c r="S27" s="74"/>
      <c r="T27" s="75">
        <f t="shared" si="16"/>
        <v>0.765125492125984</v>
      </c>
      <c r="U27" s="74"/>
      <c r="V27" s="74"/>
      <c r="W27" s="76">
        <f t="shared" si="12"/>
        <v>315.423983759842</v>
      </c>
      <c r="X27" s="77">
        <f t="shared" si="17"/>
        <v>3.84443651574803</v>
      </c>
      <c r="Y27" s="77">
        <v>3.79</v>
      </c>
      <c r="Z27" s="77"/>
      <c r="AA27" s="77">
        <f t="shared" si="14"/>
        <v>7.63443651574803</v>
      </c>
      <c r="AB27" s="87">
        <v>7.26</v>
      </c>
      <c r="AC27" s="74">
        <f t="shared" si="13"/>
        <v>55.4260091043307</v>
      </c>
      <c r="AD27" s="74">
        <f t="shared" si="10"/>
        <v>370.849992864173</v>
      </c>
      <c r="AE27" s="74">
        <f t="shared" si="11"/>
        <v>8.485007135827</v>
      </c>
    </row>
    <row r="28" customFormat="1" spans="1:31">
      <c r="A28" s="18"/>
      <c r="B28" s="19"/>
      <c r="C28" s="20">
        <v>240626000031</v>
      </c>
      <c r="D28" s="21">
        <v>45477</v>
      </c>
      <c r="E28" s="21" t="s">
        <v>40</v>
      </c>
      <c r="F28" s="19" t="s">
        <v>41</v>
      </c>
      <c r="G28" s="19" t="s">
        <v>78</v>
      </c>
      <c r="H28" s="19">
        <v>1.5</v>
      </c>
      <c r="I28" s="41">
        <v>132.5</v>
      </c>
      <c r="J28" s="42"/>
      <c r="K28" s="43"/>
      <c r="L28" s="19"/>
      <c r="M28" s="43"/>
      <c r="N28" s="44"/>
      <c r="O28" s="45">
        <f t="shared" ref="O28:O32" si="20">SUM(I28)</f>
        <v>132.5</v>
      </c>
      <c r="P28" s="51"/>
      <c r="Q28" s="51"/>
      <c r="R28" s="74">
        <f t="shared" si="15"/>
        <v>72.6135826771653</v>
      </c>
      <c r="S28" s="74"/>
      <c r="T28" s="75">
        <f t="shared" si="16"/>
        <v>0.176567421259843</v>
      </c>
      <c r="U28" s="74"/>
      <c r="V28" s="74"/>
      <c r="W28" s="76">
        <f t="shared" si="12"/>
        <v>72.7901500984252</v>
      </c>
      <c r="X28" s="77">
        <f t="shared" si="17"/>
        <v>0.887177657480315</v>
      </c>
      <c r="Y28" s="77"/>
      <c r="Z28" s="77"/>
      <c r="AA28" s="77">
        <f t="shared" si="14"/>
        <v>0.887177657480315</v>
      </c>
      <c r="AB28" s="87">
        <v>7.26</v>
      </c>
      <c r="AC28" s="74">
        <f t="shared" si="13"/>
        <v>6.44090979330709</v>
      </c>
      <c r="AD28" s="74">
        <f t="shared" si="10"/>
        <v>79.2310598917323</v>
      </c>
      <c r="AE28" s="74">
        <f t="shared" si="11"/>
        <v>53.2689401082677</v>
      </c>
    </row>
    <row r="29" customFormat="1" spans="1:31">
      <c r="A29" s="18"/>
      <c r="B29" s="19"/>
      <c r="C29" s="20">
        <v>240626000034</v>
      </c>
      <c r="D29" s="21">
        <v>45477</v>
      </c>
      <c r="E29" s="21" t="s">
        <v>44</v>
      </c>
      <c r="F29" s="19" t="s">
        <v>45</v>
      </c>
      <c r="G29" s="19" t="s">
        <v>79</v>
      </c>
      <c r="H29" s="19">
        <v>0.6586667</v>
      </c>
      <c r="I29" s="47"/>
      <c r="J29" s="48">
        <v>13850</v>
      </c>
      <c r="K29" s="43"/>
      <c r="L29" s="49">
        <f>SUM(J29/M29)</f>
        <v>1597.46251441753</v>
      </c>
      <c r="M29" s="50">
        <v>8.67</v>
      </c>
      <c r="N29" s="44">
        <v>7.26</v>
      </c>
      <c r="O29" s="45">
        <f t="shared" si="19"/>
        <v>62.9442</v>
      </c>
      <c r="P29" s="51"/>
      <c r="Q29" s="51"/>
      <c r="R29" s="74">
        <f t="shared" si="15"/>
        <v>31.8854325847638</v>
      </c>
      <c r="S29" s="74"/>
      <c r="T29" s="75">
        <f t="shared" si="16"/>
        <v>0.0775327204591535</v>
      </c>
      <c r="U29" s="74"/>
      <c r="V29" s="74"/>
      <c r="W29" s="76">
        <f t="shared" si="12"/>
        <v>31.9629653052229</v>
      </c>
      <c r="X29" s="77">
        <f t="shared" si="17"/>
        <v>0.389569586644193</v>
      </c>
      <c r="Y29" s="77"/>
      <c r="Z29" s="77"/>
      <c r="AA29" s="77">
        <f t="shared" si="14"/>
        <v>0.389569586644193</v>
      </c>
      <c r="AB29" s="87">
        <v>7.26</v>
      </c>
      <c r="AC29" s="74">
        <f t="shared" si="13"/>
        <v>2.82827519903684</v>
      </c>
      <c r="AD29" s="74">
        <f t="shared" si="10"/>
        <v>34.7912405042598</v>
      </c>
      <c r="AE29" s="74">
        <f t="shared" si="11"/>
        <v>28.1529594957402</v>
      </c>
    </row>
    <row r="30" customFormat="1" spans="1:31">
      <c r="A30" s="18"/>
      <c r="B30" s="19"/>
      <c r="C30" s="20">
        <v>240626000036</v>
      </c>
      <c r="D30" s="21">
        <v>45477</v>
      </c>
      <c r="E30" s="21" t="s">
        <v>44</v>
      </c>
      <c r="F30" s="19" t="s">
        <v>45</v>
      </c>
      <c r="G30" s="19" t="s">
        <v>80</v>
      </c>
      <c r="H30" s="19">
        <v>4</v>
      </c>
      <c r="I30" s="41">
        <v>267</v>
      </c>
      <c r="J30" s="42"/>
      <c r="K30" s="43"/>
      <c r="L30" s="19"/>
      <c r="M30" s="43"/>
      <c r="N30" s="44"/>
      <c r="O30" s="45">
        <f t="shared" si="20"/>
        <v>267</v>
      </c>
      <c r="P30" s="51"/>
      <c r="Q30" s="51"/>
      <c r="R30" s="74">
        <f t="shared" si="15"/>
        <v>193.636220472441</v>
      </c>
      <c r="S30" s="74"/>
      <c r="T30" s="75">
        <f t="shared" si="16"/>
        <v>0.470846456692913</v>
      </c>
      <c r="U30" s="74"/>
      <c r="V30" s="74"/>
      <c r="W30" s="76">
        <f t="shared" si="12"/>
        <v>194.107066929134</v>
      </c>
      <c r="X30" s="77">
        <f t="shared" si="17"/>
        <v>2.36580708661417</v>
      </c>
      <c r="Y30" s="77"/>
      <c r="Z30" s="77"/>
      <c r="AA30" s="77">
        <f t="shared" si="14"/>
        <v>2.36580708661417</v>
      </c>
      <c r="AB30" s="87">
        <v>7.26</v>
      </c>
      <c r="AC30" s="74">
        <f t="shared" si="13"/>
        <v>17.1757594488189</v>
      </c>
      <c r="AD30" s="74">
        <f t="shared" si="10"/>
        <v>211.282826377953</v>
      </c>
      <c r="AE30" s="74">
        <f t="shared" si="11"/>
        <v>55.717173622047</v>
      </c>
    </row>
    <row r="31" customFormat="1" spans="1:31">
      <c r="A31" s="18"/>
      <c r="B31" s="19"/>
      <c r="C31" s="20">
        <v>240626000042</v>
      </c>
      <c r="D31" s="21">
        <v>45477</v>
      </c>
      <c r="E31" s="21" t="s">
        <v>81</v>
      </c>
      <c r="F31" s="19" t="s">
        <v>82</v>
      </c>
      <c r="G31" s="19" t="s">
        <v>83</v>
      </c>
      <c r="H31" s="19">
        <v>9.5</v>
      </c>
      <c r="I31" s="41">
        <v>602.25</v>
      </c>
      <c r="J31" s="42"/>
      <c r="K31" s="43"/>
      <c r="L31" s="19"/>
      <c r="M31" s="43"/>
      <c r="N31" s="44"/>
      <c r="O31" s="45">
        <f t="shared" si="20"/>
        <v>602.25</v>
      </c>
      <c r="P31" s="51"/>
      <c r="Q31" s="51"/>
      <c r="R31" s="74">
        <f t="shared" si="15"/>
        <v>459.886023622047</v>
      </c>
      <c r="S31" s="74"/>
      <c r="T31" s="75">
        <f t="shared" si="16"/>
        <v>1.11826033464567</v>
      </c>
      <c r="U31" s="74"/>
      <c r="V31" s="74"/>
      <c r="W31" s="76">
        <f t="shared" si="12"/>
        <v>461.004283956693</v>
      </c>
      <c r="X31" s="77">
        <f t="shared" si="17"/>
        <v>5.61879183070866</v>
      </c>
      <c r="Y31" s="77"/>
      <c r="Z31" s="77"/>
      <c r="AA31" s="77">
        <f t="shared" si="14"/>
        <v>5.61879183070866</v>
      </c>
      <c r="AB31" s="87">
        <v>7.26</v>
      </c>
      <c r="AC31" s="74">
        <f t="shared" si="13"/>
        <v>40.7924286909449</v>
      </c>
      <c r="AD31" s="74">
        <f t="shared" si="10"/>
        <v>501.796712647638</v>
      </c>
      <c r="AE31" s="74">
        <f t="shared" si="11"/>
        <v>100.453287352362</v>
      </c>
    </row>
    <row r="32" customFormat="1" spans="1:31">
      <c r="A32" s="18"/>
      <c r="B32" s="19"/>
      <c r="C32" s="20">
        <v>240627000001</v>
      </c>
      <c r="D32" s="21">
        <v>45477</v>
      </c>
      <c r="E32" s="21" t="s">
        <v>81</v>
      </c>
      <c r="F32" s="19" t="s">
        <v>84</v>
      </c>
      <c r="G32" s="19" t="s">
        <v>85</v>
      </c>
      <c r="H32" s="19">
        <v>0.32</v>
      </c>
      <c r="I32" s="41">
        <v>69</v>
      </c>
      <c r="J32" s="42"/>
      <c r="K32" s="43"/>
      <c r="L32" s="19"/>
      <c r="M32" s="43"/>
      <c r="N32" s="44"/>
      <c r="O32" s="45">
        <f t="shared" si="20"/>
        <v>69</v>
      </c>
      <c r="P32" s="51"/>
      <c r="Q32" s="51"/>
      <c r="R32" s="74">
        <f t="shared" si="15"/>
        <v>15.4908976377953</v>
      </c>
      <c r="S32" s="74"/>
      <c r="T32" s="75">
        <f t="shared" si="16"/>
        <v>0.0376677165354331</v>
      </c>
      <c r="U32" s="74"/>
      <c r="V32" s="74"/>
      <c r="W32" s="76">
        <f t="shared" si="12"/>
        <v>15.5285653543307</v>
      </c>
      <c r="X32" s="77">
        <f t="shared" si="17"/>
        <v>0.189264566929134</v>
      </c>
      <c r="Y32" s="77"/>
      <c r="Z32" s="77"/>
      <c r="AA32" s="77">
        <f t="shared" si="14"/>
        <v>0.189264566929134</v>
      </c>
      <c r="AB32" s="87">
        <v>7.26</v>
      </c>
      <c r="AC32" s="74">
        <f t="shared" si="13"/>
        <v>1.37406075590551</v>
      </c>
      <c r="AD32" s="74">
        <f t="shared" si="10"/>
        <v>16.9026261102362</v>
      </c>
      <c r="AE32" s="74">
        <f t="shared" si="11"/>
        <v>52.0973738897638</v>
      </c>
    </row>
    <row r="33" customFormat="1" spans="1:31">
      <c r="A33" s="18"/>
      <c r="B33" s="19"/>
      <c r="C33" s="20">
        <v>240627000006</v>
      </c>
      <c r="D33" s="21">
        <v>45477</v>
      </c>
      <c r="E33" s="21" t="s">
        <v>58</v>
      </c>
      <c r="F33" s="19" t="s">
        <v>59</v>
      </c>
      <c r="G33" s="19" t="s">
        <v>76</v>
      </c>
      <c r="H33" s="19">
        <v>0.52</v>
      </c>
      <c r="I33" s="45"/>
      <c r="J33" s="48">
        <v>14062.4</v>
      </c>
      <c r="K33" s="43"/>
      <c r="L33" s="49">
        <f t="shared" ref="L33:L37" si="21">SUM(J33/M33)</f>
        <v>1598</v>
      </c>
      <c r="M33" s="50">
        <v>8.8</v>
      </c>
      <c r="N33" s="44">
        <v>7.26</v>
      </c>
      <c r="O33" s="45">
        <f t="shared" ref="O33:O37" si="22">SUM(M33*N33)</f>
        <v>63.888</v>
      </c>
      <c r="P33" s="51"/>
      <c r="Q33" s="51"/>
      <c r="R33" s="74">
        <f t="shared" si="15"/>
        <v>25.1727086614173</v>
      </c>
      <c r="S33" s="74"/>
      <c r="T33" s="75">
        <f t="shared" si="16"/>
        <v>0.0612100393700787</v>
      </c>
      <c r="U33" s="74"/>
      <c r="V33" s="74"/>
      <c r="W33" s="76">
        <f t="shared" si="12"/>
        <v>25.2339187007874</v>
      </c>
      <c r="X33" s="77">
        <f t="shared" si="17"/>
        <v>0.307554921259843</v>
      </c>
      <c r="Y33" s="77"/>
      <c r="Z33" s="77"/>
      <c r="AA33" s="77">
        <f t="shared" si="14"/>
        <v>0.307554921259843</v>
      </c>
      <c r="AB33" s="87">
        <v>7.26</v>
      </c>
      <c r="AC33" s="74">
        <f t="shared" si="13"/>
        <v>2.23284872834646</v>
      </c>
      <c r="AD33" s="74">
        <f t="shared" si="10"/>
        <v>27.4667674291339</v>
      </c>
      <c r="AE33" s="74">
        <f t="shared" si="11"/>
        <v>36.4212325708661</v>
      </c>
    </row>
    <row r="34" customFormat="1" spans="1:31">
      <c r="A34" s="18"/>
      <c r="B34" s="19"/>
      <c r="C34" s="20">
        <v>240627000008</v>
      </c>
      <c r="D34" s="21">
        <v>45477</v>
      </c>
      <c r="E34" s="21" t="s">
        <v>40</v>
      </c>
      <c r="F34" s="19" t="s">
        <v>41</v>
      </c>
      <c r="G34" s="19" t="s">
        <v>86</v>
      </c>
      <c r="H34" s="19">
        <v>0.62</v>
      </c>
      <c r="I34" s="41">
        <v>55</v>
      </c>
      <c r="J34" s="42"/>
      <c r="K34" s="43"/>
      <c r="L34" s="19"/>
      <c r="M34" s="43"/>
      <c r="N34" s="44"/>
      <c r="O34" s="45">
        <f t="shared" ref="O34:O42" si="23">SUM(I34)</f>
        <v>55</v>
      </c>
      <c r="P34" s="51"/>
      <c r="Q34" s="51"/>
      <c r="R34" s="74">
        <f t="shared" si="15"/>
        <v>30.0136141732283</v>
      </c>
      <c r="S34" s="74"/>
      <c r="T34" s="75">
        <f t="shared" si="16"/>
        <v>0.0729812007874016</v>
      </c>
      <c r="U34" s="74"/>
      <c r="V34" s="74"/>
      <c r="W34" s="76">
        <f t="shared" si="12"/>
        <v>30.0865953740157</v>
      </c>
      <c r="X34" s="77">
        <f t="shared" si="17"/>
        <v>0.366700098425197</v>
      </c>
      <c r="Y34" s="77"/>
      <c r="Z34" s="77"/>
      <c r="AA34" s="77">
        <f t="shared" si="14"/>
        <v>0.366700098425197</v>
      </c>
      <c r="AB34" s="87">
        <v>7.26</v>
      </c>
      <c r="AC34" s="74">
        <f t="shared" si="13"/>
        <v>2.66224271456693</v>
      </c>
      <c r="AD34" s="74">
        <f t="shared" si="10"/>
        <v>32.7488380885827</v>
      </c>
      <c r="AE34" s="74">
        <f t="shared" si="11"/>
        <v>22.2511619114173</v>
      </c>
    </row>
    <row r="35" customFormat="1" spans="1:31">
      <c r="A35" s="18"/>
      <c r="B35" s="19"/>
      <c r="C35" s="20">
        <v>240627000011</v>
      </c>
      <c r="D35" s="21">
        <v>45477</v>
      </c>
      <c r="E35" s="21" t="s">
        <v>40</v>
      </c>
      <c r="F35" s="19" t="s">
        <v>41</v>
      </c>
      <c r="G35" s="19" t="s">
        <v>87</v>
      </c>
      <c r="H35" s="19">
        <v>15.5</v>
      </c>
      <c r="I35" s="47"/>
      <c r="J35" s="48">
        <v>211110</v>
      </c>
      <c r="K35" s="43"/>
      <c r="L35" s="49">
        <f t="shared" si="21"/>
        <v>1643.51887894122</v>
      </c>
      <c r="M35" s="50">
        <v>128.45</v>
      </c>
      <c r="N35" s="44">
        <v>7.26</v>
      </c>
      <c r="O35" s="45">
        <f t="shared" si="22"/>
        <v>932.547</v>
      </c>
      <c r="P35" s="51"/>
      <c r="Q35" s="51"/>
      <c r="R35" s="74">
        <f t="shared" si="15"/>
        <v>750.340354330709</v>
      </c>
      <c r="S35" s="74"/>
      <c r="T35" s="75">
        <f t="shared" si="16"/>
        <v>1.82453001968504</v>
      </c>
      <c r="U35" s="74"/>
      <c r="V35" s="74"/>
      <c r="W35" s="76">
        <f t="shared" si="12"/>
        <v>752.164884350394</v>
      </c>
      <c r="X35" s="77">
        <f t="shared" si="17"/>
        <v>9.16750246062992</v>
      </c>
      <c r="Y35" s="77"/>
      <c r="Z35" s="77"/>
      <c r="AA35" s="77">
        <f t="shared" si="14"/>
        <v>9.16750246062992</v>
      </c>
      <c r="AB35" s="87">
        <v>7.26</v>
      </c>
      <c r="AC35" s="74">
        <f t="shared" si="13"/>
        <v>66.5560678641732</v>
      </c>
      <c r="AD35" s="74">
        <f t="shared" si="10"/>
        <v>818.720952214567</v>
      </c>
      <c r="AE35" s="74">
        <f t="shared" si="11"/>
        <v>113.826047785433</v>
      </c>
    </row>
    <row r="36" customFormat="1" spans="1:31">
      <c r="A36" s="18"/>
      <c r="B36" s="19"/>
      <c r="C36" s="20">
        <v>240627000013</v>
      </c>
      <c r="D36" s="21">
        <v>45477</v>
      </c>
      <c r="E36" s="21" t="s">
        <v>40</v>
      </c>
      <c r="F36" s="19" t="s">
        <v>41</v>
      </c>
      <c r="G36" s="19" t="s">
        <v>88</v>
      </c>
      <c r="H36" s="19">
        <v>10</v>
      </c>
      <c r="I36" s="41">
        <v>576</v>
      </c>
      <c r="J36" s="42"/>
      <c r="K36" s="43"/>
      <c r="L36" s="19"/>
      <c r="M36" s="43"/>
      <c r="N36" s="44"/>
      <c r="O36" s="45">
        <f t="shared" si="23"/>
        <v>576</v>
      </c>
      <c r="P36" s="51"/>
      <c r="Q36" s="51"/>
      <c r="R36" s="74">
        <f t="shared" si="15"/>
        <v>484.090551181102</v>
      </c>
      <c r="S36" s="74"/>
      <c r="T36" s="75">
        <f t="shared" si="16"/>
        <v>1.17711614173228</v>
      </c>
      <c r="U36" s="74"/>
      <c r="V36" s="74"/>
      <c r="W36" s="76">
        <f t="shared" si="12"/>
        <v>485.267667322835</v>
      </c>
      <c r="X36" s="77">
        <f t="shared" si="17"/>
        <v>5.91451771653543</v>
      </c>
      <c r="Y36" s="77"/>
      <c r="Z36" s="77"/>
      <c r="AA36" s="77">
        <f t="shared" si="14"/>
        <v>5.91451771653543</v>
      </c>
      <c r="AB36" s="87">
        <v>7.26</v>
      </c>
      <c r="AC36" s="74">
        <f t="shared" si="13"/>
        <v>42.9393986220472</v>
      </c>
      <c r="AD36" s="74">
        <f t="shared" si="10"/>
        <v>528.207065944882</v>
      </c>
      <c r="AE36" s="74">
        <f t="shared" si="11"/>
        <v>47.7929340551181</v>
      </c>
    </row>
    <row r="37" customFormat="1" spans="1:31">
      <c r="A37" s="18"/>
      <c r="B37" s="19"/>
      <c r="C37" s="20">
        <v>240627000014</v>
      </c>
      <c r="D37" s="21">
        <v>45477</v>
      </c>
      <c r="E37" s="21" t="s">
        <v>40</v>
      </c>
      <c r="F37" s="19" t="s">
        <v>41</v>
      </c>
      <c r="G37" s="19" t="s">
        <v>89</v>
      </c>
      <c r="H37" s="19">
        <v>0.62</v>
      </c>
      <c r="I37" s="47"/>
      <c r="J37" s="48">
        <v>15525</v>
      </c>
      <c r="K37" s="43"/>
      <c r="L37" s="49">
        <f t="shared" si="21"/>
        <v>1634.21052631579</v>
      </c>
      <c r="M37" s="50">
        <v>9.5</v>
      </c>
      <c r="N37" s="44">
        <v>7.26</v>
      </c>
      <c r="O37" s="45">
        <f t="shared" si="22"/>
        <v>68.97</v>
      </c>
      <c r="P37" s="51"/>
      <c r="Q37" s="51"/>
      <c r="R37" s="74">
        <f t="shared" si="15"/>
        <v>30.0136141732283</v>
      </c>
      <c r="S37" s="74"/>
      <c r="T37" s="75">
        <f t="shared" si="16"/>
        <v>0.0729812007874016</v>
      </c>
      <c r="U37" s="74"/>
      <c r="V37" s="74"/>
      <c r="W37" s="76">
        <f t="shared" si="12"/>
        <v>30.0865953740157</v>
      </c>
      <c r="X37" s="77">
        <f t="shared" si="17"/>
        <v>0.366700098425197</v>
      </c>
      <c r="Y37" s="77"/>
      <c r="Z37" s="77"/>
      <c r="AA37" s="77">
        <f t="shared" si="14"/>
        <v>0.366700098425197</v>
      </c>
      <c r="AB37" s="87">
        <v>7.26</v>
      </c>
      <c r="AC37" s="74">
        <f t="shared" si="13"/>
        <v>2.66224271456693</v>
      </c>
      <c r="AD37" s="74">
        <f t="shared" si="10"/>
        <v>32.7488380885827</v>
      </c>
      <c r="AE37" s="74">
        <f t="shared" si="11"/>
        <v>36.2211619114173</v>
      </c>
    </row>
    <row r="38" customFormat="1" spans="1:31">
      <c r="A38" s="18"/>
      <c r="B38" s="19"/>
      <c r="C38" s="20">
        <v>240627000015</v>
      </c>
      <c r="D38" s="21">
        <v>45477</v>
      </c>
      <c r="E38" s="21" t="s">
        <v>44</v>
      </c>
      <c r="F38" s="19" t="s">
        <v>45</v>
      </c>
      <c r="G38" s="19" t="s">
        <v>90</v>
      </c>
      <c r="H38" s="19">
        <v>0.2</v>
      </c>
      <c r="I38" s="41">
        <v>63</v>
      </c>
      <c r="J38" s="42"/>
      <c r="K38" s="43"/>
      <c r="L38" s="19"/>
      <c r="M38" s="43"/>
      <c r="N38" s="44"/>
      <c r="O38" s="45">
        <f t="shared" si="23"/>
        <v>63</v>
      </c>
      <c r="P38" s="51"/>
      <c r="Q38" s="51"/>
      <c r="R38" s="74">
        <f t="shared" si="15"/>
        <v>9.68181102362205</v>
      </c>
      <c r="S38" s="74"/>
      <c r="T38" s="75">
        <f t="shared" si="16"/>
        <v>0.0235423228346457</v>
      </c>
      <c r="U38" s="74"/>
      <c r="V38" s="74"/>
      <c r="W38" s="76">
        <f t="shared" si="12"/>
        <v>9.70535334645669</v>
      </c>
      <c r="X38" s="77">
        <f t="shared" si="17"/>
        <v>0.118290354330709</v>
      </c>
      <c r="Y38" s="77"/>
      <c r="Z38" s="77"/>
      <c r="AA38" s="77">
        <f t="shared" si="14"/>
        <v>0.118290354330709</v>
      </c>
      <c r="AB38" s="87">
        <v>7.26</v>
      </c>
      <c r="AC38" s="74">
        <f t="shared" si="13"/>
        <v>0.858787972440945</v>
      </c>
      <c r="AD38" s="74">
        <f t="shared" si="10"/>
        <v>10.5641413188976</v>
      </c>
      <c r="AE38" s="74">
        <f t="shared" si="11"/>
        <v>52.4358586811024</v>
      </c>
    </row>
    <row r="39" customFormat="1" spans="1:31">
      <c r="A39" s="18"/>
      <c r="B39" s="19"/>
      <c r="C39" s="20">
        <v>240627000016</v>
      </c>
      <c r="D39" s="21">
        <v>45477</v>
      </c>
      <c r="E39" s="21" t="s">
        <v>40</v>
      </c>
      <c r="F39" s="19" t="s">
        <v>41</v>
      </c>
      <c r="G39" s="19" t="s">
        <v>91</v>
      </c>
      <c r="H39" s="19">
        <v>64</v>
      </c>
      <c r="I39" s="47"/>
      <c r="J39" s="48">
        <v>862400</v>
      </c>
      <c r="K39" s="43"/>
      <c r="L39" s="49">
        <f>SUM(J39/M39)</f>
        <v>1778.73112779474</v>
      </c>
      <c r="M39" s="50">
        <v>484.84</v>
      </c>
      <c r="N39" s="44">
        <v>7.26</v>
      </c>
      <c r="O39" s="45">
        <f>SUM(M39*N39)</f>
        <v>3519.9384</v>
      </c>
      <c r="P39" s="51"/>
      <c r="Q39" s="51"/>
      <c r="R39" s="74">
        <f t="shared" si="15"/>
        <v>3098.17952755905</v>
      </c>
      <c r="S39" s="74"/>
      <c r="T39" s="75">
        <f t="shared" si="16"/>
        <v>7.53354330708661</v>
      </c>
      <c r="U39" s="74"/>
      <c r="V39" s="74"/>
      <c r="W39" s="76">
        <f t="shared" si="12"/>
        <v>3105.71307086614</v>
      </c>
      <c r="X39" s="77">
        <f t="shared" si="17"/>
        <v>37.8529133858268</v>
      </c>
      <c r="Y39" s="77"/>
      <c r="Z39" s="77"/>
      <c r="AA39" s="77">
        <f t="shared" si="14"/>
        <v>37.8529133858268</v>
      </c>
      <c r="AB39" s="87">
        <v>7.26</v>
      </c>
      <c r="AC39" s="74">
        <f t="shared" si="13"/>
        <v>274.812151181102</v>
      </c>
      <c r="AD39" s="74">
        <f t="shared" si="10"/>
        <v>3380.52522204724</v>
      </c>
      <c r="AE39" s="74">
        <f t="shared" si="11"/>
        <v>139.41317795276</v>
      </c>
    </row>
    <row r="40" customFormat="1" spans="1:31">
      <c r="A40" s="18"/>
      <c r="B40" s="19"/>
      <c r="C40" s="20">
        <v>240627000020</v>
      </c>
      <c r="D40" s="21">
        <v>45477</v>
      </c>
      <c r="E40" s="21" t="s">
        <v>44</v>
      </c>
      <c r="F40" s="19" t="s">
        <v>45</v>
      </c>
      <c r="G40" s="19" t="s">
        <v>92</v>
      </c>
      <c r="H40" s="19">
        <v>1.5</v>
      </c>
      <c r="I40" s="41">
        <v>82.5</v>
      </c>
      <c r="J40" s="42"/>
      <c r="K40" s="43"/>
      <c r="L40" s="19"/>
      <c r="M40" s="43"/>
      <c r="N40" s="44"/>
      <c r="O40" s="45">
        <f t="shared" si="23"/>
        <v>82.5</v>
      </c>
      <c r="P40" s="51"/>
      <c r="Q40" s="51"/>
      <c r="R40" s="74">
        <f t="shared" si="15"/>
        <v>72.6135826771653</v>
      </c>
      <c r="S40" s="74"/>
      <c r="T40" s="75">
        <f t="shared" si="16"/>
        <v>0.176567421259843</v>
      </c>
      <c r="U40" s="74"/>
      <c r="V40" s="74"/>
      <c r="W40" s="76">
        <f t="shared" si="12"/>
        <v>72.7901500984252</v>
      </c>
      <c r="X40" s="77">
        <f t="shared" si="17"/>
        <v>0.887177657480315</v>
      </c>
      <c r="Y40" s="77"/>
      <c r="Z40" s="77"/>
      <c r="AA40" s="77">
        <f t="shared" si="14"/>
        <v>0.887177657480315</v>
      </c>
      <c r="AB40" s="87">
        <v>7.26</v>
      </c>
      <c r="AC40" s="74">
        <f t="shared" si="13"/>
        <v>6.44090979330709</v>
      </c>
      <c r="AD40" s="74">
        <f t="shared" si="10"/>
        <v>79.2310598917323</v>
      </c>
      <c r="AE40" s="74">
        <f t="shared" si="11"/>
        <v>3.2689401082677</v>
      </c>
    </row>
    <row r="41" customFormat="1" spans="1:31">
      <c r="A41" s="18"/>
      <c r="B41" s="19"/>
      <c r="C41" s="22">
        <v>240627000021</v>
      </c>
      <c r="D41" s="23">
        <v>45477</v>
      </c>
      <c r="E41" s="21" t="s">
        <v>44</v>
      </c>
      <c r="F41" s="24" t="s">
        <v>45</v>
      </c>
      <c r="G41" s="24" t="s">
        <v>92</v>
      </c>
      <c r="H41" s="24">
        <v>3.5</v>
      </c>
      <c r="I41" s="41">
        <v>192.5</v>
      </c>
      <c r="J41" s="42"/>
      <c r="K41" s="43"/>
      <c r="L41" s="19"/>
      <c r="M41" s="43"/>
      <c r="N41" s="44"/>
      <c r="O41" s="45">
        <f t="shared" si="23"/>
        <v>192.5</v>
      </c>
      <c r="P41" s="51"/>
      <c r="Q41" s="51"/>
      <c r="R41" s="74">
        <f t="shared" si="15"/>
        <v>169.431692913386</v>
      </c>
      <c r="S41" s="74"/>
      <c r="T41" s="75">
        <f t="shared" si="16"/>
        <v>0.411990649606299</v>
      </c>
      <c r="U41" s="74"/>
      <c r="V41" s="74"/>
      <c r="W41" s="76">
        <f t="shared" si="12"/>
        <v>169.843683562992</v>
      </c>
      <c r="X41" s="77">
        <f t="shared" si="17"/>
        <v>2.0700812007874</v>
      </c>
      <c r="Y41" s="77"/>
      <c r="Z41" s="77"/>
      <c r="AA41" s="77">
        <f t="shared" si="14"/>
        <v>2.0700812007874</v>
      </c>
      <c r="AB41" s="87">
        <v>7.26</v>
      </c>
      <c r="AC41" s="74">
        <f t="shared" si="13"/>
        <v>15.0287895177165</v>
      </c>
      <c r="AD41" s="74">
        <f t="shared" si="10"/>
        <v>184.872473080709</v>
      </c>
      <c r="AE41" s="74">
        <f t="shared" si="11"/>
        <v>7.627526919291</v>
      </c>
    </row>
    <row r="42" customFormat="1" spans="1:31">
      <c r="A42" s="18"/>
      <c r="B42" s="19"/>
      <c r="C42" s="20">
        <v>240627000025</v>
      </c>
      <c r="D42" s="21">
        <v>45477</v>
      </c>
      <c r="E42" s="21" t="s">
        <v>40</v>
      </c>
      <c r="F42" s="19" t="s">
        <v>41</v>
      </c>
      <c r="G42" s="19" t="s">
        <v>93</v>
      </c>
      <c r="H42" s="19">
        <v>1.5</v>
      </c>
      <c r="I42" s="41">
        <v>117.5</v>
      </c>
      <c r="J42" s="42"/>
      <c r="K42" s="43"/>
      <c r="L42" s="19"/>
      <c r="M42" s="43"/>
      <c r="N42" s="44"/>
      <c r="O42" s="45">
        <f t="shared" si="23"/>
        <v>117.5</v>
      </c>
      <c r="P42" s="51"/>
      <c r="Q42" s="51"/>
      <c r="R42" s="74">
        <f t="shared" si="15"/>
        <v>72.6135826771653</v>
      </c>
      <c r="S42" s="74"/>
      <c r="T42" s="75">
        <f t="shared" si="16"/>
        <v>0.176567421259843</v>
      </c>
      <c r="U42" s="74"/>
      <c r="V42" s="74"/>
      <c r="W42" s="76">
        <f t="shared" si="12"/>
        <v>72.7901500984252</v>
      </c>
      <c r="X42" s="77">
        <f t="shared" si="17"/>
        <v>0.887177657480315</v>
      </c>
      <c r="Y42" s="77">
        <v>4.82</v>
      </c>
      <c r="Z42" s="77"/>
      <c r="AA42" s="77">
        <f t="shared" si="14"/>
        <v>5.70717765748032</v>
      </c>
      <c r="AB42" s="87">
        <v>7.26</v>
      </c>
      <c r="AC42" s="74">
        <f t="shared" si="13"/>
        <v>41.4341097933071</v>
      </c>
      <c r="AD42" s="74">
        <f t="shared" si="10"/>
        <v>114.224259891732</v>
      </c>
      <c r="AE42" s="74">
        <f t="shared" si="11"/>
        <v>3.275740108268</v>
      </c>
    </row>
    <row r="43" customFormat="1" spans="1:31">
      <c r="A43" s="18"/>
      <c r="B43" s="19"/>
      <c r="C43" s="20">
        <v>240628000001</v>
      </c>
      <c r="D43" s="21">
        <v>45477</v>
      </c>
      <c r="E43" s="21" t="s">
        <v>40</v>
      </c>
      <c r="F43" s="19" t="s">
        <v>41</v>
      </c>
      <c r="G43" s="19" t="s">
        <v>94</v>
      </c>
      <c r="H43" s="19">
        <v>4</v>
      </c>
      <c r="I43" s="47"/>
      <c r="J43" s="48">
        <v>52731</v>
      </c>
      <c r="K43" s="43"/>
      <c r="L43" s="49">
        <f t="shared" ref="L43:L47" si="24">SUM(J43/M43)</f>
        <v>1575.47057066029</v>
      </c>
      <c r="M43" s="50">
        <v>33.47</v>
      </c>
      <c r="N43" s="44">
        <v>7.26</v>
      </c>
      <c r="O43" s="45">
        <f t="shared" ref="O43:O47" si="25">SUM(M43*N43)</f>
        <v>242.9922</v>
      </c>
      <c r="P43" s="51"/>
      <c r="Q43" s="51"/>
      <c r="R43" s="74">
        <f t="shared" si="15"/>
        <v>193.636220472441</v>
      </c>
      <c r="S43" s="74"/>
      <c r="T43" s="75">
        <f t="shared" si="16"/>
        <v>0.470846456692913</v>
      </c>
      <c r="U43" s="74"/>
      <c r="V43" s="74"/>
      <c r="W43" s="76">
        <f t="shared" si="12"/>
        <v>194.107066929134</v>
      </c>
      <c r="X43" s="77">
        <f t="shared" si="17"/>
        <v>2.36580708661417</v>
      </c>
      <c r="Y43" s="77"/>
      <c r="Z43" s="77"/>
      <c r="AA43" s="77">
        <f t="shared" si="14"/>
        <v>2.36580708661417</v>
      </c>
      <c r="AB43" s="87">
        <v>7.26</v>
      </c>
      <c r="AC43" s="74">
        <f t="shared" si="13"/>
        <v>17.1757594488189</v>
      </c>
      <c r="AD43" s="74">
        <f t="shared" si="10"/>
        <v>211.282826377953</v>
      </c>
      <c r="AE43" s="74">
        <f t="shared" si="11"/>
        <v>31.709373622047</v>
      </c>
    </row>
    <row r="44" customFormat="1" spans="1:31">
      <c r="A44" s="18"/>
      <c r="B44" s="19"/>
      <c r="C44" s="20">
        <v>240628000004</v>
      </c>
      <c r="D44" s="21">
        <v>45477</v>
      </c>
      <c r="E44" s="21" t="s">
        <v>40</v>
      </c>
      <c r="F44" s="19" t="s">
        <v>41</v>
      </c>
      <c r="G44" s="19" t="s">
        <v>95</v>
      </c>
      <c r="H44" s="19">
        <v>14</v>
      </c>
      <c r="I44" s="41">
        <v>787.5</v>
      </c>
      <c r="J44" s="42"/>
      <c r="K44" s="43"/>
      <c r="L44" s="19"/>
      <c r="M44" s="43"/>
      <c r="N44" s="44"/>
      <c r="O44" s="45">
        <f t="shared" ref="O44:O48" si="26">SUM(I44)</f>
        <v>787.5</v>
      </c>
      <c r="P44" s="51"/>
      <c r="Q44" s="51"/>
      <c r="R44" s="74">
        <f t="shared" si="15"/>
        <v>677.726771653543</v>
      </c>
      <c r="S44" s="74"/>
      <c r="T44" s="75">
        <f t="shared" si="16"/>
        <v>1.6479625984252</v>
      </c>
      <c r="U44" s="74"/>
      <c r="V44" s="74"/>
      <c r="W44" s="76">
        <f t="shared" si="12"/>
        <v>679.374734251968</v>
      </c>
      <c r="X44" s="77">
        <f t="shared" si="17"/>
        <v>8.28032480314961</v>
      </c>
      <c r="Y44" s="77"/>
      <c r="Z44" s="77"/>
      <c r="AA44" s="77">
        <f t="shared" si="14"/>
        <v>8.28032480314961</v>
      </c>
      <c r="AB44" s="87">
        <v>7.26</v>
      </c>
      <c r="AC44" s="74">
        <f t="shared" si="13"/>
        <v>60.1151580708661</v>
      </c>
      <c r="AD44" s="74">
        <f t="shared" si="10"/>
        <v>739.489892322835</v>
      </c>
      <c r="AE44" s="74">
        <f t="shared" si="11"/>
        <v>48.010107677165</v>
      </c>
    </row>
    <row r="45" customFormat="1" spans="1:31">
      <c r="A45" s="18"/>
      <c r="B45" s="19"/>
      <c r="C45" s="20">
        <v>240628000008</v>
      </c>
      <c r="D45" s="21">
        <v>45477</v>
      </c>
      <c r="E45" s="21" t="s">
        <v>47</v>
      </c>
      <c r="F45" s="19" t="s">
        <v>48</v>
      </c>
      <c r="G45" s="19" t="s">
        <v>96</v>
      </c>
      <c r="H45" s="19">
        <v>10</v>
      </c>
      <c r="I45" s="41">
        <v>576</v>
      </c>
      <c r="J45" s="42"/>
      <c r="K45" s="43"/>
      <c r="L45" s="19"/>
      <c r="M45" s="43"/>
      <c r="N45" s="44"/>
      <c r="O45" s="45">
        <f t="shared" si="26"/>
        <v>576</v>
      </c>
      <c r="P45" s="51"/>
      <c r="Q45" s="51"/>
      <c r="R45" s="74">
        <f t="shared" si="15"/>
        <v>484.090551181102</v>
      </c>
      <c r="S45" s="74"/>
      <c r="T45" s="75">
        <f t="shared" si="16"/>
        <v>1.17711614173228</v>
      </c>
      <c r="U45" s="74"/>
      <c r="V45" s="74"/>
      <c r="W45" s="76">
        <f t="shared" si="12"/>
        <v>485.267667322835</v>
      </c>
      <c r="X45" s="77">
        <f t="shared" si="17"/>
        <v>5.91451771653543</v>
      </c>
      <c r="Y45" s="77"/>
      <c r="Z45" s="77"/>
      <c r="AA45" s="77">
        <f t="shared" si="14"/>
        <v>5.91451771653543</v>
      </c>
      <c r="AB45" s="87">
        <v>7.26</v>
      </c>
      <c r="AC45" s="74">
        <f t="shared" si="13"/>
        <v>42.9393986220472</v>
      </c>
      <c r="AD45" s="74">
        <f t="shared" si="10"/>
        <v>528.207065944882</v>
      </c>
      <c r="AE45" s="74">
        <f t="shared" si="11"/>
        <v>47.7929340551181</v>
      </c>
    </row>
    <row r="46" customFormat="1" spans="1:31">
      <c r="A46" s="18"/>
      <c r="B46" s="19"/>
      <c r="C46" s="20">
        <v>240628000009</v>
      </c>
      <c r="D46" s="21">
        <v>45477</v>
      </c>
      <c r="E46" s="21" t="s">
        <v>58</v>
      </c>
      <c r="F46" s="19" t="s">
        <v>59</v>
      </c>
      <c r="G46" s="19" t="s">
        <v>97</v>
      </c>
      <c r="H46" s="19">
        <v>5</v>
      </c>
      <c r="I46" s="45"/>
      <c r="J46" s="48">
        <v>79900</v>
      </c>
      <c r="K46" s="43"/>
      <c r="L46" s="49">
        <f t="shared" si="24"/>
        <v>1902.38095238095</v>
      </c>
      <c r="M46" s="50">
        <v>42</v>
      </c>
      <c r="N46" s="44">
        <v>7.26</v>
      </c>
      <c r="O46" s="45">
        <f t="shared" si="25"/>
        <v>304.92</v>
      </c>
      <c r="P46" s="51"/>
      <c r="Q46" s="51"/>
      <c r="R46" s="74">
        <f t="shared" si="15"/>
        <v>242.045275590551</v>
      </c>
      <c r="S46" s="74"/>
      <c r="T46" s="75">
        <f t="shared" si="16"/>
        <v>0.588558070866142</v>
      </c>
      <c r="U46" s="74"/>
      <c r="V46" s="74"/>
      <c r="W46" s="76">
        <f t="shared" si="12"/>
        <v>242.633833661417</v>
      </c>
      <c r="X46" s="77">
        <f t="shared" si="17"/>
        <v>2.95725885826772</v>
      </c>
      <c r="Y46" s="77"/>
      <c r="Z46" s="77"/>
      <c r="AA46" s="77">
        <f t="shared" si="14"/>
        <v>2.95725885826772</v>
      </c>
      <c r="AB46" s="87">
        <v>7.26</v>
      </c>
      <c r="AC46" s="74">
        <f t="shared" si="13"/>
        <v>21.4696993110236</v>
      </c>
      <c r="AD46" s="74">
        <f t="shared" si="10"/>
        <v>264.103532972441</v>
      </c>
      <c r="AE46" s="74">
        <f t="shared" si="11"/>
        <v>40.816467027559</v>
      </c>
    </row>
    <row r="47" customFormat="1" spans="1:31">
      <c r="A47" s="18"/>
      <c r="B47" s="19"/>
      <c r="C47" s="20">
        <v>240628000010</v>
      </c>
      <c r="D47" s="21">
        <v>45477</v>
      </c>
      <c r="E47" s="21" t="s">
        <v>58</v>
      </c>
      <c r="F47" s="19" t="s">
        <v>59</v>
      </c>
      <c r="G47" s="19" t="s">
        <v>98</v>
      </c>
      <c r="H47" s="19">
        <v>5</v>
      </c>
      <c r="I47" s="47"/>
      <c r="J47" s="48">
        <v>75591</v>
      </c>
      <c r="K47" s="43"/>
      <c r="L47" s="49">
        <f t="shared" si="24"/>
        <v>1648.29917139119</v>
      </c>
      <c r="M47" s="50">
        <v>45.86</v>
      </c>
      <c r="N47" s="44">
        <v>7.26</v>
      </c>
      <c r="O47" s="45">
        <f t="shared" si="25"/>
        <v>332.9436</v>
      </c>
      <c r="P47" s="51"/>
      <c r="Q47" s="51"/>
      <c r="R47" s="74">
        <f t="shared" si="15"/>
        <v>242.045275590551</v>
      </c>
      <c r="S47" s="74"/>
      <c r="T47" s="75">
        <f t="shared" si="16"/>
        <v>0.588558070866142</v>
      </c>
      <c r="U47" s="74"/>
      <c r="V47" s="74"/>
      <c r="W47" s="76">
        <f t="shared" si="12"/>
        <v>242.633833661417</v>
      </c>
      <c r="X47" s="77">
        <f t="shared" si="17"/>
        <v>2.95725885826772</v>
      </c>
      <c r="Y47" s="77"/>
      <c r="Z47" s="77"/>
      <c r="AA47" s="77">
        <f t="shared" si="14"/>
        <v>2.95725885826772</v>
      </c>
      <c r="AB47" s="87">
        <v>7.26</v>
      </c>
      <c r="AC47" s="74">
        <f t="shared" si="13"/>
        <v>21.4696993110236</v>
      </c>
      <c r="AD47" s="74">
        <f t="shared" si="10"/>
        <v>264.103532972441</v>
      </c>
      <c r="AE47" s="74">
        <f t="shared" si="11"/>
        <v>68.840067027559</v>
      </c>
    </row>
    <row r="48" customFormat="1" spans="1:31">
      <c r="A48" s="18"/>
      <c r="B48" s="19"/>
      <c r="C48" s="20">
        <v>240628000013</v>
      </c>
      <c r="D48" s="21">
        <v>45477</v>
      </c>
      <c r="E48" s="21" t="s">
        <v>58</v>
      </c>
      <c r="F48" s="19" t="s">
        <v>59</v>
      </c>
      <c r="G48" s="19" t="s">
        <v>99</v>
      </c>
      <c r="H48" s="19">
        <v>27</v>
      </c>
      <c r="I48" s="41">
        <v>1785</v>
      </c>
      <c r="J48" s="42"/>
      <c r="K48" s="43"/>
      <c r="L48" s="19"/>
      <c r="M48" s="43"/>
      <c r="N48" s="44"/>
      <c r="O48" s="45">
        <f t="shared" si="26"/>
        <v>1785</v>
      </c>
      <c r="P48" s="51"/>
      <c r="Q48" s="51"/>
      <c r="R48" s="74">
        <f t="shared" si="15"/>
        <v>1307.04448818898</v>
      </c>
      <c r="S48" s="74"/>
      <c r="T48" s="75">
        <f t="shared" si="16"/>
        <v>3.17821358267716</v>
      </c>
      <c r="U48" s="74"/>
      <c r="V48" s="74"/>
      <c r="W48" s="76">
        <f t="shared" si="12"/>
        <v>1310.22270177165</v>
      </c>
      <c r="X48" s="77">
        <f t="shared" si="17"/>
        <v>15.9691978346457</v>
      </c>
      <c r="Y48" s="77">
        <v>41.32</v>
      </c>
      <c r="Z48" s="77"/>
      <c r="AA48" s="77">
        <f t="shared" si="14"/>
        <v>57.2891978346457</v>
      </c>
      <c r="AB48" s="87">
        <v>7.26</v>
      </c>
      <c r="AC48" s="74">
        <f t="shared" si="13"/>
        <v>415.919576279528</v>
      </c>
      <c r="AD48" s="74">
        <f t="shared" si="10"/>
        <v>1726.14227805118</v>
      </c>
      <c r="AE48" s="74">
        <f t="shared" si="11"/>
        <v>58.85772194882</v>
      </c>
    </row>
    <row r="49" customFormat="1" spans="1:31">
      <c r="A49" s="18"/>
      <c r="B49" s="19"/>
      <c r="C49" s="20">
        <v>240628000014</v>
      </c>
      <c r="D49" s="21">
        <v>45477</v>
      </c>
      <c r="E49" s="21" t="s">
        <v>40</v>
      </c>
      <c r="F49" s="19" t="s">
        <v>41</v>
      </c>
      <c r="G49" s="19" t="s">
        <v>100</v>
      </c>
      <c r="H49" s="19">
        <v>11</v>
      </c>
      <c r="I49" s="47"/>
      <c r="J49" s="48">
        <v>148500</v>
      </c>
      <c r="K49" s="43"/>
      <c r="L49" s="49">
        <f>SUM(J49/M49)</f>
        <v>1633.66336633663</v>
      </c>
      <c r="M49" s="50">
        <v>90.9</v>
      </c>
      <c r="N49" s="44">
        <v>7.26</v>
      </c>
      <c r="O49" s="45">
        <f>SUM(M49*N49)</f>
        <v>659.934</v>
      </c>
      <c r="P49" s="51"/>
      <c r="Q49" s="51"/>
      <c r="R49" s="74">
        <f t="shared" si="15"/>
        <v>532.499606299213</v>
      </c>
      <c r="S49" s="74"/>
      <c r="T49" s="75">
        <f t="shared" si="16"/>
        <v>1.29482775590551</v>
      </c>
      <c r="U49" s="74"/>
      <c r="V49" s="74"/>
      <c r="W49" s="76">
        <f t="shared" si="12"/>
        <v>533.794434055118</v>
      </c>
      <c r="X49" s="77">
        <f t="shared" si="17"/>
        <v>6.50596948818898</v>
      </c>
      <c r="Y49" s="77"/>
      <c r="Z49" s="77"/>
      <c r="AA49" s="77">
        <f t="shared" si="14"/>
        <v>6.50596948818898</v>
      </c>
      <c r="AB49" s="87">
        <v>7.26</v>
      </c>
      <c r="AC49" s="74">
        <f t="shared" si="13"/>
        <v>47.233338484252</v>
      </c>
      <c r="AD49" s="74">
        <f t="shared" si="10"/>
        <v>581.02777253937</v>
      </c>
      <c r="AE49" s="74">
        <f t="shared" si="11"/>
        <v>78.90622746063</v>
      </c>
    </row>
    <row r="50" customFormat="1" spans="1:31">
      <c r="A50" s="18"/>
      <c r="B50" s="19"/>
      <c r="C50" s="20">
        <v>240628000015</v>
      </c>
      <c r="D50" s="21">
        <v>45477</v>
      </c>
      <c r="E50" s="21" t="s">
        <v>44</v>
      </c>
      <c r="F50" s="19" t="s">
        <v>45</v>
      </c>
      <c r="G50" s="19" t="s">
        <v>92</v>
      </c>
      <c r="H50" s="19">
        <v>119</v>
      </c>
      <c r="I50" s="41">
        <v>6895</v>
      </c>
      <c r="J50" s="42"/>
      <c r="K50" s="43"/>
      <c r="L50" s="19"/>
      <c r="M50" s="43"/>
      <c r="N50" s="44"/>
      <c r="O50" s="45">
        <f t="shared" ref="O50:O54" si="27">SUM(I50)</f>
        <v>6895</v>
      </c>
      <c r="P50" s="51"/>
      <c r="Q50" s="51"/>
      <c r="R50" s="74">
        <f t="shared" si="15"/>
        <v>5760.67755905512</v>
      </c>
      <c r="S50" s="74"/>
      <c r="T50" s="75">
        <f t="shared" si="16"/>
        <v>14.0076820866142</v>
      </c>
      <c r="U50" s="74"/>
      <c r="V50" s="74"/>
      <c r="W50" s="76">
        <f t="shared" si="12"/>
        <v>5774.68524114173</v>
      </c>
      <c r="X50" s="77">
        <f t="shared" si="17"/>
        <v>70.3827608267716</v>
      </c>
      <c r="Y50" s="77"/>
      <c r="Z50" s="77"/>
      <c r="AA50" s="77">
        <f t="shared" si="14"/>
        <v>70.3827608267716</v>
      </c>
      <c r="AB50" s="87">
        <v>7.26</v>
      </c>
      <c r="AC50" s="74">
        <f t="shared" si="13"/>
        <v>510.978843602362</v>
      </c>
      <c r="AD50" s="74">
        <f t="shared" ref="AD50:AD80" si="28">SUM(W50+AC50)</f>
        <v>6285.66408474409</v>
      </c>
      <c r="AE50" s="74">
        <f t="shared" ref="AE50:AE80" si="29">SUM(O50-AD50)</f>
        <v>609.335915255906</v>
      </c>
    </row>
    <row r="51" customFormat="1" spans="1:31">
      <c r="A51" s="18"/>
      <c r="B51" s="19"/>
      <c r="C51" s="20">
        <v>240628000018</v>
      </c>
      <c r="D51" s="21">
        <v>45477</v>
      </c>
      <c r="E51" s="21" t="s">
        <v>47</v>
      </c>
      <c r="F51" s="19" t="s">
        <v>101</v>
      </c>
      <c r="G51" s="19" t="s">
        <v>102</v>
      </c>
      <c r="H51" s="19">
        <v>14</v>
      </c>
      <c r="I51" s="45"/>
      <c r="J51" s="48">
        <v>178177</v>
      </c>
      <c r="K51" s="43"/>
      <c r="L51" s="49">
        <f>SUM(J51/M51)</f>
        <v>1598</v>
      </c>
      <c r="M51" s="50">
        <v>111.5</v>
      </c>
      <c r="N51" s="44">
        <v>7.26</v>
      </c>
      <c r="O51" s="45">
        <f>SUM(M51*N51)</f>
        <v>809.49</v>
      </c>
      <c r="P51" s="51"/>
      <c r="Q51" s="51"/>
      <c r="R51" s="74">
        <f t="shared" si="15"/>
        <v>677.726771653543</v>
      </c>
      <c r="S51" s="74"/>
      <c r="T51" s="75">
        <f t="shared" si="16"/>
        <v>1.6479625984252</v>
      </c>
      <c r="U51" s="74"/>
      <c r="V51" s="74"/>
      <c r="W51" s="76">
        <f t="shared" ref="W51:W80" si="30">SUM(R51:V51)</f>
        <v>679.374734251968</v>
      </c>
      <c r="X51" s="77">
        <f t="shared" si="17"/>
        <v>8.28032480314961</v>
      </c>
      <c r="Y51" s="77"/>
      <c r="Z51" s="77"/>
      <c r="AA51" s="77">
        <f t="shared" si="14"/>
        <v>8.28032480314961</v>
      </c>
      <c r="AB51" s="87">
        <v>7.26</v>
      </c>
      <c r="AC51" s="74">
        <f t="shared" ref="AC51:AC80" si="31">SUM(AA51*AB51)</f>
        <v>60.1151580708661</v>
      </c>
      <c r="AD51" s="74">
        <f t="shared" si="28"/>
        <v>739.489892322835</v>
      </c>
      <c r="AE51" s="74">
        <f t="shared" si="29"/>
        <v>70.0001076771654</v>
      </c>
    </row>
    <row r="52" customFormat="1" spans="1:31">
      <c r="A52" s="18"/>
      <c r="B52" s="19"/>
      <c r="C52" s="20">
        <v>240628000021</v>
      </c>
      <c r="D52" s="21">
        <v>45477</v>
      </c>
      <c r="E52" s="21" t="s">
        <v>44</v>
      </c>
      <c r="F52" s="19" t="s">
        <v>45</v>
      </c>
      <c r="G52" s="19" t="s">
        <v>103</v>
      </c>
      <c r="H52" s="19">
        <v>150</v>
      </c>
      <c r="I52" s="41">
        <v>9180</v>
      </c>
      <c r="J52" s="42"/>
      <c r="K52" s="43"/>
      <c r="L52" s="19"/>
      <c r="M52" s="43"/>
      <c r="N52" s="44"/>
      <c r="O52" s="45">
        <f t="shared" si="27"/>
        <v>9180</v>
      </c>
      <c r="P52" s="51"/>
      <c r="Q52" s="51"/>
      <c r="R52" s="74">
        <f t="shared" si="15"/>
        <v>7261.35826771654</v>
      </c>
      <c r="S52" s="74"/>
      <c r="T52" s="75">
        <f t="shared" si="16"/>
        <v>17.6567421259843</v>
      </c>
      <c r="U52" s="74">
        <v>130</v>
      </c>
      <c r="V52" s="74"/>
      <c r="W52" s="76">
        <f t="shared" si="30"/>
        <v>7409.01500984252</v>
      </c>
      <c r="X52" s="77">
        <f t="shared" si="17"/>
        <v>88.7177657480315</v>
      </c>
      <c r="Y52" s="77"/>
      <c r="Z52" s="77"/>
      <c r="AA52" s="77">
        <f t="shared" ref="AA52:AA80" si="32">SUM(X52:Z52)</f>
        <v>88.7177657480315</v>
      </c>
      <c r="AB52" s="87">
        <v>7.26</v>
      </c>
      <c r="AC52" s="74">
        <f t="shared" si="31"/>
        <v>644.090979330709</v>
      </c>
      <c r="AD52" s="74">
        <f t="shared" si="28"/>
        <v>8053.10598917323</v>
      </c>
      <c r="AE52" s="74">
        <f t="shared" si="29"/>
        <v>1126.89401082677</v>
      </c>
    </row>
    <row r="53" customFormat="1" spans="1:31">
      <c r="A53" s="18"/>
      <c r="B53" s="19"/>
      <c r="C53" s="20">
        <v>240628000022</v>
      </c>
      <c r="D53" s="21">
        <v>45477</v>
      </c>
      <c r="E53" s="21" t="s">
        <v>37</v>
      </c>
      <c r="F53" s="19" t="s">
        <v>37</v>
      </c>
      <c r="G53" s="19" t="s">
        <v>104</v>
      </c>
      <c r="H53" s="19">
        <v>6</v>
      </c>
      <c r="I53" s="41">
        <v>433</v>
      </c>
      <c r="J53" s="42"/>
      <c r="K53" s="43"/>
      <c r="L53" s="19"/>
      <c r="M53" s="43"/>
      <c r="N53" s="44"/>
      <c r="O53" s="45">
        <f t="shared" si="27"/>
        <v>433</v>
      </c>
      <c r="P53" s="51"/>
      <c r="Q53" s="51"/>
      <c r="R53" s="74">
        <f t="shared" ref="R53:R80" si="33">SUM(98367.2/2032)*H53</f>
        <v>290.454330708661</v>
      </c>
      <c r="S53" s="74"/>
      <c r="T53" s="75">
        <f t="shared" ref="T53:T80" si="34">SUM(239.19/2032)*H53</f>
        <v>0.70626968503937</v>
      </c>
      <c r="U53" s="74"/>
      <c r="V53" s="74"/>
      <c r="W53" s="76">
        <f t="shared" si="30"/>
        <v>291.160600393701</v>
      </c>
      <c r="X53" s="77">
        <f t="shared" ref="X53:X80" si="35">SUM(1201.83/2032)*H53</f>
        <v>3.54871062992126</v>
      </c>
      <c r="Y53" s="77"/>
      <c r="Z53" s="77"/>
      <c r="AA53" s="77">
        <f t="shared" si="32"/>
        <v>3.54871062992126</v>
      </c>
      <c r="AB53" s="87">
        <v>7.26</v>
      </c>
      <c r="AC53" s="74">
        <f t="shared" si="31"/>
        <v>25.7636391732283</v>
      </c>
      <c r="AD53" s="74">
        <f t="shared" si="28"/>
        <v>316.924239566929</v>
      </c>
      <c r="AE53" s="74">
        <f t="shared" si="29"/>
        <v>116.075760433071</v>
      </c>
    </row>
    <row r="54" customFormat="1" spans="1:31">
      <c r="A54" s="18"/>
      <c r="B54" s="19"/>
      <c r="C54" s="20">
        <v>240628000024</v>
      </c>
      <c r="D54" s="21">
        <v>45477</v>
      </c>
      <c r="E54" s="21" t="s">
        <v>44</v>
      </c>
      <c r="F54" s="19" t="s">
        <v>45</v>
      </c>
      <c r="G54" s="19" t="s">
        <v>105</v>
      </c>
      <c r="H54" s="19">
        <v>15.5</v>
      </c>
      <c r="I54" s="41">
        <v>1383.5</v>
      </c>
      <c r="J54" s="42"/>
      <c r="K54" s="43"/>
      <c r="L54" s="19"/>
      <c r="M54" s="43"/>
      <c r="N54" s="44"/>
      <c r="O54" s="45">
        <f t="shared" si="27"/>
        <v>1383.5</v>
      </c>
      <c r="P54" s="51"/>
      <c r="Q54" s="51"/>
      <c r="R54" s="74">
        <f t="shared" si="33"/>
        <v>750.340354330709</v>
      </c>
      <c r="S54" s="74"/>
      <c r="T54" s="75">
        <f t="shared" si="34"/>
        <v>1.82453001968504</v>
      </c>
      <c r="U54" s="74"/>
      <c r="V54" s="74"/>
      <c r="W54" s="76">
        <f t="shared" si="30"/>
        <v>752.164884350394</v>
      </c>
      <c r="X54" s="77">
        <f t="shared" si="35"/>
        <v>9.16750246062992</v>
      </c>
      <c r="Y54" s="77"/>
      <c r="Z54" s="77"/>
      <c r="AA54" s="77">
        <f t="shared" si="32"/>
        <v>9.16750246062992</v>
      </c>
      <c r="AB54" s="87">
        <v>7.26</v>
      </c>
      <c r="AC54" s="74">
        <f t="shared" si="31"/>
        <v>66.5560678641732</v>
      </c>
      <c r="AD54" s="74">
        <f t="shared" si="28"/>
        <v>818.720952214567</v>
      </c>
      <c r="AE54" s="74">
        <f t="shared" si="29"/>
        <v>564.779047785433</v>
      </c>
    </row>
    <row r="55" customFormat="1" spans="1:31">
      <c r="A55" s="18"/>
      <c r="B55" s="19"/>
      <c r="C55" s="20">
        <v>240628000025</v>
      </c>
      <c r="D55" s="21">
        <v>45477</v>
      </c>
      <c r="E55" s="21" t="s">
        <v>44</v>
      </c>
      <c r="F55" s="19" t="s">
        <v>45</v>
      </c>
      <c r="G55" s="19" t="s">
        <v>106</v>
      </c>
      <c r="H55" s="19">
        <v>587.5</v>
      </c>
      <c r="I55" s="47"/>
      <c r="J55" s="48">
        <v>6857500</v>
      </c>
      <c r="K55" s="43"/>
      <c r="L55" s="49">
        <f t="shared" ref="L55:L58" si="36">SUM(J55/M55)</f>
        <v>1452.00188871409</v>
      </c>
      <c r="M55" s="50">
        <v>4722.79</v>
      </c>
      <c r="N55" s="44">
        <v>7.26</v>
      </c>
      <c r="O55" s="45">
        <f t="shared" ref="O55:O58" si="37">SUM(M55*N55)</f>
        <v>34287.4554</v>
      </c>
      <c r="P55" s="51"/>
      <c r="Q55" s="51"/>
      <c r="R55" s="74">
        <f t="shared" si="33"/>
        <v>28440.3198818898</v>
      </c>
      <c r="S55" s="74"/>
      <c r="T55" s="75">
        <f t="shared" si="34"/>
        <v>69.1555733267716</v>
      </c>
      <c r="U55" s="75">
        <v>300</v>
      </c>
      <c r="V55" s="75">
        <v>90</v>
      </c>
      <c r="W55" s="76">
        <f t="shared" si="30"/>
        <v>28899.4754552165</v>
      </c>
      <c r="X55" s="77">
        <f t="shared" si="35"/>
        <v>347.477915846457</v>
      </c>
      <c r="Y55" s="77"/>
      <c r="Z55" s="77"/>
      <c r="AA55" s="77">
        <f t="shared" si="32"/>
        <v>347.477915846457</v>
      </c>
      <c r="AB55" s="87">
        <v>7.26</v>
      </c>
      <c r="AC55" s="74">
        <f t="shared" si="31"/>
        <v>2522.68966904528</v>
      </c>
      <c r="AD55" s="74">
        <f t="shared" si="28"/>
        <v>31422.1651242618</v>
      </c>
      <c r="AE55" s="74">
        <f t="shared" si="29"/>
        <v>2865.29027573819</v>
      </c>
    </row>
    <row r="56" customFormat="1" spans="1:31">
      <c r="A56" s="18"/>
      <c r="B56" s="19"/>
      <c r="C56" s="20">
        <v>240628000029</v>
      </c>
      <c r="D56" s="21">
        <v>45477</v>
      </c>
      <c r="E56" s="21" t="s">
        <v>47</v>
      </c>
      <c r="F56" s="19" t="s">
        <v>48</v>
      </c>
      <c r="G56" s="19" t="s">
        <v>107</v>
      </c>
      <c r="H56" s="19">
        <v>0.62</v>
      </c>
      <c r="I56" s="41">
        <v>69</v>
      </c>
      <c r="J56" s="42"/>
      <c r="K56" s="43"/>
      <c r="L56" s="19"/>
      <c r="M56" s="43"/>
      <c r="N56" s="44"/>
      <c r="O56" s="45">
        <f t="shared" ref="O56:O61" si="38">SUM(I56)</f>
        <v>69</v>
      </c>
      <c r="P56" s="51"/>
      <c r="Q56" s="51"/>
      <c r="R56" s="74">
        <f t="shared" si="33"/>
        <v>30.0136141732283</v>
      </c>
      <c r="S56" s="74"/>
      <c r="T56" s="75">
        <f t="shared" si="34"/>
        <v>0.0729812007874016</v>
      </c>
      <c r="U56" s="74"/>
      <c r="V56" s="74"/>
      <c r="W56" s="76">
        <f t="shared" si="30"/>
        <v>30.0865953740157</v>
      </c>
      <c r="X56" s="77">
        <f t="shared" si="35"/>
        <v>0.366700098425197</v>
      </c>
      <c r="Y56" s="77"/>
      <c r="Z56" s="77"/>
      <c r="AA56" s="77">
        <f t="shared" si="32"/>
        <v>0.366700098425197</v>
      </c>
      <c r="AB56" s="87">
        <v>7.26</v>
      </c>
      <c r="AC56" s="74">
        <f t="shared" si="31"/>
        <v>2.66224271456693</v>
      </c>
      <c r="AD56" s="74">
        <f t="shared" si="28"/>
        <v>32.7488380885827</v>
      </c>
      <c r="AE56" s="74">
        <f t="shared" si="29"/>
        <v>36.2511619114173</v>
      </c>
    </row>
    <row r="57" customFormat="1" spans="1:31">
      <c r="A57" s="18"/>
      <c r="B57" s="19"/>
      <c r="C57" s="20">
        <v>240628000030</v>
      </c>
      <c r="D57" s="21">
        <v>45477</v>
      </c>
      <c r="E57" s="21" t="s">
        <v>40</v>
      </c>
      <c r="F57" s="19" t="s">
        <v>41</v>
      </c>
      <c r="G57" s="19" t="s">
        <v>87</v>
      </c>
      <c r="H57" s="19">
        <v>23</v>
      </c>
      <c r="I57" s="47"/>
      <c r="J57" s="48">
        <v>313260</v>
      </c>
      <c r="K57" s="43"/>
      <c r="L57" s="49">
        <f t="shared" si="36"/>
        <v>1648.04292929293</v>
      </c>
      <c r="M57" s="50">
        <v>190.08</v>
      </c>
      <c r="N57" s="44">
        <v>7.26</v>
      </c>
      <c r="O57" s="45">
        <f t="shared" si="37"/>
        <v>1379.9808</v>
      </c>
      <c r="P57" s="51"/>
      <c r="Q57" s="51"/>
      <c r="R57" s="74">
        <f t="shared" si="33"/>
        <v>1113.40826771654</v>
      </c>
      <c r="S57" s="74"/>
      <c r="T57" s="75">
        <f t="shared" si="34"/>
        <v>2.70736712598425</v>
      </c>
      <c r="U57" s="74"/>
      <c r="V57" s="74"/>
      <c r="W57" s="76">
        <f t="shared" si="30"/>
        <v>1116.11563484252</v>
      </c>
      <c r="X57" s="77">
        <f t="shared" si="35"/>
        <v>13.6033907480315</v>
      </c>
      <c r="Y57" s="77"/>
      <c r="Z57" s="77"/>
      <c r="AA57" s="77">
        <f t="shared" si="32"/>
        <v>13.6033907480315</v>
      </c>
      <c r="AB57" s="87">
        <v>7.26</v>
      </c>
      <c r="AC57" s="74">
        <f t="shared" si="31"/>
        <v>98.7606168307086</v>
      </c>
      <c r="AD57" s="74">
        <f t="shared" si="28"/>
        <v>1214.87625167323</v>
      </c>
      <c r="AE57" s="74">
        <f t="shared" si="29"/>
        <v>165.104548326772</v>
      </c>
    </row>
    <row r="58" customFormat="1" spans="1:31">
      <c r="A58" s="18"/>
      <c r="B58" s="19"/>
      <c r="C58" s="20">
        <v>240628000032</v>
      </c>
      <c r="D58" s="21">
        <v>45477</v>
      </c>
      <c r="E58" s="21" t="s">
        <v>47</v>
      </c>
      <c r="F58" s="19">
        <v>13635229849</v>
      </c>
      <c r="G58" s="19" t="s">
        <v>108</v>
      </c>
      <c r="H58" s="19">
        <v>2</v>
      </c>
      <c r="I58" s="45"/>
      <c r="J58" s="48">
        <v>30042</v>
      </c>
      <c r="K58" s="43"/>
      <c r="L58" s="49">
        <f t="shared" si="36"/>
        <v>1597.97872340426</v>
      </c>
      <c r="M58" s="50">
        <v>18.8</v>
      </c>
      <c r="N58" s="44">
        <v>7.26</v>
      </c>
      <c r="O58" s="45">
        <f t="shared" si="37"/>
        <v>136.488</v>
      </c>
      <c r="P58" s="51"/>
      <c r="Q58" s="51"/>
      <c r="R58" s="74">
        <f t="shared" si="33"/>
        <v>96.8181102362205</v>
      </c>
      <c r="S58" s="74"/>
      <c r="T58" s="75">
        <f t="shared" si="34"/>
        <v>0.235423228346457</v>
      </c>
      <c r="U58" s="74"/>
      <c r="V58" s="74"/>
      <c r="W58" s="76">
        <f t="shared" si="30"/>
        <v>97.0535334645669</v>
      </c>
      <c r="X58" s="77">
        <f t="shared" si="35"/>
        <v>1.18290354330709</v>
      </c>
      <c r="Y58" s="77"/>
      <c r="Z58" s="77"/>
      <c r="AA58" s="77">
        <f t="shared" si="32"/>
        <v>1.18290354330709</v>
      </c>
      <c r="AB58" s="87">
        <v>7.26</v>
      </c>
      <c r="AC58" s="74">
        <f t="shared" si="31"/>
        <v>8.58787972440945</v>
      </c>
      <c r="AD58" s="74">
        <f t="shared" si="28"/>
        <v>105.641413188976</v>
      </c>
      <c r="AE58" s="74">
        <f t="shared" si="29"/>
        <v>30.8465868110236</v>
      </c>
    </row>
    <row r="59" customFormat="1" spans="1:31">
      <c r="A59" s="18"/>
      <c r="B59" s="19"/>
      <c r="C59" s="20">
        <v>240628000035</v>
      </c>
      <c r="D59" s="21">
        <v>45477</v>
      </c>
      <c r="E59" s="21" t="s">
        <v>47</v>
      </c>
      <c r="F59" s="19" t="s">
        <v>48</v>
      </c>
      <c r="G59" s="19" t="s">
        <v>96</v>
      </c>
      <c r="H59" s="19">
        <v>2</v>
      </c>
      <c r="I59" s="41">
        <v>123</v>
      </c>
      <c r="J59" s="42"/>
      <c r="K59" s="43"/>
      <c r="L59" s="19"/>
      <c r="M59" s="43"/>
      <c r="N59" s="44"/>
      <c r="O59" s="45">
        <f t="shared" si="38"/>
        <v>123</v>
      </c>
      <c r="P59" s="51"/>
      <c r="Q59" s="51"/>
      <c r="R59" s="74">
        <f t="shared" si="33"/>
        <v>96.8181102362205</v>
      </c>
      <c r="S59" s="74"/>
      <c r="T59" s="75">
        <f t="shared" si="34"/>
        <v>0.235423228346457</v>
      </c>
      <c r="U59" s="74"/>
      <c r="V59" s="74"/>
      <c r="W59" s="76">
        <f t="shared" si="30"/>
        <v>97.0535334645669</v>
      </c>
      <c r="X59" s="77">
        <f t="shared" si="35"/>
        <v>1.18290354330709</v>
      </c>
      <c r="Y59" s="77"/>
      <c r="Z59" s="77"/>
      <c r="AA59" s="77">
        <f t="shared" si="32"/>
        <v>1.18290354330709</v>
      </c>
      <c r="AB59" s="87">
        <v>7.26</v>
      </c>
      <c r="AC59" s="74">
        <f t="shared" si="31"/>
        <v>8.58787972440945</v>
      </c>
      <c r="AD59" s="74">
        <f t="shared" si="28"/>
        <v>105.641413188976</v>
      </c>
      <c r="AE59" s="74">
        <f t="shared" si="29"/>
        <v>17.3585868110236</v>
      </c>
    </row>
    <row r="60" customFormat="1" spans="1:31">
      <c r="A60" s="18"/>
      <c r="B60" s="19"/>
      <c r="C60" s="20">
        <v>240628000037</v>
      </c>
      <c r="D60" s="21">
        <v>45477</v>
      </c>
      <c r="E60" s="21" t="s">
        <v>58</v>
      </c>
      <c r="F60" s="19" t="s">
        <v>59</v>
      </c>
      <c r="G60" s="19" t="s">
        <v>109</v>
      </c>
      <c r="H60" s="19">
        <v>0.38</v>
      </c>
      <c r="I60" s="47"/>
      <c r="J60" s="48">
        <v>14301</v>
      </c>
      <c r="K60" s="43"/>
      <c r="L60" s="49">
        <f t="shared" ref="L60:L65" si="39">SUM(J60/M60)</f>
        <v>1649.48096885813</v>
      </c>
      <c r="M60" s="50">
        <v>8.67</v>
      </c>
      <c r="N60" s="44">
        <v>7.26</v>
      </c>
      <c r="O60" s="45">
        <f t="shared" ref="O60:O65" si="40">SUM(M60*N60)</f>
        <v>62.9442</v>
      </c>
      <c r="P60" s="51"/>
      <c r="Q60" s="51"/>
      <c r="R60" s="74">
        <f t="shared" si="33"/>
        <v>18.3954409448819</v>
      </c>
      <c r="S60" s="74"/>
      <c r="T60" s="75">
        <f t="shared" si="34"/>
        <v>0.0447304133858268</v>
      </c>
      <c r="U60" s="74"/>
      <c r="V60" s="74"/>
      <c r="W60" s="76">
        <f t="shared" si="30"/>
        <v>18.4401713582677</v>
      </c>
      <c r="X60" s="77">
        <f t="shared" si="35"/>
        <v>0.224751673228346</v>
      </c>
      <c r="Y60" s="77"/>
      <c r="Z60" s="77"/>
      <c r="AA60" s="77">
        <f t="shared" si="32"/>
        <v>0.224751673228346</v>
      </c>
      <c r="AB60" s="87">
        <v>7.26</v>
      </c>
      <c r="AC60" s="74">
        <f t="shared" si="31"/>
        <v>1.6316971476378</v>
      </c>
      <c r="AD60" s="74">
        <f t="shared" si="28"/>
        <v>20.0718685059055</v>
      </c>
      <c r="AE60" s="74">
        <f t="shared" si="29"/>
        <v>42.8723314940945</v>
      </c>
    </row>
    <row r="61" customFormat="1" spans="1:31">
      <c r="A61" s="18"/>
      <c r="B61" s="19"/>
      <c r="C61" s="20">
        <v>240628000038</v>
      </c>
      <c r="D61" s="21">
        <v>45477</v>
      </c>
      <c r="E61" s="21" t="s">
        <v>58</v>
      </c>
      <c r="F61" s="19" t="s">
        <v>59</v>
      </c>
      <c r="G61" s="19" t="s">
        <v>110</v>
      </c>
      <c r="H61" s="19">
        <v>19.5</v>
      </c>
      <c r="I61" s="41">
        <v>1156</v>
      </c>
      <c r="J61" s="42"/>
      <c r="K61" s="43"/>
      <c r="L61" s="19"/>
      <c r="M61" s="43"/>
      <c r="N61" s="44"/>
      <c r="O61" s="45">
        <f t="shared" si="38"/>
        <v>1156</v>
      </c>
      <c r="P61" s="51"/>
      <c r="Q61" s="51"/>
      <c r="R61" s="74">
        <f t="shared" si="33"/>
        <v>943.97657480315</v>
      </c>
      <c r="S61" s="74"/>
      <c r="T61" s="75">
        <f t="shared" si="34"/>
        <v>2.29537647637795</v>
      </c>
      <c r="U61" s="74"/>
      <c r="V61" s="74"/>
      <c r="W61" s="76">
        <f t="shared" si="30"/>
        <v>946.271951279527</v>
      </c>
      <c r="X61" s="77">
        <f t="shared" si="35"/>
        <v>11.5333095472441</v>
      </c>
      <c r="Y61" s="77"/>
      <c r="Z61" s="77"/>
      <c r="AA61" s="77">
        <f t="shared" si="32"/>
        <v>11.5333095472441</v>
      </c>
      <c r="AB61" s="87">
        <v>7.26</v>
      </c>
      <c r="AC61" s="74">
        <f t="shared" si="31"/>
        <v>83.7318273129921</v>
      </c>
      <c r="AD61" s="74">
        <f t="shared" si="28"/>
        <v>1030.00377859252</v>
      </c>
      <c r="AE61" s="74">
        <f t="shared" si="29"/>
        <v>125.99622140748</v>
      </c>
    </row>
    <row r="62" customFormat="1" spans="1:31">
      <c r="A62" s="18"/>
      <c r="B62" s="19"/>
      <c r="C62" s="20">
        <v>240629000001</v>
      </c>
      <c r="D62" s="21">
        <v>45477</v>
      </c>
      <c r="E62" s="21" t="s">
        <v>44</v>
      </c>
      <c r="F62" s="19" t="s">
        <v>45</v>
      </c>
      <c r="G62" s="19" t="s">
        <v>111</v>
      </c>
      <c r="H62" s="19">
        <v>23</v>
      </c>
      <c r="I62" s="47"/>
      <c r="J62" s="48">
        <v>306360</v>
      </c>
      <c r="K62" s="43"/>
      <c r="L62" s="49">
        <f t="shared" si="39"/>
        <v>1611.74242424242</v>
      </c>
      <c r="M62" s="50">
        <v>190.08</v>
      </c>
      <c r="N62" s="44">
        <v>7.26</v>
      </c>
      <c r="O62" s="45">
        <f t="shared" si="40"/>
        <v>1379.9808</v>
      </c>
      <c r="P62" s="51"/>
      <c r="Q62" s="51"/>
      <c r="R62" s="74">
        <f t="shared" si="33"/>
        <v>1113.40826771654</v>
      </c>
      <c r="S62" s="74"/>
      <c r="T62" s="75">
        <f t="shared" si="34"/>
        <v>2.70736712598425</v>
      </c>
      <c r="U62" s="74"/>
      <c r="V62" s="74"/>
      <c r="W62" s="76">
        <f t="shared" si="30"/>
        <v>1116.11563484252</v>
      </c>
      <c r="X62" s="77">
        <f t="shared" si="35"/>
        <v>13.6033907480315</v>
      </c>
      <c r="Y62" s="77"/>
      <c r="Z62" s="77"/>
      <c r="AA62" s="77">
        <f t="shared" si="32"/>
        <v>13.6033907480315</v>
      </c>
      <c r="AB62" s="87">
        <v>7.26</v>
      </c>
      <c r="AC62" s="74">
        <f t="shared" si="31"/>
        <v>98.7606168307086</v>
      </c>
      <c r="AD62" s="74">
        <f t="shared" si="28"/>
        <v>1214.87625167323</v>
      </c>
      <c r="AE62" s="74">
        <f t="shared" si="29"/>
        <v>165.104548326772</v>
      </c>
    </row>
    <row r="63" customFormat="1" spans="1:31">
      <c r="A63" s="18"/>
      <c r="B63" s="19"/>
      <c r="C63" s="22">
        <v>240629000002</v>
      </c>
      <c r="D63" s="23">
        <v>45477</v>
      </c>
      <c r="E63" s="21" t="s">
        <v>58</v>
      </c>
      <c r="F63" s="24" t="s">
        <v>59</v>
      </c>
      <c r="G63" s="24" t="s">
        <v>76</v>
      </c>
      <c r="H63" s="24">
        <v>23.5</v>
      </c>
      <c r="I63" s="47"/>
      <c r="J63" s="49">
        <v>287320</v>
      </c>
      <c r="K63" s="54"/>
      <c r="L63" s="49">
        <f t="shared" si="39"/>
        <v>1597.9977753059</v>
      </c>
      <c r="M63" s="55">
        <v>179.8</v>
      </c>
      <c r="N63" s="44">
        <v>7.26</v>
      </c>
      <c r="O63" s="45">
        <f t="shared" si="40"/>
        <v>1305.348</v>
      </c>
      <c r="P63" s="51"/>
      <c r="Q63" s="51"/>
      <c r="R63" s="74">
        <f t="shared" si="33"/>
        <v>1137.61279527559</v>
      </c>
      <c r="S63" s="74"/>
      <c r="T63" s="75">
        <f t="shared" si="34"/>
        <v>2.76622293307087</v>
      </c>
      <c r="U63" s="74"/>
      <c r="V63" s="74"/>
      <c r="W63" s="76">
        <f t="shared" si="30"/>
        <v>1140.37901820866</v>
      </c>
      <c r="X63" s="77">
        <f t="shared" si="35"/>
        <v>13.8991166338583</v>
      </c>
      <c r="Y63" s="77"/>
      <c r="Z63" s="77"/>
      <c r="AA63" s="77">
        <f t="shared" si="32"/>
        <v>13.8991166338583</v>
      </c>
      <c r="AB63" s="87">
        <v>7.26</v>
      </c>
      <c r="AC63" s="74">
        <f t="shared" si="31"/>
        <v>100.907586761811</v>
      </c>
      <c r="AD63" s="74">
        <f t="shared" si="28"/>
        <v>1241.28660497047</v>
      </c>
      <c r="AE63" s="74">
        <f t="shared" si="29"/>
        <v>64.0613950295276</v>
      </c>
    </row>
    <row r="64" customFormat="1" spans="1:31">
      <c r="A64" s="18"/>
      <c r="B64" s="19"/>
      <c r="C64" s="20">
        <v>240629000003</v>
      </c>
      <c r="D64" s="21">
        <v>45477</v>
      </c>
      <c r="E64" s="21" t="s">
        <v>58</v>
      </c>
      <c r="F64" s="19" t="s">
        <v>59</v>
      </c>
      <c r="G64" s="19" t="s">
        <v>76</v>
      </c>
      <c r="H64" s="19">
        <v>0.1</v>
      </c>
      <c r="I64" s="45"/>
      <c r="J64" s="48">
        <v>14062.4</v>
      </c>
      <c r="K64" s="43"/>
      <c r="L64" s="49">
        <f t="shared" si="39"/>
        <v>1598</v>
      </c>
      <c r="M64" s="50">
        <v>8.8</v>
      </c>
      <c r="N64" s="44">
        <v>7.26</v>
      </c>
      <c r="O64" s="45">
        <f t="shared" si="40"/>
        <v>63.888</v>
      </c>
      <c r="P64" s="51"/>
      <c r="Q64" s="51"/>
      <c r="R64" s="74">
        <f t="shared" si="33"/>
        <v>4.84090551181102</v>
      </c>
      <c r="S64" s="74"/>
      <c r="T64" s="75">
        <f t="shared" si="34"/>
        <v>0.0117711614173228</v>
      </c>
      <c r="U64" s="74"/>
      <c r="V64" s="74"/>
      <c r="W64" s="76">
        <f t="shared" si="30"/>
        <v>4.85267667322835</v>
      </c>
      <c r="X64" s="77">
        <f t="shared" si="35"/>
        <v>0.0591451771653543</v>
      </c>
      <c r="Y64" s="77"/>
      <c r="Z64" s="77"/>
      <c r="AA64" s="77">
        <f t="shared" si="32"/>
        <v>0.0591451771653543</v>
      </c>
      <c r="AB64" s="87">
        <v>7.26</v>
      </c>
      <c r="AC64" s="74">
        <f t="shared" si="31"/>
        <v>0.429393986220472</v>
      </c>
      <c r="AD64" s="74">
        <f t="shared" si="28"/>
        <v>5.28207065944882</v>
      </c>
      <c r="AE64" s="74">
        <f t="shared" si="29"/>
        <v>58.6059293405512</v>
      </c>
    </row>
    <row r="65" customFormat="1" spans="1:31">
      <c r="A65" s="18"/>
      <c r="B65" s="19"/>
      <c r="C65" s="20">
        <v>240629000004</v>
      </c>
      <c r="D65" s="21">
        <v>45477</v>
      </c>
      <c r="E65" s="21" t="s">
        <v>55</v>
      </c>
      <c r="F65" s="19" t="s">
        <v>56</v>
      </c>
      <c r="G65" s="19" t="s">
        <v>112</v>
      </c>
      <c r="H65" s="19">
        <v>64.5</v>
      </c>
      <c r="I65" s="47"/>
      <c r="J65" s="48">
        <v>909589</v>
      </c>
      <c r="K65" s="43"/>
      <c r="L65" s="49">
        <f t="shared" si="39"/>
        <v>1648.04500652268</v>
      </c>
      <c r="M65" s="50">
        <v>551.92</v>
      </c>
      <c r="N65" s="44">
        <v>7.26</v>
      </c>
      <c r="O65" s="45">
        <f t="shared" si="40"/>
        <v>4006.9392</v>
      </c>
      <c r="P65" s="51"/>
      <c r="Q65" s="51"/>
      <c r="R65" s="74">
        <f t="shared" si="33"/>
        <v>3122.38405511811</v>
      </c>
      <c r="S65" s="74"/>
      <c r="T65" s="75">
        <f t="shared" si="34"/>
        <v>7.59239911417323</v>
      </c>
      <c r="U65" s="74"/>
      <c r="V65" s="74"/>
      <c r="W65" s="76">
        <f t="shared" si="30"/>
        <v>3129.97645423228</v>
      </c>
      <c r="X65" s="77">
        <f t="shared" si="35"/>
        <v>38.1486392716535</v>
      </c>
      <c r="Y65" s="77"/>
      <c r="Z65" s="77"/>
      <c r="AA65" s="77">
        <f t="shared" si="32"/>
        <v>38.1486392716535</v>
      </c>
      <c r="AB65" s="87">
        <v>7.26</v>
      </c>
      <c r="AC65" s="74">
        <f t="shared" si="31"/>
        <v>276.959121112205</v>
      </c>
      <c r="AD65" s="74">
        <f t="shared" si="28"/>
        <v>3406.93557534449</v>
      </c>
      <c r="AE65" s="74">
        <f t="shared" si="29"/>
        <v>600.003624655512</v>
      </c>
    </row>
    <row r="66" customFormat="1" spans="1:31">
      <c r="A66" s="18"/>
      <c r="B66" s="19"/>
      <c r="C66" s="20">
        <v>240629000006</v>
      </c>
      <c r="D66" s="21">
        <v>45477</v>
      </c>
      <c r="E66" s="21" t="s">
        <v>37</v>
      </c>
      <c r="F66" s="19" t="s">
        <v>37</v>
      </c>
      <c r="G66" s="19" t="s">
        <v>113</v>
      </c>
      <c r="H66" s="19">
        <v>76.5</v>
      </c>
      <c r="I66" s="41">
        <v>4599</v>
      </c>
      <c r="J66" s="42"/>
      <c r="K66" s="43"/>
      <c r="L66" s="19"/>
      <c r="M66" s="43"/>
      <c r="N66" s="44"/>
      <c r="O66" s="45">
        <f t="shared" ref="O66:O68" si="41">SUM(I66)</f>
        <v>4599</v>
      </c>
      <c r="P66" s="51"/>
      <c r="Q66" s="51"/>
      <c r="R66" s="74">
        <f t="shared" si="33"/>
        <v>3703.29271653543</v>
      </c>
      <c r="S66" s="74"/>
      <c r="T66" s="75">
        <f t="shared" si="34"/>
        <v>9.00493848425197</v>
      </c>
      <c r="U66" s="74"/>
      <c r="V66" s="74"/>
      <c r="W66" s="76">
        <f t="shared" si="30"/>
        <v>3712.29765501968</v>
      </c>
      <c r="X66" s="77">
        <f t="shared" si="35"/>
        <v>45.2460605314961</v>
      </c>
      <c r="Y66" s="77"/>
      <c r="Z66" s="77"/>
      <c r="AA66" s="77">
        <f t="shared" si="32"/>
        <v>45.2460605314961</v>
      </c>
      <c r="AB66" s="87">
        <v>7.26</v>
      </c>
      <c r="AC66" s="74">
        <f t="shared" si="31"/>
        <v>328.486399458661</v>
      </c>
      <c r="AD66" s="74">
        <f t="shared" si="28"/>
        <v>4040.78405447835</v>
      </c>
      <c r="AE66" s="74">
        <f t="shared" si="29"/>
        <v>558.215945521654</v>
      </c>
    </row>
    <row r="67" customFormat="1" spans="1:31">
      <c r="A67" s="18"/>
      <c r="B67" s="19"/>
      <c r="C67" s="20">
        <v>240629000007</v>
      </c>
      <c r="D67" s="21">
        <v>45477</v>
      </c>
      <c r="E67" s="21" t="s">
        <v>37</v>
      </c>
      <c r="F67" s="19" t="s">
        <v>37</v>
      </c>
      <c r="G67" s="19" t="s">
        <v>63</v>
      </c>
      <c r="H67" s="19">
        <v>255.5</v>
      </c>
      <c r="I67" s="41">
        <v>16170</v>
      </c>
      <c r="J67" s="42"/>
      <c r="K67" s="43"/>
      <c r="L67" s="19"/>
      <c r="M67" s="43"/>
      <c r="N67" s="44"/>
      <c r="O67" s="45">
        <f t="shared" si="41"/>
        <v>16170</v>
      </c>
      <c r="P67" s="51"/>
      <c r="Q67" s="51"/>
      <c r="R67" s="74">
        <f t="shared" si="33"/>
        <v>12368.5135826772</v>
      </c>
      <c r="S67" s="74"/>
      <c r="T67" s="75">
        <f t="shared" si="34"/>
        <v>30.0753174212598</v>
      </c>
      <c r="U67" s="74"/>
      <c r="V67" s="75">
        <v>380</v>
      </c>
      <c r="W67" s="76">
        <f t="shared" si="30"/>
        <v>12778.5889000984</v>
      </c>
      <c r="X67" s="77">
        <f t="shared" si="35"/>
        <v>151.11592765748</v>
      </c>
      <c r="Y67" s="77"/>
      <c r="Z67" s="77"/>
      <c r="AA67" s="77">
        <f t="shared" si="32"/>
        <v>151.11592765748</v>
      </c>
      <c r="AB67" s="87">
        <v>7.26</v>
      </c>
      <c r="AC67" s="74">
        <f t="shared" si="31"/>
        <v>1097.10163479331</v>
      </c>
      <c r="AD67" s="74">
        <f t="shared" si="28"/>
        <v>13875.6905348917</v>
      </c>
      <c r="AE67" s="74">
        <f t="shared" si="29"/>
        <v>2294.30946510827</v>
      </c>
    </row>
    <row r="68" customFormat="1" spans="1:31">
      <c r="A68" s="18"/>
      <c r="B68" s="19"/>
      <c r="C68" s="20">
        <v>240630000003</v>
      </c>
      <c r="D68" s="21">
        <v>45477</v>
      </c>
      <c r="E68" s="21" t="s">
        <v>37</v>
      </c>
      <c r="F68" s="19" t="s">
        <v>37</v>
      </c>
      <c r="G68" s="19" t="s">
        <v>114</v>
      </c>
      <c r="H68" s="19">
        <v>2</v>
      </c>
      <c r="I68" s="41">
        <v>135</v>
      </c>
      <c r="J68" s="42"/>
      <c r="K68" s="43"/>
      <c r="L68" s="19"/>
      <c r="M68" s="43"/>
      <c r="N68" s="44"/>
      <c r="O68" s="45">
        <f t="shared" si="41"/>
        <v>135</v>
      </c>
      <c r="P68" s="51"/>
      <c r="Q68" s="51"/>
      <c r="R68" s="74">
        <f t="shared" si="33"/>
        <v>96.8181102362205</v>
      </c>
      <c r="S68" s="74"/>
      <c r="T68" s="75">
        <f t="shared" si="34"/>
        <v>0.235423228346457</v>
      </c>
      <c r="U68" s="74"/>
      <c r="V68" s="74"/>
      <c r="W68" s="76">
        <f t="shared" si="30"/>
        <v>97.0535334645669</v>
      </c>
      <c r="X68" s="77">
        <f t="shared" si="35"/>
        <v>1.18290354330709</v>
      </c>
      <c r="Y68" s="77"/>
      <c r="Z68" s="77"/>
      <c r="AA68" s="77">
        <f t="shared" si="32"/>
        <v>1.18290354330709</v>
      </c>
      <c r="AB68" s="87">
        <v>7.26</v>
      </c>
      <c r="AC68" s="74">
        <f t="shared" si="31"/>
        <v>8.58787972440945</v>
      </c>
      <c r="AD68" s="74">
        <f t="shared" si="28"/>
        <v>105.641413188976</v>
      </c>
      <c r="AE68" s="74">
        <f t="shared" si="29"/>
        <v>29.3585868110236</v>
      </c>
    </row>
    <row r="69" customFormat="1" spans="1:31">
      <c r="A69" s="18"/>
      <c r="B69" s="19"/>
      <c r="C69" s="20">
        <v>240630000005</v>
      </c>
      <c r="D69" s="21">
        <v>45477</v>
      </c>
      <c r="E69" s="21" t="s">
        <v>37</v>
      </c>
      <c r="F69" s="19" t="s">
        <v>53</v>
      </c>
      <c r="G69" s="19" t="s">
        <v>115</v>
      </c>
      <c r="H69" s="19">
        <v>55</v>
      </c>
      <c r="I69" s="45"/>
      <c r="J69" s="48">
        <v>732783</v>
      </c>
      <c r="K69" s="43"/>
      <c r="L69" s="49">
        <f t="shared" ref="L69:L72" si="42">SUM(J69/M69)</f>
        <v>1589.99934905722</v>
      </c>
      <c r="M69" s="50">
        <v>460.87</v>
      </c>
      <c r="N69" s="44">
        <v>7.26</v>
      </c>
      <c r="O69" s="45">
        <f t="shared" ref="O69:O72" si="43">SUM(M69*N69)</f>
        <v>3345.9162</v>
      </c>
      <c r="P69" s="51"/>
      <c r="Q69" s="51"/>
      <c r="R69" s="74">
        <f t="shared" si="33"/>
        <v>2662.49803149606</v>
      </c>
      <c r="S69" s="74"/>
      <c r="T69" s="75">
        <f t="shared" si="34"/>
        <v>6.47413877952756</v>
      </c>
      <c r="U69" s="75">
        <v>190</v>
      </c>
      <c r="V69" s="74"/>
      <c r="W69" s="76">
        <f t="shared" si="30"/>
        <v>2858.97217027559</v>
      </c>
      <c r="X69" s="77">
        <f t="shared" si="35"/>
        <v>32.5298474409449</v>
      </c>
      <c r="Y69" s="77"/>
      <c r="Z69" s="77"/>
      <c r="AA69" s="77">
        <f t="shared" si="32"/>
        <v>32.5298474409449</v>
      </c>
      <c r="AB69" s="87">
        <v>7.26</v>
      </c>
      <c r="AC69" s="74">
        <f t="shared" si="31"/>
        <v>236.16669242126</v>
      </c>
      <c r="AD69" s="74">
        <f t="shared" si="28"/>
        <v>3095.13886269685</v>
      </c>
      <c r="AE69" s="74">
        <f t="shared" si="29"/>
        <v>250.77733730315</v>
      </c>
    </row>
    <row r="70" customFormat="1" spans="1:31">
      <c r="A70" s="18"/>
      <c r="B70" s="19"/>
      <c r="C70" s="20">
        <v>240701000003</v>
      </c>
      <c r="D70" s="21">
        <v>45477</v>
      </c>
      <c r="E70" s="21" t="s">
        <v>58</v>
      </c>
      <c r="F70" s="19" t="s">
        <v>59</v>
      </c>
      <c r="G70" s="19" t="s">
        <v>116</v>
      </c>
      <c r="H70" s="19">
        <v>3</v>
      </c>
      <c r="I70" s="45"/>
      <c r="J70" s="48">
        <v>40386</v>
      </c>
      <c r="K70" s="43"/>
      <c r="L70" s="49">
        <f t="shared" si="42"/>
        <v>1590</v>
      </c>
      <c r="M70" s="50">
        <v>25.4</v>
      </c>
      <c r="N70" s="44">
        <v>7.26</v>
      </c>
      <c r="O70" s="45">
        <f t="shared" si="43"/>
        <v>184.404</v>
      </c>
      <c r="P70" s="51"/>
      <c r="Q70" s="51"/>
      <c r="R70" s="74">
        <f t="shared" si="33"/>
        <v>145.227165354331</v>
      </c>
      <c r="S70" s="74"/>
      <c r="T70" s="75">
        <f t="shared" si="34"/>
        <v>0.353134842519685</v>
      </c>
      <c r="U70" s="74"/>
      <c r="V70" s="74"/>
      <c r="W70" s="76">
        <f t="shared" si="30"/>
        <v>145.58030019685</v>
      </c>
      <c r="X70" s="77">
        <f t="shared" si="35"/>
        <v>1.77435531496063</v>
      </c>
      <c r="Y70" s="77"/>
      <c r="Z70" s="77"/>
      <c r="AA70" s="77">
        <f t="shared" si="32"/>
        <v>1.77435531496063</v>
      </c>
      <c r="AB70" s="87">
        <v>7.26</v>
      </c>
      <c r="AC70" s="74">
        <f t="shared" si="31"/>
        <v>12.8818195866142</v>
      </c>
      <c r="AD70" s="74">
        <f t="shared" si="28"/>
        <v>158.462119783465</v>
      </c>
      <c r="AE70" s="74">
        <f t="shared" si="29"/>
        <v>25.9418802165355</v>
      </c>
    </row>
    <row r="71" customFormat="1" spans="1:31">
      <c r="A71" s="18"/>
      <c r="B71" s="19"/>
      <c r="C71" s="20">
        <v>240701000007</v>
      </c>
      <c r="D71" s="21">
        <v>45477</v>
      </c>
      <c r="E71" s="21" t="s">
        <v>44</v>
      </c>
      <c r="F71" s="19" t="s">
        <v>45</v>
      </c>
      <c r="G71" s="19" t="s">
        <v>117</v>
      </c>
      <c r="H71" s="19">
        <v>7.5</v>
      </c>
      <c r="I71" s="41">
        <v>433.5</v>
      </c>
      <c r="J71" s="42"/>
      <c r="K71" s="43"/>
      <c r="L71" s="19"/>
      <c r="M71" s="43"/>
      <c r="N71" s="44"/>
      <c r="O71" s="45">
        <f t="shared" ref="O71:O76" si="44">SUM(I71)</f>
        <v>433.5</v>
      </c>
      <c r="P71" s="51"/>
      <c r="Q71" s="51"/>
      <c r="R71" s="74">
        <f t="shared" si="33"/>
        <v>363.067913385827</v>
      </c>
      <c r="S71" s="74"/>
      <c r="T71" s="75">
        <f t="shared" si="34"/>
        <v>0.882837106299213</v>
      </c>
      <c r="U71" s="74"/>
      <c r="V71" s="74"/>
      <c r="W71" s="76">
        <f t="shared" si="30"/>
        <v>363.950750492126</v>
      </c>
      <c r="X71" s="77">
        <f t="shared" si="35"/>
        <v>4.43588828740157</v>
      </c>
      <c r="Y71" s="77"/>
      <c r="Z71" s="77"/>
      <c r="AA71" s="77">
        <f t="shared" si="32"/>
        <v>4.43588828740157</v>
      </c>
      <c r="AB71" s="87">
        <v>7.26</v>
      </c>
      <c r="AC71" s="74">
        <f t="shared" si="31"/>
        <v>32.2045489665354</v>
      </c>
      <c r="AD71" s="74">
        <f t="shared" si="28"/>
        <v>396.155299458661</v>
      </c>
      <c r="AE71" s="74">
        <f t="shared" si="29"/>
        <v>37.3447005413386</v>
      </c>
    </row>
    <row r="72" customFormat="1" spans="1:31">
      <c r="A72" s="18"/>
      <c r="B72" s="19"/>
      <c r="C72" s="20">
        <v>240701000009</v>
      </c>
      <c r="D72" s="21">
        <v>45477</v>
      </c>
      <c r="E72" s="21" t="s">
        <v>40</v>
      </c>
      <c r="F72" s="19" t="s">
        <v>41</v>
      </c>
      <c r="G72" s="19" t="s">
        <v>87</v>
      </c>
      <c r="H72" s="19">
        <v>20.5</v>
      </c>
      <c r="I72" s="47"/>
      <c r="J72" s="48">
        <v>279210</v>
      </c>
      <c r="K72" s="43"/>
      <c r="L72" s="49">
        <f t="shared" si="42"/>
        <v>1648.03447054657</v>
      </c>
      <c r="M72" s="50">
        <v>169.42</v>
      </c>
      <c r="N72" s="44">
        <v>7.26</v>
      </c>
      <c r="O72" s="45">
        <f t="shared" si="43"/>
        <v>1229.9892</v>
      </c>
      <c r="P72" s="51"/>
      <c r="Q72" s="51"/>
      <c r="R72" s="74">
        <f t="shared" si="33"/>
        <v>992.38562992126</v>
      </c>
      <c r="S72" s="74"/>
      <c r="T72" s="75">
        <f t="shared" si="34"/>
        <v>2.41308809055118</v>
      </c>
      <c r="U72" s="74"/>
      <c r="V72" s="74"/>
      <c r="W72" s="76">
        <f t="shared" si="30"/>
        <v>994.798718011811</v>
      </c>
      <c r="X72" s="77">
        <f t="shared" si="35"/>
        <v>12.1247613188976</v>
      </c>
      <c r="Y72" s="77"/>
      <c r="Z72" s="77"/>
      <c r="AA72" s="77">
        <f t="shared" si="32"/>
        <v>12.1247613188976</v>
      </c>
      <c r="AB72" s="87">
        <v>7.26</v>
      </c>
      <c r="AC72" s="74">
        <f t="shared" si="31"/>
        <v>88.0257671751968</v>
      </c>
      <c r="AD72" s="74">
        <f t="shared" si="28"/>
        <v>1082.82448518701</v>
      </c>
      <c r="AE72" s="74">
        <f t="shared" si="29"/>
        <v>147.164714812992</v>
      </c>
    </row>
    <row r="73" customFormat="1" spans="1:31">
      <c r="A73" s="18"/>
      <c r="B73" s="19"/>
      <c r="C73" s="20">
        <v>240701000016</v>
      </c>
      <c r="D73" s="21">
        <v>45477</v>
      </c>
      <c r="E73" s="21" t="s">
        <v>40</v>
      </c>
      <c r="F73" s="19" t="s">
        <v>41</v>
      </c>
      <c r="G73" s="19" t="s">
        <v>118</v>
      </c>
      <c r="H73" s="19">
        <v>2.5</v>
      </c>
      <c r="I73" s="41">
        <v>168</v>
      </c>
      <c r="J73" s="42"/>
      <c r="K73" s="43"/>
      <c r="L73" s="19"/>
      <c r="M73" s="43"/>
      <c r="N73" s="44"/>
      <c r="O73" s="45">
        <f t="shared" si="44"/>
        <v>168</v>
      </c>
      <c r="P73" s="51"/>
      <c r="Q73" s="51"/>
      <c r="R73" s="74">
        <f t="shared" si="33"/>
        <v>121.022637795276</v>
      </c>
      <c r="S73" s="74"/>
      <c r="T73" s="75">
        <f t="shared" si="34"/>
        <v>0.294279035433071</v>
      </c>
      <c r="U73" s="74"/>
      <c r="V73" s="74"/>
      <c r="W73" s="76">
        <f t="shared" si="30"/>
        <v>121.316916830709</v>
      </c>
      <c r="X73" s="77">
        <f t="shared" si="35"/>
        <v>1.47862942913386</v>
      </c>
      <c r="Y73" s="77"/>
      <c r="Z73" s="77"/>
      <c r="AA73" s="77">
        <f t="shared" si="32"/>
        <v>1.47862942913386</v>
      </c>
      <c r="AB73" s="87">
        <v>7.26</v>
      </c>
      <c r="AC73" s="74">
        <f t="shared" si="31"/>
        <v>10.7348496555118</v>
      </c>
      <c r="AD73" s="74">
        <f t="shared" si="28"/>
        <v>132.05176648622</v>
      </c>
      <c r="AE73" s="74">
        <f t="shared" si="29"/>
        <v>35.9482335137795</v>
      </c>
    </row>
    <row r="74" customFormat="1" spans="1:31">
      <c r="A74" s="18"/>
      <c r="B74" s="19"/>
      <c r="C74" s="20">
        <v>240701000021</v>
      </c>
      <c r="D74" s="21">
        <v>45477</v>
      </c>
      <c r="E74" s="21" t="s">
        <v>40</v>
      </c>
      <c r="F74" s="19" t="s">
        <v>41</v>
      </c>
      <c r="G74" s="19" t="s">
        <v>119</v>
      </c>
      <c r="H74" s="19">
        <v>8.5</v>
      </c>
      <c r="I74" s="41">
        <v>637.5</v>
      </c>
      <c r="J74" s="42"/>
      <c r="K74" s="43"/>
      <c r="L74" s="19"/>
      <c r="M74" s="43"/>
      <c r="N74" s="44"/>
      <c r="O74" s="45">
        <f t="shared" si="44"/>
        <v>637.5</v>
      </c>
      <c r="P74" s="51"/>
      <c r="Q74" s="51"/>
      <c r="R74" s="74">
        <f t="shared" si="33"/>
        <v>411.476968503937</v>
      </c>
      <c r="S74" s="74"/>
      <c r="T74" s="75">
        <f t="shared" si="34"/>
        <v>1.00054872047244</v>
      </c>
      <c r="U74" s="74"/>
      <c r="V74" s="74"/>
      <c r="W74" s="76">
        <f t="shared" si="30"/>
        <v>412.477517224409</v>
      </c>
      <c r="X74" s="77">
        <f t="shared" si="35"/>
        <v>5.02734005905512</v>
      </c>
      <c r="Y74" s="77"/>
      <c r="Z74" s="77"/>
      <c r="AA74" s="77">
        <f t="shared" si="32"/>
        <v>5.02734005905512</v>
      </c>
      <c r="AB74" s="87">
        <v>7.26</v>
      </c>
      <c r="AC74" s="74">
        <f t="shared" si="31"/>
        <v>36.4984888287402</v>
      </c>
      <c r="AD74" s="74">
        <f t="shared" si="28"/>
        <v>448.97600605315</v>
      </c>
      <c r="AE74" s="74">
        <f t="shared" si="29"/>
        <v>188.52399394685</v>
      </c>
    </row>
    <row r="75" customFormat="1" spans="1:31">
      <c r="A75" s="18"/>
      <c r="B75" s="19"/>
      <c r="C75" s="20">
        <v>240701000022</v>
      </c>
      <c r="D75" s="21">
        <v>45477</v>
      </c>
      <c r="E75" s="21" t="s">
        <v>58</v>
      </c>
      <c r="F75" s="19" t="s">
        <v>59</v>
      </c>
      <c r="G75" s="19" t="s">
        <v>120</v>
      </c>
      <c r="H75" s="19">
        <v>1.5</v>
      </c>
      <c r="I75" s="41">
        <v>93</v>
      </c>
      <c r="J75" s="42"/>
      <c r="K75" s="43"/>
      <c r="L75" s="19"/>
      <c r="M75" s="43"/>
      <c r="N75" s="44"/>
      <c r="O75" s="45">
        <f t="shared" si="44"/>
        <v>93</v>
      </c>
      <c r="P75" s="51"/>
      <c r="Q75" s="51"/>
      <c r="R75" s="74">
        <f t="shared" si="33"/>
        <v>72.6135826771653</v>
      </c>
      <c r="S75" s="74"/>
      <c r="T75" s="75">
        <f t="shared" si="34"/>
        <v>0.176567421259843</v>
      </c>
      <c r="U75" s="74"/>
      <c r="V75" s="74"/>
      <c r="W75" s="76">
        <f t="shared" si="30"/>
        <v>72.7901500984252</v>
      </c>
      <c r="X75" s="77">
        <f t="shared" si="35"/>
        <v>0.887177657480315</v>
      </c>
      <c r="Y75" s="77"/>
      <c r="Z75" s="77"/>
      <c r="AA75" s="77">
        <f t="shared" si="32"/>
        <v>0.887177657480315</v>
      </c>
      <c r="AB75" s="87">
        <v>7.26</v>
      </c>
      <c r="AC75" s="74">
        <f t="shared" si="31"/>
        <v>6.44090979330709</v>
      </c>
      <c r="AD75" s="74">
        <f t="shared" si="28"/>
        <v>79.2310598917323</v>
      </c>
      <c r="AE75" s="74">
        <f t="shared" si="29"/>
        <v>13.7689401082677</v>
      </c>
    </row>
    <row r="76" customFormat="1" spans="1:31">
      <c r="A76" s="18"/>
      <c r="B76" s="19"/>
      <c r="C76" s="20">
        <v>240701000024</v>
      </c>
      <c r="D76" s="21">
        <v>45477</v>
      </c>
      <c r="E76" s="21" t="s">
        <v>44</v>
      </c>
      <c r="F76" s="19" t="s">
        <v>45</v>
      </c>
      <c r="G76" s="19" t="s">
        <v>121</v>
      </c>
      <c r="H76" s="19">
        <v>13</v>
      </c>
      <c r="I76" s="41">
        <v>830</v>
      </c>
      <c r="J76" s="42"/>
      <c r="K76" s="43"/>
      <c r="L76" s="19"/>
      <c r="M76" s="43"/>
      <c r="N76" s="44"/>
      <c r="O76" s="45">
        <f t="shared" si="44"/>
        <v>830</v>
      </c>
      <c r="P76" s="51"/>
      <c r="Q76" s="51"/>
      <c r="R76" s="74">
        <f t="shared" si="33"/>
        <v>629.317716535433</v>
      </c>
      <c r="S76" s="74"/>
      <c r="T76" s="75">
        <f t="shared" si="34"/>
        <v>1.53025098425197</v>
      </c>
      <c r="U76" s="74"/>
      <c r="V76" s="74"/>
      <c r="W76" s="76">
        <f t="shared" si="30"/>
        <v>630.847967519685</v>
      </c>
      <c r="X76" s="77">
        <f t="shared" si="35"/>
        <v>7.68887303149606</v>
      </c>
      <c r="Y76" s="77"/>
      <c r="Z76" s="77"/>
      <c r="AA76" s="77">
        <f t="shared" si="32"/>
        <v>7.68887303149606</v>
      </c>
      <c r="AB76" s="87">
        <v>7.26</v>
      </c>
      <c r="AC76" s="74">
        <f t="shared" si="31"/>
        <v>55.8212182086614</v>
      </c>
      <c r="AD76" s="74">
        <f t="shared" si="28"/>
        <v>686.669185728346</v>
      </c>
      <c r="AE76" s="74">
        <f t="shared" si="29"/>
        <v>143.330814271654</v>
      </c>
    </row>
    <row r="77" customFormat="1" spans="1:31">
      <c r="A77" s="18"/>
      <c r="B77" s="19"/>
      <c r="C77" s="20">
        <v>240701000031</v>
      </c>
      <c r="D77" s="21">
        <v>45477</v>
      </c>
      <c r="E77" s="21" t="s">
        <v>47</v>
      </c>
      <c r="F77" s="19" t="s">
        <v>48</v>
      </c>
      <c r="G77" s="19" t="s">
        <v>122</v>
      </c>
      <c r="H77" s="19">
        <v>0.95</v>
      </c>
      <c r="I77" s="45"/>
      <c r="J77" s="48">
        <v>15546</v>
      </c>
      <c r="K77" s="43"/>
      <c r="L77" s="49">
        <f>SUM(J77/M77)</f>
        <v>1605.99173553719</v>
      </c>
      <c r="M77" s="50">
        <v>9.68</v>
      </c>
      <c r="N77" s="44">
        <v>7.26</v>
      </c>
      <c r="O77" s="45">
        <f>SUM(M77*N77)</f>
        <v>70.2768</v>
      </c>
      <c r="P77" s="51"/>
      <c r="Q77" s="51"/>
      <c r="R77" s="74">
        <f t="shared" si="33"/>
        <v>45.9886023622047</v>
      </c>
      <c r="S77" s="74"/>
      <c r="T77" s="75">
        <f t="shared" si="34"/>
        <v>0.111826033464567</v>
      </c>
      <c r="U77" s="74"/>
      <c r="V77" s="74"/>
      <c r="W77" s="76">
        <f t="shared" si="30"/>
        <v>46.1004283956693</v>
      </c>
      <c r="X77" s="77">
        <f t="shared" si="35"/>
        <v>0.561879183070866</v>
      </c>
      <c r="Y77" s="77"/>
      <c r="Z77" s="77"/>
      <c r="AA77" s="77">
        <f t="shared" si="32"/>
        <v>0.561879183070866</v>
      </c>
      <c r="AB77" s="87">
        <v>7.26</v>
      </c>
      <c r="AC77" s="74">
        <f t="shared" si="31"/>
        <v>4.07924286909449</v>
      </c>
      <c r="AD77" s="74">
        <f t="shared" si="28"/>
        <v>50.1796712647638</v>
      </c>
      <c r="AE77" s="74">
        <f t="shared" si="29"/>
        <v>20.0971287352362</v>
      </c>
    </row>
    <row r="78" customFormat="1" spans="1:31">
      <c r="A78" s="18"/>
      <c r="B78" s="19"/>
      <c r="C78" s="20">
        <v>240701000033</v>
      </c>
      <c r="D78" s="21">
        <v>45477</v>
      </c>
      <c r="E78" s="21" t="s">
        <v>47</v>
      </c>
      <c r="F78" s="19" t="s">
        <v>48</v>
      </c>
      <c r="G78" s="19" t="s">
        <v>123</v>
      </c>
      <c r="H78" s="19">
        <v>32.5</v>
      </c>
      <c r="I78" s="47"/>
      <c r="J78" s="48">
        <v>387779</v>
      </c>
      <c r="K78" s="43"/>
      <c r="L78" s="49">
        <f>SUM(J78/M78)</f>
        <v>1574.99289224646</v>
      </c>
      <c r="M78" s="50">
        <v>246.21</v>
      </c>
      <c r="N78" s="44">
        <v>7.26</v>
      </c>
      <c r="O78" s="45">
        <f>SUM(M78*N78)</f>
        <v>1787.4846</v>
      </c>
      <c r="P78" s="51"/>
      <c r="Q78" s="51"/>
      <c r="R78" s="74">
        <f t="shared" si="33"/>
        <v>1573.29429133858</v>
      </c>
      <c r="S78" s="74"/>
      <c r="T78" s="75">
        <f t="shared" si="34"/>
        <v>3.82562746062992</v>
      </c>
      <c r="U78" s="74"/>
      <c r="V78" s="74"/>
      <c r="W78" s="76">
        <f t="shared" si="30"/>
        <v>1577.11991879921</v>
      </c>
      <c r="X78" s="77">
        <f t="shared" si="35"/>
        <v>19.2221825787402</v>
      </c>
      <c r="Y78" s="77"/>
      <c r="Z78" s="77"/>
      <c r="AA78" s="77">
        <f t="shared" si="32"/>
        <v>19.2221825787402</v>
      </c>
      <c r="AB78" s="87">
        <v>7.26</v>
      </c>
      <c r="AC78" s="74">
        <f t="shared" si="31"/>
        <v>139.553045521654</v>
      </c>
      <c r="AD78" s="74">
        <f t="shared" si="28"/>
        <v>1716.67296432087</v>
      </c>
      <c r="AE78" s="74">
        <f t="shared" ref="AE78:AE104" si="45">SUM(O78-AD78)</f>
        <v>70.811635679134</v>
      </c>
    </row>
    <row r="79" customFormat="1" spans="1:31">
      <c r="A79" s="18"/>
      <c r="B79" s="19"/>
      <c r="C79" s="20">
        <v>240701000035</v>
      </c>
      <c r="D79" s="21">
        <v>45477</v>
      </c>
      <c r="E79" s="21" t="s">
        <v>47</v>
      </c>
      <c r="F79" s="19" t="s">
        <v>48</v>
      </c>
      <c r="G79" s="19" t="s">
        <v>96</v>
      </c>
      <c r="H79" s="19">
        <v>25</v>
      </c>
      <c r="I79" s="41">
        <v>1383</v>
      </c>
      <c r="J79" s="42"/>
      <c r="K79" s="43"/>
      <c r="L79" s="19"/>
      <c r="M79" s="43"/>
      <c r="N79" s="44"/>
      <c r="O79" s="45">
        <f t="shared" ref="O79:O84" si="46">SUM(I79)</f>
        <v>1383</v>
      </c>
      <c r="P79" s="51"/>
      <c r="Q79" s="51"/>
      <c r="R79" s="74">
        <f t="shared" si="33"/>
        <v>1210.22637795276</v>
      </c>
      <c r="S79" s="74"/>
      <c r="T79" s="75">
        <f t="shared" si="34"/>
        <v>2.94279035433071</v>
      </c>
      <c r="U79" s="74"/>
      <c r="V79" s="74"/>
      <c r="W79" s="76">
        <f t="shared" si="30"/>
        <v>1213.16916830709</v>
      </c>
      <c r="X79" s="77">
        <f t="shared" si="35"/>
        <v>14.7862942913386</v>
      </c>
      <c r="Y79" s="77"/>
      <c r="Z79" s="77"/>
      <c r="AA79" s="77">
        <f t="shared" si="32"/>
        <v>14.7862942913386</v>
      </c>
      <c r="AB79" s="87">
        <v>7.26</v>
      </c>
      <c r="AC79" s="74">
        <f t="shared" ref="AC79:AC104" si="47">SUM(AA79*AB79)</f>
        <v>107.348496555118</v>
      </c>
      <c r="AD79" s="74">
        <f t="shared" ref="AD79:AD104" si="48">SUM(W79+AC79)</f>
        <v>1320.5176648622</v>
      </c>
      <c r="AE79" s="74">
        <f t="shared" si="45"/>
        <v>62.4823351377954</v>
      </c>
    </row>
    <row r="80" customFormat="1" spans="1:31">
      <c r="A80" s="18"/>
      <c r="B80" s="19"/>
      <c r="C80" s="20">
        <v>240701000053</v>
      </c>
      <c r="D80" s="21">
        <v>45477</v>
      </c>
      <c r="E80" s="21" t="s">
        <v>40</v>
      </c>
      <c r="F80" s="19" t="s">
        <v>41</v>
      </c>
      <c r="G80" s="19" t="s">
        <v>124</v>
      </c>
      <c r="H80" s="19">
        <v>141.5</v>
      </c>
      <c r="I80" s="41">
        <v>8580</v>
      </c>
      <c r="J80" s="42"/>
      <c r="K80" s="43"/>
      <c r="L80" s="19"/>
      <c r="M80" s="43"/>
      <c r="N80" s="44"/>
      <c r="O80" s="45">
        <f t="shared" si="46"/>
        <v>8580</v>
      </c>
      <c r="P80" s="52"/>
      <c r="Q80" s="52"/>
      <c r="R80" s="74">
        <f t="shared" si="33"/>
        <v>6849.8812992126</v>
      </c>
      <c r="S80" s="74"/>
      <c r="T80" s="75">
        <f t="shared" si="34"/>
        <v>16.6561934055118</v>
      </c>
      <c r="U80" s="75">
        <v>90</v>
      </c>
      <c r="V80" s="74"/>
      <c r="W80" s="76">
        <f t="shared" ref="W80:W104" si="49">SUM(R80:V80)</f>
        <v>6956.53749261811</v>
      </c>
      <c r="X80" s="77">
        <f t="shared" si="35"/>
        <v>83.6904256889764</v>
      </c>
      <c r="Y80" s="77"/>
      <c r="Z80" s="77"/>
      <c r="AA80" s="77">
        <f t="shared" ref="AA80:AA104" si="50">SUM(X80:Z80)</f>
        <v>83.6904256889764</v>
      </c>
      <c r="AB80" s="87">
        <v>7.26</v>
      </c>
      <c r="AC80" s="74">
        <f t="shared" si="47"/>
        <v>607.592490501968</v>
      </c>
      <c r="AD80" s="74">
        <f t="shared" si="48"/>
        <v>7564.12998312008</v>
      </c>
      <c r="AE80" s="74">
        <f t="shared" si="45"/>
        <v>1015.87001687992</v>
      </c>
    </row>
    <row r="81" customFormat="1" spans="1:31">
      <c r="A81" s="18" t="s">
        <v>125</v>
      </c>
      <c r="B81" s="19" t="s">
        <v>126</v>
      </c>
      <c r="C81" s="20">
        <v>240624000044</v>
      </c>
      <c r="D81" s="21">
        <v>45477</v>
      </c>
      <c r="E81" s="21" t="s">
        <v>127</v>
      </c>
      <c r="F81" s="19" t="s">
        <v>128</v>
      </c>
      <c r="G81" s="19" t="s">
        <v>129</v>
      </c>
      <c r="H81" s="19">
        <v>8</v>
      </c>
      <c r="I81" s="41">
        <v>561</v>
      </c>
      <c r="J81" s="42"/>
      <c r="K81" s="43"/>
      <c r="L81" s="19"/>
      <c r="M81" s="43"/>
      <c r="N81" s="44"/>
      <c r="O81" s="45">
        <f t="shared" si="46"/>
        <v>561</v>
      </c>
      <c r="P81" s="46">
        <f>SUM(O81:O104)</f>
        <v>71661.6828</v>
      </c>
      <c r="Q81" s="46" t="s">
        <v>130</v>
      </c>
      <c r="R81" s="74">
        <f>SUM(60566.8/1262)*H81</f>
        <v>383.941679873217</v>
      </c>
      <c r="S81" s="74"/>
      <c r="T81" s="75">
        <f>SUM(120/1262)*H81</f>
        <v>0.760697305863708</v>
      </c>
      <c r="U81" s="74"/>
      <c r="V81" s="74"/>
      <c r="W81" s="76">
        <f t="shared" si="49"/>
        <v>384.702377179081</v>
      </c>
      <c r="X81" s="77">
        <f>SUM(911.73/1262)*H81</f>
        <v>5.77958795562599</v>
      </c>
      <c r="Y81" s="77"/>
      <c r="Z81" s="77"/>
      <c r="AA81" s="77">
        <f t="shared" si="50"/>
        <v>5.77958795562599</v>
      </c>
      <c r="AB81" s="87">
        <v>7.26</v>
      </c>
      <c r="AC81" s="74">
        <f t="shared" si="47"/>
        <v>41.9598085578447</v>
      </c>
      <c r="AD81" s="74">
        <f t="shared" si="48"/>
        <v>426.662185736925</v>
      </c>
      <c r="AE81" s="74">
        <f t="shared" si="45"/>
        <v>134.337814263075</v>
      </c>
    </row>
    <row r="82" customFormat="1" spans="1:31">
      <c r="A82" s="18"/>
      <c r="B82" s="19"/>
      <c r="C82" s="20">
        <v>240625000001</v>
      </c>
      <c r="D82" s="21">
        <v>45477</v>
      </c>
      <c r="E82" s="21" t="s">
        <v>55</v>
      </c>
      <c r="F82" s="19" t="s">
        <v>56</v>
      </c>
      <c r="G82" s="19" t="s">
        <v>131</v>
      </c>
      <c r="H82" s="19">
        <v>3.5</v>
      </c>
      <c r="I82" s="41">
        <v>257.4</v>
      </c>
      <c r="J82" s="42"/>
      <c r="K82" s="43"/>
      <c r="L82" s="19"/>
      <c r="M82" s="43"/>
      <c r="N82" s="44"/>
      <c r="O82" s="45">
        <f t="shared" si="46"/>
        <v>257.4</v>
      </c>
      <c r="P82" s="51"/>
      <c r="Q82" s="51"/>
      <c r="R82" s="74">
        <f t="shared" ref="R82:R104" si="51">SUM(60566.8/1262)*H82</f>
        <v>167.974484944532</v>
      </c>
      <c r="S82" s="74"/>
      <c r="T82" s="75">
        <f t="shared" ref="T82:T104" si="52">SUM(120/1262)*H82</f>
        <v>0.332805071315372</v>
      </c>
      <c r="U82" s="74"/>
      <c r="V82" s="74"/>
      <c r="W82" s="76">
        <f t="shared" si="49"/>
        <v>168.307290015848</v>
      </c>
      <c r="X82" s="77">
        <f t="shared" ref="X82:X104" si="53">SUM(911.73/1262)*H82</f>
        <v>2.52856973058637</v>
      </c>
      <c r="Y82" s="77"/>
      <c r="Z82" s="77"/>
      <c r="AA82" s="77">
        <f t="shared" si="50"/>
        <v>2.52856973058637</v>
      </c>
      <c r="AB82" s="87">
        <v>7.26</v>
      </c>
      <c r="AC82" s="74">
        <f t="shared" si="47"/>
        <v>18.3574162440571</v>
      </c>
      <c r="AD82" s="74">
        <f t="shared" si="48"/>
        <v>186.664706259905</v>
      </c>
      <c r="AE82" s="74">
        <f t="shared" si="45"/>
        <v>70.7352937400951</v>
      </c>
    </row>
    <row r="83" customFormat="1" spans="1:31">
      <c r="A83" s="18"/>
      <c r="B83" s="19"/>
      <c r="C83" s="20">
        <v>240625000013</v>
      </c>
      <c r="D83" s="21">
        <v>45477</v>
      </c>
      <c r="E83" s="21" t="s">
        <v>44</v>
      </c>
      <c r="F83" s="19" t="s">
        <v>45</v>
      </c>
      <c r="G83" s="19" t="s">
        <v>132</v>
      </c>
      <c r="H83" s="19">
        <v>2</v>
      </c>
      <c r="I83" s="41">
        <v>135.3</v>
      </c>
      <c r="J83" s="42"/>
      <c r="K83" s="43"/>
      <c r="L83" s="19"/>
      <c r="M83" s="43"/>
      <c r="N83" s="44"/>
      <c r="O83" s="45">
        <f t="shared" si="46"/>
        <v>135.3</v>
      </c>
      <c r="P83" s="51"/>
      <c r="Q83" s="51"/>
      <c r="R83" s="74">
        <f t="shared" si="51"/>
        <v>95.9854199683043</v>
      </c>
      <c r="S83" s="74"/>
      <c r="T83" s="75">
        <f t="shared" si="52"/>
        <v>0.190174326465927</v>
      </c>
      <c r="U83" s="74"/>
      <c r="V83" s="74"/>
      <c r="W83" s="76">
        <f t="shared" si="49"/>
        <v>96.1755942947702</v>
      </c>
      <c r="X83" s="77">
        <f t="shared" si="53"/>
        <v>1.4448969889065</v>
      </c>
      <c r="Y83" s="77"/>
      <c r="Z83" s="77"/>
      <c r="AA83" s="77">
        <f t="shared" si="50"/>
        <v>1.4448969889065</v>
      </c>
      <c r="AB83" s="87">
        <v>7.26</v>
      </c>
      <c r="AC83" s="74">
        <f t="shared" si="47"/>
        <v>10.4899521394612</v>
      </c>
      <c r="AD83" s="74">
        <f t="shared" si="48"/>
        <v>106.665546434231</v>
      </c>
      <c r="AE83" s="74">
        <f t="shared" si="45"/>
        <v>28.6344535657686</v>
      </c>
    </row>
    <row r="84" customFormat="1" spans="1:31">
      <c r="A84" s="18"/>
      <c r="B84" s="19"/>
      <c r="C84" s="20">
        <v>240626000004</v>
      </c>
      <c r="D84" s="21">
        <v>45477</v>
      </c>
      <c r="E84" s="21" t="s">
        <v>58</v>
      </c>
      <c r="F84" s="19" t="s">
        <v>59</v>
      </c>
      <c r="G84" s="19" t="s">
        <v>133</v>
      </c>
      <c r="H84" s="19">
        <v>0.18</v>
      </c>
      <c r="I84" s="41">
        <v>78.1</v>
      </c>
      <c r="J84" s="42"/>
      <c r="K84" s="43"/>
      <c r="L84" s="19"/>
      <c r="M84" s="43"/>
      <c r="N84" s="44"/>
      <c r="O84" s="45">
        <f t="shared" si="46"/>
        <v>78.1</v>
      </c>
      <c r="P84" s="51"/>
      <c r="Q84" s="51"/>
      <c r="R84" s="74">
        <f t="shared" si="51"/>
        <v>8.63868779714739</v>
      </c>
      <c r="S84" s="74"/>
      <c r="T84" s="75">
        <f t="shared" si="52"/>
        <v>0.0171156893819334</v>
      </c>
      <c r="U84" s="74"/>
      <c r="V84" s="74"/>
      <c r="W84" s="76">
        <f t="shared" si="49"/>
        <v>8.65580348652932</v>
      </c>
      <c r="X84" s="77">
        <f t="shared" si="53"/>
        <v>0.130040729001585</v>
      </c>
      <c r="Y84" s="77"/>
      <c r="Z84" s="77"/>
      <c r="AA84" s="77">
        <f t="shared" si="50"/>
        <v>0.130040729001585</v>
      </c>
      <c r="AB84" s="87">
        <v>7.26</v>
      </c>
      <c r="AC84" s="74">
        <f t="shared" si="47"/>
        <v>0.944095692551505</v>
      </c>
      <c r="AD84" s="74">
        <f t="shared" si="48"/>
        <v>9.59989917908082</v>
      </c>
      <c r="AE84" s="74">
        <f t="shared" si="45"/>
        <v>68.5001008209192</v>
      </c>
    </row>
    <row r="85" customFormat="1" spans="1:31">
      <c r="A85" s="18"/>
      <c r="B85" s="19"/>
      <c r="C85" s="20">
        <v>240626000019</v>
      </c>
      <c r="D85" s="21">
        <v>45477</v>
      </c>
      <c r="E85" s="21" t="s">
        <v>44</v>
      </c>
      <c r="F85" s="19" t="s">
        <v>45</v>
      </c>
      <c r="G85" s="19" t="s">
        <v>134</v>
      </c>
      <c r="H85" s="19">
        <v>4.5</v>
      </c>
      <c r="I85" s="47"/>
      <c r="J85" s="48">
        <v>62850</v>
      </c>
      <c r="K85" s="43"/>
      <c r="L85" s="49">
        <f>SUM(J85/M85)</f>
        <v>1521.05517909003</v>
      </c>
      <c r="M85" s="50">
        <v>41.32</v>
      </c>
      <c r="N85" s="44">
        <v>7.26</v>
      </c>
      <c r="O85" s="45">
        <f>SUM(M85*N85)</f>
        <v>299.9832</v>
      </c>
      <c r="P85" s="51"/>
      <c r="Q85" s="51"/>
      <c r="R85" s="74">
        <f t="shared" si="51"/>
        <v>215.967194928685</v>
      </c>
      <c r="S85" s="74"/>
      <c r="T85" s="75">
        <f t="shared" si="52"/>
        <v>0.427892234548336</v>
      </c>
      <c r="U85" s="74"/>
      <c r="V85" s="74"/>
      <c r="W85" s="76">
        <f t="shared" si="49"/>
        <v>216.395087163233</v>
      </c>
      <c r="X85" s="77">
        <f t="shared" si="53"/>
        <v>3.25101822503962</v>
      </c>
      <c r="Y85" s="77"/>
      <c r="Z85" s="77"/>
      <c r="AA85" s="77">
        <f t="shared" si="50"/>
        <v>3.25101822503962</v>
      </c>
      <c r="AB85" s="87">
        <v>7.26</v>
      </c>
      <c r="AC85" s="74">
        <f t="shared" si="47"/>
        <v>23.6023923137876</v>
      </c>
      <c r="AD85" s="74">
        <f t="shared" si="48"/>
        <v>239.997479477021</v>
      </c>
      <c r="AE85" s="74">
        <f t="shared" si="45"/>
        <v>59.9857205229794</v>
      </c>
    </row>
    <row r="86" customFormat="1" spans="1:31">
      <c r="A86" s="18"/>
      <c r="B86" s="19"/>
      <c r="C86" s="20">
        <v>240626000020</v>
      </c>
      <c r="D86" s="21">
        <v>45477</v>
      </c>
      <c r="E86" s="21" t="s">
        <v>58</v>
      </c>
      <c r="F86" s="19" t="s">
        <v>59</v>
      </c>
      <c r="G86" s="19" t="s">
        <v>135</v>
      </c>
      <c r="H86" s="19">
        <v>20</v>
      </c>
      <c r="I86" s="41">
        <v>1393</v>
      </c>
      <c r="J86" s="42"/>
      <c r="K86" s="43"/>
      <c r="L86" s="19"/>
      <c r="M86" s="43"/>
      <c r="N86" s="44"/>
      <c r="O86" s="45">
        <f t="shared" ref="O86:O90" si="54">SUM(I86)</f>
        <v>1393</v>
      </c>
      <c r="P86" s="51"/>
      <c r="Q86" s="51"/>
      <c r="R86" s="74">
        <f t="shared" si="51"/>
        <v>959.854199683043</v>
      </c>
      <c r="S86" s="74"/>
      <c r="T86" s="75">
        <f t="shared" si="52"/>
        <v>1.90174326465927</v>
      </c>
      <c r="U86" s="74"/>
      <c r="V86" s="74"/>
      <c r="W86" s="76">
        <f t="shared" si="49"/>
        <v>961.755942947702</v>
      </c>
      <c r="X86" s="77">
        <f t="shared" si="53"/>
        <v>14.448969889065</v>
      </c>
      <c r="Y86" s="77"/>
      <c r="Z86" s="77"/>
      <c r="AA86" s="77">
        <f t="shared" si="50"/>
        <v>14.448969889065</v>
      </c>
      <c r="AB86" s="87">
        <v>7.26</v>
      </c>
      <c r="AC86" s="74">
        <f t="shared" si="47"/>
        <v>104.899521394612</v>
      </c>
      <c r="AD86" s="74">
        <f t="shared" si="48"/>
        <v>1066.65546434231</v>
      </c>
      <c r="AE86" s="74">
        <f t="shared" si="45"/>
        <v>326.344535657686</v>
      </c>
    </row>
    <row r="87" customFormat="1" spans="1:31">
      <c r="A87" s="18"/>
      <c r="B87" s="19"/>
      <c r="C87" s="20">
        <v>240626000030</v>
      </c>
      <c r="D87" s="21">
        <v>45477</v>
      </c>
      <c r="E87" s="21" t="s">
        <v>44</v>
      </c>
      <c r="F87" s="19" t="s">
        <v>45</v>
      </c>
      <c r="G87" s="19" t="s">
        <v>136</v>
      </c>
      <c r="H87" s="19">
        <v>13.5</v>
      </c>
      <c r="I87" s="41">
        <v>942.15</v>
      </c>
      <c r="J87" s="42"/>
      <c r="K87" s="43"/>
      <c r="L87" s="19"/>
      <c r="M87" s="43"/>
      <c r="N87" s="44"/>
      <c r="O87" s="45">
        <f t="shared" si="54"/>
        <v>942.15</v>
      </c>
      <c r="P87" s="51"/>
      <c r="Q87" s="51"/>
      <c r="R87" s="74">
        <f t="shared" si="51"/>
        <v>647.901584786054</v>
      </c>
      <c r="S87" s="74"/>
      <c r="T87" s="75">
        <f t="shared" si="52"/>
        <v>1.28367670364501</v>
      </c>
      <c r="U87" s="74"/>
      <c r="V87" s="74"/>
      <c r="W87" s="76">
        <f t="shared" si="49"/>
        <v>649.185261489699</v>
      </c>
      <c r="X87" s="77">
        <f t="shared" si="53"/>
        <v>9.75305467511886</v>
      </c>
      <c r="Y87" s="77"/>
      <c r="Z87" s="77"/>
      <c r="AA87" s="77">
        <f t="shared" si="50"/>
        <v>9.75305467511886</v>
      </c>
      <c r="AB87" s="87">
        <v>7.26</v>
      </c>
      <c r="AC87" s="74">
        <f t="shared" si="47"/>
        <v>70.8071769413629</v>
      </c>
      <c r="AD87" s="74">
        <f t="shared" si="48"/>
        <v>719.992438431062</v>
      </c>
      <c r="AE87" s="74">
        <f t="shared" si="45"/>
        <v>222.157561568938</v>
      </c>
    </row>
    <row r="88" customFormat="1" spans="1:31">
      <c r="A88" s="18"/>
      <c r="B88" s="19"/>
      <c r="C88" s="20">
        <v>240626000035</v>
      </c>
      <c r="D88" s="21">
        <v>45477</v>
      </c>
      <c r="E88" s="21" t="s">
        <v>44</v>
      </c>
      <c r="F88" s="19" t="s">
        <v>45</v>
      </c>
      <c r="G88" s="19" t="s">
        <v>137</v>
      </c>
      <c r="H88" s="19">
        <v>30</v>
      </c>
      <c r="I88" s="47"/>
      <c r="J88" s="48">
        <v>437580</v>
      </c>
      <c r="K88" s="43"/>
      <c r="L88" s="49">
        <f>SUM(J88/M88)</f>
        <v>1597.24047306176</v>
      </c>
      <c r="M88" s="50">
        <v>273.96</v>
      </c>
      <c r="N88" s="44">
        <v>7.26</v>
      </c>
      <c r="O88" s="45">
        <f t="shared" ref="O88:O96" si="55">SUM(M88*N88)</f>
        <v>1988.9496</v>
      </c>
      <c r="P88" s="51"/>
      <c r="Q88" s="51"/>
      <c r="R88" s="74">
        <f t="shared" si="51"/>
        <v>1439.78129952456</v>
      </c>
      <c r="S88" s="74"/>
      <c r="T88" s="75">
        <f t="shared" si="52"/>
        <v>2.85261489698891</v>
      </c>
      <c r="U88" s="74"/>
      <c r="V88" s="74"/>
      <c r="W88" s="76">
        <f t="shared" si="49"/>
        <v>1442.63391442155</v>
      </c>
      <c r="X88" s="77">
        <f t="shared" si="53"/>
        <v>21.6734548335975</v>
      </c>
      <c r="Y88" s="77"/>
      <c r="Z88" s="77"/>
      <c r="AA88" s="77">
        <f t="shared" si="50"/>
        <v>21.6734548335975</v>
      </c>
      <c r="AB88" s="87">
        <v>7.26</v>
      </c>
      <c r="AC88" s="74">
        <f t="shared" si="47"/>
        <v>157.349282091918</v>
      </c>
      <c r="AD88" s="74">
        <f t="shared" si="48"/>
        <v>1599.98319651347</v>
      </c>
      <c r="AE88" s="74">
        <f t="shared" si="45"/>
        <v>388.966403486529</v>
      </c>
    </row>
    <row r="89" customFormat="1" spans="1:31">
      <c r="A89" s="18"/>
      <c r="B89" s="19"/>
      <c r="C89" s="20">
        <v>240627000003</v>
      </c>
      <c r="D89" s="21">
        <v>45477</v>
      </c>
      <c r="E89" s="21" t="s">
        <v>55</v>
      </c>
      <c r="F89" s="19" t="s">
        <v>56</v>
      </c>
      <c r="G89" s="19" t="s">
        <v>138</v>
      </c>
      <c r="H89" s="19">
        <v>6.5</v>
      </c>
      <c r="I89" s="41">
        <v>414.15</v>
      </c>
      <c r="J89" s="42"/>
      <c r="K89" s="43"/>
      <c r="L89" s="19"/>
      <c r="M89" s="43"/>
      <c r="N89" s="44"/>
      <c r="O89" s="45">
        <f t="shared" si="54"/>
        <v>414.15</v>
      </c>
      <c r="P89" s="51"/>
      <c r="Q89" s="51"/>
      <c r="R89" s="74">
        <f t="shared" si="51"/>
        <v>311.952614896989</v>
      </c>
      <c r="S89" s="74"/>
      <c r="T89" s="75">
        <f t="shared" si="52"/>
        <v>0.618066561014263</v>
      </c>
      <c r="U89" s="74"/>
      <c r="V89" s="74"/>
      <c r="W89" s="76">
        <f t="shared" si="49"/>
        <v>312.570681458003</v>
      </c>
      <c r="X89" s="77">
        <f t="shared" si="53"/>
        <v>4.69591521394612</v>
      </c>
      <c r="Y89" s="77"/>
      <c r="Z89" s="77"/>
      <c r="AA89" s="77">
        <f t="shared" si="50"/>
        <v>4.69591521394612</v>
      </c>
      <c r="AB89" s="87">
        <v>7.26</v>
      </c>
      <c r="AC89" s="74">
        <f t="shared" si="47"/>
        <v>34.0923444532488</v>
      </c>
      <c r="AD89" s="74">
        <f t="shared" si="48"/>
        <v>346.663025911252</v>
      </c>
      <c r="AE89" s="74">
        <f t="shared" si="45"/>
        <v>67.486974088748</v>
      </c>
    </row>
    <row r="90" customFormat="1" spans="1:31">
      <c r="A90" s="18"/>
      <c r="B90" s="19"/>
      <c r="C90" s="20">
        <v>240627000009</v>
      </c>
      <c r="D90" s="21">
        <v>45477</v>
      </c>
      <c r="E90" s="21" t="s">
        <v>40</v>
      </c>
      <c r="F90" s="19" t="s">
        <v>41</v>
      </c>
      <c r="G90" s="19" t="s">
        <v>139</v>
      </c>
      <c r="H90" s="19">
        <v>13.5</v>
      </c>
      <c r="I90" s="41">
        <v>877.5</v>
      </c>
      <c r="J90" s="42"/>
      <c r="K90" s="43"/>
      <c r="L90" s="19"/>
      <c r="M90" s="43"/>
      <c r="N90" s="44"/>
      <c r="O90" s="45">
        <f t="shared" si="54"/>
        <v>877.5</v>
      </c>
      <c r="P90" s="51"/>
      <c r="Q90" s="51"/>
      <c r="R90" s="74">
        <f t="shared" si="51"/>
        <v>647.901584786054</v>
      </c>
      <c r="S90" s="74"/>
      <c r="T90" s="75">
        <f t="shared" si="52"/>
        <v>1.28367670364501</v>
      </c>
      <c r="U90" s="74"/>
      <c r="V90" s="74"/>
      <c r="W90" s="76">
        <f t="shared" si="49"/>
        <v>649.185261489699</v>
      </c>
      <c r="X90" s="77">
        <f t="shared" si="53"/>
        <v>9.75305467511886</v>
      </c>
      <c r="Y90" s="77"/>
      <c r="Z90" s="77"/>
      <c r="AA90" s="77">
        <f t="shared" si="50"/>
        <v>9.75305467511886</v>
      </c>
      <c r="AB90" s="87">
        <v>7.26</v>
      </c>
      <c r="AC90" s="74">
        <f t="shared" si="47"/>
        <v>70.8071769413629</v>
      </c>
      <c r="AD90" s="74">
        <f t="shared" si="48"/>
        <v>719.992438431062</v>
      </c>
      <c r="AE90" s="74">
        <f t="shared" si="45"/>
        <v>157.507561568938</v>
      </c>
    </row>
    <row r="91" customFormat="1" spans="1:31">
      <c r="A91" s="18"/>
      <c r="B91" s="19"/>
      <c r="C91" s="20">
        <v>240627000019</v>
      </c>
      <c r="D91" s="21">
        <v>45477</v>
      </c>
      <c r="E91" s="21" t="s">
        <v>58</v>
      </c>
      <c r="F91" s="19" t="s">
        <v>59</v>
      </c>
      <c r="G91" s="19" t="s">
        <v>140</v>
      </c>
      <c r="H91" s="19">
        <v>20</v>
      </c>
      <c r="I91" s="47"/>
      <c r="J91" s="48">
        <v>265464</v>
      </c>
      <c r="K91" s="43"/>
      <c r="L91" s="49">
        <f t="shared" ref="L91:L96" si="56">SUM(J91/M91)</f>
        <v>1568.19470699433</v>
      </c>
      <c r="M91" s="50">
        <v>169.28</v>
      </c>
      <c r="N91" s="44">
        <v>7.26</v>
      </c>
      <c r="O91" s="45">
        <f t="shared" si="55"/>
        <v>1228.9728</v>
      </c>
      <c r="P91" s="51"/>
      <c r="Q91" s="51"/>
      <c r="R91" s="74">
        <f t="shared" si="51"/>
        <v>959.854199683043</v>
      </c>
      <c r="S91" s="74"/>
      <c r="T91" s="75">
        <f t="shared" si="52"/>
        <v>1.90174326465927</v>
      </c>
      <c r="U91" s="74"/>
      <c r="V91" s="74"/>
      <c r="W91" s="76">
        <f t="shared" si="49"/>
        <v>961.755942947702</v>
      </c>
      <c r="X91" s="77">
        <f t="shared" si="53"/>
        <v>14.448969889065</v>
      </c>
      <c r="Y91" s="77"/>
      <c r="Z91" s="77"/>
      <c r="AA91" s="77">
        <f t="shared" si="50"/>
        <v>14.448969889065</v>
      </c>
      <c r="AB91" s="87">
        <v>7.26</v>
      </c>
      <c r="AC91" s="74">
        <f t="shared" si="47"/>
        <v>104.899521394612</v>
      </c>
      <c r="AD91" s="74">
        <f t="shared" si="48"/>
        <v>1066.65546434231</v>
      </c>
      <c r="AE91" s="74">
        <f t="shared" si="45"/>
        <v>162.317335657686</v>
      </c>
    </row>
    <row r="92" customFormat="1" spans="1:31">
      <c r="A92" s="18"/>
      <c r="B92" s="19"/>
      <c r="C92" s="20">
        <v>240627000023</v>
      </c>
      <c r="D92" s="21">
        <v>45477</v>
      </c>
      <c r="E92" s="21" t="s">
        <v>44</v>
      </c>
      <c r="F92" s="19" t="s">
        <v>45</v>
      </c>
      <c r="G92" s="19" t="s">
        <v>141</v>
      </c>
      <c r="H92" s="19">
        <v>4</v>
      </c>
      <c r="I92" s="41">
        <v>297.3</v>
      </c>
      <c r="J92" s="42"/>
      <c r="K92" s="43"/>
      <c r="L92" s="19"/>
      <c r="M92" s="43"/>
      <c r="N92" s="44"/>
      <c r="O92" s="45">
        <f>SUM(I92)</f>
        <v>297.3</v>
      </c>
      <c r="P92" s="51"/>
      <c r="Q92" s="51"/>
      <c r="R92" s="74">
        <f t="shared" si="51"/>
        <v>191.970839936609</v>
      </c>
      <c r="S92" s="74"/>
      <c r="T92" s="75">
        <f t="shared" si="52"/>
        <v>0.380348652931854</v>
      </c>
      <c r="U92" s="74">
        <v>30</v>
      </c>
      <c r="V92" s="74"/>
      <c r="W92" s="76">
        <f t="shared" si="49"/>
        <v>222.35118858954</v>
      </c>
      <c r="X92" s="77">
        <f t="shared" si="53"/>
        <v>2.889793977813</v>
      </c>
      <c r="Y92" s="77"/>
      <c r="Z92" s="77"/>
      <c r="AA92" s="77">
        <f t="shared" si="50"/>
        <v>2.889793977813</v>
      </c>
      <c r="AB92" s="87">
        <v>7.26</v>
      </c>
      <c r="AC92" s="74">
        <f t="shared" si="47"/>
        <v>20.9799042789223</v>
      </c>
      <c r="AD92" s="74">
        <f t="shared" si="48"/>
        <v>243.331092868463</v>
      </c>
      <c r="AE92" s="74">
        <f t="shared" si="45"/>
        <v>53.9689071315373</v>
      </c>
    </row>
    <row r="93" customFormat="1" spans="1:31">
      <c r="A93" s="18"/>
      <c r="B93" s="19"/>
      <c r="C93" s="20">
        <v>240627000024</v>
      </c>
      <c r="D93" s="21">
        <v>45477</v>
      </c>
      <c r="E93" s="21" t="s">
        <v>47</v>
      </c>
      <c r="F93" s="19" t="s">
        <v>48</v>
      </c>
      <c r="G93" s="19" t="s">
        <v>142</v>
      </c>
      <c r="H93" s="19">
        <v>3.5</v>
      </c>
      <c r="I93" s="45"/>
      <c r="J93" s="48">
        <v>51690.9</v>
      </c>
      <c r="K93" s="43"/>
      <c r="L93" s="19"/>
      <c r="M93" s="50">
        <v>32.51</v>
      </c>
      <c r="N93" s="44">
        <v>7.26</v>
      </c>
      <c r="O93" s="45">
        <f t="shared" si="55"/>
        <v>236.0226</v>
      </c>
      <c r="P93" s="51"/>
      <c r="Q93" s="51"/>
      <c r="R93" s="74">
        <f t="shared" si="51"/>
        <v>167.974484944532</v>
      </c>
      <c r="S93" s="74"/>
      <c r="T93" s="75">
        <f t="shared" si="52"/>
        <v>0.332805071315372</v>
      </c>
      <c r="U93" s="74"/>
      <c r="V93" s="74"/>
      <c r="W93" s="76">
        <f t="shared" si="49"/>
        <v>168.307290015848</v>
      </c>
      <c r="X93" s="77">
        <f t="shared" si="53"/>
        <v>2.52856973058637</v>
      </c>
      <c r="Y93" s="77"/>
      <c r="Z93" s="77"/>
      <c r="AA93" s="77">
        <f t="shared" si="50"/>
        <v>2.52856973058637</v>
      </c>
      <c r="AB93" s="87">
        <v>7.26</v>
      </c>
      <c r="AC93" s="74">
        <f t="shared" si="47"/>
        <v>18.3574162440571</v>
      </c>
      <c r="AD93" s="74">
        <f t="shared" si="48"/>
        <v>186.664706259905</v>
      </c>
      <c r="AE93" s="74">
        <f t="shared" si="45"/>
        <v>49.3578937400951</v>
      </c>
    </row>
    <row r="94" customFormat="1" spans="1:31">
      <c r="A94" s="18"/>
      <c r="B94" s="19"/>
      <c r="C94" s="20">
        <v>240627000027</v>
      </c>
      <c r="D94" s="21">
        <v>45477</v>
      </c>
      <c r="E94" s="21" t="s">
        <v>44</v>
      </c>
      <c r="F94" s="19" t="s">
        <v>45</v>
      </c>
      <c r="G94" s="19" t="s">
        <v>143</v>
      </c>
      <c r="H94" s="19">
        <v>25</v>
      </c>
      <c r="I94" s="45"/>
      <c r="J94" s="48">
        <v>425611.2</v>
      </c>
      <c r="K94" s="43"/>
      <c r="L94" s="49">
        <f t="shared" si="56"/>
        <v>1590</v>
      </c>
      <c r="M94" s="50">
        <v>267.68</v>
      </c>
      <c r="N94" s="44">
        <v>7.26</v>
      </c>
      <c r="O94" s="45">
        <f t="shared" si="55"/>
        <v>1943.3568</v>
      </c>
      <c r="P94" s="51"/>
      <c r="Q94" s="51"/>
      <c r="R94" s="74">
        <f t="shared" si="51"/>
        <v>1199.8177496038</v>
      </c>
      <c r="S94" s="74"/>
      <c r="T94" s="75">
        <f t="shared" si="52"/>
        <v>2.37717908082409</v>
      </c>
      <c r="U94" s="74"/>
      <c r="V94" s="74"/>
      <c r="W94" s="76">
        <f t="shared" si="49"/>
        <v>1202.19492868463</v>
      </c>
      <c r="X94" s="77">
        <f t="shared" si="53"/>
        <v>18.0612123613312</v>
      </c>
      <c r="Y94" s="77"/>
      <c r="Z94" s="77"/>
      <c r="AA94" s="77">
        <f t="shared" si="50"/>
        <v>18.0612123613312</v>
      </c>
      <c r="AB94" s="87">
        <v>7.26</v>
      </c>
      <c r="AC94" s="74">
        <f t="shared" si="47"/>
        <v>131.124401743265</v>
      </c>
      <c r="AD94" s="74">
        <f t="shared" si="48"/>
        <v>1333.31933042789</v>
      </c>
      <c r="AE94" s="74">
        <f t="shared" si="45"/>
        <v>610.037469572108</v>
      </c>
    </row>
    <row r="95" customFormat="1" spans="1:31">
      <c r="A95" s="18"/>
      <c r="B95" s="19"/>
      <c r="C95" s="20">
        <v>240627000028</v>
      </c>
      <c r="D95" s="21">
        <v>45477</v>
      </c>
      <c r="E95" s="21" t="s">
        <v>47</v>
      </c>
      <c r="F95" s="19" t="s">
        <v>48</v>
      </c>
      <c r="G95" s="19" t="s">
        <v>144</v>
      </c>
      <c r="H95" s="19">
        <v>3.5</v>
      </c>
      <c r="I95" s="45"/>
      <c r="J95" s="48">
        <v>46984</v>
      </c>
      <c r="K95" s="43"/>
      <c r="L95" s="49">
        <f t="shared" si="56"/>
        <v>1589.98307952623</v>
      </c>
      <c r="M95" s="50">
        <v>29.55</v>
      </c>
      <c r="N95" s="44">
        <v>7.26</v>
      </c>
      <c r="O95" s="45">
        <f t="shared" si="55"/>
        <v>214.533</v>
      </c>
      <c r="P95" s="51"/>
      <c r="Q95" s="51"/>
      <c r="R95" s="74">
        <f t="shared" si="51"/>
        <v>167.974484944532</v>
      </c>
      <c r="S95" s="74"/>
      <c r="T95" s="75">
        <f t="shared" si="52"/>
        <v>0.332805071315372</v>
      </c>
      <c r="U95" s="74"/>
      <c r="V95" s="74"/>
      <c r="W95" s="76">
        <f t="shared" si="49"/>
        <v>168.307290015848</v>
      </c>
      <c r="X95" s="77">
        <f t="shared" si="53"/>
        <v>2.52856973058637</v>
      </c>
      <c r="Y95" s="77"/>
      <c r="Z95" s="77"/>
      <c r="AA95" s="77">
        <f t="shared" si="50"/>
        <v>2.52856973058637</v>
      </c>
      <c r="AB95" s="87">
        <v>7.26</v>
      </c>
      <c r="AC95" s="74">
        <f t="shared" si="47"/>
        <v>18.3574162440571</v>
      </c>
      <c r="AD95" s="74">
        <f t="shared" si="48"/>
        <v>186.664706259905</v>
      </c>
      <c r="AE95" s="74">
        <f t="shared" si="45"/>
        <v>27.8682937400951</v>
      </c>
    </row>
    <row r="96" customFormat="1" spans="1:31">
      <c r="A96" s="18"/>
      <c r="B96" s="19"/>
      <c r="C96" s="20">
        <v>240628000002</v>
      </c>
      <c r="D96" s="21">
        <v>45477</v>
      </c>
      <c r="E96" s="21" t="s">
        <v>40</v>
      </c>
      <c r="F96" s="19" t="s">
        <v>41</v>
      </c>
      <c r="G96" s="19" t="s">
        <v>94</v>
      </c>
      <c r="H96" s="19">
        <v>0.74</v>
      </c>
      <c r="I96" s="47"/>
      <c r="J96" s="48">
        <v>14619.8</v>
      </c>
      <c r="K96" s="43"/>
      <c r="L96" s="49">
        <f t="shared" si="56"/>
        <v>1532.47379454927</v>
      </c>
      <c r="M96" s="50">
        <v>9.54</v>
      </c>
      <c r="N96" s="44">
        <v>7.26</v>
      </c>
      <c r="O96" s="45">
        <f t="shared" si="55"/>
        <v>69.2604</v>
      </c>
      <c r="P96" s="51"/>
      <c r="Q96" s="51"/>
      <c r="R96" s="74">
        <f t="shared" si="51"/>
        <v>35.5146053882726</v>
      </c>
      <c r="S96" s="74"/>
      <c r="T96" s="75">
        <f t="shared" si="52"/>
        <v>0.070364500792393</v>
      </c>
      <c r="U96" s="74"/>
      <c r="V96" s="74"/>
      <c r="W96" s="76">
        <f t="shared" si="49"/>
        <v>35.584969889065</v>
      </c>
      <c r="X96" s="77">
        <f t="shared" si="53"/>
        <v>0.534611885895404</v>
      </c>
      <c r="Y96" s="77"/>
      <c r="Z96" s="77"/>
      <c r="AA96" s="77">
        <f t="shared" si="50"/>
        <v>0.534611885895404</v>
      </c>
      <c r="AB96" s="87">
        <v>7.26</v>
      </c>
      <c r="AC96" s="74">
        <f t="shared" si="47"/>
        <v>3.88128229160063</v>
      </c>
      <c r="AD96" s="74">
        <f t="shared" si="48"/>
        <v>39.4662521806656</v>
      </c>
      <c r="AE96" s="74">
        <f t="shared" si="45"/>
        <v>29.7941478193344</v>
      </c>
    </row>
    <row r="97" customFormat="1" spans="1:31">
      <c r="A97" s="18"/>
      <c r="B97" s="19"/>
      <c r="C97" s="20">
        <v>240628000003</v>
      </c>
      <c r="D97" s="21">
        <v>45477</v>
      </c>
      <c r="E97" s="21" t="s">
        <v>40</v>
      </c>
      <c r="F97" s="19" t="s">
        <v>41</v>
      </c>
      <c r="G97" s="19" t="s">
        <v>145</v>
      </c>
      <c r="H97" s="19">
        <v>36</v>
      </c>
      <c r="I97" s="41">
        <v>2308</v>
      </c>
      <c r="J97" s="42"/>
      <c r="K97" s="43"/>
      <c r="L97" s="19"/>
      <c r="M97" s="43"/>
      <c r="N97" s="44"/>
      <c r="O97" s="45">
        <f t="shared" ref="O97:O103" si="57">SUM(I97)</f>
        <v>2308</v>
      </c>
      <c r="P97" s="51"/>
      <c r="Q97" s="51"/>
      <c r="R97" s="74">
        <f t="shared" si="51"/>
        <v>1727.73755942948</v>
      </c>
      <c r="S97" s="74"/>
      <c r="T97" s="75">
        <f t="shared" si="52"/>
        <v>3.42313787638669</v>
      </c>
      <c r="U97" s="74"/>
      <c r="V97" s="74"/>
      <c r="W97" s="76">
        <f t="shared" si="49"/>
        <v>1731.16069730586</v>
      </c>
      <c r="X97" s="77">
        <f t="shared" si="53"/>
        <v>26.008145800317</v>
      </c>
      <c r="Y97" s="77"/>
      <c r="Z97" s="77"/>
      <c r="AA97" s="77">
        <f t="shared" si="50"/>
        <v>26.008145800317</v>
      </c>
      <c r="AB97" s="87">
        <v>7.26</v>
      </c>
      <c r="AC97" s="74">
        <f t="shared" si="47"/>
        <v>188.819138510301</v>
      </c>
      <c r="AD97" s="74">
        <f t="shared" si="48"/>
        <v>1919.97983581616</v>
      </c>
      <c r="AE97" s="74">
        <f t="shared" si="45"/>
        <v>388.020164183835</v>
      </c>
    </row>
    <row r="98" customFormat="1" spans="1:31">
      <c r="A98" s="18"/>
      <c r="B98" s="19"/>
      <c r="C98" s="20">
        <v>240628000011</v>
      </c>
      <c r="D98" s="21">
        <v>45477</v>
      </c>
      <c r="E98" s="21" t="s">
        <v>58</v>
      </c>
      <c r="F98" s="19" t="s">
        <v>59</v>
      </c>
      <c r="G98" s="19" t="s">
        <v>146</v>
      </c>
      <c r="H98" s="19">
        <v>10.5</v>
      </c>
      <c r="I98" s="47"/>
      <c r="J98" s="48">
        <v>143640</v>
      </c>
      <c r="K98" s="43"/>
      <c r="L98" s="49">
        <f>SUM(J98/M98)</f>
        <v>1568.29348182116</v>
      </c>
      <c r="M98" s="50">
        <v>91.59</v>
      </c>
      <c r="N98" s="44">
        <v>7.26</v>
      </c>
      <c r="O98" s="45">
        <f>SUM(M98*N98)</f>
        <v>664.9434</v>
      </c>
      <c r="P98" s="51"/>
      <c r="Q98" s="51"/>
      <c r="R98" s="74">
        <f t="shared" si="51"/>
        <v>503.923454833597</v>
      </c>
      <c r="S98" s="74"/>
      <c r="T98" s="75">
        <f t="shared" si="52"/>
        <v>0.998415213946117</v>
      </c>
      <c r="U98" s="74"/>
      <c r="V98" s="74"/>
      <c r="W98" s="76">
        <f t="shared" si="49"/>
        <v>504.921870047544</v>
      </c>
      <c r="X98" s="77">
        <f t="shared" si="53"/>
        <v>7.58570919175911</v>
      </c>
      <c r="Y98" s="77"/>
      <c r="Z98" s="77"/>
      <c r="AA98" s="77">
        <f t="shared" si="50"/>
        <v>7.58570919175911</v>
      </c>
      <c r="AB98" s="87">
        <v>7.26</v>
      </c>
      <c r="AC98" s="74">
        <f t="shared" si="47"/>
        <v>55.0722487321712</v>
      </c>
      <c r="AD98" s="74">
        <f t="shared" si="48"/>
        <v>559.994118779715</v>
      </c>
      <c r="AE98" s="74">
        <f t="shared" si="45"/>
        <v>104.949281220285</v>
      </c>
    </row>
    <row r="99" customFormat="1" spans="1:31">
      <c r="A99" s="18"/>
      <c r="B99" s="19"/>
      <c r="C99" s="20">
        <v>240628000023</v>
      </c>
      <c r="D99" s="21">
        <v>45477</v>
      </c>
      <c r="E99" s="21" t="s">
        <v>40</v>
      </c>
      <c r="F99" s="19" t="s">
        <v>147</v>
      </c>
      <c r="G99" s="19" t="s">
        <v>147</v>
      </c>
      <c r="H99" s="19">
        <v>5.5</v>
      </c>
      <c r="I99" s="45"/>
      <c r="J99" s="48">
        <v>89199</v>
      </c>
      <c r="K99" s="43"/>
      <c r="L99" s="49">
        <f>SUM(J99/M99)</f>
        <v>1590</v>
      </c>
      <c r="M99" s="50">
        <v>56.1</v>
      </c>
      <c r="N99" s="44">
        <v>7.26</v>
      </c>
      <c r="O99" s="45">
        <f>SUM(M99*N99)</f>
        <v>407.286</v>
      </c>
      <c r="P99" s="51"/>
      <c r="Q99" s="51"/>
      <c r="R99" s="74">
        <f t="shared" si="51"/>
        <v>263.959904912837</v>
      </c>
      <c r="S99" s="74"/>
      <c r="T99" s="75">
        <f t="shared" si="52"/>
        <v>0.5229793977813</v>
      </c>
      <c r="U99" s="74"/>
      <c r="V99" s="74"/>
      <c r="W99" s="76">
        <f t="shared" si="49"/>
        <v>264.482884310618</v>
      </c>
      <c r="X99" s="77">
        <f t="shared" si="53"/>
        <v>3.97346671949287</v>
      </c>
      <c r="Y99" s="77"/>
      <c r="Z99" s="77"/>
      <c r="AA99" s="77">
        <f t="shared" si="50"/>
        <v>3.97346671949287</v>
      </c>
      <c r="AB99" s="87">
        <v>7.26</v>
      </c>
      <c r="AC99" s="74">
        <f t="shared" si="47"/>
        <v>28.8473683835182</v>
      </c>
      <c r="AD99" s="74">
        <f t="shared" si="48"/>
        <v>293.330252694136</v>
      </c>
      <c r="AE99" s="74">
        <f t="shared" si="45"/>
        <v>113.955747305864</v>
      </c>
    </row>
    <row r="100" customFormat="1" spans="1:31">
      <c r="A100" s="18"/>
      <c r="B100" s="19"/>
      <c r="C100" s="20">
        <v>240628000027</v>
      </c>
      <c r="D100" s="21">
        <v>45477</v>
      </c>
      <c r="E100" s="21" t="s">
        <v>37</v>
      </c>
      <c r="F100" s="19" t="s">
        <v>37</v>
      </c>
      <c r="G100" s="19" t="s">
        <v>148</v>
      </c>
      <c r="H100" s="19">
        <v>524</v>
      </c>
      <c r="I100" s="41">
        <v>27248</v>
      </c>
      <c r="J100" s="42"/>
      <c r="K100" s="43"/>
      <c r="L100" s="19"/>
      <c r="M100" s="43"/>
      <c r="N100" s="44"/>
      <c r="O100" s="45">
        <f t="shared" si="57"/>
        <v>27248</v>
      </c>
      <c r="P100" s="51"/>
      <c r="Q100" s="51"/>
      <c r="R100" s="74">
        <f t="shared" si="51"/>
        <v>25148.1800316957</v>
      </c>
      <c r="S100" s="74"/>
      <c r="T100" s="75">
        <f t="shared" si="52"/>
        <v>49.8256735340729</v>
      </c>
      <c r="U100" s="74"/>
      <c r="V100" s="74"/>
      <c r="W100" s="76">
        <f t="shared" si="49"/>
        <v>25198.0057052298</v>
      </c>
      <c r="X100" s="77">
        <f t="shared" si="53"/>
        <v>378.563011093502</v>
      </c>
      <c r="Y100" s="77"/>
      <c r="Z100" s="77"/>
      <c r="AA100" s="77">
        <f t="shared" si="50"/>
        <v>378.563011093502</v>
      </c>
      <c r="AB100" s="87">
        <v>7.26</v>
      </c>
      <c r="AC100" s="74">
        <f t="shared" si="47"/>
        <v>2748.36746053883</v>
      </c>
      <c r="AD100" s="74">
        <f t="shared" si="48"/>
        <v>27946.3731657686</v>
      </c>
      <c r="AE100" s="74">
        <f t="shared" si="45"/>
        <v>-698.373165768622</v>
      </c>
    </row>
    <row r="101" customFormat="1" spans="1:31">
      <c r="A101" s="18"/>
      <c r="B101" s="19"/>
      <c r="C101" s="20">
        <v>240628000028</v>
      </c>
      <c r="D101" s="21">
        <v>45477</v>
      </c>
      <c r="E101" s="21" t="s">
        <v>37</v>
      </c>
      <c r="F101" s="19" t="s">
        <v>37</v>
      </c>
      <c r="G101" s="19" t="s">
        <v>149</v>
      </c>
      <c r="H101" s="19">
        <v>476</v>
      </c>
      <c r="I101" s="41">
        <v>25960</v>
      </c>
      <c r="J101" s="42"/>
      <c r="K101" s="43"/>
      <c r="L101" s="19"/>
      <c r="M101" s="43"/>
      <c r="N101" s="44"/>
      <c r="O101" s="45">
        <f t="shared" si="57"/>
        <v>25960</v>
      </c>
      <c r="P101" s="51"/>
      <c r="Q101" s="51"/>
      <c r="R101" s="74">
        <f t="shared" si="51"/>
        <v>22844.5299524564</v>
      </c>
      <c r="S101" s="74"/>
      <c r="T101" s="75">
        <f t="shared" si="52"/>
        <v>45.2614896988906</v>
      </c>
      <c r="U101" s="74"/>
      <c r="V101" s="74"/>
      <c r="W101" s="76">
        <f t="shared" si="49"/>
        <v>22889.7914421553</v>
      </c>
      <c r="X101" s="77">
        <f t="shared" si="53"/>
        <v>343.885483359746</v>
      </c>
      <c r="Y101" s="77"/>
      <c r="Z101" s="77"/>
      <c r="AA101" s="77">
        <f t="shared" si="50"/>
        <v>343.885483359746</v>
      </c>
      <c r="AB101" s="87">
        <v>7.26</v>
      </c>
      <c r="AC101" s="74">
        <f t="shared" si="47"/>
        <v>2496.60860919176</v>
      </c>
      <c r="AD101" s="74">
        <f t="shared" si="48"/>
        <v>25386.4000513471</v>
      </c>
      <c r="AE101" s="74">
        <f t="shared" si="45"/>
        <v>573.599948652929</v>
      </c>
    </row>
    <row r="102" customFormat="1" spans="1:31">
      <c r="A102" s="18"/>
      <c r="B102" s="19"/>
      <c r="C102" s="20">
        <v>240628000040</v>
      </c>
      <c r="D102" s="21">
        <v>45477</v>
      </c>
      <c r="E102" s="21" t="s">
        <v>81</v>
      </c>
      <c r="F102" s="19" t="s">
        <v>82</v>
      </c>
      <c r="G102" s="19" t="s">
        <v>83</v>
      </c>
      <c r="H102" s="19">
        <v>0.92</v>
      </c>
      <c r="I102" s="41">
        <v>88.2</v>
      </c>
      <c r="J102" s="42"/>
      <c r="K102" s="43"/>
      <c r="L102" s="19"/>
      <c r="M102" s="43"/>
      <c r="N102" s="44"/>
      <c r="O102" s="45">
        <f t="shared" si="57"/>
        <v>88.2</v>
      </c>
      <c r="P102" s="51"/>
      <c r="Q102" s="51"/>
      <c r="R102" s="74">
        <f t="shared" si="51"/>
        <v>44.15329318542</v>
      </c>
      <c r="S102" s="74"/>
      <c r="T102" s="75">
        <f t="shared" si="52"/>
        <v>0.0874801901743265</v>
      </c>
      <c r="U102" s="74"/>
      <c r="V102" s="74"/>
      <c r="W102" s="76">
        <f t="shared" si="49"/>
        <v>44.2407733755943</v>
      </c>
      <c r="X102" s="77">
        <f t="shared" si="53"/>
        <v>0.664652614896989</v>
      </c>
      <c r="Y102" s="77"/>
      <c r="Z102" s="77"/>
      <c r="AA102" s="77">
        <f t="shared" si="50"/>
        <v>0.664652614896989</v>
      </c>
      <c r="AB102" s="87">
        <v>7.26</v>
      </c>
      <c r="AC102" s="74">
        <f t="shared" si="47"/>
        <v>4.82537798415214</v>
      </c>
      <c r="AD102" s="74">
        <f t="shared" si="48"/>
        <v>49.0661513597464</v>
      </c>
      <c r="AE102" s="74">
        <f t="shared" si="45"/>
        <v>39.1338486402536</v>
      </c>
    </row>
    <row r="103" customFormat="1" spans="1:31">
      <c r="A103" s="18"/>
      <c r="B103" s="19"/>
      <c r="C103" s="20">
        <v>240630000001</v>
      </c>
      <c r="D103" s="21">
        <v>45477</v>
      </c>
      <c r="E103" s="21" t="s">
        <v>37</v>
      </c>
      <c r="F103" s="19" t="s">
        <v>37</v>
      </c>
      <c r="G103" s="19" t="s">
        <v>150</v>
      </c>
      <c r="H103" s="19">
        <v>7</v>
      </c>
      <c r="I103" s="41">
        <v>445.5</v>
      </c>
      <c r="J103" s="42"/>
      <c r="K103" s="43"/>
      <c r="L103" s="19"/>
      <c r="M103" s="43"/>
      <c r="N103" s="44"/>
      <c r="O103" s="45">
        <f t="shared" si="57"/>
        <v>445.5</v>
      </c>
      <c r="P103" s="51"/>
      <c r="Q103" s="51"/>
      <c r="R103" s="74">
        <f t="shared" si="51"/>
        <v>335.948969889065</v>
      </c>
      <c r="S103" s="74"/>
      <c r="T103" s="75">
        <f t="shared" si="52"/>
        <v>0.665610142630745</v>
      </c>
      <c r="U103" s="74"/>
      <c r="V103" s="74"/>
      <c r="W103" s="76">
        <f t="shared" si="49"/>
        <v>336.614580031696</v>
      </c>
      <c r="X103" s="77">
        <f t="shared" si="53"/>
        <v>5.05713946117274</v>
      </c>
      <c r="Y103" s="77"/>
      <c r="Z103" s="77"/>
      <c r="AA103" s="77">
        <f t="shared" ref="AA103:AA115" si="58">SUM(X103:Z103)</f>
        <v>5.05713946117274</v>
      </c>
      <c r="AB103" s="87">
        <v>7.26</v>
      </c>
      <c r="AC103" s="74">
        <f t="shared" si="47"/>
        <v>36.7148324881141</v>
      </c>
      <c r="AD103" s="74">
        <f t="shared" si="48"/>
        <v>373.32941251981</v>
      </c>
      <c r="AE103" s="74">
        <f t="shared" ref="AE103:AE115" si="59">SUM(O103-AD103)</f>
        <v>72.1705874801902</v>
      </c>
    </row>
    <row r="104" customFormat="1" spans="1:31">
      <c r="A104" s="18"/>
      <c r="B104" s="19"/>
      <c r="C104" s="20">
        <v>240630000006</v>
      </c>
      <c r="D104" s="21">
        <v>45477</v>
      </c>
      <c r="E104" s="21" t="s">
        <v>37</v>
      </c>
      <c r="F104" s="19" t="s">
        <v>53</v>
      </c>
      <c r="G104" s="19" t="s">
        <v>115</v>
      </c>
      <c r="H104" s="19">
        <v>54.5</v>
      </c>
      <c r="I104" s="45"/>
      <c r="J104" s="48">
        <v>786060</v>
      </c>
      <c r="K104" s="43"/>
      <c r="L104" s="49">
        <f>SUM(J104/M104)</f>
        <v>1584</v>
      </c>
      <c r="M104" s="50">
        <v>496.25</v>
      </c>
      <c r="N104" s="44">
        <v>7.26</v>
      </c>
      <c r="O104" s="45">
        <f>SUM(M104*N104)</f>
        <v>3602.775</v>
      </c>
      <c r="P104" s="52"/>
      <c r="Q104" s="52"/>
      <c r="R104" s="74">
        <f t="shared" si="51"/>
        <v>2615.60269413629</v>
      </c>
      <c r="S104" s="74"/>
      <c r="T104" s="75">
        <f t="shared" si="52"/>
        <v>5.18225039619651</v>
      </c>
      <c r="U104" s="75">
        <v>180</v>
      </c>
      <c r="V104" s="74"/>
      <c r="W104" s="76">
        <f t="shared" ref="W104:W115" si="60">SUM(R104:V104)</f>
        <v>2800.78494453249</v>
      </c>
      <c r="X104" s="77">
        <f t="shared" si="53"/>
        <v>39.3734429477021</v>
      </c>
      <c r="Y104" s="77"/>
      <c r="Z104" s="77"/>
      <c r="AA104" s="77">
        <f t="shared" si="58"/>
        <v>39.3734429477021</v>
      </c>
      <c r="AB104" s="87">
        <v>7.26</v>
      </c>
      <c r="AC104" s="74">
        <f t="shared" ref="AC104:AC115" si="61">SUM(AA104*AB104)</f>
        <v>285.851195800317</v>
      </c>
      <c r="AD104" s="74">
        <f t="shared" ref="AD104:AD115" si="62">SUM(W104+AC104)</f>
        <v>3086.63614033281</v>
      </c>
      <c r="AE104" s="74">
        <f t="shared" si="59"/>
        <v>516.138859667195</v>
      </c>
    </row>
    <row r="105" customFormat="1" spans="1:31">
      <c r="A105" s="18" t="s">
        <v>151</v>
      </c>
      <c r="B105" s="19" t="s">
        <v>152</v>
      </c>
      <c r="C105" s="20">
        <v>240627000007</v>
      </c>
      <c r="D105" s="21">
        <v>45478</v>
      </c>
      <c r="E105" s="21" t="s">
        <v>44</v>
      </c>
      <c r="F105" s="19" t="s">
        <v>45</v>
      </c>
      <c r="G105" s="19" t="s">
        <v>153</v>
      </c>
      <c r="H105" s="19">
        <v>5.5</v>
      </c>
      <c r="I105" s="41">
        <v>632.5</v>
      </c>
      <c r="J105" s="42"/>
      <c r="K105" s="43"/>
      <c r="L105" s="19"/>
      <c r="M105" s="43"/>
      <c r="N105" s="44"/>
      <c r="O105" s="45">
        <f t="shared" ref="O105:O108" si="63">SUM(I105)</f>
        <v>632.5</v>
      </c>
      <c r="P105" s="46">
        <f>SUM(O105:O115)</f>
        <v>3958.6918</v>
      </c>
      <c r="Q105" s="46" t="s">
        <v>39</v>
      </c>
      <c r="R105" s="74">
        <f>SUM(2400/32)*H105</f>
        <v>412.5</v>
      </c>
      <c r="S105" s="74"/>
      <c r="T105" s="75">
        <f>SUM(54.77/32)*H105</f>
        <v>9.41359375</v>
      </c>
      <c r="U105" s="74"/>
      <c r="V105" s="74"/>
      <c r="W105" s="76">
        <f t="shared" si="60"/>
        <v>421.91359375</v>
      </c>
      <c r="X105" s="77">
        <f>SUM(131.93/32)*H105</f>
        <v>22.67546875</v>
      </c>
      <c r="Y105" s="77"/>
      <c r="Z105" s="77"/>
      <c r="AA105" s="77">
        <f t="shared" si="58"/>
        <v>22.67546875</v>
      </c>
      <c r="AB105" s="87">
        <v>7.26</v>
      </c>
      <c r="AC105" s="74">
        <f t="shared" si="61"/>
        <v>164.623903125</v>
      </c>
      <c r="AD105" s="74">
        <f t="shared" si="62"/>
        <v>586.537496875</v>
      </c>
      <c r="AE105" s="74">
        <f t="shared" si="59"/>
        <v>45.962503125</v>
      </c>
    </row>
    <row r="106" customFormat="1" spans="1:31">
      <c r="A106" s="18"/>
      <c r="B106" s="19"/>
      <c r="C106" s="20">
        <v>240701000025</v>
      </c>
      <c r="D106" s="21">
        <v>45478</v>
      </c>
      <c r="E106" s="21" t="s">
        <v>58</v>
      </c>
      <c r="F106" s="19" t="s">
        <v>59</v>
      </c>
      <c r="G106" s="19" t="s">
        <v>65</v>
      </c>
      <c r="H106" s="19">
        <v>4</v>
      </c>
      <c r="I106" s="41">
        <v>480</v>
      </c>
      <c r="J106" s="42"/>
      <c r="K106" s="43"/>
      <c r="L106" s="19"/>
      <c r="M106" s="43"/>
      <c r="N106" s="44"/>
      <c r="O106" s="45">
        <f t="shared" si="63"/>
        <v>480</v>
      </c>
      <c r="P106" s="51"/>
      <c r="Q106" s="51"/>
      <c r="R106" s="74">
        <f t="shared" ref="R106:R115" si="64">SUM(2400/32)*H106</f>
        <v>300</v>
      </c>
      <c r="S106" s="74"/>
      <c r="T106" s="75">
        <f t="shared" ref="T106:T115" si="65">SUM(54.77/32)*H106</f>
        <v>6.84625</v>
      </c>
      <c r="U106" s="74"/>
      <c r="V106" s="74"/>
      <c r="W106" s="76">
        <f t="shared" si="60"/>
        <v>306.84625</v>
      </c>
      <c r="X106" s="77">
        <f t="shared" ref="X106:X115" si="66">SUM(131.93/32)*H106</f>
        <v>16.49125</v>
      </c>
      <c r="Y106" s="77"/>
      <c r="Z106" s="77"/>
      <c r="AA106" s="77">
        <f t="shared" si="58"/>
        <v>16.49125</v>
      </c>
      <c r="AB106" s="87">
        <v>7.26</v>
      </c>
      <c r="AC106" s="74">
        <f t="shared" si="61"/>
        <v>119.726475</v>
      </c>
      <c r="AD106" s="74">
        <f t="shared" si="62"/>
        <v>426.572725</v>
      </c>
      <c r="AE106" s="74">
        <f t="shared" si="59"/>
        <v>53.427275</v>
      </c>
    </row>
    <row r="107" customFormat="1" spans="1:31">
      <c r="A107" s="18"/>
      <c r="B107" s="19"/>
      <c r="C107" s="20">
        <v>240701000036</v>
      </c>
      <c r="D107" s="21">
        <v>45478</v>
      </c>
      <c r="E107" s="21" t="s">
        <v>47</v>
      </c>
      <c r="F107" s="19" t="s">
        <v>48</v>
      </c>
      <c r="G107" s="19" t="s">
        <v>154</v>
      </c>
      <c r="H107" s="19">
        <v>0.7</v>
      </c>
      <c r="I107" s="41">
        <v>180</v>
      </c>
      <c r="J107" s="42"/>
      <c r="K107" s="43"/>
      <c r="L107" s="19"/>
      <c r="M107" s="43"/>
      <c r="N107" s="44"/>
      <c r="O107" s="45">
        <f t="shared" si="63"/>
        <v>180</v>
      </c>
      <c r="P107" s="51"/>
      <c r="Q107" s="51"/>
      <c r="R107" s="74">
        <f t="shared" si="64"/>
        <v>52.5</v>
      </c>
      <c r="S107" s="74"/>
      <c r="T107" s="75">
        <f t="shared" si="65"/>
        <v>1.19809375</v>
      </c>
      <c r="U107" s="74"/>
      <c r="V107" s="74"/>
      <c r="W107" s="76">
        <f t="shared" si="60"/>
        <v>53.69809375</v>
      </c>
      <c r="X107" s="77">
        <f t="shared" si="66"/>
        <v>2.88596875</v>
      </c>
      <c r="Y107" s="77"/>
      <c r="Z107" s="77"/>
      <c r="AA107" s="77">
        <f t="shared" si="58"/>
        <v>2.88596875</v>
      </c>
      <c r="AB107" s="87">
        <v>7.26</v>
      </c>
      <c r="AC107" s="74">
        <f t="shared" si="61"/>
        <v>20.952133125</v>
      </c>
      <c r="AD107" s="74">
        <f t="shared" si="62"/>
        <v>74.650226875</v>
      </c>
      <c r="AE107" s="74">
        <f t="shared" si="59"/>
        <v>105.349773125</v>
      </c>
    </row>
    <row r="108" customFormat="1" spans="1:31">
      <c r="A108" s="18"/>
      <c r="B108" s="19"/>
      <c r="C108" s="20">
        <v>240702000002</v>
      </c>
      <c r="D108" s="21">
        <v>45478</v>
      </c>
      <c r="E108" s="21" t="s">
        <v>47</v>
      </c>
      <c r="F108" s="19" t="s">
        <v>155</v>
      </c>
      <c r="G108" s="19" t="s">
        <v>156</v>
      </c>
      <c r="H108" s="19">
        <v>5</v>
      </c>
      <c r="I108" s="41">
        <v>333.3</v>
      </c>
      <c r="J108" s="42"/>
      <c r="K108" s="43"/>
      <c r="L108" s="19"/>
      <c r="M108" s="43"/>
      <c r="N108" s="44"/>
      <c r="O108" s="45">
        <f t="shared" si="63"/>
        <v>333.3</v>
      </c>
      <c r="P108" s="51"/>
      <c r="Q108" s="51"/>
      <c r="R108" s="74">
        <f t="shared" si="64"/>
        <v>375</v>
      </c>
      <c r="S108" s="74"/>
      <c r="T108" s="75">
        <f t="shared" si="65"/>
        <v>8.5578125</v>
      </c>
      <c r="U108" s="74"/>
      <c r="V108" s="74"/>
      <c r="W108" s="76">
        <f t="shared" si="60"/>
        <v>383.5578125</v>
      </c>
      <c r="X108" s="77">
        <f t="shared" si="66"/>
        <v>20.6140625</v>
      </c>
      <c r="Y108" s="77"/>
      <c r="Z108" s="77"/>
      <c r="AA108" s="77">
        <f t="shared" si="58"/>
        <v>20.6140625</v>
      </c>
      <c r="AB108" s="87">
        <v>7.26</v>
      </c>
      <c r="AC108" s="74">
        <f t="shared" si="61"/>
        <v>149.65809375</v>
      </c>
      <c r="AD108" s="74">
        <f t="shared" si="62"/>
        <v>533.21590625</v>
      </c>
      <c r="AE108" s="74">
        <f t="shared" si="59"/>
        <v>-199.91590625</v>
      </c>
    </row>
    <row r="109" customFormat="1" spans="1:31">
      <c r="A109" s="18"/>
      <c r="B109" s="19"/>
      <c r="C109" s="20">
        <v>240702000005</v>
      </c>
      <c r="D109" s="21">
        <v>45478</v>
      </c>
      <c r="E109" s="21" t="s">
        <v>58</v>
      </c>
      <c r="F109" s="19" t="s">
        <v>59</v>
      </c>
      <c r="G109" s="19" t="s">
        <v>157</v>
      </c>
      <c r="H109" s="19">
        <v>2.5</v>
      </c>
      <c r="I109" s="45"/>
      <c r="J109" s="48">
        <v>60135</v>
      </c>
      <c r="K109" s="43"/>
      <c r="L109" s="49">
        <f>SUM(J109/M109)</f>
        <v>1506.01051840721</v>
      </c>
      <c r="M109" s="50">
        <v>39.93</v>
      </c>
      <c r="N109" s="44">
        <v>7.26</v>
      </c>
      <c r="O109" s="45">
        <f>SUM(M109*N109)</f>
        <v>289.8918</v>
      </c>
      <c r="P109" s="51"/>
      <c r="Q109" s="51"/>
      <c r="R109" s="74">
        <f t="shared" si="64"/>
        <v>187.5</v>
      </c>
      <c r="S109" s="74"/>
      <c r="T109" s="75">
        <f t="shared" si="65"/>
        <v>4.27890625</v>
      </c>
      <c r="U109" s="74"/>
      <c r="V109" s="74"/>
      <c r="W109" s="76">
        <f t="shared" si="60"/>
        <v>191.77890625</v>
      </c>
      <c r="X109" s="77">
        <f t="shared" si="66"/>
        <v>10.30703125</v>
      </c>
      <c r="Y109" s="77"/>
      <c r="Z109" s="77"/>
      <c r="AA109" s="77">
        <f t="shared" si="58"/>
        <v>10.30703125</v>
      </c>
      <c r="AB109" s="87">
        <v>7.26</v>
      </c>
      <c r="AC109" s="74">
        <f t="shared" si="61"/>
        <v>74.829046875</v>
      </c>
      <c r="AD109" s="74">
        <f t="shared" si="62"/>
        <v>266.607953125</v>
      </c>
      <c r="AE109" s="74">
        <f t="shared" si="59"/>
        <v>23.283846875</v>
      </c>
    </row>
    <row r="110" customFormat="1" spans="1:31">
      <c r="A110" s="18"/>
      <c r="B110" s="19"/>
      <c r="C110" s="20">
        <v>240702000018</v>
      </c>
      <c r="D110" s="21">
        <v>45478</v>
      </c>
      <c r="E110" s="21" t="s">
        <v>47</v>
      </c>
      <c r="F110" s="19" t="s">
        <v>48</v>
      </c>
      <c r="G110" s="19" t="s">
        <v>158</v>
      </c>
      <c r="H110" s="19">
        <v>0.96</v>
      </c>
      <c r="I110" s="41">
        <v>120</v>
      </c>
      <c r="J110" s="42"/>
      <c r="K110" s="43"/>
      <c r="L110" s="19"/>
      <c r="M110" s="43"/>
      <c r="N110" s="44"/>
      <c r="O110" s="45">
        <f t="shared" ref="O110:O116" si="67">SUM(I110)</f>
        <v>120</v>
      </c>
      <c r="P110" s="51"/>
      <c r="Q110" s="51"/>
      <c r="R110" s="74">
        <f t="shared" si="64"/>
        <v>72</v>
      </c>
      <c r="S110" s="74"/>
      <c r="T110" s="75">
        <f t="shared" si="65"/>
        <v>1.6431</v>
      </c>
      <c r="U110" s="74"/>
      <c r="V110" s="74"/>
      <c r="W110" s="76">
        <f t="shared" si="60"/>
        <v>73.6431</v>
      </c>
      <c r="X110" s="77">
        <f t="shared" si="66"/>
        <v>3.9579</v>
      </c>
      <c r="Y110" s="77"/>
      <c r="Z110" s="77"/>
      <c r="AA110" s="77">
        <f t="shared" si="58"/>
        <v>3.9579</v>
      </c>
      <c r="AB110" s="87">
        <v>7.26</v>
      </c>
      <c r="AC110" s="74">
        <f t="shared" si="61"/>
        <v>28.734354</v>
      </c>
      <c r="AD110" s="74">
        <f t="shared" si="62"/>
        <v>102.377454</v>
      </c>
      <c r="AE110" s="74">
        <f t="shared" si="59"/>
        <v>17.622546</v>
      </c>
    </row>
    <row r="111" customFormat="1" spans="1:31">
      <c r="A111" s="18"/>
      <c r="B111" s="19"/>
      <c r="C111" s="20">
        <v>240703000008</v>
      </c>
      <c r="D111" s="21">
        <v>45478</v>
      </c>
      <c r="E111" s="21" t="s">
        <v>47</v>
      </c>
      <c r="F111" s="19" t="s">
        <v>48</v>
      </c>
      <c r="G111" s="19" t="s">
        <v>159</v>
      </c>
      <c r="H111" s="19">
        <v>4</v>
      </c>
      <c r="I111" s="41">
        <v>480</v>
      </c>
      <c r="J111" s="42"/>
      <c r="K111" s="43"/>
      <c r="L111" s="19"/>
      <c r="M111" s="43"/>
      <c r="N111" s="44"/>
      <c r="O111" s="45">
        <f t="shared" si="67"/>
        <v>480</v>
      </c>
      <c r="P111" s="51"/>
      <c r="Q111" s="51"/>
      <c r="R111" s="74">
        <f t="shared" si="64"/>
        <v>300</v>
      </c>
      <c r="S111" s="74"/>
      <c r="T111" s="75">
        <f t="shared" si="65"/>
        <v>6.84625</v>
      </c>
      <c r="U111" s="74"/>
      <c r="V111" s="74"/>
      <c r="W111" s="76">
        <f t="shared" si="60"/>
        <v>306.84625</v>
      </c>
      <c r="X111" s="77">
        <f t="shared" si="66"/>
        <v>16.49125</v>
      </c>
      <c r="Y111" s="77"/>
      <c r="Z111" s="77"/>
      <c r="AA111" s="77">
        <f t="shared" si="58"/>
        <v>16.49125</v>
      </c>
      <c r="AB111" s="87">
        <v>7.26</v>
      </c>
      <c r="AC111" s="74">
        <f t="shared" si="61"/>
        <v>119.726475</v>
      </c>
      <c r="AD111" s="74">
        <f t="shared" si="62"/>
        <v>426.572725</v>
      </c>
      <c r="AE111" s="74">
        <f t="shared" si="59"/>
        <v>53.427275</v>
      </c>
    </row>
    <row r="112" customFormat="1" spans="1:31">
      <c r="A112" s="18"/>
      <c r="B112" s="19"/>
      <c r="C112" s="20">
        <v>240703000009</v>
      </c>
      <c r="D112" s="21">
        <v>45478</v>
      </c>
      <c r="E112" s="21" t="s">
        <v>47</v>
      </c>
      <c r="F112" s="19" t="s">
        <v>48</v>
      </c>
      <c r="G112" s="19" t="s">
        <v>159</v>
      </c>
      <c r="H112" s="19">
        <v>6.5</v>
      </c>
      <c r="I112" s="41">
        <v>780</v>
      </c>
      <c r="J112" s="42"/>
      <c r="K112" s="43"/>
      <c r="L112" s="19"/>
      <c r="M112" s="43"/>
      <c r="N112" s="44"/>
      <c r="O112" s="45">
        <f t="shared" si="67"/>
        <v>780</v>
      </c>
      <c r="P112" s="51"/>
      <c r="Q112" s="51"/>
      <c r="R112" s="74">
        <f t="shared" si="64"/>
        <v>487.5</v>
      </c>
      <c r="S112" s="74"/>
      <c r="T112" s="75">
        <f t="shared" si="65"/>
        <v>11.12515625</v>
      </c>
      <c r="U112" s="74"/>
      <c r="V112" s="74"/>
      <c r="W112" s="76">
        <f t="shared" si="60"/>
        <v>498.62515625</v>
      </c>
      <c r="X112" s="77">
        <f t="shared" si="66"/>
        <v>26.79828125</v>
      </c>
      <c r="Y112" s="77"/>
      <c r="Z112" s="77"/>
      <c r="AA112" s="77">
        <f t="shared" si="58"/>
        <v>26.79828125</v>
      </c>
      <c r="AB112" s="87">
        <v>7.26</v>
      </c>
      <c r="AC112" s="74">
        <f t="shared" si="61"/>
        <v>194.555521875</v>
      </c>
      <c r="AD112" s="74">
        <f t="shared" si="62"/>
        <v>693.180678125</v>
      </c>
      <c r="AE112" s="74">
        <f t="shared" si="59"/>
        <v>86.819321875</v>
      </c>
    </row>
    <row r="113" customFormat="1" spans="1:31">
      <c r="A113" s="18"/>
      <c r="B113" s="19"/>
      <c r="C113" s="20">
        <v>240703000019</v>
      </c>
      <c r="D113" s="21">
        <v>45478</v>
      </c>
      <c r="E113" s="21" t="s">
        <v>47</v>
      </c>
      <c r="F113" s="19" t="s">
        <v>48</v>
      </c>
      <c r="G113" s="19" t="s">
        <v>154</v>
      </c>
      <c r="H113" s="19">
        <v>0.6</v>
      </c>
      <c r="I113" s="41">
        <v>180</v>
      </c>
      <c r="J113" s="42"/>
      <c r="K113" s="43"/>
      <c r="L113" s="19"/>
      <c r="M113" s="43"/>
      <c r="N113" s="44"/>
      <c r="O113" s="45">
        <f t="shared" si="67"/>
        <v>180</v>
      </c>
      <c r="P113" s="51"/>
      <c r="Q113" s="51"/>
      <c r="R113" s="74">
        <f t="shared" si="64"/>
        <v>45</v>
      </c>
      <c r="S113" s="74"/>
      <c r="T113" s="75">
        <f t="shared" si="65"/>
        <v>1.0269375</v>
      </c>
      <c r="U113" s="74"/>
      <c r="V113" s="74"/>
      <c r="W113" s="76">
        <f t="shared" si="60"/>
        <v>46.0269375</v>
      </c>
      <c r="X113" s="77">
        <f t="shared" si="66"/>
        <v>2.4736875</v>
      </c>
      <c r="Y113" s="77"/>
      <c r="Z113" s="77"/>
      <c r="AA113" s="77">
        <f t="shared" si="58"/>
        <v>2.4736875</v>
      </c>
      <c r="AB113" s="87">
        <v>7.26</v>
      </c>
      <c r="AC113" s="74">
        <f t="shared" si="61"/>
        <v>17.95897125</v>
      </c>
      <c r="AD113" s="74">
        <f t="shared" si="62"/>
        <v>63.98590875</v>
      </c>
      <c r="AE113" s="74">
        <f t="shared" si="59"/>
        <v>116.01409125</v>
      </c>
    </row>
    <row r="114" customFormat="1" spans="1:31">
      <c r="A114" s="18"/>
      <c r="B114" s="19"/>
      <c r="C114" s="20">
        <v>240704000002</v>
      </c>
      <c r="D114" s="21">
        <v>45478</v>
      </c>
      <c r="E114" s="21" t="s">
        <v>58</v>
      </c>
      <c r="F114" s="19" t="s">
        <v>59</v>
      </c>
      <c r="G114" s="19" t="s">
        <v>65</v>
      </c>
      <c r="H114" s="19">
        <v>2</v>
      </c>
      <c r="I114" s="41">
        <v>240</v>
      </c>
      <c r="J114" s="42"/>
      <c r="K114" s="43"/>
      <c r="L114" s="19"/>
      <c r="M114" s="43"/>
      <c r="N114" s="44"/>
      <c r="O114" s="45">
        <f t="shared" si="67"/>
        <v>240</v>
      </c>
      <c r="P114" s="51"/>
      <c r="Q114" s="51"/>
      <c r="R114" s="74">
        <f t="shared" si="64"/>
        <v>150</v>
      </c>
      <c r="S114" s="74"/>
      <c r="T114" s="75">
        <f t="shared" si="65"/>
        <v>3.423125</v>
      </c>
      <c r="U114" s="74"/>
      <c r="V114" s="74"/>
      <c r="W114" s="76">
        <f t="shared" si="60"/>
        <v>153.423125</v>
      </c>
      <c r="X114" s="77">
        <f t="shared" si="66"/>
        <v>8.245625</v>
      </c>
      <c r="Y114" s="77"/>
      <c r="Z114" s="77"/>
      <c r="AA114" s="77">
        <f t="shared" ref="AA114:AA129" si="68">SUM(X114:Z114)</f>
        <v>8.245625</v>
      </c>
      <c r="AB114" s="87">
        <v>7.26</v>
      </c>
      <c r="AC114" s="74">
        <f t="shared" si="61"/>
        <v>59.8632375</v>
      </c>
      <c r="AD114" s="74">
        <f t="shared" si="62"/>
        <v>213.2863625</v>
      </c>
      <c r="AE114" s="74">
        <f t="shared" ref="AE114:AE129" si="69">SUM(O114-AD114)</f>
        <v>26.7136375</v>
      </c>
    </row>
    <row r="115" customFormat="1" spans="1:31">
      <c r="A115" s="18"/>
      <c r="B115" s="19"/>
      <c r="C115" s="20">
        <v>240704000013</v>
      </c>
      <c r="D115" s="21">
        <v>45478</v>
      </c>
      <c r="E115" s="21" t="s">
        <v>47</v>
      </c>
      <c r="F115" s="19" t="s">
        <v>48</v>
      </c>
      <c r="G115" s="19" t="s">
        <v>160</v>
      </c>
      <c r="H115" s="19">
        <v>2</v>
      </c>
      <c r="I115" s="41">
        <v>243</v>
      </c>
      <c r="J115" s="42"/>
      <c r="K115" s="43"/>
      <c r="L115" s="19"/>
      <c r="M115" s="43"/>
      <c r="N115" s="44"/>
      <c r="O115" s="45">
        <f t="shared" si="67"/>
        <v>243</v>
      </c>
      <c r="P115" s="52"/>
      <c r="Q115" s="52"/>
      <c r="R115" s="74">
        <f t="shared" si="64"/>
        <v>150</v>
      </c>
      <c r="S115" s="74"/>
      <c r="T115" s="75">
        <f t="shared" si="65"/>
        <v>3.423125</v>
      </c>
      <c r="U115" s="74"/>
      <c r="V115" s="75">
        <v>13</v>
      </c>
      <c r="W115" s="76">
        <f t="shared" ref="W115:W129" si="70">SUM(R115:V115)</f>
        <v>166.423125</v>
      </c>
      <c r="X115" s="77">
        <f t="shared" si="66"/>
        <v>8.245625</v>
      </c>
      <c r="Y115" s="77"/>
      <c r="Z115" s="77"/>
      <c r="AA115" s="77">
        <f t="shared" si="68"/>
        <v>8.245625</v>
      </c>
      <c r="AB115" s="87">
        <v>7.26</v>
      </c>
      <c r="AC115" s="74">
        <f t="shared" ref="AC115:AC129" si="71">SUM(AA115*AB115)</f>
        <v>59.8632375</v>
      </c>
      <c r="AD115" s="74">
        <f t="shared" ref="AD115:AD129" si="72">SUM(W115+AC115)</f>
        <v>226.2863625</v>
      </c>
      <c r="AE115" s="74">
        <f t="shared" si="69"/>
        <v>16.7136375</v>
      </c>
    </row>
    <row r="116" customFormat="1" spans="1:31">
      <c r="A116" s="18" t="s">
        <v>161</v>
      </c>
      <c r="B116" s="19" t="s">
        <v>162</v>
      </c>
      <c r="C116" s="20">
        <v>240622000014</v>
      </c>
      <c r="D116" s="21">
        <v>45478</v>
      </c>
      <c r="E116" s="21" t="s">
        <v>37</v>
      </c>
      <c r="F116" s="19" t="s">
        <v>37</v>
      </c>
      <c r="G116" s="19" t="s">
        <v>163</v>
      </c>
      <c r="H116" s="19">
        <v>53.5</v>
      </c>
      <c r="I116" s="41">
        <v>2950.5</v>
      </c>
      <c r="J116" s="42"/>
      <c r="K116" s="43"/>
      <c r="L116" s="19"/>
      <c r="M116" s="43"/>
      <c r="N116" s="44"/>
      <c r="O116" s="45">
        <f t="shared" si="67"/>
        <v>2950.5</v>
      </c>
      <c r="P116" s="46">
        <f>SUM(O116:O129)</f>
        <v>151157.9806</v>
      </c>
      <c r="Q116" s="78" t="s">
        <v>164</v>
      </c>
      <c r="R116" s="74">
        <f>SUM(110657/2558)*H116</f>
        <v>2314.36649726349</v>
      </c>
      <c r="S116" s="74"/>
      <c r="T116" s="75">
        <f>SUM(162.75/2558)*H116</f>
        <v>3.40387998436278</v>
      </c>
      <c r="U116" s="74"/>
      <c r="V116" s="74"/>
      <c r="W116" s="76">
        <f t="shared" si="70"/>
        <v>2317.77037724785</v>
      </c>
      <c r="X116" s="77">
        <f>SUM(1619.45/2558)*H116</f>
        <v>33.870435887412</v>
      </c>
      <c r="Y116" s="77"/>
      <c r="Z116" s="77"/>
      <c r="AA116" s="77">
        <f t="shared" si="68"/>
        <v>33.870435887412</v>
      </c>
      <c r="AB116" s="87">
        <v>7.26</v>
      </c>
      <c r="AC116" s="74">
        <f t="shared" si="71"/>
        <v>245.899364542611</v>
      </c>
      <c r="AD116" s="74">
        <f t="shared" si="72"/>
        <v>2563.66974179046</v>
      </c>
      <c r="AE116" s="74">
        <f t="shared" si="69"/>
        <v>386.830258209539</v>
      </c>
    </row>
    <row r="117" customFormat="1" spans="1:31">
      <c r="A117" s="18"/>
      <c r="B117" s="19"/>
      <c r="C117" s="20">
        <v>240628000016</v>
      </c>
      <c r="D117" s="21">
        <v>45478</v>
      </c>
      <c r="E117" s="21" t="s">
        <v>40</v>
      </c>
      <c r="F117" s="19" t="s">
        <v>41</v>
      </c>
      <c r="G117" s="19" t="s">
        <v>165</v>
      </c>
      <c r="H117" s="19">
        <v>28.5</v>
      </c>
      <c r="I117" s="47"/>
      <c r="J117" s="48">
        <v>386460</v>
      </c>
      <c r="K117" s="43"/>
      <c r="L117" s="49">
        <f t="shared" ref="L117:L121" si="73">SUM(J117/M117)</f>
        <v>1640.81008788689</v>
      </c>
      <c r="M117" s="50">
        <v>235.53</v>
      </c>
      <c r="N117" s="44">
        <v>7.26</v>
      </c>
      <c r="O117" s="45">
        <f t="shared" ref="O117:O121" si="74">SUM(M117*N117)</f>
        <v>1709.9478</v>
      </c>
      <c r="P117" s="51"/>
      <c r="Q117" s="51"/>
      <c r="R117" s="74">
        <f t="shared" ref="R117:R129" si="75">SUM(110657/2558)*H117</f>
        <v>1232.88682564504</v>
      </c>
      <c r="S117" s="74"/>
      <c r="T117" s="75">
        <f t="shared" ref="T117:T129" si="76">SUM(162.75/2558)*H117</f>
        <v>1.81328186082877</v>
      </c>
      <c r="U117" s="74"/>
      <c r="V117" s="74"/>
      <c r="W117" s="76">
        <f t="shared" si="70"/>
        <v>1234.70010750586</v>
      </c>
      <c r="X117" s="77">
        <f t="shared" ref="X117:X129" si="77">SUM(1619.45/2558)*H117</f>
        <v>18.0431293979672</v>
      </c>
      <c r="Y117" s="77"/>
      <c r="Z117" s="77"/>
      <c r="AA117" s="77">
        <f t="shared" si="68"/>
        <v>18.0431293979672</v>
      </c>
      <c r="AB117" s="87">
        <v>7.26</v>
      </c>
      <c r="AC117" s="74">
        <f t="shared" si="71"/>
        <v>130.993119429242</v>
      </c>
      <c r="AD117" s="74">
        <f t="shared" si="72"/>
        <v>1365.69322693511</v>
      </c>
      <c r="AE117" s="74">
        <f t="shared" si="69"/>
        <v>344.254573064894</v>
      </c>
    </row>
    <row r="118" customFormat="1" spans="1:31">
      <c r="A118" s="18"/>
      <c r="B118" s="19"/>
      <c r="C118" s="20">
        <v>240630000008</v>
      </c>
      <c r="D118" s="21">
        <v>45478</v>
      </c>
      <c r="E118" s="21" t="s">
        <v>47</v>
      </c>
      <c r="F118" s="19" t="s">
        <v>48</v>
      </c>
      <c r="G118" s="19" t="s">
        <v>69</v>
      </c>
      <c r="H118" s="19">
        <v>86</v>
      </c>
      <c r="I118" s="41">
        <v>4730</v>
      </c>
      <c r="J118" s="42"/>
      <c r="K118" s="43"/>
      <c r="L118" s="19"/>
      <c r="M118" s="43"/>
      <c r="N118" s="44"/>
      <c r="O118" s="45">
        <f>SUM(I118)</f>
        <v>4730</v>
      </c>
      <c r="P118" s="51"/>
      <c r="Q118" s="51"/>
      <c r="R118" s="74">
        <f t="shared" si="75"/>
        <v>3720.29007036747</v>
      </c>
      <c r="S118" s="74"/>
      <c r="T118" s="75">
        <f t="shared" si="76"/>
        <v>5.471657544957</v>
      </c>
      <c r="U118" s="74"/>
      <c r="V118" s="74"/>
      <c r="W118" s="76">
        <f t="shared" si="70"/>
        <v>3725.76172791243</v>
      </c>
      <c r="X118" s="77">
        <f t="shared" si="77"/>
        <v>54.4459343236904</v>
      </c>
      <c r="Y118" s="77"/>
      <c r="Z118" s="77"/>
      <c r="AA118" s="77">
        <f t="shared" si="68"/>
        <v>54.4459343236904</v>
      </c>
      <c r="AB118" s="87">
        <v>7.26</v>
      </c>
      <c r="AC118" s="74">
        <f t="shared" si="71"/>
        <v>395.277483189992</v>
      </c>
      <c r="AD118" s="74">
        <f t="shared" si="72"/>
        <v>4121.03921110242</v>
      </c>
      <c r="AE118" s="74">
        <f t="shared" si="69"/>
        <v>608.960788897576</v>
      </c>
    </row>
    <row r="119" customFormat="1" spans="1:31">
      <c r="A119" s="18"/>
      <c r="B119" s="19"/>
      <c r="C119" s="20">
        <v>240701000010</v>
      </c>
      <c r="D119" s="21">
        <v>45478</v>
      </c>
      <c r="E119" s="21" t="s">
        <v>58</v>
      </c>
      <c r="F119" s="19" t="s">
        <v>166</v>
      </c>
      <c r="G119" s="19" t="s">
        <v>167</v>
      </c>
      <c r="H119" s="19">
        <v>8.5</v>
      </c>
      <c r="I119" s="45"/>
      <c r="J119" s="48">
        <v>108199.4</v>
      </c>
      <c r="K119" s="43"/>
      <c r="L119" s="49">
        <f t="shared" si="73"/>
        <v>1589.99853049228</v>
      </c>
      <c r="M119" s="50">
        <v>68.05</v>
      </c>
      <c r="N119" s="44">
        <v>7.26</v>
      </c>
      <c r="O119" s="45">
        <f t="shared" si="74"/>
        <v>494.043</v>
      </c>
      <c r="P119" s="51"/>
      <c r="Q119" s="51"/>
      <c r="R119" s="74">
        <f t="shared" si="75"/>
        <v>367.703088350274</v>
      </c>
      <c r="S119" s="74"/>
      <c r="T119" s="75">
        <f t="shared" si="76"/>
        <v>0.540803362001564</v>
      </c>
      <c r="U119" s="74"/>
      <c r="V119" s="74"/>
      <c r="W119" s="76">
        <f t="shared" si="70"/>
        <v>368.243891712275</v>
      </c>
      <c r="X119" s="77">
        <f t="shared" si="77"/>
        <v>5.38128420641126</v>
      </c>
      <c r="Y119" s="77"/>
      <c r="Z119" s="77"/>
      <c r="AA119" s="77">
        <f t="shared" si="68"/>
        <v>5.38128420641126</v>
      </c>
      <c r="AB119" s="87">
        <v>7.26</v>
      </c>
      <c r="AC119" s="74">
        <f t="shared" si="71"/>
        <v>39.0681233385457</v>
      </c>
      <c r="AD119" s="74">
        <f t="shared" si="72"/>
        <v>407.312015050821</v>
      </c>
      <c r="AE119" s="74">
        <f t="shared" si="69"/>
        <v>86.730984949179</v>
      </c>
    </row>
    <row r="120" customFormat="1" spans="1:31">
      <c r="A120" s="18"/>
      <c r="B120" s="19"/>
      <c r="C120" s="20">
        <v>240701000028</v>
      </c>
      <c r="D120" s="21">
        <v>45478</v>
      </c>
      <c r="E120" s="21" t="s">
        <v>37</v>
      </c>
      <c r="F120" s="19" t="s">
        <v>37</v>
      </c>
      <c r="G120" s="19" t="s">
        <v>168</v>
      </c>
      <c r="H120" s="19">
        <v>818.5</v>
      </c>
      <c r="I120" s="47"/>
      <c r="J120" s="48">
        <v>9905610</v>
      </c>
      <c r="K120" s="43"/>
      <c r="L120" s="49">
        <f t="shared" si="73"/>
        <v>1597.20244765675</v>
      </c>
      <c r="M120" s="50">
        <v>6201.85</v>
      </c>
      <c r="N120" s="44">
        <v>7.26</v>
      </c>
      <c r="O120" s="45">
        <f t="shared" si="74"/>
        <v>45025.431</v>
      </c>
      <c r="P120" s="51"/>
      <c r="Q120" s="51"/>
      <c r="R120" s="74">
        <f t="shared" si="75"/>
        <v>35407.6444487881</v>
      </c>
      <c r="S120" s="74"/>
      <c r="T120" s="75">
        <f t="shared" si="76"/>
        <v>52.0761825645035</v>
      </c>
      <c r="U120" s="74"/>
      <c r="V120" s="74"/>
      <c r="W120" s="76">
        <f t="shared" si="70"/>
        <v>35459.7206313526</v>
      </c>
      <c r="X120" s="77">
        <f t="shared" si="77"/>
        <v>518.186014464425</v>
      </c>
      <c r="Y120" s="77"/>
      <c r="Z120" s="77"/>
      <c r="AA120" s="77">
        <f t="shared" si="68"/>
        <v>518.186014464425</v>
      </c>
      <c r="AB120" s="87">
        <v>7.26</v>
      </c>
      <c r="AC120" s="74">
        <f t="shared" si="71"/>
        <v>3762.03046501173</v>
      </c>
      <c r="AD120" s="74">
        <f t="shared" si="72"/>
        <v>39221.7510963643</v>
      </c>
      <c r="AE120" s="74">
        <f t="shared" si="69"/>
        <v>5803.67990363566</v>
      </c>
    </row>
    <row r="121" customFormat="1" spans="1:31">
      <c r="A121" s="18"/>
      <c r="B121" s="19"/>
      <c r="C121" s="20">
        <v>240701000042</v>
      </c>
      <c r="D121" s="21">
        <v>45478</v>
      </c>
      <c r="E121" s="21" t="s">
        <v>44</v>
      </c>
      <c r="F121" s="19" t="s">
        <v>45</v>
      </c>
      <c r="G121" s="19" t="s">
        <v>79</v>
      </c>
      <c r="H121" s="19">
        <v>18</v>
      </c>
      <c r="I121" s="47"/>
      <c r="J121" s="48">
        <v>242416</v>
      </c>
      <c r="K121" s="43"/>
      <c r="L121" s="49">
        <f t="shared" si="73"/>
        <v>1582.76312353095</v>
      </c>
      <c r="M121" s="50">
        <v>153.16</v>
      </c>
      <c r="N121" s="44">
        <v>7.26</v>
      </c>
      <c r="O121" s="45">
        <f t="shared" si="74"/>
        <v>1111.9416</v>
      </c>
      <c r="P121" s="51"/>
      <c r="Q121" s="51"/>
      <c r="R121" s="74">
        <f t="shared" si="75"/>
        <v>778.665363565285</v>
      </c>
      <c r="S121" s="74"/>
      <c r="T121" s="75">
        <f t="shared" si="76"/>
        <v>1.14523064894449</v>
      </c>
      <c r="U121" s="74"/>
      <c r="V121" s="74">
        <v>80</v>
      </c>
      <c r="W121" s="76">
        <f t="shared" si="70"/>
        <v>859.81059421423</v>
      </c>
      <c r="X121" s="77">
        <f t="shared" si="77"/>
        <v>11.3956606724003</v>
      </c>
      <c r="Y121" s="77"/>
      <c r="Z121" s="77"/>
      <c r="AA121" s="77">
        <f t="shared" si="68"/>
        <v>11.3956606724003</v>
      </c>
      <c r="AB121" s="87">
        <v>7.26</v>
      </c>
      <c r="AC121" s="74">
        <f t="shared" si="71"/>
        <v>82.7324964816263</v>
      </c>
      <c r="AD121" s="74">
        <f t="shared" si="72"/>
        <v>942.543090695856</v>
      </c>
      <c r="AE121" s="74">
        <f t="shared" si="69"/>
        <v>169.398509304144</v>
      </c>
    </row>
    <row r="122" customFormat="1" spans="1:31">
      <c r="A122" s="18"/>
      <c r="B122" s="19"/>
      <c r="C122" s="20">
        <v>240701000043</v>
      </c>
      <c r="D122" s="21">
        <v>45478</v>
      </c>
      <c r="E122" s="21" t="s">
        <v>169</v>
      </c>
      <c r="F122" s="19" t="s">
        <v>37</v>
      </c>
      <c r="G122" s="19" t="s">
        <v>170</v>
      </c>
      <c r="H122" s="19">
        <v>6</v>
      </c>
      <c r="I122" s="41">
        <v>363</v>
      </c>
      <c r="J122" s="42"/>
      <c r="K122" s="43"/>
      <c r="L122" s="19"/>
      <c r="M122" s="43"/>
      <c r="N122" s="44"/>
      <c r="O122" s="45">
        <f t="shared" ref="O122:O125" si="78">SUM(I122)</f>
        <v>363</v>
      </c>
      <c r="P122" s="51"/>
      <c r="Q122" s="51"/>
      <c r="R122" s="74">
        <f t="shared" si="75"/>
        <v>259.555121188428</v>
      </c>
      <c r="S122" s="74"/>
      <c r="T122" s="75">
        <f t="shared" si="76"/>
        <v>0.381743549648163</v>
      </c>
      <c r="U122" s="74"/>
      <c r="V122" s="74"/>
      <c r="W122" s="76">
        <f t="shared" si="70"/>
        <v>259.936864738077</v>
      </c>
      <c r="X122" s="77">
        <f t="shared" si="77"/>
        <v>3.79855355746677</v>
      </c>
      <c r="Y122" s="77"/>
      <c r="Z122" s="77"/>
      <c r="AA122" s="77">
        <f t="shared" si="68"/>
        <v>3.79855355746677</v>
      </c>
      <c r="AB122" s="87">
        <v>7.26</v>
      </c>
      <c r="AC122" s="74">
        <f t="shared" si="71"/>
        <v>27.5774988272088</v>
      </c>
      <c r="AD122" s="74">
        <f t="shared" si="72"/>
        <v>287.514363565285</v>
      </c>
      <c r="AE122" s="74">
        <f t="shared" si="69"/>
        <v>75.4856364347146</v>
      </c>
    </row>
    <row r="123" customFormat="1" spans="1:31">
      <c r="A123" s="18"/>
      <c r="B123" s="19"/>
      <c r="C123" s="20">
        <v>240701000050</v>
      </c>
      <c r="D123" s="21">
        <v>45478</v>
      </c>
      <c r="E123" s="21" t="s">
        <v>44</v>
      </c>
      <c r="F123" s="19" t="s">
        <v>45</v>
      </c>
      <c r="G123" s="19" t="s">
        <v>171</v>
      </c>
      <c r="H123" s="19">
        <v>0.77</v>
      </c>
      <c r="I123" s="47"/>
      <c r="J123" s="48">
        <v>13600</v>
      </c>
      <c r="K123" s="43"/>
      <c r="L123" s="49">
        <f t="shared" ref="L123:L130" si="79">SUM(J123/M123)</f>
        <v>1568.62745098039</v>
      </c>
      <c r="M123" s="50">
        <v>8.67</v>
      </c>
      <c r="N123" s="44">
        <v>7.26</v>
      </c>
      <c r="O123" s="45">
        <f t="shared" ref="O123:O130" si="80">SUM(M123*N123)</f>
        <v>62.9442</v>
      </c>
      <c r="P123" s="51"/>
      <c r="Q123" s="51"/>
      <c r="R123" s="74">
        <f t="shared" si="75"/>
        <v>33.3095738858483</v>
      </c>
      <c r="S123" s="74"/>
      <c r="T123" s="75">
        <f t="shared" si="76"/>
        <v>0.0489904222048475</v>
      </c>
      <c r="U123" s="74"/>
      <c r="V123" s="74"/>
      <c r="W123" s="76">
        <f t="shared" si="70"/>
        <v>33.3585643080532</v>
      </c>
      <c r="X123" s="77">
        <f t="shared" si="77"/>
        <v>0.487481039874902</v>
      </c>
      <c r="Y123" s="77"/>
      <c r="Z123" s="77"/>
      <c r="AA123" s="77">
        <f t="shared" si="68"/>
        <v>0.487481039874902</v>
      </c>
      <c r="AB123" s="87">
        <v>7.26</v>
      </c>
      <c r="AC123" s="74">
        <f t="shared" si="71"/>
        <v>3.53911234949179</v>
      </c>
      <c r="AD123" s="74">
        <f t="shared" si="72"/>
        <v>36.897676657545</v>
      </c>
      <c r="AE123" s="74">
        <f t="shared" si="69"/>
        <v>26.046523342455</v>
      </c>
    </row>
    <row r="124" customFormat="1" spans="1:31">
      <c r="A124" s="18"/>
      <c r="B124" s="19"/>
      <c r="C124" s="20">
        <v>240701000056</v>
      </c>
      <c r="D124" s="21">
        <v>45478</v>
      </c>
      <c r="E124" s="21" t="s">
        <v>37</v>
      </c>
      <c r="F124" s="19" t="s">
        <v>37</v>
      </c>
      <c r="G124" s="19" t="s">
        <v>172</v>
      </c>
      <c r="H124" s="19">
        <v>107</v>
      </c>
      <c r="I124" s="41">
        <v>5943</v>
      </c>
      <c r="J124" s="42"/>
      <c r="K124" s="43"/>
      <c r="L124" s="19"/>
      <c r="M124" s="43"/>
      <c r="N124" s="44"/>
      <c r="O124" s="45">
        <f t="shared" si="78"/>
        <v>5943</v>
      </c>
      <c r="P124" s="51"/>
      <c r="Q124" s="51"/>
      <c r="R124" s="74">
        <f t="shared" si="75"/>
        <v>4628.73299452697</v>
      </c>
      <c r="S124" s="74"/>
      <c r="T124" s="75">
        <f t="shared" si="76"/>
        <v>6.80775996872557</v>
      </c>
      <c r="U124" s="74">
        <v>50</v>
      </c>
      <c r="V124" s="74"/>
      <c r="W124" s="76">
        <f t="shared" si="70"/>
        <v>4685.5407544957</v>
      </c>
      <c r="X124" s="77">
        <f t="shared" si="77"/>
        <v>67.7408717748241</v>
      </c>
      <c r="Y124" s="77"/>
      <c r="Z124" s="77"/>
      <c r="AA124" s="77">
        <f t="shared" si="68"/>
        <v>67.7408717748241</v>
      </c>
      <c r="AB124" s="87">
        <v>7.26</v>
      </c>
      <c r="AC124" s="74">
        <f t="shared" si="71"/>
        <v>491.798729085223</v>
      </c>
      <c r="AD124" s="74">
        <f t="shared" si="72"/>
        <v>5177.33948358092</v>
      </c>
      <c r="AE124" s="74">
        <f t="shared" si="69"/>
        <v>765.660516419078</v>
      </c>
    </row>
    <row r="125" customFormat="1" spans="1:31">
      <c r="A125" s="18"/>
      <c r="B125" s="19"/>
      <c r="C125" s="20">
        <v>240702000011</v>
      </c>
      <c r="D125" s="21">
        <v>45478</v>
      </c>
      <c r="E125" s="21" t="s">
        <v>44</v>
      </c>
      <c r="F125" s="19" t="s">
        <v>45</v>
      </c>
      <c r="G125" s="19" t="s">
        <v>173</v>
      </c>
      <c r="H125" s="19">
        <v>11</v>
      </c>
      <c r="I125" s="41">
        <v>605</v>
      </c>
      <c r="J125" s="42"/>
      <c r="K125" s="43"/>
      <c r="L125" s="19"/>
      <c r="M125" s="43"/>
      <c r="N125" s="44"/>
      <c r="O125" s="45">
        <f t="shared" si="78"/>
        <v>605</v>
      </c>
      <c r="P125" s="51"/>
      <c r="Q125" s="51"/>
      <c r="R125" s="74">
        <f t="shared" si="75"/>
        <v>475.851055512119</v>
      </c>
      <c r="S125" s="74"/>
      <c r="T125" s="75">
        <f t="shared" si="76"/>
        <v>0.699863174354965</v>
      </c>
      <c r="U125" s="74"/>
      <c r="V125" s="74"/>
      <c r="W125" s="76">
        <f t="shared" si="70"/>
        <v>476.550918686474</v>
      </c>
      <c r="X125" s="77">
        <f t="shared" si="77"/>
        <v>6.96401485535575</v>
      </c>
      <c r="Y125" s="77"/>
      <c r="Z125" s="77"/>
      <c r="AA125" s="77">
        <f t="shared" si="68"/>
        <v>6.96401485535575</v>
      </c>
      <c r="AB125" s="87">
        <v>7.26</v>
      </c>
      <c r="AC125" s="74">
        <f t="shared" si="71"/>
        <v>50.5587478498827</v>
      </c>
      <c r="AD125" s="74">
        <f t="shared" si="72"/>
        <v>527.109666536356</v>
      </c>
      <c r="AE125" s="74">
        <f t="shared" si="69"/>
        <v>77.8903334636435</v>
      </c>
    </row>
    <row r="126" customFormat="1" spans="1:31">
      <c r="A126" s="18"/>
      <c r="B126" s="19"/>
      <c r="C126" s="20">
        <v>240702000017</v>
      </c>
      <c r="D126" s="21">
        <v>45478</v>
      </c>
      <c r="E126" s="21" t="s">
        <v>40</v>
      </c>
      <c r="F126" s="19" t="s">
        <v>41</v>
      </c>
      <c r="G126" s="19" t="s">
        <v>165</v>
      </c>
      <c r="H126" s="19">
        <v>39.5</v>
      </c>
      <c r="I126" s="47"/>
      <c r="J126" s="48">
        <v>490985</v>
      </c>
      <c r="K126" s="43"/>
      <c r="L126" s="49">
        <f t="shared" si="79"/>
        <v>1640.7732923406</v>
      </c>
      <c r="M126" s="50">
        <v>299.24</v>
      </c>
      <c r="N126" s="44">
        <v>7.26</v>
      </c>
      <c r="O126" s="45">
        <f t="shared" si="80"/>
        <v>2172.4824</v>
      </c>
      <c r="P126" s="51"/>
      <c r="Q126" s="51"/>
      <c r="R126" s="74">
        <f t="shared" si="75"/>
        <v>1708.73788115715</v>
      </c>
      <c r="S126" s="74"/>
      <c r="T126" s="75">
        <f t="shared" si="76"/>
        <v>2.51314503518374</v>
      </c>
      <c r="U126" s="74"/>
      <c r="V126" s="74"/>
      <c r="W126" s="76">
        <f t="shared" si="70"/>
        <v>1711.25102619234</v>
      </c>
      <c r="X126" s="77">
        <f t="shared" si="77"/>
        <v>25.0071442533229</v>
      </c>
      <c r="Y126" s="77"/>
      <c r="Z126" s="77"/>
      <c r="AA126" s="77">
        <f t="shared" si="68"/>
        <v>25.0071442533229</v>
      </c>
      <c r="AB126" s="87">
        <v>7.26</v>
      </c>
      <c r="AC126" s="74">
        <f t="shared" si="71"/>
        <v>181.551867279124</v>
      </c>
      <c r="AD126" s="74">
        <f t="shared" si="72"/>
        <v>1892.80289347146</v>
      </c>
      <c r="AE126" s="74">
        <f t="shared" ref="AE126:AE136" si="81">SUM(O126-AD126)</f>
        <v>279.679506528538</v>
      </c>
    </row>
    <row r="127" customFormat="1" spans="1:31">
      <c r="A127" s="18"/>
      <c r="B127" s="19"/>
      <c r="C127" s="20">
        <v>240702000021</v>
      </c>
      <c r="D127" s="21">
        <v>45478</v>
      </c>
      <c r="E127" s="21" t="s">
        <v>37</v>
      </c>
      <c r="F127" s="19" t="s">
        <v>53</v>
      </c>
      <c r="G127" s="19" t="s">
        <v>115</v>
      </c>
      <c r="H127" s="19">
        <v>1466</v>
      </c>
      <c r="I127" s="45"/>
      <c r="J127" s="48">
        <v>17650196</v>
      </c>
      <c r="K127" s="43"/>
      <c r="L127" s="49">
        <f t="shared" si="79"/>
        <v>1584.00007179524</v>
      </c>
      <c r="M127" s="50">
        <v>11142.8</v>
      </c>
      <c r="N127" s="44">
        <v>7.26</v>
      </c>
      <c r="O127" s="45">
        <f t="shared" si="80"/>
        <v>80896.728</v>
      </c>
      <c r="P127" s="51"/>
      <c r="Q127" s="51"/>
      <c r="R127" s="74">
        <f t="shared" si="75"/>
        <v>63417.967943706</v>
      </c>
      <c r="S127" s="74"/>
      <c r="T127" s="75">
        <f t="shared" si="76"/>
        <v>93.2726739640344</v>
      </c>
      <c r="U127" s="74"/>
      <c r="V127" s="74"/>
      <c r="W127" s="76">
        <f t="shared" si="70"/>
        <v>63511.2406176701</v>
      </c>
      <c r="X127" s="77">
        <f t="shared" si="77"/>
        <v>928.113252541048</v>
      </c>
      <c r="Y127" s="77"/>
      <c r="Z127" s="77"/>
      <c r="AA127" s="77">
        <f t="shared" si="68"/>
        <v>928.113252541048</v>
      </c>
      <c r="AB127" s="87">
        <v>7.26</v>
      </c>
      <c r="AC127" s="74">
        <f t="shared" si="71"/>
        <v>6738.10221344801</v>
      </c>
      <c r="AD127" s="74">
        <f t="shared" si="72"/>
        <v>70249.3428311181</v>
      </c>
      <c r="AE127" s="74">
        <f t="shared" si="81"/>
        <v>10647.3851688819</v>
      </c>
    </row>
    <row r="128" customFormat="1" spans="1:31">
      <c r="A128" s="18"/>
      <c r="B128" s="19"/>
      <c r="C128" s="20">
        <v>240702000024</v>
      </c>
      <c r="D128" s="21">
        <v>45478</v>
      </c>
      <c r="E128" s="21" t="s">
        <v>58</v>
      </c>
      <c r="F128" s="19" t="s">
        <v>59</v>
      </c>
      <c r="G128" s="19" t="s">
        <v>97</v>
      </c>
      <c r="H128" s="19">
        <v>5</v>
      </c>
      <c r="I128" s="45"/>
      <c r="J128" s="48">
        <v>79200</v>
      </c>
      <c r="K128" s="43"/>
      <c r="L128" s="49">
        <f t="shared" si="79"/>
        <v>1584</v>
      </c>
      <c r="M128" s="50">
        <v>50</v>
      </c>
      <c r="N128" s="44">
        <v>7.26</v>
      </c>
      <c r="O128" s="45">
        <f t="shared" si="80"/>
        <v>363</v>
      </c>
      <c r="P128" s="51"/>
      <c r="Q128" s="51"/>
      <c r="R128" s="74">
        <f t="shared" si="75"/>
        <v>216.29593432369</v>
      </c>
      <c r="S128" s="74"/>
      <c r="T128" s="75">
        <f t="shared" si="76"/>
        <v>0.318119624706802</v>
      </c>
      <c r="U128" s="74"/>
      <c r="V128" s="74"/>
      <c r="W128" s="76">
        <f t="shared" si="70"/>
        <v>216.614053948397</v>
      </c>
      <c r="X128" s="77">
        <f t="shared" si="77"/>
        <v>3.16546129788898</v>
      </c>
      <c r="Y128" s="77"/>
      <c r="Z128" s="77"/>
      <c r="AA128" s="77">
        <f t="shared" si="68"/>
        <v>3.16546129788898</v>
      </c>
      <c r="AB128" s="87">
        <v>7.26</v>
      </c>
      <c r="AC128" s="74">
        <f t="shared" si="71"/>
        <v>22.981249022674</v>
      </c>
      <c r="AD128" s="74">
        <f t="shared" si="72"/>
        <v>239.595302971071</v>
      </c>
      <c r="AE128" s="74">
        <f t="shared" si="81"/>
        <v>123.404697028929</v>
      </c>
    </row>
    <row r="129" customFormat="1" spans="1:31">
      <c r="A129" s="18"/>
      <c r="B129" s="19"/>
      <c r="C129" s="20">
        <v>240702000028</v>
      </c>
      <c r="D129" s="21">
        <v>45478</v>
      </c>
      <c r="E129" s="21" t="s">
        <v>44</v>
      </c>
      <c r="F129" s="19" t="s">
        <v>45</v>
      </c>
      <c r="G129" s="19" t="s">
        <v>174</v>
      </c>
      <c r="H129" s="19">
        <v>51</v>
      </c>
      <c r="I129" s="47"/>
      <c r="J129" s="48">
        <v>1026410</v>
      </c>
      <c r="K129" s="43"/>
      <c r="L129" s="49">
        <f t="shared" si="79"/>
        <v>1575.4324569078</v>
      </c>
      <c r="M129" s="50">
        <v>651.51</v>
      </c>
      <c r="N129" s="44">
        <v>7.26</v>
      </c>
      <c r="O129" s="45">
        <f t="shared" si="80"/>
        <v>4729.9626</v>
      </c>
      <c r="P129" s="52"/>
      <c r="Q129" s="52"/>
      <c r="R129" s="74">
        <f t="shared" si="75"/>
        <v>2206.21853010164</v>
      </c>
      <c r="S129" s="74"/>
      <c r="T129" s="75">
        <f t="shared" si="76"/>
        <v>3.24482017200938</v>
      </c>
      <c r="U129" s="75">
        <f>SUM(100+60+70)</f>
        <v>230</v>
      </c>
      <c r="V129" s="74"/>
      <c r="W129" s="76">
        <f t="shared" ref="W129:W136" si="82">SUM(R129:V129)</f>
        <v>2439.46335027365</v>
      </c>
      <c r="X129" s="77">
        <f t="shared" si="77"/>
        <v>32.2877052384676</v>
      </c>
      <c r="Y129" s="77"/>
      <c r="Z129" s="77"/>
      <c r="AA129" s="77">
        <f t="shared" ref="AA129:AA136" si="83">SUM(X129:Z129)</f>
        <v>32.2877052384676</v>
      </c>
      <c r="AB129" s="87">
        <v>7.26</v>
      </c>
      <c r="AC129" s="74">
        <f t="shared" si="71"/>
        <v>234.408740031274</v>
      </c>
      <c r="AD129" s="74">
        <f t="shared" ref="AD129:AD136" si="84">SUM(W129+AC129)</f>
        <v>2673.87209030493</v>
      </c>
      <c r="AE129" s="74">
        <f t="shared" si="81"/>
        <v>2056.09050969507</v>
      </c>
    </row>
    <row r="130" customFormat="1" spans="1:31">
      <c r="A130" s="18" t="s">
        <v>175</v>
      </c>
      <c r="B130" s="19" t="s">
        <v>176</v>
      </c>
      <c r="C130" s="20">
        <v>240703000002</v>
      </c>
      <c r="D130" s="21">
        <v>45480</v>
      </c>
      <c r="E130" s="21" t="s">
        <v>81</v>
      </c>
      <c r="F130" s="19"/>
      <c r="G130" s="19" t="s">
        <v>177</v>
      </c>
      <c r="H130" s="19">
        <v>2</v>
      </c>
      <c r="I130" s="45"/>
      <c r="J130" s="48">
        <v>53595</v>
      </c>
      <c r="K130" s="43"/>
      <c r="L130" s="49">
        <f t="shared" si="79"/>
        <v>1495.81356405247</v>
      </c>
      <c r="M130" s="50">
        <v>35.83</v>
      </c>
      <c r="N130" s="44">
        <v>7.26</v>
      </c>
      <c r="O130" s="45">
        <f t="shared" si="80"/>
        <v>260.1258</v>
      </c>
      <c r="P130" s="46">
        <f>SUM(O130:O136)</f>
        <v>3806.609</v>
      </c>
      <c r="Q130" s="46" t="s">
        <v>39</v>
      </c>
      <c r="R130" s="74">
        <f>SUM(2400/32)*H130</f>
        <v>150</v>
      </c>
      <c r="S130" s="74"/>
      <c r="T130" s="75">
        <f>SUM(62.24/32)*H130</f>
        <v>3.89</v>
      </c>
      <c r="U130" s="74"/>
      <c r="V130" s="75">
        <v>18</v>
      </c>
      <c r="W130" s="76">
        <f t="shared" si="82"/>
        <v>171.89</v>
      </c>
      <c r="X130" s="77">
        <f>SUM(81.67/32)*H130</f>
        <v>5.104375</v>
      </c>
      <c r="Y130" s="77"/>
      <c r="Z130" s="77"/>
      <c r="AA130" s="77">
        <f t="shared" si="83"/>
        <v>5.104375</v>
      </c>
      <c r="AB130" s="87">
        <v>7.26</v>
      </c>
      <c r="AC130" s="74">
        <f t="shared" ref="AC130:AC136" si="85">SUM(AA130*AB130)</f>
        <v>37.0577625</v>
      </c>
      <c r="AD130" s="74">
        <f t="shared" si="84"/>
        <v>208.9477625</v>
      </c>
      <c r="AE130" s="74">
        <f t="shared" si="81"/>
        <v>51.1780375</v>
      </c>
    </row>
    <row r="131" customFormat="1" spans="1:31">
      <c r="A131" s="18"/>
      <c r="B131" s="19"/>
      <c r="C131" s="20">
        <v>240703000021</v>
      </c>
      <c r="D131" s="21">
        <v>45480</v>
      </c>
      <c r="E131" s="21" t="s">
        <v>55</v>
      </c>
      <c r="F131" s="19" t="s">
        <v>56</v>
      </c>
      <c r="G131" s="19" t="s">
        <v>178</v>
      </c>
      <c r="H131" s="19">
        <v>0.32</v>
      </c>
      <c r="I131" s="41">
        <v>153</v>
      </c>
      <c r="J131" s="42"/>
      <c r="K131" s="43"/>
      <c r="L131" s="19"/>
      <c r="M131" s="43"/>
      <c r="N131" s="44"/>
      <c r="O131" s="45">
        <f t="shared" ref="O131:O136" si="86">SUM(I131)</f>
        <v>153</v>
      </c>
      <c r="P131" s="51"/>
      <c r="Q131" s="51"/>
      <c r="R131" s="74">
        <f t="shared" ref="R131:R136" si="87">SUM(2400/32)*H131</f>
        <v>24</v>
      </c>
      <c r="S131" s="74"/>
      <c r="T131" s="75">
        <f t="shared" ref="T131:T136" si="88">SUM(62.24/32)*H131</f>
        <v>0.6224</v>
      </c>
      <c r="U131" s="74"/>
      <c r="V131" s="74">
        <v>18</v>
      </c>
      <c r="W131" s="76">
        <f t="shared" si="82"/>
        <v>42.6224</v>
      </c>
      <c r="X131" s="77">
        <f t="shared" ref="X131:X136" si="89">SUM(81.67/32)*H131</f>
        <v>0.8167</v>
      </c>
      <c r="Y131" s="77">
        <v>2.75</v>
      </c>
      <c r="Z131" s="77"/>
      <c r="AA131" s="77">
        <f t="shared" si="83"/>
        <v>3.5667</v>
      </c>
      <c r="AB131" s="87">
        <v>7.26</v>
      </c>
      <c r="AC131" s="74">
        <f t="shared" si="85"/>
        <v>25.894242</v>
      </c>
      <c r="AD131" s="74">
        <f t="shared" si="84"/>
        <v>68.516642</v>
      </c>
      <c r="AE131" s="74">
        <f t="shared" si="81"/>
        <v>84.483358</v>
      </c>
    </row>
    <row r="132" customFormat="1" spans="1:31">
      <c r="A132" s="18"/>
      <c r="B132" s="19"/>
      <c r="C132" s="20">
        <v>240703000032</v>
      </c>
      <c r="D132" s="21">
        <v>45480</v>
      </c>
      <c r="E132" s="21" t="s">
        <v>37</v>
      </c>
      <c r="F132" s="19" t="s">
        <v>37</v>
      </c>
      <c r="G132" s="19" t="s">
        <v>179</v>
      </c>
      <c r="H132" s="19">
        <v>2.5</v>
      </c>
      <c r="I132" s="47"/>
      <c r="J132" s="48">
        <v>66600</v>
      </c>
      <c r="K132" s="43"/>
      <c r="L132" s="49">
        <f>SUM(J132/M132)</f>
        <v>1611.81026137464</v>
      </c>
      <c r="M132" s="50">
        <v>41.32</v>
      </c>
      <c r="N132" s="44">
        <v>7.26</v>
      </c>
      <c r="O132" s="45">
        <f>SUM(M132*N132)</f>
        <v>299.9832</v>
      </c>
      <c r="P132" s="51"/>
      <c r="Q132" s="51"/>
      <c r="R132" s="74">
        <f t="shared" si="87"/>
        <v>187.5</v>
      </c>
      <c r="S132" s="74"/>
      <c r="T132" s="75">
        <f t="shared" si="88"/>
        <v>4.8625</v>
      </c>
      <c r="U132" s="74"/>
      <c r="V132" s="74"/>
      <c r="W132" s="76">
        <f t="shared" si="82"/>
        <v>192.3625</v>
      </c>
      <c r="X132" s="77">
        <f t="shared" si="89"/>
        <v>6.38046875</v>
      </c>
      <c r="Y132" s="77"/>
      <c r="Z132" s="77"/>
      <c r="AA132" s="77">
        <f t="shared" si="83"/>
        <v>6.38046875</v>
      </c>
      <c r="AB132" s="87">
        <v>7.26</v>
      </c>
      <c r="AC132" s="74">
        <f t="shared" si="85"/>
        <v>46.322203125</v>
      </c>
      <c r="AD132" s="74">
        <f t="shared" si="84"/>
        <v>238.684703125</v>
      </c>
      <c r="AE132" s="74">
        <f t="shared" si="81"/>
        <v>61.298496875</v>
      </c>
    </row>
    <row r="133" customFormat="1" spans="1:31">
      <c r="A133" s="18"/>
      <c r="B133" s="19"/>
      <c r="C133" s="20">
        <v>240704000008</v>
      </c>
      <c r="D133" s="21">
        <v>45480</v>
      </c>
      <c r="E133" s="21" t="s">
        <v>40</v>
      </c>
      <c r="F133" s="19" t="s">
        <v>41</v>
      </c>
      <c r="G133" s="19" t="s">
        <v>118</v>
      </c>
      <c r="H133" s="19">
        <v>5.5</v>
      </c>
      <c r="I133" s="41">
        <v>660</v>
      </c>
      <c r="J133" s="42"/>
      <c r="K133" s="43"/>
      <c r="L133" s="19"/>
      <c r="M133" s="43"/>
      <c r="N133" s="44"/>
      <c r="O133" s="45">
        <f t="shared" si="86"/>
        <v>660</v>
      </c>
      <c r="P133" s="51"/>
      <c r="Q133" s="51"/>
      <c r="R133" s="74">
        <f t="shared" si="87"/>
        <v>412.5</v>
      </c>
      <c r="S133" s="74"/>
      <c r="T133" s="75">
        <f t="shared" si="88"/>
        <v>10.6975</v>
      </c>
      <c r="U133" s="74"/>
      <c r="V133" s="74"/>
      <c r="W133" s="76">
        <f t="shared" si="82"/>
        <v>423.1975</v>
      </c>
      <c r="X133" s="77">
        <f t="shared" si="89"/>
        <v>14.03703125</v>
      </c>
      <c r="Y133" s="77"/>
      <c r="Z133" s="77"/>
      <c r="AA133" s="77">
        <f t="shared" si="83"/>
        <v>14.03703125</v>
      </c>
      <c r="AB133" s="87">
        <v>7.26</v>
      </c>
      <c r="AC133" s="74">
        <f t="shared" si="85"/>
        <v>101.908846875</v>
      </c>
      <c r="AD133" s="74">
        <f t="shared" si="84"/>
        <v>525.106346875</v>
      </c>
      <c r="AE133" s="74">
        <f t="shared" si="81"/>
        <v>134.893653125</v>
      </c>
    </row>
    <row r="134" customFormat="1" spans="1:31">
      <c r="A134" s="18"/>
      <c r="B134" s="19"/>
      <c r="C134" s="20">
        <v>240704000026</v>
      </c>
      <c r="D134" s="21">
        <v>45480</v>
      </c>
      <c r="E134" s="21" t="s">
        <v>40</v>
      </c>
      <c r="F134" s="19" t="s">
        <v>41</v>
      </c>
      <c r="G134" s="19" t="s">
        <v>86</v>
      </c>
      <c r="H134" s="19">
        <v>10.5</v>
      </c>
      <c r="I134" s="41">
        <v>658.5</v>
      </c>
      <c r="J134" s="42"/>
      <c r="K134" s="43"/>
      <c r="L134" s="19"/>
      <c r="M134" s="43"/>
      <c r="N134" s="44"/>
      <c r="O134" s="45">
        <f t="shared" si="86"/>
        <v>658.5</v>
      </c>
      <c r="P134" s="51"/>
      <c r="Q134" s="51"/>
      <c r="R134" s="74">
        <f t="shared" si="87"/>
        <v>787.5</v>
      </c>
      <c r="S134" s="74"/>
      <c r="T134" s="75">
        <f t="shared" si="88"/>
        <v>20.4225</v>
      </c>
      <c r="U134" s="74"/>
      <c r="V134" s="75">
        <v>81</v>
      </c>
      <c r="W134" s="76">
        <f t="shared" si="82"/>
        <v>888.9225</v>
      </c>
      <c r="X134" s="77">
        <f t="shared" si="89"/>
        <v>26.79796875</v>
      </c>
      <c r="Y134" s="77"/>
      <c r="Z134" s="77"/>
      <c r="AA134" s="77">
        <f t="shared" si="83"/>
        <v>26.79796875</v>
      </c>
      <c r="AB134" s="87">
        <v>7.26</v>
      </c>
      <c r="AC134" s="74">
        <f t="shared" si="85"/>
        <v>194.553253125</v>
      </c>
      <c r="AD134" s="74">
        <f t="shared" si="84"/>
        <v>1083.475753125</v>
      </c>
      <c r="AE134" s="74">
        <f t="shared" si="81"/>
        <v>-424.975753125</v>
      </c>
    </row>
    <row r="135" customFormat="1" spans="1:31">
      <c r="A135" s="18"/>
      <c r="B135" s="19"/>
      <c r="C135" s="20">
        <v>240705000011</v>
      </c>
      <c r="D135" s="21">
        <v>45480</v>
      </c>
      <c r="E135" s="21" t="s">
        <v>58</v>
      </c>
      <c r="F135" s="19" t="s">
        <v>59</v>
      </c>
      <c r="G135" s="19" t="s">
        <v>65</v>
      </c>
      <c r="H135" s="19">
        <v>4</v>
      </c>
      <c r="I135" s="41">
        <v>600</v>
      </c>
      <c r="J135" s="42"/>
      <c r="K135" s="43"/>
      <c r="L135" s="19"/>
      <c r="M135" s="43"/>
      <c r="N135" s="44"/>
      <c r="O135" s="45">
        <f t="shared" si="86"/>
        <v>600</v>
      </c>
      <c r="P135" s="51"/>
      <c r="Q135" s="51"/>
      <c r="R135" s="74">
        <f t="shared" si="87"/>
        <v>300</v>
      </c>
      <c r="S135" s="74"/>
      <c r="T135" s="75">
        <f t="shared" si="88"/>
        <v>7.78</v>
      </c>
      <c r="U135" s="74"/>
      <c r="V135" s="74"/>
      <c r="W135" s="76">
        <f t="shared" si="82"/>
        <v>307.78</v>
      </c>
      <c r="X135" s="77">
        <f t="shared" si="89"/>
        <v>10.20875</v>
      </c>
      <c r="Y135" s="77"/>
      <c r="Z135" s="77"/>
      <c r="AA135" s="77">
        <f t="shared" si="83"/>
        <v>10.20875</v>
      </c>
      <c r="AB135" s="87">
        <v>7.26</v>
      </c>
      <c r="AC135" s="74">
        <f t="shared" si="85"/>
        <v>74.115525</v>
      </c>
      <c r="AD135" s="74">
        <f t="shared" ref="AD135:AD170" si="90">SUM(W135+AC135)</f>
        <v>381.895525</v>
      </c>
      <c r="AE135" s="74">
        <f t="shared" si="81"/>
        <v>218.104475</v>
      </c>
    </row>
    <row r="136" customFormat="1" spans="1:31">
      <c r="A136" s="18"/>
      <c r="B136" s="19"/>
      <c r="C136" s="20">
        <v>240705000016</v>
      </c>
      <c r="D136" s="21">
        <v>45480</v>
      </c>
      <c r="E136" s="21" t="s">
        <v>40</v>
      </c>
      <c r="F136" s="19" t="s">
        <v>41</v>
      </c>
      <c r="G136" s="19" t="s">
        <v>180</v>
      </c>
      <c r="H136" s="19">
        <v>9</v>
      </c>
      <c r="I136" s="41">
        <v>1175</v>
      </c>
      <c r="J136" s="42"/>
      <c r="K136" s="43"/>
      <c r="L136" s="19"/>
      <c r="M136" s="43"/>
      <c r="N136" s="44"/>
      <c r="O136" s="45">
        <f t="shared" si="86"/>
        <v>1175</v>
      </c>
      <c r="P136" s="52"/>
      <c r="Q136" s="52"/>
      <c r="R136" s="74">
        <f t="shared" si="87"/>
        <v>675</v>
      </c>
      <c r="S136" s="74"/>
      <c r="T136" s="75">
        <f t="shared" si="88"/>
        <v>17.505</v>
      </c>
      <c r="U136" s="74"/>
      <c r="V136" s="74"/>
      <c r="W136" s="76">
        <f t="shared" ref="W136:W170" si="91">SUM(R136:V136)</f>
        <v>692.505</v>
      </c>
      <c r="X136" s="77">
        <f t="shared" si="89"/>
        <v>22.9696875</v>
      </c>
      <c r="Y136" s="77"/>
      <c r="Z136" s="77"/>
      <c r="AA136" s="77">
        <f t="shared" si="83"/>
        <v>22.9696875</v>
      </c>
      <c r="AB136" s="87">
        <v>7.26</v>
      </c>
      <c r="AC136" s="74">
        <f t="shared" ref="AC136:AC170" si="92">SUM(AA136*AB136)</f>
        <v>166.75993125</v>
      </c>
      <c r="AD136" s="74">
        <f t="shared" si="90"/>
        <v>859.26493125</v>
      </c>
      <c r="AE136" s="74">
        <f t="shared" si="81"/>
        <v>315.73506875</v>
      </c>
    </row>
    <row r="137" customFormat="1" spans="1:31">
      <c r="A137" s="18" t="s">
        <v>181</v>
      </c>
      <c r="B137" s="19" t="s">
        <v>182</v>
      </c>
      <c r="C137" s="20">
        <v>240628000005</v>
      </c>
      <c r="D137" s="21">
        <v>45481</v>
      </c>
      <c r="E137" s="21" t="s">
        <v>40</v>
      </c>
      <c r="F137" s="19" t="s">
        <v>41</v>
      </c>
      <c r="G137" s="19" t="s">
        <v>183</v>
      </c>
      <c r="H137" s="19">
        <v>0.57</v>
      </c>
      <c r="I137" s="47"/>
      <c r="J137" s="48">
        <v>17600</v>
      </c>
      <c r="K137" s="43"/>
      <c r="L137" s="49">
        <f t="shared" ref="L137:L141" si="93">SUM(J137/M137)</f>
        <v>1598.54677565849</v>
      </c>
      <c r="M137" s="50">
        <v>11.01</v>
      </c>
      <c r="N137" s="44">
        <v>7.26</v>
      </c>
      <c r="O137" s="45">
        <f t="shared" ref="O137:O141" si="94">SUM(M137*N137)</f>
        <v>79.9326</v>
      </c>
      <c r="P137" s="46">
        <f>SUM(O137:O169)</f>
        <v>93673.135</v>
      </c>
      <c r="Q137" s="46" t="s">
        <v>130</v>
      </c>
      <c r="R137" s="74">
        <f>SUM(73320/1525)*H137</f>
        <v>27.4048524590164</v>
      </c>
      <c r="S137" s="74"/>
      <c r="T137" s="75">
        <f>SUM(120/1525)*H137</f>
        <v>0.0448524590163934</v>
      </c>
      <c r="U137" s="74"/>
      <c r="V137" s="74"/>
      <c r="W137" s="76">
        <f t="shared" si="91"/>
        <v>27.4497049180328</v>
      </c>
      <c r="X137" s="77">
        <f>SUM(1293.13/1525)*H137</f>
        <v>0.483333836065574</v>
      </c>
      <c r="Y137" s="77"/>
      <c r="Z137" s="77"/>
      <c r="AA137" s="77">
        <f t="shared" ref="AA137:AA170" si="95">SUM(X137:Z137)</f>
        <v>0.483333836065574</v>
      </c>
      <c r="AB137" s="87">
        <v>7.26</v>
      </c>
      <c r="AC137" s="74">
        <f t="shared" si="92"/>
        <v>3.50900364983607</v>
      </c>
      <c r="AD137" s="74">
        <f t="shared" si="90"/>
        <v>30.9587085678688</v>
      </c>
      <c r="AE137" s="74">
        <f t="shared" ref="AE137:AE170" si="96">SUM(O137-AD137)</f>
        <v>48.9738914321311</v>
      </c>
    </row>
    <row r="138" customFormat="1" spans="1:31">
      <c r="A138" s="18"/>
      <c r="B138" s="19"/>
      <c r="C138" s="20">
        <v>240628000012</v>
      </c>
      <c r="D138" s="21">
        <v>45481</v>
      </c>
      <c r="E138" s="21" t="s">
        <v>44</v>
      </c>
      <c r="F138" s="19" t="s">
        <v>45</v>
      </c>
      <c r="G138" s="19" t="s">
        <v>184</v>
      </c>
      <c r="H138" s="19">
        <v>5.5</v>
      </c>
      <c r="I138" s="41">
        <v>366.3</v>
      </c>
      <c r="J138" s="42"/>
      <c r="K138" s="43"/>
      <c r="L138" s="19"/>
      <c r="M138" s="43"/>
      <c r="N138" s="44"/>
      <c r="O138" s="45">
        <f t="shared" ref="O138:O142" si="97">SUM(I138)</f>
        <v>366.3</v>
      </c>
      <c r="P138" s="51"/>
      <c r="Q138" s="51"/>
      <c r="R138" s="74">
        <f t="shared" ref="R138:R169" si="98">SUM(73320/1525)*H138</f>
        <v>264.432786885246</v>
      </c>
      <c r="S138" s="74"/>
      <c r="T138" s="75">
        <f t="shared" ref="T138:T169" si="99">SUM(120/1525)*H138</f>
        <v>0.432786885245902</v>
      </c>
      <c r="U138" s="74"/>
      <c r="V138" s="74"/>
      <c r="W138" s="76">
        <f t="shared" si="91"/>
        <v>264.865573770492</v>
      </c>
      <c r="X138" s="77">
        <f t="shared" ref="X138:X169" si="100">SUM(1293.13/1525)*H138</f>
        <v>4.66374754098361</v>
      </c>
      <c r="Y138" s="77"/>
      <c r="Z138" s="77"/>
      <c r="AA138" s="77">
        <f t="shared" si="95"/>
        <v>4.66374754098361</v>
      </c>
      <c r="AB138" s="87">
        <v>7.26</v>
      </c>
      <c r="AC138" s="74">
        <f t="shared" si="92"/>
        <v>33.858807147541</v>
      </c>
      <c r="AD138" s="74">
        <f t="shared" si="90"/>
        <v>298.724380918033</v>
      </c>
      <c r="AE138" s="74">
        <f t="shared" si="96"/>
        <v>67.5756190819673</v>
      </c>
    </row>
    <row r="139" customFormat="1" spans="1:31">
      <c r="A139" s="18"/>
      <c r="B139" s="19"/>
      <c r="C139" s="20">
        <v>240630000002</v>
      </c>
      <c r="D139" s="21">
        <v>45481</v>
      </c>
      <c r="E139" s="21" t="s">
        <v>37</v>
      </c>
      <c r="F139" s="19" t="s">
        <v>37</v>
      </c>
      <c r="G139" s="19" t="s">
        <v>185</v>
      </c>
      <c r="H139" s="19">
        <v>37</v>
      </c>
      <c r="I139" s="47"/>
      <c r="J139" s="48">
        <v>548218</v>
      </c>
      <c r="K139" s="43"/>
      <c r="L139" s="49">
        <f t="shared" si="93"/>
        <v>1597.23217667453</v>
      </c>
      <c r="M139" s="50">
        <v>343.23</v>
      </c>
      <c r="N139" s="44">
        <v>7.26</v>
      </c>
      <c r="O139" s="45">
        <f t="shared" si="94"/>
        <v>2491.8498</v>
      </c>
      <c r="P139" s="51"/>
      <c r="Q139" s="51"/>
      <c r="R139" s="74">
        <f t="shared" si="98"/>
        <v>1778.91147540984</v>
      </c>
      <c r="S139" s="74"/>
      <c r="T139" s="75">
        <f t="shared" si="99"/>
        <v>2.91147540983607</v>
      </c>
      <c r="U139" s="74">
        <v>40</v>
      </c>
      <c r="V139" s="74"/>
      <c r="W139" s="76">
        <f t="shared" si="91"/>
        <v>1821.82295081967</v>
      </c>
      <c r="X139" s="77">
        <f t="shared" si="100"/>
        <v>31.3743016393443</v>
      </c>
      <c r="Y139" s="77"/>
      <c r="Z139" s="77"/>
      <c r="AA139" s="77">
        <f t="shared" si="95"/>
        <v>31.3743016393443</v>
      </c>
      <c r="AB139" s="87">
        <v>7.26</v>
      </c>
      <c r="AC139" s="74">
        <f t="shared" si="92"/>
        <v>227.777429901639</v>
      </c>
      <c r="AD139" s="74">
        <f t="shared" si="90"/>
        <v>2049.60038072131</v>
      </c>
      <c r="AE139" s="74">
        <f t="shared" si="96"/>
        <v>442.249419278688</v>
      </c>
    </row>
    <row r="140" customFormat="1" spans="1:31">
      <c r="A140" s="18"/>
      <c r="B140" s="19"/>
      <c r="C140" s="20">
        <v>240630000007</v>
      </c>
      <c r="D140" s="21">
        <v>45481</v>
      </c>
      <c r="E140" s="21" t="s">
        <v>55</v>
      </c>
      <c r="F140" s="19" t="s">
        <v>56</v>
      </c>
      <c r="G140" s="19" t="s">
        <v>186</v>
      </c>
      <c r="H140" s="19">
        <v>115.5</v>
      </c>
      <c r="I140" s="41">
        <v>8193</v>
      </c>
      <c r="J140" s="42"/>
      <c r="K140" s="43"/>
      <c r="L140" s="19"/>
      <c r="M140" s="43"/>
      <c r="N140" s="44"/>
      <c r="O140" s="45">
        <f t="shared" si="97"/>
        <v>8193</v>
      </c>
      <c r="P140" s="51"/>
      <c r="Q140" s="51"/>
      <c r="R140" s="74">
        <f t="shared" si="98"/>
        <v>5553.08852459016</v>
      </c>
      <c r="S140" s="74"/>
      <c r="T140" s="75">
        <f t="shared" si="99"/>
        <v>9.08852459016394</v>
      </c>
      <c r="U140" s="75">
        <v>520</v>
      </c>
      <c r="V140" s="74"/>
      <c r="W140" s="76">
        <f t="shared" si="91"/>
        <v>6082.17704918033</v>
      </c>
      <c r="X140" s="77">
        <f t="shared" si="100"/>
        <v>97.9386983606557</v>
      </c>
      <c r="Y140" s="77"/>
      <c r="Z140" s="77"/>
      <c r="AA140" s="77">
        <f t="shared" si="95"/>
        <v>97.9386983606557</v>
      </c>
      <c r="AB140" s="87">
        <v>7.26</v>
      </c>
      <c r="AC140" s="74">
        <f t="shared" si="92"/>
        <v>711.034950098361</v>
      </c>
      <c r="AD140" s="74">
        <f t="shared" si="90"/>
        <v>6793.21199927869</v>
      </c>
      <c r="AE140" s="74">
        <f t="shared" si="96"/>
        <v>1399.78800072131</v>
      </c>
    </row>
    <row r="141" customFormat="1" spans="1:31">
      <c r="A141" s="18"/>
      <c r="B141" s="19"/>
      <c r="C141" s="20">
        <v>240630000009</v>
      </c>
      <c r="D141" s="21">
        <v>45481</v>
      </c>
      <c r="E141" s="21" t="s">
        <v>47</v>
      </c>
      <c r="F141" s="19" t="s">
        <v>48</v>
      </c>
      <c r="G141" s="19" t="s">
        <v>187</v>
      </c>
      <c r="H141" s="19">
        <v>5</v>
      </c>
      <c r="I141" s="45"/>
      <c r="J141" s="48">
        <v>81560</v>
      </c>
      <c r="K141" s="43"/>
      <c r="L141" s="49">
        <f t="shared" si="93"/>
        <v>1597.96238244514</v>
      </c>
      <c r="M141" s="50">
        <v>51.04</v>
      </c>
      <c r="N141" s="44">
        <v>7.26</v>
      </c>
      <c r="O141" s="45">
        <f t="shared" si="94"/>
        <v>370.5504</v>
      </c>
      <c r="P141" s="51"/>
      <c r="Q141" s="51"/>
      <c r="R141" s="74">
        <f t="shared" si="98"/>
        <v>240.393442622951</v>
      </c>
      <c r="S141" s="74"/>
      <c r="T141" s="75">
        <f t="shared" si="99"/>
        <v>0.39344262295082</v>
      </c>
      <c r="U141" s="74"/>
      <c r="V141" s="74"/>
      <c r="W141" s="76">
        <f t="shared" si="91"/>
        <v>240.786885245902</v>
      </c>
      <c r="X141" s="77">
        <f t="shared" si="100"/>
        <v>4.23977049180328</v>
      </c>
      <c r="Y141" s="77"/>
      <c r="Z141" s="77"/>
      <c r="AA141" s="77">
        <f t="shared" si="95"/>
        <v>4.23977049180328</v>
      </c>
      <c r="AB141" s="87">
        <v>7.26</v>
      </c>
      <c r="AC141" s="74">
        <f t="shared" si="92"/>
        <v>30.7807337704918</v>
      </c>
      <c r="AD141" s="74">
        <f t="shared" si="90"/>
        <v>271.567619016393</v>
      </c>
      <c r="AE141" s="74">
        <f t="shared" si="96"/>
        <v>98.9827809836065</v>
      </c>
    </row>
    <row r="142" customFormat="1" spans="1:31">
      <c r="A142" s="18"/>
      <c r="B142" s="19"/>
      <c r="C142" s="20">
        <v>240701000004</v>
      </c>
      <c r="D142" s="21">
        <v>45481</v>
      </c>
      <c r="E142" s="21" t="s">
        <v>40</v>
      </c>
      <c r="F142" s="19" t="s">
        <v>41</v>
      </c>
      <c r="G142" s="19" t="s">
        <v>188</v>
      </c>
      <c r="H142" s="19">
        <v>14</v>
      </c>
      <c r="I142" s="41">
        <v>884.4</v>
      </c>
      <c r="J142" s="42"/>
      <c r="K142" s="43"/>
      <c r="L142" s="19"/>
      <c r="M142" s="43"/>
      <c r="N142" s="44"/>
      <c r="O142" s="45">
        <f t="shared" si="97"/>
        <v>884.4</v>
      </c>
      <c r="P142" s="51"/>
      <c r="Q142" s="51"/>
      <c r="R142" s="74">
        <f t="shared" si="98"/>
        <v>673.101639344262</v>
      </c>
      <c r="S142" s="74"/>
      <c r="T142" s="75">
        <f t="shared" si="99"/>
        <v>1.1016393442623</v>
      </c>
      <c r="U142" s="74"/>
      <c r="V142" s="74"/>
      <c r="W142" s="76">
        <f t="shared" si="91"/>
        <v>674.203278688525</v>
      </c>
      <c r="X142" s="77">
        <f t="shared" si="100"/>
        <v>11.8713573770492</v>
      </c>
      <c r="Y142" s="77"/>
      <c r="Z142" s="77"/>
      <c r="AA142" s="77">
        <f t="shared" si="95"/>
        <v>11.8713573770492</v>
      </c>
      <c r="AB142" s="87">
        <v>7.26</v>
      </c>
      <c r="AC142" s="74">
        <f t="shared" si="92"/>
        <v>86.186054557377</v>
      </c>
      <c r="AD142" s="74">
        <f t="shared" si="90"/>
        <v>760.389333245902</v>
      </c>
      <c r="AE142" s="74">
        <f t="shared" si="96"/>
        <v>124.010666754098</v>
      </c>
    </row>
    <row r="143" customFormat="1" spans="1:31">
      <c r="A143" s="18"/>
      <c r="B143" s="19"/>
      <c r="C143" s="20">
        <v>240701000005</v>
      </c>
      <c r="D143" s="21">
        <v>45481</v>
      </c>
      <c r="E143" s="21" t="s">
        <v>58</v>
      </c>
      <c r="F143" s="19" t="s">
        <v>59</v>
      </c>
      <c r="G143" s="19" t="s">
        <v>189</v>
      </c>
      <c r="H143" s="19">
        <v>5</v>
      </c>
      <c r="I143" s="45"/>
      <c r="J143" s="48">
        <v>68370</v>
      </c>
      <c r="K143" s="43"/>
      <c r="L143" s="49">
        <f t="shared" ref="L143:L147" si="101">SUM(J143/M143)</f>
        <v>1590</v>
      </c>
      <c r="M143" s="50">
        <v>43</v>
      </c>
      <c r="N143" s="44">
        <v>7.26</v>
      </c>
      <c r="O143" s="45">
        <f t="shared" ref="O143:O147" si="102">SUM(M143*N143)</f>
        <v>312.18</v>
      </c>
      <c r="P143" s="51"/>
      <c r="Q143" s="51"/>
      <c r="R143" s="74">
        <f t="shared" si="98"/>
        <v>240.393442622951</v>
      </c>
      <c r="S143" s="74"/>
      <c r="T143" s="75">
        <f t="shared" si="99"/>
        <v>0.39344262295082</v>
      </c>
      <c r="U143" s="74"/>
      <c r="V143" s="74"/>
      <c r="W143" s="76">
        <f t="shared" si="91"/>
        <v>240.786885245902</v>
      </c>
      <c r="X143" s="77">
        <f t="shared" si="100"/>
        <v>4.23977049180328</v>
      </c>
      <c r="Y143" s="77"/>
      <c r="Z143" s="77"/>
      <c r="AA143" s="77">
        <f t="shared" si="95"/>
        <v>4.23977049180328</v>
      </c>
      <c r="AB143" s="87">
        <v>7.26</v>
      </c>
      <c r="AC143" s="74">
        <f t="shared" si="92"/>
        <v>30.7807337704918</v>
      </c>
      <c r="AD143" s="74">
        <f t="shared" si="90"/>
        <v>271.567619016393</v>
      </c>
      <c r="AE143" s="74">
        <f t="shared" si="96"/>
        <v>40.6123809836066</v>
      </c>
    </row>
    <row r="144" customFormat="1" spans="1:31">
      <c r="A144" s="18"/>
      <c r="B144" s="19"/>
      <c r="C144" s="20">
        <v>240701000006</v>
      </c>
      <c r="D144" s="21">
        <v>45481</v>
      </c>
      <c r="E144" s="21" t="s">
        <v>58</v>
      </c>
      <c r="F144" s="19" t="s">
        <v>59</v>
      </c>
      <c r="G144" s="19" t="s">
        <v>133</v>
      </c>
      <c r="H144" s="19">
        <v>0.1</v>
      </c>
      <c r="I144" s="41">
        <v>78.1</v>
      </c>
      <c r="J144" s="42"/>
      <c r="K144" s="43"/>
      <c r="L144" s="19"/>
      <c r="M144" s="43"/>
      <c r="N144" s="44"/>
      <c r="O144" s="45">
        <f t="shared" ref="O144:O149" si="103">SUM(I144)</f>
        <v>78.1</v>
      </c>
      <c r="P144" s="51"/>
      <c r="Q144" s="51"/>
      <c r="R144" s="74">
        <f t="shared" si="98"/>
        <v>4.80786885245902</v>
      </c>
      <c r="S144" s="74"/>
      <c r="T144" s="75">
        <f t="shared" si="99"/>
        <v>0.0078688524590164</v>
      </c>
      <c r="U144" s="74"/>
      <c r="V144" s="74"/>
      <c r="W144" s="76">
        <f t="shared" si="91"/>
        <v>4.81573770491803</v>
      </c>
      <c r="X144" s="77">
        <f t="shared" si="100"/>
        <v>0.0847954098360656</v>
      </c>
      <c r="Y144" s="77"/>
      <c r="Z144" s="77"/>
      <c r="AA144" s="77">
        <f t="shared" si="95"/>
        <v>0.0847954098360656</v>
      </c>
      <c r="AB144" s="87">
        <v>7.26</v>
      </c>
      <c r="AC144" s="74">
        <f t="shared" si="92"/>
        <v>0.615614675409836</v>
      </c>
      <c r="AD144" s="74">
        <f t="shared" si="90"/>
        <v>5.43135238032787</v>
      </c>
      <c r="AE144" s="74">
        <f t="shared" si="96"/>
        <v>72.6686476196721</v>
      </c>
    </row>
    <row r="145" customFormat="1" spans="1:31">
      <c r="A145" s="18"/>
      <c r="B145" s="19"/>
      <c r="C145" s="20">
        <v>240701000013</v>
      </c>
      <c r="D145" s="21">
        <v>45481</v>
      </c>
      <c r="E145" s="21" t="s">
        <v>40</v>
      </c>
      <c r="F145" s="19" t="s">
        <v>41</v>
      </c>
      <c r="G145" s="19" t="s">
        <v>190</v>
      </c>
      <c r="H145" s="19">
        <v>21.5</v>
      </c>
      <c r="I145" s="41">
        <v>1397.5</v>
      </c>
      <c r="J145" s="42"/>
      <c r="K145" s="43"/>
      <c r="L145" s="19"/>
      <c r="M145" s="43"/>
      <c r="N145" s="44"/>
      <c r="O145" s="45">
        <f t="shared" si="103"/>
        <v>1397.5</v>
      </c>
      <c r="P145" s="51"/>
      <c r="Q145" s="51"/>
      <c r="R145" s="74">
        <f t="shared" si="98"/>
        <v>1033.69180327869</v>
      </c>
      <c r="S145" s="74"/>
      <c r="T145" s="75">
        <f t="shared" si="99"/>
        <v>1.69180327868852</v>
      </c>
      <c r="U145" s="74"/>
      <c r="V145" s="74"/>
      <c r="W145" s="76">
        <f t="shared" si="91"/>
        <v>1035.38360655738</v>
      </c>
      <c r="X145" s="77">
        <f t="shared" si="100"/>
        <v>18.2310131147541</v>
      </c>
      <c r="Y145" s="77"/>
      <c r="Z145" s="77"/>
      <c r="AA145" s="77">
        <f t="shared" si="95"/>
        <v>18.2310131147541</v>
      </c>
      <c r="AB145" s="87">
        <v>7.26</v>
      </c>
      <c r="AC145" s="74">
        <f t="shared" si="92"/>
        <v>132.357155213115</v>
      </c>
      <c r="AD145" s="74">
        <f t="shared" si="90"/>
        <v>1167.74076177049</v>
      </c>
      <c r="AE145" s="74">
        <f t="shared" si="96"/>
        <v>229.759238229508</v>
      </c>
    </row>
    <row r="146" customFormat="1" spans="1:31">
      <c r="A146" s="18"/>
      <c r="B146" s="19"/>
      <c r="C146" s="20">
        <v>240701000014</v>
      </c>
      <c r="D146" s="21">
        <v>45481</v>
      </c>
      <c r="E146" s="21" t="s">
        <v>58</v>
      </c>
      <c r="F146" s="19" t="s">
        <v>59</v>
      </c>
      <c r="G146" s="19" t="s">
        <v>140</v>
      </c>
      <c r="H146" s="19">
        <v>29</v>
      </c>
      <c r="I146" s="47"/>
      <c r="J146" s="48">
        <v>459389</v>
      </c>
      <c r="K146" s="43"/>
      <c r="L146" s="49">
        <f t="shared" si="101"/>
        <v>1575.40809327846</v>
      </c>
      <c r="M146" s="50">
        <v>291.6</v>
      </c>
      <c r="N146" s="44">
        <v>7.26</v>
      </c>
      <c r="O146" s="45">
        <f t="shared" si="102"/>
        <v>2117.016</v>
      </c>
      <c r="P146" s="51"/>
      <c r="Q146" s="51"/>
      <c r="R146" s="74">
        <f t="shared" si="98"/>
        <v>1394.28196721311</v>
      </c>
      <c r="S146" s="74"/>
      <c r="T146" s="75">
        <f t="shared" si="99"/>
        <v>2.28196721311475</v>
      </c>
      <c r="U146" s="74"/>
      <c r="V146" s="74"/>
      <c r="W146" s="76">
        <f t="shared" si="91"/>
        <v>1396.56393442623</v>
      </c>
      <c r="X146" s="77">
        <f t="shared" si="100"/>
        <v>24.590668852459</v>
      </c>
      <c r="Y146" s="77"/>
      <c r="Z146" s="77"/>
      <c r="AA146" s="77">
        <f t="shared" si="95"/>
        <v>24.590668852459</v>
      </c>
      <c r="AB146" s="87">
        <v>7.26</v>
      </c>
      <c r="AC146" s="74">
        <f t="shared" si="92"/>
        <v>178.528255868852</v>
      </c>
      <c r="AD146" s="74">
        <f t="shared" si="90"/>
        <v>1575.09219029508</v>
      </c>
      <c r="AE146" s="74">
        <f t="shared" si="96"/>
        <v>541.923809704918</v>
      </c>
    </row>
    <row r="147" customFormat="1" spans="1:31">
      <c r="A147" s="18"/>
      <c r="B147" s="19"/>
      <c r="C147" s="20">
        <v>240701000017</v>
      </c>
      <c r="D147" s="21">
        <v>45481</v>
      </c>
      <c r="E147" s="21" t="s">
        <v>58</v>
      </c>
      <c r="F147" s="19" t="s">
        <v>59</v>
      </c>
      <c r="G147" s="19" t="s">
        <v>191</v>
      </c>
      <c r="H147" s="19">
        <v>12.5</v>
      </c>
      <c r="I147" s="47"/>
      <c r="J147" s="48">
        <v>162316</v>
      </c>
      <c r="K147" s="43"/>
      <c r="L147" s="49">
        <f t="shared" si="101"/>
        <v>1575.42463360186</v>
      </c>
      <c r="M147" s="50">
        <v>103.03</v>
      </c>
      <c r="N147" s="44">
        <v>7.26</v>
      </c>
      <c r="O147" s="45">
        <f t="shared" si="102"/>
        <v>747.9978</v>
      </c>
      <c r="P147" s="51"/>
      <c r="Q147" s="51"/>
      <c r="R147" s="74">
        <f t="shared" si="98"/>
        <v>600.983606557377</v>
      </c>
      <c r="S147" s="74"/>
      <c r="T147" s="75">
        <f t="shared" si="99"/>
        <v>0.983606557377049</v>
      </c>
      <c r="U147" s="74">
        <v>30</v>
      </c>
      <c r="V147" s="74"/>
      <c r="W147" s="76">
        <f t="shared" si="91"/>
        <v>631.967213114754</v>
      </c>
      <c r="X147" s="77">
        <f t="shared" si="100"/>
        <v>10.5994262295082</v>
      </c>
      <c r="Y147" s="77"/>
      <c r="Z147" s="77"/>
      <c r="AA147" s="77">
        <f t="shared" si="95"/>
        <v>10.5994262295082</v>
      </c>
      <c r="AB147" s="87">
        <v>7.26</v>
      </c>
      <c r="AC147" s="74">
        <f t="shared" si="92"/>
        <v>76.9518344262295</v>
      </c>
      <c r="AD147" s="74">
        <f t="shared" si="90"/>
        <v>708.919047540984</v>
      </c>
      <c r="AE147" s="74">
        <f t="shared" si="96"/>
        <v>39.0787524590164</v>
      </c>
    </row>
    <row r="148" customFormat="1" spans="1:31">
      <c r="A148" s="18"/>
      <c r="B148" s="19"/>
      <c r="C148" s="20">
        <v>240701000018</v>
      </c>
      <c r="D148" s="21">
        <v>45481</v>
      </c>
      <c r="E148" s="21" t="s">
        <v>40</v>
      </c>
      <c r="F148" s="19" t="s">
        <v>41</v>
      </c>
      <c r="G148" s="19" t="s">
        <v>192</v>
      </c>
      <c r="H148" s="19">
        <v>6</v>
      </c>
      <c r="I148" s="41">
        <v>414</v>
      </c>
      <c r="J148" s="42"/>
      <c r="K148" s="43"/>
      <c r="L148" s="19"/>
      <c r="M148" s="43"/>
      <c r="N148" s="44"/>
      <c r="O148" s="45">
        <f t="shared" si="103"/>
        <v>414</v>
      </c>
      <c r="P148" s="51"/>
      <c r="Q148" s="51"/>
      <c r="R148" s="74">
        <f t="shared" si="98"/>
        <v>288.472131147541</v>
      </c>
      <c r="S148" s="74"/>
      <c r="T148" s="75">
        <f t="shared" si="99"/>
        <v>0.472131147540984</v>
      </c>
      <c r="U148" s="74">
        <v>30</v>
      </c>
      <c r="V148" s="74"/>
      <c r="W148" s="76">
        <f t="shared" si="91"/>
        <v>318.944262295082</v>
      </c>
      <c r="X148" s="77">
        <f t="shared" si="100"/>
        <v>5.08772459016394</v>
      </c>
      <c r="Y148" s="77"/>
      <c r="Z148" s="77"/>
      <c r="AA148" s="77">
        <f t="shared" si="95"/>
        <v>5.08772459016394</v>
      </c>
      <c r="AB148" s="87">
        <v>7.26</v>
      </c>
      <c r="AC148" s="74">
        <f t="shared" si="92"/>
        <v>36.9368805245902</v>
      </c>
      <c r="AD148" s="74">
        <f t="shared" si="90"/>
        <v>355.881142819672</v>
      </c>
      <c r="AE148" s="74">
        <f t="shared" si="96"/>
        <v>58.1188571803279</v>
      </c>
    </row>
    <row r="149" customFormat="1" spans="1:31">
      <c r="A149" s="18"/>
      <c r="B149" s="19"/>
      <c r="C149" s="20">
        <v>240701000026</v>
      </c>
      <c r="D149" s="21">
        <v>45481</v>
      </c>
      <c r="E149" s="21" t="s">
        <v>58</v>
      </c>
      <c r="F149" s="19" t="s">
        <v>59</v>
      </c>
      <c r="G149" s="19" t="s">
        <v>193</v>
      </c>
      <c r="H149" s="19">
        <v>5</v>
      </c>
      <c r="I149" s="41">
        <v>330</v>
      </c>
      <c r="J149" s="42"/>
      <c r="K149" s="43"/>
      <c r="L149" s="19"/>
      <c r="M149" s="43"/>
      <c r="N149" s="44"/>
      <c r="O149" s="45">
        <f t="shared" si="103"/>
        <v>330</v>
      </c>
      <c r="P149" s="51"/>
      <c r="Q149" s="51"/>
      <c r="R149" s="74">
        <f t="shared" si="98"/>
        <v>240.393442622951</v>
      </c>
      <c r="S149" s="74"/>
      <c r="T149" s="75">
        <f t="shared" si="99"/>
        <v>0.39344262295082</v>
      </c>
      <c r="U149" s="74"/>
      <c r="V149" s="74"/>
      <c r="W149" s="76">
        <f t="shared" si="91"/>
        <v>240.786885245902</v>
      </c>
      <c r="X149" s="77">
        <f t="shared" si="100"/>
        <v>4.23977049180328</v>
      </c>
      <c r="Y149" s="77"/>
      <c r="Z149" s="77"/>
      <c r="AA149" s="77">
        <f t="shared" si="95"/>
        <v>4.23977049180328</v>
      </c>
      <c r="AB149" s="87">
        <v>7.26</v>
      </c>
      <c r="AC149" s="74">
        <f t="shared" si="92"/>
        <v>30.7807337704918</v>
      </c>
      <c r="AD149" s="74">
        <f t="shared" si="90"/>
        <v>271.567619016393</v>
      </c>
      <c r="AE149" s="74">
        <f t="shared" si="96"/>
        <v>58.4323809836065</v>
      </c>
    </row>
    <row r="150" customFormat="1" spans="1:31">
      <c r="A150" s="18"/>
      <c r="B150" s="19"/>
      <c r="C150" s="20">
        <v>240701000029</v>
      </c>
      <c r="D150" s="21">
        <v>45481</v>
      </c>
      <c r="E150" s="21" t="s">
        <v>44</v>
      </c>
      <c r="F150" s="19" t="s">
        <v>45</v>
      </c>
      <c r="G150" s="19" t="s">
        <v>194</v>
      </c>
      <c r="H150" s="19">
        <v>0.28</v>
      </c>
      <c r="I150" s="47"/>
      <c r="J150" s="48">
        <v>16546</v>
      </c>
      <c r="K150" s="43"/>
      <c r="L150" s="49">
        <f>SUM(J150/M150)</f>
        <v>1583.34928229665</v>
      </c>
      <c r="M150" s="50">
        <v>10.45</v>
      </c>
      <c r="N150" s="44">
        <v>7.26</v>
      </c>
      <c r="O150" s="45">
        <f>SUM(M150*N150)</f>
        <v>75.867</v>
      </c>
      <c r="P150" s="51"/>
      <c r="Q150" s="51"/>
      <c r="R150" s="74">
        <f t="shared" si="98"/>
        <v>13.4620327868852</v>
      </c>
      <c r="S150" s="74"/>
      <c r="T150" s="75">
        <f t="shared" si="99"/>
        <v>0.0220327868852459</v>
      </c>
      <c r="U150" s="74"/>
      <c r="V150" s="74"/>
      <c r="W150" s="76">
        <f t="shared" si="91"/>
        <v>13.4840655737705</v>
      </c>
      <c r="X150" s="77">
        <f t="shared" si="100"/>
        <v>0.237427147540984</v>
      </c>
      <c r="Y150" s="77"/>
      <c r="Z150" s="77"/>
      <c r="AA150" s="77">
        <f t="shared" si="95"/>
        <v>0.237427147540984</v>
      </c>
      <c r="AB150" s="87">
        <v>7.26</v>
      </c>
      <c r="AC150" s="74">
        <f t="shared" si="92"/>
        <v>1.72372109114754</v>
      </c>
      <c r="AD150" s="74">
        <f t="shared" si="90"/>
        <v>15.207786664918</v>
      </c>
      <c r="AE150" s="74">
        <f t="shared" si="96"/>
        <v>60.659213335082</v>
      </c>
    </row>
    <row r="151" customFormat="1" spans="1:31">
      <c r="A151" s="18"/>
      <c r="B151" s="19"/>
      <c r="C151" s="20">
        <v>240701000032</v>
      </c>
      <c r="D151" s="21">
        <v>45481</v>
      </c>
      <c r="E151" s="21" t="s">
        <v>47</v>
      </c>
      <c r="F151" s="19" t="s">
        <v>48</v>
      </c>
      <c r="G151" s="19" t="s">
        <v>122</v>
      </c>
      <c r="H151" s="19">
        <v>6.5</v>
      </c>
      <c r="I151" s="45"/>
      <c r="J151" s="48">
        <v>117479</v>
      </c>
      <c r="K151" s="43"/>
      <c r="L151" s="49">
        <f>SUM(J151/M151)</f>
        <v>1606.001367054</v>
      </c>
      <c r="M151" s="50">
        <v>73.15</v>
      </c>
      <c r="N151" s="44">
        <v>7.26</v>
      </c>
      <c r="O151" s="45">
        <f>SUM(M151*N151)</f>
        <v>531.069</v>
      </c>
      <c r="P151" s="51"/>
      <c r="Q151" s="51"/>
      <c r="R151" s="74">
        <f t="shared" si="98"/>
        <v>312.511475409836</v>
      </c>
      <c r="S151" s="74"/>
      <c r="T151" s="75">
        <f t="shared" si="99"/>
        <v>0.511475409836066</v>
      </c>
      <c r="U151" s="74"/>
      <c r="V151" s="74"/>
      <c r="W151" s="76">
        <f t="shared" si="91"/>
        <v>313.022950819672</v>
      </c>
      <c r="X151" s="77">
        <f t="shared" si="100"/>
        <v>5.51170163934426</v>
      </c>
      <c r="Y151" s="77"/>
      <c r="Z151" s="77"/>
      <c r="AA151" s="77">
        <f t="shared" si="95"/>
        <v>5.51170163934426</v>
      </c>
      <c r="AB151" s="87">
        <v>7.26</v>
      </c>
      <c r="AC151" s="74">
        <f t="shared" si="92"/>
        <v>40.0149539016394</v>
      </c>
      <c r="AD151" s="74">
        <f t="shared" si="90"/>
        <v>353.037904721311</v>
      </c>
      <c r="AE151" s="74">
        <f t="shared" si="96"/>
        <v>178.031095278689</v>
      </c>
    </row>
    <row r="152" customFormat="1" spans="1:31">
      <c r="A152" s="18"/>
      <c r="B152" s="19"/>
      <c r="C152" s="20">
        <v>240701000037</v>
      </c>
      <c r="D152" s="21">
        <v>45481</v>
      </c>
      <c r="E152" s="21" t="s">
        <v>47</v>
      </c>
      <c r="F152" s="19" t="s">
        <v>48</v>
      </c>
      <c r="G152" s="19" t="s">
        <v>154</v>
      </c>
      <c r="H152" s="19">
        <v>2.5</v>
      </c>
      <c r="I152" s="41">
        <v>235</v>
      </c>
      <c r="J152" s="42"/>
      <c r="K152" s="43"/>
      <c r="L152" s="19"/>
      <c r="M152" s="43"/>
      <c r="N152" s="44"/>
      <c r="O152" s="45">
        <f t="shared" ref="O152:O154" si="104">SUM(I152)</f>
        <v>235</v>
      </c>
      <c r="P152" s="51"/>
      <c r="Q152" s="51"/>
      <c r="R152" s="74">
        <f t="shared" si="98"/>
        <v>120.196721311475</v>
      </c>
      <c r="S152" s="74"/>
      <c r="T152" s="75">
        <f t="shared" si="99"/>
        <v>0.19672131147541</v>
      </c>
      <c r="U152" s="74"/>
      <c r="V152" s="74"/>
      <c r="W152" s="76">
        <f t="shared" si="91"/>
        <v>120.393442622951</v>
      </c>
      <c r="X152" s="77">
        <f t="shared" si="100"/>
        <v>2.11988524590164</v>
      </c>
      <c r="Y152" s="77"/>
      <c r="Z152" s="77"/>
      <c r="AA152" s="77">
        <f t="shared" si="95"/>
        <v>2.11988524590164</v>
      </c>
      <c r="AB152" s="87">
        <v>7.26</v>
      </c>
      <c r="AC152" s="74">
        <f t="shared" si="92"/>
        <v>15.3903668852459</v>
      </c>
      <c r="AD152" s="74">
        <f t="shared" si="90"/>
        <v>135.783809508197</v>
      </c>
      <c r="AE152" s="74">
        <f t="shared" si="96"/>
        <v>99.2161904918033</v>
      </c>
    </row>
    <row r="153" customFormat="1" spans="1:31">
      <c r="A153" s="18"/>
      <c r="B153" s="19"/>
      <c r="C153" s="20">
        <v>240701000041</v>
      </c>
      <c r="D153" s="21">
        <v>45481</v>
      </c>
      <c r="E153" s="21" t="s">
        <v>40</v>
      </c>
      <c r="F153" s="19" t="s">
        <v>41</v>
      </c>
      <c r="G153" s="19" t="s">
        <v>139</v>
      </c>
      <c r="H153" s="19">
        <v>6.5</v>
      </c>
      <c r="I153" s="41">
        <v>422.5</v>
      </c>
      <c r="J153" s="42"/>
      <c r="K153" s="43"/>
      <c r="L153" s="19"/>
      <c r="M153" s="43"/>
      <c r="N153" s="44"/>
      <c r="O153" s="45">
        <f t="shared" si="104"/>
        <v>422.5</v>
      </c>
      <c r="P153" s="51"/>
      <c r="Q153" s="51"/>
      <c r="R153" s="74">
        <f t="shared" si="98"/>
        <v>312.511475409836</v>
      </c>
      <c r="S153" s="74"/>
      <c r="T153" s="75">
        <f t="shared" si="99"/>
        <v>0.511475409836066</v>
      </c>
      <c r="U153" s="74"/>
      <c r="V153" s="74"/>
      <c r="W153" s="76">
        <f t="shared" si="91"/>
        <v>313.022950819672</v>
      </c>
      <c r="X153" s="77">
        <f t="shared" si="100"/>
        <v>5.51170163934426</v>
      </c>
      <c r="Y153" s="77"/>
      <c r="Z153" s="77"/>
      <c r="AA153" s="77">
        <f t="shared" si="95"/>
        <v>5.51170163934426</v>
      </c>
      <c r="AB153" s="87">
        <v>7.26</v>
      </c>
      <c r="AC153" s="74">
        <f t="shared" si="92"/>
        <v>40.0149539016394</v>
      </c>
      <c r="AD153" s="74">
        <f t="shared" si="90"/>
        <v>353.037904721311</v>
      </c>
      <c r="AE153" s="74">
        <f t="shared" si="96"/>
        <v>69.4620952786885</v>
      </c>
    </row>
    <row r="154" customFormat="1" spans="1:31">
      <c r="A154" s="18"/>
      <c r="B154" s="19"/>
      <c r="C154" s="20">
        <v>240701000046</v>
      </c>
      <c r="D154" s="21">
        <v>45481</v>
      </c>
      <c r="E154" s="21" t="s">
        <v>40</v>
      </c>
      <c r="F154" s="19" t="s">
        <v>41</v>
      </c>
      <c r="G154" s="19" t="s">
        <v>78</v>
      </c>
      <c r="H154" s="19">
        <v>5.5</v>
      </c>
      <c r="I154" s="41">
        <v>357.5</v>
      </c>
      <c r="J154" s="42"/>
      <c r="K154" s="43"/>
      <c r="L154" s="19"/>
      <c r="M154" s="43"/>
      <c r="N154" s="44"/>
      <c r="O154" s="45">
        <f t="shared" si="104"/>
        <v>357.5</v>
      </c>
      <c r="P154" s="51"/>
      <c r="Q154" s="51"/>
      <c r="R154" s="74">
        <f t="shared" si="98"/>
        <v>264.432786885246</v>
      </c>
      <c r="S154" s="74"/>
      <c r="T154" s="75">
        <f t="shared" si="99"/>
        <v>0.432786885245902</v>
      </c>
      <c r="U154" s="74"/>
      <c r="V154" s="74"/>
      <c r="W154" s="76">
        <f t="shared" si="91"/>
        <v>264.865573770492</v>
      </c>
      <c r="X154" s="77">
        <f t="shared" si="100"/>
        <v>4.66374754098361</v>
      </c>
      <c r="Y154" s="77"/>
      <c r="Z154" s="77"/>
      <c r="AA154" s="77">
        <f t="shared" si="95"/>
        <v>4.66374754098361</v>
      </c>
      <c r="AB154" s="87">
        <v>7.26</v>
      </c>
      <c r="AC154" s="74">
        <f t="shared" si="92"/>
        <v>33.858807147541</v>
      </c>
      <c r="AD154" s="74">
        <f t="shared" si="90"/>
        <v>298.724380918033</v>
      </c>
      <c r="AE154" s="74">
        <f t="shared" si="96"/>
        <v>58.7756190819672</v>
      </c>
    </row>
    <row r="155" customFormat="1" spans="1:31">
      <c r="A155" s="18"/>
      <c r="B155" s="19"/>
      <c r="C155" s="20">
        <v>240701000048</v>
      </c>
      <c r="D155" s="21">
        <v>45481</v>
      </c>
      <c r="E155" s="21" t="s">
        <v>44</v>
      </c>
      <c r="F155" s="19" t="s">
        <v>45</v>
      </c>
      <c r="G155" s="19" t="s">
        <v>195</v>
      </c>
      <c r="H155" s="19">
        <v>1</v>
      </c>
      <c r="I155" s="88">
        <v>188</v>
      </c>
      <c r="J155" s="42"/>
      <c r="K155" s="43"/>
      <c r="L155" s="19"/>
      <c r="M155" s="43"/>
      <c r="N155" s="44"/>
      <c r="O155" s="45">
        <f>SUBTOTAL(9,I155)</f>
        <v>188</v>
      </c>
      <c r="P155" s="51"/>
      <c r="Q155" s="51"/>
      <c r="R155" s="74">
        <f t="shared" si="98"/>
        <v>48.0786885245902</v>
      </c>
      <c r="S155" s="74"/>
      <c r="T155" s="75">
        <f t="shared" si="99"/>
        <v>0.0786885245901639</v>
      </c>
      <c r="U155" s="74"/>
      <c r="V155" s="74"/>
      <c r="W155" s="76">
        <f t="shared" si="91"/>
        <v>48.1573770491803</v>
      </c>
      <c r="X155" s="77">
        <f t="shared" si="100"/>
        <v>0.847954098360656</v>
      </c>
      <c r="Y155" s="77"/>
      <c r="Z155" s="77"/>
      <c r="AA155" s="77">
        <f t="shared" si="95"/>
        <v>0.847954098360656</v>
      </c>
      <c r="AB155" s="87">
        <v>7.26</v>
      </c>
      <c r="AC155" s="74">
        <f t="shared" si="92"/>
        <v>6.15614675409836</v>
      </c>
      <c r="AD155" s="74">
        <f t="shared" si="90"/>
        <v>54.3135238032787</v>
      </c>
      <c r="AE155" s="74">
        <f t="shared" si="96"/>
        <v>133.686476196721</v>
      </c>
    </row>
    <row r="156" customFormat="1" spans="1:31">
      <c r="A156" s="18"/>
      <c r="B156" s="19"/>
      <c r="C156" s="20">
        <v>240701000055</v>
      </c>
      <c r="D156" s="21">
        <v>45481</v>
      </c>
      <c r="E156" s="21" t="s">
        <v>40</v>
      </c>
      <c r="F156" s="19" t="s">
        <v>41</v>
      </c>
      <c r="G156" s="19" t="s">
        <v>78</v>
      </c>
      <c r="H156" s="19">
        <v>0.68</v>
      </c>
      <c r="I156" s="41">
        <v>90</v>
      </c>
      <c r="J156" s="42"/>
      <c r="K156" s="43"/>
      <c r="L156" s="19"/>
      <c r="M156" s="43"/>
      <c r="N156" s="44"/>
      <c r="O156" s="45">
        <f t="shared" ref="O156:O164" si="105">SUM(I156)</f>
        <v>90</v>
      </c>
      <c r="P156" s="51"/>
      <c r="Q156" s="51"/>
      <c r="R156" s="74">
        <f t="shared" si="98"/>
        <v>32.6935081967213</v>
      </c>
      <c r="S156" s="74"/>
      <c r="T156" s="75">
        <f t="shared" si="99"/>
        <v>0.0535081967213115</v>
      </c>
      <c r="U156" s="74"/>
      <c r="V156" s="74"/>
      <c r="W156" s="76">
        <f t="shared" si="91"/>
        <v>32.7470163934426</v>
      </c>
      <c r="X156" s="77">
        <f t="shared" si="100"/>
        <v>0.576608786885246</v>
      </c>
      <c r="Y156" s="77"/>
      <c r="Z156" s="77"/>
      <c r="AA156" s="77">
        <f t="shared" si="95"/>
        <v>0.576608786885246</v>
      </c>
      <c r="AB156" s="87">
        <v>7.26</v>
      </c>
      <c r="AC156" s="74">
        <f t="shared" si="92"/>
        <v>4.18617979278689</v>
      </c>
      <c r="AD156" s="74">
        <f t="shared" si="90"/>
        <v>36.9331961862295</v>
      </c>
      <c r="AE156" s="74">
        <f t="shared" si="96"/>
        <v>53.0668038137705</v>
      </c>
    </row>
    <row r="157" customFormat="1" spans="1:31">
      <c r="A157" s="18"/>
      <c r="B157" s="19"/>
      <c r="C157" s="20">
        <v>240702000001</v>
      </c>
      <c r="D157" s="21">
        <v>45481</v>
      </c>
      <c r="E157" s="21" t="s">
        <v>47</v>
      </c>
      <c r="F157" s="19">
        <v>13635229849</v>
      </c>
      <c r="G157" s="19" t="s">
        <v>108</v>
      </c>
      <c r="H157" s="19">
        <v>9</v>
      </c>
      <c r="I157" s="45"/>
      <c r="J157" s="48">
        <v>127840</v>
      </c>
      <c r="K157" s="43"/>
      <c r="L157" s="49">
        <f>SUM(J157/M157)</f>
        <v>1598</v>
      </c>
      <c r="M157" s="50">
        <v>80</v>
      </c>
      <c r="N157" s="44">
        <v>7.26</v>
      </c>
      <c r="O157" s="45">
        <f>SUM(M157*N157)</f>
        <v>580.8</v>
      </c>
      <c r="P157" s="51"/>
      <c r="Q157" s="51"/>
      <c r="R157" s="74">
        <f t="shared" si="98"/>
        <v>432.708196721311</v>
      </c>
      <c r="S157" s="74"/>
      <c r="T157" s="75">
        <f t="shared" si="99"/>
        <v>0.708196721311475</v>
      </c>
      <c r="U157" s="74"/>
      <c r="V157" s="74"/>
      <c r="W157" s="76">
        <f t="shared" si="91"/>
        <v>433.416393442623</v>
      </c>
      <c r="X157" s="77">
        <f t="shared" si="100"/>
        <v>7.6315868852459</v>
      </c>
      <c r="Y157" s="77"/>
      <c r="Z157" s="77"/>
      <c r="AA157" s="77">
        <f t="shared" si="95"/>
        <v>7.6315868852459</v>
      </c>
      <c r="AB157" s="87">
        <v>7.26</v>
      </c>
      <c r="AC157" s="74">
        <f t="shared" si="92"/>
        <v>55.4053207868853</v>
      </c>
      <c r="AD157" s="74">
        <f t="shared" si="90"/>
        <v>488.821714229508</v>
      </c>
      <c r="AE157" s="74">
        <f t="shared" si="96"/>
        <v>91.9782857704918</v>
      </c>
    </row>
    <row r="158" customFormat="1" spans="1:31">
      <c r="A158" s="18"/>
      <c r="B158" s="19"/>
      <c r="C158" s="22">
        <v>240702000003</v>
      </c>
      <c r="D158" s="23">
        <v>45481</v>
      </c>
      <c r="E158" s="21" t="s">
        <v>47</v>
      </c>
      <c r="F158" s="24" t="s">
        <v>155</v>
      </c>
      <c r="G158" s="24" t="s">
        <v>156</v>
      </c>
      <c r="H158" s="24">
        <v>0.64</v>
      </c>
      <c r="I158" s="41">
        <v>69.3</v>
      </c>
      <c r="J158" s="42"/>
      <c r="K158" s="43"/>
      <c r="L158" s="19"/>
      <c r="M158" s="43"/>
      <c r="N158" s="44"/>
      <c r="O158" s="45">
        <f t="shared" si="105"/>
        <v>69.3</v>
      </c>
      <c r="P158" s="51"/>
      <c r="Q158" s="51"/>
      <c r="R158" s="74">
        <f t="shared" si="98"/>
        <v>30.7703606557377</v>
      </c>
      <c r="S158" s="74"/>
      <c r="T158" s="75">
        <f t="shared" si="99"/>
        <v>0.0503606557377049</v>
      </c>
      <c r="U158" s="74"/>
      <c r="V158" s="74"/>
      <c r="W158" s="76">
        <f t="shared" si="91"/>
        <v>30.8207213114754</v>
      </c>
      <c r="X158" s="77">
        <f t="shared" si="100"/>
        <v>0.54269062295082</v>
      </c>
      <c r="Y158" s="77"/>
      <c r="Z158" s="77"/>
      <c r="AA158" s="77">
        <f t="shared" si="95"/>
        <v>0.54269062295082</v>
      </c>
      <c r="AB158" s="87">
        <v>7.26</v>
      </c>
      <c r="AC158" s="74">
        <f t="shared" si="92"/>
        <v>3.93993392262295</v>
      </c>
      <c r="AD158" s="74">
        <f t="shared" si="90"/>
        <v>34.7606552340984</v>
      </c>
      <c r="AE158" s="74">
        <f t="shared" si="96"/>
        <v>34.5393447659016</v>
      </c>
    </row>
    <row r="159" customFormat="1" spans="1:31">
      <c r="A159" s="18"/>
      <c r="B159" s="19"/>
      <c r="C159" s="20">
        <v>240702000006</v>
      </c>
      <c r="D159" s="21">
        <v>45481</v>
      </c>
      <c r="E159" s="21" t="s">
        <v>58</v>
      </c>
      <c r="F159" s="19" t="s">
        <v>59</v>
      </c>
      <c r="G159" s="19" t="s">
        <v>135</v>
      </c>
      <c r="H159" s="19">
        <v>9</v>
      </c>
      <c r="I159" s="41">
        <v>630</v>
      </c>
      <c r="J159" s="42"/>
      <c r="K159" s="43"/>
      <c r="L159" s="19"/>
      <c r="M159" s="43"/>
      <c r="N159" s="44"/>
      <c r="O159" s="45">
        <f t="shared" si="105"/>
        <v>630</v>
      </c>
      <c r="P159" s="51"/>
      <c r="Q159" s="51"/>
      <c r="R159" s="74">
        <f t="shared" si="98"/>
        <v>432.708196721311</v>
      </c>
      <c r="S159" s="74"/>
      <c r="T159" s="75">
        <f t="shared" si="99"/>
        <v>0.708196721311475</v>
      </c>
      <c r="U159" s="74"/>
      <c r="V159" s="74"/>
      <c r="W159" s="76">
        <f t="shared" si="91"/>
        <v>433.416393442623</v>
      </c>
      <c r="X159" s="77">
        <f t="shared" si="100"/>
        <v>7.6315868852459</v>
      </c>
      <c r="Y159" s="77"/>
      <c r="Z159" s="77"/>
      <c r="AA159" s="77">
        <f t="shared" si="95"/>
        <v>7.6315868852459</v>
      </c>
      <c r="AB159" s="87">
        <v>7.26</v>
      </c>
      <c r="AC159" s="74">
        <f t="shared" si="92"/>
        <v>55.4053207868853</v>
      </c>
      <c r="AD159" s="74">
        <f t="shared" si="90"/>
        <v>488.821714229508</v>
      </c>
      <c r="AE159" s="74">
        <f t="shared" si="96"/>
        <v>141.178285770492</v>
      </c>
    </row>
    <row r="160" customFormat="1" spans="1:31">
      <c r="A160" s="18"/>
      <c r="B160" s="19"/>
      <c r="C160" s="20">
        <v>240702000010</v>
      </c>
      <c r="D160" s="21">
        <v>45481</v>
      </c>
      <c r="E160" s="21" t="s">
        <v>58</v>
      </c>
      <c r="F160" s="19" t="s">
        <v>59</v>
      </c>
      <c r="G160" s="19" t="s">
        <v>133</v>
      </c>
      <c r="H160" s="19">
        <v>26</v>
      </c>
      <c r="I160" s="41">
        <v>2295.8</v>
      </c>
      <c r="J160" s="42"/>
      <c r="K160" s="43"/>
      <c r="L160" s="19"/>
      <c r="M160" s="43"/>
      <c r="N160" s="44"/>
      <c r="O160" s="45">
        <f t="shared" si="105"/>
        <v>2295.8</v>
      </c>
      <c r="P160" s="51"/>
      <c r="Q160" s="51"/>
      <c r="R160" s="74">
        <f t="shared" si="98"/>
        <v>1250.04590163934</v>
      </c>
      <c r="S160" s="74"/>
      <c r="T160" s="75">
        <f t="shared" si="99"/>
        <v>2.04590163934426</v>
      </c>
      <c r="U160" s="74"/>
      <c r="V160" s="74"/>
      <c r="W160" s="76">
        <f t="shared" si="91"/>
        <v>1252.09180327869</v>
      </c>
      <c r="X160" s="77">
        <f t="shared" si="100"/>
        <v>22.0468065573771</v>
      </c>
      <c r="Y160" s="77"/>
      <c r="Z160" s="77"/>
      <c r="AA160" s="77">
        <f t="shared" si="95"/>
        <v>22.0468065573771</v>
      </c>
      <c r="AB160" s="87">
        <v>7.26</v>
      </c>
      <c r="AC160" s="74">
        <f t="shared" si="92"/>
        <v>160.059815606557</v>
      </c>
      <c r="AD160" s="74">
        <f t="shared" si="90"/>
        <v>1412.15161888525</v>
      </c>
      <c r="AE160" s="74">
        <f t="shared" si="96"/>
        <v>883.648381114754</v>
      </c>
    </row>
    <row r="161" customFormat="1" spans="1:31">
      <c r="A161" s="18"/>
      <c r="B161" s="19"/>
      <c r="C161" s="20">
        <v>240702000014</v>
      </c>
      <c r="D161" s="21">
        <v>45481</v>
      </c>
      <c r="E161" s="21" t="s">
        <v>44</v>
      </c>
      <c r="F161" s="19" t="s">
        <v>45</v>
      </c>
      <c r="G161" s="19" t="s">
        <v>196</v>
      </c>
      <c r="H161" s="19">
        <v>5.5</v>
      </c>
      <c r="I161" s="41">
        <v>436.3</v>
      </c>
      <c r="J161" s="42"/>
      <c r="K161" s="43"/>
      <c r="L161" s="19"/>
      <c r="M161" s="43"/>
      <c r="N161" s="44"/>
      <c r="O161" s="45">
        <f t="shared" si="105"/>
        <v>436.3</v>
      </c>
      <c r="P161" s="51"/>
      <c r="Q161" s="51"/>
      <c r="R161" s="74">
        <f t="shared" si="98"/>
        <v>264.432786885246</v>
      </c>
      <c r="S161" s="74"/>
      <c r="T161" s="75">
        <f t="shared" si="99"/>
        <v>0.432786885245902</v>
      </c>
      <c r="U161" s="74"/>
      <c r="V161" s="74"/>
      <c r="W161" s="76">
        <f t="shared" si="91"/>
        <v>264.865573770492</v>
      </c>
      <c r="X161" s="77">
        <f t="shared" si="100"/>
        <v>4.66374754098361</v>
      </c>
      <c r="Y161" s="77">
        <v>4.8</v>
      </c>
      <c r="Z161" s="77"/>
      <c r="AA161" s="77">
        <f t="shared" si="95"/>
        <v>9.46374754098361</v>
      </c>
      <c r="AB161" s="87">
        <v>7.26</v>
      </c>
      <c r="AC161" s="74">
        <f t="shared" si="92"/>
        <v>68.706807147541</v>
      </c>
      <c r="AD161" s="74">
        <f t="shared" si="90"/>
        <v>333.572380918033</v>
      </c>
      <c r="AE161" s="74">
        <f t="shared" si="96"/>
        <v>102.727619081967</v>
      </c>
    </row>
    <row r="162" customFormat="1" spans="1:31">
      <c r="A162" s="18"/>
      <c r="B162" s="19"/>
      <c r="C162" s="20">
        <v>240702000016</v>
      </c>
      <c r="D162" s="21">
        <v>45481</v>
      </c>
      <c r="E162" s="21" t="s">
        <v>40</v>
      </c>
      <c r="F162" s="19" t="s">
        <v>41</v>
      </c>
      <c r="G162" s="19" t="s">
        <v>197</v>
      </c>
      <c r="H162" s="19">
        <v>3.5</v>
      </c>
      <c r="I162" s="41">
        <v>227.5</v>
      </c>
      <c r="J162" s="42"/>
      <c r="K162" s="43"/>
      <c r="L162" s="19"/>
      <c r="M162" s="43"/>
      <c r="N162" s="44"/>
      <c r="O162" s="45">
        <f t="shared" si="105"/>
        <v>227.5</v>
      </c>
      <c r="P162" s="51"/>
      <c r="Q162" s="51"/>
      <c r="R162" s="74">
        <f t="shared" si="98"/>
        <v>168.275409836066</v>
      </c>
      <c r="S162" s="74"/>
      <c r="T162" s="75">
        <f t="shared" si="99"/>
        <v>0.275409836065574</v>
      </c>
      <c r="U162" s="74"/>
      <c r="V162" s="74"/>
      <c r="W162" s="76">
        <f t="shared" si="91"/>
        <v>168.550819672131</v>
      </c>
      <c r="X162" s="77">
        <f t="shared" si="100"/>
        <v>2.9678393442623</v>
      </c>
      <c r="Y162" s="77"/>
      <c r="Z162" s="77"/>
      <c r="AA162" s="77">
        <f t="shared" si="95"/>
        <v>2.9678393442623</v>
      </c>
      <c r="AB162" s="87">
        <v>7.26</v>
      </c>
      <c r="AC162" s="74">
        <f t="shared" si="92"/>
        <v>21.5465136393443</v>
      </c>
      <c r="AD162" s="74">
        <f t="shared" si="90"/>
        <v>190.097333311475</v>
      </c>
      <c r="AE162" s="74">
        <f t="shared" si="96"/>
        <v>37.4026666885246</v>
      </c>
    </row>
    <row r="163" customFormat="1" spans="1:31">
      <c r="A163" s="18"/>
      <c r="B163" s="19"/>
      <c r="C163" s="20">
        <v>240702000019</v>
      </c>
      <c r="D163" s="21">
        <v>45481</v>
      </c>
      <c r="E163" s="21" t="s">
        <v>37</v>
      </c>
      <c r="F163" s="19" t="s">
        <v>37</v>
      </c>
      <c r="G163" s="19" t="s">
        <v>149</v>
      </c>
      <c r="H163" s="19">
        <v>481</v>
      </c>
      <c r="I163" s="41">
        <v>26686</v>
      </c>
      <c r="J163" s="42"/>
      <c r="K163" s="43"/>
      <c r="L163" s="19"/>
      <c r="M163" s="43"/>
      <c r="N163" s="44"/>
      <c r="O163" s="45">
        <f t="shared" si="105"/>
        <v>26686</v>
      </c>
      <c r="P163" s="51"/>
      <c r="Q163" s="51"/>
      <c r="R163" s="74">
        <f t="shared" si="98"/>
        <v>23125.8491803279</v>
      </c>
      <c r="S163" s="74"/>
      <c r="T163" s="75">
        <f t="shared" si="99"/>
        <v>37.8491803278689</v>
      </c>
      <c r="U163" s="74"/>
      <c r="V163" s="74"/>
      <c r="W163" s="76">
        <f t="shared" si="91"/>
        <v>23163.6983606557</v>
      </c>
      <c r="X163" s="77">
        <f t="shared" si="100"/>
        <v>407.865921311475</v>
      </c>
      <c r="Y163" s="77"/>
      <c r="Z163" s="77"/>
      <c r="AA163" s="77">
        <f t="shared" si="95"/>
        <v>407.865921311475</v>
      </c>
      <c r="AB163" s="87">
        <v>7.26</v>
      </c>
      <c r="AC163" s="74">
        <f t="shared" si="92"/>
        <v>2961.10658872131</v>
      </c>
      <c r="AD163" s="74">
        <f t="shared" si="90"/>
        <v>26124.804949377</v>
      </c>
      <c r="AE163" s="74">
        <f t="shared" si="96"/>
        <v>561.195050622951</v>
      </c>
    </row>
    <row r="164" customFormat="1" spans="1:31">
      <c r="A164" s="18"/>
      <c r="B164" s="19"/>
      <c r="C164" s="20">
        <v>240702000020</v>
      </c>
      <c r="D164" s="21">
        <v>45481</v>
      </c>
      <c r="E164" s="21" t="s">
        <v>44</v>
      </c>
      <c r="F164" s="19" t="s">
        <v>45</v>
      </c>
      <c r="G164" s="19" t="s">
        <v>198</v>
      </c>
      <c r="H164" s="19">
        <v>17</v>
      </c>
      <c r="I164" s="41">
        <v>1072.5</v>
      </c>
      <c r="J164" s="42"/>
      <c r="K164" s="43"/>
      <c r="L164" s="19"/>
      <c r="M164" s="43"/>
      <c r="N164" s="44"/>
      <c r="O164" s="45">
        <f t="shared" si="105"/>
        <v>1072.5</v>
      </c>
      <c r="P164" s="51"/>
      <c r="Q164" s="51"/>
      <c r="R164" s="74">
        <f t="shared" si="98"/>
        <v>817.337704918033</v>
      </c>
      <c r="S164" s="74"/>
      <c r="T164" s="75">
        <f t="shared" si="99"/>
        <v>1.33770491803279</v>
      </c>
      <c r="U164" s="74"/>
      <c r="V164" s="74"/>
      <c r="W164" s="76">
        <f t="shared" si="91"/>
        <v>818.675409836066</v>
      </c>
      <c r="X164" s="77">
        <f t="shared" si="100"/>
        <v>14.4152196721311</v>
      </c>
      <c r="Y164" s="77"/>
      <c r="Z164" s="77"/>
      <c r="AA164" s="77">
        <f t="shared" si="95"/>
        <v>14.4152196721311</v>
      </c>
      <c r="AB164" s="87">
        <v>7.26</v>
      </c>
      <c r="AC164" s="74">
        <f t="shared" si="92"/>
        <v>104.654494819672</v>
      </c>
      <c r="AD164" s="74">
        <f t="shared" si="90"/>
        <v>923.329904655738</v>
      </c>
      <c r="AE164" s="74">
        <f t="shared" si="96"/>
        <v>149.170095344262</v>
      </c>
    </row>
    <row r="165" customFormat="1" spans="1:31">
      <c r="A165" s="18"/>
      <c r="B165" s="19"/>
      <c r="C165" s="20">
        <v>240702000022</v>
      </c>
      <c r="D165" s="21">
        <v>45481</v>
      </c>
      <c r="E165" s="21" t="s">
        <v>44</v>
      </c>
      <c r="F165" s="19" t="s">
        <v>45</v>
      </c>
      <c r="G165" s="19" t="s">
        <v>79</v>
      </c>
      <c r="H165" s="19">
        <v>0.23</v>
      </c>
      <c r="I165" s="47"/>
      <c r="J165" s="48">
        <v>15246</v>
      </c>
      <c r="K165" s="43"/>
      <c r="L165" s="49">
        <f>SUM(J165/M165)</f>
        <v>1598.11320754717</v>
      </c>
      <c r="M165" s="50">
        <v>9.54</v>
      </c>
      <c r="N165" s="44">
        <v>7.26</v>
      </c>
      <c r="O165" s="45">
        <f>SUM(M165*N165)</f>
        <v>69.2604</v>
      </c>
      <c r="P165" s="51"/>
      <c r="Q165" s="51"/>
      <c r="R165" s="74">
        <f t="shared" si="98"/>
        <v>11.0580983606557</v>
      </c>
      <c r="S165" s="74"/>
      <c r="T165" s="75">
        <f t="shared" si="99"/>
        <v>0.0180983606557377</v>
      </c>
      <c r="U165" s="74"/>
      <c r="V165" s="74"/>
      <c r="W165" s="76">
        <f t="shared" si="91"/>
        <v>11.0761967213115</v>
      </c>
      <c r="X165" s="77">
        <f t="shared" si="100"/>
        <v>0.195029442622951</v>
      </c>
      <c r="Y165" s="77"/>
      <c r="Z165" s="77"/>
      <c r="AA165" s="77">
        <f t="shared" si="95"/>
        <v>0.195029442622951</v>
      </c>
      <c r="AB165" s="87">
        <v>7.26</v>
      </c>
      <c r="AC165" s="74">
        <f t="shared" si="92"/>
        <v>1.41591375344262</v>
      </c>
      <c r="AD165" s="74">
        <f t="shared" si="90"/>
        <v>12.4921104747541</v>
      </c>
      <c r="AE165" s="74">
        <f t="shared" si="96"/>
        <v>56.7682895252459</v>
      </c>
    </row>
    <row r="166" customFormat="1" spans="1:31">
      <c r="A166" s="18"/>
      <c r="B166" s="19"/>
      <c r="C166" s="20">
        <v>240702000023</v>
      </c>
      <c r="D166" s="21">
        <v>45481</v>
      </c>
      <c r="E166" s="21" t="s">
        <v>37</v>
      </c>
      <c r="F166" s="19" t="s">
        <v>37</v>
      </c>
      <c r="G166" s="19" t="s">
        <v>172</v>
      </c>
      <c r="H166" s="19">
        <v>7</v>
      </c>
      <c r="I166" s="41">
        <v>445.5</v>
      </c>
      <c r="J166" s="42"/>
      <c r="K166" s="43"/>
      <c r="L166" s="19"/>
      <c r="M166" s="43"/>
      <c r="N166" s="44"/>
      <c r="O166" s="45">
        <f t="shared" ref="O166:O170" si="106">SUM(I166)</f>
        <v>445.5</v>
      </c>
      <c r="P166" s="51"/>
      <c r="Q166" s="51"/>
      <c r="R166" s="74">
        <f t="shared" si="98"/>
        <v>336.550819672131</v>
      </c>
      <c r="S166" s="74"/>
      <c r="T166" s="75">
        <f t="shared" si="99"/>
        <v>0.550819672131148</v>
      </c>
      <c r="U166" s="74"/>
      <c r="V166" s="74"/>
      <c r="W166" s="76">
        <f t="shared" si="91"/>
        <v>337.101639344262</v>
      </c>
      <c r="X166" s="77">
        <f t="shared" si="100"/>
        <v>5.93567868852459</v>
      </c>
      <c r="Y166" s="77"/>
      <c r="Z166" s="77"/>
      <c r="AA166" s="77">
        <f t="shared" si="95"/>
        <v>5.93567868852459</v>
      </c>
      <c r="AB166" s="87">
        <v>7.26</v>
      </c>
      <c r="AC166" s="74">
        <f t="shared" si="92"/>
        <v>43.0930272786885</v>
      </c>
      <c r="AD166" s="74">
        <f t="shared" si="90"/>
        <v>380.194666622951</v>
      </c>
      <c r="AE166" s="74">
        <f t="shared" si="96"/>
        <v>65.3053333770492</v>
      </c>
    </row>
    <row r="167" customFormat="1" spans="1:31">
      <c r="A167" s="18"/>
      <c r="B167" s="19"/>
      <c r="C167" s="20">
        <v>240702000026</v>
      </c>
      <c r="D167" s="21">
        <v>45481</v>
      </c>
      <c r="E167" s="21" t="s">
        <v>81</v>
      </c>
      <c r="F167" s="19" t="s">
        <v>199</v>
      </c>
      <c r="G167" s="19" t="s">
        <v>200</v>
      </c>
      <c r="H167" s="19">
        <v>5</v>
      </c>
      <c r="I167" s="45"/>
      <c r="J167" s="48">
        <v>87890</v>
      </c>
      <c r="K167" s="43"/>
      <c r="L167" s="49">
        <f t="shared" ref="L167:L172" si="107">SUM(J167/M167)</f>
        <v>1902.38095238095</v>
      </c>
      <c r="M167" s="50">
        <v>46.2</v>
      </c>
      <c r="N167" s="44">
        <v>7.26</v>
      </c>
      <c r="O167" s="45">
        <f t="shared" ref="O167:O172" si="108">SUM(M167*N167)</f>
        <v>335.412</v>
      </c>
      <c r="P167" s="51"/>
      <c r="Q167" s="51"/>
      <c r="R167" s="74">
        <f t="shared" si="98"/>
        <v>240.393442622951</v>
      </c>
      <c r="S167" s="74"/>
      <c r="T167" s="75">
        <f t="shared" si="99"/>
        <v>0.39344262295082</v>
      </c>
      <c r="U167" s="74"/>
      <c r="V167" s="74"/>
      <c r="W167" s="76">
        <f t="shared" si="91"/>
        <v>240.786885245902</v>
      </c>
      <c r="X167" s="77">
        <f t="shared" si="100"/>
        <v>4.23977049180328</v>
      </c>
      <c r="Y167" s="77"/>
      <c r="Z167" s="77"/>
      <c r="AA167" s="77">
        <f t="shared" si="95"/>
        <v>4.23977049180328</v>
      </c>
      <c r="AB167" s="87">
        <v>7.26</v>
      </c>
      <c r="AC167" s="74">
        <f t="shared" si="92"/>
        <v>30.7807337704918</v>
      </c>
      <c r="AD167" s="74">
        <f t="shared" si="90"/>
        <v>271.567619016393</v>
      </c>
      <c r="AE167" s="74">
        <f t="shared" ref="AE167:AE205" si="109">SUM(O167-AD167)</f>
        <v>63.8443809836066</v>
      </c>
    </row>
    <row r="168" customFormat="1" spans="1:31">
      <c r="A168" s="18"/>
      <c r="B168" s="19"/>
      <c r="C168" s="20">
        <v>240702000034</v>
      </c>
      <c r="D168" s="21">
        <v>45481</v>
      </c>
      <c r="E168" s="21" t="s">
        <v>37</v>
      </c>
      <c r="F168" s="19" t="s">
        <v>37</v>
      </c>
      <c r="G168" s="19" t="s">
        <v>148</v>
      </c>
      <c r="H168" s="19">
        <v>561</v>
      </c>
      <c r="I168" s="41">
        <v>29172</v>
      </c>
      <c r="J168" s="42"/>
      <c r="K168" s="43"/>
      <c r="L168" s="19"/>
      <c r="M168" s="43"/>
      <c r="N168" s="44"/>
      <c r="O168" s="45">
        <f t="shared" si="106"/>
        <v>29172</v>
      </c>
      <c r="P168" s="51"/>
      <c r="Q168" s="51"/>
      <c r="R168" s="74">
        <f t="shared" si="98"/>
        <v>26972.1442622951</v>
      </c>
      <c r="S168" s="74"/>
      <c r="T168" s="75">
        <f t="shared" si="99"/>
        <v>44.144262295082</v>
      </c>
      <c r="U168" s="74"/>
      <c r="V168" s="74"/>
      <c r="W168" s="76">
        <f t="shared" si="91"/>
        <v>27016.2885245902</v>
      </c>
      <c r="X168" s="77">
        <f t="shared" si="100"/>
        <v>475.702249180328</v>
      </c>
      <c r="Y168" s="77"/>
      <c r="Z168" s="77"/>
      <c r="AA168" s="77">
        <f t="shared" si="95"/>
        <v>475.702249180328</v>
      </c>
      <c r="AB168" s="87">
        <v>7.26</v>
      </c>
      <c r="AC168" s="74">
        <f t="shared" si="92"/>
        <v>3453.59832904918</v>
      </c>
      <c r="AD168" s="74">
        <f t="shared" ref="AD168:AD205" si="110">SUM(W168+AC168)</f>
        <v>30469.8868536393</v>
      </c>
      <c r="AE168" s="74">
        <f t="shared" si="109"/>
        <v>-1297.88685363934</v>
      </c>
    </row>
    <row r="169" customFormat="1" spans="1:31">
      <c r="A169" s="18"/>
      <c r="B169" s="19"/>
      <c r="C169" s="20">
        <v>240703000016</v>
      </c>
      <c r="D169" s="21">
        <v>45481</v>
      </c>
      <c r="E169" s="21" t="s">
        <v>37</v>
      </c>
      <c r="F169" s="19" t="s">
        <v>37</v>
      </c>
      <c r="G169" s="19" t="s">
        <v>201</v>
      </c>
      <c r="H169" s="19">
        <v>126</v>
      </c>
      <c r="I169" s="41">
        <v>11970</v>
      </c>
      <c r="J169" s="42"/>
      <c r="K169" s="43"/>
      <c r="L169" s="19"/>
      <c r="M169" s="43"/>
      <c r="N169" s="44"/>
      <c r="O169" s="45">
        <f t="shared" si="106"/>
        <v>11970</v>
      </c>
      <c r="P169" s="52"/>
      <c r="Q169" s="52"/>
      <c r="R169" s="74">
        <f t="shared" si="98"/>
        <v>6057.91475409836</v>
      </c>
      <c r="S169" s="74"/>
      <c r="T169" s="75">
        <f t="shared" si="99"/>
        <v>9.91475409836066</v>
      </c>
      <c r="U169" s="74"/>
      <c r="V169" s="74"/>
      <c r="W169" s="76">
        <f t="shared" si="91"/>
        <v>6067.82950819672</v>
      </c>
      <c r="X169" s="77">
        <f t="shared" si="100"/>
        <v>106.842216393443</v>
      </c>
      <c r="Y169" s="77"/>
      <c r="Z169" s="77"/>
      <c r="AA169" s="77">
        <f t="shared" si="95"/>
        <v>106.842216393443</v>
      </c>
      <c r="AB169" s="87">
        <v>7.26</v>
      </c>
      <c r="AC169" s="74">
        <f t="shared" ref="AC169:AC205" si="111">SUM(AA169*AB169)</f>
        <v>775.674491016394</v>
      </c>
      <c r="AD169" s="74">
        <f t="shared" si="110"/>
        <v>6843.50399921311</v>
      </c>
      <c r="AE169" s="74">
        <f t="shared" si="109"/>
        <v>5126.49600078689</v>
      </c>
    </row>
    <row r="170" customFormat="1" spans="1:31">
      <c r="A170" s="18" t="s">
        <v>202</v>
      </c>
      <c r="B170" s="19" t="s">
        <v>203</v>
      </c>
      <c r="C170" s="20">
        <v>240702000037</v>
      </c>
      <c r="D170" s="21">
        <v>45481</v>
      </c>
      <c r="E170" s="21" t="s">
        <v>37</v>
      </c>
      <c r="F170" s="19" t="s">
        <v>37</v>
      </c>
      <c r="G170" s="19" t="s">
        <v>204</v>
      </c>
      <c r="H170" s="19">
        <v>2290</v>
      </c>
      <c r="I170" s="41">
        <v>137772</v>
      </c>
      <c r="J170" s="89"/>
      <c r="K170" s="43"/>
      <c r="L170" s="45"/>
      <c r="M170" s="43"/>
      <c r="N170" s="44"/>
      <c r="O170" s="90">
        <f t="shared" si="106"/>
        <v>137772</v>
      </c>
      <c r="P170" s="91">
        <f>SUM(O170)</f>
        <v>137772</v>
      </c>
      <c r="Q170" s="91" t="s">
        <v>205</v>
      </c>
      <c r="R170" s="92">
        <v>99708</v>
      </c>
      <c r="S170" s="92"/>
      <c r="T170" s="91">
        <v>0</v>
      </c>
      <c r="U170" s="92"/>
      <c r="V170" s="92"/>
      <c r="W170" s="76">
        <f t="shared" ref="W170:W205" si="112">SUM(R170:V170)</f>
        <v>99708</v>
      </c>
      <c r="X170" s="93">
        <v>2088.07</v>
      </c>
      <c r="Y170" s="93"/>
      <c r="Z170" s="93"/>
      <c r="AA170" s="77">
        <f t="shared" ref="AA170:AA205" si="113">SUM(X170:Z170)</f>
        <v>2088.07</v>
      </c>
      <c r="AB170" s="87">
        <v>7.26</v>
      </c>
      <c r="AC170" s="74">
        <f t="shared" si="111"/>
        <v>15159.3882</v>
      </c>
      <c r="AD170" s="74">
        <f t="shared" si="110"/>
        <v>114867.3882</v>
      </c>
      <c r="AE170" s="74">
        <f t="shared" si="109"/>
        <v>22904.6118</v>
      </c>
    </row>
    <row r="171" customFormat="1" spans="1:31">
      <c r="A171" s="18" t="s">
        <v>206</v>
      </c>
      <c r="B171" s="19" t="s">
        <v>207</v>
      </c>
      <c r="C171" s="20">
        <v>240701000011</v>
      </c>
      <c r="D171" s="21">
        <v>45482</v>
      </c>
      <c r="E171" s="21" t="s">
        <v>40</v>
      </c>
      <c r="F171" s="19" t="s">
        <v>41</v>
      </c>
      <c r="G171" s="19" t="s">
        <v>87</v>
      </c>
      <c r="H171" s="19">
        <v>21</v>
      </c>
      <c r="I171" s="47"/>
      <c r="J171" s="48">
        <v>286020</v>
      </c>
      <c r="K171" s="43"/>
      <c r="L171" s="49">
        <f t="shared" si="107"/>
        <v>1648.05531547105</v>
      </c>
      <c r="M171" s="50">
        <v>173.55</v>
      </c>
      <c r="N171" s="44">
        <v>7.26</v>
      </c>
      <c r="O171" s="45">
        <f t="shared" si="108"/>
        <v>1259.973</v>
      </c>
      <c r="P171" s="46">
        <f>SUM(O171:O205)</f>
        <v>99338.7156</v>
      </c>
      <c r="Q171" s="46" t="s">
        <v>130</v>
      </c>
      <c r="R171" s="74">
        <f>SUM(72215/1650)*H171</f>
        <v>919.1</v>
      </c>
      <c r="S171" s="74"/>
      <c r="T171" s="75">
        <f>SUM(162.95/1650)*H171</f>
        <v>2.07390909090909</v>
      </c>
      <c r="U171" s="74"/>
      <c r="V171" s="74"/>
      <c r="W171" s="76">
        <f t="shared" si="112"/>
        <v>921.173909090909</v>
      </c>
      <c r="X171" s="77">
        <f>SUM(1540.11/1650)*H171</f>
        <v>19.6014</v>
      </c>
      <c r="Y171" s="77"/>
      <c r="Z171" s="77"/>
      <c r="AA171" s="77">
        <f t="shared" si="113"/>
        <v>19.6014</v>
      </c>
      <c r="AB171" s="87">
        <v>7.26</v>
      </c>
      <c r="AC171" s="74">
        <f t="shared" si="111"/>
        <v>142.306164</v>
      </c>
      <c r="AD171" s="74">
        <f t="shared" si="110"/>
        <v>1063.48007309091</v>
      </c>
      <c r="AE171" s="74">
        <f t="shared" si="109"/>
        <v>196.492926909091</v>
      </c>
    </row>
    <row r="172" customFormat="1" spans="1:31">
      <c r="A172" s="18"/>
      <c r="B172" s="19"/>
      <c r="C172" s="20">
        <v>240701000030</v>
      </c>
      <c r="D172" s="21">
        <v>45482</v>
      </c>
      <c r="E172" s="21" t="s">
        <v>47</v>
      </c>
      <c r="F172" s="19" t="s">
        <v>48</v>
      </c>
      <c r="G172" s="19" t="s">
        <v>208</v>
      </c>
      <c r="H172" s="19">
        <v>240</v>
      </c>
      <c r="I172" s="45"/>
      <c r="J172" s="48">
        <v>3116000</v>
      </c>
      <c r="K172" s="43"/>
      <c r="L172" s="49">
        <f t="shared" si="107"/>
        <v>1640</v>
      </c>
      <c r="M172" s="50">
        <v>1900</v>
      </c>
      <c r="N172" s="44">
        <v>7.26</v>
      </c>
      <c r="O172" s="45">
        <f t="shared" si="108"/>
        <v>13794</v>
      </c>
      <c r="P172" s="51"/>
      <c r="Q172" s="51"/>
      <c r="R172" s="74">
        <f t="shared" ref="R172:R205" si="114">SUM(72215/1650)*H172</f>
        <v>10504</v>
      </c>
      <c r="S172" s="74"/>
      <c r="T172" s="75">
        <f t="shared" ref="T172:T205" si="115">SUM(162.95/1650)*H172</f>
        <v>23.7018181818182</v>
      </c>
      <c r="U172" s="74"/>
      <c r="V172" s="74"/>
      <c r="W172" s="76">
        <f t="shared" si="112"/>
        <v>10527.7018181818</v>
      </c>
      <c r="X172" s="77">
        <f t="shared" ref="X172:X205" si="116">SUM(1540.11/1650)*H172</f>
        <v>224.016</v>
      </c>
      <c r="Y172" s="77"/>
      <c r="Z172" s="77"/>
      <c r="AA172" s="77">
        <f t="shared" si="113"/>
        <v>224.016</v>
      </c>
      <c r="AB172" s="87">
        <v>7.26</v>
      </c>
      <c r="AC172" s="74">
        <f t="shared" si="111"/>
        <v>1626.35616</v>
      </c>
      <c r="AD172" s="74">
        <f t="shared" si="110"/>
        <v>12154.0579781818</v>
      </c>
      <c r="AE172" s="74">
        <f t="shared" si="109"/>
        <v>1639.94202181818</v>
      </c>
    </row>
    <row r="173" customFormat="1" spans="1:31">
      <c r="A173" s="18"/>
      <c r="B173" s="19"/>
      <c r="C173" s="20">
        <v>240701000034</v>
      </c>
      <c r="D173" s="21">
        <v>45482</v>
      </c>
      <c r="E173" s="21" t="s">
        <v>47</v>
      </c>
      <c r="F173" s="19" t="s">
        <v>48</v>
      </c>
      <c r="G173" s="19" t="s">
        <v>74</v>
      </c>
      <c r="H173" s="19">
        <v>346</v>
      </c>
      <c r="I173" s="41">
        <v>21452</v>
      </c>
      <c r="J173" s="42"/>
      <c r="K173" s="43"/>
      <c r="L173" s="19"/>
      <c r="M173" s="43"/>
      <c r="N173" s="44"/>
      <c r="O173" s="45">
        <f t="shared" ref="O173:O176" si="117">SUM(I173)</f>
        <v>21452</v>
      </c>
      <c r="P173" s="51"/>
      <c r="Q173" s="51"/>
      <c r="R173" s="74">
        <f t="shared" si="114"/>
        <v>15143.2666666667</v>
      </c>
      <c r="S173" s="74"/>
      <c r="T173" s="75">
        <f t="shared" si="115"/>
        <v>34.1701212121212</v>
      </c>
      <c r="U173" s="74"/>
      <c r="V173" s="74"/>
      <c r="W173" s="76">
        <f t="shared" si="112"/>
        <v>15177.4367878788</v>
      </c>
      <c r="X173" s="77">
        <f t="shared" si="116"/>
        <v>322.9564</v>
      </c>
      <c r="Y173" s="77"/>
      <c r="Z173" s="77"/>
      <c r="AA173" s="77">
        <f t="shared" si="113"/>
        <v>322.9564</v>
      </c>
      <c r="AB173" s="87">
        <v>7.26</v>
      </c>
      <c r="AC173" s="74">
        <f t="shared" si="111"/>
        <v>2344.663464</v>
      </c>
      <c r="AD173" s="74">
        <f t="shared" si="110"/>
        <v>17522.1002518788</v>
      </c>
      <c r="AE173" s="74">
        <f t="shared" si="109"/>
        <v>3929.89974812121</v>
      </c>
    </row>
    <row r="174" customFormat="1" spans="1:31">
      <c r="A174" s="18"/>
      <c r="B174" s="19"/>
      <c r="C174" s="20">
        <v>240701000038</v>
      </c>
      <c r="D174" s="21">
        <v>45482</v>
      </c>
      <c r="E174" s="21" t="s">
        <v>47</v>
      </c>
      <c r="F174" s="19" t="s">
        <v>48</v>
      </c>
      <c r="G174" s="19" t="s">
        <v>154</v>
      </c>
      <c r="H174" s="19">
        <v>3</v>
      </c>
      <c r="I174" s="41">
        <v>201</v>
      </c>
      <c r="J174" s="42"/>
      <c r="K174" s="43"/>
      <c r="L174" s="19"/>
      <c r="M174" s="43"/>
      <c r="N174" s="44"/>
      <c r="O174" s="45">
        <f t="shared" si="117"/>
        <v>201</v>
      </c>
      <c r="P174" s="51"/>
      <c r="Q174" s="51"/>
      <c r="R174" s="74">
        <f t="shared" si="114"/>
        <v>131.3</v>
      </c>
      <c r="S174" s="74"/>
      <c r="T174" s="75">
        <f t="shared" si="115"/>
        <v>0.296272727272727</v>
      </c>
      <c r="U174" s="74"/>
      <c r="V174" s="74"/>
      <c r="W174" s="76">
        <f t="shared" si="112"/>
        <v>131.596272727273</v>
      </c>
      <c r="X174" s="77">
        <f t="shared" si="116"/>
        <v>2.8002</v>
      </c>
      <c r="Y174" s="77"/>
      <c r="Z174" s="77"/>
      <c r="AA174" s="77">
        <f t="shared" si="113"/>
        <v>2.8002</v>
      </c>
      <c r="AB174" s="87">
        <v>7.26</v>
      </c>
      <c r="AC174" s="74">
        <f t="shared" si="111"/>
        <v>20.329452</v>
      </c>
      <c r="AD174" s="74">
        <f t="shared" si="110"/>
        <v>151.925724727273</v>
      </c>
      <c r="AE174" s="74">
        <f t="shared" si="109"/>
        <v>49.0742752727272</v>
      </c>
    </row>
    <row r="175" customFormat="1" spans="1:31">
      <c r="A175" s="18"/>
      <c r="B175" s="19"/>
      <c r="C175" s="20">
        <v>240701000049</v>
      </c>
      <c r="D175" s="21">
        <v>45482</v>
      </c>
      <c r="E175" s="21" t="s">
        <v>44</v>
      </c>
      <c r="F175" s="19" t="s">
        <v>45</v>
      </c>
      <c r="G175" s="19" t="s">
        <v>92</v>
      </c>
      <c r="H175" s="19">
        <v>4</v>
      </c>
      <c r="I175" s="41">
        <v>220</v>
      </c>
      <c r="J175" s="42"/>
      <c r="K175" s="43"/>
      <c r="L175" s="19"/>
      <c r="M175" s="43"/>
      <c r="N175" s="44"/>
      <c r="O175" s="45">
        <f t="shared" si="117"/>
        <v>220</v>
      </c>
      <c r="P175" s="51"/>
      <c r="Q175" s="51"/>
      <c r="R175" s="74">
        <f t="shared" si="114"/>
        <v>175.066666666667</v>
      </c>
      <c r="S175" s="74"/>
      <c r="T175" s="75">
        <f t="shared" si="115"/>
        <v>0.395030303030303</v>
      </c>
      <c r="U175" s="74"/>
      <c r="V175" s="74"/>
      <c r="W175" s="76">
        <f t="shared" si="112"/>
        <v>175.461696969697</v>
      </c>
      <c r="X175" s="77">
        <f t="shared" si="116"/>
        <v>3.7336</v>
      </c>
      <c r="Y175" s="77"/>
      <c r="Z175" s="77"/>
      <c r="AA175" s="77">
        <f t="shared" si="113"/>
        <v>3.7336</v>
      </c>
      <c r="AB175" s="87">
        <v>7.26</v>
      </c>
      <c r="AC175" s="74">
        <f t="shared" si="111"/>
        <v>27.105936</v>
      </c>
      <c r="AD175" s="74">
        <f t="shared" si="110"/>
        <v>202.567632969697</v>
      </c>
      <c r="AE175" s="74">
        <f t="shared" si="109"/>
        <v>17.4323670303031</v>
      </c>
    </row>
    <row r="176" customFormat="1" spans="1:31">
      <c r="A176" s="18"/>
      <c r="B176" s="19"/>
      <c r="C176" s="20">
        <v>240702000029</v>
      </c>
      <c r="D176" s="21">
        <v>45482</v>
      </c>
      <c r="E176" s="21" t="s">
        <v>40</v>
      </c>
      <c r="F176" s="19" t="s">
        <v>41</v>
      </c>
      <c r="G176" s="19" t="s">
        <v>66</v>
      </c>
      <c r="H176" s="19">
        <v>1.5</v>
      </c>
      <c r="I176" s="41">
        <v>102</v>
      </c>
      <c r="J176" s="42"/>
      <c r="K176" s="43"/>
      <c r="L176" s="19"/>
      <c r="M176" s="43"/>
      <c r="N176" s="44"/>
      <c r="O176" s="45">
        <f t="shared" si="117"/>
        <v>102</v>
      </c>
      <c r="P176" s="51"/>
      <c r="Q176" s="51"/>
      <c r="R176" s="74">
        <f t="shared" si="114"/>
        <v>65.65</v>
      </c>
      <c r="S176" s="74"/>
      <c r="T176" s="75">
        <f t="shared" si="115"/>
        <v>0.148136363636364</v>
      </c>
      <c r="U176" s="74"/>
      <c r="V176" s="74"/>
      <c r="W176" s="76">
        <f t="shared" si="112"/>
        <v>65.7981363636364</v>
      </c>
      <c r="X176" s="77">
        <f t="shared" si="116"/>
        <v>1.4001</v>
      </c>
      <c r="Y176" s="77"/>
      <c r="Z176" s="77"/>
      <c r="AA176" s="77">
        <f t="shared" si="113"/>
        <v>1.4001</v>
      </c>
      <c r="AB176" s="87">
        <v>7.26</v>
      </c>
      <c r="AC176" s="74">
        <f t="shared" si="111"/>
        <v>10.164726</v>
      </c>
      <c r="AD176" s="74">
        <f t="shared" si="110"/>
        <v>75.9628623636364</v>
      </c>
      <c r="AE176" s="74">
        <f t="shared" si="109"/>
        <v>26.0371376363636</v>
      </c>
    </row>
    <row r="177" customFormat="1" spans="1:31">
      <c r="A177" s="18"/>
      <c r="B177" s="19"/>
      <c r="C177" s="20">
        <v>240702000036</v>
      </c>
      <c r="D177" s="21">
        <v>45482</v>
      </c>
      <c r="E177" s="21" t="s">
        <v>47</v>
      </c>
      <c r="F177" s="19" t="s">
        <v>48</v>
      </c>
      <c r="G177" s="19" t="s">
        <v>144</v>
      </c>
      <c r="H177" s="19">
        <v>0.24</v>
      </c>
      <c r="I177" s="45"/>
      <c r="J177" s="48">
        <v>14062</v>
      </c>
      <c r="K177" s="43"/>
      <c r="L177" s="49">
        <f>SUM(J177/M177)</f>
        <v>1597.95454545455</v>
      </c>
      <c r="M177" s="50">
        <v>8.8</v>
      </c>
      <c r="N177" s="44">
        <v>7.26</v>
      </c>
      <c r="O177" s="45">
        <f>SUM(M177*N177)</f>
        <v>63.888</v>
      </c>
      <c r="P177" s="51"/>
      <c r="Q177" s="51"/>
      <c r="R177" s="74">
        <f t="shared" si="114"/>
        <v>10.504</v>
      </c>
      <c r="S177" s="74"/>
      <c r="T177" s="75">
        <f t="shared" si="115"/>
        <v>0.0237018181818182</v>
      </c>
      <c r="U177" s="74"/>
      <c r="V177" s="74"/>
      <c r="W177" s="76">
        <f t="shared" si="112"/>
        <v>10.5277018181818</v>
      </c>
      <c r="X177" s="77">
        <f t="shared" si="116"/>
        <v>0.224016</v>
      </c>
      <c r="Y177" s="77"/>
      <c r="Z177" s="77"/>
      <c r="AA177" s="77">
        <f t="shared" si="113"/>
        <v>0.224016</v>
      </c>
      <c r="AB177" s="87">
        <v>7.26</v>
      </c>
      <c r="AC177" s="74">
        <f t="shared" si="111"/>
        <v>1.62635616</v>
      </c>
      <c r="AD177" s="74">
        <f t="shared" si="110"/>
        <v>12.1540579781818</v>
      </c>
      <c r="AE177" s="74">
        <f t="shared" si="109"/>
        <v>51.7339420218182</v>
      </c>
    </row>
    <row r="178" customFormat="1" spans="1:31">
      <c r="A178" s="18"/>
      <c r="B178" s="19"/>
      <c r="C178" s="20">
        <v>240703000001</v>
      </c>
      <c r="D178" s="21">
        <v>45482</v>
      </c>
      <c r="E178" s="21" t="s">
        <v>44</v>
      </c>
      <c r="F178" s="19" t="s">
        <v>209</v>
      </c>
      <c r="G178" s="19" t="s">
        <v>210</v>
      </c>
      <c r="H178" s="19">
        <v>1.5</v>
      </c>
      <c r="I178" s="41">
        <v>102</v>
      </c>
      <c r="J178" s="42"/>
      <c r="K178" s="43"/>
      <c r="L178" s="19"/>
      <c r="M178" s="43"/>
      <c r="N178" s="44"/>
      <c r="O178" s="45">
        <f t="shared" ref="O178:O182" si="118">SUM(I178)</f>
        <v>102</v>
      </c>
      <c r="P178" s="51"/>
      <c r="Q178" s="51"/>
      <c r="R178" s="74">
        <f t="shared" si="114"/>
        <v>65.65</v>
      </c>
      <c r="S178" s="74"/>
      <c r="T178" s="75">
        <f t="shared" si="115"/>
        <v>0.148136363636364</v>
      </c>
      <c r="U178" s="74"/>
      <c r="V178" s="74"/>
      <c r="W178" s="76">
        <f t="shared" si="112"/>
        <v>65.7981363636364</v>
      </c>
      <c r="X178" s="77">
        <f t="shared" si="116"/>
        <v>1.4001</v>
      </c>
      <c r="Y178" s="77"/>
      <c r="Z178" s="77"/>
      <c r="AA178" s="77">
        <f t="shared" si="113"/>
        <v>1.4001</v>
      </c>
      <c r="AB178" s="87">
        <v>7.26</v>
      </c>
      <c r="AC178" s="74">
        <f t="shared" si="111"/>
        <v>10.164726</v>
      </c>
      <c r="AD178" s="74">
        <f t="shared" si="110"/>
        <v>75.9628623636364</v>
      </c>
      <c r="AE178" s="74">
        <f t="shared" si="109"/>
        <v>26.0371376363636</v>
      </c>
    </row>
    <row r="179" customFormat="1" spans="1:31">
      <c r="A179" s="18"/>
      <c r="B179" s="19"/>
      <c r="C179" s="20">
        <v>240703000003</v>
      </c>
      <c r="D179" s="21">
        <v>45482</v>
      </c>
      <c r="E179" s="21" t="s">
        <v>47</v>
      </c>
      <c r="F179" s="19" t="s">
        <v>48</v>
      </c>
      <c r="G179" s="19" t="s">
        <v>74</v>
      </c>
      <c r="H179" s="19">
        <v>156</v>
      </c>
      <c r="I179" s="41">
        <v>9672</v>
      </c>
      <c r="J179" s="42"/>
      <c r="K179" s="43"/>
      <c r="L179" s="19"/>
      <c r="M179" s="43"/>
      <c r="N179" s="44"/>
      <c r="O179" s="45">
        <f t="shared" si="118"/>
        <v>9672</v>
      </c>
      <c r="P179" s="51"/>
      <c r="Q179" s="51"/>
      <c r="R179" s="74">
        <f t="shared" si="114"/>
        <v>6827.6</v>
      </c>
      <c r="S179" s="74"/>
      <c r="T179" s="75">
        <f t="shared" si="115"/>
        <v>15.4061818181818</v>
      </c>
      <c r="U179" s="74"/>
      <c r="V179" s="74"/>
      <c r="W179" s="76">
        <f t="shared" si="112"/>
        <v>6843.00618181818</v>
      </c>
      <c r="X179" s="77">
        <f t="shared" si="116"/>
        <v>145.6104</v>
      </c>
      <c r="Y179" s="77"/>
      <c r="Z179" s="77"/>
      <c r="AA179" s="77">
        <f t="shared" si="113"/>
        <v>145.6104</v>
      </c>
      <c r="AB179" s="87">
        <v>7.26</v>
      </c>
      <c r="AC179" s="74">
        <f t="shared" si="111"/>
        <v>1057.131504</v>
      </c>
      <c r="AD179" s="74">
        <f t="shared" si="110"/>
        <v>7900.13768581818</v>
      </c>
      <c r="AE179" s="74">
        <f t="shared" si="109"/>
        <v>1771.86231418182</v>
      </c>
    </row>
    <row r="180" customFormat="1" spans="1:31">
      <c r="A180" s="18"/>
      <c r="B180" s="19"/>
      <c r="C180" s="20">
        <v>240703000004</v>
      </c>
      <c r="D180" s="21">
        <v>45482</v>
      </c>
      <c r="E180" s="21" t="s">
        <v>44</v>
      </c>
      <c r="F180" s="19" t="s">
        <v>211</v>
      </c>
      <c r="G180" s="19" t="s">
        <v>212</v>
      </c>
      <c r="H180" s="19">
        <v>64</v>
      </c>
      <c r="I180" s="41">
        <v>3528</v>
      </c>
      <c r="J180" s="42"/>
      <c r="K180" s="43"/>
      <c r="L180" s="19"/>
      <c r="M180" s="43"/>
      <c r="N180" s="44"/>
      <c r="O180" s="45">
        <f t="shared" si="118"/>
        <v>3528</v>
      </c>
      <c r="P180" s="51"/>
      <c r="Q180" s="51"/>
      <c r="R180" s="74">
        <f t="shared" si="114"/>
        <v>2801.06666666667</v>
      </c>
      <c r="S180" s="74"/>
      <c r="T180" s="75">
        <f t="shared" si="115"/>
        <v>6.32048484848485</v>
      </c>
      <c r="U180" s="74"/>
      <c r="V180" s="74"/>
      <c r="W180" s="76">
        <f t="shared" si="112"/>
        <v>2807.38715151515</v>
      </c>
      <c r="X180" s="77">
        <f t="shared" si="116"/>
        <v>59.7376</v>
      </c>
      <c r="Y180" s="77"/>
      <c r="Z180" s="77"/>
      <c r="AA180" s="77">
        <f t="shared" si="113"/>
        <v>59.7376</v>
      </c>
      <c r="AB180" s="87">
        <v>7.26</v>
      </c>
      <c r="AC180" s="74">
        <f t="shared" si="111"/>
        <v>433.694976</v>
      </c>
      <c r="AD180" s="74">
        <f t="shared" si="110"/>
        <v>3241.08212751515</v>
      </c>
      <c r="AE180" s="74">
        <f t="shared" si="109"/>
        <v>286.917872484849</v>
      </c>
    </row>
    <row r="181" customFormat="1" spans="1:31">
      <c r="A181" s="18"/>
      <c r="B181" s="19"/>
      <c r="C181" s="20">
        <v>240703000011</v>
      </c>
      <c r="D181" s="21">
        <v>45482</v>
      </c>
      <c r="E181" s="21" t="s">
        <v>55</v>
      </c>
      <c r="F181" s="19" t="s">
        <v>56</v>
      </c>
      <c r="G181" s="19" t="s">
        <v>138</v>
      </c>
      <c r="H181" s="19">
        <v>1.5</v>
      </c>
      <c r="I181" s="41">
        <v>123</v>
      </c>
      <c r="J181" s="42"/>
      <c r="K181" s="43"/>
      <c r="L181" s="19"/>
      <c r="M181" s="43"/>
      <c r="N181" s="44"/>
      <c r="O181" s="45">
        <f t="shared" si="118"/>
        <v>123</v>
      </c>
      <c r="P181" s="51"/>
      <c r="Q181" s="51"/>
      <c r="R181" s="74">
        <f t="shared" si="114"/>
        <v>65.65</v>
      </c>
      <c r="S181" s="74"/>
      <c r="T181" s="75">
        <f t="shared" si="115"/>
        <v>0.148136363636364</v>
      </c>
      <c r="U181" s="74"/>
      <c r="V181" s="74"/>
      <c r="W181" s="76">
        <f t="shared" si="112"/>
        <v>65.7981363636364</v>
      </c>
      <c r="X181" s="77">
        <f t="shared" si="116"/>
        <v>1.4001</v>
      </c>
      <c r="Y181" s="77">
        <v>4.13</v>
      </c>
      <c r="Z181" s="77"/>
      <c r="AA181" s="77">
        <f t="shared" si="113"/>
        <v>5.5301</v>
      </c>
      <c r="AB181" s="87">
        <v>7.26</v>
      </c>
      <c r="AC181" s="74">
        <f t="shared" si="111"/>
        <v>40.148526</v>
      </c>
      <c r="AD181" s="74">
        <f t="shared" si="110"/>
        <v>105.946662363636</v>
      </c>
      <c r="AE181" s="74">
        <f t="shared" si="109"/>
        <v>17.0533376363636</v>
      </c>
    </row>
    <row r="182" customFormat="1" spans="1:31">
      <c r="A182" s="18"/>
      <c r="B182" s="19"/>
      <c r="C182" s="20">
        <v>240703000015</v>
      </c>
      <c r="D182" s="21">
        <v>45482</v>
      </c>
      <c r="E182" s="21" t="s">
        <v>44</v>
      </c>
      <c r="F182" s="19" t="s">
        <v>45</v>
      </c>
      <c r="G182" s="19" t="s">
        <v>213</v>
      </c>
      <c r="H182" s="19">
        <v>2</v>
      </c>
      <c r="I182" s="41">
        <v>123</v>
      </c>
      <c r="J182" s="42"/>
      <c r="K182" s="43"/>
      <c r="L182" s="19"/>
      <c r="M182" s="43"/>
      <c r="N182" s="44"/>
      <c r="O182" s="45">
        <f t="shared" si="118"/>
        <v>123</v>
      </c>
      <c r="P182" s="51"/>
      <c r="Q182" s="51"/>
      <c r="R182" s="74">
        <f t="shared" si="114"/>
        <v>87.5333333333333</v>
      </c>
      <c r="S182" s="74"/>
      <c r="T182" s="75">
        <f t="shared" si="115"/>
        <v>0.197515151515152</v>
      </c>
      <c r="U182" s="74"/>
      <c r="V182" s="74"/>
      <c r="W182" s="76">
        <f t="shared" si="112"/>
        <v>87.7308484848485</v>
      </c>
      <c r="X182" s="77">
        <f t="shared" si="116"/>
        <v>1.8668</v>
      </c>
      <c r="Y182" s="77"/>
      <c r="Z182" s="77"/>
      <c r="AA182" s="77">
        <f t="shared" si="113"/>
        <v>1.8668</v>
      </c>
      <c r="AB182" s="87">
        <v>7.26</v>
      </c>
      <c r="AC182" s="74">
        <f t="shared" si="111"/>
        <v>13.552968</v>
      </c>
      <c r="AD182" s="74">
        <f t="shared" si="110"/>
        <v>101.283816484848</v>
      </c>
      <c r="AE182" s="74">
        <f t="shared" si="109"/>
        <v>21.7161835151515</v>
      </c>
    </row>
    <row r="183" customFormat="1" spans="1:31">
      <c r="A183" s="18"/>
      <c r="B183" s="19"/>
      <c r="C183" s="20">
        <v>240703000017</v>
      </c>
      <c r="D183" s="21">
        <v>45482</v>
      </c>
      <c r="E183" s="21" t="s">
        <v>47</v>
      </c>
      <c r="F183" s="19" t="s">
        <v>48</v>
      </c>
      <c r="G183" s="19" t="s">
        <v>144</v>
      </c>
      <c r="H183" s="19">
        <v>37.5</v>
      </c>
      <c r="I183" s="45"/>
      <c r="J183" s="48">
        <v>457331</v>
      </c>
      <c r="K183" s="43"/>
      <c r="L183" s="49">
        <f t="shared" ref="L183:L188" si="119">SUM(J183/M183)</f>
        <v>1597.99783360704</v>
      </c>
      <c r="M183" s="50">
        <v>286.19</v>
      </c>
      <c r="N183" s="44">
        <v>7.26</v>
      </c>
      <c r="O183" s="45">
        <f t="shared" ref="O183:O188" si="120">SUM(M183*N183)</f>
        <v>2077.7394</v>
      </c>
      <c r="P183" s="51"/>
      <c r="Q183" s="51"/>
      <c r="R183" s="74">
        <f t="shared" si="114"/>
        <v>1641.25</v>
      </c>
      <c r="S183" s="74"/>
      <c r="T183" s="75">
        <f t="shared" si="115"/>
        <v>3.70340909090909</v>
      </c>
      <c r="U183" s="74"/>
      <c r="V183" s="74"/>
      <c r="W183" s="76">
        <f t="shared" si="112"/>
        <v>1644.95340909091</v>
      </c>
      <c r="X183" s="77">
        <f t="shared" si="116"/>
        <v>35.0025</v>
      </c>
      <c r="Y183" s="77"/>
      <c r="Z183" s="77"/>
      <c r="AA183" s="77">
        <f t="shared" si="113"/>
        <v>35.0025</v>
      </c>
      <c r="AB183" s="87">
        <v>7.26</v>
      </c>
      <c r="AC183" s="74">
        <f t="shared" si="111"/>
        <v>254.11815</v>
      </c>
      <c r="AD183" s="74">
        <f t="shared" si="110"/>
        <v>1899.07155909091</v>
      </c>
      <c r="AE183" s="74">
        <f t="shared" si="109"/>
        <v>178.667840909091</v>
      </c>
    </row>
    <row r="184" customFormat="1" spans="1:31">
      <c r="A184" s="18"/>
      <c r="B184" s="19"/>
      <c r="C184" s="20">
        <v>240703000020</v>
      </c>
      <c r="D184" s="21">
        <v>45482</v>
      </c>
      <c r="E184" s="21" t="s">
        <v>44</v>
      </c>
      <c r="F184" s="19" t="s">
        <v>45</v>
      </c>
      <c r="G184" s="19" t="s">
        <v>132</v>
      </c>
      <c r="H184" s="19">
        <v>4</v>
      </c>
      <c r="I184" s="41">
        <v>243</v>
      </c>
      <c r="J184" s="42"/>
      <c r="K184" s="43"/>
      <c r="L184" s="19"/>
      <c r="M184" s="43"/>
      <c r="N184" s="44"/>
      <c r="O184" s="45">
        <f t="shared" ref="O184:O187" si="121">SUM(I184)</f>
        <v>243</v>
      </c>
      <c r="P184" s="51"/>
      <c r="Q184" s="51"/>
      <c r="R184" s="74">
        <f t="shared" si="114"/>
        <v>175.066666666667</v>
      </c>
      <c r="S184" s="74"/>
      <c r="T184" s="75">
        <f t="shared" si="115"/>
        <v>0.395030303030303</v>
      </c>
      <c r="U184" s="74"/>
      <c r="V184" s="74"/>
      <c r="W184" s="76">
        <f t="shared" si="112"/>
        <v>175.461696969697</v>
      </c>
      <c r="X184" s="77">
        <f t="shared" si="116"/>
        <v>3.7336</v>
      </c>
      <c r="Y184" s="77"/>
      <c r="Z184" s="77"/>
      <c r="AA184" s="77">
        <f t="shared" si="113"/>
        <v>3.7336</v>
      </c>
      <c r="AB184" s="87">
        <v>7.26</v>
      </c>
      <c r="AC184" s="74">
        <f t="shared" si="111"/>
        <v>27.105936</v>
      </c>
      <c r="AD184" s="74">
        <f t="shared" si="110"/>
        <v>202.567632969697</v>
      </c>
      <c r="AE184" s="74">
        <f t="shared" si="109"/>
        <v>40.4323670303031</v>
      </c>
    </row>
    <row r="185" customFormat="1" spans="1:31">
      <c r="A185" s="18"/>
      <c r="B185" s="19"/>
      <c r="C185" s="20">
        <v>240703000025</v>
      </c>
      <c r="D185" s="21">
        <v>45482</v>
      </c>
      <c r="E185" s="21" t="s">
        <v>40</v>
      </c>
      <c r="F185" s="19" t="s">
        <v>41</v>
      </c>
      <c r="G185" s="19" t="s">
        <v>165</v>
      </c>
      <c r="H185" s="19">
        <v>9.5</v>
      </c>
      <c r="I185" s="47"/>
      <c r="J185" s="48">
        <v>118085</v>
      </c>
      <c r="K185" s="43"/>
      <c r="L185" s="49">
        <f t="shared" si="119"/>
        <v>1640.98110061145</v>
      </c>
      <c r="M185" s="50">
        <v>71.96</v>
      </c>
      <c r="N185" s="44">
        <v>7.26</v>
      </c>
      <c r="O185" s="45">
        <f t="shared" si="120"/>
        <v>522.4296</v>
      </c>
      <c r="P185" s="51"/>
      <c r="Q185" s="51"/>
      <c r="R185" s="74">
        <f t="shared" si="114"/>
        <v>415.783333333333</v>
      </c>
      <c r="S185" s="74"/>
      <c r="T185" s="75">
        <f t="shared" si="115"/>
        <v>0.93819696969697</v>
      </c>
      <c r="U185" s="74"/>
      <c r="V185" s="74"/>
      <c r="W185" s="76">
        <f t="shared" si="112"/>
        <v>416.72153030303</v>
      </c>
      <c r="X185" s="77">
        <f t="shared" si="116"/>
        <v>8.8673</v>
      </c>
      <c r="Y185" s="77"/>
      <c r="Z185" s="77"/>
      <c r="AA185" s="77">
        <f t="shared" si="113"/>
        <v>8.8673</v>
      </c>
      <c r="AB185" s="87">
        <v>7.26</v>
      </c>
      <c r="AC185" s="74">
        <f t="shared" si="111"/>
        <v>64.376598</v>
      </c>
      <c r="AD185" s="74">
        <f t="shared" si="110"/>
        <v>481.09812830303</v>
      </c>
      <c r="AE185" s="74">
        <f t="shared" si="109"/>
        <v>41.3314716969698</v>
      </c>
    </row>
    <row r="186" customFormat="1" spans="1:31">
      <c r="A186" s="18"/>
      <c r="B186" s="19"/>
      <c r="C186" s="20">
        <v>240703000027</v>
      </c>
      <c r="D186" s="21">
        <v>45482</v>
      </c>
      <c r="E186" s="21" t="s">
        <v>40</v>
      </c>
      <c r="F186" s="19" t="s">
        <v>41</v>
      </c>
      <c r="G186" s="19" t="s">
        <v>93</v>
      </c>
      <c r="H186" s="19">
        <v>3</v>
      </c>
      <c r="I186" s="41">
        <v>215</v>
      </c>
      <c r="J186" s="42"/>
      <c r="K186" s="43"/>
      <c r="L186" s="19"/>
      <c r="M186" s="43"/>
      <c r="N186" s="44"/>
      <c r="O186" s="45">
        <f t="shared" si="121"/>
        <v>215</v>
      </c>
      <c r="P186" s="51"/>
      <c r="Q186" s="51"/>
      <c r="R186" s="74">
        <f t="shared" si="114"/>
        <v>131.3</v>
      </c>
      <c r="S186" s="74"/>
      <c r="T186" s="75">
        <f t="shared" si="115"/>
        <v>0.296272727272727</v>
      </c>
      <c r="U186" s="74"/>
      <c r="V186" s="74"/>
      <c r="W186" s="76">
        <f t="shared" si="112"/>
        <v>131.596272727273</v>
      </c>
      <c r="X186" s="77">
        <f t="shared" si="116"/>
        <v>2.8002</v>
      </c>
      <c r="Y186" s="77">
        <v>6.88</v>
      </c>
      <c r="Z186" s="77"/>
      <c r="AA186" s="77">
        <f t="shared" si="113"/>
        <v>9.6802</v>
      </c>
      <c r="AB186" s="87">
        <v>7.26</v>
      </c>
      <c r="AC186" s="74">
        <f t="shared" si="111"/>
        <v>70.278252</v>
      </c>
      <c r="AD186" s="74">
        <f t="shared" si="110"/>
        <v>201.874524727273</v>
      </c>
      <c r="AE186" s="74">
        <f t="shared" si="109"/>
        <v>13.1254752727273</v>
      </c>
    </row>
    <row r="187" customFormat="1" spans="1:31">
      <c r="A187" s="18"/>
      <c r="B187" s="19"/>
      <c r="C187" s="20">
        <v>240704000005</v>
      </c>
      <c r="D187" s="21">
        <v>45482</v>
      </c>
      <c r="E187" s="21" t="s">
        <v>40</v>
      </c>
      <c r="F187" s="19" t="s">
        <v>41</v>
      </c>
      <c r="G187" s="19" t="s">
        <v>86</v>
      </c>
      <c r="H187" s="19">
        <v>0.66</v>
      </c>
      <c r="I187" s="41">
        <v>55</v>
      </c>
      <c r="J187" s="42"/>
      <c r="K187" s="43"/>
      <c r="L187" s="19"/>
      <c r="M187" s="43"/>
      <c r="N187" s="44"/>
      <c r="O187" s="45">
        <f t="shared" si="121"/>
        <v>55</v>
      </c>
      <c r="P187" s="51"/>
      <c r="Q187" s="51"/>
      <c r="R187" s="74">
        <f t="shared" si="114"/>
        <v>28.886</v>
      </c>
      <c r="S187" s="74"/>
      <c r="T187" s="75">
        <f t="shared" si="115"/>
        <v>0.06518</v>
      </c>
      <c r="U187" s="74"/>
      <c r="V187" s="74"/>
      <c r="W187" s="76">
        <f t="shared" si="112"/>
        <v>28.95118</v>
      </c>
      <c r="X187" s="77">
        <f t="shared" si="116"/>
        <v>0.616044</v>
      </c>
      <c r="Y187" s="77"/>
      <c r="Z187" s="77"/>
      <c r="AA187" s="77">
        <f t="shared" si="113"/>
        <v>0.616044</v>
      </c>
      <c r="AB187" s="87">
        <v>7.26</v>
      </c>
      <c r="AC187" s="74">
        <f t="shared" si="111"/>
        <v>4.47247944</v>
      </c>
      <c r="AD187" s="74">
        <f t="shared" si="110"/>
        <v>33.42365944</v>
      </c>
      <c r="AE187" s="74">
        <f t="shared" si="109"/>
        <v>21.57634056</v>
      </c>
    </row>
    <row r="188" customFormat="1" spans="1:31">
      <c r="A188" s="18"/>
      <c r="B188" s="19"/>
      <c r="C188" s="20">
        <v>240704000006</v>
      </c>
      <c r="D188" s="21">
        <v>45482</v>
      </c>
      <c r="E188" s="21" t="s">
        <v>44</v>
      </c>
      <c r="F188" s="19" t="s">
        <v>45</v>
      </c>
      <c r="G188" s="19" t="s">
        <v>214</v>
      </c>
      <c r="H188" s="19">
        <v>11</v>
      </c>
      <c r="I188" s="47"/>
      <c r="J188" s="48">
        <v>134310</v>
      </c>
      <c r="K188" s="43"/>
      <c r="L188" s="49">
        <f t="shared" si="119"/>
        <v>1611.78447137886</v>
      </c>
      <c r="M188" s="50">
        <v>83.33</v>
      </c>
      <c r="N188" s="44">
        <v>7.26</v>
      </c>
      <c r="O188" s="45">
        <f t="shared" si="120"/>
        <v>604.9758</v>
      </c>
      <c r="P188" s="51"/>
      <c r="Q188" s="51"/>
      <c r="R188" s="74">
        <f t="shared" si="114"/>
        <v>481.433333333333</v>
      </c>
      <c r="S188" s="74"/>
      <c r="T188" s="75">
        <f t="shared" si="115"/>
        <v>1.08633333333333</v>
      </c>
      <c r="U188" s="74"/>
      <c r="V188" s="74"/>
      <c r="W188" s="76">
        <f t="shared" si="112"/>
        <v>482.519666666667</v>
      </c>
      <c r="X188" s="77">
        <f t="shared" si="116"/>
        <v>10.2674</v>
      </c>
      <c r="Y188" s="77"/>
      <c r="Z188" s="77"/>
      <c r="AA188" s="77">
        <f t="shared" si="113"/>
        <v>10.2674</v>
      </c>
      <c r="AB188" s="87">
        <v>7.26</v>
      </c>
      <c r="AC188" s="74">
        <f t="shared" si="111"/>
        <v>74.541324</v>
      </c>
      <c r="AD188" s="74">
        <f t="shared" si="110"/>
        <v>557.060990666667</v>
      </c>
      <c r="AE188" s="74">
        <f t="shared" si="109"/>
        <v>47.9148093333333</v>
      </c>
    </row>
    <row r="189" customFormat="1" spans="1:31">
      <c r="A189" s="18"/>
      <c r="B189" s="19"/>
      <c r="C189" s="20">
        <v>240704000007</v>
      </c>
      <c r="D189" s="21">
        <v>45482</v>
      </c>
      <c r="E189" s="21" t="s">
        <v>40</v>
      </c>
      <c r="F189" s="19" t="s">
        <v>41</v>
      </c>
      <c r="G189" s="19" t="s">
        <v>118</v>
      </c>
      <c r="H189" s="19">
        <v>5</v>
      </c>
      <c r="I189" s="41">
        <v>315</v>
      </c>
      <c r="J189" s="42"/>
      <c r="K189" s="43"/>
      <c r="L189" s="19"/>
      <c r="M189" s="43"/>
      <c r="N189" s="44"/>
      <c r="O189" s="45">
        <f t="shared" ref="O189:O199" si="122">SUM(I189)</f>
        <v>315</v>
      </c>
      <c r="P189" s="51"/>
      <c r="Q189" s="51"/>
      <c r="R189" s="74">
        <f t="shared" si="114"/>
        <v>218.833333333333</v>
      </c>
      <c r="S189" s="74"/>
      <c r="T189" s="75">
        <f t="shared" si="115"/>
        <v>0.493787878787879</v>
      </c>
      <c r="U189" s="74"/>
      <c r="V189" s="74"/>
      <c r="W189" s="76">
        <f t="shared" si="112"/>
        <v>219.327121212121</v>
      </c>
      <c r="X189" s="77">
        <f t="shared" si="116"/>
        <v>4.667</v>
      </c>
      <c r="Y189" s="77"/>
      <c r="Z189" s="77"/>
      <c r="AA189" s="77">
        <f t="shared" si="113"/>
        <v>4.667</v>
      </c>
      <c r="AB189" s="87">
        <v>7.26</v>
      </c>
      <c r="AC189" s="74">
        <f t="shared" si="111"/>
        <v>33.88242</v>
      </c>
      <c r="AD189" s="74">
        <f t="shared" si="110"/>
        <v>253.209541212121</v>
      </c>
      <c r="AE189" s="74">
        <f t="shared" si="109"/>
        <v>61.7904587878788</v>
      </c>
    </row>
    <row r="190" customFormat="1" spans="1:31">
      <c r="A190" s="18"/>
      <c r="B190" s="19"/>
      <c r="C190" s="20">
        <v>240704000011</v>
      </c>
      <c r="D190" s="21">
        <v>45482</v>
      </c>
      <c r="E190" s="21" t="s">
        <v>40</v>
      </c>
      <c r="F190" s="19" t="s">
        <v>41</v>
      </c>
      <c r="G190" s="19" t="s">
        <v>215</v>
      </c>
      <c r="H190" s="19">
        <v>16</v>
      </c>
      <c r="I190" s="45"/>
      <c r="J190" s="48">
        <v>195435.4</v>
      </c>
      <c r="K190" s="43"/>
      <c r="L190" s="49">
        <f>SUM(J190/M190)</f>
        <v>1535.23487824038</v>
      </c>
      <c r="M190" s="50">
        <v>127.3</v>
      </c>
      <c r="N190" s="44">
        <v>7.26</v>
      </c>
      <c r="O190" s="45">
        <f>SUM(M190*N190)</f>
        <v>924.198</v>
      </c>
      <c r="P190" s="51"/>
      <c r="Q190" s="51"/>
      <c r="R190" s="74">
        <f t="shared" si="114"/>
        <v>700.266666666667</v>
      </c>
      <c r="S190" s="74"/>
      <c r="T190" s="75">
        <f t="shared" si="115"/>
        <v>1.58012121212121</v>
      </c>
      <c r="U190" s="74"/>
      <c r="V190" s="74"/>
      <c r="W190" s="76">
        <f t="shared" si="112"/>
        <v>701.846787878788</v>
      </c>
      <c r="X190" s="77">
        <f t="shared" si="116"/>
        <v>14.9344</v>
      </c>
      <c r="Y190" s="77"/>
      <c r="Z190" s="77"/>
      <c r="AA190" s="77">
        <f t="shared" si="113"/>
        <v>14.9344</v>
      </c>
      <c r="AB190" s="87">
        <v>7.26</v>
      </c>
      <c r="AC190" s="74">
        <f t="shared" si="111"/>
        <v>108.423744</v>
      </c>
      <c r="AD190" s="74">
        <f t="shared" si="110"/>
        <v>810.270531878788</v>
      </c>
      <c r="AE190" s="74">
        <f t="shared" si="109"/>
        <v>113.927468121212</v>
      </c>
    </row>
    <row r="191" customFormat="1" spans="1:31">
      <c r="A191" s="18"/>
      <c r="B191" s="19"/>
      <c r="C191" s="20">
        <v>240704000015</v>
      </c>
      <c r="D191" s="21">
        <v>45482</v>
      </c>
      <c r="E191" s="21" t="s">
        <v>58</v>
      </c>
      <c r="F191" s="19" t="s">
        <v>59</v>
      </c>
      <c r="G191" s="19" t="s">
        <v>97</v>
      </c>
      <c r="H191" s="19">
        <v>20</v>
      </c>
      <c r="I191" s="45"/>
      <c r="J191" s="48">
        <v>319600</v>
      </c>
      <c r="K191" s="43"/>
      <c r="L191" s="49">
        <f>SUM(J191/M191)</f>
        <v>1943.44785649133</v>
      </c>
      <c r="M191" s="50">
        <v>164.45</v>
      </c>
      <c r="N191" s="44">
        <v>7.26</v>
      </c>
      <c r="O191" s="45">
        <f>SUM(M191*N191)</f>
        <v>1193.907</v>
      </c>
      <c r="P191" s="51"/>
      <c r="Q191" s="51"/>
      <c r="R191" s="74">
        <f t="shared" si="114"/>
        <v>875.333333333333</v>
      </c>
      <c r="S191" s="74"/>
      <c r="T191" s="75">
        <f t="shared" si="115"/>
        <v>1.97515151515152</v>
      </c>
      <c r="U191" s="74">
        <v>40</v>
      </c>
      <c r="V191" s="74"/>
      <c r="W191" s="76">
        <f t="shared" si="112"/>
        <v>917.308484848485</v>
      </c>
      <c r="X191" s="77">
        <f t="shared" si="116"/>
        <v>18.668</v>
      </c>
      <c r="Y191" s="77"/>
      <c r="Z191" s="77"/>
      <c r="AA191" s="77">
        <f t="shared" si="113"/>
        <v>18.668</v>
      </c>
      <c r="AB191" s="87">
        <v>7.26</v>
      </c>
      <c r="AC191" s="74">
        <f t="shared" si="111"/>
        <v>135.52968</v>
      </c>
      <c r="AD191" s="74">
        <f t="shared" si="110"/>
        <v>1052.83816484848</v>
      </c>
      <c r="AE191" s="74">
        <f t="shared" si="109"/>
        <v>141.068835151515</v>
      </c>
    </row>
    <row r="192" customFormat="1" spans="1:31">
      <c r="A192" s="18"/>
      <c r="B192" s="19"/>
      <c r="C192" s="22">
        <v>240704000017</v>
      </c>
      <c r="D192" s="23">
        <v>45482</v>
      </c>
      <c r="E192" s="21" t="s">
        <v>37</v>
      </c>
      <c r="F192" s="24" t="s">
        <v>37</v>
      </c>
      <c r="G192" s="24" t="s">
        <v>71</v>
      </c>
      <c r="H192" s="24">
        <v>10</v>
      </c>
      <c r="I192" s="41">
        <v>576</v>
      </c>
      <c r="J192" s="42"/>
      <c r="K192" s="43"/>
      <c r="L192" s="19"/>
      <c r="M192" s="43"/>
      <c r="N192" s="44"/>
      <c r="O192" s="45">
        <f t="shared" si="122"/>
        <v>576</v>
      </c>
      <c r="P192" s="51"/>
      <c r="Q192" s="51"/>
      <c r="R192" s="74">
        <f t="shared" si="114"/>
        <v>437.666666666667</v>
      </c>
      <c r="S192" s="74"/>
      <c r="T192" s="75">
        <f t="shared" si="115"/>
        <v>0.987575757575758</v>
      </c>
      <c r="U192" s="74"/>
      <c r="V192" s="74"/>
      <c r="W192" s="76">
        <f t="shared" si="112"/>
        <v>438.654242424242</v>
      </c>
      <c r="X192" s="77">
        <f t="shared" si="116"/>
        <v>9.334</v>
      </c>
      <c r="Y192" s="77"/>
      <c r="Z192" s="77"/>
      <c r="AA192" s="77">
        <f t="shared" si="113"/>
        <v>9.334</v>
      </c>
      <c r="AB192" s="87">
        <v>7.26</v>
      </c>
      <c r="AC192" s="74">
        <f t="shared" si="111"/>
        <v>67.76484</v>
      </c>
      <c r="AD192" s="74">
        <f t="shared" si="110"/>
        <v>506.419082424242</v>
      </c>
      <c r="AE192" s="74">
        <f t="shared" si="109"/>
        <v>69.5809175757576</v>
      </c>
    </row>
    <row r="193" customFormat="1" spans="1:31">
      <c r="A193" s="18"/>
      <c r="B193" s="19"/>
      <c r="C193" s="20">
        <v>240704000020</v>
      </c>
      <c r="D193" s="21">
        <v>45482</v>
      </c>
      <c r="E193" s="21" t="s">
        <v>58</v>
      </c>
      <c r="F193" s="19" t="s">
        <v>59</v>
      </c>
      <c r="G193" s="19" t="s">
        <v>133</v>
      </c>
      <c r="H193" s="19">
        <v>4</v>
      </c>
      <c r="I193" s="41">
        <v>274.8</v>
      </c>
      <c r="J193" s="42"/>
      <c r="K193" s="43"/>
      <c r="L193" s="19"/>
      <c r="M193" s="43"/>
      <c r="N193" s="44"/>
      <c r="O193" s="45">
        <f t="shared" si="122"/>
        <v>274.8</v>
      </c>
      <c r="P193" s="51"/>
      <c r="Q193" s="51"/>
      <c r="R193" s="74">
        <f t="shared" si="114"/>
        <v>175.066666666667</v>
      </c>
      <c r="S193" s="74"/>
      <c r="T193" s="75">
        <f t="shared" si="115"/>
        <v>0.395030303030303</v>
      </c>
      <c r="U193" s="74"/>
      <c r="V193" s="74"/>
      <c r="W193" s="76">
        <f t="shared" si="112"/>
        <v>175.461696969697</v>
      </c>
      <c r="X193" s="77">
        <f t="shared" si="116"/>
        <v>3.7336</v>
      </c>
      <c r="Y193" s="77"/>
      <c r="Z193" s="77"/>
      <c r="AA193" s="77">
        <f t="shared" si="113"/>
        <v>3.7336</v>
      </c>
      <c r="AB193" s="87">
        <v>7.26</v>
      </c>
      <c r="AC193" s="74">
        <f t="shared" si="111"/>
        <v>27.105936</v>
      </c>
      <c r="AD193" s="74">
        <f t="shared" si="110"/>
        <v>202.567632969697</v>
      </c>
      <c r="AE193" s="74">
        <f t="shared" si="109"/>
        <v>72.2323670303031</v>
      </c>
    </row>
    <row r="194" customFormat="1" spans="1:31">
      <c r="A194" s="18"/>
      <c r="B194" s="19"/>
      <c r="C194" s="20">
        <v>240704000023</v>
      </c>
      <c r="D194" s="21">
        <v>45482</v>
      </c>
      <c r="E194" s="21" t="s">
        <v>44</v>
      </c>
      <c r="F194" s="19" t="s">
        <v>45</v>
      </c>
      <c r="G194" s="19" t="s">
        <v>216</v>
      </c>
      <c r="H194" s="19">
        <v>26</v>
      </c>
      <c r="I194" s="41">
        <v>1430</v>
      </c>
      <c r="J194" s="42"/>
      <c r="K194" s="43"/>
      <c r="L194" s="19"/>
      <c r="M194" s="43"/>
      <c r="N194" s="44"/>
      <c r="O194" s="45">
        <f t="shared" si="122"/>
        <v>1430</v>
      </c>
      <c r="P194" s="51"/>
      <c r="Q194" s="51"/>
      <c r="R194" s="74">
        <f t="shared" si="114"/>
        <v>1137.93333333333</v>
      </c>
      <c r="S194" s="74"/>
      <c r="T194" s="75">
        <f t="shared" si="115"/>
        <v>2.56769696969697</v>
      </c>
      <c r="U194" s="74"/>
      <c r="V194" s="74"/>
      <c r="W194" s="76">
        <f t="shared" si="112"/>
        <v>1140.50103030303</v>
      </c>
      <c r="X194" s="77">
        <f t="shared" si="116"/>
        <v>24.2684</v>
      </c>
      <c r="Y194" s="77"/>
      <c r="Z194" s="77"/>
      <c r="AA194" s="77">
        <f t="shared" si="113"/>
        <v>24.2684</v>
      </c>
      <c r="AB194" s="87">
        <v>7.26</v>
      </c>
      <c r="AC194" s="74">
        <f t="shared" si="111"/>
        <v>176.188584</v>
      </c>
      <c r="AD194" s="74">
        <f t="shared" si="110"/>
        <v>1316.68961430303</v>
      </c>
      <c r="AE194" s="74">
        <f t="shared" si="109"/>
        <v>113.31038569697</v>
      </c>
    </row>
    <row r="195" customFormat="1" spans="1:31">
      <c r="A195" s="18"/>
      <c r="B195" s="19"/>
      <c r="C195" s="20">
        <v>240705000006</v>
      </c>
      <c r="D195" s="21">
        <v>45482</v>
      </c>
      <c r="E195" s="21" t="s">
        <v>58</v>
      </c>
      <c r="F195" s="19" t="s">
        <v>59</v>
      </c>
      <c r="G195" s="19" t="s">
        <v>154</v>
      </c>
      <c r="H195" s="19">
        <v>401</v>
      </c>
      <c r="I195" s="41">
        <v>23357</v>
      </c>
      <c r="J195" s="42"/>
      <c r="K195" s="43"/>
      <c r="L195" s="19"/>
      <c r="M195" s="43"/>
      <c r="N195" s="44"/>
      <c r="O195" s="45">
        <f t="shared" si="122"/>
        <v>23357</v>
      </c>
      <c r="P195" s="51"/>
      <c r="Q195" s="51"/>
      <c r="R195" s="74">
        <f t="shared" si="114"/>
        <v>17550.4333333333</v>
      </c>
      <c r="S195" s="74"/>
      <c r="T195" s="75">
        <f t="shared" si="115"/>
        <v>39.6017878787879</v>
      </c>
      <c r="U195" s="74"/>
      <c r="V195" s="74"/>
      <c r="W195" s="76">
        <f t="shared" si="112"/>
        <v>17590.0351212121</v>
      </c>
      <c r="X195" s="77">
        <f t="shared" si="116"/>
        <v>374.2934</v>
      </c>
      <c r="Y195" s="77"/>
      <c r="Z195" s="77"/>
      <c r="AA195" s="77">
        <f t="shared" si="113"/>
        <v>374.2934</v>
      </c>
      <c r="AB195" s="87">
        <v>7.26</v>
      </c>
      <c r="AC195" s="74">
        <f t="shared" si="111"/>
        <v>2717.370084</v>
      </c>
      <c r="AD195" s="74">
        <f t="shared" si="110"/>
        <v>20307.4052052121</v>
      </c>
      <c r="AE195" s="74">
        <f t="shared" si="109"/>
        <v>3049.59479478788</v>
      </c>
    </row>
    <row r="196" customFormat="1" spans="1:31">
      <c r="A196" s="18"/>
      <c r="B196" s="19"/>
      <c r="C196" s="20">
        <v>240705000009</v>
      </c>
      <c r="D196" s="21">
        <v>45482</v>
      </c>
      <c r="E196" s="21" t="s">
        <v>40</v>
      </c>
      <c r="F196" s="19" t="s">
        <v>41</v>
      </c>
      <c r="G196" s="19" t="s">
        <v>217</v>
      </c>
      <c r="H196" s="19">
        <v>18</v>
      </c>
      <c r="I196" s="41">
        <v>1134</v>
      </c>
      <c r="J196" s="42"/>
      <c r="K196" s="43"/>
      <c r="L196" s="19"/>
      <c r="M196" s="43"/>
      <c r="N196" s="44"/>
      <c r="O196" s="45">
        <f t="shared" si="122"/>
        <v>1134</v>
      </c>
      <c r="P196" s="51"/>
      <c r="Q196" s="51"/>
      <c r="R196" s="74">
        <f t="shared" si="114"/>
        <v>787.8</v>
      </c>
      <c r="S196" s="74"/>
      <c r="T196" s="75">
        <f t="shared" si="115"/>
        <v>1.77763636363636</v>
      </c>
      <c r="U196" s="74"/>
      <c r="V196" s="74"/>
      <c r="W196" s="76">
        <f t="shared" si="112"/>
        <v>789.577636363636</v>
      </c>
      <c r="X196" s="77">
        <f t="shared" si="116"/>
        <v>16.8012</v>
      </c>
      <c r="Y196" s="77"/>
      <c r="Z196" s="77"/>
      <c r="AA196" s="77">
        <f t="shared" si="113"/>
        <v>16.8012</v>
      </c>
      <c r="AB196" s="87">
        <v>7.26</v>
      </c>
      <c r="AC196" s="74">
        <f t="shared" si="111"/>
        <v>121.976712</v>
      </c>
      <c r="AD196" s="74">
        <f t="shared" si="110"/>
        <v>911.554348363636</v>
      </c>
      <c r="AE196" s="74">
        <f t="shared" si="109"/>
        <v>222.445651636364</v>
      </c>
    </row>
    <row r="197" customFormat="1" spans="1:31">
      <c r="A197" s="18"/>
      <c r="B197" s="19"/>
      <c r="C197" s="20">
        <v>240705000015</v>
      </c>
      <c r="D197" s="21">
        <v>45482</v>
      </c>
      <c r="E197" s="21" t="s">
        <v>40</v>
      </c>
      <c r="F197" s="19" t="s">
        <v>41</v>
      </c>
      <c r="G197" s="19" t="s">
        <v>218</v>
      </c>
      <c r="H197" s="19">
        <v>1</v>
      </c>
      <c r="I197" s="41">
        <v>102</v>
      </c>
      <c r="J197" s="42"/>
      <c r="K197" s="43"/>
      <c r="L197" s="19"/>
      <c r="M197" s="43"/>
      <c r="N197" s="44"/>
      <c r="O197" s="45">
        <f t="shared" si="122"/>
        <v>102</v>
      </c>
      <c r="P197" s="51"/>
      <c r="Q197" s="51"/>
      <c r="R197" s="74">
        <f t="shared" si="114"/>
        <v>43.7666666666667</v>
      </c>
      <c r="S197" s="74"/>
      <c r="T197" s="75">
        <f t="shared" si="115"/>
        <v>0.0987575757575758</v>
      </c>
      <c r="U197" s="74"/>
      <c r="V197" s="74"/>
      <c r="W197" s="76">
        <f t="shared" si="112"/>
        <v>43.8654242424242</v>
      </c>
      <c r="X197" s="77">
        <f t="shared" si="116"/>
        <v>0.9334</v>
      </c>
      <c r="Y197" s="77"/>
      <c r="Z197" s="77"/>
      <c r="AA197" s="77">
        <f t="shared" si="113"/>
        <v>0.9334</v>
      </c>
      <c r="AB197" s="87">
        <v>7.26</v>
      </c>
      <c r="AC197" s="74">
        <f t="shared" si="111"/>
        <v>6.776484</v>
      </c>
      <c r="AD197" s="74">
        <f t="shared" si="110"/>
        <v>50.6419082424242</v>
      </c>
      <c r="AE197" s="74">
        <f t="shared" si="109"/>
        <v>51.3580917575758</v>
      </c>
    </row>
    <row r="198" customFormat="1" spans="1:31">
      <c r="A198" s="18"/>
      <c r="B198" s="19"/>
      <c r="C198" s="20">
        <v>240705000018</v>
      </c>
      <c r="D198" s="21">
        <v>45482</v>
      </c>
      <c r="E198" s="21" t="s">
        <v>40</v>
      </c>
      <c r="F198" s="19" t="s">
        <v>41</v>
      </c>
      <c r="G198" s="19" t="s">
        <v>139</v>
      </c>
      <c r="H198" s="19">
        <v>3</v>
      </c>
      <c r="I198" s="41">
        <v>180</v>
      </c>
      <c r="J198" s="42"/>
      <c r="K198" s="43"/>
      <c r="L198" s="19"/>
      <c r="M198" s="43"/>
      <c r="N198" s="44"/>
      <c r="O198" s="45">
        <f t="shared" si="122"/>
        <v>180</v>
      </c>
      <c r="P198" s="51"/>
      <c r="Q198" s="51"/>
      <c r="R198" s="74">
        <f t="shared" si="114"/>
        <v>131.3</v>
      </c>
      <c r="S198" s="74"/>
      <c r="T198" s="75">
        <f t="shared" si="115"/>
        <v>0.296272727272727</v>
      </c>
      <c r="U198" s="74"/>
      <c r="V198" s="74"/>
      <c r="W198" s="76">
        <f t="shared" si="112"/>
        <v>131.596272727273</v>
      </c>
      <c r="X198" s="77">
        <f t="shared" si="116"/>
        <v>2.8002</v>
      </c>
      <c r="Y198" s="77"/>
      <c r="Z198" s="77"/>
      <c r="AA198" s="77">
        <f t="shared" si="113"/>
        <v>2.8002</v>
      </c>
      <c r="AB198" s="87">
        <v>7.26</v>
      </c>
      <c r="AC198" s="74">
        <f t="shared" si="111"/>
        <v>20.329452</v>
      </c>
      <c r="AD198" s="74">
        <f t="shared" si="110"/>
        <v>151.925724727273</v>
      </c>
      <c r="AE198" s="74">
        <f t="shared" si="109"/>
        <v>28.0742752727272</v>
      </c>
    </row>
    <row r="199" customFormat="1" spans="1:31">
      <c r="A199" s="18"/>
      <c r="B199" s="19"/>
      <c r="C199" s="20">
        <v>240705000021</v>
      </c>
      <c r="D199" s="21">
        <v>45482</v>
      </c>
      <c r="E199" s="21" t="s">
        <v>40</v>
      </c>
      <c r="F199" s="19" t="s">
        <v>41</v>
      </c>
      <c r="G199" s="19" t="s">
        <v>219</v>
      </c>
      <c r="H199" s="19">
        <v>26</v>
      </c>
      <c r="I199" s="41">
        <v>1430</v>
      </c>
      <c r="J199" s="42"/>
      <c r="K199" s="43"/>
      <c r="L199" s="19"/>
      <c r="M199" s="43"/>
      <c r="N199" s="44"/>
      <c r="O199" s="45">
        <f t="shared" si="122"/>
        <v>1430</v>
      </c>
      <c r="P199" s="51"/>
      <c r="Q199" s="51"/>
      <c r="R199" s="74">
        <f t="shared" si="114"/>
        <v>1137.93333333333</v>
      </c>
      <c r="S199" s="74"/>
      <c r="T199" s="75">
        <f t="shared" si="115"/>
        <v>2.56769696969697</v>
      </c>
      <c r="U199" s="74"/>
      <c r="V199" s="74"/>
      <c r="W199" s="76">
        <f t="shared" si="112"/>
        <v>1140.50103030303</v>
      </c>
      <c r="X199" s="77">
        <f t="shared" si="116"/>
        <v>24.2684</v>
      </c>
      <c r="Y199" s="77"/>
      <c r="Z199" s="77"/>
      <c r="AA199" s="77">
        <f t="shared" si="113"/>
        <v>24.2684</v>
      </c>
      <c r="AB199" s="87">
        <v>7.26</v>
      </c>
      <c r="AC199" s="74">
        <f t="shared" si="111"/>
        <v>176.188584</v>
      </c>
      <c r="AD199" s="74">
        <f t="shared" si="110"/>
        <v>1316.68961430303</v>
      </c>
      <c r="AE199" s="74">
        <f t="shared" si="109"/>
        <v>113.31038569697</v>
      </c>
    </row>
    <row r="200" customFormat="1" spans="1:31">
      <c r="A200" s="18"/>
      <c r="B200" s="19"/>
      <c r="C200" s="20">
        <v>240705000027</v>
      </c>
      <c r="D200" s="21">
        <v>45482</v>
      </c>
      <c r="E200" s="21" t="s">
        <v>44</v>
      </c>
      <c r="F200" s="19" t="s">
        <v>45</v>
      </c>
      <c r="G200" s="19" t="s">
        <v>214</v>
      </c>
      <c r="H200" s="19">
        <v>6.5</v>
      </c>
      <c r="I200" s="47"/>
      <c r="J200" s="48">
        <v>83583</v>
      </c>
      <c r="K200" s="43"/>
      <c r="L200" s="49">
        <f t="shared" ref="L200:L205" si="123">SUM(J200/M200)</f>
        <v>1612.01542912247</v>
      </c>
      <c r="M200" s="50">
        <v>51.85</v>
      </c>
      <c r="N200" s="44">
        <v>7.26</v>
      </c>
      <c r="O200" s="45">
        <f t="shared" ref="O200:O205" si="124">SUM(M200*N200)</f>
        <v>376.431</v>
      </c>
      <c r="P200" s="51"/>
      <c r="Q200" s="51"/>
      <c r="R200" s="74">
        <f t="shared" si="114"/>
        <v>284.483333333333</v>
      </c>
      <c r="S200" s="74"/>
      <c r="T200" s="75">
        <f t="shared" si="115"/>
        <v>0.641924242424242</v>
      </c>
      <c r="U200" s="74"/>
      <c r="V200" s="74"/>
      <c r="W200" s="76">
        <f t="shared" si="112"/>
        <v>285.125257575758</v>
      </c>
      <c r="X200" s="77">
        <f t="shared" si="116"/>
        <v>6.0671</v>
      </c>
      <c r="Y200" s="77"/>
      <c r="Z200" s="77"/>
      <c r="AA200" s="77">
        <f t="shared" si="113"/>
        <v>6.0671</v>
      </c>
      <c r="AB200" s="87">
        <v>7.26</v>
      </c>
      <c r="AC200" s="74">
        <f t="shared" si="111"/>
        <v>44.047146</v>
      </c>
      <c r="AD200" s="74">
        <f t="shared" si="110"/>
        <v>329.172403575758</v>
      </c>
      <c r="AE200" s="74">
        <f t="shared" si="109"/>
        <v>47.2585964242424</v>
      </c>
    </row>
    <row r="201" customFormat="1" spans="1:31">
      <c r="A201" s="18"/>
      <c r="B201" s="19"/>
      <c r="C201" s="20">
        <v>240705000029</v>
      </c>
      <c r="D201" s="21">
        <v>45482</v>
      </c>
      <c r="E201" s="21" t="s">
        <v>37</v>
      </c>
      <c r="F201" s="19" t="s">
        <v>37</v>
      </c>
      <c r="G201" s="19" t="s">
        <v>220</v>
      </c>
      <c r="H201" s="19">
        <v>109</v>
      </c>
      <c r="I201" s="41">
        <v>6215</v>
      </c>
      <c r="J201" s="42"/>
      <c r="K201" s="43"/>
      <c r="L201" s="19"/>
      <c r="M201" s="43"/>
      <c r="N201" s="44"/>
      <c r="O201" s="45">
        <f t="shared" ref="O201:O204" si="125">SUM(I201)</f>
        <v>6215</v>
      </c>
      <c r="P201" s="51"/>
      <c r="Q201" s="51"/>
      <c r="R201" s="74">
        <f t="shared" si="114"/>
        <v>4770.56666666667</v>
      </c>
      <c r="S201" s="74"/>
      <c r="T201" s="75">
        <f t="shared" si="115"/>
        <v>10.7645757575758</v>
      </c>
      <c r="U201" s="74"/>
      <c r="V201" s="74"/>
      <c r="W201" s="76">
        <f t="shared" si="112"/>
        <v>4781.33124242424</v>
      </c>
      <c r="X201" s="77">
        <f t="shared" si="116"/>
        <v>101.7406</v>
      </c>
      <c r="Y201" s="77"/>
      <c r="Z201" s="77"/>
      <c r="AA201" s="77">
        <f t="shared" si="113"/>
        <v>101.7406</v>
      </c>
      <c r="AB201" s="87">
        <v>7.26</v>
      </c>
      <c r="AC201" s="74">
        <f t="shared" si="111"/>
        <v>738.636756</v>
      </c>
      <c r="AD201" s="74">
        <f t="shared" si="110"/>
        <v>5519.96799842424</v>
      </c>
      <c r="AE201" s="74">
        <f t="shared" si="109"/>
        <v>695.032001575758</v>
      </c>
    </row>
    <row r="202" customFormat="1" spans="1:31">
      <c r="A202" s="18"/>
      <c r="B202" s="19"/>
      <c r="C202" s="20">
        <v>240705000030</v>
      </c>
      <c r="D202" s="21">
        <v>45482</v>
      </c>
      <c r="E202" s="21" t="s">
        <v>40</v>
      </c>
      <c r="F202" s="19" t="s">
        <v>41</v>
      </c>
      <c r="G202" s="19" t="s">
        <v>139</v>
      </c>
      <c r="H202" s="19">
        <v>2.5</v>
      </c>
      <c r="I202" s="41">
        <v>169</v>
      </c>
      <c r="J202" s="42"/>
      <c r="K202" s="43"/>
      <c r="L202" s="19"/>
      <c r="M202" s="43"/>
      <c r="N202" s="44"/>
      <c r="O202" s="45">
        <f t="shared" si="125"/>
        <v>169</v>
      </c>
      <c r="P202" s="51"/>
      <c r="Q202" s="51"/>
      <c r="R202" s="74">
        <f t="shared" si="114"/>
        <v>109.416666666667</v>
      </c>
      <c r="S202" s="74"/>
      <c r="T202" s="75">
        <f t="shared" si="115"/>
        <v>0.246893939393939</v>
      </c>
      <c r="U202" s="74"/>
      <c r="V202" s="75">
        <v>19</v>
      </c>
      <c r="W202" s="76">
        <f t="shared" si="112"/>
        <v>128.663560606061</v>
      </c>
      <c r="X202" s="77">
        <f t="shared" si="116"/>
        <v>2.3335</v>
      </c>
      <c r="Y202" s="77"/>
      <c r="Z202" s="77"/>
      <c r="AA202" s="77">
        <f t="shared" si="113"/>
        <v>2.3335</v>
      </c>
      <c r="AB202" s="87">
        <v>7.26</v>
      </c>
      <c r="AC202" s="74">
        <f t="shared" si="111"/>
        <v>16.94121</v>
      </c>
      <c r="AD202" s="74">
        <f t="shared" si="110"/>
        <v>145.604770606061</v>
      </c>
      <c r="AE202" s="74">
        <f t="shared" si="109"/>
        <v>23.3952293939394</v>
      </c>
    </row>
    <row r="203" customFormat="1" spans="1:31">
      <c r="A203" s="18"/>
      <c r="B203" s="19"/>
      <c r="C203" s="20">
        <v>240705000031</v>
      </c>
      <c r="D203" s="21">
        <v>45482</v>
      </c>
      <c r="E203" s="21" t="s">
        <v>58</v>
      </c>
      <c r="F203" s="19" t="s">
        <v>59</v>
      </c>
      <c r="G203" s="19" t="s">
        <v>76</v>
      </c>
      <c r="H203" s="19">
        <v>0.38</v>
      </c>
      <c r="I203" s="45"/>
      <c r="J203" s="48">
        <v>14062.4</v>
      </c>
      <c r="K203" s="43"/>
      <c r="L203" s="49">
        <f t="shared" si="123"/>
        <v>1598</v>
      </c>
      <c r="M203" s="50">
        <v>8.8</v>
      </c>
      <c r="N203" s="44">
        <v>7.26</v>
      </c>
      <c r="O203" s="45">
        <f t="shared" si="124"/>
        <v>63.888</v>
      </c>
      <c r="P203" s="51"/>
      <c r="Q203" s="51"/>
      <c r="R203" s="74">
        <f t="shared" si="114"/>
        <v>16.6313333333333</v>
      </c>
      <c r="S203" s="74"/>
      <c r="T203" s="75">
        <f t="shared" si="115"/>
        <v>0.0375278787878788</v>
      </c>
      <c r="U203" s="74"/>
      <c r="V203" s="74"/>
      <c r="W203" s="76">
        <f t="shared" si="112"/>
        <v>16.6688612121212</v>
      </c>
      <c r="X203" s="77">
        <f t="shared" si="116"/>
        <v>0.354692</v>
      </c>
      <c r="Y203" s="77"/>
      <c r="Z203" s="77"/>
      <c r="AA203" s="77">
        <f t="shared" si="113"/>
        <v>0.354692</v>
      </c>
      <c r="AB203" s="87">
        <v>7.26</v>
      </c>
      <c r="AC203" s="74">
        <f t="shared" si="111"/>
        <v>2.57506392</v>
      </c>
      <c r="AD203" s="74">
        <f t="shared" si="110"/>
        <v>19.2439251321212</v>
      </c>
      <c r="AE203" s="74">
        <f t="shared" si="109"/>
        <v>44.6440748678788</v>
      </c>
    </row>
    <row r="204" customFormat="1" spans="1:31">
      <c r="A204" s="18"/>
      <c r="B204" s="19"/>
      <c r="C204" s="20">
        <v>240705000032</v>
      </c>
      <c r="D204" s="21">
        <v>45482</v>
      </c>
      <c r="E204" s="21" t="s">
        <v>58</v>
      </c>
      <c r="F204" s="19" t="s">
        <v>59</v>
      </c>
      <c r="G204" s="19" t="s">
        <v>120</v>
      </c>
      <c r="H204" s="19">
        <v>3</v>
      </c>
      <c r="I204" s="41">
        <v>183</v>
      </c>
      <c r="J204" s="42"/>
      <c r="K204" s="43"/>
      <c r="L204" s="19"/>
      <c r="M204" s="43"/>
      <c r="N204" s="44"/>
      <c r="O204" s="45">
        <f t="shared" si="125"/>
        <v>183</v>
      </c>
      <c r="P204" s="51"/>
      <c r="Q204" s="51"/>
      <c r="R204" s="74">
        <f t="shared" si="114"/>
        <v>131.3</v>
      </c>
      <c r="S204" s="74"/>
      <c r="T204" s="75">
        <f t="shared" si="115"/>
        <v>0.296272727272727</v>
      </c>
      <c r="U204" s="74"/>
      <c r="V204" s="74"/>
      <c r="W204" s="76">
        <f t="shared" si="112"/>
        <v>131.596272727273</v>
      </c>
      <c r="X204" s="77">
        <f t="shared" si="116"/>
        <v>2.8002</v>
      </c>
      <c r="Y204" s="77"/>
      <c r="Z204" s="77"/>
      <c r="AA204" s="77">
        <f t="shared" si="113"/>
        <v>2.8002</v>
      </c>
      <c r="AB204" s="87">
        <v>7.26</v>
      </c>
      <c r="AC204" s="74">
        <f t="shared" si="111"/>
        <v>20.329452</v>
      </c>
      <c r="AD204" s="74">
        <f t="shared" si="110"/>
        <v>151.925724727273</v>
      </c>
      <c r="AE204" s="74">
        <f t="shared" ref="AE204:AE219" si="126">SUM(O204-AD204)</f>
        <v>31.074275272727</v>
      </c>
    </row>
    <row r="205" customFormat="1" spans="1:31">
      <c r="A205" s="18"/>
      <c r="B205" s="19"/>
      <c r="C205" s="20">
        <v>240705000038</v>
      </c>
      <c r="D205" s="21">
        <v>45482</v>
      </c>
      <c r="E205" s="21" t="s">
        <v>40</v>
      </c>
      <c r="F205" s="19" t="s">
        <v>41</v>
      </c>
      <c r="G205" s="19" t="s">
        <v>119</v>
      </c>
      <c r="H205" s="19">
        <v>106.5</v>
      </c>
      <c r="I205" s="47"/>
      <c r="J205" s="48">
        <v>1601602</v>
      </c>
      <c r="K205" s="43"/>
      <c r="L205" s="49">
        <f t="shared" si="123"/>
        <v>1648.02691828818</v>
      </c>
      <c r="M205" s="50">
        <v>971.83</v>
      </c>
      <c r="N205" s="44">
        <v>7.26</v>
      </c>
      <c r="O205" s="45">
        <f t="shared" si="124"/>
        <v>7055.4858</v>
      </c>
      <c r="P205" s="52"/>
      <c r="Q205" s="52"/>
      <c r="R205" s="74">
        <f t="shared" si="114"/>
        <v>4661.15</v>
      </c>
      <c r="S205" s="74"/>
      <c r="T205" s="75">
        <f t="shared" si="115"/>
        <v>10.5176818181818</v>
      </c>
      <c r="U205" s="74">
        <v>40</v>
      </c>
      <c r="V205" s="74"/>
      <c r="W205" s="76">
        <f t="shared" ref="W205:W219" si="127">SUM(R205:V205)</f>
        <v>4711.66768181818</v>
      </c>
      <c r="X205" s="77">
        <f t="shared" si="116"/>
        <v>99.4071</v>
      </c>
      <c r="Y205" s="77"/>
      <c r="Z205" s="77"/>
      <c r="AA205" s="77">
        <f t="shared" ref="AA205:AA219" si="128">SUM(X205:Z205)</f>
        <v>99.4071</v>
      </c>
      <c r="AB205" s="87">
        <v>7.26</v>
      </c>
      <c r="AC205" s="74">
        <f t="shared" ref="AC205:AC219" si="129">SUM(AA205*AB205)</f>
        <v>721.695546</v>
      </c>
      <c r="AD205" s="74">
        <f t="shared" ref="AD205:AD219" si="130">SUM(W205+AC205)</f>
        <v>5433.36322781818</v>
      </c>
      <c r="AE205" s="74">
        <f t="shared" si="126"/>
        <v>1622.12257218182</v>
      </c>
    </row>
    <row r="206" customFormat="1" spans="1:31">
      <c r="A206" s="18" t="s">
        <v>221</v>
      </c>
      <c r="B206" s="19" t="s">
        <v>222</v>
      </c>
      <c r="C206" s="20">
        <v>240704000019</v>
      </c>
      <c r="D206" s="21">
        <v>45483</v>
      </c>
      <c r="E206" s="21" t="s">
        <v>40</v>
      </c>
      <c r="F206" s="19" t="s">
        <v>41</v>
      </c>
      <c r="G206" s="19" t="s">
        <v>88</v>
      </c>
      <c r="H206" s="19">
        <v>1.5</v>
      </c>
      <c r="I206" s="41">
        <v>172.5</v>
      </c>
      <c r="J206" s="42"/>
      <c r="K206" s="43"/>
      <c r="L206" s="19"/>
      <c r="M206" s="43"/>
      <c r="N206" s="44"/>
      <c r="O206" s="45">
        <f t="shared" ref="O206:O214" si="131">SUM(I206)</f>
        <v>172.5</v>
      </c>
      <c r="P206" s="46">
        <f>SUM(O206:O219)</f>
        <v>10434.432</v>
      </c>
      <c r="Q206" s="46" t="s">
        <v>39</v>
      </c>
      <c r="R206" s="74">
        <f>SUM(5000/64)*H206</f>
        <v>117.1875</v>
      </c>
      <c r="S206" s="74"/>
      <c r="T206" s="75">
        <f>SUM(115.23/64)*H206</f>
        <v>2.700703125</v>
      </c>
      <c r="U206" s="74"/>
      <c r="V206" s="74"/>
      <c r="W206" s="76">
        <f t="shared" si="127"/>
        <v>119.888203125</v>
      </c>
      <c r="X206" s="77">
        <f>SUM(200.51/64)*H206</f>
        <v>4.699453125</v>
      </c>
      <c r="Y206" s="77"/>
      <c r="Z206" s="77"/>
      <c r="AA206" s="77">
        <f t="shared" si="128"/>
        <v>4.699453125</v>
      </c>
      <c r="AB206" s="87">
        <v>7.26</v>
      </c>
      <c r="AC206" s="74">
        <f t="shared" si="129"/>
        <v>34.1180296875</v>
      </c>
      <c r="AD206" s="74">
        <f t="shared" si="130"/>
        <v>154.0062328125</v>
      </c>
      <c r="AE206" s="74">
        <f t="shared" si="126"/>
        <v>18.4937671875</v>
      </c>
    </row>
    <row r="207" customFormat="1" spans="1:31">
      <c r="A207" s="18"/>
      <c r="B207" s="19"/>
      <c r="C207" s="20">
        <v>240704000028</v>
      </c>
      <c r="D207" s="21">
        <v>45483</v>
      </c>
      <c r="E207" s="21" t="s">
        <v>55</v>
      </c>
      <c r="F207" s="19" t="s">
        <v>56</v>
      </c>
      <c r="G207" s="19" t="s">
        <v>223</v>
      </c>
      <c r="H207" s="19">
        <v>2.5</v>
      </c>
      <c r="I207" s="41">
        <v>337.5</v>
      </c>
      <c r="J207" s="42"/>
      <c r="K207" s="43"/>
      <c r="L207" s="19"/>
      <c r="M207" s="43"/>
      <c r="N207" s="44"/>
      <c r="O207" s="45">
        <f t="shared" si="131"/>
        <v>337.5</v>
      </c>
      <c r="P207" s="51"/>
      <c r="Q207" s="51"/>
      <c r="R207" s="74">
        <f t="shared" ref="R207:R219" si="132">SUM(5000/64)*H207</f>
        <v>195.3125</v>
      </c>
      <c r="S207" s="74"/>
      <c r="T207" s="75">
        <f t="shared" ref="T207:T219" si="133">SUM(115.23/64)*H207</f>
        <v>4.501171875</v>
      </c>
      <c r="U207" s="74"/>
      <c r="V207" s="74"/>
      <c r="W207" s="76">
        <f t="shared" si="127"/>
        <v>199.813671875</v>
      </c>
      <c r="X207" s="77">
        <f t="shared" ref="X207:X219" si="134">SUM(200.51/64)*H207</f>
        <v>7.832421875</v>
      </c>
      <c r="Y207" s="77"/>
      <c r="Z207" s="77"/>
      <c r="AA207" s="77">
        <f t="shared" si="128"/>
        <v>7.832421875</v>
      </c>
      <c r="AB207" s="87">
        <v>7.26</v>
      </c>
      <c r="AC207" s="74">
        <f t="shared" si="129"/>
        <v>56.8633828125</v>
      </c>
      <c r="AD207" s="74">
        <f t="shared" si="130"/>
        <v>256.6770546875</v>
      </c>
      <c r="AE207" s="74">
        <f t="shared" si="126"/>
        <v>80.8229453125</v>
      </c>
    </row>
    <row r="208" customFormat="1" spans="1:31">
      <c r="A208" s="18"/>
      <c r="B208" s="19"/>
      <c r="C208" s="20">
        <v>240705000001</v>
      </c>
      <c r="D208" s="21">
        <v>45483</v>
      </c>
      <c r="E208" s="21" t="s">
        <v>169</v>
      </c>
      <c r="F208" s="19" t="s">
        <v>37</v>
      </c>
      <c r="G208" s="19" t="s">
        <v>170</v>
      </c>
      <c r="H208" s="19">
        <v>0.1</v>
      </c>
      <c r="I208" s="88">
        <v>125</v>
      </c>
      <c r="J208" s="42"/>
      <c r="K208" s="43"/>
      <c r="L208" s="19"/>
      <c r="M208" s="43"/>
      <c r="N208" s="44"/>
      <c r="O208" s="45">
        <f>SUBTOTAL(9,I208)</f>
        <v>125</v>
      </c>
      <c r="P208" s="51"/>
      <c r="Q208" s="51"/>
      <c r="R208" s="74">
        <f t="shared" si="132"/>
        <v>7.8125</v>
      </c>
      <c r="S208" s="74"/>
      <c r="T208" s="75">
        <f t="shared" si="133"/>
        <v>0.180046875</v>
      </c>
      <c r="U208" s="74"/>
      <c r="V208" s="74"/>
      <c r="W208" s="76">
        <f t="shared" si="127"/>
        <v>7.992546875</v>
      </c>
      <c r="X208" s="77">
        <f t="shared" si="134"/>
        <v>0.313296875</v>
      </c>
      <c r="Y208" s="77"/>
      <c r="Z208" s="77"/>
      <c r="AA208" s="77">
        <f t="shared" si="128"/>
        <v>0.313296875</v>
      </c>
      <c r="AB208" s="87">
        <v>7.26</v>
      </c>
      <c r="AC208" s="74">
        <f t="shared" si="129"/>
        <v>2.2745353125</v>
      </c>
      <c r="AD208" s="74">
        <f t="shared" si="130"/>
        <v>10.2670821875</v>
      </c>
      <c r="AE208" s="74">
        <f t="shared" si="126"/>
        <v>114.7329178125</v>
      </c>
    </row>
    <row r="209" customFormat="1" spans="1:31">
      <c r="A209" s="18"/>
      <c r="B209" s="19"/>
      <c r="C209" s="20">
        <v>240705000020</v>
      </c>
      <c r="D209" s="21">
        <v>45483</v>
      </c>
      <c r="E209" s="21" t="s">
        <v>44</v>
      </c>
      <c r="F209" s="19" t="s">
        <v>45</v>
      </c>
      <c r="G209" s="19" t="s">
        <v>224</v>
      </c>
      <c r="H209" s="19">
        <v>2</v>
      </c>
      <c r="I209" s="41">
        <v>320</v>
      </c>
      <c r="J209" s="42"/>
      <c r="K209" s="43"/>
      <c r="L209" s="19"/>
      <c r="M209" s="43"/>
      <c r="N209" s="44"/>
      <c r="O209" s="45">
        <f t="shared" si="131"/>
        <v>320</v>
      </c>
      <c r="P209" s="51"/>
      <c r="Q209" s="51"/>
      <c r="R209" s="74">
        <f t="shared" si="132"/>
        <v>156.25</v>
      </c>
      <c r="S209" s="74"/>
      <c r="T209" s="75">
        <f t="shared" si="133"/>
        <v>3.6009375</v>
      </c>
      <c r="U209" s="74"/>
      <c r="V209" s="75">
        <f>SUM(14+16)</f>
        <v>30</v>
      </c>
      <c r="W209" s="76">
        <f t="shared" si="127"/>
        <v>189.8509375</v>
      </c>
      <c r="X209" s="77">
        <f t="shared" si="134"/>
        <v>6.2659375</v>
      </c>
      <c r="Y209" s="77"/>
      <c r="Z209" s="77"/>
      <c r="AA209" s="77">
        <f t="shared" si="128"/>
        <v>6.2659375</v>
      </c>
      <c r="AB209" s="87">
        <v>7.26</v>
      </c>
      <c r="AC209" s="74">
        <f t="shared" si="129"/>
        <v>45.49070625</v>
      </c>
      <c r="AD209" s="74">
        <f t="shared" si="130"/>
        <v>235.34164375</v>
      </c>
      <c r="AE209" s="74">
        <f t="shared" si="126"/>
        <v>84.65835625</v>
      </c>
    </row>
    <row r="210" customFormat="1" spans="1:31">
      <c r="A210" s="18"/>
      <c r="B210" s="19"/>
      <c r="C210" s="20">
        <v>240705000040</v>
      </c>
      <c r="D210" s="21">
        <v>45483</v>
      </c>
      <c r="E210" s="21" t="s">
        <v>40</v>
      </c>
      <c r="F210" s="19" t="s">
        <v>41</v>
      </c>
      <c r="G210" s="19" t="s">
        <v>225</v>
      </c>
      <c r="H210" s="19">
        <v>3</v>
      </c>
      <c r="I210" s="41">
        <v>750</v>
      </c>
      <c r="J210" s="42"/>
      <c r="K210" s="43"/>
      <c r="L210" s="19"/>
      <c r="M210" s="43"/>
      <c r="N210" s="44"/>
      <c r="O210" s="45">
        <f t="shared" si="131"/>
        <v>750</v>
      </c>
      <c r="P210" s="51"/>
      <c r="Q210" s="51"/>
      <c r="R210" s="74">
        <f t="shared" si="132"/>
        <v>234.375</v>
      </c>
      <c r="S210" s="74"/>
      <c r="T210" s="75">
        <f t="shared" si="133"/>
        <v>5.40140625</v>
      </c>
      <c r="U210" s="74"/>
      <c r="V210" s="74"/>
      <c r="W210" s="76">
        <f t="shared" si="127"/>
        <v>239.77640625</v>
      </c>
      <c r="X210" s="77">
        <f t="shared" si="134"/>
        <v>9.39890625</v>
      </c>
      <c r="Y210" s="77"/>
      <c r="Z210" s="77"/>
      <c r="AA210" s="77">
        <f t="shared" si="128"/>
        <v>9.39890625</v>
      </c>
      <c r="AB210" s="87">
        <v>7.26</v>
      </c>
      <c r="AC210" s="74">
        <f t="shared" si="129"/>
        <v>68.236059375</v>
      </c>
      <c r="AD210" s="74">
        <f t="shared" si="130"/>
        <v>308.012465625</v>
      </c>
      <c r="AE210" s="74">
        <f t="shared" si="126"/>
        <v>441.987534375</v>
      </c>
    </row>
    <row r="211" customFormat="1" spans="1:31">
      <c r="A211" s="18"/>
      <c r="B211" s="19"/>
      <c r="C211" s="20">
        <v>240705000046</v>
      </c>
      <c r="D211" s="21">
        <v>45483</v>
      </c>
      <c r="E211" s="21" t="s">
        <v>47</v>
      </c>
      <c r="F211" s="19" t="s">
        <v>48</v>
      </c>
      <c r="G211" s="19" t="s">
        <v>159</v>
      </c>
      <c r="H211" s="19">
        <v>24.5</v>
      </c>
      <c r="I211" s="41">
        <v>2953</v>
      </c>
      <c r="J211" s="42"/>
      <c r="K211" s="43"/>
      <c r="L211" s="19"/>
      <c r="M211" s="43"/>
      <c r="N211" s="44"/>
      <c r="O211" s="45">
        <f t="shared" si="131"/>
        <v>2953</v>
      </c>
      <c r="P211" s="51"/>
      <c r="Q211" s="51"/>
      <c r="R211" s="74">
        <f t="shared" si="132"/>
        <v>1914.0625</v>
      </c>
      <c r="S211" s="74"/>
      <c r="T211" s="75">
        <f t="shared" si="133"/>
        <v>44.111484375</v>
      </c>
      <c r="U211" s="74"/>
      <c r="V211" s="74"/>
      <c r="W211" s="76">
        <f t="shared" si="127"/>
        <v>1958.173984375</v>
      </c>
      <c r="X211" s="77">
        <f t="shared" si="134"/>
        <v>76.757734375</v>
      </c>
      <c r="Y211" s="77"/>
      <c r="Z211" s="77"/>
      <c r="AA211" s="77">
        <f t="shared" si="128"/>
        <v>76.757734375</v>
      </c>
      <c r="AB211" s="87">
        <v>7.26</v>
      </c>
      <c r="AC211" s="74">
        <f t="shared" si="129"/>
        <v>557.2611515625</v>
      </c>
      <c r="AD211" s="74">
        <f t="shared" si="130"/>
        <v>2515.4351359375</v>
      </c>
      <c r="AE211" s="74">
        <f t="shared" si="126"/>
        <v>437.5648640625</v>
      </c>
    </row>
    <row r="212" customFormat="1" spans="1:31">
      <c r="A212" s="18"/>
      <c r="B212" s="19"/>
      <c r="C212" s="20">
        <v>240706000006</v>
      </c>
      <c r="D212" s="21">
        <v>45483</v>
      </c>
      <c r="E212" s="21" t="s">
        <v>47</v>
      </c>
      <c r="F212" s="19" t="s">
        <v>48</v>
      </c>
      <c r="G212" s="19" t="s">
        <v>50</v>
      </c>
      <c r="H212" s="19">
        <v>3</v>
      </c>
      <c r="I212" s="41">
        <v>360</v>
      </c>
      <c r="J212" s="42"/>
      <c r="K212" s="43"/>
      <c r="L212" s="19"/>
      <c r="M212" s="43"/>
      <c r="N212" s="44"/>
      <c r="O212" s="45">
        <f t="shared" si="131"/>
        <v>360</v>
      </c>
      <c r="P212" s="51"/>
      <c r="Q212" s="51"/>
      <c r="R212" s="74">
        <f t="shared" si="132"/>
        <v>234.375</v>
      </c>
      <c r="S212" s="74"/>
      <c r="T212" s="75">
        <f t="shared" si="133"/>
        <v>5.40140625</v>
      </c>
      <c r="U212" s="74"/>
      <c r="V212" s="74"/>
      <c r="W212" s="76">
        <f t="shared" si="127"/>
        <v>239.77640625</v>
      </c>
      <c r="X212" s="77">
        <f t="shared" si="134"/>
        <v>9.39890625</v>
      </c>
      <c r="Y212" s="77"/>
      <c r="Z212" s="77"/>
      <c r="AA212" s="77">
        <f t="shared" si="128"/>
        <v>9.39890625</v>
      </c>
      <c r="AB212" s="87">
        <v>7.26</v>
      </c>
      <c r="AC212" s="74">
        <f t="shared" si="129"/>
        <v>68.236059375</v>
      </c>
      <c r="AD212" s="74">
        <f t="shared" si="130"/>
        <v>308.012465625</v>
      </c>
      <c r="AE212" s="74">
        <f t="shared" si="126"/>
        <v>51.987534375</v>
      </c>
    </row>
    <row r="213" customFormat="1" spans="1:31">
      <c r="A213" s="18"/>
      <c r="B213" s="19"/>
      <c r="C213" s="20">
        <v>240707000001</v>
      </c>
      <c r="D213" s="21">
        <v>45483</v>
      </c>
      <c r="E213" s="21" t="s">
        <v>44</v>
      </c>
      <c r="F213" s="19" t="s">
        <v>226</v>
      </c>
      <c r="G213" s="19" t="s">
        <v>226</v>
      </c>
      <c r="H213" s="19">
        <v>0.33</v>
      </c>
      <c r="I213" s="41">
        <v>115</v>
      </c>
      <c r="J213" s="42"/>
      <c r="K213" s="43"/>
      <c r="L213" s="19"/>
      <c r="M213" s="43"/>
      <c r="N213" s="44"/>
      <c r="O213" s="45">
        <f t="shared" si="131"/>
        <v>115</v>
      </c>
      <c r="P213" s="51"/>
      <c r="Q213" s="51"/>
      <c r="R213" s="74">
        <f t="shared" si="132"/>
        <v>25.78125</v>
      </c>
      <c r="S213" s="74"/>
      <c r="T213" s="75">
        <f t="shared" si="133"/>
        <v>0.5941546875</v>
      </c>
      <c r="U213" s="74"/>
      <c r="V213" s="74"/>
      <c r="W213" s="76">
        <f t="shared" si="127"/>
        <v>26.3754046875</v>
      </c>
      <c r="X213" s="77">
        <f t="shared" si="134"/>
        <v>1.0338796875</v>
      </c>
      <c r="Y213" s="77"/>
      <c r="Z213" s="77"/>
      <c r="AA213" s="77">
        <f t="shared" si="128"/>
        <v>1.0338796875</v>
      </c>
      <c r="AB213" s="87">
        <v>7.26</v>
      </c>
      <c r="AC213" s="74">
        <f t="shared" si="129"/>
        <v>7.50596653125</v>
      </c>
      <c r="AD213" s="74">
        <f t="shared" si="130"/>
        <v>33.88137121875</v>
      </c>
      <c r="AE213" s="74">
        <f t="shared" si="126"/>
        <v>81.11862878125</v>
      </c>
    </row>
    <row r="214" customFormat="1" spans="1:31">
      <c r="A214" s="18"/>
      <c r="B214" s="19"/>
      <c r="C214" s="20">
        <v>240708000004</v>
      </c>
      <c r="D214" s="21">
        <v>45483</v>
      </c>
      <c r="E214" s="21" t="s">
        <v>58</v>
      </c>
      <c r="F214" s="19" t="s">
        <v>59</v>
      </c>
      <c r="G214" s="19" t="s">
        <v>65</v>
      </c>
      <c r="H214" s="19">
        <v>8.5</v>
      </c>
      <c r="I214" s="41">
        <v>1020</v>
      </c>
      <c r="J214" s="42"/>
      <c r="K214" s="43"/>
      <c r="L214" s="19"/>
      <c r="M214" s="43"/>
      <c r="N214" s="44"/>
      <c r="O214" s="45">
        <f t="shared" si="131"/>
        <v>1020</v>
      </c>
      <c r="P214" s="51"/>
      <c r="Q214" s="51"/>
      <c r="R214" s="74">
        <f t="shared" si="132"/>
        <v>664.0625</v>
      </c>
      <c r="S214" s="74"/>
      <c r="T214" s="75">
        <f t="shared" si="133"/>
        <v>15.303984375</v>
      </c>
      <c r="U214" s="74"/>
      <c r="V214" s="74"/>
      <c r="W214" s="76">
        <f t="shared" si="127"/>
        <v>679.366484375</v>
      </c>
      <c r="X214" s="77">
        <f t="shared" si="134"/>
        <v>26.630234375</v>
      </c>
      <c r="Y214" s="77"/>
      <c r="Z214" s="77"/>
      <c r="AA214" s="77">
        <f t="shared" si="128"/>
        <v>26.630234375</v>
      </c>
      <c r="AB214" s="87">
        <v>7.26</v>
      </c>
      <c r="AC214" s="74">
        <f t="shared" si="129"/>
        <v>193.3355015625</v>
      </c>
      <c r="AD214" s="74">
        <f t="shared" si="130"/>
        <v>872.7019859375</v>
      </c>
      <c r="AE214" s="74">
        <f t="shared" si="126"/>
        <v>147.2980140625</v>
      </c>
    </row>
    <row r="215" customFormat="1" spans="1:31">
      <c r="A215" s="18"/>
      <c r="B215" s="19"/>
      <c r="C215" s="20">
        <v>240708000042</v>
      </c>
      <c r="D215" s="21">
        <v>45483</v>
      </c>
      <c r="E215" s="21" t="s">
        <v>44</v>
      </c>
      <c r="F215" s="19" t="s">
        <v>51</v>
      </c>
      <c r="G215" s="19" t="s">
        <v>52</v>
      </c>
      <c r="H215" s="19">
        <v>0.74</v>
      </c>
      <c r="I215" s="45"/>
      <c r="J215" s="48">
        <v>25300</v>
      </c>
      <c r="K215" s="43"/>
      <c r="L215" s="49">
        <f t="shared" ref="L215:L217" si="135">SUM(J215/M215)</f>
        <v>1584.22041327489</v>
      </c>
      <c r="M215" s="50">
        <v>15.97</v>
      </c>
      <c r="N215" s="44">
        <v>7.26</v>
      </c>
      <c r="O215" s="45">
        <f t="shared" ref="O215:O217" si="136">SUM(M215*N215)</f>
        <v>115.9422</v>
      </c>
      <c r="P215" s="51"/>
      <c r="Q215" s="51"/>
      <c r="R215" s="74">
        <f t="shared" si="132"/>
        <v>57.8125</v>
      </c>
      <c r="S215" s="74"/>
      <c r="T215" s="75">
        <f t="shared" si="133"/>
        <v>1.332346875</v>
      </c>
      <c r="U215" s="74"/>
      <c r="V215" s="74"/>
      <c r="W215" s="76">
        <f t="shared" si="127"/>
        <v>59.144846875</v>
      </c>
      <c r="X215" s="77">
        <f t="shared" si="134"/>
        <v>2.318396875</v>
      </c>
      <c r="Y215" s="77"/>
      <c r="Z215" s="77"/>
      <c r="AA215" s="77">
        <f t="shared" si="128"/>
        <v>2.318396875</v>
      </c>
      <c r="AB215" s="87">
        <v>7.26</v>
      </c>
      <c r="AC215" s="74">
        <f t="shared" si="129"/>
        <v>16.8315613125</v>
      </c>
      <c r="AD215" s="74">
        <f t="shared" si="130"/>
        <v>75.9764081875</v>
      </c>
      <c r="AE215" s="74">
        <f t="shared" si="126"/>
        <v>39.9657918125</v>
      </c>
    </row>
    <row r="216" customFormat="1" spans="1:31">
      <c r="A216" s="18"/>
      <c r="B216" s="19"/>
      <c r="C216" s="20">
        <v>240708000043</v>
      </c>
      <c r="D216" s="21">
        <v>45483</v>
      </c>
      <c r="E216" s="21" t="s">
        <v>44</v>
      </c>
      <c r="F216" s="19" t="s">
        <v>51</v>
      </c>
      <c r="G216" s="19" t="s">
        <v>52</v>
      </c>
      <c r="H216" s="19">
        <v>0.63</v>
      </c>
      <c r="I216" s="45"/>
      <c r="J216" s="48">
        <v>25300</v>
      </c>
      <c r="K216" s="43"/>
      <c r="L216" s="49">
        <f t="shared" si="135"/>
        <v>1584.22041327489</v>
      </c>
      <c r="M216" s="50">
        <v>15.97</v>
      </c>
      <c r="N216" s="44">
        <v>7.26</v>
      </c>
      <c r="O216" s="45">
        <f t="shared" si="136"/>
        <v>115.9422</v>
      </c>
      <c r="P216" s="51"/>
      <c r="Q216" s="51"/>
      <c r="R216" s="74">
        <f t="shared" si="132"/>
        <v>49.21875</v>
      </c>
      <c r="S216" s="74"/>
      <c r="T216" s="75">
        <f t="shared" si="133"/>
        <v>1.1342953125</v>
      </c>
      <c r="U216" s="74"/>
      <c r="V216" s="74"/>
      <c r="W216" s="76">
        <f t="shared" si="127"/>
        <v>50.3530453125</v>
      </c>
      <c r="X216" s="77">
        <f t="shared" si="134"/>
        <v>1.9737703125</v>
      </c>
      <c r="Y216" s="77"/>
      <c r="Z216" s="77"/>
      <c r="AA216" s="77">
        <f t="shared" si="128"/>
        <v>1.9737703125</v>
      </c>
      <c r="AB216" s="87">
        <v>7.26</v>
      </c>
      <c r="AC216" s="74">
        <f t="shared" si="129"/>
        <v>14.32957246875</v>
      </c>
      <c r="AD216" s="74">
        <f t="shared" si="130"/>
        <v>64.68261778125</v>
      </c>
      <c r="AE216" s="74">
        <f t="shared" si="126"/>
        <v>51.25958221875</v>
      </c>
    </row>
    <row r="217" customFormat="1" spans="1:31">
      <c r="A217" s="18"/>
      <c r="B217" s="19"/>
      <c r="C217" s="20">
        <v>240708000045</v>
      </c>
      <c r="D217" s="21">
        <v>45483</v>
      </c>
      <c r="E217" s="21" t="s">
        <v>40</v>
      </c>
      <c r="F217" s="19" t="s">
        <v>41</v>
      </c>
      <c r="G217" s="19" t="s">
        <v>227</v>
      </c>
      <c r="H217" s="19">
        <v>23</v>
      </c>
      <c r="I217" s="47"/>
      <c r="J217" s="48">
        <v>586990</v>
      </c>
      <c r="K217" s="43"/>
      <c r="L217" s="49">
        <f t="shared" si="135"/>
        <v>1538.47565130786</v>
      </c>
      <c r="M217" s="50">
        <v>381.54</v>
      </c>
      <c r="N217" s="44">
        <v>7.26</v>
      </c>
      <c r="O217" s="45">
        <f t="shared" si="136"/>
        <v>2769.9804</v>
      </c>
      <c r="P217" s="51"/>
      <c r="Q217" s="51"/>
      <c r="R217" s="74">
        <f t="shared" si="132"/>
        <v>1796.875</v>
      </c>
      <c r="S217" s="74"/>
      <c r="T217" s="75">
        <f t="shared" si="133"/>
        <v>41.41078125</v>
      </c>
      <c r="U217" s="74"/>
      <c r="V217" s="74"/>
      <c r="W217" s="76">
        <f t="shared" si="127"/>
        <v>1838.28578125</v>
      </c>
      <c r="X217" s="77">
        <f t="shared" si="134"/>
        <v>72.05828125</v>
      </c>
      <c r="Y217" s="77">
        <v>17.21</v>
      </c>
      <c r="Z217" s="77"/>
      <c r="AA217" s="77">
        <f t="shared" si="128"/>
        <v>89.26828125</v>
      </c>
      <c r="AB217" s="87">
        <v>7.26</v>
      </c>
      <c r="AC217" s="74">
        <f t="shared" ref="AC217:AC226" si="137">SUM(AA217*AB217)</f>
        <v>648.087721875</v>
      </c>
      <c r="AD217" s="74">
        <f t="shared" ref="AD217:AD226" si="138">SUM(W217+AC217)</f>
        <v>2486.373503125</v>
      </c>
      <c r="AE217" s="74">
        <f t="shared" si="126"/>
        <v>283.606896875</v>
      </c>
    </row>
    <row r="218" customFormat="1" spans="1:31">
      <c r="A218" s="18"/>
      <c r="B218" s="19"/>
      <c r="C218" s="20">
        <v>240709000003</v>
      </c>
      <c r="D218" s="21">
        <v>45483</v>
      </c>
      <c r="E218" s="21" t="s">
        <v>37</v>
      </c>
      <c r="F218" s="19" t="s">
        <v>228</v>
      </c>
      <c r="G218" s="19" t="s">
        <v>229</v>
      </c>
      <c r="H218" s="19">
        <v>0.21</v>
      </c>
      <c r="I218" s="41">
        <v>120</v>
      </c>
      <c r="J218" s="42"/>
      <c r="K218" s="43"/>
      <c r="L218" s="19"/>
      <c r="M218" s="43"/>
      <c r="N218" s="44"/>
      <c r="O218" s="45">
        <f t="shared" ref="O218:O228" si="139">SUM(I218)</f>
        <v>120</v>
      </c>
      <c r="P218" s="51"/>
      <c r="Q218" s="51"/>
      <c r="R218" s="74">
        <f t="shared" si="132"/>
        <v>16.40625</v>
      </c>
      <c r="S218" s="74"/>
      <c r="T218" s="75">
        <f t="shared" si="133"/>
        <v>0.3780984375</v>
      </c>
      <c r="U218" s="74"/>
      <c r="V218" s="74"/>
      <c r="W218" s="76">
        <f t="shared" si="127"/>
        <v>16.7843484375</v>
      </c>
      <c r="X218" s="77">
        <f t="shared" si="134"/>
        <v>0.6579234375</v>
      </c>
      <c r="Y218" s="77"/>
      <c r="Z218" s="77"/>
      <c r="AA218" s="77">
        <f t="shared" ref="AA218:AA226" si="140">SUM(X218:Z218)</f>
        <v>0.6579234375</v>
      </c>
      <c r="AB218" s="87">
        <v>7.26</v>
      </c>
      <c r="AC218" s="74">
        <f t="shared" si="137"/>
        <v>4.77652415625</v>
      </c>
      <c r="AD218" s="74">
        <f t="shared" si="138"/>
        <v>21.56087259375</v>
      </c>
      <c r="AE218" s="74">
        <f t="shared" ref="AE218:AE226" si="141">SUM(O218-AD218)</f>
        <v>98.43912740625</v>
      </c>
    </row>
    <row r="219" customFormat="1" spans="1:31">
      <c r="A219" s="18"/>
      <c r="B219" s="19"/>
      <c r="C219" s="20">
        <v>240709000005</v>
      </c>
      <c r="D219" s="21">
        <v>45483</v>
      </c>
      <c r="E219" s="21" t="s">
        <v>37</v>
      </c>
      <c r="F219" s="19" t="s">
        <v>53</v>
      </c>
      <c r="G219" s="19" t="s">
        <v>115</v>
      </c>
      <c r="H219" s="19">
        <v>10</v>
      </c>
      <c r="I219" s="45"/>
      <c r="J219" s="48">
        <v>252997</v>
      </c>
      <c r="K219" s="43"/>
      <c r="L219" s="49">
        <f>SUM(J219/M219)</f>
        <v>1584.00325569747</v>
      </c>
      <c r="M219" s="50">
        <v>159.72</v>
      </c>
      <c r="N219" s="44">
        <v>7.26</v>
      </c>
      <c r="O219" s="45">
        <f>SUM(M219*N219)</f>
        <v>1159.5672</v>
      </c>
      <c r="P219" s="52"/>
      <c r="Q219" s="52"/>
      <c r="R219" s="74">
        <f t="shared" si="132"/>
        <v>781.25</v>
      </c>
      <c r="S219" s="74"/>
      <c r="T219" s="75">
        <f t="shared" si="133"/>
        <v>18.0046875</v>
      </c>
      <c r="U219" s="74"/>
      <c r="V219" s="74"/>
      <c r="W219" s="76">
        <f t="shared" si="127"/>
        <v>799.2546875</v>
      </c>
      <c r="X219" s="77">
        <f t="shared" si="134"/>
        <v>31.3296875</v>
      </c>
      <c r="Y219" s="77"/>
      <c r="Z219" s="77"/>
      <c r="AA219" s="77">
        <f t="shared" si="140"/>
        <v>31.3296875</v>
      </c>
      <c r="AB219" s="87">
        <v>7.26</v>
      </c>
      <c r="AC219" s="74">
        <f t="shared" si="137"/>
        <v>227.45353125</v>
      </c>
      <c r="AD219" s="74">
        <f t="shared" si="138"/>
        <v>1026.70821875</v>
      </c>
      <c r="AE219" s="74">
        <f t="shared" si="141"/>
        <v>132.85898125</v>
      </c>
    </row>
    <row r="220" customFormat="1" spans="1:31">
      <c r="A220" s="18" t="s">
        <v>230</v>
      </c>
      <c r="B220" s="19" t="s">
        <v>231</v>
      </c>
      <c r="C220" s="20">
        <v>240705000022</v>
      </c>
      <c r="D220" s="21">
        <v>45484</v>
      </c>
      <c r="E220" s="21" t="s">
        <v>58</v>
      </c>
      <c r="F220" s="19" t="s">
        <v>59</v>
      </c>
      <c r="G220" s="19" t="s">
        <v>232</v>
      </c>
      <c r="H220" s="19">
        <v>3</v>
      </c>
      <c r="I220" s="41">
        <v>345</v>
      </c>
      <c r="J220" s="89"/>
      <c r="K220" s="43"/>
      <c r="L220" s="45"/>
      <c r="M220" s="43"/>
      <c r="N220" s="44"/>
      <c r="O220" s="45">
        <f t="shared" si="139"/>
        <v>345</v>
      </c>
      <c r="P220" s="46">
        <f>SUM(O220:O226)</f>
        <v>3149</v>
      </c>
      <c r="Q220" s="46" t="s">
        <v>39</v>
      </c>
      <c r="R220" s="74">
        <f>SUM(2500/32)*H220</f>
        <v>234.375</v>
      </c>
      <c r="S220" s="74"/>
      <c r="T220" s="75">
        <f>SUM(54.99/32)*H220</f>
        <v>5.1553125</v>
      </c>
      <c r="U220" s="74"/>
      <c r="V220" s="74"/>
      <c r="W220" s="76">
        <f t="shared" ref="W220:W226" si="142">SUM(R220:V220)</f>
        <v>239.5303125</v>
      </c>
      <c r="X220" s="77">
        <f>SUM(63.72/32)*H220</f>
        <v>5.97375</v>
      </c>
      <c r="Y220" s="77"/>
      <c r="Z220" s="77"/>
      <c r="AA220" s="77">
        <f t="shared" si="140"/>
        <v>5.97375</v>
      </c>
      <c r="AB220" s="87">
        <v>7.26</v>
      </c>
      <c r="AC220" s="74">
        <f t="shared" si="137"/>
        <v>43.369425</v>
      </c>
      <c r="AD220" s="74">
        <f t="shared" si="138"/>
        <v>282.8997375</v>
      </c>
      <c r="AE220" s="74">
        <f t="shared" si="141"/>
        <v>62.1002625</v>
      </c>
    </row>
    <row r="221" customFormat="1" spans="1:31">
      <c r="A221" s="18"/>
      <c r="B221" s="19"/>
      <c r="C221" s="20">
        <v>240706000011</v>
      </c>
      <c r="D221" s="21">
        <v>45484</v>
      </c>
      <c r="E221" s="21" t="s">
        <v>47</v>
      </c>
      <c r="F221" s="19" t="s">
        <v>48</v>
      </c>
      <c r="G221" s="19" t="s">
        <v>233</v>
      </c>
      <c r="H221" s="19">
        <v>4.5</v>
      </c>
      <c r="I221" s="41">
        <v>584</v>
      </c>
      <c r="J221" s="89"/>
      <c r="K221" s="43"/>
      <c r="L221" s="45"/>
      <c r="M221" s="43"/>
      <c r="N221" s="44"/>
      <c r="O221" s="45">
        <f t="shared" si="139"/>
        <v>584</v>
      </c>
      <c r="P221" s="51"/>
      <c r="Q221" s="51"/>
      <c r="R221" s="74">
        <f t="shared" ref="R221:R226" si="143">SUM(2500/32)*H221</f>
        <v>351.5625</v>
      </c>
      <c r="S221" s="74"/>
      <c r="T221" s="75">
        <f t="shared" ref="T221:T226" si="144">SUM(54.99/32)*H221</f>
        <v>7.73296875</v>
      </c>
      <c r="U221" s="74"/>
      <c r="V221" s="74">
        <v>67</v>
      </c>
      <c r="W221" s="76">
        <f t="shared" si="142"/>
        <v>426.29546875</v>
      </c>
      <c r="X221" s="77">
        <f t="shared" ref="X221:X226" si="145">SUM(63.72/32)*H221</f>
        <v>8.960625</v>
      </c>
      <c r="Y221" s="77"/>
      <c r="Z221" s="77"/>
      <c r="AA221" s="77">
        <f t="shared" si="140"/>
        <v>8.960625</v>
      </c>
      <c r="AB221" s="87">
        <v>7.26</v>
      </c>
      <c r="AC221" s="74">
        <f t="shared" si="137"/>
        <v>65.0541375</v>
      </c>
      <c r="AD221" s="74">
        <f t="shared" si="138"/>
        <v>491.34960625</v>
      </c>
      <c r="AE221" s="74">
        <f t="shared" si="141"/>
        <v>92.65039375</v>
      </c>
    </row>
    <row r="222" customFormat="1" spans="1:31">
      <c r="A222" s="18"/>
      <c r="B222" s="19"/>
      <c r="C222" s="20">
        <v>240708000008</v>
      </c>
      <c r="D222" s="21">
        <v>45484</v>
      </c>
      <c r="E222" s="21" t="s">
        <v>58</v>
      </c>
      <c r="F222" s="19" t="s">
        <v>59</v>
      </c>
      <c r="G222" s="19" t="s">
        <v>60</v>
      </c>
      <c r="H222" s="19">
        <v>3</v>
      </c>
      <c r="I222" s="41">
        <v>360</v>
      </c>
      <c r="J222" s="89"/>
      <c r="K222" s="43"/>
      <c r="L222" s="45"/>
      <c r="M222" s="43"/>
      <c r="N222" s="44"/>
      <c r="O222" s="45">
        <f t="shared" si="139"/>
        <v>360</v>
      </c>
      <c r="P222" s="51"/>
      <c r="Q222" s="51"/>
      <c r="R222" s="74">
        <f t="shared" si="143"/>
        <v>234.375</v>
      </c>
      <c r="S222" s="74"/>
      <c r="T222" s="75">
        <f t="shared" si="144"/>
        <v>5.1553125</v>
      </c>
      <c r="U222" s="74"/>
      <c r="V222" s="74"/>
      <c r="W222" s="76">
        <f t="shared" si="142"/>
        <v>239.5303125</v>
      </c>
      <c r="X222" s="77">
        <f t="shared" si="145"/>
        <v>5.97375</v>
      </c>
      <c r="Y222" s="77"/>
      <c r="Z222" s="77"/>
      <c r="AA222" s="77">
        <f t="shared" si="140"/>
        <v>5.97375</v>
      </c>
      <c r="AB222" s="87">
        <v>7.26</v>
      </c>
      <c r="AC222" s="74">
        <f t="shared" si="137"/>
        <v>43.369425</v>
      </c>
      <c r="AD222" s="74">
        <f t="shared" si="138"/>
        <v>282.8997375</v>
      </c>
      <c r="AE222" s="74">
        <f t="shared" si="141"/>
        <v>77.1002625</v>
      </c>
    </row>
    <row r="223" customFormat="1" spans="1:31">
      <c r="A223" s="18"/>
      <c r="B223" s="19"/>
      <c r="C223" s="20">
        <v>240709000001</v>
      </c>
      <c r="D223" s="21">
        <v>45484</v>
      </c>
      <c r="E223" s="21" t="s">
        <v>37</v>
      </c>
      <c r="F223" s="19" t="s">
        <v>228</v>
      </c>
      <c r="G223" s="19" t="s">
        <v>229</v>
      </c>
      <c r="H223" s="19">
        <v>8</v>
      </c>
      <c r="I223" s="41">
        <v>1200</v>
      </c>
      <c r="J223" s="89"/>
      <c r="K223" s="43"/>
      <c r="L223" s="45"/>
      <c r="M223" s="43"/>
      <c r="N223" s="44"/>
      <c r="O223" s="45">
        <f t="shared" si="139"/>
        <v>1200</v>
      </c>
      <c r="P223" s="51"/>
      <c r="Q223" s="51"/>
      <c r="R223" s="74">
        <f t="shared" si="143"/>
        <v>625</v>
      </c>
      <c r="S223" s="74"/>
      <c r="T223" s="75">
        <f t="shared" si="144"/>
        <v>13.7475</v>
      </c>
      <c r="U223" s="74"/>
      <c r="V223" s="74"/>
      <c r="W223" s="76">
        <f t="shared" si="142"/>
        <v>638.7475</v>
      </c>
      <c r="X223" s="77">
        <f t="shared" si="145"/>
        <v>15.93</v>
      </c>
      <c r="Y223" s="77"/>
      <c r="Z223" s="77"/>
      <c r="AA223" s="77">
        <f t="shared" si="140"/>
        <v>15.93</v>
      </c>
      <c r="AB223" s="87">
        <v>7.26</v>
      </c>
      <c r="AC223" s="74">
        <f t="shared" si="137"/>
        <v>115.6518</v>
      </c>
      <c r="AD223" s="74">
        <f t="shared" si="138"/>
        <v>754.3993</v>
      </c>
      <c r="AE223" s="74">
        <f t="shared" si="141"/>
        <v>445.6007</v>
      </c>
    </row>
    <row r="224" customFormat="1" spans="1:31">
      <c r="A224" s="18"/>
      <c r="B224" s="19"/>
      <c r="C224" s="20">
        <v>240709000002</v>
      </c>
      <c r="D224" s="21">
        <v>45484</v>
      </c>
      <c r="E224" s="21" t="s">
        <v>37</v>
      </c>
      <c r="F224" s="19" t="s">
        <v>228</v>
      </c>
      <c r="G224" s="19" t="s">
        <v>229</v>
      </c>
      <c r="H224" s="19">
        <v>0.71</v>
      </c>
      <c r="I224" s="41">
        <v>120</v>
      </c>
      <c r="J224" s="89"/>
      <c r="K224" s="43"/>
      <c r="L224" s="45"/>
      <c r="M224" s="43"/>
      <c r="N224" s="44"/>
      <c r="O224" s="45">
        <f t="shared" si="139"/>
        <v>120</v>
      </c>
      <c r="P224" s="51"/>
      <c r="Q224" s="51"/>
      <c r="R224" s="74">
        <f t="shared" si="143"/>
        <v>55.46875</v>
      </c>
      <c r="S224" s="74"/>
      <c r="T224" s="75">
        <f t="shared" si="144"/>
        <v>1.220090625</v>
      </c>
      <c r="U224" s="74"/>
      <c r="V224" s="74"/>
      <c r="W224" s="76">
        <f t="shared" si="142"/>
        <v>56.688840625</v>
      </c>
      <c r="X224" s="77">
        <f t="shared" si="145"/>
        <v>1.4137875</v>
      </c>
      <c r="Y224" s="77"/>
      <c r="Z224" s="77"/>
      <c r="AA224" s="77">
        <f t="shared" si="140"/>
        <v>1.4137875</v>
      </c>
      <c r="AB224" s="87">
        <v>7.26</v>
      </c>
      <c r="AC224" s="74">
        <f t="shared" si="137"/>
        <v>10.26409725</v>
      </c>
      <c r="AD224" s="74">
        <f t="shared" si="138"/>
        <v>66.952937875</v>
      </c>
      <c r="AE224" s="74">
        <f t="shared" si="141"/>
        <v>53.047062125</v>
      </c>
    </row>
    <row r="225" customFormat="1" spans="1:31">
      <c r="A225" s="18"/>
      <c r="B225" s="19"/>
      <c r="C225" s="20">
        <v>240709000031</v>
      </c>
      <c r="D225" s="21">
        <v>45484</v>
      </c>
      <c r="E225" s="21" t="s">
        <v>58</v>
      </c>
      <c r="F225" s="19" t="s">
        <v>59</v>
      </c>
      <c r="G225" s="19" t="s">
        <v>234</v>
      </c>
      <c r="H225" s="19">
        <v>2</v>
      </c>
      <c r="I225" s="41">
        <v>240</v>
      </c>
      <c r="J225" s="89"/>
      <c r="K225" s="43"/>
      <c r="L225" s="45"/>
      <c r="M225" s="43"/>
      <c r="N225" s="44"/>
      <c r="O225" s="45">
        <f t="shared" si="139"/>
        <v>240</v>
      </c>
      <c r="P225" s="51"/>
      <c r="Q225" s="51"/>
      <c r="R225" s="74">
        <f t="shared" si="143"/>
        <v>156.25</v>
      </c>
      <c r="S225" s="74"/>
      <c r="T225" s="75">
        <f t="shared" si="144"/>
        <v>3.436875</v>
      </c>
      <c r="U225" s="74"/>
      <c r="V225" s="74"/>
      <c r="W225" s="76">
        <f t="shared" si="142"/>
        <v>159.686875</v>
      </c>
      <c r="X225" s="77">
        <f t="shared" si="145"/>
        <v>3.9825</v>
      </c>
      <c r="Y225" s="77"/>
      <c r="Z225" s="77"/>
      <c r="AA225" s="77">
        <f t="shared" si="140"/>
        <v>3.9825</v>
      </c>
      <c r="AB225" s="87">
        <v>7.26</v>
      </c>
      <c r="AC225" s="74">
        <f t="shared" si="137"/>
        <v>28.91295</v>
      </c>
      <c r="AD225" s="74">
        <f t="shared" si="138"/>
        <v>188.599825</v>
      </c>
      <c r="AE225" s="74">
        <f t="shared" si="141"/>
        <v>51.400175</v>
      </c>
    </row>
    <row r="226" customFormat="1" spans="1:31">
      <c r="A226" s="18"/>
      <c r="B226" s="19"/>
      <c r="C226" s="20">
        <v>240710000004</v>
      </c>
      <c r="D226" s="21">
        <v>45484</v>
      </c>
      <c r="E226" s="21" t="s">
        <v>58</v>
      </c>
      <c r="F226" s="19" t="s">
        <v>59</v>
      </c>
      <c r="G226" s="19" t="s">
        <v>234</v>
      </c>
      <c r="H226" s="19">
        <v>2.5</v>
      </c>
      <c r="I226" s="41">
        <v>300</v>
      </c>
      <c r="J226" s="89"/>
      <c r="K226" s="43"/>
      <c r="L226" s="45"/>
      <c r="M226" s="43"/>
      <c r="N226" s="44"/>
      <c r="O226" s="45">
        <f t="shared" si="139"/>
        <v>300</v>
      </c>
      <c r="P226" s="52"/>
      <c r="Q226" s="52"/>
      <c r="R226" s="74">
        <f t="shared" si="143"/>
        <v>195.3125</v>
      </c>
      <c r="S226" s="74"/>
      <c r="T226" s="75">
        <f t="shared" si="144"/>
        <v>4.29609375</v>
      </c>
      <c r="U226" s="74"/>
      <c r="V226" s="74"/>
      <c r="W226" s="76">
        <f t="shared" ref="W226:W257" si="146">SUM(R226:V226)</f>
        <v>199.60859375</v>
      </c>
      <c r="X226" s="77">
        <f t="shared" si="145"/>
        <v>4.978125</v>
      </c>
      <c r="Y226" s="77"/>
      <c r="Z226" s="77"/>
      <c r="AA226" s="77">
        <f t="shared" si="140"/>
        <v>4.978125</v>
      </c>
      <c r="AB226" s="87">
        <v>7.26</v>
      </c>
      <c r="AC226" s="74">
        <f t="shared" si="137"/>
        <v>36.1411875</v>
      </c>
      <c r="AD226" s="74">
        <f t="shared" si="138"/>
        <v>235.74978125</v>
      </c>
      <c r="AE226" s="74">
        <f t="shared" si="141"/>
        <v>64.25021875</v>
      </c>
    </row>
    <row r="227" customFormat="1" spans="1:31">
      <c r="A227" s="94" t="s">
        <v>235</v>
      </c>
      <c r="B227" s="95" t="s">
        <v>236</v>
      </c>
      <c r="C227" s="96">
        <v>240701000002</v>
      </c>
      <c r="D227" s="21">
        <v>45484</v>
      </c>
      <c r="E227" s="21" t="s">
        <v>55</v>
      </c>
      <c r="F227" s="95" t="s">
        <v>56</v>
      </c>
      <c r="G227" s="95" t="s">
        <v>237</v>
      </c>
      <c r="H227" s="95">
        <v>5.5</v>
      </c>
      <c r="I227" s="99">
        <v>366.3</v>
      </c>
      <c r="J227" s="42"/>
      <c r="K227" s="100"/>
      <c r="L227" s="95"/>
      <c r="M227" s="100"/>
      <c r="N227" s="101"/>
      <c r="O227" s="102">
        <f t="shared" si="139"/>
        <v>366.3</v>
      </c>
      <c r="P227" s="46">
        <f>SUM(O227:O257)</f>
        <v>88626.0730726</v>
      </c>
      <c r="Q227" s="46" t="s">
        <v>130</v>
      </c>
      <c r="R227" s="74">
        <f>SUM(69220/1450)*H227</f>
        <v>262.558620689655</v>
      </c>
      <c r="S227" s="74"/>
      <c r="T227" s="75">
        <f>SUM(120/1450)*H227</f>
        <v>0.455172413793103</v>
      </c>
      <c r="U227" s="74"/>
      <c r="V227" s="74"/>
      <c r="W227" s="76">
        <f t="shared" si="146"/>
        <v>263.013793103448</v>
      </c>
      <c r="X227" s="77">
        <f>SUM(1375.51/1450)*H227</f>
        <v>5.21745172413793</v>
      </c>
      <c r="Y227" s="77"/>
      <c r="Z227" s="77"/>
      <c r="AA227" s="77">
        <f t="shared" ref="AA227:AA257" si="147">SUM(X227:Z227)</f>
        <v>5.21745172413793</v>
      </c>
      <c r="AB227" s="87">
        <v>7.26</v>
      </c>
      <c r="AC227" s="74">
        <f t="shared" ref="AC227:AC257" si="148">SUM(AA227*AB227)</f>
        <v>37.8786995172414</v>
      </c>
      <c r="AD227" s="74">
        <f t="shared" ref="AD227:AD257" si="149">SUM(W227+AC227)</f>
        <v>300.89249262069</v>
      </c>
      <c r="AE227" s="74">
        <f t="shared" ref="AE227:AE257" si="150">SUM(O227-AD227)</f>
        <v>65.4075073793103</v>
      </c>
    </row>
    <row r="228" customFormat="1" spans="1:31">
      <c r="A228" s="94"/>
      <c r="B228" s="95"/>
      <c r="C228" s="96">
        <v>240701000019</v>
      </c>
      <c r="D228" s="21">
        <v>45484</v>
      </c>
      <c r="E228" s="21" t="s">
        <v>40</v>
      </c>
      <c r="F228" s="95" t="s">
        <v>41</v>
      </c>
      <c r="G228" s="95" t="s">
        <v>180</v>
      </c>
      <c r="H228" s="95">
        <v>14</v>
      </c>
      <c r="I228" s="41">
        <v>909.4</v>
      </c>
      <c r="J228" s="42"/>
      <c r="K228" s="100"/>
      <c r="L228" s="95"/>
      <c r="M228" s="100"/>
      <c r="N228" s="101"/>
      <c r="O228" s="102">
        <f t="shared" si="139"/>
        <v>909.4</v>
      </c>
      <c r="P228" s="51"/>
      <c r="Q228" s="51"/>
      <c r="R228" s="74">
        <f t="shared" ref="R228:R257" si="151">SUM(69220/1450)*H228</f>
        <v>668.331034482759</v>
      </c>
      <c r="S228" s="74"/>
      <c r="T228" s="75">
        <f t="shared" ref="T228:T257" si="152">SUM(120/1450)*H228</f>
        <v>1.15862068965517</v>
      </c>
      <c r="U228" s="74"/>
      <c r="V228" s="74"/>
      <c r="W228" s="76">
        <f t="shared" si="146"/>
        <v>669.489655172414</v>
      </c>
      <c r="X228" s="77">
        <f t="shared" ref="X228:X257" si="153">SUM(1375.51/1450)*H228</f>
        <v>13.2807862068966</v>
      </c>
      <c r="Y228" s="77">
        <v>3.44</v>
      </c>
      <c r="Z228" s="77"/>
      <c r="AA228" s="77">
        <f t="shared" si="147"/>
        <v>16.7207862068966</v>
      </c>
      <c r="AB228" s="87">
        <v>7.26</v>
      </c>
      <c r="AC228" s="74">
        <f t="shared" si="148"/>
        <v>121.392907862069</v>
      </c>
      <c r="AD228" s="74">
        <f t="shared" si="149"/>
        <v>790.882563034483</v>
      </c>
      <c r="AE228" s="74">
        <f t="shared" si="150"/>
        <v>118.517436965517</v>
      </c>
    </row>
    <row r="229" customFormat="1" spans="1:31">
      <c r="A229" s="94"/>
      <c r="B229" s="95"/>
      <c r="C229" s="96">
        <v>240701000023</v>
      </c>
      <c r="D229" s="21">
        <v>45484</v>
      </c>
      <c r="E229" s="21" t="s">
        <v>58</v>
      </c>
      <c r="F229" s="95" t="s">
        <v>59</v>
      </c>
      <c r="G229" s="95" t="s">
        <v>238</v>
      </c>
      <c r="H229" s="95">
        <v>19.5</v>
      </c>
      <c r="I229" s="99"/>
      <c r="J229" s="48">
        <v>265680</v>
      </c>
      <c r="K229" s="100"/>
      <c r="L229" s="49">
        <f>SUM(J229/M229)</f>
        <v>1568.17376933066</v>
      </c>
      <c r="M229" s="50">
        <v>169.42</v>
      </c>
      <c r="N229" s="101">
        <v>7.26</v>
      </c>
      <c r="O229" s="45">
        <f>SUM(M229*N229)</f>
        <v>1229.9892</v>
      </c>
      <c r="P229" s="51"/>
      <c r="Q229" s="51"/>
      <c r="R229" s="74">
        <f t="shared" si="151"/>
        <v>930.889655172414</v>
      </c>
      <c r="S229" s="74"/>
      <c r="T229" s="75">
        <f t="shared" si="152"/>
        <v>1.61379310344828</v>
      </c>
      <c r="U229" s="74"/>
      <c r="V229" s="74"/>
      <c r="W229" s="76">
        <f t="shared" si="146"/>
        <v>932.503448275862</v>
      </c>
      <c r="X229" s="77">
        <f t="shared" si="153"/>
        <v>18.4982379310345</v>
      </c>
      <c r="Y229" s="77"/>
      <c r="Z229" s="77"/>
      <c r="AA229" s="77">
        <f t="shared" si="147"/>
        <v>18.4982379310345</v>
      </c>
      <c r="AB229" s="87">
        <v>7.26</v>
      </c>
      <c r="AC229" s="74">
        <f t="shared" si="148"/>
        <v>134.29720737931</v>
      </c>
      <c r="AD229" s="74">
        <f t="shared" si="149"/>
        <v>1066.80065565517</v>
      </c>
      <c r="AE229" s="74">
        <f t="shared" si="150"/>
        <v>163.188544344828</v>
      </c>
    </row>
    <row r="230" customFormat="1" spans="1:31">
      <c r="A230" s="94"/>
      <c r="B230" s="95"/>
      <c r="C230" s="96">
        <v>240701000044</v>
      </c>
      <c r="D230" s="21">
        <v>45484</v>
      </c>
      <c r="E230" s="21" t="s">
        <v>44</v>
      </c>
      <c r="F230" s="95" t="s">
        <v>45</v>
      </c>
      <c r="G230" s="95" t="s">
        <v>239</v>
      </c>
      <c r="H230" s="95">
        <v>6.5</v>
      </c>
      <c r="I230" s="41">
        <v>494.15</v>
      </c>
      <c r="J230" s="42"/>
      <c r="K230" s="100"/>
      <c r="L230" s="95"/>
      <c r="M230" s="100"/>
      <c r="N230" s="101"/>
      <c r="O230" s="102">
        <f t="shared" ref="O230:O235" si="154">SUM(I230)</f>
        <v>494.15</v>
      </c>
      <c r="P230" s="51"/>
      <c r="Q230" s="51"/>
      <c r="R230" s="74">
        <f t="shared" si="151"/>
        <v>310.296551724138</v>
      </c>
      <c r="S230" s="74"/>
      <c r="T230" s="75">
        <f t="shared" si="152"/>
        <v>0.537931034482759</v>
      </c>
      <c r="U230" s="74"/>
      <c r="V230" s="74"/>
      <c r="W230" s="76">
        <f t="shared" si="146"/>
        <v>310.834482758621</v>
      </c>
      <c r="X230" s="77">
        <f t="shared" si="153"/>
        <v>6.16607931034483</v>
      </c>
      <c r="Y230" s="77">
        <v>11.01</v>
      </c>
      <c r="Z230" s="77"/>
      <c r="AA230" s="77">
        <f t="shared" si="147"/>
        <v>17.1760793103448</v>
      </c>
      <c r="AB230" s="87">
        <v>7.26</v>
      </c>
      <c r="AC230" s="74">
        <f t="shared" si="148"/>
        <v>124.698335793103</v>
      </c>
      <c r="AD230" s="74">
        <f t="shared" si="149"/>
        <v>435.532818551724</v>
      </c>
      <c r="AE230" s="74">
        <f t="shared" si="150"/>
        <v>58.6171814482759</v>
      </c>
    </row>
    <row r="231" customFormat="1" spans="1:31">
      <c r="A231" s="94"/>
      <c r="B231" s="95"/>
      <c r="C231" s="96">
        <v>240701000045</v>
      </c>
      <c r="D231" s="21">
        <v>45484</v>
      </c>
      <c r="E231" s="21" t="s">
        <v>55</v>
      </c>
      <c r="F231" s="95" t="s">
        <v>56</v>
      </c>
      <c r="G231" s="95" t="s">
        <v>240</v>
      </c>
      <c r="H231" s="95">
        <v>4</v>
      </c>
      <c r="I231" s="41">
        <v>267.3</v>
      </c>
      <c r="J231" s="42"/>
      <c r="K231" s="100"/>
      <c r="L231" s="95"/>
      <c r="M231" s="100"/>
      <c r="N231" s="101"/>
      <c r="O231" s="102">
        <f t="shared" si="154"/>
        <v>267.3</v>
      </c>
      <c r="P231" s="51"/>
      <c r="Q231" s="51"/>
      <c r="R231" s="74">
        <f t="shared" si="151"/>
        <v>190.951724137931</v>
      </c>
      <c r="S231" s="74"/>
      <c r="T231" s="75">
        <f t="shared" si="152"/>
        <v>0.331034482758621</v>
      </c>
      <c r="U231" s="74"/>
      <c r="V231" s="74"/>
      <c r="W231" s="76">
        <f t="shared" si="146"/>
        <v>191.28275862069</v>
      </c>
      <c r="X231" s="77">
        <f t="shared" si="153"/>
        <v>3.79451034482759</v>
      </c>
      <c r="Y231" s="77"/>
      <c r="Z231" s="77"/>
      <c r="AA231" s="77">
        <f t="shared" si="147"/>
        <v>3.79451034482759</v>
      </c>
      <c r="AB231" s="87">
        <v>7.26</v>
      </c>
      <c r="AC231" s="74">
        <f t="shared" si="148"/>
        <v>27.5481451034483</v>
      </c>
      <c r="AD231" s="74">
        <f t="shared" si="149"/>
        <v>218.830903724138</v>
      </c>
      <c r="AE231" s="74">
        <f t="shared" si="150"/>
        <v>48.4690962758621</v>
      </c>
    </row>
    <row r="232" customFormat="1" spans="1:31">
      <c r="A232" s="94"/>
      <c r="B232" s="95"/>
      <c r="C232" s="96">
        <v>240701000052</v>
      </c>
      <c r="D232" s="21">
        <v>45484</v>
      </c>
      <c r="E232" s="21" t="s">
        <v>37</v>
      </c>
      <c r="F232" s="95" t="s">
        <v>37</v>
      </c>
      <c r="G232" s="95" t="s">
        <v>241</v>
      </c>
      <c r="H232" s="95">
        <v>24</v>
      </c>
      <c r="I232" s="41">
        <v>1510.8</v>
      </c>
      <c r="J232" s="42"/>
      <c r="K232" s="100"/>
      <c r="L232" s="95"/>
      <c r="M232" s="100"/>
      <c r="N232" s="101"/>
      <c r="O232" s="102">
        <f t="shared" si="154"/>
        <v>1510.8</v>
      </c>
      <c r="P232" s="51"/>
      <c r="Q232" s="51"/>
      <c r="R232" s="74">
        <f t="shared" si="151"/>
        <v>1145.71034482759</v>
      </c>
      <c r="S232" s="74"/>
      <c r="T232" s="75">
        <f t="shared" si="152"/>
        <v>1.98620689655172</v>
      </c>
      <c r="U232" s="74">
        <v>50</v>
      </c>
      <c r="V232" s="74"/>
      <c r="W232" s="76">
        <f t="shared" si="146"/>
        <v>1197.69655172414</v>
      </c>
      <c r="X232" s="77">
        <f t="shared" si="153"/>
        <v>22.7670620689655</v>
      </c>
      <c r="Y232" s="77"/>
      <c r="Z232" s="77"/>
      <c r="AA232" s="77">
        <f t="shared" si="147"/>
        <v>22.7670620689655</v>
      </c>
      <c r="AB232" s="87">
        <v>7.26</v>
      </c>
      <c r="AC232" s="74">
        <f t="shared" si="148"/>
        <v>165.28887062069</v>
      </c>
      <c r="AD232" s="74">
        <f t="shared" si="149"/>
        <v>1362.98542234483</v>
      </c>
      <c r="AE232" s="74">
        <f t="shared" si="150"/>
        <v>147.814577655172</v>
      </c>
    </row>
    <row r="233" customFormat="1" spans="1:31">
      <c r="A233" s="94"/>
      <c r="B233" s="95"/>
      <c r="C233" s="96">
        <v>240702000030</v>
      </c>
      <c r="D233" s="21">
        <v>45484</v>
      </c>
      <c r="E233" s="21" t="s">
        <v>40</v>
      </c>
      <c r="F233" s="95" t="s">
        <v>41</v>
      </c>
      <c r="G233" s="95" t="s">
        <v>242</v>
      </c>
      <c r="H233" s="95">
        <v>10.5</v>
      </c>
      <c r="I233" s="41">
        <v>704</v>
      </c>
      <c r="J233" s="42"/>
      <c r="K233" s="100"/>
      <c r="L233" s="95"/>
      <c r="M233" s="100"/>
      <c r="N233" s="101"/>
      <c r="O233" s="102">
        <f t="shared" si="154"/>
        <v>704</v>
      </c>
      <c r="P233" s="51"/>
      <c r="Q233" s="51"/>
      <c r="R233" s="74">
        <f t="shared" si="151"/>
        <v>501.248275862069</v>
      </c>
      <c r="S233" s="74"/>
      <c r="T233" s="75">
        <f t="shared" si="152"/>
        <v>0.868965517241379</v>
      </c>
      <c r="U233" s="74"/>
      <c r="V233" s="74"/>
      <c r="W233" s="76">
        <f t="shared" si="146"/>
        <v>502.11724137931</v>
      </c>
      <c r="X233" s="77">
        <f t="shared" si="153"/>
        <v>9.96058965517241</v>
      </c>
      <c r="Y233" s="77"/>
      <c r="Z233" s="77"/>
      <c r="AA233" s="77">
        <f t="shared" si="147"/>
        <v>9.96058965517241</v>
      </c>
      <c r="AB233" s="87">
        <v>7.26</v>
      </c>
      <c r="AC233" s="74">
        <f t="shared" si="148"/>
        <v>72.3138808965517</v>
      </c>
      <c r="AD233" s="74">
        <f t="shared" si="149"/>
        <v>574.431122275862</v>
      </c>
      <c r="AE233" s="74">
        <f t="shared" si="150"/>
        <v>129.568877724138</v>
      </c>
    </row>
    <row r="234" customFormat="1" spans="1:31">
      <c r="A234" s="94"/>
      <c r="B234" s="95"/>
      <c r="C234" s="96">
        <v>240702000031</v>
      </c>
      <c r="D234" s="21">
        <v>45484</v>
      </c>
      <c r="E234" s="21" t="s">
        <v>47</v>
      </c>
      <c r="F234" s="95" t="s">
        <v>48</v>
      </c>
      <c r="G234" s="95" t="s">
        <v>243</v>
      </c>
      <c r="H234" s="95">
        <v>2</v>
      </c>
      <c r="I234" s="41">
        <v>135</v>
      </c>
      <c r="J234" s="42"/>
      <c r="K234" s="100"/>
      <c r="L234" s="95"/>
      <c r="M234" s="100"/>
      <c r="N234" s="101"/>
      <c r="O234" s="102">
        <f t="shared" si="154"/>
        <v>135</v>
      </c>
      <c r="P234" s="51"/>
      <c r="Q234" s="51"/>
      <c r="R234" s="74">
        <f t="shared" si="151"/>
        <v>95.4758620689655</v>
      </c>
      <c r="S234" s="74"/>
      <c r="T234" s="75">
        <f t="shared" si="152"/>
        <v>0.16551724137931</v>
      </c>
      <c r="U234" s="74"/>
      <c r="V234" s="74"/>
      <c r="W234" s="76">
        <f t="shared" si="146"/>
        <v>95.6413793103448</v>
      </c>
      <c r="X234" s="77">
        <f t="shared" si="153"/>
        <v>1.89725517241379</v>
      </c>
      <c r="Y234" s="77"/>
      <c r="Z234" s="77"/>
      <c r="AA234" s="77">
        <f t="shared" si="147"/>
        <v>1.89725517241379</v>
      </c>
      <c r="AB234" s="87">
        <v>7.26</v>
      </c>
      <c r="AC234" s="74">
        <f t="shared" si="148"/>
        <v>13.7740725517241</v>
      </c>
      <c r="AD234" s="74">
        <f t="shared" si="149"/>
        <v>109.415451862069</v>
      </c>
      <c r="AE234" s="74">
        <f t="shared" si="150"/>
        <v>25.5845481379311</v>
      </c>
    </row>
    <row r="235" customFormat="1" spans="1:31">
      <c r="A235" s="94"/>
      <c r="B235" s="95"/>
      <c r="C235" s="96">
        <v>240703000006</v>
      </c>
      <c r="D235" s="21">
        <v>45484</v>
      </c>
      <c r="E235" s="21" t="s">
        <v>44</v>
      </c>
      <c r="F235" s="95" t="s">
        <v>45</v>
      </c>
      <c r="G235" s="95" t="s">
        <v>244</v>
      </c>
      <c r="H235" s="95">
        <v>126</v>
      </c>
      <c r="I235" s="41">
        <v>13483</v>
      </c>
      <c r="J235" s="42"/>
      <c r="K235" s="100"/>
      <c r="L235" s="95"/>
      <c r="M235" s="100"/>
      <c r="N235" s="101"/>
      <c r="O235" s="102">
        <f t="shared" si="154"/>
        <v>13483</v>
      </c>
      <c r="P235" s="51"/>
      <c r="Q235" s="51"/>
      <c r="R235" s="74">
        <f t="shared" si="151"/>
        <v>6014.97931034483</v>
      </c>
      <c r="S235" s="74"/>
      <c r="T235" s="75">
        <f t="shared" si="152"/>
        <v>10.4275862068966</v>
      </c>
      <c r="U235" s="74"/>
      <c r="V235" s="74"/>
      <c r="W235" s="76">
        <f t="shared" si="146"/>
        <v>6025.40689655172</v>
      </c>
      <c r="X235" s="77">
        <f t="shared" si="153"/>
        <v>119.527075862069</v>
      </c>
      <c r="Y235" s="77"/>
      <c r="Z235" s="77"/>
      <c r="AA235" s="77">
        <f t="shared" si="147"/>
        <v>119.527075862069</v>
      </c>
      <c r="AB235" s="87">
        <v>7.26</v>
      </c>
      <c r="AC235" s="74">
        <f t="shared" si="148"/>
        <v>867.766570758621</v>
      </c>
      <c r="AD235" s="74">
        <f t="shared" si="149"/>
        <v>6893.17346731034</v>
      </c>
      <c r="AE235" s="74">
        <f t="shared" si="150"/>
        <v>6589.82653268966</v>
      </c>
    </row>
    <row r="236" customFormat="1" spans="1:31">
      <c r="A236" s="94"/>
      <c r="B236" s="95"/>
      <c r="C236" s="96">
        <v>240703000014</v>
      </c>
      <c r="D236" s="21">
        <v>45484</v>
      </c>
      <c r="E236" s="21" t="s">
        <v>58</v>
      </c>
      <c r="F236" s="95" t="s">
        <v>59</v>
      </c>
      <c r="G236" s="95" t="s">
        <v>76</v>
      </c>
      <c r="H236" s="95">
        <v>20.5</v>
      </c>
      <c r="I236" s="102"/>
      <c r="J236" s="48">
        <v>284833</v>
      </c>
      <c r="K236" s="100"/>
      <c r="L236" s="49">
        <f>SUM(J236/M236)</f>
        <v>1590.00214413296</v>
      </c>
      <c r="M236" s="50">
        <v>179.14001</v>
      </c>
      <c r="N236" s="101">
        <v>7.26</v>
      </c>
      <c r="O236" s="102">
        <f>SUM(M236*N236)</f>
        <v>1300.5564726</v>
      </c>
      <c r="P236" s="51"/>
      <c r="Q236" s="51"/>
      <c r="R236" s="74">
        <f t="shared" si="151"/>
        <v>978.627586206896</v>
      </c>
      <c r="S236" s="74"/>
      <c r="T236" s="75">
        <f t="shared" si="152"/>
        <v>1.69655172413793</v>
      </c>
      <c r="U236" s="74"/>
      <c r="V236" s="74"/>
      <c r="W236" s="76">
        <f t="shared" si="146"/>
        <v>980.324137931034</v>
      </c>
      <c r="X236" s="77">
        <f t="shared" si="153"/>
        <v>19.4468655172414</v>
      </c>
      <c r="Y236" s="77"/>
      <c r="Z236" s="77"/>
      <c r="AA236" s="77">
        <f t="shared" si="147"/>
        <v>19.4468655172414</v>
      </c>
      <c r="AB236" s="87">
        <v>7.26</v>
      </c>
      <c r="AC236" s="74">
        <f t="shared" si="148"/>
        <v>141.184243655172</v>
      </c>
      <c r="AD236" s="74">
        <f t="shared" si="149"/>
        <v>1121.50838158621</v>
      </c>
      <c r="AE236" s="74">
        <f t="shared" si="150"/>
        <v>179.048091013793</v>
      </c>
    </row>
    <row r="237" customFormat="1" spans="1:31">
      <c r="A237" s="94"/>
      <c r="B237" s="95"/>
      <c r="C237" s="96">
        <v>240703000018</v>
      </c>
      <c r="D237" s="21">
        <v>45484</v>
      </c>
      <c r="E237" s="21" t="s">
        <v>58</v>
      </c>
      <c r="F237" s="95" t="s">
        <v>59</v>
      </c>
      <c r="G237" s="95" t="s">
        <v>245</v>
      </c>
      <c r="H237" s="95">
        <v>10.5</v>
      </c>
      <c r="I237" s="41">
        <v>665</v>
      </c>
      <c r="J237" s="42"/>
      <c r="K237" s="100"/>
      <c r="L237" s="95"/>
      <c r="M237" s="100"/>
      <c r="N237" s="101"/>
      <c r="O237" s="102">
        <f t="shared" ref="O237:O241" si="155">SUM(I237)</f>
        <v>665</v>
      </c>
      <c r="P237" s="51"/>
      <c r="Q237" s="51"/>
      <c r="R237" s="74">
        <f t="shared" si="151"/>
        <v>501.248275862069</v>
      </c>
      <c r="S237" s="74"/>
      <c r="T237" s="75">
        <f t="shared" si="152"/>
        <v>0.868965517241379</v>
      </c>
      <c r="U237" s="74"/>
      <c r="V237" s="74"/>
      <c r="W237" s="76">
        <f t="shared" si="146"/>
        <v>502.11724137931</v>
      </c>
      <c r="X237" s="77">
        <f t="shared" si="153"/>
        <v>9.96058965517241</v>
      </c>
      <c r="Y237" s="77"/>
      <c r="Z237" s="77"/>
      <c r="AA237" s="77">
        <f t="shared" si="147"/>
        <v>9.96058965517241</v>
      </c>
      <c r="AB237" s="87">
        <v>7.26</v>
      </c>
      <c r="AC237" s="74">
        <f t="shared" si="148"/>
        <v>72.3138808965517</v>
      </c>
      <c r="AD237" s="74">
        <f t="shared" si="149"/>
        <v>574.431122275862</v>
      </c>
      <c r="AE237" s="74">
        <f t="shared" si="150"/>
        <v>90.568877724138</v>
      </c>
    </row>
    <row r="238" customFormat="1" spans="1:31">
      <c r="A238" s="94"/>
      <c r="B238" s="95"/>
      <c r="C238" s="96">
        <v>240703000023</v>
      </c>
      <c r="D238" s="21">
        <v>45484</v>
      </c>
      <c r="E238" s="21" t="s">
        <v>47</v>
      </c>
      <c r="F238" s="95" t="s">
        <v>48</v>
      </c>
      <c r="G238" s="95" t="s">
        <v>246</v>
      </c>
      <c r="H238" s="95">
        <v>2</v>
      </c>
      <c r="I238" s="99">
        <v>-475</v>
      </c>
      <c r="J238" s="48">
        <v>138540</v>
      </c>
      <c r="K238" s="100"/>
      <c r="L238" s="49">
        <f t="shared" ref="L238:L243" si="156">SUM(J238/M238)</f>
        <v>1597.37115185057</v>
      </c>
      <c r="M238" s="50">
        <v>86.73</v>
      </c>
      <c r="N238" s="101">
        <v>7.26</v>
      </c>
      <c r="O238" s="102">
        <f>SUM(M238*N238+I238)</f>
        <v>154.6598</v>
      </c>
      <c r="P238" s="51"/>
      <c r="Q238" s="51"/>
      <c r="R238" s="74">
        <f t="shared" si="151"/>
        <v>95.4758620689655</v>
      </c>
      <c r="S238" s="74"/>
      <c r="T238" s="75">
        <f t="shared" si="152"/>
        <v>0.16551724137931</v>
      </c>
      <c r="U238" s="74"/>
      <c r="V238" s="74"/>
      <c r="W238" s="76">
        <f t="shared" si="146"/>
        <v>95.6413793103448</v>
      </c>
      <c r="X238" s="77">
        <f t="shared" si="153"/>
        <v>1.89725517241379</v>
      </c>
      <c r="Y238" s="77">
        <v>3.12</v>
      </c>
      <c r="Z238" s="77"/>
      <c r="AA238" s="77">
        <f t="shared" si="147"/>
        <v>5.01725517241379</v>
      </c>
      <c r="AB238" s="87">
        <v>7.26</v>
      </c>
      <c r="AC238" s="74">
        <f t="shared" si="148"/>
        <v>36.4252725517241</v>
      </c>
      <c r="AD238" s="74">
        <f t="shared" si="149"/>
        <v>132.066651862069</v>
      </c>
      <c r="AE238" s="74">
        <f t="shared" si="150"/>
        <v>22.5931481379311</v>
      </c>
    </row>
    <row r="239" customFormat="1" spans="1:31">
      <c r="A239" s="94"/>
      <c r="B239" s="95"/>
      <c r="C239" s="96">
        <v>240703000029</v>
      </c>
      <c r="D239" s="21">
        <v>45484</v>
      </c>
      <c r="E239" s="21" t="s">
        <v>55</v>
      </c>
      <c r="F239" s="95" t="s">
        <v>56</v>
      </c>
      <c r="G239" s="95" t="s">
        <v>247</v>
      </c>
      <c r="H239" s="95">
        <v>5.5</v>
      </c>
      <c r="I239" s="41">
        <v>413</v>
      </c>
      <c r="J239" s="42"/>
      <c r="K239" s="100"/>
      <c r="L239" s="95"/>
      <c r="M239" s="100"/>
      <c r="N239" s="101"/>
      <c r="O239" s="102">
        <f t="shared" si="155"/>
        <v>413</v>
      </c>
      <c r="P239" s="51"/>
      <c r="Q239" s="51"/>
      <c r="R239" s="74">
        <f t="shared" si="151"/>
        <v>262.558620689655</v>
      </c>
      <c r="S239" s="74"/>
      <c r="T239" s="75">
        <f t="shared" si="152"/>
        <v>0.455172413793103</v>
      </c>
      <c r="U239" s="74"/>
      <c r="V239" s="74"/>
      <c r="W239" s="76">
        <f t="shared" si="146"/>
        <v>263.013793103448</v>
      </c>
      <c r="X239" s="77">
        <f t="shared" si="153"/>
        <v>5.21745172413793</v>
      </c>
      <c r="Y239" s="77"/>
      <c r="Z239" s="77"/>
      <c r="AA239" s="77">
        <f t="shared" si="147"/>
        <v>5.21745172413793</v>
      </c>
      <c r="AB239" s="87">
        <v>7.26</v>
      </c>
      <c r="AC239" s="74">
        <f t="shared" si="148"/>
        <v>37.8786995172414</v>
      </c>
      <c r="AD239" s="74">
        <f t="shared" si="149"/>
        <v>300.89249262069</v>
      </c>
      <c r="AE239" s="74">
        <f t="shared" si="150"/>
        <v>112.10750737931</v>
      </c>
    </row>
    <row r="240" customFormat="1" spans="1:31">
      <c r="A240" s="94"/>
      <c r="B240" s="95"/>
      <c r="C240" s="96">
        <v>240704000004</v>
      </c>
      <c r="D240" s="21">
        <v>45484</v>
      </c>
      <c r="E240" s="21" t="s">
        <v>40</v>
      </c>
      <c r="F240" s="95" t="s">
        <v>41</v>
      </c>
      <c r="G240" s="95" t="s">
        <v>248</v>
      </c>
      <c r="H240" s="95">
        <v>1.5</v>
      </c>
      <c r="I240" s="41">
        <v>148.8</v>
      </c>
      <c r="J240" s="42"/>
      <c r="K240" s="100"/>
      <c r="L240" s="95"/>
      <c r="M240" s="100"/>
      <c r="N240" s="101"/>
      <c r="O240" s="102">
        <f t="shared" si="155"/>
        <v>148.8</v>
      </c>
      <c r="P240" s="51"/>
      <c r="Q240" s="51"/>
      <c r="R240" s="74">
        <f t="shared" si="151"/>
        <v>71.6068965517241</v>
      </c>
      <c r="S240" s="74"/>
      <c r="T240" s="75">
        <f t="shared" si="152"/>
        <v>0.124137931034483</v>
      </c>
      <c r="U240" s="74"/>
      <c r="V240" s="74"/>
      <c r="W240" s="76">
        <f t="shared" si="146"/>
        <v>71.7310344827586</v>
      </c>
      <c r="X240" s="77">
        <f t="shared" si="153"/>
        <v>1.42294137931034</v>
      </c>
      <c r="Y240" s="77"/>
      <c r="Z240" s="77"/>
      <c r="AA240" s="77">
        <f t="shared" si="147"/>
        <v>1.42294137931034</v>
      </c>
      <c r="AB240" s="87">
        <v>7.26</v>
      </c>
      <c r="AC240" s="74">
        <f t="shared" si="148"/>
        <v>10.3305544137931</v>
      </c>
      <c r="AD240" s="74">
        <f t="shared" si="149"/>
        <v>82.0615888965517</v>
      </c>
      <c r="AE240" s="74">
        <f t="shared" si="150"/>
        <v>66.7384111034483</v>
      </c>
    </row>
    <row r="241" customFormat="1" spans="1:31">
      <c r="A241" s="94"/>
      <c r="B241" s="95"/>
      <c r="C241" s="96">
        <v>240704000009</v>
      </c>
      <c r="D241" s="21">
        <v>45484</v>
      </c>
      <c r="E241" s="21" t="s">
        <v>40</v>
      </c>
      <c r="F241" s="95" t="s">
        <v>41</v>
      </c>
      <c r="G241" s="95" t="s">
        <v>249</v>
      </c>
      <c r="H241" s="95">
        <v>7.5</v>
      </c>
      <c r="I241" s="41">
        <v>526.4</v>
      </c>
      <c r="J241" s="42"/>
      <c r="K241" s="100"/>
      <c r="L241" s="95"/>
      <c r="M241" s="100"/>
      <c r="N241" s="101"/>
      <c r="O241" s="102">
        <f t="shared" si="155"/>
        <v>526.4</v>
      </c>
      <c r="P241" s="51"/>
      <c r="Q241" s="51"/>
      <c r="R241" s="74">
        <f t="shared" si="151"/>
        <v>358.034482758621</v>
      </c>
      <c r="S241" s="74"/>
      <c r="T241" s="75">
        <f t="shared" si="152"/>
        <v>0.620689655172414</v>
      </c>
      <c r="U241" s="74"/>
      <c r="V241" s="74"/>
      <c r="W241" s="76">
        <f t="shared" si="146"/>
        <v>358.655172413793</v>
      </c>
      <c r="X241" s="77">
        <f t="shared" si="153"/>
        <v>7.11470689655172</v>
      </c>
      <c r="Y241" s="77"/>
      <c r="Z241" s="77"/>
      <c r="AA241" s="77">
        <f t="shared" si="147"/>
        <v>7.11470689655172</v>
      </c>
      <c r="AB241" s="87">
        <v>7.26</v>
      </c>
      <c r="AC241" s="74">
        <f t="shared" si="148"/>
        <v>51.6527720689655</v>
      </c>
      <c r="AD241" s="74">
        <f t="shared" si="149"/>
        <v>410.307944482759</v>
      </c>
      <c r="AE241" s="74">
        <f t="shared" si="150"/>
        <v>116.092055517241</v>
      </c>
    </row>
    <row r="242" customFormat="1" spans="1:31">
      <c r="A242" s="94"/>
      <c r="B242" s="95"/>
      <c r="C242" s="96">
        <v>240704000012</v>
      </c>
      <c r="D242" s="21">
        <v>45484</v>
      </c>
      <c r="E242" s="21" t="s">
        <v>44</v>
      </c>
      <c r="F242" s="95" t="s">
        <v>45</v>
      </c>
      <c r="G242" s="95" t="s">
        <v>106</v>
      </c>
      <c r="H242" s="95">
        <v>25.5</v>
      </c>
      <c r="I242" s="99"/>
      <c r="J242" s="48">
        <v>440550</v>
      </c>
      <c r="K242" s="100"/>
      <c r="L242" s="49">
        <f t="shared" si="156"/>
        <v>1597.23732869263</v>
      </c>
      <c r="M242" s="50">
        <v>275.82</v>
      </c>
      <c r="N242" s="101">
        <v>7.26</v>
      </c>
      <c r="O242" s="102">
        <f>SUM(M242*N242+I242)</f>
        <v>2002.4532</v>
      </c>
      <c r="P242" s="51"/>
      <c r="Q242" s="51"/>
      <c r="R242" s="74">
        <f t="shared" si="151"/>
        <v>1217.31724137931</v>
      </c>
      <c r="S242" s="74"/>
      <c r="T242" s="75">
        <f t="shared" si="152"/>
        <v>2.11034482758621</v>
      </c>
      <c r="U242" s="75">
        <v>90</v>
      </c>
      <c r="V242" s="74"/>
      <c r="W242" s="76">
        <f t="shared" si="146"/>
        <v>1309.4275862069</v>
      </c>
      <c r="X242" s="77">
        <f t="shared" si="153"/>
        <v>24.1900034482759</v>
      </c>
      <c r="Y242" s="77"/>
      <c r="Z242" s="77"/>
      <c r="AA242" s="77">
        <f t="shared" si="147"/>
        <v>24.1900034482759</v>
      </c>
      <c r="AB242" s="87">
        <v>7.26</v>
      </c>
      <c r="AC242" s="74">
        <f t="shared" si="148"/>
        <v>175.619425034483</v>
      </c>
      <c r="AD242" s="74">
        <f t="shared" si="149"/>
        <v>1485.04701124138</v>
      </c>
      <c r="AE242" s="74">
        <f t="shared" si="150"/>
        <v>517.406188758621</v>
      </c>
    </row>
    <row r="243" customFormat="1" spans="1:31">
      <c r="A243" s="94"/>
      <c r="B243" s="95"/>
      <c r="C243" s="96">
        <v>240704000014</v>
      </c>
      <c r="D243" s="21">
        <v>45484</v>
      </c>
      <c r="E243" s="21" t="s">
        <v>47</v>
      </c>
      <c r="F243" s="95" t="s">
        <v>48</v>
      </c>
      <c r="G243" s="95" t="s">
        <v>208</v>
      </c>
      <c r="H243" s="95">
        <v>12</v>
      </c>
      <c r="I243" s="102"/>
      <c r="J243" s="48">
        <v>164016.4</v>
      </c>
      <c r="K243" s="100"/>
      <c r="L243" s="49">
        <f t="shared" si="156"/>
        <v>1640</v>
      </c>
      <c r="M243" s="50">
        <v>100.01</v>
      </c>
      <c r="N243" s="101">
        <v>7.26</v>
      </c>
      <c r="O243" s="102">
        <f>SUM(M243*N243)</f>
        <v>726.0726</v>
      </c>
      <c r="P243" s="51"/>
      <c r="Q243" s="51"/>
      <c r="R243" s="74">
        <f t="shared" si="151"/>
        <v>572.855172413793</v>
      </c>
      <c r="S243" s="74"/>
      <c r="T243" s="75">
        <f t="shared" si="152"/>
        <v>0.993103448275862</v>
      </c>
      <c r="U243" s="74">
        <v>30</v>
      </c>
      <c r="V243" s="74"/>
      <c r="W243" s="76">
        <f t="shared" si="146"/>
        <v>603.848275862069</v>
      </c>
      <c r="X243" s="77">
        <f t="shared" si="153"/>
        <v>11.3835310344828</v>
      </c>
      <c r="Y243" s="77"/>
      <c r="Z243" s="77"/>
      <c r="AA243" s="77">
        <f t="shared" si="147"/>
        <v>11.3835310344828</v>
      </c>
      <c r="AB243" s="87">
        <v>7.26</v>
      </c>
      <c r="AC243" s="74">
        <f t="shared" si="148"/>
        <v>82.6444353103448</v>
      </c>
      <c r="AD243" s="74">
        <f t="shared" si="149"/>
        <v>686.492711172414</v>
      </c>
      <c r="AE243" s="74">
        <f t="shared" si="150"/>
        <v>39.5798888275862</v>
      </c>
    </row>
    <row r="244" customFormat="1" spans="1:31">
      <c r="A244" s="94"/>
      <c r="B244" s="95"/>
      <c r="C244" s="96">
        <v>240704000022</v>
      </c>
      <c r="D244" s="21">
        <v>45484</v>
      </c>
      <c r="E244" s="21" t="s">
        <v>44</v>
      </c>
      <c r="F244" s="95" t="s">
        <v>250</v>
      </c>
      <c r="G244" s="95" t="s">
        <v>251</v>
      </c>
      <c r="H244" s="95">
        <v>3</v>
      </c>
      <c r="I244" s="41">
        <v>256</v>
      </c>
      <c r="J244" s="42"/>
      <c r="K244" s="100"/>
      <c r="L244" s="95"/>
      <c r="M244" s="100"/>
      <c r="N244" s="101"/>
      <c r="O244" s="102">
        <f t="shared" ref="O244:O250" si="157">SUM(I244)</f>
        <v>256</v>
      </c>
      <c r="P244" s="51"/>
      <c r="Q244" s="51"/>
      <c r="R244" s="74">
        <f t="shared" si="151"/>
        <v>143.213793103448</v>
      </c>
      <c r="S244" s="74"/>
      <c r="T244" s="75">
        <f t="shared" si="152"/>
        <v>0.248275862068966</v>
      </c>
      <c r="U244" s="74"/>
      <c r="V244" s="74"/>
      <c r="W244" s="76">
        <f t="shared" si="146"/>
        <v>143.462068965517</v>
      </c>
      <c r="X244" s="77">
        <f t="shared" si="153"/>
        <v>2.84588275862069</v>
      </c>
      <c r="Y244" s="77"/>
      <c r="Z244" s="77"/>
      <c r="AA244" s="77">
        <f t="shared" si="147"/>
        <v>2.84588275862069</v>
      </c>
      <c r="AB244" s="87">
        <v>7.26</v>
      </c>
      <c r="AC244" s="74">
        <f t="shared" si="148"/>
        <v>20.6611088275862</v>
      </c>
      <c r="AD244" s="74">
        <f t="shared" si="149"/>
        <v>164.123177793103</v>
      </c>
      <c r="AE244" s="74">
        <f t="shared" si="150"/>
        <v>91.8768222068965</v>
      </c>
    </row>
    <row r="245" customFormat="1" spans="1:31">
      <c r="A245" s="94"/>
      <c r="B245" s="95"/>
      <c r="C245" s="96">
        <v>240704000027</v>
      </c>
      <c r="D245" s="21">
        <v>45484</v>
      </c>
      <c r="E245" s="21" t="s">
        <v>44</v>
      </c>
      <c r="F245" s="95" t="s">
        <v>45</v>
      </c>
      <c r="G245" s="95" t="s">
        <v>121</v>
      </c>
      <c r="H245" s="95">
        <v>0.3</v>
      </c>
      <c r="I245" s="41">
        <v>55</v>
      </c>
      <c r="J245" s="42"/>
      <c r="K245" s="100"/>
      <c r="L245" s="95"/>
      <c r="M245" s="100"/>
      <c r="N245" s="101"/>
      <c r="O245" s="102">
        <f t="shared" si="157"/>
        <v>55</v>
      </c>
      <c r="P245" s="51"/>
      <c r="Q245" s="51"/>
      <c r="R245" s="74">
        <f t="shared" si="151"/>
        <v>14.3213793103448</v>
      </c>
      <c r="S245" s="74"/>
      <c r="T245" s="75">
        <f t="shared" si="152"/>
        <v>0.0248275862068966</v>
      </c>
      <c r="U245" s="74"/>
      <c r="V245" s="74"/>
      <c r="W245" s="76">
        <f t="shared" si="146"/>
        <v>14.3462068965517</v>
      </c>
      <c r="X245" s="77">
        <f t="shared" si="153"/>
        <v>0.284588275862069</v>
      </c>
      <c r="Y245" s="77"/>
      <c r="Z245" s="77"/>
      <c r="AA245" s="77">
        <f t="shared" si="147"/>
        <v>0.284588275862069</v>
      </c>
      <c r="AB245" s="87">
        <v>7.26</v>
      </c>
      <c r="AC245" s="74">
        <f t="shared" si="148"/>
        <v>2.06611088275862</v>
      </c>
      <c r="AD245" s="74">
        <f t="shared" si="149"/>
        <v>16.4123177793103</v>
      </c>
      <c r="AE245" s="74">
        <f t="shared" si="150"/>
        <v>38.5876822206897</v>
      </c>
    </row>
    <row r="246" customFormat="1" spans="1:31">
      <c r="A246" s="94"/>
      <c r="B246" s="95"/>
      <c r="C246" s="96">
        <v>240705000002</v>
      </c>
      <c r="D246" s="21">
        <v>45484</v>
      </c>
      <c r="E246" s="21" t="s">
        <v>37</v>
      </c>
      <c r="F246" s="95" t="s">
        <v>37</v>
      </c>
      <c r="G246" s="95" t="s">
        <v>252</v>
      </c>
      <c r="H246" s="95">
        <v>22</v>
      </c>
      <c r="I246" s="41">
        <v>1339</v>
      </c>
      <c r="J246" s="42"/>
      <c r="K246" s="100"/>
      <c r="L246" s="95"/>
      <c r="M246" s="100"/>
      <c r="N246" s="101"/>
      <c r="O246" s="102">
        <f t="shared" si="157"/>
        <v>1339</v>
      </c>
      <c r="P246" s="51"/>
      <c r="Q246" s="51"/>
      <c r="R246" s="74">
        <f t="shared" si="151"/>
        <v>1050.23448275862</v>
      </c>
      <c r="S246" s="74"/>
      <c r="T246" s="75">
        <f t="shared" si="152"/>
        <v>1.82068965517241</v>
      </c>
      <c r="U246" s="74"/>
      <c r="V246" s="74"/>
      <c r="W246" s="76">
        <f t="shared" si="146"/>
        <v>1052.05517241379</v>
      </c>
      <c r="X246" s="77">
        <f t="shared" si="153"/>
        <v>20.8698068965517</v>
      </c>
      <c r="Y246" s="77"/>
      <c r="Z246" s="77"/>
      <c r="AA246" s="77">
        <f t="shared" si="147"/>
        <v>20.8698068965517</v>
      </c>
      <c r="AB246" s="87">
        <v>7.26</v>
      </c>
      <c r="AC246" s="74">
        <f t="shared" si="148"/>
        <v>151.514798068966</v>
      </c>
      <c r="AD246" s="74">
        <f t="shared" si="149"/>
        <v>1203.56997048276</v>
      </c>
      <c r="AE246" s="74">
        <f t="shared" si="150"/>
        <v>135.430029517241</v>
      </c>
    </row>
    <row r="247" customFormat="1" spans="1:31">
      <c r="A247" s="94"/>
      <c r="B247" s="95"/>
      <c r="C247" s="96">
        <v>240705000004</v>
      </c>
      <c r="D247" s="21">
        <v>45484</v>
      </c>
      <c r="E247" s="21" t="s">
        <v>37</v>
      </c>
      <c r="F247" s="95" t="s">
        <v>37</v>
      </c>
      <c r="G247" s="95" t="s">
        <v>149</v>
      </c>
      <c r="H247" s="95">
        <v>326.5</v>
      </c>
      <c r="I247" s="41">
        <v>18016.5</v>
      </c>
      <c r="J247" s="42"/>
      <c r="K247" s="100"/>
      <c r="L247" s="95"/>
      <c r="M247" s="100"/>
      <c r="N247" s="101"/>
      <c r="O247" s="102">
        <f t="shared" si="157"/>
        <v>18016.5</v>
      </c>
      <c r="P247" s="51"/>
      <c r="Q247" s="51"/>
      <c r="R247" s="74">
        <f t="shared" si="151"/>
        <v>15586.4344827586</v>
      </c>
      <c r="S247" s="74"/>
      <c r="T247" s="75">
        <f t="shared" si="152"/>
        <v>27.0206896551724</v>
      </c>
      <c r="U247" s="74"/>
      <c r="V247" s="74"/>
      <c r="W247" s="76">
        <f t="shared" si="146"/>
        <v>15613.4551724138</v>
      </c>
      <c r="X247" s="77">
        <f t="shared" si="153"/>
        <v>309.726906896552</v>
      </c>
      <c r="Y247" s="77"/>
      <c r="Z247" s="77"/>
      <c r="AA247" s="77">
        <f t="shared" si="147"/>
        <v>309.726906896552</v>
      </c>
      <c r="AB247" s="87">
        <v>7.26</v>
      </c>
      <c r="AC247" s="74">
        <f t="shared" si="148"/>
        <v>2248.61734406897</v>
      </c>
      <c r="AD247" s="74">
        <f t="shared" si="149"/>
        <v>17862.0725164828</v>
      </c>
      <c r="AE247" s="74">
        <f t="shared" si="150"/>
        <v>154.427483517244</v>
      </c>
    </row>
    <row r="248" customFormat="1" spans="1:31">
      <c r="A248" s="94"/>
      <c r="B248" s="95"/>
      <c r="C248" s="97">
        <v>240705000005</v>
      </c>
      <c r="D248" s="23">
        <v>45484</v>
      </c>
      <c r="E248" s="21" t="s">
        <v>40</v>
      </c>
      <c r="F248" s="98" t="s">
        <v>41</v>
      </c>
      <c r="G248" s="98" t="s">
        <v>253</v>
      </c>
      <c r="H248" s="98">
        <v>3.5</v>
      </c>
      <c r="I248" s="41">
        <v>257.4</v>
      </c>
      <c r="J248" s="42"/>
      <c r="K248" s="100"/>
      <c r="L248" s="95"/>
      <c r="M248" s="100"/>
      <c r="N248" s="101"/>
      <c r="O248" s="102">
        <f t="shared" si="157"/>
        <v>257.4</v>
      </c>
      <c r="P248" s="51"/>
      <c r="Q248" s="51"/>
      <c r="R248" s="74">
        <f t="shared" si="151"/>
        <v>167.08275862069</v>
      </c>
      <c r="S248" s="74"/>
      <c r="T248" s="75">
        <f t="shared" si="152"/>
        <v>0.289655172413793</v>
      </c>
      <c r="U248" s="74"/>
      <c r="V248" s="74"/>
      <c r="W248" s="76">
        <f t="shared" si="146"/>
        <v>167.372413793103</v>
      </c>
      <c r="X248" s="77">
        <f t="shared" si="153"/>
        <v>3.32019655172414</v>
      </c>
      <c r="Y248" s="77"/>
      <c r="Z248" s="77"/>
      <c r="AA248" s="77">
        <f t="shared" si="147"/>
        <v>3.32019655172414</v>
      </c>
      <c r="AB248" s="87">
        <v>7.26</v>
      </c>
      <c r="AC248" s="74">
        <f t="shared" si="148"/>
        <v>24.1046269655172</v>
      </c>
      <c r="AD248" s="74">
        <f t="shared" si="149"/>
        <v>191.477040758621</v>
      </c>
      <c r="AE248" s="74">
        <f t="shared" si="150"/>
        <v>65.9229592413793</v>
      </c>
    </row>
    <row r="249" customFormat="1" spans="1:31">
      <c r="A249" s="94"/>
      <c r="B249" s="95"/>
      <c r="C249" s="96">
        <v>240705000007</v>
      </c>
      <c r="D249" s="21">
        <v>45484</v>
      </c>
      <c r="E249" s="21" t="s">
        <v>58</v>
      </c>
      <c r="F249" s="95" t="s">
        <v>59</v>
      </c>
      <c r="G249" s="95" t="s">
        <v>254</v>
      </c>
      <c r="H249" s="95">
        <v>2</v>
      </c>
      <c r="I249" s="41">
        <v>160</v>
      </c>
      <c r="J249" s="42"/>
      <c r="K249" s="100"/>
      <c r="L249" s="95"/>
      <c r="M249" s="100"/>
      <c r="N249" s="101"/>
      <c r="O249" s="102">
        <f t="shared" si="157"/>
        <v>160</v>
      </c>
      <c r="P249" s="51"/>
      <c r="Q249" s="51"/>
      <c r="R249" s="74">
        <f t="shared" si="151"/>
        <v>95.4758620689655</v>
      </c>
      <c r="S249" s="74"/>
      <c r="T249" s="75">
        <f t="shared" si="152"/>
        <v>0.16551724137931</v>
      </c>
      <c r="U249" s="74"/>
      <c r="V249" s="74"/>
      <c r="W249" s="76">
        <f t="shared" si="146"/>
        <v>95.6413793103448</v>
      </c>
      <c r="X249" s="77">
        <f t="shared" si="153"/>
        <v>1.89725517241379</v>
      </c>
      <c r="Y249" s="77"/>
      <c r="Z249" s="77"/>
      <c r="AA249" s="77">
        <f t="shared" si="147"/>
        <v>1.89725517241379</v>
      </c>
      <c r="AB249" s="87">
        <v>7.26</v>
      </c>
      <c r="AC249" s="74">
        <f t="shared" si="148"/>
        <v>13.7740725517241</v>
      </c>
      <c r="AD249" s="74">
        <f t="shared" si="149"/>
        <v>109.415451862069</v>
      </c>
      <c r="AE249" s="74">
        <f t="shared" si="150"/>
        <v>50.5845481379311</v>
      </c>
    </row>
    <row r="250" customFormat="1" spans="1:31">
      <c r="A250" s="94"/>
      <c r="B250" s="95"/>
      <c r="C250" s="96">
        <v>240705000013</v>
      </c>
      <c r="D250" s="21">
        <v>45484</v>
      </c>
      <c r="E250" s="21" t="s">
        <v>40</v>
      </c>
      <c r="F250" s="95" t="s">
        <v>41</v>
      </c>
      <c r="G250" s="95" t="s">
        <v>255</v>
      </c>
      <c r="H250" s="95">
        <v>29</v>
      </c>
      <c r="I250" s="41">
        <v>1827</v>
      </c>
      <c r="J250" s="42"/>
      <c r="K250" s="100"/>
      <c r="L250" s="95"/>
      <c r="M250" s="100"/>
      <c r="N250" s="101"/>
      <c r="O250" s="102">
        <f t="shared" si="157"/>
        <v>1827</v>
      </c>
      <c r="P250" s="51"/>
      <c r="Q250" s="51"/>
      <c r="R250" s="74">
        <f t="shared" si="151"/>
        <v>1384.4</v>
      </c>
      <c r="S250" s="74"/>
      <c r="T250" s="75">
        <f t="shared" si="152"/>
        <v>2.4</v>
      </c>
      <c r="U250" s="74"/>
      <c r="V250" s="74"/>
      <c r="W250" s="76">
        <f t="shared" si="146"/>
        <v>1386.8</v>
      </c>
      <c r="X250" s="77">
        <f t="shared" si="153"/>
        <v>27.5102</v>
      </c>
      <c r="Y250" s="77"/>
      <c r="Z250" s="77"/>
      <c r="AA250" s="77">
        <f t="shared" si="147"/>
        <v>27.5102</v>
      </c>
      <c r="AB250" s="87">
        <v>7.26</v>
      </c>
      <c r="AC250" s="74">
        <f t="shared" si="148"/>
        <v>199.724052</v>
      </c>
      <c r="AD250" s="74">
        <f t="shared" si="149"/>
        <v>1586.524052</v>
      </c>
      <c r="AE250" s="74">
        <f t="shared" si="150"/>
        <v>240.475948</v>
      </c>
    </row>
    <row r="251" customFormat="1" spans="1:31">
      <c r="A251" s="94"/>
      <c r="B251" s="95"/>
      <c r="C251" s="96">
        <v>240705000017</v>
      </c>
      <c r="D251" s="21">
        <v>45484</v>
      </c>
      <c r="E251" s="21" t="s">
        <v>40</v>
      </c>
      <c r="F251" s="95" t="s">
        <v>41</v>
      </c>
      <c r="G251" s="95" t="s">
        <v>256</v>
      </c>
      <c r="H251" s="95">
        <v>4</v>
      </c>
      <c r="I251" s="99"/>
      <c r="J251" s="48">
        <v>92700</v>
      </c>
      <c r="K251" s="100"/>
      <c r="L251" s="49">
        <f t="shared" ref="L251:L256" si="158">SUM(J251/M251)</f>
        <v>1575.45887151598</v>
      </c>
      <c r="M251" s="50">
        <v>58.84</v>
      </c>
      <c r="N251" s="101">
        <v>7.26</v>
      </c>
      <c r="O251" s="102">
        <f t="shared" ref="O251:O256" si="159">SUM(M251*N251)</f>
        <v>427.1784</v>
      </c>
      <c r="P251" s="51"/>
      <c r="Q251" s="51"/>
      <c r="R251" s="74">
        <f t="shared" si="151"/>
        <v>190.951724137931</v>
      </c>
      <c r="S251" s="74"/>
      <c r="T251" s="75">
        <f t="shared" si="152"/>
        <v>0.331034482758621</v>
      </c>
      <c r="U251" s="74"/>
      <c r="V251" s="74"/>
      <c r="W251" s="76">
        <f t="shared" si="146"/>
        <v>191.28275862069</v>
      </c>
      <c r="X251" s="77">
        <f t="shared" si="153"/>
        <v>3.79451034482759</v>
      </c>
      <c r="Y251" s="77"/>
      <c r="Z251" s="77"/>
      <c r="AA251" s="77">
        <f t="shared" si="147"/>
        <v>3.79451034482759</v>
      </c>
      <c r="AB251" s="87">
        <v>7.26</v>
      </c>
      <c r="AC251" s="74">
        <f t="shared" si="148"/>
        <v>27.5481451034483</v>
      </c>
      <c r="AD251" s="74">
        <f t="shared" si="149"/>
        <v>218.830903724138</v>
      </c>
      <c r="AE251" s="74">
        <f t="shared" si="150"/>
        <v>208.347496275862</v>
      </c>
    </row>
    <row r="252" customFormat="1" spans="1:31">
      <c r="A252" s="94"/>
      <c r="B252" s="95"/>
      <c r="C252" s="96">
        <v>240705000025</v>
      </c>
      <c r="D252" s="21">
        <v>45484</v>
      </c>
      <c r="E252" s="21" t="s">
        <v>40</v>
      </c>
      <c r="F252" s="95" t="s">
        <v>41</v>
      </c>
      <c r="G252" s="95" t="s">
        <v>257</v>
      </c>
      <c r="H252" s="95">
        <v>6</v>
      </c>
      <c r="I252" s="41">
        <v>422.4</v>
      </c>
      <c r="J252" s="42"/>
      <c r="K252" s="100"/>
      <c r="L252" s="95"/>
      <c r="M252" s="100"/>
      <c r="N252" s="101"/>
      <c r="O252" s="102">
        <f t="shared" ref="O252:O257" si="160">SUM(I252)</f>
        <v>422.4</v>
      </c>
      <c r="P252" s="51"/>
      <c r="Q252" s="51"/>
      <c r="R252" s="74">
        <f t="shared" si="151"/>
        <v>286.427586206897</v>
      </c>
      <c r="S252" s="74"/>
      <c r="T252" s="75">
        <f t="shared" si="152"/>
        <v>0.496551724137931</v>
      </c>
      <c r="U252" s="74"/>
      <c r="V252" s="74"/>
      <c r="W252" s="76">
        <f t="shared" si="146"/>
        <v>286.924137931034</v>
      </c>
      <c r="X252" s="77">
        <f t="shared" si="153"/>
        <v>5.69176551724138</v>
      </c>
      <c r="Y252" s="77"/>
      <c r="Z252" s="77"/>
      <c r="AA252" s="77">
        <f t="shared" si="147"/>
        <v>5.69176551724138</v>
      </c>
      <c r="AB252" s="87">
        <v>7.26</v>
      </c>
      <c r="AC252" s="74">
        <f t="shared" si="148"/>
        <v>41.3222176551724</v>
      </c>
      <c r="AD252" s="74">
        <f t="shared" si="149"/>
        <v>328.246355586207</v>
      </c>
      <c r="AE252" s="74">
        <f t="shared" si="150"/>
        <v>94.1536444137931</v>
      </c>
    </row>
    <row r="253" customFormat="1" spans="1:31">
      <c r="A253" s="94"/>
      <c r="B253" s="95"/>
      <c r="C253" s="96">
        <v>240705000034</v>
      </c>
      <c r="D253" s="21">
        <v>45484</v>
      </c>
      <c r="E253" s="21" t="s">
        <v>37</v>
      </c>
      <c r="F253" s="95" t="s">
        <v>37</v>
      </c>
      <c r="G253" s="95" t="s">
        <v>258</v>
      </c>
      <c r="H253" s="95">
        <v>17.5</v>
      </c>
      <c r="I253" s="102"/>
      <c r="J253" s="48">
        <v>270746</v>
      </c>
      <c r="K253" s="100"/>
      <c r="L253" s="49">
        <f t="shared" si="158"/>
        <v>1590.00469814423</v>
      </c>
      <c r="M253" s="50">
        <v>170.28</v>
      </c>
      <c r="N253" s="101">
        <v>7.26</v>
      </c>
      <c r="O253" s="102">
        <f t="shared" si="159"/>
        <v>1236.2328</v>
      </c>
      <c r="P253" s="51"/>
      <c r="Q253" s="51"/>
      <c r="R253" s="74">
        <f t="shared" si="151"/>
        <v>835.413793103448</v>
      </c>
      <c r="S253" s="74"/>
      <c r="T253" s="75">
        <f t="shared" si="152"/>
        <v>1.44827586206897</v>
      </c>
      <c r="U253" s="74"/>
      <c r="V253" s="74"/>
      <c r="W253" s="76">
        <f t="shared" si="146"/>
        <v>836.862068965517</v>
      </c>
      <c r="X253" s="77">
        <f t="shared" si="153"/>
        <v>16.6009827586207</v>
      </c>
      <c r="Y253" s="77"/>
      <c r="Z253" s="77"/>
      <c r="AA253" s="77">
        <f t="shared" si="147"/>
        <v>16.6009827586207</v>
      </c>
      <c r="AB253" s="87">
        <v>7.26</v>
      </c>
      <c r="AC253" s="74">
        <f t="shared" si="148"/>
        <v>120.523134827586</v>
      </c>
      <c r="AD253" s="74">
        <f t="shared" si="149"/>
        <v>957.385203793103</v>
      </c>
      <c r="AE253" s="74">
        <f t="shared" si="150"/>
        <v>278.847596206897</v>
      </c>
    </row>
    <row r="254" customFormat="1" spans="1:31">
      <c r="A254" s="94"/>
      <c r="B254" s="95"/>
      <c r="C254" s="96">
        <v>240705000035</v>
      </c>
      <c r="D254" s="21">
        <v>45484</v>
      </c>
      <c r="E254" s="21" t="s">
        <v>58</v>
      </c>
      <c r="F254" s="95" t="s">
        <v>59</v>
      </c>
      <c r="G254" s="95" t="s">
        <v>259</v>
      </c>
      <c r="H254" s="95">
        <v>14.5</v>
      </c>
      <c r="I254" s="41">
        <v>880.5</v>
      </c>
      <c r="J254" s="42"/>
      <c r="K254" s="100"/>
      <c r="L254" s="95"/>
      <c r="M254" s="100"/>
      <c r="N254" s="101"/>
      <c r="O254" s="102">
        <f t="shared" si="160"/>
        <v>880.5</v>
      </c>
      <c r="P254" s="51"/>
      <c r="Q254" s="51"/>
      <c r="R254" s="74">
        <f t="shared" si="151"/>
        <v>692.2</v>
      </c>
      <c r="S254" s="74"/>
      <c r="T254" s="75">
        <f t="shared" si="152"/>
        <v>1.2</v>
      </c>
      <c r="U254" s="74">
        <v>40</v>
      </c>
      <c r="V254" s="74"/>
      <c r="W254" s="76">
        <f t="shared" si="146"/>
        <v>733.4</v>
      </c>
      <c r="X254" s="77">
        <f t="shared" si="153"/>
        <v>13.7551</v>
      </c>
      <c r="Y254" s="77"/>
      <c r="Z254" s="77"/>
      <c r="AA254" s="77">
        <f t="shared" si="147"/>
        <v>13.7551</v>
      </c>
      <c r="AB254" s="87">
        <v>7.26</v>
      </c>
      <c r="AC254" s="74">
        <f t="shared" si="148"/>
        <v>99.862026</v>
      </c>
      <c r="AD254" s="74">
        <f t="shared" si="149"/>
        <v>833.262026</v>
      </c>
      <c r="AE254" s="74">
        <f t="shared" si="150"/>
        <v>47.237974</v>
      </c>
    </row>
    <row r="255" customFormat="1" spans="1:31">
      <c r="A255" s="94"/>
      <c r="B255" s="95"/>
      <c r="C255" s="96">
        <v>240705000042</v>
      </c>
      <c r="D255" s="21">
        <v>45484</v>
      </c>
      <c r="E255" s="21" t="s">
        <v>58</v>
      </c>
      <c r="F255" s="95" t="s">
        <v>59</v>
      </c>
      <c r="G255" s="95" t="s">
        <v>260</v>
      </c>
      <c r="H255" s="95">
        <v>0.24</v>
      </c>
      <c r="I255" s="102"/>
      <c r="J255" s="48">
        <v>15391</v>
      </c>
      <c r="K255" s="100"/>
      <c r="L255" s="49">
        <f t="shared" si="158"/>
        <v>1589.97933884298</v>
      </c>
      <c r="M255" s="50">
        <v>9.68</v>
      </c>
      <c r="N255" s="101">
        <v>7.26</v>
      </c>
      <c r="O255" s="102">
        <f t="shared" si="159"/>
        <v>70.2768</v>
      </c>
      <c r="P255" s="51"/>
      <c r="Q255" s="51"/>
      <c r="R255" s="74">
        <f t="shared" si="151"/>
        <v>11.4571034482759</v>
      </c>
      <c r="S255" s="74"/>
      <c r="T255" s="75">
        <f t="shared" si="152"/>
        <v>0.0198620689655172</v>
      </c>
      <c r="U255" s="74"/>
      <c r="V255" s="74"/>
      <c r="W255" s="76">
        <f t="shared" si="146"/>
        <v>11.4769655172414</v>
      </c>
      <c r="X255" s="77">
        <f t="shared" si="153"/>
        <v>0.227670620689655</v>
      </c>
      <c r="Y255" s="77"/>
      <c r="Z255" s="77"/>
      <c r="AA255" s="77">
        <f t="shared" si="147"/>
        <v>0.227670620689655</v>
      </c>
      <c r="AB255" s="87">
        <v>7.26</v>
      </c>
      <c r="AC255" s="74">
        <f t="shared" si="148"/>
        <v>1.6528887062069</v>
      </c>
      <c r="AD255" s="74">
        <f t="shared" si="149"/>
        <v>13.1298542234483</v>
      </c>
      <c r="AE255" s="74">
        <f t="shared" si="150"/>
        <v>57.1469457765517</v>
      </c>
    </row>
    <row r="256" customFormat="1" spans="1:31">
      <c r="A256" s="94"/>
      <c r="B256" s="95"/>
      <c r="C256" s="96">
        <v>240705000047</v>
      </c>
      <c r="D256" s="21">
        <v>45484</v>
      </c>
      <c r="E256" s="21" t="s">
        <v>37</v>
      </c>
      <c r="F256" s="95" t="s">
        <v>37</v>
      </c>
      <c r="G256" s="95" t="s">
        <v>168</v>
      </c>
      <c r="H256" s="95">
        <v>14.5</v>
      </c>
      <c r="I256" s="99"/>
      <c r="J256" s="48">
        <v>201465</v>
      </c>
      <c r="K256" s="100"/>
      <c r="L256" s="49">
        <f t="shared" si="158"/>
        <v>1597.28058352493</v>
      </c>
      <c r="M256" s="50">
        <v>126.13</v>
      </c>
      <c r="N256" s="101">
        <v>7.26</v>
      </c>
      <c r="O256" s="102">
        <f t="shared" si="159"/>
        <v>915.7038</v>
      </c>
      <c r="P256" s="51"/>
      <c r="Q256" s="51"/>
      <c r="R256" s="74">
        <f t="shared" si="151"/>
        <v>692.2</v>
      </c>
      <c r="S256" s="74"/>
      <c r="T256" s="75">
        <f t="shared" si="152"/>
        <v>1.2</v>
      </c>
      <c r="U256" s="74"/>
      <c r="V256" s="74"/>
      <c r="W256" s="76">
        <f t="shared" ref="W256:W297" si="161">SUM(R256:V256)</f>
        <v>693.4</v>
      </c>
      <c r="X256" s="77">
        <f t="shared" si="153"/>
        <v>13.7551</v>
      </c>
      <c r="Y256" s="77"/>
      <c r="Z256" s="77"/>
      <c r="AA256" s="77">
        <f t="shared" si="147"/>
        <v>13.7551</v>
      </c>
      <c r="AB256" s="87">
        <v>7.26</v>
      </c>
      <c r="AC256" s="74">
        <f t="shared" si="148"/>
        <v>99.862026</v>
      </c>
      <c r="AD256" s="74">
        <f t="shared" ref="AD256:AD297" si="162">SUM(W256+AC256)</f>
        <v>793.262026</v>
      </c>
      <c r="AE256" s="74">
        <f t="shared" si="150"/>
        <v>122.441774</v>
      </c>
    </row>
    <row r="257" customFormat="1" spans="1:31">
      <c r="A257" s="94"/>
      <c r="B257" s="95"/>
      <c r="C257" s="96">
        <v>240705000048</v>
      </c>
      <c r="D257" s="21">
        <v>45484</v>
      </c>
      <c r="E257" s="21" t="s">
        <v>37</v>
      </c>
      <c r="F257" s="95" t="s">
        <v>37</v>
      </c>
      <c r="G257" s="95" t="s">
        <v>148</v>
      </c>
      <c r="H257" s="95">
        <v>725.5</v>
      </c>
      <c r="I257" s="41">
        <v>37726</v>
      </c>
      <c r="J257" s="42"/>
      <c r="K257" s="100"/>
      <c r="L257" s="95"/>
      <c r="M257" s="100"/>
      <c r="N257" s="101"/>
      <c r="O257" s="102">
        <f t="shared" si="160"/>
        <v>37726</v>
      </c>
      <c r="P257" s="52"/>
      <c r="Q257" s="52"/>
      <c r="R257" s="74">
        <f t="shared" si="151"/>
        <v>34633.8689655172</v>
      </c>
      <c r="S257" s="74"/>
      <c r="T257" s="75">
        <f t="shared" si="152"/>
        <v>60.0413793103448</v>
      </c>
      <c r="U257" s="74"/>
      <c r="V257" s="74"/>
      <c r="W257" s="76">
        <f t="shared" si="161"/>
        <v>34693.9103448276</v>
      </c>
      <c r="X257" s="77">
        <f t="shared" si="153"/>
        <v>688.229313793103</v>
      </c>
      <c r="Y257" s="77"/>
      <c r="Z257" s="77"/>
      <c r="AA257" s="77">
        <f t="shared" si="147"/>
        <v>688.229313793103</v>
      </c>
      <c r="AB257" s="87">
        <v>7.26</v>
      </c>
      <c r="AC257" s="74">
        <f t="shared" ref="AC257:AC297" si="163">SUM(AA257*AB257)</f>
        <v>4996.54481813793</v>
      </c>
      <c r="AD257" s="74">
        <f t="shared" si="162"/>
        <v>39690.4551629655</v>
      </c>
      <c r="AE257" s="74">
        <f t="shared" ref="AE257:AE297" si="164">SUM(O257-AD257)</f>
        <v>-1964.45516296552</v>
      </c>
    </row>
    <row r="258" customFormat="1" spans="1:31">
      <c r="A258" s="18" t="s">
        <v>261</v>
      </c>
      <c r="B258" s="19" t="s">
        <v>262</v>
      </c>
      <c r="C258" s="20">
        <v>240704000003</v>
      </c>
      <c r="D258" s="21">
        <v>45484</v>
      </c>
      <c r="E258" s="21" t="s">
        <v>44</v>
      </c>
      <c r="F258" s="19" t="s">
        <v>45</v>
      </c>
      <c r="G258" s="19" t="s">
        <v>263</v>
      </c>
      <c r="H258" s="19">
        <v>2.5</v>
      </c>
      <c r="I258" s="47"/>
      <c r="J258" s="48">
        <v>33354</v>
      </c>
      <c r="K258" s="43"/>
      <c r="L258" s="49">
        <f t="shared" ref="L258:L263" si="165">SUM(J258/M258)</f>
        <v>1583.00901756051</v>
      </c>
      <c r="M258" s="50">
        <v>21.07</v>
      </c>
      <c r="N258" s="44">
        <v>7.26</v>
      </c>
      <c r="O258" s="102">
        <f t="shared" ref="O258:O263" si="166">SUM(M258*N258)</f>
        <v>152.9682</v>
      </c>
      <c r="P258" s="46">
        <f>SUM(O258:O297)</f>
        <v>123274.835</v>
      </c>
      <c r="Q258" s="46" t="s">
        <v>130</v>
      </c>
      <c r="R258" s="74">
        <f>SUM(79930/1872)*H258</f>
        <v>106.744123931624</v>
      </c>
      <c r="S258" s="74"/>
      <c r="T258" s="74">
        <f>SUM(161.75/1872)*H258</f>
        <v>0.216012286324786</v>
      </c>
      <c r="U258" s="74"/>
      <c r="V258" s="74"/>
      <c r="W258" s="76">
        <f t="shared" si="161"/>
        <v>106.960136217949</v>
      </c>
      <c r="X258" s="77">
        <f>SUM(1944.43/1872)*H258</f>
        <v>2.5967280982906</v>
      </c>
      <c r="Y258" s="77"/>
      <c r="Z258" s="77"/>
      <c r="AA258" s="77">
        <f t="shared" ref="AA258:AA297" si="167">SUM(X258:Z258)</f>
        <v>2.5967280982906</v>
      </c>
      <c r="AB258" s="87">
        <v>7.26</v>
      </c>
      <c r="AC258" s="74">
        <f t="shared" si="163"/>
        <v>18.8522459935897</v>
      </c>
      <c r="AD258" s="74">
        <f t="shared" si="162"/>
        <v>125.812382211538</v>
      </c>
      <c r="AE258" s="74">
        <f t="shared" si="164"/>
        <v>27.1558177884615</v>
      </c>
    </row>
    <row r="259" customFormat="1" spans="1:31">
      <c r="A259" s="18"/>
      <c r="B259" s="19"/>
      <c r="C259" s="20">
        <v>240704000010</v>
      </c>
      <c r="D259" s="21">
        <v>45484</v>
      </c>
      <c r="E259" s="21" t="s">
        <v>40</v>
      </c>
      <c r="F259" s="19" t="s">
        <v>41</v>
      </c>
      <c r="G259" s="19" t="s">
        <v>264</v>
      </c>
      <c r="H259" s="19">
        <v>19</v>
      </c>
      <c r="I259" s="47"/>
      <c r="J259" s="48">
        <v>238700</v>
      </c>
      <c r="K259" s="43"/>
      <c r="L259" s="49">
        <f t="shared" si="165"/>
        <v>1597.2965738758</v>
      </c>
      <c r="M259" s="50">
        <v>149.44</v>
      </c>
      <c r="N259" s="44">
        <v>7.26</v>
      </c>
      <c r="O259" s="102">
        <f t="shared" si="166"/>
        <v>1084.9344</v>
      </c>
      <c r="P259" s="51"/>
      <c r="Q259" s="51"/>
      <c r="R259" s="74">
        <f t="shared" ref="R259:R297" si="168">SUM(79930/1872)*H259</f>
        <v>811.255341880342</v>
      </c>
      <c r="S259" s="74"/>
      <c r="T259" s="74">
        <f t="shared" ref="T259:T297" si="169">SUM(161.75/1872)*H259</f>
        <v>1.64169337606838</v>
      </c>
      <c r="U259" s="74">
        <v>40</v>
      </c>
      <c r="V259" s="74"/>
      <c r="W259" s="76">
        <f t="shared" si="161"/>
        <v>852.89703525641</v>
      </c>
      <c r="X259" s="77">
        <f t="shared" ref="X259:X297" si="170">SUM(1944.43/1872)*H259</f>
        <v>19.7351335470085</v>
      </c>
      <c r="Y259" s="77"/>
      <c r="Z259" s="77"/>
      <c r="AA259" s="77">
        <f t="shared" si="167"/>
        <v>19.7351335470085</v>
      </c>
      <c r="AB259" s="87">
        <v>7.26</v>
      </c>
      <c r="AC259" s="74">
        <f t="shared" si="163"/>
        <v>143.277069551282</v>
      </c>
      <c r="AD259" s="74">
        <f t="shared" si="162"/>
        <v>996.174104807692</v>
      </c>
      <c r="AE259" s="74">
        <f t="shared" si="164"/>
        <v>88.7602951923075</v>
      </c>
    </row>
    <row r="260" customFormat="1" spans="1:31">
      <c r="A260" s="18"/>
      <c r="B260" s="19"/>
      <c r="C260" s="20">
        <v>240704000016</v>
      </c>
      <c r="D260" s="21">
        <v>45484</v>
      </c>
      <c r="E260" s="21" t="s">
        <v>37</v>
      </c>
      <c r="F260" s="19" t="s">
        <v>37</v>
      </c>
      <c r="G260" s="19" t="s">
        <v>62</v>
      </c>
      <c r="H260" s="19">
        <v>10</v>
      </c>
      <c r="I260" s="41">
        <v>676</v>
      </c>
      <c r="J260" s="42"/>
      <c r="K260" s="43"/>
      <c r="L260" s="19"/>
      <c r="M260" s="43"/>
      <c r="N260" s="44"/>
      <c r="O260" s="45">
        <f t="shared" ref="O260:O264" si="171">SUM(I260)</f>
        <v>676</v>
      </c>
      <c r="P260" s="51"/>
      <c r="Q260" s="51"/>
      <c r="R260" s="74">
        <f t="shared" si="168"/>
        <v>426.976495726496</v>
      </c>
      <c r="S260" s="74"/>
      <c r="T260" s="74">
        <f t="shared" si="169"/>
        <v>0.864049145299145</v>
      </c>
      <c r="U260" s="74"/>
      <c r="V260" s="74"/>
      <c r="W260" s="76">
        <f t="shared" si="161"/>
        <v>427.840544871795</v>
      </c>
      <c r="X260" s="77">
        <f t="shared" si="170"/>
        <v>10.3869123931624</v>
      </c>
      <c r="Y260" s="77"/>
      <c r="Z260" s="77"/>
      <c r="AA260" s="77">
        <f t="shared" si="167"/>
        <v>10.3869123931624</v>
      </c>
      <c r="AB260" s="87">
        <v>7.26</v>
      </c>
      <c r="AC260" s="74">
        <f t="shared" si="163"/>
        <v>75.408983974359</v>
      </c>
      <c r="AD260" s="74">
        <f t="shared" si="162"/>
        <v>503.249528846154</v>
      </c>
      <c r="AE260" s="74">
        <f t="shared" si="164"/>
        <v>172.750471153846</v>
      </c>
    </row>
    <row r="261" customFormat="1" spans="1:31">
      <c r="A261" s="18"/>
      <c r="B261" s="19"/>
      <c r="C261" s="20">
        <v>240704000021</v>
      </c>
      <c r="D261" s="21">
        <v>45484</v>
      </c>
      <c r="E261" s="21" t="s">
        <v>44</v>
      </c>
      <c r="F261" s="19" t="s">
        <v>45</v>
      </c>
      <c r="G261" s="19" t="s">
        <v>265</v>
      </c>
      <c r="H261" s="19">
        <v>6</v>
      </c>
      <c r="I261" s="41">
        <v>493</v>
      </c>
      <c r="J261" s="42"/>
      <c r="K261" s="43"/>
      <c r="L261" s="19"/>
      <c r="M261" s="43"/>
      <c r="N261" s="44"/>
      <c r="O261" s="45">
        <f t="shared" si="171"/>
        <v>493</v>
      </c>
      <c r="P261" s="51"/>
      <c r="Q261" s="51"/>
      <c r="R261" s="74">
        <f t="shared" si="168"/>
        <v>256.185897435897</v>
      </c>
      <c r="S261" s="74"/>
      <c r="T261" s="74">
        <f t="shared" si="169"/>
        <v>0.518429487179487</v>
      </c>
      <c r="U261" s="74">
        <v>30</v>
      </c>
      <c r="V261" s="74"/>
      <c r="W261" s="76">
        <f t="shared" si="161"/>
        <v>286.704326923077</v>
      </c>
      <c r="X261" s="77">
        <f t="shared" si="170"/>
        <v>6.23214743589744</v>
      </c>
      <c r="Y261" s="77"/>
      <c r="Z261" s="77"/>
      <c r="AA261" s="77">
        <f t="shared" si="167"/>
        <v>6.23214743589744</v>
      </c>
      <c r="AB261" s="87">
        <v>7.26</v>
      </c>
      <c r="AC261" s="74">
        <f t="shared" si="163"/>
        <v>45.2453903846154</v>
      </c>
      <c r="AD261" s="74">
        <f t="shared" si="162"/>
        <v>331.949717307692</v>
      </c>
      <c r="AE261" s="74">
        <f t="shared" si="164"/>
        <v>161.050282692308</v>
      </c>
    </row>
    <row r="262" customFormat="1" spans="1:31">
      <c r="A262" s="18"/>
      <c r="B262" s="19"/>
      <c r="C262" s="20">
        <v>240704000024</v>
      </c>
      <c r="D262" s="21">
        <v>45484</v>
      </c>
      <c r="E262" s="21" t="s">
        <v>40</v>
      </c>
      <c r="F262" s="19" t="s">
        <v>41</v>
      </c>
      <c r="G262" s="19" t="s">
        <v>87</v>
      </c>
      <c r="H262" s="19">
        <v>22.5</v>
      </c>
      <c r="I262" s="47"/>
      <c r="J262" s="48">
        <v>306450</v>
      </c>
      <c r="K262" s="43"/>
      <c r="L262" s="49">
        <f t="shared" si="165"/>
        <v>1648.02366227481</v>
      </c>
      <c r="M262" s="50">
        <v>185.95</v>
      </c>
      <c r="N262" s="44">
        <v>7.26</v>
      </c>
      <c r="O262" s="102">
        <f t="shared" si="166"/>
        <v>1349.997</v>
      </c>
      <c r="P262" s="51"/>
      <c r="Q262" s="51"/>
      <c r="R262" s="74">
        <f t="shared" si="168"/>
        <v>960.697115384615</v>
      </c>
      <c r="S262" s="74"/>
      <c r="T262" s="74">
        <f t="shared" si="169"/>
        <v>1.94411057692308</v>
      </c>
      <c r="U262" s="74"/>
      <c r="V262" s="74"/>
      <c r="W262" s="76">
        <f t="shared" si="161"/>
        <v>962.641225961539</v>
      </c>
      <c r="X262" s="77">
        <f t="shared" si="170"/>
        <v>23.3705528846154</v>
      </c>
      <c r="Y262" s="77"/>
      <c r="Z262" s="77"/>
      <c r="AA262" s="77">
        <f t="shared" si="167"/>
        <v>23.3705528846154</v>
      </c>
      <c r="AB262" s="87">
        <v>7.26</v>
      </c>
      <c r="AC262" s="74">
        <f t="shared" si="163"/>
        <v>169.670213942308</v>
      </c>
      <c r="AD262" s="74">
        <f t="shared" si="162"/>
        <v>1132.31143990385</v>
      </c>
      <c r="AE262" s="74">
        <f t="shared" si="164"/>
        <v>217.685560096153</v>
      </c>
    </row>
    <row r="263" customFormat="1" spans="1:31">
      <c r="A263" s="18"/>
      <c r="B263" s="19"/>
      <c r="C263" s="20">
        <v>240704000025</v>
      </c>
      <c r="D263" s="21">
        <v>45484</v>
      </c>
      <c r="E263" s="21" t="s">
        <v>44</v>
      </c>
      <c r="F263" s="19" t="s">
        <v>45</v>
      </c>
      <c r="G263" s="19" t="s">
        <v>266</v>
      </c>
      <c r="H263" s="19">
        <v>1.5</v>
      </c>
      <c r="I263" s="47"/>
      <c r="J263" s="48">
        <v>20500</v>
      </c>
      <c r="K263" s="43"/>
      <c r="L263" s="49">
        <f t="shared" si="165"/>
        <v>1601.5625</v>
      </c>
      <c r="M263" s="50">
        <v>12.8</v>
      </c>
      <c r="N263" s="44">
        <v>7.26</v>
      </c>
      <c r="O263" s="102">
        <f t="shared" si="166"/>
        <v>92.928</v>
      </c>
      <c r="P263" s="51"/>
      <c r="Q263" s="51"/>
      <c r="R263" s="74">
        <f t="shared" si="168"/>
        <v>64.0464743589744</v>
      </c>
      <c r="S263" s="74"/>
      <c r="T263" s="74">
        <f t="shared" si="169"/>
        <v>0.129607371794872</v>
      </c>
      <c r="U263" s="74"/>
      <c r="V263" s="74"/>
      <c r="W263" s="76">
        <f t="shared" si="161"/>
        <v>64.1760817307692</v>
      </c>
      <c r="X263" s="77">
        <f t="shared" si="170"/>
        <v>1.55803685897436</v>
      </c>
      <c r="Y263" s="77"/>
      <c r="Z263" s="77"/>
      <c r="AA263" s="77">
        <f t="shared" si="167"/>
        <v>1.55803685897436</v>
      </c>
      <c r="AB263" s="87">
        <v>7.26</v>
      </c>
      <c r="AC263" s="74">
        <f t="shared" si="163"/>
        <v>11.3113475961538</v>
      </c>
      <c r="AD263" s="74">
        <f t="shared" si="162"/>
        <v>75.4874293269231</v>
      </c>
      <c r="AE263" s="74">
        <f t="shared" si="164"/>
        <v>17.4405706730769</v>
      </c>
    </row>
    <row r="264" customFormat="1" spans="1:31">
      <c r="A264" s="18"/>
      <c r="B264" s="19"/>
      <c r="C264" s="20">
        <v>240705000010</v>
      </c>
      <c r="D264" s="21">
        <v>45484</v>
      </c>
      <c r="E264" s="21" t="s">
        <v>40</v>
      </c>
      <c r="F264" s="19" t="s">
        <v>41</v>
      </c>
      <c r="G264" s="19" t="s">
        <v>255</v>
      </c>
      <c r="H264" s="19">
        <v>7</v>
      </c>
      <c r="I264" s="41">
        <v>385</v>
      </c>
      <c r="J264" s="42"/>
      <c r="K264" s="43"/>
      <c r="L264" s="19"/>
      <c r="M264" s="43"/>
      <c r="N264" s="44"/>
      <c r="O264" s="45">
        <f t="shared" si="171"/>
        <v>385</v>
      </c>
      <c r="P264" s="51"/>
      <c r="Q264" s="51"/>
      <c r="R264" s="74">
        <f t="shared" si="168"/>
        <v>298.883547008547</v>
      </c>
      <c r="S264" s="74"/>
      <c r="T264" s="74">
        <f t="shared" si="169"/>
        <v>0.604834401709402</v>
      </c>
      <c r="U264" s="74"/>
      <c r="V264" s="74"/>
      <c r="W264" s="76">
        <f t="shared" si="161"/>
        <v>299.488381410256</v>
      </c>
      <c r="X264" s="77">
        <f t="shared" si="170"/>
        <v>7.27083867521367</v>
      </c>
      <c r="Y264" s="77"/>
      <c r="Z264" s="77"/>
      <c r="AA264" s="77">
        <f t="shared" si="167"/>
        <v>7.27083867521367</v>
      </c>
      <c r="AB264" s="87">
        <v>7.26</v>
      </c>
      <c r="AC264" s="74">
        <f t="shared" si="163"/>
        <v>52.7862887820513</v>
      </c>
      <c r="AD264" s="74">
        <f t="shared" si="162"/>
        <v>352.274670192308</v>
      </c>
      <c r="AE264" s="74">
        <f t="shared" si="164"/>
        <v>32.7253298076923</v>
      </c>
    </row>
    <row r="265" customFormat="1" spans="1:31">
      <c r="A265" s="18"/>
      <c r="B265" s="19"/>
      <c r="C265" s="20">
        <v>240705000014</v>
      </c>
      <c r="D265" s="21">
        <v>45484</v>
      </c>
      <c r="E265" s="21" t="s">
        <v>40</v>
      </c>
      <c r="F265" s="19" t="s">
        <v>41</v>
      </c>
      <c r="G265" s="19" t="s">
        <v>267</v>
      </c>
      <c r="H265" s="19">
        <v>0.79</v>
      </c>
      <c r="I265" s="47"/>
      <c r="J265" s="48">
        <v>13860</v>
      </c>
      <c r="K265" s="43"/>
      <c r="L265" s="49">
        <f t="shared" ref="L265:L270" si="172">SUM(J265/M265)</f>
        <v>1598.61591695502</v>
      </c>
      <c r="M265" s="50">
        <v>8.67</v>
      </c>
      <c r="N265" s="44">
        <v>7.26</v>
      </c>
      <c r="O265" s="102">
        <f t="shared" ref="O265:O270" si="173">SUM(M265*N265)</f>
        <v>62.9442</v>
      </c>
      <c r="P265" s="51"/>
      <c r="Q265" s="51"/>
      <c r="R265" s="74">
        <f t="shared" si="168"/>
        <v>33.7311431623932</v>
      </c>
      <c r="S265" s="74"/>
      <c r="T265" s="74">
        <f t="shared" si="169"/>
        <v>0.0682598824786325</v>
      </c>
      <c r="U265" s="74"/>
      <c r="V265" s="74"/>
      <c r="W265" s="76">
        <f t="shared" si="161"/>
        <v>33.7994030448718</v>
      </c>
      <c r="X265" s="77">
        <f t="shared" si="170"/>
        <v>0.820566079059829</v>
      </c>
      <c r="Y265" s="77"/>
      <c r="Z265" s="77"/>
      <c r="AA265" s="77">
        <f t="shared" si="167"/>
        <v>0.820566079059829</v>
      </c>
      <c r="AB265" s="87">
        <v>7.26</v>
      </c>
      <c r="AC265" s="74">
        <f t="shared" si="163"/>
        <v>5.95730973397436</v>
      </c>
      <c r="AD265" s="74">
        <f t="shared" si="162"/>
        <v>39.7567127788462</v>
      </c>
      <c r="AE265" s="74">
        <f t="shared" si="164"/>
        <v>23.1874872211538</v>
      </c>
    </row>
    <row r="266" customFormat="1" spans="1:31">
      <c r="A266" s="18"/>
      <c r="B266" s="19"/>
      <c r="C266" s="20">
        <v>240705000019</v>
      </c>
      <c r="D266" s="21">
        <v>45484</v>
      </c>
      <c r="E266" s="21" t="s">
        <v>44</v>
      </c>
      <c r="F266" s="19" t="s">
        <v>45</v>
      </c>
      <c r="G266" s="19" t="s">
        <v>268</v>
      </c>
      <c r="H266" s="19">
        <v>8.5</v>
      </c>
      <c r="I266" s="41">
        <v>484.5</v>
      </c>
      <c r="J266" s="42"/>
      <c r="K266" s="43"/>
      <c r="L266" s="19"/>
      <c r="M266" s="43"/>
      <c r="N266" s="44"/>
      <c r="O266" s="45">
        <f t="shared" ref="O266:O272" si="174">SUM(I266)</f>
        <v>484.5</v>
      </c>
      <c r="P266" s="51"/>
      <c r="Q266" s="51"/>
      <c r="R266" s="74">
        <f t="shared" si="168"/>
        <v>362.930021367521</v>
      </c>
      <c r="S266" s="74"/>
      <c r="T266" s="74">
        <f t="shared" si="169"/>
        <v>0.734441773504274</v>
      </c>
      <c r="U266" s="74"/>
      <c r="V266" s="74"/>
      <c r="W266" s="76">
        <f t="shared" si="161"/>
        <v>363.664463141026</v>
      </c>
      <c r="X266" s="77">
        <f t="shared" si="170"/>
        <v>8.82887553418803</v>
      </c>
      <c r="Y266" s="77"/>
      <c r="Z266" s="77"/>
      <c r="AA266" s="77">
        <f t="shared" si="167"/>
        <v>8.82887553418803</v>
      </c>
      <c r="AB266" s="87">
        <v>7.26</v>
      </c>
      <c r="AC266" s="74">
        <f t="shared" si="163"/>
        <v>64.0976363782051</v>
      </c>
      <c r="AD266" s="74">
        <f t="shared" si="162"/>
        <v>427.762099519231</v>
      </c>
      <c r="AE266" s="74">
        <f t="shared" si="164"/>
        <v>56.7379004807692</v>
      </c>
    </row>
    <row r="267" customFormat="1" spans="1:31">
      <c r="A267" s="18"/>
      <c r="B267" s="19"/>
      <c r="C267" s="20">
        <v>240705000023</v>
      </c>
      <c r="D267" s="21">
        <v>45484</v>
      </c>
      <c r="E267" s="21" t="s">
        <v>40</v>
      </c>
      <c r="F267" s="19" t="s">
        <v>41</v>
      </c>
      <c r="G267" s="19" t="s">
        <v>139</v>
      </c>
      <c r="H267" s="19">
        <v>18</v>
      </c>
      <c r="I267" s="41">
        <v>1080</v>
      </c>
      <c r="J267" s="42"/>
      <c r="K267" s="43"/>
      <c r="L267" s="19"/>
      <c r="M267" s="43"/>
      <c r="N267" s="44"/>
      <c r="O267" s="45">
        <f t="shared" si="174"/>
        <v>1080</v>
      </c>
      <c r="P267" s="51"/>
      <c r="Q267" s="51"/>
      <c r="R267" s="74">
        <f t="shared" si="168"/>
        <v>768.557692307692</v>
      </c>
      <c r="S267" s="74"/>
      <c r="T267" s="74">
        <f t="shared" si="169"/>
        <v>1.55528846153846</v>
      </c>
      <c r="U267" s="74"/>
      <c r="V267" s="74"/>
      <c r="W267" s="76">
        <f t="shared" si="161"/>
        <v>770.112980769231</v>
      </c>
      <c r="X267" s="77">
        <f t="shared" si="170"/>
        <v>18.6964423076923</v>
      </c>
      <c r="Y267" s="77"/>
      <c r="Z267" s="77"/>
      <c r="AA267" s="77">
        <f t="shared" si="167"/>
        <v>18.6964423076923</v>
      </c>
      <c r="AB267" s="87">
        <v>7.26</v>
      </c>
      <c r="AC267" s="74">
        <f t="shared" si="163"/>
        <v>135.736171153846</v>
      </c>
      <c r="AD267" s="74">
        <f t="shared" si="162"/>
        <v>905.849151923077</v>
      </c>
      <c r="AE267" s="74">
        <f t="shared" si="164"/>
        <v>174.150848076923</v>
      </c>
    </row>
    <row r="268" customFormat="1" spans="1:31">
      <c r="A268" s="18"/>
      <c r="B268" s="19"/>
      <c r="C268" s="20">
        <v>240705000026</v>
      </c>
      <c r="D268" s="21">
        <v>45484</v>
      </c>
      <c r="E268" s="21" t="s">
        <v>40</v>
      </c>
      <c r="F268" s="19" t="s">
        <v>41</v>
      </c>
      <c r="G268" s="19" t="s">
        <v>242</v>
      </c>
      <c r="H268" s="19">
        <v>27.5</v>
      </c>
      <c r="I268" s="47"/>
      <c r="J268" s="48">
        <v>383625</v>
      </c>
      <c r="K268" s="43"/>
      <c r="L268" s="49">
        <f t="shared" si="172"/>
        <v>1633.55901890649</v>
      </c>
      <c r="M268" s="50">
        <v>234.84</v>
      </c>
      <c r="N268" s="44">
        <v>7.26</v>
      </c>
      <c r="O268" s="102">
        <f t="shared" si="173"/>
        <v>1704.9384</v>
      </c>
      <c r="P268" s="51"/>
      <c r="Q268" s="51"/>
      <c r="R268" s="74">
        <f t="shared" si="168"/>
        <v>1174.18536324786</v>
      </c>
      <c r="S268" s="74"/>
      <c r="T268" s="74">
        <f t="shared" si="169"/>
        <v>2.37613514957265</v>
      </c>
      <c r="U268" s="74"/>
      <c r="V268" s="74"/>
      <c r="W268" s="76">
        <f t="shared" si="161"/>
        <v>1176.56149839744</v>
      </c>
      <c r="X268" s="77">
        <f t="shared" si="170"/>
        <v>28.5640090811966</v>
      </c>
      <c r="Y268" s="77"/>
      <c r="Z268" s="77"/>
      <c r="AA268" s="77">
        <f t="shared" si="167"/>
        <v>28.5640090811966</v>
      </c>
      <c r="AB268" s="87">
        <v>7.26</v>
      </c>
      <c r="AC268" s="74">
        <f t="shared" si="163"/>
        <v>207.374705929487</v>
      </c>
      <c r="AD268" s="74">
        <f t="shared" si="162"/>
        <v>1383.93620432692</v>
      </c>
      <c r="AE268" s="74">
        <f t="shared" si="164"/>
        <v>321.002195673077</v>
      </c>
    </row>
    <row r="269" customFormat="1" spans="1:31">
      <c r="A269" s="18"/>
      <c r="B269" s="19"/>
      <c r="C269" s="20">
        <v>240705000028</v>
      </c>
      <c r="D269" s="21">
        <v>45484</v>
      </c>
      <c r="E269" s="21" t="s">
        <v>44</v>
      </c>
      <c r="F269" s="19" t="s">
        <v>45</v>
      </c>
      <c r="G269" s="19" t="s">
        <v>269</v>
      </c>
      <c r="H269" s="19">
        <v>436</v>
      </c>
      <c r="I269" s="53">
        <v>18596</v>
      </c>
      <c r="J269" s="48">
        <v>1760000</v>
      </c>
      <c r="K269" s="43"/>
      <c r="L269" s="49">
        <f t="shared" si="172"/>
        <v>1597.21213881225</v>
      </c>
      <c r="M269" s="50">
        <v>1101.92</v>
      </c>
      <c r="N269" s="44">
        <v>7.26</v>
      </c>
      <c r="O269" s="45">
        <f>SUM(M269*N269)+I269</f>
        <v>26595.9392</v>
      </c>
      <c r="P269" s="51"/>
      <c r="Q269" s="51"/>
      <c r="R269" s="74">
        <f t="shared" si="168"/>
        <v>18616.1752136752</v>
      </c>
      <c r="S269" s="74"/>
      <c r="T269" s="74">
        <f t="shared" si="169"/>
        <v>37.6725427350427</v>
      </c>
      <c r="U269" s="74"/>
      <c r="V269" s="74"/>
      <c r="W269" s="76">
        <f t="shared" si="161"/>
        <v>18653.8477564103</v>
      </c>
      <c r="X269" s="77">
        <f t="shared" si="170"/>
        <v>452.86938034188</v>
      </c>
      <c r="Y269" s="77"/>
      <c r="Z269" s="77"/>
      <c r="AA269" s="77">
        <f t="shared" si="167"/>
        <v>452.86938034188</v>
      </c>
      <c r="AB269" s="87">
        <v>7.26</v>
      </c>
      <c r="AC269" s="74">
        <f t="shared" si="163"/>
        <v>3287.83170128205</v>
      </c>
      <c r="AD269" s="74">
        <f t="shared" si="162"/>
        <v>21941.6794576923</v>
      </c>
      <c r="AE269" s="74">
        <f t="shared" si="164"/>
        <v>4654.25974230769</v>
      </c>
    </row>
    <row r="270" customFormat="1" spans="1:31">
      <c r="A270" s="18"/>
      <c r="B270" s="19"/>
      <c r="C270" s="20">
        <v>240705000033</v>
      </c>
      <c r="D270" s="21">
        <v>45484</v>
      </c>
      <c r="E270" s="21" t="s">
        <v>81</v>
      </c>
      <c r="F270" s="19" t="s">
        <v>270</v>
      </c>
      <c r="G270" s="19" t="s">
        <v>271</v>
      </c>
      <c r="H270" s="19">
        <v>23</v>
      </c>
      <c r="I270" s="45"/>
      <c r="J270" s="48">
        <v>281248</v>
      </c>
      <c r="K270" s="43"/>
      <c r="L270" s="49">
        <f t="shared" si="172"/>
        <v>1598</v>
      </c>
      <c r="M270" s="50">
        <v>176</v>
      </c>
      <c r="N270" s="44">
        <v>7.26</v>
      </c>
      <c r="O270" s="45">
        <f t="shared" si="173"/>
        <v>1277.76</v>
      </c>
      <c r="P270" s="51"/>
      <c r="Q270" s="51"/>
      <c r="R270" s="74">
        <f t="shared" si="168"/>
        <v>982.04594017094</v>
      </c>
      <c r="S270" s="74"/>
      <c r="T270" s="74">
        <f t="shared" si="169"/>
        <v>1.98731303418803</v>
      </c>
      <c r="U270" s="74"/>
      <c r="V270" s="74"/>
      <c r="W270" s="76">
        <f t="shared" si="161"/>
        <v>984.033253205128</v>
      </c>
      <c r="X270" s="77">
        <f t="shared" si="170"/>
        <v>23.8898985042735</v>
      </c>
      <c r="Y270" s="77"/>
      <c r="Z270" s="77"/>
      <c r="AA270" s="77">
        <f t="shared" si="167"/>
        <v>23.8898985042735</v>
      </c>
      <c r="AB270" s="87">
        <v>7.26</v>
      </c>
      <c r="AC270" s="74">
        <f t="shared" si="163"/>
        <v>173.440663141026</v>
      </c>
      <c r="AD270" s="74">
        <f t="shared" si="162"/>
        <v>1157.47391634615</v>
      </c>
      <c r="AE270" s="74">
        <f t="shared" si="164"/>
        <v>120.286083653846</v>
      </c>
    </row>
    <row r="271" customFormat="1" spans="1:31">
      <c r="A271" s="18"/>
      <c r="B271" s="19"/>
      <c r="C271" s="20">
        <v>240705000037</v>
      </c>
      <c r="D271" s="21">
        <v>45484</v>
      </c>
      <c r="E271" s="21" t="s">
        <v>44</v>
      </c>
      <c r="F271" s="19" t="s">
        <v>45</v>
      </c>
      <c r="G271" s="19" t="s">
        <v>92</v>
      </c>
      <c r="H271" s="19">
        <v>47.5</v>
      </c>
      <c r="I271" s="41">
        <v>2962.5</v>
      </c>
      <c r="J271" s="42"/>
      <c r="K271" s="43"/>
      <c r="L271" s="19"/>
      <c r="M271" s="43"/>
      <c r="N271" s="44"/>
      <c r="O271" s="45">
        <f t="shared" si="174"/>
        <v>2962.5</v>
      </c>
      <c r="P271" s="51"/>
      <c r="Q271" s="51"/>
      <c r="R271" s="74">
        <f t="shared" si="168"/>
        <v>2028.13835470085</v>
      </c>
      <c r="S271" s="74"/>
      <c r="T271" s="74">
        <f t="shared" si="169"/>
        <v>4.10423344017094</v>
      </c>
      <c r="U271" s="74"/>
      <c r="V271" s="74"/>
      <c r="W271" s="76">
        <f t="shared" si="161"/>
        <v>2032.24258814103</v>
      </c>
      <c r="X271" s="77">
        <f t="shared" si="170"/>
        <v>49.3378338675214</v>
      </c>
      <c r="Y271" s="77"/>
      <c r="Z271" s="77"/>
      <c r="AA271" s="77">
        <f t="shared" si="167"/>
        <v>49.3378338675214</v>
      </c>
      <c r="AB271" s="87">
        <v>7.26</v>
      </c>
      <c r="AC271" s="74">
        <f t="shared" si="163"/>
        <v>358.192673878205</v>
      </c>
      <c r="AD271" s="74">
        <f t="shared" si="162"/>
        <v>2390.43526201923</v>
      </c>
      <c r="AE271" s="74">
        <f t="shared" si="164"/>
        <v>572.064737980769</v>
      </c>
    </row>
    <row r="272" customFormat="1" spans="1:31">
      <c r="A272" s="18"/>
      <c r="B272" s="19"/>
      <c r="C272" s="20">
        <v>240705000039</v>
      </c>
      <c r="D272" s="21">
        <v>45484</v>
      </c>
      <c r="E272" s="21" t="s">
        <v>44</v>
      </c>
      <c r="F272" s="19" t="s">
        <v>45</v>
      </c>
      <c r="G272" s="19" t="s">
        <v>272</v>
      </c>
      <c r="H272" s="19">
        <v>138</v>
      </c>
      <c r="I272" s="41">
        <v>14145</v>
      </c>
      <c r="J272" s="42"/>
      <c r="K272" s="43"/>
      <c r="L272" s="19"/>
      <c r="M272" s="43"/>
      <c r="N272" s="44"/>
      <c r="O272" s="45">
        <f t="shared" si="174"/>
        <v>14145</v>
      </c>
      <c r="P272" s="51"/>
      <c r="Q272" s="51"/>
      <c r="R272" s="74">
        <f t="shared" si="168"/>
        <v>5892.27564102564</v>
      </c>
      <c r="S272" s="74"/>
      <c r="T272" s="74">
        <f t="shared" si="169"/>
        <v>11.9238782051282</v>
      </c>
      <c r="U272" s="74"/>
      <c r="V272" s="74"/>
      <c r="W272" s="76">
        <f t="shared" si="161"/>
        <v>5904.19951923077</v>
      </c>
      <c r="X272" s="77">
        <f t="shared" si="170"/>
        <v>143.339391025641</v>
      </c>
      <c r="Y272" s="77"/>
      <c r="Z272" s="77"/>
      <c r="AA272" s="77">
        <f t="shared" si="167"/>
        <v>143.339391025641</v>
      </c>
      <c r="AB272" s="87">
        <v>7.26</v>
      </c>
      <c r="AC272" s="74">
        <f t="shared" si="163"/>
        <v>1040.64397884615</v>
      </c>
      <c r="AD272" s="74">
        <f t="shared" si="162"/>
        <v>6944.84349807692</v>
      </c>
      <c r="AE272" s="74">
        <f t="shared" si="164"/>
        <v>7200.15650192308</v>
      </c>
    </row>
    <row r="273" customFormat="1" spans="1:31">
      <c r="A273" s="18"/>
      <c r="B273" s="19"/>
      <c r="C273" s="20">
        <v>240705000041</v>
      </c>
      <c r="D273" s="21">
        <v>45484</v>
      </c>
      <c r="E273" s="21" t="s">
        <v>58</v>
      </c>
      <c r="F273" s="19" t="s">
        <v>59</v>
      </c>
      <c r="G273" s="19" t="s">
        <v>260</v>
      </c>
      <c r="H273" s="19">
        <v>3.5</v>
      </c>
      <c r="I273" s="45"/>
      <c r="J273" s="48">
        <v>46985</v>
      </c>
      <c r="K273" s="43"/>
      <c r="L273" s="49">
        <f t="shared" ref="L273:L277" si="175">SUM(J273/M273)</f>
        <v>1590.01692047377</v>
      </c>
      <c r="M273" s="50">
        <v>29.55</v>
      </c>
      <c r="N273" s="44">
        <v>7.26</v>
      </c>
      <c r="O273" s="45">
        <f>SUM(M273*N273)</f>
        <v>214.533</v>
      </c>
      <c r="P273" s="51"/>
      <c r="Q273" s="51"/>
      <c r="R273" s="74">
        <f t="shared" si="168"/>
        <v>149.441773504273</v>
      </c>
      <c r="S273" s="74"/>
      <c r="T273" s="74">
        <f t="shared" si="169"/>
        <v>0.302417200854701</v>
      </c>
      <c r="U273" s="74"/>
      <c r="V273" s="74"/>
      <c r="W273" s="76">
        <f t="shared" si="161"/>
        <v>149.744190705128</v>
      </c>
      <c r="X273" s="77">
        <f t="shared" si="170"/>
        <v>3.63541933760684</v>
      </c>
      <c r="Y273" s="77"/>
      <c r="Z273" s="77"/>
      <c r="AA273" s="77">
        <f t="shared" si="167"/>
        <v>3.63541933760684</v>
      </c>
      <c r="AB273" s="87">
        <v>7.26</v>
      </c>
      <c r="AC273" s="74">
        <f t="shared" si="163"/>
        <v>26.3931443910256</v>
      </c>
      <c r="AD273" s="74">
        <f t="shared" si="162"/>
        <v>176.137335096154</v>
      </c>
      <c r="AE273" s="74">
        <f t="shared" si="164"/>
        <v>38.3956649038462</v>
      </c>
    </row>
    <row r="274" customFormat="1" spans="1:31">
      <c r="A274" s="18"/>
      <c r="B274" s="19"/>
      <c r="C274" s="20">
        <v>240705000043</v>
      </c>
      <c r="D274" s="21">
        <v>45484</v>
      </c>
      <c r="E274" s="21" t="s">
        <v>44</v>
      </c>
      <c r="F274" s="19" t="s">
        <v>45</v>
      </c>
      <c r="G274" s="19" t="s">
        <v>121</v>
      </c>
      <c r="H274" s="19">
        <v>0.84</v>
      </c>
      <c r="I274" s="41">
        <v>55</v>
      </c>
      <c r="J274" s="42"/>
      <c r="K274" s="43"/>
      <c r="L274" s="19"/>
      <c r="M274" s="43"/>
      <c r="N274" s="44"/>
      <c r="O274" s="45">
        <f>SUM(I274)</f>
        <v>55</v>
      </c>
      <c r="P274" s="51"/>
      <c r="Q274" s="51"/>
      <c r="R274" s="74">
        <f t="shared" si="168"/>
        <v>35.8660256410256</v>
      </c>
      <c r="S274" s="74"/>
      <c r="T274" s="74">
        <f t="shared" si="169"/>
        <v>0.0725801282051282</v>
      </c>
      <c r="U274" s="74"/>
      <c r="V274" s="74"/>
      <c r="W274" s="76">
        <f t="shared" si="161"/>
        <v>35.9386057692308</v>
      </c>
      <c r="X274" s="77">
        <f t="shared" si="170"/>
        <v>0.872500641025641</v>
      </c>
      <c r="Y274" s="77"/>
      <c r="Z274" s="77"/>
      <c r="AA274" s="77">
        <f t="shared" si="167"/>
        <v>0.872500641025641</v>
      </c>
      <c r="AB274" s="87">
        <v>7.26</v>
      </c>
      <c r="AC274" s="74">
        <f t="shared" si="163"/>
        <v>6.33435465384615</v>
      </c>
      <c r="AD274" s="74">
        <f t="shared" si="162"/>
        <v>42.2729604230769</v>
      </c>
      <c r="AE274" s="74">
        <f t="shared" si="164"/>
        <v>12.7270395769231</v>
      </c>
    </row>
    <row r="275" customFormat="1" spans="1:31">
      <c r="A275" s="18"/>
      <c r="B275" s="19"/>
      <c r="C275" s="20">
        <v>240705000045</v>
      </c>
      <c r="D275" s="21">
        <v>45484</v>
      </c>
      <c r="E275" s="21" t="s">
        <v>47</v>
      </c>
      <c r="F275" s="19" t="s">
        <v>48</v>
      </c>
      <c r="G275" s="19" t="s">
        <v>144</v>
      </c>
      <c r="H275" s="19">
        <v>19.5</v>
      </c>
      <c r="I275" s="45"/>
      <c r="J275" s="48">
        <v>247610</v>
      </c>
      <c r="K275" s="43"/>
      <c r="L275" s="49">
        <f t="shared" si="175"/>
        <v>1597.99935463053</v>
      </c>
      <c r="M275" s="50">
        <v>154.95</v>
      </c>
      <c r="N275" s="44">
        <v>7.26</v>
      </c>
      <c r="O275" s="45">
        <f t="shared" ref="O275:O280" si="176">SUM(M275*N275)</f>
        <v>1124.937</v>
      </c>
      <c r="P275" s="51"/>
      <c r="Q275" s="51"/>
      <c r="R275" s="74">
        <f t="shared" si="168"/>
        <v>832.604166666667</v>
      </c>
      <c r="S275" s="74"/>
      <c r="T275" s="74">
        <f t="shared" si="169"/>
        <v>1.68489583333333</v>
      </c>
      <c r="U275" s="74"/>
      <c r="V275" s="74"/>
      <c r="W275" s="76">
        <f t="shared" si="161"/>
        <v>834.2890625</v>
      </c>
      <c r="X275" s="77">
        <f t="shared" si="170"/>
        <v>20.2544791666667</v>
      </c>
      <c r="Y275" s="77"/>
      <c r="Z275" s="77"/>
      <c r="AA275" s="77">
        <f t="shared" si="167"/>
        <v>20.2544791666667</v>
      </c>
      <c r="AB275" s="87">
        <v>7.26</v>
      </c>
      <c r="AC275" s="74">
        <f t="shared" si="163"/>
        <v>147.04751875</v>
      </c>
      <c r="AD275" s="74">
        <f t="shared" si="162"/>
        <v>981.33658125</v>
      </c>
      <c r="AE275" s="74">
        <f t="shared" si="164"/>
        <v>143.60041875</v>
      </c>
    </row>
    <row r="276" customFormat="1" spans="1:31">
      <c r="A276" s="18"/>
      <c r="B276" s="19"/>
      <c r="C276" s="20">
        <v>240706000003</v>
      </c>
      <c r="D276" s="21">
        <v>45484</v>
      </c>
      <c r="E276" s="21" t="s">
        <v>44</v>
      </c>
      <c r="F276" s="19" t="s">
        <v>45</v>
      </c>
      <c r="G276" s="19" t="s">
        <v>273</v>
      </c>
      <c r="H276" s="19">
        <v>0.62</v>
      </c>
      <c r="I276" s="47"/>
      <c r="J276" s="48">
        <v>13734</v>
      </c>
      <c r="K276" s="43"/>
      <c r="L276" s="49">
        <f t="shared" si="175"/>
        <v>1584.0830449827</v>
      </c>
      <c r="M276" s="50">
        <v>8.67</v>
      </c>
      <c r="N276" s="44">
        <v>7.26</v>
      </c>
      <c r="O276" s="45">
        <f>SUM(M276*N276)+I276</f>
        <v>62.9442</v>
      </c>
      <c r="P276" s="51"/>
      <c r="Q276" s="51"/>
      <c r="R276" s="74">
        <f t="shared" si="168"/>
        <v>26.4725427350427</v>
      </c>
      <c r="S276" s="74"/>
      <c r="T276" s="74">
        <f t="shared" si="169"/>
        <v>0.053571047008547</v>
      </c>
      <c r="U276" s="74"/>
      <c r="V276" s="74"/>
      <c r="W276" s="76">
        <f t="shared" si="161"/>
        <v>26.5261137820513</v>
      </c>
      <c r="X276" s="77">
        <f t="shared" si="170"/>
        <v>0.643988568376068</v>
      </c>
      <c r="Y276" s="77"/>
      <c r="Z276" s="77"/>
      <c r="AA276" s="77">
        <f t="shared" si="167"/>
        <v>0.643988568376068</v>
      </c>
      <c r="AB276" s="87">
        <v>7.26</v>
      </c>
      <c r="AC276" s="74">
        <f t="shared" si="163"/>
        <v>4.67535700641026</v>
      </c>
      <c r="AD276" s="74">
        <f t="shared" si="162"/>
        <v>31.2014707884615</v>
      </c>
      <c r="AE276" s="74">
        <f t="shared" si="164"/>
        <v>31.7427292115385</v>
      </c>
    </row>
    <row r="277" customFormat="1" spans="1:31">
      <c r="A277" s="18"/>
      <c r="B277" s="19"/>
      <c r="C277" s="20">
        <v>240706000007</v>
      </c>
      <c r="D277" s="21">
        <v>45484</v>
      </c>
      <c r="E277" s="21" t="s">
        <v>40</v>
      </c>
      <c r="F277" s="19" t="s">
        <v>41</v>
      </c>
      <c r="G277" s="19" t="s">
        <v>274</v>
      </c>
      <c r="H277" s="19">
        <v>1.5</v>
      </c>
      <c r="I277" s="47"/>
      <c r="J277" s="48">
        <v>18562.5</v>
      </c>
      <c r="K277" s="43"/>
      <c r="L277" s="49">
        <f t="shared" si="175"/>
        <v>1634.02288732394</v>
      </c>
      <c r="M277" s="50">
        <v>11.36</v>
      </c>
      <c r="N277" s="44">
        <v>7.26</v>
      </c>
      <c r="O277" s="45">
        <f>SUM(M277*N277)+I277</f>
        <v>82.4736</v>
      </c>
      <c r="P277" s="51"/>
      <c r="Q277" s="51"/>
      <c r="R277" s="74">
        <f t="shared" si="168"/>
        <v>64.0464743589744</v>
      </c>
      <c r="S277" s="74"/>
      <c r="T277" s="74">
        <f t="shared" si="169"/>
        <v>0.129607371794872</v>
      </c>
      <c r="U277" s="74"/>
      <c r="V277" s="74"/>
      <c r="W277" s="76">
        <f t="shared" si="161"/>
        <v>64.1760817307692</v>
      </c>
      <c r="X277" s="77">
        <f t="shared" si="170"/>
        <v>1.55803685897436</v>
      </c>
      <c r="Y277" s="77"/>
      <c r="Z277" s="77"/>
      <c r="AA277" s="77">
        <f t="shared" si="167"/>
        <v>1.55803685897436</v>
      </c>
      <c r="AB277" s="87">
        <v>7.26</v>
      </c>
      <c r="AC277" s="74">
        <f t="shared" si="163"/>
        <v>11.3113475961538</v>
      </c>
      <c r="AD277" s="74">
        <f t="shared" si="162"/>
        <v>75.4874293269231</v>
      </c>
      <c r="AE277" s="74">
        <f t="shared" si="164"/>
        <v>6.9861706730769</v>
      </c>
    </row>
    <row r="278" customFormat="1" spans="1:31">
      <c r="A278" s="18"/>
      <c r="B278" s="19"/>
      <c r="C278" s="20">
        <v>240706000008</v>
      </c>
      <c r="D278" s="21">
        <v>45484</v>
      </c>
      <c r="E278" s="21" t="s">
        <v>40</v>
      </c>
      <c r="F278" s="19" t="s">
        <v>41</v>
      </c>
      <c r="G278" s="19" t="s">
        <v>88</v>
      </c>
      <c r="H278" s="19">
        <v>41</v>
      </c>
      <c r="I278" s="41">
        <v>2263</v>
      </c>
      <c r="J278" s="42"/>
      <c r="K278" s="43"/>
      <c r="L278" s="19"/>
      <c r="M278" s="43"/>
      <c r="N278" s="44"/>
      <c r="O278" s="45">
        <f t="shared" ref="O278:O282" si="177">SUM(I278)</f>
        <v>2263</v>
      </c>
      <c r="P278" s="51"/>
      <c r="Q278" s="51"/>
      <c r="R278" s="74">
        <f t="shared" si="168"/>
        <v>1750.60363247863</v>
      </c>
      <c r="S278" s="74"/>
      <c r="T278" s="74">
        <f t="shared" si="169"/>
        <v>3.5426014957265</v>
      </c>
      <c r="U278" s="74"/>
      <c r="V278" s="74"/>
      <c r="W278" s="76">
        <f t="shared" si="161"/>
        <v>1754.14623397436</v>
      </c>
      <c r="X278" s="77">
        <f t="shared" si="170"/>
        <v>42.5863408119658</v>
      </c>
      <c r="Y278" s="77"/>
      <c r="Z278" s="77"/>
      <c r="AA278" s="77">
        <f t="shared" si="167"/>
        <v>42.5863408119658</v>
      </c>
      <c r="AB278" s="87">
        <v>7.26</v>
      </c>
      <c r="AC278" s="74">
        <f t="shared" si="163"/>
        <v>309.176834294872</v>
      </c>
      <c r="AD278" s="74">
        <f t="shared" si="162"/>
        <v>2063.32306826923</v>
      </c>
      <c r="AE278" s="74">
        <f t="shared" si="164"/>
        <v>199.676931730769</v>
      </c>
    </row>
    <row r="279" customFormat="1" spans="1:31">
      <c r="A279" s="18"/>
      <c r="B279" s="19"/>
      <c r="C279" s="22">
        <v>240706000009</v>
      </c>
      <c r="D279" s="23">
        <v>45484</v>
      </c>
      <c r="E279" s="21" t="s">
        <v>40</v>
      </c>
      <c r="F279" s="24" t="s">
        <v>41</v>
      </c>
      <c r="G279" s="24" t="s">
        <v>274</v>
      </c>
      <c r="H279" s="24">
        <v>3</v>
      </c>
      <c r="I279" s="47"/>
      <c r="J279" s="48">
        <v>37125</v>
      </c>
      <c r="K279" s="43"/>
      <c r="L279" s="49">
        <f t="shared" ref="L279:L283" si="178">SUM(J279/M279)</f>
        <v>1634.02288732394</v>
      </c>
      <c r="M279" s="50">
        <v>22.72</v>
      </c>
      <c r="N279" s="44">
        <v>7.26</v>
      </c>
      <c r="O279" s="45">
        <f t="shared" si="176"/>
        <v>164.9472</v>
      </c>
      <c r="P279" s="51"/>
      <c r="Q279" s="51"/>
      <c r="R279" s="74">
        <f t="shared" si="168"/>
        <v>128.092948717949</v>
      </c>
      <c r="S279" s="74"/>
      <c r="T279" s="74">
        <f t="shared" si="169"/>
        <v>0.259214743589744</v>
      </c>
      <c r="U279" s="74"/>
      <c r="V279" s="74"/>
      <c r="W279" s="76">
        <f t="shared" si="161"/>
        <v>128.352163461538</v>
      </c>
      <c r="X279" s="77">
        <f t="shared" si="170"/>
        <v>3.11607371794872</v>
      </c>
      <c r="Y279" s="77"/>
      <c r="Z279" s="77"/>
      <c r="AA279" s="77">
        <f t="shared" si="167"/>
        <v>3.11607371794872</v>
      </c>
      <c r="AB279" s="87">
        <v>7.26</v>
      </c>
      <c r="AC279" s="74">
        <f t="shared" si="163"/>
        <v>22.6226951923077</v>
      </c>
      <c r="AD279" s="74">
        <f t="shared" si="162"/>
        <v>150.974858653846</v>
      </c>
      <c r="AE279" s="74">
        <f t="shared" si="164"/>
        <v>13.9723413461538</v>
      </c>
    </row>
    <row r="280" customFormat="1" spans="1:31">
      <c r="A280" s="18"/>
      <c r="B280" s="19"/>
      <c r="C280" s="20">
        <v>240706000012</v>
      </c>
      <c r="D280" s="21">
        <v>45484</v>
      </c>
      <c r="E280" s="21" t="s">
        <v>37</v>
      </c>
      <c r="F280" s="19" t="s">
        <v>37</v>
      </c>
      <c r="G280" s="19" t="s">
        <v>275</v>
      </c>
      <c r="H280" s="19">
        <v>56</v>
      </c>
      <c r="I280" s="45"/>
      <c r="J280" s="48">
        <v>685440</v>
      </c>
      <c r="K280" s="43"/>
      <c r="L280" s="49">
        <f t="shared" si="178"/>
        <v>1605.99812558575</v>
      </c>
      <c r="M280" s="50">
        <v>426.8</v>
      </c>
      <c r="N280" s="44">
        <v>7.26</v>
      </c>
      <c r="O280" s="45">
        <f t="shared" si="176"/>
        <v>3098.568</v>
      </c>
      <c r="P280" s="51"/>
      <c r="Q280" s="51"/>
      <c r="R280" s="74">
        <f t="shared" si="168"/>
        <v>2391.06837606838</v>
      </c>
      <c r="S280" s="74"/>
      <c r="T280" s="74">
        <f t="shared" si="169"/>
        <v>4.83867521367521</v>
      </c>
      <c r="U280" s="74"/>
      <c r="V280" s="74"/>
      <c r="W280" s="76">
        <f t="shared" si="161"/>
        <v>2395.90705128205</v>
      </c>
      <c r="X280" s="77">
        <f t="shared" si="170"/>
        <v>58.1667094017094</v>
      </c>
      <c r="Y280" s="77"/>
      <c r="Z280" s="77"/>
      <c r="AA280" s="77">
        <f t="shared" si="167"/>
        <v>58.1667094017094</v>
      </c>
      <c r="AB280" s="87">
        <v>7.26</v>
      </c>
      <c r="AC280" s="74">
        <f t="shared" si="163"/>
        <v>422.29031025641</v>
      </c>
      <c r="AD280" s="74">
        <f t="shared" si="162"/>
        <v>2818.19736153846</v>
      </c>
      <c r="AE280" s="74">
        <f t="shared" si="164"/>
        <v>280.370638461539</v>
      </c>
    </row>
    <row r="281" customFormat="1" spans="1:31">
      <c r="A281" s="18"/>
      <c r="B281" s="19"/>
      <c r="C281" s="20">
        <v>240707000002</v>
      </c>
      <c r="D281" s="21">
        <v>45484</v>
      </c>
      <c r="E281" s="21" t="s">
        <v>47</v>
      </c>
      <c r="F281" s="19" t="s">
        <v>48</v>
      </c>
      <c r="G281" s="19" t="s">
        <v>276</v>
      </c>
      <c r="H281" s="19">
        <v>41.5</v>
      </c>
      <c r="I281" s="41">
        <v>2282.5</v>
      </c>
      <c r="J281" s="42"/>
      <c r="K281" s="43"/>
      <c r="L281" s="19"/>
      <c r="M281" s="43"/>
      <c r="N281" s="44"/>
      <c r="O281" s="45">
        <f t="shared" si="177"/>
        <v>2282.5</v>
      </c>
      <c r="P281" s="51"/>
      <c r="Q281" s="51"/>
      <c r="R281" s="74">
        <f t="shared" si="168"/>
        <v>1771.95245726496</v>
      </c>
      <c r="S281" s="74"/>
      <c r="T281" s="74">
        <f t="shared" si="169"/>
        <v>3.58580395299145</v>
      </c>
      <c r="U281" s="74"/>
      <c r="V281" s="74"/>
      <c r="W281" s="76">
        <f t="shared" si="161"/>
        <v>1775.53826121795</v>
      </c>
      <c r="X281" s="77">
        <f t="shared" si="170"/>
        <v>43.1056864316239</v>
      </c>
      <c r="Y281" s="77"/>
      <c r="Z281" s="77"/>
      <c r="AA281" s="77">
        <f t="shared" si="167"/>
        <v>43.1056864316239</v>
      </c>
      <c r="AB281" s="87">
        <v>7.26</v>
      </c>
      <c r="AC281" s="74">
        <f t="shared" si="163"/>
        <v>312.94728349359</v>
      </c>
      <c r="AD281" s="74">
        <f t="shared" si="162"/>
        <v>2088.48554471154</v>
      </c>
      <c r="AE281" s="74">
        <f t="shared" si="164"/>
        <v>194.014455288462</v>
      </c>
    </row>
    <row r="282" customFormat="1" spans="1:31">
      <c r="A282" s="18"/>
      <c r="B282" s="19"/>
      <c r="C282" s="20">
        <v>240708000002</v>
      </c>
      <c r="D282" s="21">
        <v>45484</v>
      </c>
      <c r="E282" s="21" t="s">
        <v>37</v>
      </c>
      <c r="F282" s="19" t="s">
        <v>37</v>
      </c>
      <c r="G282" s="19" t="s">
        <v>71</v>
      </c>
      <c r="H282" s="19">
        <v>9.5</v>
      </c>
      <c r="I282" s="41">
        <v>547.5</v>
      </c>
      <c r="J282" s="42"/>
      <c r="K282" s="43"/>
      <c r="L282" s="19"/>
      <c r="M282" s="43"/>
      <c r="N282" s="44"/>
      <c r="O282" s="45">
        <f t="shared" si="177"/>
        <v>547.5</v>
      </c>
      <c r="P282" s="51"/>
      <c r="Q282" s="51"/>
      <c r="R282" s="74">
        <f t="shared" si="168"/>
        <v>405.627670940171</v>
      </c>
      <c r="S282" s="74"/>
      <c r="T282" s="74">
        <f t="shared" si="169"/>
        <v>0.820846688034188</v>
      </c>
      <c r="U282" s="74"/>
      <c r="V282" s="74"/>
      <c r="W282" s="76">
        <f t="shared" si="161"/>
        <v>406.448517628205</v>
      </c>
      <c r="X282" s="77">
        <f t="shared" si="170"/>
        <v>9.86756677350427</v>
      </c>
      <c r="Y282" s="77"/>
      <c r="Z282" s="77"/>
      <c r="AA282" s="77">
        <f t="shared" si="167"/>
        <v>9.86756677350427</v>
      </c>
      <c r="AB282" s="87">
        <v>7.26</v>
      </c>
      <c r="AC282" s="74">
        <f t="shared" si="163"/>
        <v>71.638534775641</v>
      </c>
      <c r="AD282" s="74">
        <f t="shared" si="162"/>
        <v>478.087052403846</v>
      </c>
      <c r="AE282" s="74">
        <f t="shared" si="164"/>
        <v>69.4129475961538</v>
      </c>
    </row>
    <row r="283" customFormat="1" spans="1:31">
      <c r="A283" s="18"/>
      <c r="B283" s="19"/>
      <c r="C283" s="20">
        <v>240708000007</v>
      </c>
      <c r="D283" s="21">
        <v>45484</v>
      </c>
      <c r="E283" s="21" t="s">
        <v>40</v>
      </c>
      <c r="F283" s="19" t="s">
        <v>41</v>
      </c>
      <c r="G283" s="19" t="s">
        <v>274</v>
      </c>
      <c r="H283" s="19">
        <v>6.5</v>
      </c>
      <c r="I283" s="47"/>
      <c r="J283" s="48">
        <v>96637.5</v>
      </c>
      <c r="K283" s="43"/>
      <c r="L283" s="49">
        <f t="shared" si="178"/>
        <v>1633.77007607777</v>
      </c>
      <c r="M283" s="50">
        <v>59.15</v>
      </c>
      <c r="N283" s="44">
        <v>7.26</v>
      </c>
      <c r="O283" s="45">
        <f t="shared" ref="O283:O286" si="179">SUM(M283*N283)</f>
        <v>429.429</v>
      </c>
      <c r="P283" s="51"/>
      <c r="Q283" s="51"/>
      <c r="R283" s="74">
        <f t="shared" si="168"/>
        <v>277.534722222222</v>
      </c>
      <c r="S283" s="74"/>
      <c r="T283" s="74">
        <f t="shared" si="169"/>
        <v>0.561631944444444</v>
      </c>
      <c r="U283" s="74"/>
      <c r="V283" s="75">
        <v>72</v>
      </c>
      <c r="W283" s="76">
        <f t="shared" si="161"/>
        <v>350.096354166667</v>
      </c>
      <c r="X283" s="77">
        <f t="shared" si="170"/>
        <v>6.75149305555556</v>
      </c>
      <c r="Y283" s="77"/>
      <c r="Z283" s="77"/>
      <c r="AA283" s="77">
        <f t="shared" si="167"/>
        <v>6.75149305555556</v>
      </c>
      <c r="AB283" s="87">
        <v>7.26</v>
      </c>
      <c r="AC283" s="74">
        <f t="shared" si="163"/>
        <v>49.0158395833333</v>
      </c>
      <c r="AD283" s="74">
        <f t="shared" si="162"/>
        <v>399.11219375</v>
      </c>
      <c r="AE283" s="74">
        <f t="shared" si="164"/>
        <v>30.31680625</v>
      </c>
    </row>
    <row r="284" customFormat="1" spans="1:31">
      <c r="A284" s="18"/>
      <c r="B284" s="19"/>
      <c r="C284" s="20">
        <v>240708000010</v>
      </c>
      <c r="D284" s="21">
        <v>45484</v>
      </c>
      <c r="E284" s="21" t="s">
        <v>40</v>
      </c>
      <c r="F284" s="19" t="s">
        <v>41</v>
      </c>
      <c r="G284" s="19" t="s">
        <v>277</v>
      </c>
      <c r="H284" s="19">
        <v>74</v>
      </c>
      <c r="I284" s="41">
        <v>3774</v>
      </c>
      <c r="J284" s="42"/>
      <c r="K284" s="43"/>
      <c r="L284" s="19"/>
      <c r="M284" s="43"/>
      <c r="N284" s="44"/>
      <c r="O284" s="45">
        <f t="shared" ref="O284:O292" si="180">SUM(I284)</f>
        <v>3774</v>
      </c>
      <c r="P284" s="51"/>
      <c r="Q284" s="51"/>
      <c r="R284" s="74">
        <f t="shared" si="168"/>
        <v>3159.62606837607</v>
      </c>
      <c r="S284" s="74"/>
      <c r="T284" s="74">
        <f t="shared" si="169"/>
        <v>6.39396367521368</v>
      </c>
      <c r="U284" s="74"/>
      <c r="V284" s="74"/>
      <c r="W284" s="76">
        <f t="shared" si="161"/>
        <v>3166.02003205128</v>
      </c>
      <c r="X284" s="77">
        <f t="shared" si="170"/>
        <v>76.8631517094017</v>
      </c>
      <c r="Y284" s="77"/>
      <c r="Z284" s="77"/>
      <c r="AA284" s="77">
        <f t="shared" si="167"/>
        <v>76.8631517094017</v>
      </c>
      <c r="AB284" s="87">
        <v>7.26</v>
      </c>
      <c r="AC284" s="74">
        <f t="shared" si="163"/>
        <v>558.026481410256</v>
      </c>
      <c r="AD284" s="74">
        <f t="shared" si="162"/>
        <v>3724.04651346154</v>
      </c>
      <c r="AE284" s="74">
        <f t="shared" si="164"/>
        <v>49.9534865384612</v>
      </c>
    </row>
    <row r="285" customFormat="1" spans="1:31">
      <c r="A285" s="18"/>
      <c r="B285" s="19"/>
      <c r="C285" s="20">
        <v>240708000013</v>
      </c>
      <c r="D285" s="21">
        <v>45484</v>
      </c>
      <c r="E285" s="21" t="s">
        <v>40</v>
      </c>
      <c r="F285" s="19" t="s">
        <v>41</v>
      </c>
      <c r="G285" s="19" t="s">
        <v>274</v>
      </c>
      <c r="H285" s="19">
        <v>5.5</v>
      </c>
      <c r="I285" s="47"/>
      <c r="J285" s="48">
        <v>68062.5</v>
      </c>
      <c r="K285" s="43"/>
      <c r="L285" s="49">
        <f>SUM(J285/M285)</f>
        <v>1633.76140182429</v>
      </c>
      <c r="M285" s="50">
        <v>41.66</v>
      </c>
      <c r="N285" s="44">
        <v>7.26</v>
      </c>
      <c r="O285" s="45">
        <f t="shared" si="179"/>
        <v>302.4516</v>
      </c>
      <c r="P285" s="51"/>
      <c r="Q285" s="51"/>
      <c r="R285" s="74">
        <f t="shared" si="168"/>
        <v>234.837072649573</v>
      </c>
      <c r="S285" s="74"/>
      <c r="T285" s="74">
        <f t="shared" si="169"/>
        <v>0.47522702991453</v>
      </c>
      <c r="U285" s="74"/>
      <c r="V285" s="74"/>
      <c r="W285" s="76">
        <f t="shared" si="161"/>
        <v>235.312299679487</v>
      </c>
      <c r="X285" s="77">
        <f t="shared" si="170"/>
        <v>5.71280181623932</v>
      </c>
      <c r="Y285" s="77"/>
      <c r="Z285" s="77"/>
      <c r="AA285" s="77">
        <f t="shared" si="167"/>
        <v>5.71280181623932</v>
      </c>
      <c r="AB285" s="87">
        <v>7.26</v>
      </c>
      <c r="AC285" s="74">
        <f t="shared" si="163"/>
        <v>41.4749411858974</v>
      </c>
      <c r="AD285" s="74">
        <f t="shared" si="162"/>
        <v>276.787240865385</v>
      </c>
      <c r="AE285" s="74">
        <f t="shared" si="164"/>
        <v>25.6643591346154</v>
      </c>
    </row>
    <row r="286" customFormat="1" spans="1:31">
      <c r="A286" s="18"/>
      <c r="B286" s="19"/>
      <c r="C286" s="20">
        <v>240708000014</v>
      </c>
      <c r="D286" s="21">
        <v>45484</v>
      </c>
      <c r="E286" s="21" t="s">
        <v>58</v>
      </c>
      <c r="F286" s="19" t="s">
        <v>59</v>
      </c>
      <c r="G286" s="19" t="s">
        <v>278</v>
      </c>
      <c r="H286" s="19">
        <v>9</v>
      </c>
      <c r="I286" s="45"/>
      <c r="J286" s="48">
        <v>113700</v>
      </c>
      <c r="K286" s="43"/>
      <c r="L286" s="49">
        <f>SUM(J286/M286)</f>
        <v>1599.15611814346</v>
      </c>
      <c r="M286" s="50">
        <v>71.1</v>
      </c>
      <c r="N286" s="44">
        <v>7.26</v>
      </c>
      <c r="O286" s="45">
        <f t="shared" si="179"/>
        <v>516.186</v>
      </c>
      <c r="P286" s="51"/>
      <c r="Q286" s="51"/>
      <c r="R286" s="74">
        <f t="shared" si="168"/>
        <v>384.278846153846</v>
      </c>
      <c r="S286" s="74"/>
      <c r="T286" s="74">
        <f t="shared" si="169"/>
        <v>0.777644230769231</v>
      </c>
      <c r="U286" s="74"/>
      <c r="V286" s="74"/>
      <c r="W286" s="76">
        <f t="shared" si="161"/>
        <v>385.056490384615</v>
      </c>
      <c r="X286" s="77">
        <f t="shared" si="170"/>
        <v>9.34822115384615</v>
      </c>
      <c r="Y286" s="77"/>
      <c r="Z286" s="77"/>
      <c r="AA286" s="77">
        <f t="shared" si="167"/>
        <v>9.34822115384615</v>
      </c>
      <c r="AB286" s="87">
        <v>7.26</v>
      </c>
      <c r="AC286" s="74">
        <f t="shared" si="163"/>
        <v>67.8680855769231</v>
      </c>
      <c r="AD286" s="74">
        <f t="shared" si="162"/>
        <v>452.924575961538</v>
      </c>
      <c r="AE286" s="74">
        <f t="shared" si="164"/>
        <v>63.2614240384614</v>
      </c>
    </row>
    <row r="287" customFormat="1" spans="1:31">
      <c r="A287" s="18"/>
      <c r="B287" s="19"/>
      <c r="C287" s="20">
        <v>240708000017</v>
      </c>
      <c r="D287" s="21">
        <v>45484</v>
      </c>
      <c r="E287" s="21" t="s">
        <v>40</v>
      </c>
      <c r="F287" s="19" t="s">
        <v>41</v>
      </c>
      <c r="G287" s="19" t="s">
        <v>139</v>
      </c>
      <c r="H287" s="19">
        <v>0.24</v>
      </c>
      <c r="I287" s="41">
        <v>60</v>
      </c>
      <c r="J287" s="42"/>
      <c r="K287" s="43"/>
      <c r="L287" s="19"/>
      <c r="M287" s="43"/>
      <c r="N287" s="44"/>
      <c r="O287" s="45">
        <f t="shared" si="180"/>
        <v>60</v>
      </c>
      <c r="P287" s="51"/>
      <c r="Q287" s="51"/>
      <c r="R287" s="74">
        <f t="shared" si="168"/>
        <v>10.2474358974359</v>
      </c>
      <c r="S287" s="74"/>
      <c r="T287" s="74">
        <f t="shared" si="169"/>
        <v>0.0207371794871795</v>
      </c>
      <c r="U287" s="74"/>
      <c r="V287" s="74"/>
      <c r="W287" s="76">
        <f t="shared" si="161"/>
        <v>10.2681730769231</v>
      </c>
      <c r="X287" s="77">
        <f t="shared" si="170"/>
        <v>0.249285897435897</v>
      </c>
      <c r="Y287" s="77"/>
      <c r="Z287" s="77"/>
      <c r="AA287" s="77">
        <f t="shared" si="167"/>
        <v>0.249285897435897</v>
      </c>
      <c r="AB287" s="87">
        <v>7.26</v>
      </c>
      <c r="AC287" s="74">
        <f t="shared" si="163"/>
        <v>1.80981561538462</v>
      </c>
      <c r="AD287" s="74">
        <f t="shared" si="162"/>
        <v>12.0779886923077</v>
      </c>
      <c r="AE287" s="74">
        <f t="shared" si="164"/>
        <v>47.9220113076923</v>
      </c>
    </row>
    <row r="288" customFormat="1" spans="1:31">
      <c r="A288" s="18"/>
      <c r="B288" s="19"/>
      <c r="C288" s="20">
        <v>240708000018</v>
      </c>
      <c r="D288" s="21">
        <v>45484</v>
      </c>
      <c r="E288" s="21" t="s">
        <v>40</v>
      </c>
      <c r="F288" s="19" t="s">
        <v>41</v>
      </c>
      <c r="G288" s="19" t="s">
        <v>139</v>
      </c>
      <c r="H288" s="19">
        <v>0.22</v>
      </c>
      <c r="I288" s="41">
        <v>60</v>
      </c>
      <c r="J288" s="42"/>
      <c r="K288" s="43"/>
      <c r="L288" s="19"/>
      <c r="M288" s="43"/>
      <c r="N288" s="44"/>
      <c r="O288" s="45">
        <f t="shared" si="180"/>
        <v>60</v>
      </c>
      <c r="P288" s="51"/>
      <c r="Q288" s="51"/>
      <c r="R288" s="74">
        <f t="shared" si="168"/>
        <v>9.39348290598291</v>
      </c>
      <c r="S288" s="74"/>
      <c r="T288" s="74">
        <f t="shared" si="169"/>
        <v>0.0190090811965812</v>
      </c>
      <c r="U288" s="74"/>
      <c r="V288" s="74"/>
      <c r="W288" s="76">
        <f t="shared" si="161"/>
        <v>9.41249198717949</v>
      </c>
      <c r="X288" s="77">
        <f t="shared" si="170"/>
        <v>0.228512072649573</v>
      </c>
      <c r="Y288" s="77"/>
      <c r="Z288" s="77"/>
      <c r="AA288" s="77">
        <f t="shared" si="167"/>
        <v>0.228512072649573</v>
      </c>
      <c r="AB288" s="87">
        <v>7.26</v>
      </c>
      <c r="AC288" s="74">
        <f t="shared" si="163"/>
        <v>1.6589976474359</v>
      </c>
      <c r="AD288" s="74">
        <f t="shared" si="162"/>
        <v>11.0714896346154</v>
      </c>
      <c r="AE288" s="74">
        <f t="shared" si="164"/>
        <v>48.9285103653846</v>
      </c>
    </row>
    <row r="289" customFormat="1" spans="1:31">
      <c r="A289" s="18"/>
      <c r="B289" s="19"/>
      <c r="C289" s="20">
        <v>240708000020</v>
      </c>
      <c r="D289" s="21">
        <v>45484</v>
      </c>
      <c r="E289" s="21" t="s">
        <v>40</v>
      </c>
      <c r="F289" s="19" t="s">
        <v>41</v>
      </c>
      <c r="G289" s="19" t="s">
        <v>139</v>
      </c>
      <c r="H289" s="19">
        <v>1</v>
      </c>
      <c r="I289" s="41">
        <v>60</v>
      </c>
      <c r="J289" s="42"/>
      <c r="K289" s="43"/>
      <c r="L289" s="19"/>
      <c r="M289" s="43"/>
      <c r="N289" s="44"/>
      <c r="O289" s="45">
        <f t="shared" si="180"/>
        <v>60</v>
      </c>
      <c r="P289" s="51"/>
      <c r="Q289" s="51"/>
      <c r="R289" s="74">
        <f t="shared" si="168"/>
        <v>42.6976495726496</v>
      </c>
      <c r="S289" s="74"/>
      <c r="T289" s="74">
        <f t="shared" si="169"/>
        <v>0.0864049145299145</v>
      </c>
      <c r="U289" s="74"/>
      <c r="V289" s="74"/>
      <c r="W289" s="76">
        <f t="shared" si="161"/>
        <v>42.7840544871795</v>
      </c>
      <c r="X289" s="77">
        <f t="shared" si="170"/>
        <v>1.03869123931624</v>
      </c>
      <c r="Y289" s="77"/>
      <c r="Z289" s="77"/>
      <c r="AA289" s="77">
        <f t="shared" si="167"/>
        <v>1.03869123931624</v>
      </c>
      <c r="AB289" s="87">
        <v>7.26</v>
      </c>
      <c r="AC289" s="74">
        <f t="shared" si="163"/>
        <v>7.5408983974359</v>
      </c>
      <c r="AD289" s="74">
        <f t="shared" si="162"/>
        <v>50.3249528846154</v>
      </c>
      <c r="AE289" s="74">
        <f t="shared" si="164"/>
        <v>9.67504711538461</v>
      </c>
    </row>
    <row r="290" customFormat="1" spans="1:31">
      <c r="A290" s="18"/>
      <c r="B290" s="19"/>
      <c r="C290" s="20">
        <v>240708000027</v>
      </c>
      <c r="D290" s="21">
        <v>45484</v>
      </c>
      <c r="E290" s="21" t="s">
        <v>44</v>
      </c>
      <c r="F290" s="19" t="s">
        <v>45</v>
      </c>
      <c r="G290" s="19" t="s">
        <v>117</v>
      </c>
      <c r="H290" s="19">
        <v>3</v>
      </c>
      <c r="I290" s="41">
        <v>183</v>
      </c>
      <c r="J290" s="42"/>
      <c r="K290" s="43"/>
      <c r="L290" s="19"/>
      <c r="M290" s="43"/>
      <c r="N290" s="44"/>
      <c r="O290" s="45">
        <f t="shared" si="180"/>
        <v>183</v>
      </c>
      <c r="P290" s="51"/>
      <c r="Q290" s="51"/>
      <c r="R290" s="74">
        <f t="shared" si="168"/>
        <v>128.092948717949</v>
      </c>
      <c r="S290" s="74"/>
      <c r="T290" s="74">
        <f t="shared" si="169"/>
        <v>0.259214743589744</v>
      </c>
      <c r="U290" s="74"/>
      <c r="V290" s="74"/>
      <c r="W290" s="76">
        <f t="shared" si="161"/>
        <v>128.352163461538</v>
      </c>
      <c r="X290" s="77">
        <f t="shared" si="170"/>
        <v>3.11607371794872</v>
      </c>
      <c r="Y290" s="77"/>
      <c r="Z290" s="77"/>
      <c r="AA290" s="77">
        <f t="shared" si="167"/>
        <v>3.11607371794872</v>
      </c>
      <c r="AB290" s="87">
        <v>7.26</v>
      </c>
      <c r="AC290" s="74">
        <f t="shared" si="163"/>
        <v>22.6226951923077</v>
      </c>
      <c r="AD290" s="74">
        <f t="shared" si="162"/>
        <v>150.974858653846</v>
      </c>
      <c r="AE290" s="74">
        <f t="shared" si="164"/>
        <v>32.0251413461538</v>
      </c>
    </row>
    <row r="291" customFormat="1" spans="1:31">
      <c r="A291" s="18"/>
      <c r="B291" s="19"/>
      <c r="C291" s="20">
        <v>240708000032</v>
      </c>
      <c r="D291" s="21">
        <v>45484</v>
      </c>
      <c r="E291" s="21" t="s">
        <v>40</v>
      </c>
      <c r="F291" s="19" t="s">
        <v>41</v>
      </c>
      <c r="G291" s="19" t="s">
        <v>279</v>
      </c>
      <c r="H291" s="19">
        <v>55.5</v>
      </c>
      <c r="I291" s="41">
        <v>3052.5</v>
      </c>
      <c r="J291" s="42"/>
      <c r="K291" s="43"/>
      <c r="L291" s="19"/>
      <c r="M291" s="43"/>
      <c r="N291" s="44"/>
      <c r="O291" s="45">
        <f t="shared" si="180"/>
        <v>3052.5</v>
      </c>
      <c r="P291" s="51"/>
      <c r="Q291" s="51"/>
      <c r="R291" s="74">
        <f t="shared" si="168"/>
        <v>2369.71955128205</v>
      </c>
      <c r="S291" s="74"/>
      <c r="T291" s="74">
        <f t="shared" si="169"/>
        <v>4.79547275641026</v>
      </c>
      <c r="U291" s="74"/>
      <c r="V291" s="74"/>
      <c r="W291" s="76">
        <f t="shared" si="161"/>
        <v>2374.51502403846</v>
      </c>
      <c r="X291" s="77">
        <f t="shared" si="170"/>
        <v>57.6473637820513</v>
      </c>
      <c r="Y291" s="77"/>
      <c r="Z291" s="77"/>
      <c r="AA291" s="77">
        <f t="shared" si="167"/>
        <v>57.6473637820513</v>
      </c>
      <c r="AB291" s="87">
        <v>7.26</v>
      </c>
      <c r="AC291" s="74">
        <f t="shared" si="163"/>
        <v>418.519861057692</v>
      </c>
      <c r="AD291" s="74">
        <f t="shared" si="162"/>
        <v>2793.03488509615</v>
      </c>
      <c r="AE291" s="74">
        <f t="shared" si="164"/>
        <v>259.465114903846</v>
      </c>
    </row>
    <row r="292" customFormat="1" spans="1:31">
      <c r="A292" s="18"/>
      <c r="B292" s="19"/>
      <c r="C292" s="20">
        <v>240708000035</v>
      </c>
      <c r="D292" s="21">
        <v>45484</v>
      </c>
      <c r="E292" s="21" t="s">
        <v>47</v>
      </c>
      <c r="F292" s="19" t="s">
        <v>48</v>
      </c>
      <c r="G292" s="19" t="s">
        <v>233</v>
      </c>
      <c r="H292" s="19">
        <v>26</v>
      </c>
      <c r="I292" s="41">
        <v>1498</v>
      </c>
      <c r="J292" s="42"/>
      <c r="K292" s="43"/>
      <c r="L292" s="19"/>
      <c r="M292" s="43"/>
      <c r="N292" s="44"/>
      <c r="O292" s="45">
        <f t="shared" si="180"/>
        <v>1498</v>
      </c>
      <c r="P292" s="51"/>
      <c r="Q292" s="51"/>
      <c r="R292" s="74">
        <f t="shared" si="168"/>
        <v>1110.13888888889</v>
      </c>
      <c r="S292" s="74"/>
      <c r="T292" s="74">
        <f t="shared" si="169"/>
        <v>2.24652777777778</v>
      </c>
      <c r="U292" s="74">
        <v>60</v>
      </c>
      <c r="V292" s="74"/>
      <c r="W292" s="76">
        <f t="shared" si="161"/>
        <v>1172.38541666667</v>
      </c>
      <c r="X292" s="77">
        <f t="shared" si="170"/>
        <v>27.0059722222222</v>
      </c>
      <c r="Y292" s="77"/>
      <c r="Z292" s="77"/>
      <c r="AA292" s="77">
        <f t="shared" si="167"/>
        <v>27.0059722222222</v>
      </c>
      <c r="AB292" s="87">
        <v>7.26</v>
      </c>
      <c r="AC292" s="74">
        <f t="shared" si="163"/>
        <v>196.063358333333</v>
      </c>
      <c r="AD292" s="74">
        <f t="shared" si="162"/>
        <v>1368.448775</v>
      </c>
      <c r="AE292" s="74">
        <f t="shared" si="164"/>
        <v>129.551225</v>
      </c>
    </row>
    <row r="293" customFormat="1" spans="1:31">
      <c r="A293" s="18"/>
      <c r="B293" s="19"/>
      <c r="C293" s="20">
        <v>240708000037</v>
      </c>
      <c r="D293" s="21">
        <v>45484</v>
      </c>
      <c r="E293" s="21" t="s">
        <v>40</v>
      </c>
      <c r="F293" s="19" t="s">
        <v>41</v>
      </c>
      <c r="G293" s="19" t="s">
        <v>165</v>
      </c>
      <c r="H293" s="19">
        <v>8</v>
      </c>
      <c r="I293" s="47"/>
      <c r="J293" s="48">
        <v>99440</v>
      </c>
      <c r="K293" s="43"/>
      <c r="L293" s="49">
        <f>SUM(J293/M293)</f>
        <v>1640.92409240924</v>
      </c>
      <c r="M293" s="50">
        <v>60.6</v>
      </c>
      <c r="N293" s="44">
        <v>7.26</v>
      </c>
      <c r="O293" s="45">
        <f>SUM(M293*N293)</f>
        <v>439.956</v>
      </c>
      <c r="P293" s="51"/>
      <c r="Q293" s="51"/>
      <c r="R293" s="74">
        <f t="shared" si="168"/>
        <v>341.581196581197</v>
      </c>
      <c r="S293" s="74"/>
      <c r="T293" s="74">
        <f t="shared" si="169"/>
        <v>0.691239316239316</v>
      </c>
      <c r="U293" s="74"/>
      <c r="V293" s="74"/>
      <c r="W293" s="76">
        <f t="shared" si="161"/>
        <v>342.272435897436</v>
      </c>
      <c r="X293" s="77">
        <f t="shared" si="170"/>
        <v>8.30952991452991</v>
      </c>
      <c r="Y293" s="77"/>
      <c r="Z293" s="77"/>
      <c r="AA293" s="77">
        <f t="shared" si="167"/>
        <v>8.30952991452991</v>
      </c>
      <c r="AB293" s="87">
        <v>7.26</v>
      </c>
      <c r="AC293" s="74">
        <f t="shared" si="163"/>
        <v>60.3271871794872</v>
      </c>
      <c r="AD293" s="74">
        <f t="shared" si="162"/>
        <v>402.599623076923</v>
      </c>
      <c r="AE293" s="74">
        <f t="shared" si="164"/>
        <v>37.3563769230769</v>
      </c>
    </row>
    <row r="294" customFormat="1" spans="1:31">
      <c r="A294" s="18"/>
      <c r="B294" s="19"/>
      <c r="C294" s="20">
        <v>240708000047</v>
      </c>
      <c r="D294" s="21">
        <v>45484</v>
      </c>
      <c r="E294" s="21" t="s">
        <v>47</v>
      </c>
      <c r="F294" s="19" t="s">
        <v>48</v>
      </c>
      <c r="G294" s="19" t="s">
        <v>280</v>
      </c>
      <c r="H294" s="19">
        <v>21.5</v>
      </c>
      <c r="I294" s="41">
        <v>1182.5</v>
      </c>
      <c r="J294" s="42"/>
      <c r="K294" s="43"/>
      <c r="L294" s="19"/>
      <c r="M294" s="43"/>
      <c r="N294" s="44"/>
      <c r="O294" s="45">
        <f t="shared" ref="O294:O302" si="181">SUM(I294)</f>
        <v>1182.5</v>
      </c>
      <c r="P294" s="51"/>
      <c r="Q294" s="51"/>
      <c r="R294" s="74">
        <f t="shared" si="168"/>
        <v>917.999465811966</v>
      </c>
      <c r="S294" s="74"/>
      <c r="T294" s="74">
        <f t="shared" si="169"/>
        <v>1.85770566239316</v>
      </c>
      <c r="U294" s="74"/>
      <c r="V294" s="74"/>
      <c r="W294" s="76">
        <f t="shared" si="161"/>
        <v>919.857171474359</v>
      </c>
      <c r="X294" s="77">
        <f t="shared" si="170"/>
        <v>22.3318616452991</v>
      </c>
      <c r="Y294" s="77"/>
      <c r="Z294" s="77"/>
      <c r="AA294" s="77">
        <f t="shared" si="167"/>
        <v>22.3318616452991</v>
      </c>
      <c r="AB294" s="87">
        <v>7.26</v>
      </c>
      <c r="AC294" s="74">
        <f t="shared" si="163"/>
        <v>162.129315544872</v>
      </c>
      <c r="AD294" s="74">
        <f t="shared" si="162"/>
        <v>1081.98648701923</v>
      </c>
      <c r="AE294" s="74">
        <f t="shared" si="164"/>
        <v>100.513512980769</v>
      </c>
    </row>
    <row r="295" customFormat="1" spans="1:31">
      <c r="A295" s="18"/>
      <c r="B295" s="19"/>
      <c r="C295" s="20">
        <v>240708000050</v>
      </c>
      <c r="D295" s="21">
        <v>45484</v>
      </c>
      <c r="E295" s="21" t="s">
        <v>37</v>
      </c>
      <c r="F295" s="19" t="s">
        <v>281</v>
      </c>
      <c r="G295" s="19" t="s">
        <v>282</v>
      </c>
      <c r="H295" s="19">
        <v>695</v>
      </c>
      <c r="I295" s="41">
        <v>43099</v>
      </c>
      <c r="J295" s="42"/>
      <c r="K295" s="43"/>
      <c r="L295" s="19"/>
      <c r="M295" s="43"/>
      <c r="N295" s="44"/>
      <c r="O295" s="45">
        <f t="shared" si="181"/>
        <v>43099</v>
      </c>
      <c r="P295" s="51"/>
      <c r="Q295" s="51"/>
      <c r="R295" s="74">
        <f t="shared" si="168"/>
        <v>29674.8664529915</v>
      </c>
      <c r="S295" s="74"/>
      <c r="T295" s="74">
        <f t="shared" si="169"/>
        <v>60.0514155982906</v>
      </c>
      <c r="U295" s="74"/>
      <c r="V295" s="74"/>
      <c r="W295" s="76">
        <f t="shared" si="161"/>
        <v>29734.9178685897</v>
      </c>
      <c r="X295" s="77">
        <f t="shared" si="170"/>
        <v>721.890411324786</v>
      </c>
      <c r="Y295" s="77"/>
      <c r="Z295" s="77"/>
      <c r="AA295" s="77">
        <f t="shared" si="167"/>
        <v>721.890411324786</v>
      </c>
      <c r="AB295" s="87">
        <v>7.26</v>
      </c>
      <c r="AC295" s="74">
        <f t="shared" si="163"/>
        <v>5240.92438621795</v>
      </c>
      <c r="AD295" s="74">
        <f t="shared" si="162"/>
        <v>34975.8422548077</v>
      </c>
      <c r="AE295" s="74">
        <f t="shared" si="164"/>
        <v>8123.15774519231</v>
      </c>
    </row>
    <row r="296" customFormat="1" spans="1:31">
      <c r="A296" s="18"/>
      <c r="B296" s="19"/>
      <c r="C296" s="20">
        <v>240708000059</v>
      </c>
      <c r="D296" s="21">
        <v>45484</v>
      </c>
      <c r="E296" s="21" t="s">
        <v>44</v>
      </c>
      <c r="F296" s="19" t="s">
        <v>45</v>
      </c>
      <c r="G296" s="19" t="s">
        <v>283</v>
      </c>
      <c r="H296" s="19">
        <v>0.32</v>
      </c>
      <c r="I296" s="41">
        <v>63</v>
      </c>
      <c r="J296" s="42"/>
      <c r="K296" s="43"/>
      <c r="L296" s="19"/>
      <c r="M296" s="43"/>
      <c r="N296" s="44"/>
      <c r="O296" s="45">
        <f t="shared" si="181"/>
        <v>63</v>
      </c>
      <c r="P296" s="51"/>
      <c r="Q296" s="51"/>
      <c r="R296" s="74">
        <f t="shared" si="168"/>
        <v>13.6632478632479</v>
      </c>
      <c r="S296" s="74"/>
      <c r="T296" s="74">
        <f t="shared" si="169"/>
        <v>0.0276495726495726</v>
      </c>
      <c r="U296" s="74"/>
      <c r="V296" s="74"/>
      <c r="W296" s="76">
        <f t="shared" si="161"/>
        <v>13.6908974358974</v>
      </c>
      <c r="X296" s="77">
        <f t="shared" si="170"/>
        <v>0.332381196581197</v>
      </c>
      <c r="Y296" s="77"/>
      <c r="Z296" s="77"/>
      <c r="AA296" s="77">
        <f t="shared" si="167"/>
        <v>0.332381196581197</v>
      </c>
      <c r="AB296" s="87">
        <v>7.26</v>
      </c>
      <c r="AC296" s="74">
        <f t="shared" si="163"/>
        <v>2.41308748717949</v>
      </c>
      <c r="AD296" s="74">
        <f t="shared" si="162"/>
        <v>16.1039849230769</v>
      </c>
      <c r="AE296" s="74">
        <f t="shared" si="164"/>
        <v>46.8960150769231</v>
      </c>
    </row>
    <row r="297" customFormat="1" spans="1:31">
      <c r="A297" s="18"/>
      <c r="B297" s="19"/>
      <c r="C297" s="20">
        <v>240708000060</v>
      </c>
      <c r="D297" s="21">
        <v>45484</v>
      </c>
      <c r="E297" s="21" t="s">
        <v>40</v>
      </c>
      <c r="F297" s="19" t="s">
        <v>41</v>
      </c>
      <c r="G297" s="19" t="s">
        <v>284</v>
      </c>
      <c r="H297" s="19">
        <v>94</v>
      </c>
      <c r="I297" s="41">
        <v>6110</v>
      </c>
      <c r="J297" s="42"/>
      <c r="K297" s="43"/>
      <c r="L297" s="19"/>
      <c r="M297" s="43"/>
      <c r="N297" s="44"/>
      <c r="O297" s="45">
        <f t="shared" si="181"/>
        <v>6110</v>
      </c>
      <c r="P297" s="52"/>
      <c r="Q297" s="52"/>
      <c r="R297" s="74">
        <f t="shared" si="168"/>
        <v>4013.57905982906</v>
      </c>
      <c r="S297" s="74"/>
      <c r="T297" s="74">
        <f t="shared" si="169"/>
        <v>8.12206196581197</v>
      </c>
      <c r="U297" s="74"/>
      <c r="V297" s="74"/>
      <c r="W297" s="76">
        <f t="shared" ref="W297:W328" si="182">SUM(R297:V297)</f>
        <v>4021.70112179487</v>
      </c>
      <c r="X297" s="77">
        <f t="shared" si="170"/>
        <v>97.6369764957265</v>
      </c>
      <c r="Y297" s="77"/>
      <c r="Z297" s="77"/>
      <c r="AA297" s="77">
        <f t="shared" ref="AA297:AA328" si="183">SUM(X297:Z297)</f>
        <v>97.6369764957265</v>
      </c>
      <c r="AB297" s="87">
        <v>7.26</v>
      </c>
      <c r="AC297" s="74">
        <f t="shared" ref="AC297:AC329" si="184">SUM(AA297*AB297)</f>
        <v>708.844449358974</v>
      </c>
      <c r="AD297" s="74">
        <f t="shared" ref="AD297:AD329" si="185">SUM(W297+AC297)</f>
        <v>4730.54557115384</v>
      </c>
      <c r="AE297" s="74">
        <f t="shared" ref="AE297:AE328" si="186">SUM(O297-AD297)</f>
        <v>1379.45442884616</v>
      </c>
    </row>
    <row r="298" customFormat="1" spans="1:31">
      <c r="A298" s="18" t="s">
        <v>285</v>
      </c>
      <c r="B298" s="19" t="s">
        <v>286</v>
      </c>
      <c r="C298" s="20">
        <v>240705000044</v>
      </c>
      <c r="D298" s="21">
        <v>45486</v>
      </c>
      <c r="E298" s="21" t="s">
        <v>44</v>
      </c>
      <c r="F298" s="19" t="s">
        <v>45</v>
      </c>
      <c r="G298" s="19" t="s">
        <v>121</v>
      </c>
      <c r="H298" s="19">
        <v>22.5</v>
      </c>
      <c r="I298" s="41">
        <v>1237.5</v>
      </c>
      <c r="J298" s="42"/>
      <c r="K298" s="43"/>
      <c r="L298" s="19"/>
      <c r="M298" s="43"/>
      <c r="N298" s="44"/>
      <c r="O298" s="45">
        <f t="shared" si="181"/>
        <v>1237.5</v>
      </c>
      <c r="P298" s="46">
        <f>SUM(O298:O328)</f>
        <v>53986.77</v>
      </c>
      <c r="Q298" s="46" t="s">
        <v>130</v>
      </c>
      <c r="R298" s="74">
        <f>SUM(44242/1000)*H298</f>
        <v>995.445</v>
      </c>
      <c r="S298" s="74"/>
      <c r="T298" s="75">
        <f>SUM(161.75/1000)*H298</f>
        <v>3.639375</v>
      </c>
      <c r="U298" s="74"/>
      <c r="V298" s="74"/>
      <c r="W298" s="76">
        <f t="shared" si="182"/>
        <v>999.084375</v>
      </c>
      <c r="X298" s="77">
        <f>SUM(757.8/1000)*H298</f>
        <v>17.0505</v>
      </c>
      <c r="Y298" s="77"/>
      <c r="Z298" s="77"/>
      <c r="AA298" s="77">
        <f t="shared" si="183"/>
        <v>17.0505</v>
      </c>
      <c r="AB298" s="87">
        <v>7.26</v>
      </c>
      <c r="AC298" s="74">
        <f t="shared" si="184"/>
        <v>123.78663</v>
      </c>
      <c r="AD298" s="74">
        <f t="shared" si="185"/>
        <v>1122.871005</v>
      </c>
      <c r="AE298" s="74">
        <f t="shared" si="186"/>
        <v>114.628995</v>
      </c>
    </row>
    <row r="299" customFormat="1" spans="1:31">
      <c r="A299" s="18"/>
      <c r="B299" s="19"/>
      <c r="C299" s="20">
        <v>240708000022</v>
      </c>
      <c r="D299" s="21">
        <v>45486</v>
      </c>
      <c r="E299" s="21" t="s">
        <v>58</v>
      </c>
      <c r="F299" s="19" t="s">
        <v>59</v>
      </c>
      <c r="G299" s="19" t="s">
        <v>234</v>
      </c>
      <c r="H299" s="19">
        <v>9</v>
      </c>
      <c r="I299" s="41">
        <v>573</v>
      </c>
      <c r="J299" s="42"/>
      <c r="K299" s="43"/>
      <c r="L299" s="19"/>
      <c r="M299" s="43"/>
      <c r="N299" s="44"/>
      <c r="O299" s="45">
        <f t="shared" si="181"/>
        <v>573</v>
      </c>
      <c r="P299" s="51"/>
      <c r="Q299" s="51"/>
      <c r="R299" s="74">
        <f t="shared" ref="R299:R328" si="187">SUM(44242/1000)*H299</f>
        <v>398.178</v>
      </c>
      <c r="S299" s="74"/>
      <c r="T299" s="75">
        <f t="shared" ref="T299:T328" si="188">SUM(161.75/1000)*H299</f>
        <v>1.45575</v>
      </c>
      <c r="U299" s="74"/>
      <c r="V299" s="74"/>
      <c r="W299" s="76">
        <f t="shared" si="182"/>
        <v>399.63375</v>
      </c>
      <c r="X299" s="77">
        <f t="shared" ref="X299:X328" si="189">SUM(757.8/1000)*H299</f>
        <v>6.8202</v>
      </c>
      <c r="Y299" s="77"/>
      <c r="Z299" s="77"/>
      <c r="AA299" s="77">
        <f t="shared" si="183"/>
        <v>6.8202</v>
      </c>
      <c r="AB299" s="87">
        <v>7.26</v>
      </c>
      <c r="AC299" s="74">
        <f t="shared" si="184"/>
        <v>49.514652</v>
      </c>
      <c r="AD299" s="74">
        <f t="shared" si="185"/>
        <v>449.148402</v>
      </c>
      <c r="AE299" s="74">
        <f t="shared" si="186"/>
        <v>123.851598</v>
      </c>
    </row>
    <row r="300" customFormat="1" spans="1:31">
      <c r="A300" s="18"/>
      <c r="B300" s="19"/>
      <c r="C300" s="20">
        <v>240708000024</v>
      </c>
      <c r="D300" s="21">
        <v>45486</v>
      </c>
      <c r="E300" s="21" t="s">
        <v>44</v>
      </c>
      <c r="F300" s="19" t="s">
        <v>45</v>
      </c>
      <c r="G300" s="19" t="s">
        <v>287</v>
      </c>
      <c r="H300" s="19">
        <v>3</v>
      </c>
      <c r="I300" s="41">
        <v>201</v>
      </c>
      <c r="J300" s="42"/>
      <c r="K300" s="43"/>
      <c r="L300" s="19"/>
      <c r="M300" s="43"/>
      <c r="N300" s="44"/>
      <c r="O300" s="45">
        <f t="shared" si="181"/>
        <v>201</v>
      </c>
      <c r="P300" s="51"/>
      <c r="Q300" s="51"/>
      <c r="R300" s="74">
        <f t="shared" si="187"/>
        <v>132.726</v>
      </c>
      <c r="S300" s="74"/>
      <c r="T300" s="75">
        <f t="shared" si="188"/>
        <v>0.48525</v>
      </c>
      <c r="U300" s="74"/>
      <c r="V300" s="74"/>
      <c r="W300" s="76">
        <f t="shared" si="182"/>
        <v>133.21125</v>
      </c>
      <c r="X300" s="77">
        <f t="shared" si="189"/>
        <v>2.2734</v>
      </c>
      <c r="Y300" s="77"/>
      <c r="Z300" s="77"/>
      <c r="AA300" s="77">
        <f t="shared" si="183"/>
        <v>2.2734</v>
      </c>
      <c r="AB300" s="87">
        <v>7.26</v>
      </c>
      <c r="AC300" s="74">
        <f t="shared" si="184"/>
        <v>16.504884</v>
      </c>
      <c r="AD300" s="74">
        <f t="shared" si="185"/>
        <v>149.716134</v>
      </c>
      <c r="AE300" s="74">
        <f t="shared" si="186"/>
        <v>51.283866</v>
      </c>
    </row>
    <row r="301" customFormat="1" spans="1:31">
      <c r="A301" s="18"/>
      <c r="B301" s="19"/>
      <c r="C301" s="20">
        <v>240708000028</v>
      </c>
      <c r="D301" s="21">
        <v>45486</v>
      </c>
      <c r="E301" s="21" t="s">
        <v>44</v>
      </c>
      <c r="F301" s="19" t="s">
        <v>45</v>
      </c>
      <c r="G301" s="19" t="s">
        <v>288</v>
      </c>
      <c r="H301" s="19">
        <v>0.96</v>
      </c>
      <c r="I301" s="41">
        <v>63</v>
      </c>
      <c r="J301" s="42"/>
      <c r="K301" s="43"/>
      <c r="L301" s="19"/>
      <c r="M301" s="43"/>
      <c r="N301" s="44"/>
      <c r="O301" s="45">
        <f t="shared" si="181"/>
        <v>63</v>
      </c>
      <c r="P301" s="51"/>
      <c r="Q301" s="51"/>
      <c r="R301" s="74">
        <f t="shared" si="187"/>
        <v>42.47232</v>
      </c>
      <c r="S301" s="74"/>
      <c r="T301" s="75">
        <f t="shared" si="188"/>
        <v>0.15528</v>
      </c>
      <c r="U301" s="74"/>
      <c r="V301" s="74"/>
      <c r="W301" s="76">
        <f t="shared" si="182"/>
        <v>42.6276</v>
      </c>
      <c r="X301" s="77">
        <f t="shared" si="189"/>
        <v>0.727488</v>
      </c>
      <c r="Y301" s="77"/>
      <c r="Z301" s="77"/>
      <c r="AA301" s="77">
        <f t="shared" si="183"/>
        <v>0.727488</v>
      </c>
      <c r="AB301" s="87">
        <v>7.26</v>
      </c>
      <c r="AC301" s="74">
        <f t="shared" si="184"/>
        <v>5.28156288</v>
      </c>
      <c r="AD301" s="74">
        <f t="shared" si="185"/>
        <v>47.90916288</v>
      </c>
      <c r="AE301" s="74">
        <f t="shared" si="186"/>
        <v>15.09083712</v>
      </c>
    </row>
    <row r="302" customFormat="1" spans="1:31">
      <c r="A302" s="18"/>
      <c r="B302" s="19"/>
      <c r="C302" s="20">
        <v>240708000031</v>
      </c>
      <c r="D302" s="21">
        <v>45486</v>
      </c>
      <c r="E302" s="21" t="s">
        <v>44</v>
      </c>
      <c r="F302" s="19" t="s">
        <v>45</v>
      </c>
      <c r="G302" s="19" t="s">
        <v>289</v>
      </c>
      <c r="H302" s="19">
        <v>3</v>
      </c>
      <c r="I302" s="41">
        <v>183</v>
      </c>
      <c r="J302" s="42"/>
      <c r="K302" s="43"/>
      <c r="L302" s="19"/>
      <c r="M302" s="43"/>
      <c r="N302" s="44"/>
      <c r="O302" s="45">
        <f t="shared" si="181"/>
        <v>183</v>
      </c>
      <c r="P302" s="51"/>
      <c r="Q302" s="51"/>
      <c r="R302" s="74">
        <f t="shared" si="187"/>
        <v>132.726</v>
      </c>
      <c r="S302" s="74"/>
      <c r="T302" s="75">
        <f t="shared" si="188"/>
        <v>0.48525</v>
      </c>
      <c r="U302" s="74"/>
      <c r="V302" s="74"/>
      <c r="W302" s="76">
        <f t="shared" si="182"/>
        <v>133.21125</v>
      </c>
      <c r="X302" s="77">
        <f t="shared" si="189"/>
        <v>2.2734</v>
      </c>
      <c r="Y302" s="77"/>
      <c r="Z302" s="77"/>
      <c r="AA302" s="77">
        <f t="shared" si="183"/>
        <v>2.2734</v>
      </c>
      <c r="AB302" s="87">
        <v>7.26</v>
      </c>
      <c r="AC302" s="74">
        <f t="shared" si="184"/>
        <v>16.504884</v>
      </c>
      <c r="AD302" s="74">
        <f t="shared" si="185"/>
        <v>149.716134</v>
      </c>
      <c r="AE302" s="74">
        <f t="shared" si="186"/>
        <v>33.283866</v>
      </c>
    </row>
    <row r="303" customFormat="1" spans="1:31">
      <c r="A303" s="18"/>
      <c r="B303" s="19"/>
      <c r="C303" s="20">
        <v>240708000033</v>
      </c>
      <c r="D303" s="21">
        <v>45486</v>
      </c>
      <c r="E303" s="21" t="s">
        <v>40</v>
      </c>
      <c r="F303" s="19" t="s">
        <v>41</v>
      </c>
      <c r="G303" s="19" t="s">
        <v>87</v>
      </c>
      <c r="H303" s="19">
        <v>140</v>
      </c>
      <c r="I303" s="47"/>
      <c r="J303" s="48">
        <v>1922690</v>
      </c>
      <c r="K303" s="43"/>
      <c r="L303" s="49">
        <f t="shared" ref="L303:L307" si="190">SUM(J303/M303)</f>
        <v>1648.02941731096</v>
      </c>
      <c r="M303" s="50">
        <v>1166.66</v>
      </c>
      <c r="N303" s="44">
        <v>7.26</v>
      </c>
      <c r="O303" s="45">
        <f t="shared" ref="O303:O307" si="191">SUM(M303*N303)</f>
        <v>8469.9516</v>
      </c>
      <c r="P303" s="51"/>
      <c r="Q303" s="51"/>
      <c r="R303" s="74">
        <f t="shared" si="187"/>
        <v>6193.88</v>
      </c>
      <c r="S303" s="74"/>
      <c r="T303" s="75">
        <f t="shared" si="188"/>
        <v>22.645</v>
      </c>
      <c r="U303" s="75">
        <v>70</v>
      </c>
      <c r="V303" s="74"/>
      <c r="W303" s="76">
        <f t="shared" si="182"/>
        <v>6286.525</v>
      </c>
      <c r="X303" s="77">
        <f t="shared" si="189"/>
        <v>106.092</v>
      </c>
      <c r="Y303" s="77"/>
      <c r="Z303" s="77"/>
      <c r="AA303" s="77">
        <f t="shared" si="183"/>
        <v>106.092</v>
      </c>
      <c r="AB303" s="87">
        <v>7.26</v>
      </c>
      <c r="AC303" s="74">
        <f t="shared" si="184"/>
        <v>770.22792</v>
      </c>
      <c r="AD303" s="74">
        <f t="shared" si="185"/>
        <v>7056.75292</v>
      </c>
      <c r="AE303" s="74">
        <f t="shared" si="186"/>
        <v>1413.19868</v>
      </c>
    </row>
    <row r="304" customFormat="1" spans="1:31">
      <c r="A304" s="18"/>
      <c r="B304" s="19"/>
      <c r="C304" s="20">
        <v>240708000048</v>
      </c>
      <c r="D304" s="21">
        <v>45486</v>
      </c>
      <c r="E304" s="21" t="s">
        <v>44</v>
      </c>
      <c r="F304" s="19" t="s">
        <v>45</v>
      </c>
      <c r="G304" s="19" t="s">
        <v>121</v>
      </c>
      <c r="H304" s="19">
        <v>0.18</v>
      </c>
      <c r="I304" s="41">
        <v>150</v>
      </c>
      <c r="J304" s="42"/>
      <c r="K304" s="43"/>
      <c r="L304" s="19"/>
      <c r="M304" s="43"/>
      <c r="N304" s="44"/>
      <c r="O304" s="45">
        <f t="shared" ref="O304:O308" si="192">SUM(I304)</f>
        <v>150</v>
      </c>
      <c r="P304" s="51"/>
      <c r="Q304" s="51"/>
      <c r="R304" s="74">
        <f t="shared" si="187"/>
        <v>7.96356</v>
      </c>
      <c r="S304" s="74"/>
      <c r="T304" s="75">
        <f t="shared" si="188"/>
        <v>0.029115</v>
      </c>
      <c r="U304" s="74"/>
      <c r="V304" s="74"/>
      <c r="W304" s="76">
        <f t="shared" si="182"/>
        <v>7.992675</v>
      </c>
      <c r="X304" s="77">
        <f t="shared" si="189"/>
        <v>0.136404</v>
      </c>
      <c r="Y304" s="77">
        <v>11.98</v>
      </c>
      <c r="Z304" s="77"/>
      <c r="AA304" s="77">
        <f t="shared" si="183"/>
        <v>12.116404</v>
      </c>
      <c r="AB304" s="87">
        <v>7.26</v>
      </c>
      <c r="AC304" s="74">
        <f t="shared" si="184"/>
        <v>87.96509304</v>
      </c>
      <c r="AD304" s="74">
        <f t="shared" si="185"/>
        <v>95.95776804</v>
      </c>
      <c r="AE304" s="74">
        <f t="shared" si="186"/>
        <v>54.04223196</v>
      </c>
    </row>
    <row r="305" customFormat="1" spans="1:31">
      <c r="A305" s="18"/>
      <c r="B305" s="19"/>
      <c r="C305" s="20">
        <v>240708000052</v>
      </c>
      <c r="D305" s="21">
        <v>45486</v>
      </c>
      <c r="E305" s="21" t="s">
        <v>44</v>
      </c>
      <c r="F305" s="19" t="s">
        <v>45</v>
      </c>
      <c r="G305" s="19" t="s">
        <v>290</v>
      </c>
      <c r="H305" s="19">
        <v>7.5</v>
      </c>
      <c r="I305" s="41">
        <v>478.5</v>
      </c>
      <c r="J305" s="42"/>
      <c r="K305" s="43"/>
      <c r="L305" s="19"/>
      <c r="M305" s="43"/>
      <c r="N305" s="44"/>
      <c r="O305" s="45">
        <f t="shared" si="192"/>
        <v>478.5</v>
      </c>
      <c r="P305" s="51"/>
      <c r="Q305" s="51"/>
      <c r="R305" s="74">
        <f t="shared" si="187"/>
        <v>331.815</v>
      </c>
      <c r="S305" s="74"/>
      <c r="T305" s="75">
        <f t="shared" si="188"/>
        <v>1.213125</v>
      </c>
      <c r="U305" s="74"/>
      <c r="V305" s="74"/>
      <c r="W305" s="76">
        <f t="shared" si="182"/>
        <v>333.028125</v>
      </c>
      <c r="X305" s="77">
        <f t="shared" si="189"/>
        <v>5.6835</v>
      </c>
      <c r="Y305" s="77"/>
      <c r="Z305" s="77"/>
      <c r="AA305" s="77">
        <f t="shared" si="183"/>
        <v>5.6835</v>
      </c>
      <c r="AB305" s="87">
        <v>7.26</v>
      </c>
      <c r="AC305" s="74">
        <f t="shared" si="184"/>
        <v>41.26221</v>
      </c>
      <c r="AD305" s="74">
        <f t="shared" si="185"/>
        <v>374.290335</v>
      </c>
      <c r="AE305" s="74">
        <f t="shared" si="186"/>
        <v>104.209665</v>
      </c>
    </row>
    <row r="306" customFormat="1" spans="1:31">
      <c r="A306" s="18"/>
      <c r="B306" s="19"/>
      <c r="C306" s="20">
        <v>240708000055</v>
      </c>
      <c r="D306" s="21">
        <v>45486</v>
      </c>
      <c r="E306" s="21" t="s">
        <v>81</v>
      </c>
      <c r="F306" s="19" t="s">
        <v>270</v>
      </c>
      <c r="G306" s="19" t="s">
        <v>291</v>
      </c>
      <c r="H306" s="19">
        <v>0.88</v>
      </c>
      <c r="I306" s="45"/>
      <c r="J306" s="48">
        <v>14062</v>
      </c>
      <c r="K306" s="43"/>
      <c r="L306" s="49">
        <f t="shared" si="190"/>
        <v>1597.95454545455</v>
      </c>
      <c r="M306" s="50">
        <v>8.8</v>
      </c>
      <c r="N306" s="44">
        <v>7.26</v>
      </c>
      <c r="O306" s="45">
        <f t="shared" si="191"/>
        <v>63.888</v>
      </c>
      <c r="P306" s="51"/>
      <c r="Q306" s="51"/>
      <c r="R306" s="74">
        <f t="shared" si="187"/>
        <v>38.93296</v>
      </c>
      <c r="S306" s="74"/>
      <c r="T306" s="75">
        <f t="shared" si="188"/>
        <v>0.14234</v>
      </c>
      <c r="U306" s="74"/>
      <c r="V306" s="74"/>
      <c r="W306" s="76">
        <f t="shared" si="182"/>
        <v>39.0753</v>
      </c>
      <c r="X306" s="77">
        <f t="shared" si="189"/>
        <v>0.666864</v>
      </c>
      <c r="Y306" s="77"/>
      <c r="Z306" s="77"/>
      <c r="AA306" s="77">
        <f t="shared" si="183"/>
        <v>0.666864</v>
      </c>
      <c r="AB306" s="87">
        <v>7.26</v>
      </c>
      <c r="AC306" s="74">
        <f t="shared" si="184"/>
        <v>4.84143264</v>
      </c>
      <c r="AD306" s="74">
        <f t="shared" si="185"/>
        <v>43.91673264</v>
      </c>
      <c r="AE306" s="74">
        <f t="shared" si="186"/>
        <v>19.97126736</v>
      </c>
    </row>
    <row r="307" customFormat="1" spans="1:31">
      <c r="A307" s="18"/>
      <c r="B307" s="19"/>
      <c r="C307" s="20">
        <v>240708000057</v>
      </c>
      <c r="D307" s="21">
        <v>45486</v>
      </c>
      <c r="E307" s="21" t="s">
        <v>81</v>
      </c>
      <c r="F307" s="19" t="s">
        <v>199</v>
      </c>
      <c r="G307" s="19" t="s">
        <v>200</v>
      </c>
      <c r="H307" s="19">
        <v>8</v>
      </c>
      <c r="I307" s="45"/>
      <c r="J307" s="48">
        <v>115056</v>
      </c>
      <c r="K307" s="43"/>
      <c r="L307" s="49">
        <f t="shared" si="190"/>
        <v>1794.94539781591</v>
      </c>
      <c r="M307" s="50">
        <v>64.1</v>
      </c>
      <c r="N307" s="44">
        <v>7.26</v>
      </c>
      <c r="O307" s="45">
        <f t="shared" si="191"/>
        <v>465.366</v>
      </c>
      <c r="P307" s="51"/>
      <c r="Q307" s="51"/>
      <c r="R307" s="74">
        <f t="shared" si="187"/>
        <v>353.936</v>
      </c>
      <c r="S307" s="74"/>
      <c r="T307" s="75">
        <f t="shared" si="188"/>
        <v>1.294</v>
      </c>
      <c r="U307" s="74"/>
      <c r="V307" s="74"/>
      <c r="W307" s="76">
        <f t="shared" si="182"/>
        <v>355.23</v>
      </c>
      <c r="X307" s="77">
        <f t="shared" si="189"/>
        <v>6.0624</v>
      </c>
      <c r="Y307" s="77"/>
      <c r="Z307" s="77"/>
      <c r="AA307" s="77">
        <f t="shared" si="183"/>
        <v>6.0624</v>
      </c>
      <c r="AB307" s="87">
        <v>7.26</v>
      </c>
      <c r="AC307" s="74">
        <f t="shared" si="184"/>
        <v>44.013024</v>
      </c>
      <c r="AD307" s="74">
        <f t="shared" si="185"/>
        <v>399.243024</v>
      </c>
      <c r="AE307" s="74">
        <f t="shared" si="186"/>
        <v>66.122976</v>
      </c>
    </row>
    <row r="308" customFormat="1" spans="1:31">
      <c r="A308" s="18"/>
      <c r="B308" s="19"/>
      <c r="C308" s="20">
        <v>240708000058</v>
      </c>
      <c r="D308" s="21">
        <v>45486</v>
      </c>
      <c r="E308" s="21" t="s">
        <v>44</v>
      </c>
      <c r="F308" s="19" t="s">
        <v>45</v>
      </c>
      <c r="G308" s="19" t="s">
        <v>117</v>
      </c>
      <c r="H308" s="19">
        <v>4.5</v>
      </c>
      <c r="I308" s="41">
        <v>273</v>
      </c>
      <c r="J308" s="42"/>
      <c r="K308" s="43"/>
      <c r="L308" s="19"/>
      <c r="M308" s="43"/>
      <c r="N308" s="44"/>
      <c r="O308" s="45">
        <f t="shared" si="192"/>
        <v>273</v>
      </c>
      <c r="P308" s="51"/>
      <c r="Q308" s="51"/>
      <c r="R308" s="74">
        <f t="shared" si="187"/>
        <v>199.089</v>
      </c>
      <c r="S308" s="74"/>
      <c r="T308" s="75">
        <f t="shared" si="188"/>
        <v>0.727875</v>
      </c>
      <c r="U308" s="74"/>
      <c r="V308" s="74"/>
      <c r="W308" s="76">
        <f t="shared" si="182"/>
        <v>199.816875</v>
      </c>
      <c r="X308" s="77">
        <f t="shared" si="189"/>
        <v>3.4101</v>
      </c>
      <c r="Y308" s="77"/>
      <c r="Z308" s="77"/>
      <c r="AA308" s="77">
        <f t="shared" si="183"/>
        <v>3.4101</v>
      </c>
      <c r="AB308" s="87">
        <v>7.26</v>
      </c>
      <c r="AC308" s="74">
        <f t="shared" si="184"/>
        <v>24.757326</v>
      </c>
      <c r="AD308" s="74">
        <f t="shared" si="185"/>
        <v>224.574201</v>
      </c>
      <c r="AE308" s="74">
        <f t="shared" si="186"/>
        <v>48.425799</v>
      </c>
    </row>
    <row r="309" customFormat="1" spans="1:31">
      <c r="A309" s="18"/>
      <c r="B309" s="19"/>
      <c r="C309" s="20">
        <v>240709000004</v>
      </c>
      <c r="D309" s="21">
        <v>45486</v>
      </c>
      <c r="E309" s="21" t="s">
        <v>81</v>
      </c>
      <c r="F309" s="19" t="s">
        <v>270</v>
      </c>
      <c r="G309" s="19" t="s">
        <v>292</v>
      </c>
      <c r="H309" s="19">
        <v>22</v>
      </c>
      <c r="I309" s="45"/>
      <c r="J309" s="48">
        <v>269103.4</v>
      </c>
      <c r="K309" s="43"/>
      <c r="L309" s="49">
        <f>SUM(J309/M309)</f>
        <v>1598.00118764846</v>
      </c>
      <c r="M309" s="50">
        <v>168.4</v>
      </c>
      <c r="N309" s="44">
        <v>7.26</v>
      </c>
      <c r="O309" s="45">
        <f t="shared" ref="O309:O312" si="193">SUM(M309*N309)</f>
        <v>1222.584</v>
      </c>
      <c r="P309" s="51"/>
      <c r="Q309" s="51"/>
      <c r="R309" s="74">
        <f t="shared" si="187"/>
        <v>973.324</v>
      </c>
      <c r="S309" s="74"/>
      <c r="T309" s="75">
        <f t="shared" si="188"/>
        <v>3.5585</v>
      </c>
      <c r="U309" s="74"/>
      <c r="V309" s="74"/>
      <c r="W309" s="76">
        <f t="shared" si="182"/>
        <v>976.8825</v>
      </c>
      <c r="X309" s="77">
        <f t="shared" si="189"/>
        <v>16.6716</v>
      </c>
      <c r="Y309" s="77"/>
      <c r="Z309" s="77"/>
      <c r="AA309" s="77">
        <f t="shared" si="183"/>
        <v>16.6716</v>
      </c>
      <c r="AB309" s="87">
        <v>7.26</v>
      </c>
      <c r="AC309" s="74">
        <f t="shared" si="184"/>
        <v>121.035816</v>
      </c>
      <c r="AD309" s="74">
        <f t="shared" si="185"/>
        <v>1097.918316</v>
      </c>
      <c r="AE309" s="74">
        <f t="shared" si="186"/>
        <v>124.665684</v>
      </c>
    </row>
    <row r="310" customFormat="1" spans="1:31">
      <c r="A310" s="18"/>
      <c r="B310" s="19"/>
      <c r="C310" s="20">
        <v>240709000006</v>
      </c>
      <c r="D310" s="21">
        <v>45486</v>
      </c>
      <c r="E310" s="21" t="s">
        <v>58</v>
      </c>
      <c r="F310" s="19" t="s">
        <v>59</v>
      </c>
      <c r="G310" s="19" t="s">
        <v>76</v>
      </c>
      <c r="H310" s="19">
        <v>0.3</v>
      </c>
      <c r="I310" s="45"/>
      <c r="J310" s="48">
        <v>14476</v>
      </c>
      <c r="K310" s="43"/>
      <c r="L310" s="49">
        <f>SUM(J310/M310)</f>
        <v>1645</v>
      </c>
      <c r="M310" s="50">
        <v>8.8</v>
      </c>
      <c r="N310" s="44">
        <v>7.26</v>
      </c>
      <c r="O310" s="45">
        <f t="shared" si="193"/>
        <v>63.888</v>
      </c>
      <c r="P310" s="51"/>
      <c r="Q310" s="51"/>
      <c r="R310" s="74">
        <f t="shared" si="187"/>
        <v>13.2726</v>
      </c>
      <c r="S310" s="74"/>
      <c r="T310" s="75">
        <f t="shared" si="188"/>
        <v>0.048525</v>
      </c>
      <c r="U310" s="74"/>
      <c r="V310" s="74"/>
      <c r="W310" s="76">
        <f t="shared" si="182"/>
        <v>13.321125</v>
      </c>
      <c r="X310" s="77">
        <f t="shared" si="189"/>
        <v>0.22734</v>
      </c>
      <c r="Y310" s="77"/>
      <c r="Z310" s="77"/>
      <c r="AA310" s="77">
        <f t="shared" si="183"/>
        <v>0.22734</v>
      </c>
      <c r="AB310" s="87">
        <v>7.26</v>
      </c>
      <c r="AC310" s="74">
        <f t="shared" si="184"/>
        <v>1.6504884</v>
      </c>
      <c r="AD310" s="74">
        <f t="shared" si="185"/>
        <v>14.9716134</v>
      </c>
      <c r="AE310" s="74">
        <f t="shared" si="186"/>
        <v>48.9163866</v>
      </c>
    </row>
    <row r="311" customFormat="1" spans="1:31">
      <c r="A311" s="18"/>
      <c r="B311" s="19"/>
      <c r="C311" s="20">
        <v>240709000007</v>
      </c>
      <c r="D311" s="21">
        <v>45486</v>
      </c>
      <c r="E311" s="21" t="s">
        <v>58</v>
      </c>
      <c r="F311" s="19" t="s">
        <v>59</v>
      </c>
      <c r="G311" s="19" t="s">
        <v>293</v>
      </c>
      <c r="H311" s="19">
        <v>6</v>
      </c>
      <c r="I311" s="41">
        <v>348</v>
      </c>
      <c r="J311" s="42"/>
      <c r="K311" s="43"/>
      <c r="L311" s="19"/>
      <c r="M311" s="43"/>
      <c r="N311" s="44"/>
      <c r="O311" s="45">
        <f t="shared" ref="O311:O318" si="194">SUM(I311)</f>
        <v>348</v>
      </c>
      <c r="P311" s="51"/>
      <c r="Q311" s="51"/>
      <c r="R311" s="74">
        <f t="shared" si="187"/>
        <v>265.452</v>
      </c>
      <c r="S311" s="74"/>
      <c r="T311" s="75">
        <f t="shared" si="188"/>
        <v>0.9705</v>
      </c>
      <c r="U311" s="74"/>
      <c r="V311" s="74"/>
      <c r="W311" s="76">
        <f t="shared" si="182"/>
        <v>266.4225</v>
      </c>
      <c r="X311" s="77">
        <f t="shared" si="189"/>
        <v>4.5468</v>
      </c>
      <c r="Y311" s="77"/>
      <c r="Z311" s="77"/>
      <c r="AA311" s="77">
        <f t="shared" si="183"/>
        <v>4.5468</v>
      </c>
      <c r="AB311" s="87">
        <v>7.26</v>
      </c>
      <c r="AC311" s="74">
        <f t="shared" si="184"/>
        <v>33.009768</v>
      </c>
      <c r="AD311" s="74">
        <f t="shared" si="185"/>
        <v>299.432268</v>
      </c>
      <c r="AE311" s="74">
        <f t="shared" si="186"/>
        <v>48.567732</v>
      </c>
    </row>
    <row r="312" customFormat="1" spans="1:31">
      <c r="A312" s="18"/>
      <c r="B312" s="19"/>
      <c r="C312" s="20">
        <v>240709000008</v>
      </c>
      <c r="D312" s="21">
        <v>45486</v>
      </c>
      <c r="E312" s="21" t="s">
        <v>127</v>
      </c>
      <c r="F312" s="19" t="s">
        <v>128</v>
      </c>
      <c r="G312" s="19" t="s">
        <v>294</v>
      </c>
      <c r="H312" s="19">
        <v>4.5</v>
      </c>
      <c r="I312" s="45"/>
      <c r="J312" s="48">
        <v>60484.3</v>
      </c>
      <c r="K312" s="43"/>
      <c r="L312" s="49">
        <f>SUM(J312/M312)</f>
        <v>1598</v>
      </c>
      <c r="M312" s="50">
        <v>37.85</v>
      </c>
      <c r="N312" s="44">
        <v>7.26</v>
      </c>
      <c r="O312" s="45">
        <f t="shared" si="193"/>
        <v>274.791</v>
      </c>
      <c r="P312" s="51"/>
      <c r="Q312" s="51"/>
      <c r="R312" s="74">
        <f t="shared" si="187"/>
        <v>199.089</v>
      </c>
      <c r="S312" s="74"/>
      <c r="T312" s="75">
        <f t="shared" si="188"/>
        <v>0.727875</v>
      </c>
      <c r="U312" s="74"/>
      <c r="V312" s="74"/>
      <c r="W312" s="76">
        <f t="shared" si="182"/>
        <v>199.816875</v>
      </c>
      <c r="X312" s="77">
        <f t="shared" si="189"/>
        <v>3.4101</v>
      </c>
      <c r="Y312" s="77"/>
      <c r="Z312" s="77"/>
      <c r="AA312" s="77">
        <f t="shared" si="183"/>
        <v>3.4101</v>
      </c>
      <c r="AB312" s="87">
        <v>7.26</v>
      </c>
      <c r="AC312" s="74">
        <f t="shared" si="184"/>
        <v>24.757326</v>
      </c>
      <c r="AD312" s="74">
        <f t="shared" si="185"/>
        <v>224.574201</v>
      </c>
      <c r="AE312" s="74">
        <f t="shared" si="186"/>
        <v>50.216799</v>
      </c>
    </row>
    <row r="313" customFormat="1" spans="1:31">
      <c r="A313" s="18"/>
      <c r="B313" s="19"/>
      <c r="C313" s="20">
        <v>240709000009</v>
      </c>
      <c r="D313" s="21">
        <v>45486</v>
      </c>
      <c r="E313" s="21" t="s">
        <v>47</v>
      </c>
      <c r="F313" s="19" t="s">
        <v>48</v>
      </c>
      <c r="G313" s="19" t="s">
        <v>74</v>
      </c>
      <c r="H313" s="19">
        <v>7.5</v>
      </c>
      <c r="I313" s="41">
        <v>478.5</v>
      </c>
      <c r="J313" s="42"/>
      <c r="K313" s="43"/>
      <c r="L313" s="19"/>
      <c r="M313" s="43"/>
      <c r="N313" s="44"/>
      <c r="O313" s="45">
        <f t="shared" si="194"/>
        <v>478.5</v>
      </c>
      <c r="P313" s="51"/>
      <c r="Q313" s="51"/>
      <c r="R313" s="74">
        <f t="shared" si="187"/>
        <v>331.815</v>
      </c>
      <c r="S313" s="74"/>
      <c r="T313" s="75">
        <f t="shared" si="188"/>
        <v>1.213125</v>
      </c>
      <c r="U313" s="74"/>
      <c r="V313" s="74"/>
      <c r="W313" s="76">
        <f t="shared" si="182"/>
        <v>333.028125</v>
      </c>
      <c r="X313" s="77">
        <f t="shared" si="189"/>
        <v>5.6835</v>
      </c>
      <c r="Y313" s="77"/>
      <c r="Z313" s="77"/>
      <c r="AA313" s="77">
        <f t="shared" si="183"/>
        <v>5.6835</v>
      </c>
      <c r="AB313" s="87">
        <v>7.26</v>
      </c>
      <c r="AC313" s="74">
        <f t="shared" si="184"/>
        <v>41.26221</v>
      </c>
      <c r="AD313" s="74">
        <f t="shared" si="185"/>
        <v>374.290335</v>
      </c>
      <c r="AE313" s="74">
        <f t="shared" si="186"/>
        <v>104.209665</v>
      </c>
    </row>
    <row r="314" customFormat="1" spans="1:31">
      <c r="A314" s="18"/>
      <c r="B314" s="19"/>
      <c r="C314" s="20">
        <v>240709000011</v>
      </c>
      <c r="D314" s="21">
        <v>45486</v>
      </c>
      <c r="E314" s="21" t="s">
        <v>55</v>
      </c>
      <c r="F314" s="19" t="s">
        <v>56</v>
      </c>
      <c r="G314" s="19" t="s">
        <v>186</v>
      </c>
      <c r="H314" s="19">
        <v>3.5</v>
      </c>
      <c r="I314" s="47">
        <v>213</v>
      </c>
      <c r="J314" s="42"/>
      <c r="K314" s="43"/>
      <c r="L314" s="19"/>
      <c r="M314" s="43"/>
      <c r="N314" s="44"/>
      <c r="O314" s="45">
        <f t="shared" si="194"/>
        <v>213</v>
      </c>
      <c r="P314" s="51"/>
      <c r="Q314" s="51"/>
      <c r="R314" s="74">
        <f t="shared" si="187"/>
        <v>154.847</v>
      </c>
      <c r="S314" s="74"/>
      <c r="T314" s="75">
        <f t="shared" si="188"/>
        <v>0.566125</v>
      </c>
      <c r="U314" s="74"/>
      <c r="V314" s="74"/>
      <c r="W314" s="76">
        <f t="shared" si="182"/>
        <v>155.413125</v>
      </c>
      <c r="X314" s="77">
        <f t="shared" si="189"/>
        <v>2.6523</v>
      </c>
      <c r="Y314" s="77"/>
      <c r="Z314" s="77"/>
      <c r="AA314" s="77">
        <f t="shared" si="183"/>
        <v>2.6523</v>
      </c>
      <c r="AB314" s="87">
        <v>7.26</v>
      </c>
      <c r="AC314" s="74">
        <f t="shared" si="184"/>
        <v>19.255698</v>
      </c>
      <c r="AD314" s="74">
        <f t="shared" si="185"/>
        <v>174.668823</v>
      </c>
      <c r="AE314" s="74">
        <f t="shared" si="186"/>
        <v>38.331177</v>
      </c>
    </row>
    <row r="315" customFormat="1" spans="1:31">
      <c r="A315" s="18"/>
      <c r="B315" s="19"/>
      <c r="C315" s="20">
        <v>240709000012</v>
      </c>
      <c r="D315" s="21">
        <v>45486</v>
      </c>
      <c r="E315" s="21" t="s">
        <v>40</v>
      </c>
      <c r="F315" s="19" t="s">
        <v>41</v>
      </c>
      <c r="G315" s="19" t="s">
        <v>255</v>
      </c>
      <c r="H315" s="19">
        <v>30</v>
      </c>
      <c r="I315" s="41">
        <v>1800</v>
      </c>
      <c r="J315" s="42"/>
      <c r="K315" s="43"/>
      <c r="L315" s="19"/>
      <c r="M315" s="43"/>
      <c r="N315" s="44"/>
      <c r="O315" s="45">
        <f t="shared" si="194"/>
        <v>1800</v>
      </c>
      <c r="P315" s="51"/>
      <c r="Q315" s="51"/>
      <c r="R315" s="74">
        <f t="shared" si="187"/>
        <v>1327.26</v>
      </c>
      <c r="S315" s="74"/>
      <c r="T315" s="75">
        <f t="shared" si="188"/>
        <v>4.8525</v>
      </c>
      <c r="U315" s="74"/>
      <c r="V315" s="74"/>
      <c r="W315" s="76">
        <f t="shared" si="182"/>
        <v>1332.1125</v>
      </c>
      <c r="X315" s="77">
        <f t="shared" si="189"/>
        <v>22.734</v>
      </c>
      <c r="Y315" s="77">
        <v>20.5</v>
      </c>
      <c r="Z315" s="77"/>
      <c r="AA315" s="77">
        <f t="shared" si="183"/>
        <v>43.234</v>
      </c>
      <c r="AB315" s="87">
        <v>7.26</v>
      </c>
      <c r="AC315" s="74">
        <f t="shared" si="184"/>
        <v>313.87884</v>
      </c>
      <c r="AD315" s="74">
        <f t="shared" si="185"/>
        <v>1645.99134</v>
      </c>
      <c r="AE315" s="74">
        <f t="shared" si="186"/>
        <v>154.00866</v>
      </c>
    </row>
    <row r="316" customFormat="1" spans="1:31">
      <c r="A316" s="18"/>
      <c r="B316" s="19"/>
      <c r="C316" s="20">
        <v>240709000015</v>
      </c>
      <c r="D316" s="21">
        <v>45486</v>
      </c>
      <c r="E316" s="21" t="s">
        <v>47</v>
      </c>
      <c r="F316" s="19" t="s">
        <v>48</v>
      </c>
      <c r="G316" s="19" t="s">
        <v>158</v>
      </c>
      <c r="H316" s="19">
        <v>2</v>
      </c>
      <c r="I316" s="41">
        <v>135</v>
      </c>
      <c r="J316" s="42"/>
      <c r="K316" s="43"/>
      <c r="L316" s="19"/>
      <c r="M316" s="43"/>
      <c r="N316" s="44"/>
      <c r="O316" s="45">
        <f t="shared" si="194"/>
        <v>135</v>
      </c>
      <c r="P316" s="51"/>
      <c r="Q316" s="51"/>
      <c r="R316" s="74">
        <f t="shared" si="187"/>
        <v>88.484</v>
      </c>
      <c r="S316" s="74"/>
      <c r="T316" s="75">
        <f t="shared" si="188"/>
        <v>0.3235</v>
      </c>
      <c r="U316" s="74"/>
      <c r="V316" s="74"/>
      <c r="W316" s="76">
        <f t="shared" si="182"/>
        <v>88.8075</v>
      </c>
      <c r="X316" s="77">
        <f t="shared" si="189"/>
        <v>1.5156</v>
      </c>
      <c r="Y316" s="77"/>
      <c r="Z316" s="77"/>
      <c r="AA316" s="77">
        <f t="shared" si="183"/>
        <v>1.5156</v>
      </c>
      <c r="AB316" s="87">
        <v>7.26</v>
      </c>
      <c r="AC316" s="74">
        <f t="shared" si="184"/>
        <v>11.003256</v>
      </c>
      <c r="AD316" s="74">
        <f t="shared" si="185"/>
        <v>99.810756</v>
      </c>
      <c r="AE316" s="74">
        <f t="shared" si="186"/>
        <v>35.189244</v>
      </c>
    </row>
    <row r="317" customFormat="1" spans="1:31">
      <c r="A317" s="18"/>
      <c r="B317" s="19"/>
      <c r="C317" s="20">
        <v>240709000016</v>
      </c>
      <c r="D317" s="21">
        <v>45486</v>
      </c>
      <c r="E317" s="21" t="s">
        <v>40</v>
      </c>
      <c r="F317" s="19" t="s">
        <v>41</v>
      </c>
      <c r="G317" s="19" t="s">
        <v>277</v>
      </c>
      <c r="H317" s="19">
        <v>14.5</v>
      </c>
      <c r="I317" s="41">
        <v>779.5</v>
      </c>
      <c r="J317" s="42"/>
      <c r="K317" s="43"/>
      <c r="L317" s="19"/>
      <c r="M317" s="43"/>
      <c r="N317" s="44"/>
      <c r="O317" s="45">
        <f t="shared" si="194"/>
        <v>779.5</v>
      </c>
      <c r="P317" s="51"/>
      <c r="Q317" s="51"/>
      <c r="R317" s="74">
        <f t="shared" si="187"/>
        <v>641.509</v>
      </c>
      <c r="S317" s="74"/>
      <c r="T317" s="75">
        <f t="shared" si="188"/>
        <v>2.345375</v>
      </c>
      <c r="U317" s="74">
        <v>40</v>
      </c>
      <c r="V317" s="74"/>
      <c r="W317" s="76">
        <f t="shared" si="182"/>
        <v>683.854375</v>
      </c>
      <c r="X317" s="77">
        <f t="shared" si="189"/>
        <v>10.9881</v>
      </c>
      <c r="Y317" s="77"/>
      <c r="Z317" s="77"/>
      <c r="AA317" s="77">
        <f t="shared" si="183"/>
        <v>10.9881</v>
      </c>
      <c r="AB317" s="87">
        <v>7.26</v>
      </c>
      <c r="AC317" s="74">
        <f t="shared" si="184"/>
        <v>79.773606</v>
      </c>
      <c r="AD317" s="74">
        <f t="shared" si="185"/>
        <v>763.627981</v>
      </c>
      <c r="AE317" s="74">
        <f t="shared" si="186"/>
        <v>15.872019</v>
      </c>
    </row>
    <row r="318" customFormat="1" spans="1:31">
      <c r="A318" s="18"/>
      <c r="B318" s="19"/>
      <c r="C318" s="20">
        <v>240709000018</v>
      </c>
      <c r="D318" s="21">
        <v>45486</v>
      </c>
      <c r="E318" s="21" t="s">
        <v>40</v>
      </c>
      <c r="F318" s="19" t="s">
        <v>41</v>
      </c>
      <c r="G318" s="19" t="s">
        <v>295</v>
      </c>
      <c r="H318" s="19">
        <v>280</v>
      </c>
      <c r="I318" s="41">
        <v>15780</v>
      </c>
      <c r="J318" s="42"/>
      <c r="K318" s="43"/>
      <c r="L318" s="19"/>
      <c r="M318" s="43"/>
      <c r="N318" s="44"/>
      <c r="O318" s="45">
        <f t="shared" si="194"/>
        <v>15780</v>
      </c>
      <c r="P318" s="51"/>
      <c r="Q318" s="51"/>
      <c r="R318" s="74">
        <f t="shared" si="187"/>
        <v>12387.76</v>
      </c>
      <c r="S318" s="74"/>
      <c r="T318" s="75">
        <f t="shared" si="188"/>
        <v>45.29</v>
      </c>
      <c r="U318" s="74"/>
      <c r="V318" s="74"/>
      <c r="W318" s="76">
        <f t="shared" si="182"/>
        <v>12433.05</v>
      </c>
      <c r="X318" s="77">
        <f t="shared" si="189"/>
        <v>212.184</v>
      </c>
      <c r="Y318" s="77"/>
      <c r="Z318" s="77"/>
      <c r="AA318" s="77">
        <f t="shared" si="183"/>
        <v>212.184</v>
      </c>
      <c r="AB318" s="87">
        <v>7.26</v>
      </c>
      <c r="AC318" s="74">
        <f t="shared" si="184"/>
        <v>1540.45584</v>
      </c>
      <c r="AD318" s="74">
        <f t="shared" si="185"/>
        <v>13973.50584</v>
      </c>
      <c r="AE318" s="74">
        <f t="shared" si="186"/>
        <v>1806.49416</v>
      </c>
    </row>
    <row r="319" customFormat="1" spans="1:31">
      <c r="A319" s="18"/>
      <c r="B319" s="19"/>
      <c r="C319" s="22">
        <v>240709000026</v>
      </c>
      <c r="D319" s="23">
        <v>45486</v>
      </c>
      <c r="E319" s="21" t="s">
        <v>47</v>
      </c>
      <c r="F319" s="24" t="s">
        <v>48</v>
      </c>
      <c r="G319" s="24" t="s">
        <v>108</v>
      </c>
      <c r="H319" s="24">
        <v>7.5</v>
      </c>
      <c r="I319" s="47"/>
      <c r="J319" s="49">
        <v>107280</v>
      </c>
      <c r="K319" s="54"/>
      <c r="L319" s="49">
        <f t="shared" ref="L319:L323" si="195">SUM(J319/M319)</f>
        <v>1605.9880239521</v>
      </c>
      <c r="M319" s="55">
        <v>66.8</v>
      </c>
      <c r="N319" s="44">
        <v>7.26</v>
      </c>
      <c r="O319" s="45">
        <f t="shared" ref="O319:O323" si="196">SUM(M319*N319)</f>
        <v>484.968</v>
      </c>
      <c r="P319" s="51"/>
      <c r="Q319" s="51"/>
      <c r="R319" s="74">
        <f t="shared" si="187"/>
        <v>331.815</v>
      </c>
      <c r="S319" s="74"/>
      <c r="T319" s="75">
        <f t="shared" si="188"/>
        <v>1.213125</v>
      </c>
      <c r="U319" s="74"/>
      <c r="V319" s="74"/>
      <c r="W319" s="76">
        <f t="shared" si="182"/>
        <v>333.028125</v>
      </c>
      <c r="X319" s="77">
        <f t="shared" si="189"/>
        <v>5.6835</v>
      </c>
      <c r="Y319" s="77"/>
      <c r="Z319" s="77"/>
      <c r="AA319" s="77">
        <f t="shared" si="183"/>
        <v>5.6835</v>
      </c>
      <c r="AB319" s="87">
        <v>7.26</v>
      </c>
      <c r="AC319" s="74">
        <f t="shared" si="184"/>
        <v>41.26221</v>
      </c>
      <c r="AD319" s="74">
        <f t="shared" si="185"/>
        <v>374.290335</v>
      </c>
      <c r="AE319" s="74">
        <f t="shared" si="186"/>
        <v>110.677665</v>
      </c>
    </row>
    <row r="320" customFormat="1" spans="1:31">
      <c r="A320" s="18"/>
      <c r="B320" s="19"/>
      <c r="C320" s="20">
        <v>240709000030</v>
      </c>
      <c r="D320" s="21">
        <v>45486</v>
      </c>
      <c r="E320" s="21" t="s">
        <v>58</v>
      </c>
      <c r="F320" s="19" t="s">
        <v>59</v>
      </c>
      <c r="G320" s="19" t="s">
        <v>116</v>
      </c>
      <c r="H320" s="19">
        <v>25</v>
      </c>
      <c r="I320" s="45"/>
      <c r="J320" s="48">
        <v>303620</v>
      </c>
      <c r="K320" s="43"/>
      <c r="L320" s="49">
        <f t="shared" si="195"/>
        <v>1598</v>
      </c>
      <c r="M320" s="50">
        <v>190</v>
      </c>
      <c r="N320" s="44">
        <v>7.26</v>
      </c>
      <c r="O320" s="45">
        <f t="shared" si="196"/>
        <v>1379.4</v>
      </c>
      <c r="P320" s="51"/>
      <c r="Q320" s="51"/>
      <c r="R320" s="74">
        <f t="shared" si="187"/>
        <v>1106.05</v>
      </c>
      <c r="S320" s="74"/>
      <c r="T320" s="75">
        <f t="shared" si="188"/>
        <v>4.04375</v>
      </c>
      <c r="U320" s="74"/>
      <c r="V320" s="74"/>
      <c r="W320" s="76">
        <f t="shared" si="182"/>
        <v>1110.09375</v>
      </c>
      <c r="X320" s="77">
        <f t="shared" si="189"/>
        <v>18.945</v>
      </c>
      <c r="Y320" s="77"/>
      <c r="Z320" s="77"/>
      <c r="AA320" s="77">
        <f t="shared" si="183"/>
        <v>18.945</v>
      </c>
      <c r="AB320" s="87">
        <v>7.26</v>
      </c>
      <c r="AC320" s="74">
        <f t="shared" si="184"/>
        <v>137.5407</v>
      </c>
      <c r="AD320" s="74">
        <f t="shared" si="185"/>
        <v>1247.63445</v>
      </c>
      <c r="AE320" s="74">
        <f t="shared" si="186"/>
        <v>131.76555</v>
      </c>
    </row>
    <row r="321" customFormat="1" spans="1:31">
      <c r="A321" s="18"/>
      <c r="B321" s="19"/>
      <c r="C321" s="20">
        <v>240709000041</v>
      </c>
      <c r="D321" s="21">
        <v>45486</v>
      </c>
      <c r="E321" s="21" t="s">
        <v>40</v>
      </c>
      <c r="F321" s="19" t="s">
        <v>41</v>
      </c>
      <c r="G321" s="19" t="s">
        <v>277</v>
      </c>
      <c r="H321" s="19">
        <v>3</v>
      </c>
      <c r="I321" s="41">
        <v>174</v>
      </c>
      <c r="J321" s="42"/>
      <c r="K321" s="43"/>
      <c r="L321" s="19"/>
      <c r="M321" s="43"/>
      <c r="N321" s="44"/>
      <c r="O321" s="45">
        <f t="shared" ref="O321:O324" si="197">SUM(I321)</f>
        <v>174</v>
      </c>
      <c r="P321" s="51"/>
      <c r="Q321" s="51"/>
      <c r="R321" s="74">
        <f t="shared" si="187"/>
        <v>132.726</v>
      </c>
      <c r="S321" s="74"/>
      <c r="T321" s="75">
        <f t="shared" si="188"/>
        <v>0.48525</v>
      </c>
      <c r="U321" s="74"/>
      <c r="V321" s="74"/>
      <c r="W321" s="76">
        <f t="shared" si="182"/>
        <v>133.21125</v>
      </c>
      <c r="X321" s="77">
        <f t="shared" si="189"/>
        <v>2.2734</v>
      </c>
      <c r="Y321" s="77"/>
      <c r="Z321" s="77"/>
      <c r="AA321" s="77">
        <f t="shared" si="183"/>
        <v>2.2734</v>
      </c>
      <c r="AB321" s="87">
        <v>7.26</v>
      </c>
      <c r="AC321" s="74">
        <f t="shared" si="184"/>
        <v>16.504884</v>
      </c>
      <c r="AD321" s="74">
        <f t="shared" si="185"/>
        <v>149.716134</v>
      </c>
      <c r="AE321" s="74">
        <f t="shared" si="186"/>
        <v>24.283866</v>
      </c>
    </row>
    <row r="322" customFormat="1" spans="1:31">
      <c r="A322" s="18"/>
      <c r="B322" s="19"/>
      <c r="C322" s="20">
        <v>240710000007</v>
      </c>
      <c r="D322" s="21">
        <v>45486</v>
      </c>
      <c r="E322" s="21" t="s">
        <v>58</v>
      </c>
      <c r="F322" s="19" t="s">
        <v>59</v>
      </c>
      <c r="G322" s="19" t="s">
        <v>186</v>
      </c>
      <c r="H322" s="19">
        <v>4</v>
      </c>
      <c r="I322" s="41">
        <v>240</v>
      </c>
      <c r="J322" s="42"/>
      <c r="K322" s="43"/>
      <c r="L322" s="19"/>
      <c r="M322" s="43"/>
      <c r="N322" s="44"/>
      <c r="O322" s="45">
        <f t="shared" si="197"/>
        <v>240</v>
      </c>
      <c r="P322" s="51"/>
      <c r="Q322" s="51"/>
      <c r="R322" s="74">
        <f t="shared" si="187"/>
        <v>176.968</v>
      </c>
      <c r="S322" s="74"/>
      <c r="T322" s="75">
        <f t="shared" si="188"/>
        <v>0.647</v>
      </c>
      <c r="U322" s="74"/>
      <c r="V322" s="74"/>
      <c r="W322" s="76">
        <f t="shared" si="182"/>
        <v>177.615</v>
      </c>
      <c r="X322" s="77">
        <f t="shared" si="189"/>
        <v>3.0312</v>
      </c>
      <c r="Y322" s="77"/>
      <c r="Z322" s="77"/>
      <c r="AA322" s="77">
        <f t="shared" si="183"/>
        <v>3.0312</v>
      </c>
      <c r="AB322" s="87">
        <v>7.26</v>
      </c>
      <c r="AC322" s="74">
        <f t="shared" si="184"/>
        <v>22.006512</v>
      </c>
      <c r="AD322" s="74">
        <f t="shared" si="185"/>
        <v>199.621512</v>
      </c>
      <c r="AE322" s="74">
        <f t="shared" si="186"/>
        <v>40.378488</v>
      </c>
    </row>
    <row r="323" customFormat="1" spans="1:31">
      <c r="A323" s="18"/>
      <c r="B323" s="19"/>
      <c r="C323" s="20">
        <v>240710000014</v>
      </c>
      <c r="D323" s="21">
        <v>45486</v>
      </c>
      <c r="E323" s="21" t="s">
        <v>40</v>
      </c>
      <c r="F323" s="19" t="s">
        <v>41</v>
      </c>
      <c r="G323" s="19" t="s">
        <v>296</v>
      </c>
      <c r="H323" s="19">
        <v>65</v>
      </c>
      <c r="I323" s="47"/>
      <c r="J323" s="48">
        <v>865800</v>
      </c>
      <c r="K323" s="43"/>
      <c r="L323" s="49">
        <f t="shared" si="195"/>
        <v>1611.72024795696</v>
      </c>
      <c r="M323" s="50">
        <v>537.19</v>
      </c>
      <c r="N323" s="44">
        <v>7.26</v>
      </c>
      <c r="O323" s="45">
        <f t="shared" si="196"/>
        <v>3899.9994</v>
      </c>
      <c r="P323" s="51"/>
      <c r="Q323" s="51"/>
      <c r="R323" s="74">
        <f t="shared" si="187"/>
        <v>2875.73</v>
      </c>
      <c r="S323" s="74"/>
      <c r="T323" s="75">
        <f t="shared" si="188"/>
        <v>10.51375</v>
      </c>
      <c r="U323" s="74"/>
      <c r="V323" s="74"/>
      <c r="W323" s="76">
        <f t="shared" si="182"/>
        <v>2886.24375</v>
      </c>
      <c r="X323" s="77">
        <f t="shared" si="189"/>
        <v>49.257</v>
      </c>
      <c r="Y323" s="77"/>
      <c r="Z323" s="77"/>
      <c r="AA323" s="77">
        <f t="shared" si="183"/>
        <v>49.257</v>
      </c>
      <c r="AB323" s="87">
        <v>7.26</v>
      </c>
      <c r="AC323" s="74">
        <f t="shared" si="184"/>
        <v>357.60582</v>
      </c>
      <c r="AD323" s="74">
        <f t="shared" si="185"/>
        <v>3243.84957</v>
      </c>
      <c r="AE323" s="74">
        <f t="shared" si="186"/>
        <v>656.14983</v>
      </c>
    </row>
    <row r="324" customFormat="1" spans="1:31">
      <c r="A324" s="18"/>
      <c r="B324" s="19"/>
      <c r="C324" s="20">
        <v>240710000015</v>
      </c>
      <c r="D324" s="21">
        <v>45486</v>
      </c>
      <c r="E324" s="21" t="s">
        <v>40</v>
      </c>
      <c r="F324" s="19" t="s">
        <v>41</v>
      </c>
      <c r="G324" s="19" t="s">
        <v>297</v>
      </c>
      <c r="H324" s="19">
        <v>13.5</v>
      </c>
      <c r="I324" s="41">
        <v>757.5</v>
      </c>
      <c r="J324" s="42"/>
      <c r="K324" s="43"/>
      <c r="L324" s="19"/>
      <c r="M324" s="43"/>
      <c r="N324" s="44"/>
      <c r="O324" s="45">
        <f t="shared" si="197"/>
        <v>757.5</v>
      </c>
      <c r="P324" s="51"/>
      <c r="Q324" s="51"/>
      <c r="R324" s="74">
        <f t="shared" si="187"/>
        <v>597.267</v>
      </c>
      <c r="S324" s="74"/>
      <c r="T324" s="75">
        <f t="shared" si="188"/>
        <v>2.183625</v>
      </c>
      <c r="U324" s="74"/>
      <c r="V324" s="74"/>
      <c r="W324" s="76">
        <f t="shared" si="182"/>
        <v>599.450625</v>
      </c>
      <c r="X324" s="77">
        <f t="shared" si="189"/>
        <v>10.2303</v>
      </c>
      <c r="Y324" s="77"/>
      <c r="Z324" s="77"/>
      <c r="AA324" s="77">
        <f t="shared" si="183"/>
        <v>10.2303</v>
      </c>
      <c r="AB324" s="87">
        <v>7.26</v>
      </c>
      <c r="AC324" s="74">
        <f t="shared" si="184"/>
        <v>74.271978</v>
      </c>
      <c r="AD324" s="74">
        <f t="shared" si="185"/>
        <v>673.722603</v>
      </c>
      <c r="AE324" s="74">
        <f t="shared" si="186"/>
        <v>83.7773970000001</v>
      </c>
    </row>
    <row r="325" customFormat="1" spans="1:31">
      <c r="A325" s="18"/>
      <c r="B325" s="19"/>
      <c r="C325" s="20">
        <v>240710000016</v>
      </c>
      <c r="D325" s="21">
        <v>45486</v>
      </c>
      <c r="E325" s="21" t="s">
        <v>44</v>
      </c>
      <c r="F325" s="19" t="s">
        <v>45</v>
      </c>
      <c r="G325" s="19" t="s">
        <v>214</v>
      </c>
      <c r="H325" s="19">
        <v>1.5</v>
      </c>
      <c r="I325" s="47"/>
      <c r="J325" s="48">
        <v>18728</v>
      </c>
      <c r="K325" s="43"/>
      <c r="L325" s="49">
        <f t="shared" ref="L325:L329" si="198">SUM(J325/M325)</f>
        <v>1648.59154929577</v>
      </c>
      <c r="M325" s="50">
        <v>11.36</v>
      </c>
      <c r="N325" s="44">
        <v>7.26</v>
      </c>
      <c r="O325" s="45">
        <f t="shared" ref="O325:O329" si="199">SUM(M325*N325)</f>
        <v>82.4736</v>
      </c>
      <c r="P325" s="51"/>
      <c r="Q325" s="51"/>
      <c r="R325" s="74">
        <f t="shared" si="187"/>
        <v>66.363</v>
      </c>
      <c r="S325" s="74"/>
      <c r="T325" s="75">
        <f t="shared" si="188"/>
        <v>0.242625</v>
      </c>
      <c r="U325" s="74"/>
      <c r="V325" s="74"/>
      <c r="W325" s="76">
        <f t="shared" si="182"/>
        <v>66.605625</v>
      </c>
      <c r="X325" s="77">
        <f t="shared" si="189"/>
        <v>1.1367</v>
      </c>
      <c r="Y325" s="77"/>
      <c r="Z325" s="77"/>
      <c r="AA325" s="77">
        <f t="shared" si="183"/>
        <v>1.1367</v>
      </c>
      <c r="AB325" s="87">
        <v>7.26</v>
      </c>
      <c r="AC325" s="74">
        <f t="shared" si="184"/>
        <v>8.252442</v>
      </c>
      <c r="AD325" s="74">
        <f t="shared" si="185"/>
        <v>74.858067</v>
      </c>
      <c r="AE325" s="74">
        <f t="shared" si="186"/>
        <v>7.615533</v>
      </c>
    </row>
    <row r="326" customFormat="1" spans="1:31">
      <c r="A326" s="18"/>
      <c r="B326" s="19"/>
      <c r="C326" s="20">
        <v>240710000029</v>
      </c>
      <c r="D326" s="21">
        <v>45486</v>
      </c>
      <c r="E326" s="21" t="s">
        <v>37</v>
      </c>
      <c r="F326" s="19" t="s">
        <v>37</v>
      </c>
      <c r="G326" s="19" t="s">
        <v>298</v>
      </c>
      <c r="H326" s="19">
        <v>91</v>
      </c>
      <c r="I326" s="41">
        <v>5005</v>
      </c>
      <c r="J326" s="42"/>
      <c r="K326" s="43"/>
      <c r="L326" s="19"/>
      <c r="M326" s="43"/>
      <c r="N326" s="44"/>
      <c r="O326" s="45">
        <f t="shared" ref="O326:O332" si="200">SUM(I326)</f>
        <v>5005</v>
      </c>
      <c r="P326" s="51"/>
      <c r="Q326" s="51"/>
      <c r="R326" s="74">
        <f t="shared" si="187"/>
        <v>4026.022</v>
      </c>
      <c r="S326" s="74"/>
      <c r="T326" s="75">
        <f t="shared" si="188"/>
        <v>14.71925</v>
      </c>
      <c r="U326" s="74"/>
      <c r="V326" s="74"/>
      <c r="W326" s="76">
        <f t="shared" si="182"/>
        <v>4040.74125</v>
      </c>
      <c r="X326" s="77">
        <f t="shared" si="189"/>
        <v>68.9598</v>
      </c>
      <c r="Y326" s="77"/>
      <c r="Z326" s="77"/>
      <c r="AA326" s="77">
        <f t="shared" si="183"/>
        <v>68.9598</v>
      </c>
      <c r="AB326" s="87">
        <v>7.26</v>
      </c>
      <c r="AC326" s="74">
        <f t="shared" si="184"/>
        <v>500.648148</v>
      </c>
      <c r="AD326" s="74">
        <f t="shared" si="185"/>
        <v>4541.389398</v>
      </c>
      <c r="AE326" s="74">
        <f t="shared" si="186"/>
        <v>463.610602</v>
      </c>
    </row>
    <row r="327" customFormat="1" spans="1:31">
      <c r="A327" s="18"/>
      <c r="B327" s="19"/>
      <c r="C327" s="20">
        <v>240710000030</v>
      </c>
      <c r="D327" s="21">
        <v>45486</v>
      </c>
      <c r="E327" s="21" t="s">
        <v>40</v>
      </c>
      <c r="F327" s="19" t="s">
        <v>41</v>
      </c>
      <c r="G327" s="19" t="s">
        <v>165</v>
      </c>
      <c r="H327" s="19">
        <v>126</v>
      </c>
      <c r="I327" s="47"/>
      <c r="J327" s="48">
        <v>1566180</v>
      </c>
      <c r="K327" s="43"/>
      <c r="L327" s="49">
        <f t="shared" si="198"/>
        <v>1640.769375825</v>
      </c>
      <c r="M327" s="50">
        <v>954.54</v>
      </c>
      <c r="N327" s="44">
        <v>7.26</v>
      </c>
      <c r="O327" s="45">
        <f t="shared" si="199"/>
        <v>6929.9604</v>
      </c>
      <c r="P327" s="51"/>
      <c r="Q327" s="51"/>
      <c r="R327" s="74">
        <f t="shared" si="187"/>
        <v>5574.492</v>
      </c>
      <c r="S327" s="74"/>
      <c r="T327" s="75">
        <f t="shared" si="188"/>
        <v>20.3805</v>
      </c>
      <c r="U327" s="74"/>
      <c r="V327" s="74"/>
      <c r="W327" s="76">
        <f t="shared" si="182"/>
        <v>5594.8725</v>
      </c>
      <c r="X327" s="77">
        <f t="shared" si="189"/>
        <v>95.4828</v>
      </c>
      <c r="Y327" s="77"/>
      <c r="Z327" s="77"/>
      <c r="AA327" s="77">
        <f t="shared" si="183"/>
        <v>95.4828</v>
      </c>
      <c r="AB327" s="87">
        <v>7.26</v>
      </c>
      <c r="AC327" s="74">
        <f t="shared" si="184"/>
        <v>693.205128</v>
      </c>
      <c r="AD327" s="74">
        <f t="shared" si="185"/>
        <v>6288.077628</v>
      </c>
      <c r="AE327" s="74">
        <f t="shared" si="186"/>
        <v>641.882772</v>
      </c>
    </row>
    <row r="328" customFormat="1" spans="1:31">
      <c r="A328" s="18"/>
      <c r="B328" s="19"/>
      <c r="C328" s="20">
        <v>240710000033</v>
      </c>
      <c r="D328" s="21">
        <v>45486</v>
      </c>
      <c r="E328" s="21" t="s">
        <v>44</v>
      </c>
      <c r="F328" s="19" t="s">
        <v>45</v>
      </c>
      <c r="G328" s="19" t="s">
        <v>92</v>
      </c>
      <c r="H328" s="19">
        <v>26</v>
      </c>
      <c r="I328" s="41">
        <v>1780</v>
      </c>
      <c r="J328" s="42"/>
      <c r="K328" s="43"/>
      <c r="L328" s="19"/>
      <c r="M328" s="43"/>
      <c r="N328" s="44"/>
      <c r="O328" s="45">
        <f t="shared" si="200"/>
        <v>1780</v>
      </c>
      <c r="P328" s="52"/>
      <c r="Q328" s="52"/>
      <c r="R328" s="74">
        <f t="shared" si="187"/>
        <v>1150.292</v>
      </c>
      <c r="S328" s="74"/>
      <c r="T328" s="75">
        <f t="shared" si="188"/>
        <v>4.2055</v>
      </c>
      <c r="U328" s="74"/>
      <c r="V328" s="74"/>
      <c r="W328" s="76">
        <f t="shared" ref="W328:W356" si="201">SUM(R328:V328)</f>
        <v>1154.4975</v>
      </c>
      <c r="X328" s="77">
        <f t="shared" si="189"/>
        <v>19.7028</v>
      </c>
      <c r="Y328" s="77"/>
      <c r="Z328" s="77"/>
      <c r="AA328" s="77">
        <f t="shared" si="183"/>
        <v>19.7028</v>
      </c>
      <c r="AB328" s="87">
        <v>7.26</v>
      </c>
      <c r="AC328" s="74">
        <f t="shared" si="184"/>
        <v>143.042328</v>
      </c>
      <c r="AD328" s="74">
        <f t="shared" ref="AD328:AD339" si="202">SUM(W328+AC328)</f>
        <v>1297.539828</v>
      </c>
      <c r="AE328" s="74">
        <f t="shared" si="186"/>
        <v>482.460172</v>
      </c>
    </row>
    <row r="329" customFormat="1" spans="1:31">
      <c r="A329" s="18" t="s">
        <v>299</v>
      </c>
      <c r="B329" s="19" t="s">
        <v>300</v>
      </c>
      <c r="C329" s="20">
        <v>240710000017</v>
      </c>
      <c r="D329" s="21">
        <v>45487</v>
      </c>
      <c r="E329" s="21" t="s">
        <v>81</v>
      </c>
      <c r="F329" s="19" t="s">
        <v>187</v>
      </c>
      <c r="G329" s="19" t="s">
        <v>144</v>
      </c>
      <c r="H329" s="19">
        <v>0.1</v>
      </c>
      <c r="I329" s="45"/>
      <c r="J329" s="48">
        <v>39750</v>
      </c>
      <c r="K329" s="43"/>
      <c r="L329" s="49">
        <f t="shared" si="198"/>
        <v>2384.52309538092</v>
      </c>
      <c r="M329" s="50">
        <v>16.67</v>
      </c>
      <c r="N329" s="44">
        <v>7.26</v>
      </c>
      <c r="O329" s="45">
        <f t="shared" si="199"/>
        <v>121.0242</v>
      </c>
      <c r="P329" s="46">
        <f>SUM(O329:O339)</f>
        <v>4906.046</v>
      </c>
      <c r="Q329" s="46" t="s">
        <v>39</v>
      </c>
      <c r="R329" s="74">
        <f>SUM(2500/32)*H329</f>
        <v>7.8125</v>
      </c>
      <c r="S329" s="74"/>
      <c r="T329" s="75">
        <f>SUM(51.24/32)*H329</f>
        <v>0.160125</v>
      </c>
      <c r="U329" s="74"/>
      <c r="V329" s="74"/>
      <c r="W329" s="76">
        <f t="shared" si="201"/>
        <v>7.972625</v>
      </c>
      <c r="X329" s="77">
        <f>SUM(46.93/32)*H329</f>
        <v>0.14665625</v>
      </c>
      <c r="Y329" s="77"/>
      <c r="Z329" s="77"/>
      <c r="AA329" s="77">
        <f t="shared" ref="AA329:AA339" si="203">SUM(X329:Z329)</f>
        <v>0.14665625</v>
      </c>
      <c r="AB329" s="87">
        <v>7.26</v>
      </c>
      <c r="AC329" s="74">
        <f t="shared" ref="AC329:AC339" si="204">SUM(AA329*AB329)</f>
        <v>1.064724375</v>
      </c>
      <c r="AD329" s="74">
        <f t="shared" si="202"/>
        <v>9.037349375</v>
      </c>
      <c r="AE329" s="74">
        <f t="shared" ref="AE329:AE339" si="205">SUM(O329-AD329)</f>
        <v>111.986850625</v>
      </c>
    </row>
    <row r="330" customFormat="1" spans="1:31">
      <c r="A330" s="18"/>
      <c r="B330" s="19"/>
      <c r="C330" s="20">
        <v>240710000018</v>
      </c>
      <c r="D330" s="21">
        <v>45487</v>
      </c>
      <c r="E330" s="21" t="s">
        <v>40</v>
      </c>
      <c r="F330" s="19" t="s">
        <v>41</v>
      </c>
      <c r="G330" s="19" t="s">
        <v>88</v>
      </c>
      <c r="H330" s="19">
        <v>2.5</v>
      </c>
      <c r="I330" s="41">
        <v>287.5</v>
      </c>
      <c r="J330" s="42"/>
      <c r="K330" s="43"/>
      <c r="L330" s="19"/>
      <c r="M330" s="43"/>
      <c r="N330" s="44"/>
      <c r="O330" s="45">
        <f t="shared" si="200"/>
        <v>287.5</v>
      </c>
      <c r="P330" s="51"/>
      <c r="Q330" s="51"/>
      <c r="R330" s="74">
        <f t="shared" ref="R330:R339" si="206">SUM(2500/32)*H330</f>
        <v>195.3125</v>
      </c>
      <c r="S330" s="74"/>
      <c r="T330" s="75">
        <f t="shared" ref="T330:T339" si="207">SUM(51.24/32)*H330</f>
        <v>4.003125</v>
      </c>
      <c r="U330" s="74"/>
      <c r="V330" s="74"/>
      <c r="W330" s="76">
        <f t="shared" si="201"/>
        <v>199.315625</v>
      </c>
      <c r="X330" s="77">
        <f t="shared" ref="X330:X339" si="208">SUM(46.93/32)*H330</f>
        <v>3.66640625</v>
      </c>
      <c r="Y330" s="77"/>
      <c r="Z330" s="77"/>
      <c r="AA330" s="77">
        <f t="shared" si="203"/>
        <v>3.66640625</v>
      </c>
      <c r="AB330" s="87">
        <v>7.26</v>
      </c>
      <c r="AC330" s="74">
        <f t="shared" si="204"/>
        <v>26.618109375</v>
      </c>
      <c r="AD330" s="74">
        <f t="shared" si="202"/>
        <v>225.933734375</v>
      </c>
      <c r="AE330" s="74">
        <f t="shared" si="205"/>
        <v>61.566265625</v>
      </c>
    </row>
    <row r="331" customFormat="1" spans="1:31">
      <c r="A331" s="18"/>
      <c r="B331" s="19"/>
      <c r="C331" s="20">
        <v>240710000023</v>
      </c>
      <c r="D331" s="21">
        <v>45487</v>
      </c>
      <c r="E331" s="21" t="s">
        <v>47</v>
      </c>
      <c r="F331" s="19" t="s">
        <v>48</v>
      </c>
      <c r="G331" s="19" t="s">
        <v>301</v>
      </c>
      <c r="H331" s="19">
        <v>2</v>
      </c>
      <c r="I331" s="41">
        <v>300</v>
      </c>
      <c r="J331" s="42"/>
      <c r="K331" s="43"/>
      <c r="L331" s="19"/>
      <c r="M331" s="43"/>
      <c r="N331" s="44"/>
      <c r="O331" s="45">
        <f t="shared" si="200"/>
        <v>300</v>
      </c>
      <c r="P331" s="51"/>
      <c r="Q331" s="51"/>
      <c r="R331" s="74">
        <f t="shared" si="206"/>
        <v>156.25</v>
      </c>
      <c r="S331" s="74"/>
      <c r="T331" s="75">
        <f t="shared" si="207"/>
        <v>3.2025</v>
      </c>
      <c r="U331" s="74"/>
      <c r="V331" s="74"/>
      <c r="W331" s="76">
        <f t="shared" si="201"/>
        <v>159.4525</v>
      </c>
      <c r="X331" s="77">
        <f t="shared" si="208"/>
        <v>2.933125</v>
      </c>
      <c r="Y331" s="77"/>
      <c r="Z331" s="77"/>
      <c r="AA331" s="77">
        <f t="shared" si="203"/>
        <v>2.933125</v>
      </c>
      <c r="AB331" s="87">
        <v>7.26</v>
      </c>
      <c r="AC331" s="74">
        <f t="shared" si="204"/>
        <v>21.2944875</v>
      </c>
      <c r="AD331" s="74">
        <f t="shared" si="202"/>
        <v>180.7469875</v>
      </c>
      <c r="AE331" s="74">
        <f t="shared" si="205"/>
        <v>119.2530125</v>
      </c>
    </row>
    <row r="332" customFormat="1" spans="1:31">
      <c r="A332" s="18"/>
      <c r="B332" s="19"/>
      <c r="C332" s="20">
        <v>240710000027</v>
      </c>
      <c r="D332" s="21">
        <v>45487</v>
      </c>
      <c r="E332" s="21" t="s">
        <v>40</v>
      </c>
      <c r="F332" s="19" t="s">
        <v>41</v>
      </c>
      <c r="G332" s="19" t="s">
        <v>302</v>
      </c>
      <c r="H332" s="19">
        <v>19.5</v>
      </c>
      <c r="I332" s="41">
        <v>2340</v>
      </c>
      <c r="J332" s="42"/>
      <c r="K332" s="43"/>
      <c r="L332" s="19"/>
      <c r="M332" s="43"/>
      <c r="N332" s="44"/>
      <c r="O332" s="45">
        <f t="shared" si="200"/>
        <v>2340</v>
      </c>
      <c r="P332" s="51"/>
      <c r="Q332" s="51"/>
      <c r="R332" s="74">
        <f t="shared" si="206"/>
        <v>1523.4375</v>
      </c>
      <c r="S332" s="74"/>
      <c r="T332" s="75">
        <f t="shared" si="207"/>
        <v>31.224375</v>
      </c>
      <c r="U332" s="74"/>
      <c r="V332" s="74"/>
      <c r="W332" s="76">
        <f t="shared" si="201"/>
        <v>1554.661875</v>
      </c>
      <c r="X332" s="77">
        <f t="shared" si="208"/>
        <v>28.59796875</v>
      </c>
      <c r="Y332" s="77"/>
      <c r="Z332" s="77"/>
      <c r="AA332" s="77">
        <f t="shared" si="203"/>
        <v>28.59796875</v>
      </c>
      <c r="AB332" s="87">
        <v>7.26</v>
      </c>
      <c r="AC332" s="74">
        <f t="shared" si="204"/>
        <v>207.621253125</v>
      </c>
      <c r="AD332" s="74">
        <f t="shared" si="202"/>
        <v>1762.283128125</v>
      </c>
      <c r="AE332" s="74">
        <f t="shared" si="205"/>
        <v>577.716871875</v>
      </c>
    </row>
    <row r="333" customFormat="1" spans="1:31">
      <c r="A333" s="18"/>
      <c r="B333" s="19"/>
      <c r="C333" s="20">
        <v>240711000001</v>
      </c>
      <c r="D333" s="21">
        <v>45487</v>
      </c>
      <c r="E333" s="21" t="s">
        <v>81</v>
      </c>
      <c r="F333" s="19"/>
      <c r="G333" s="19" t="s">
        <v>177</v>
      </c>
      <c r="H333" s="19">
        <v>7.5</v>
      </c>
      <c r="I333" s="45"/>
      <c r="J333" s="48">
        <v>199750</v>
      </c>
      <c r="K333" s="43"/>
      <c r="L333" s="49">
        <f t="shared" ref="L333:L336" si="209">SUM(J333/M333)</f>
        <v>1598</v>
      </c>
      <c r="M333" s="50">
        <v>125</v>
      </c>
      <c r="N333" s="44">
        <v>7.26</v>
      </c>
      <c r="O333" s="45">
        <f t="shared" ref="O333:O336" si="210">SUM(M333*N333)</f>
        <v>907.5</v>
      </c>
      <c r="P333" s="51"/>
      <c r="Q333" s="51"/>
      <c r="R333" s="74">
        <f t="shared" si="206"/>
        <v>585.9375</v>
      </c>
      <c r="S333" s="74"/>
      <c r="T333" s="75">
        <f t="shared" si="207"/>
        <v>12.009375</v>
      </c>
      <c r="U333" s="74"/>
      <c r="V333" s="74"/>
      <c r="W333" s="76">
        <f t="shared" si="201"/>
        <v>597.946875</v>
      </c>
      <c r="X333" s="77">
        <f t="shared" si="208"/>
        <v>10.99921875</v>
      </c>
      <c r="Y333" s="77"/>
      <c r="Z333" s="77"/>
      <c r="AA333" s="77">
        <f t="shared" si="203"/>
        <v>10.99921875</v>
      </c>
      <c r="AB333" s="87">
        <v>7.26</v>
      </c>
      <c r="AC333" s="74">
        <f t="shared" si="204"/>
        <v>79.854328125</v>
      </c>
      <c r="AD333" s="74">
        <f t="shared" si="202"/>
        <v>677.801203125</v>
      </c>
      <c r="AE333" s="74">
        <f t="shared" si="205"/>
        <v>229.698796875</v>
      </c>
    </row>
    <row r="334" customFormat="1" spans="1:31">
      <c r="A334" s="18"/>
      <c r="B334" s="19"/>
      <c r="C334" s="20">
        <v>240711000009</v>
      </c>
      <c r="D334" s="21">
        <v>45487</v>
      </c>
      <c r="E334" s="21" t="s">
        <v>47</v>
      </c>
      <c r="F334" s="19" t="s">
        <v>48</v>
      </c>
      <c r="G334" s="19" t="s">
        <v>303</v>
      </c>
      <c r="H334" s="19">
        <v>0.32</v>
      </c>
      <c r="I334" s="45"/>
      <c r="J334" s="48">
        <v>26639</v>
      </c>
      <c r="K334" s="43"/>
      <c r="L334" s="49">
        <f t="shared" si="209"/>
        <v>1598.02039592082</v>
      </c>
      <c r="M334" s="50">
        <v>16.67</v>
      </c>
      <c r="N334" s="44">
        <v>7.26</v>
      </c>
      <c r="O334" s="45">
        <f t="shared" si="210"/>
        <v>121.0242</v>
      </c>
      <c r="P334" s="51"/>
      <c r="Q334" s="51"/>
      <c r="R334" s="74">
        <f t="shared" si="206"/>
        <v>25</v>
      </c>
      <c r="S334" s="74"/>
      <c r="T334" s="75">
        <f t="shared" si="207"/>
        <v>0.5124</v>
      </c>
      <c r="U334" s="74"/>
      <c r="V334" s="74"/>
      <c r="W334" s="76">
        <f t="shared" si="201"/>
        <v>25.5124</v>
      </c>
      <c r="X334" s="77">
        <f t="shared" si="208"/>
        <v>0.4693</v>
      </c>
      <c r="Y334" s="77"/>
      <c r="Z334" s="77"/>
      <c r="AA334" s="77">
        <f t="shared" si="203"/>
        <v>0.4693</v>
      </c>
      <c r="AB334" s="87">
        <v>7.26</v>
      </c>
      <c r="AC334" s="74">
        <f t="shared" si="204"/>
        <v>3.407118</v>
      </c>
      <c r="AD334" s="74">
        <f t="shared" si="202"/>
        <v>28.919518</v>
      </c>
      <c r="AE334" s="74">
        <f t="shared" si="205"/>
        <v>92.104682</v>
      </c>
    </row>
    <row r="335" customFormat="1" spans="1:31">
      <c r="A335" s="18"/>
      <c r="B335" s="19"/>
      <c r="C335" s="20">
        <v>240711000026</v>
      </c>
      <c r="D335" s="21">
        <v>45487</v>
      </c>
      <c r="E335" s="21" t="s">
        <v>44</v>
      </c>
      <c r="F335" s="19" t="s">
        <v>45</v>
      </c>
      <c r="G335" s="19" t="s">
        <v>304</v>
      </c>
      <c r="H335" s="19">
        <v>0.22</v>
      </c>
      <c r="I335" s="41">
        <v>145</v>
      </c>
      <c r="J335" s="42"/>
      <c r="K335" s="43"/>
      <c r="L335" s="19"/>
      <c r="M335" s="43"/>
      <c r="N335" s="44"/>
      <c r="O335" s="45">
        <f t="shared" ref="O335:O338" si="211">SUM(I335)</f>
        <v>145</v>
      </c>
      <c r="P335" s="51"/>
      <c r="Q335" s="51"/>
      <c r="R335" s="74">
        <f t="shared" si="206"/>
        <v>17.1875</v>
      </c>
      <c r="S335" s="74"/>
      <c r="T335" s="75">
        <f t="shared" si="207"/>
        <v>0.352275</v>
      </c>
      <c r="U335" s="74"/>
      <c r="V335" s="74"/>
      <c r="W335" s="76">
        <f t="shared" si="201"/>
        <v>17.539775</v>
      </c>
      <c r="X335" s="77">
        <f t="shared" si="208"/>
        <v>0.32264375</v>
      </c>
      <c r="Y335" s="77"/>
      <c r="Z335" s="77"/>
      <c r="AA335" s="77">
        <f t="shared" si="203"/>
        <v>0.32264375</v>
      </c>
      <c r="AB335" s="87">
        <v>7.26</v>
      </c>
      <c r="AC335" s="74">
        <f t="shared" si="204"/>
        <v>2.342393625</v>
      </c>
      <c r="AD335" s="74">
        <f t="shared" si="202"/>
        <v>19.882168625</v>
      </c>
      <c r="AE335" s="74">
        <f t="shared" si="205"/>
        <v>125.117831375</v>
      </c>
    </row>
    <row r="336" customFormat="1" spans="1:31">
      <c r="A336" s="18"/>
      <c r="B336" s="19"/>
      <c r="C336" s="20">
        <v>240712000001</v>
      </c>
      <c r="D336" s="21">
        <v>45487</v>
      </c>
      <c r="E336" s="21" t="s">
        <v>81</v>
      </c>
      <c r="F336" s="19" t="s">
        <v>305</v>
      </c>
      <c r="G336" s="19" t="s">
        <v>306</v>
      </c>
      <c r="H336" s="19">
        <v>1.5</v>
      </c>
      <c r="I336" s="45"/>
      <c r="J336" s="48">
        <v>39950</v>
      </c>
      <c r="K336" s="43"/>
      <c r="L336" s="49">
        <f t="shared" si="209"/>
        <v>1598</v>
      </c>
      <c r="M336" s="50">
        <v>25</v>
      </c>
      <c r="N336" s="44">
        <v>7.26</v>
      </c>
      <c r="O336" s="45">
        <f t="shared" si="210"/>
        <v>181.5</v>
      </c>
      <c r="P336" s="51"/>
      <c r="Q336" s="51"/>
      <c r="R336" s="74">
        <f t="shared" si="206"/>
        <v>117.1875</v>
      </c>
      <c r="S336" s="74"/>
      <c r="T336" s="75">
        <f t="shared" si="207"/>
        <v>2.401875</v>
      </c>
      <c r="U336" s="74"/>
      <c r="V336" s="74"/>
      <c r="W336" s="76">
        <f t="shared" si="201"/>
        <v>119.589375</v>
      </c>
      <c r="X336" s="77">
        <f t="shared" si="208"/>
        <v>2.19984375</v>
      </c>
      <c r="Y336" s="77"/>
      <c r="Z336" s="77"/>
      <c r="AA336" s="77">
        <f t="shared" si="203"/>
        <v>2.19984375</v>
      </c>
      <c r="AB336" s="87">
        <v>7.26</v>
      </c>
      <c r="AC336" s="74">
        <f t="shared" si="204"/>
        <v>15.970865625</v>
      </c>
      <c r="AD336" s="74">
        <f t="shared" ref="AD336:AD367" si="212">SUM(W336+AC336)</f>
        <v>135.560240625</v>
      </c>
      <c r="AE336" s="74">
        <f t="shared" ref="AE336:AE367" si="213">SUM(O336-AD336)</f>
        <v>45.939759375</v>
      </c>
    </row>
    <row r="337" customFormat="1" spans="1:31">
      <c r="A337" s="18"/>
      <c r="B337" s="19"/>
      <c r="C337" s="20">
        <v>240712000005</v>
      </c>
      <c r="D337" s="21">
        <v>45487</v>
      </c>
      <c r="E337" s="21" t="s">
        <v>58</v>
      </c>
      <c r="F337" s="19" t="s">
        <v>59</v>
      </c>
      <c r="G337" s="19" t="s">
        <v>234</v>
      </c>
      <c r="H337" s="19">
        <v>0.66</v>
      </c>
      <c r="I337" s="41">
        <v>180</v>
      </c>
      <c r="J337" s="42"/>
      <c r="K337" s="43"/>
      <c r="L337" s="19"/>
      <c r="M337" s="43"/>
      <c r="N337" s="44"/>
      <c r="O337" s="45">
        <f t="shared" si="211"/>
        <v>180</v>
      </c>
      <c r="P337" s="51"/>
      <c r="Q337" s="51"/>
      <c r="R337" s="74">
        <f t="shared" si="206"/>
        <v>51.5625</v>
      </c>
      <c r="S337" s="74"/>
      <c r="T337" s="75">
        <f t="shared" si="207"/>
        <v>1.056825</v>
      </c>
      <c r="U337" s="74"/>
      <c r="V337" s="74"/>
      <c r="W337" s="76">
        <f t="shared" si="201"/>
        <v>52.619325</v>
      </c>
      <c r="X337" s="77">
        <f t="shared" si="208"/>
        <v>0.96793125</v>
      </c>
      <c r="Y337" s="77"/>
      <c r="Z337" s="77"/>
      <c r="AA337" s="77">
        <f t="shared" si="203"/>
        <v>0.96793125</v>
      </c>
      <c r="AB337" s="87">
        <v>7.26</v>
      </c>
      <c r="AC337" s="74">
        <f t="shared" ref="AC337:AC368" si="214">SUM(AA337*AB337)</f>
        <v>7.027180875</v>
      </c>
      <c r="AD337" s="74">
        <f t="shared" si="212"/>
        <v>59.646505875</v>
      </c>
      <c r="AE337" s="74">
        <f t="shared" si="213"/>
        <v>120.353494125</v>
      </c>
    </row>
    <row r="338" customFormat="1" spans="1:31">
      <c r="A338" s="18"/>
      <c r="B338" s="19"/>
      <c r="C338" s="20">
        <v>240712000010</v>
      </c>
      <c r="D338" s="21">
        <v>45487</v>
      </c>
      <c r="E338" s="21" t="s">
        <v>44</v>
      </c>
      <c r="F338" s="19" t="s">
        <v>45</v>
      </c>
      <c r="G338" s="19" t="s">
        <v>307</v>
      </c>
      <c r="H338" s="19">
        <v>0.37</v>
      </c>
      <c r="I338" s="41">
        <v>150</v>
      </c>
      <c r="J338" s="42"/>
      <c r="K338" s="43"/>
      <c r="L338" s="19"/>
      <c r="M338" s="43"/>
      <c r="N338" s="44"/>
      <c r="O338" s="45">
        <f t="shared" si="211"/>
        <v>150</v>
      </c>
      <c r="P338" s="51"/>
      <c r="Q338" s="51"/>
      <c r="R338" s="74">
        <f t="shared" si="206"/>
        <v>28.90625</v>
      </c>
      <c r="S338" s="74"/>
      <c r="T338" s="75">
        <f t="shared" si="207"/>
        <v>0.5924625</v>
      </c>
      <c r="U338" s="74"/>
      <c r="V338" s="74"/>
      <c r="W338" s="76">
        <f t="shared" si="201"/>
        <v>29.4987125</v>
      </c>
      <c r="X338" s="77">
        <f t="shared" si="208"/>
        <v>0.542628125</v>
      </c>
      <c r="Y338" s="77"/>
      <c r="Z338" s="77"/>
      <c r="AA338" s="77">
        <f t="shared" ref="AA338:AA369" si="215">SUM(X338:Z338)</f>
        <v>0.542628125</v>
      </c>
      <c r="AB338" s="87">
        <v>7.26</v>
      </c>
      <c r="AC338" s="74">
        <f t="shared" si="214"/>
        <v>3.9394801875</v>
      </c>
      <c r="AD338" s="74">
        <f t="shared" si="212"/>
        <v>33.4381926875</v>
      </c>
      <c r="AE338" s="74">
        <f t="shared" si="213"/>
        <v>116.5618073125</v>
      </c>
    </row>
    <row r="339" customFormat="1" spans="1:31">
      <c r="A339" s="18"/>
      <c r="B339" s="19"/>
      <c r="C339" s="20">
        <v>240712000023</v>
      </c>
      <c r="D339" s="21">
        <v>45487</v>
      </c>
      <c r="E339" s="21" t="s">
        <v>44</v>
      </c>
      <c r="F339" s="19" t="s">
        <v>45</v>
      </c>
      <c r="G339" s="19" t="s">
        <v>224</v>
      </c>
      <c r="H339" s="19">
        <v>1.5</v>
      </c>
      <c r="I339" s="47"/>
      <c r="J339" s="48">
        <v>37950</v>
      </c>
      <c r="K339" s="43"/>
      <c r="L339" s="49">
        <f>SUM(J339/M339)</f>
        <v>1597.22222222222</v>
      </c>
      <c r="M339" s="50">
        <v>23.76</v>
      </c>
      <c r="N339" s="44">
        <v>7.26</v>
      </c>
      <c r="O339" s="45">
        <f>SUM(M339*N339)</f>
        <v>172.4976</v>
      </c>
      <c r="P339" s="52"/>
      <c r="Q339" s="52"/>
      <c r="R339" s="74">
        <f t="shared" si="206"/>
        <v>117.1875</v>
      </c>
      <c r="S339" s="74"/>
      <c r="T339" s="75">
        <f t="shared" si="207"/>
        <v>2.401875</v>
      </c>
      <c r="U339" s="74"/>
      <c r="V339" s="74"/>
      <c r="W339" s="76">
        <f t="shared" si="201"/>
        <v>119.589375</v>
      </c>
      <c r="X339" s="77">
        <f t="shared" si="208"/>
        <v>2.19984375</v>
      </c>
      <c r="Y339" s="77"/>
      <c r="Z339" s="77"/>
      <c r="AA339" s="77">
        <f t="shared" si="215"/>
        <v>2.19984375</v>
      </c>
      <c r="AB339" s="87">
        <v>7.26</v>
      </c>
      <c r="AC339" s="74">
        <f t="shared" si="214"/>
        <v>15.970865625</v>
      </c>
      <c r="AD339" s="74">
        <f t="shared" si="212"/>
        <v>135.560240625</v>
      </c>
      <c r="AE339" s="74">
        <f t="shared" si="213"/>
        <v>36.937359375</v>
      </c>
    </row>
    <row r="340" customFormat="1" spans="1:31">
      <c r="A340" s="18" t="s">
        <v>308</v>
      </c>
      <c r="B340" s="19" t="s">
        <v>309</v>
      </c>
      <c r="C340" s="20">
        <v>240403000032</v>
      </c>
      <c r="D340" s="21">
        <v>45488</v>
      </c>
      <c r="E340" s="21" t="s">
        <v>44</v>
      </c>
      <c r="F340" s="19" t="s">
        <v>45</v>
      </c>
      <c r="G340" s="19" t="s">
        <v>310</v>
      </c>
      <c r="H340" s="19">
        <v>0.5647</v>
      </c>
      <c r="I340" s="41">
        <v>1578.5</v>
      </c>
      <c r="J340" s="42"/>
      <c r="K340" s="43"/>
      <c r="L340" s="19"/>
      <c r="M340" s="43"/>
      <c r="N340" s="44"/>
      <c r="O340" s="45">
        <f t="shared" ref="O340:O343" si="216">SUM(I340)</f>
        <v>1578.5</v>
      </c>
      <c r="P340" s="91">
        <f t="shared" ref="P340:P356" si="217">SUM(O340)</f>
        <v>1578.5</v>
      </c>
      <c r="Q340" s="91" t="s">
        <v>311</v>
      </c>
      <c r="R340" s="92">
        <v>988.19</v>
      </c>
      <c r="S340" s="92"/>
      <c r="T340" s="91">
        <f t="shared" ref="T340:T355" si="218">SUM(202.51/107)*H340</f>
        <v>1.06876071962617</v>
      </c>
      <c r="U340" s="92">
        <v>330</v>
      </c>
      <c r="V340" s="92"/>
      <c r="W340" s="76">
        <f t="shared" si="201"/>
        <v>1319.25876071963</v>
      </c>
      <c r="X340" s="93"/>
      <c r="Y340" s="93"/>
      <c r="Z340" s="93"/>
      <c r="AA340" s="77">
        <f t="shared" si="215"/>
        <v>0</v>
      </c>
      <c r="AB340" s="87">
        <v>7.26</v>
      </c>
      <c r="AC340" s="74">
        <f t="shared" si="214"/>
        <v>0</v>
      </c>
      <c r="AD340" s="74">
        <f t="shared" si="212"/>
        <v>1319.25876071963</v>
      </c>
      <c r="AE340" s="74">
        <f t="shared" si="213"/>
        <v>259.24123928037</v>
      </c>
    </row>
    <row r="341" customFormat="1" spans="1:31">
      <c r="A341" s="18"/>
      <c r="B341" s="19"/>
      <c r="C341" s="20">
        <v>240407000015</v>
      </c>
      <c r="D341" s="21">
        <v>45488</v>
      </c>
      <c r="E341" s="21" t="s">
        <v>58</v>
      </c>
      <c r="F341" s="19" t="s">
        <v>59</v>
      </c>
      <c r="G341" s="19" t="s">
        <v>133</v>
      </c>
      <c r="H341" s="19">
        <v>8.9674</v>
      </c>
      <c r="I341" s="41">
        <v>17617.5</v>
      </c>
      <c r="J341" s="42"/>
      <c r="K341" s="43"/>
      <c r="L341" s="19"/>
      <c r="M341" s="43"/>
      <c r="N341" s="44"/>
      <c r="O341" s="45">
        <f t="shared" si="216"/>
        <v>17617.5</v>
      </c>
      <c r="P341" s="91">
        <f t="shared" si="217"/>
        <v>17617.5</v>
      </c>
      <c r="Q341" s="91" t="s">
        <v>311</v>
      </c>
      <c r="R341" s="92">
        <v>16477.41</v>
      </c>
      <c r="S341" s="92"/>
      <c r="T341" s="91">
        <f t="shared" si="218"/>
        <v>16.9718520934579</v>
      </c>
      <c r="U341" s="92"/>
      <c r="V341" s="92"/>
      <c r="W341" s="76">
        <f t="shared" si="201"/>
        <v>16494.3818520935</v>
      </c>
      <c r="X341" s="93"/>
      <c r="Y341" s="93"/>
      <c r="Z341" s="93"/>
      <c r="AA341" s="77">
        <f t="shared" si="215"/>
        <v>0</v>
      </c>
      <c r="AB341" s="87">
        <v>7.26</v>
      </c>
      <c r="AC341" s="74">
        <f t="shared" si="214"/>
        <v>0</v>
      </c>
      <c r="AD341" s="74">
        <f t="shared" si="212"/>
        <v>16494.3818520935</v>
      </c>
      <c r="AE341" s="74">
        <f t="shared" si="213"/>
        <v>1123.1181479065</v>
      </c>
    </row>
    <row r="342" customFormat="1" spans="1:31">
      <c r="A342" s="18"/>
      <c r="B342" s="19"/>
      <c r="C342" s="20">
        <v>240409000027</v>
      </c>
      <c r="D342" s="21">
        <v>45488</v>
      </c>
      <c r="E342" s="21" t="s">
        <v>37</v>
      </c>
      <c r="F342" s="19" t="s">
        <v>37</v>
      </c>
      <c r="G342" s="19" t="s">
        <v>312</v>
      </c>
      <c r="H342" s="19">
        <v>1.028</v>
      </c>
      <c r="I342" s="41">
        <v>1964</v>
      </c>
      <c r="J342" s="42"/>
      <c r="K342" s="43"/>
      <c r="L342" s="19"/>
      <c r="M342" s="43"/>
      <c r="N342" s="44"/>
      <c r="O342" s="45">
        <f t="shared" si="216"/>
        <v>1964</v>
      </c>
      <c r="P342" s="91">
        <f t="shared" si="217"/>
        <v>1964</v>
      </c>
      <c r="Q342" s="91" t="s">
        <v>311</v>
      </c>
      <c r="R342" s="92">
        <v>1964.13</v>
      </c>
      <c r="S342" s="92"/>
      <c r="T342" s="91">
        <f t="shared" si="218"/>
        <v>1.94561009345794</v>
      </c>
      <c r="U342" s="92"/>
      <c r="V342" s="92"/>
      <c r="W342" s="76">
        <f t="shared" si="201"/>
        <v>1966.07561009346</v>
      </c>
      <c r="X342" s="93"/>
      <c r="Y342" s="93"/>
      <c r="Z342" s="93"/>
      <c r="AA342" s="77">
        <f t="shared" si="215"/>
        <v>0</v>
      </c>
      <c r="AB342" s="87">
        <v>7.26</v>
      </c>
      <c r="AC342" s="74">
        <f t="shared" si="214"/>
        <v>0</v>
      </c>
      <c r="AD342" s="74">
        <f t="shared" si="212"/>
        <v>1966.07561009346</v>
      </c>
      <c r="AE342" s="74">
        <f t="shared" si="213"/>
        <v>-2.07561009346</v>
      </c>
    </row>
    <row r="343" customFormat="1" spans="1:31">
      <c r="A343" s="18"/>
      <c r="B343" s="19"/>
      <c r="C343" s="20">
        <v>240409000028</v>
      </c>
      <c r="D343" s="21">
        <v>45488</v>
      </c>
      <c r="E343" s="21" t="s">
        <v>37</v>
      </c>
      <c r="F343" s="19" t="s">
        <v>37</v>
      </c>
      <c r="G343" s="19" t="s">
        <v>313</v>
      </c>
      <c r="H343" s="19">
        <v>3.1529</v>
      </c>
      <c r="I343" s="41">
        <v>7535</v>
      </c>
      <c r="J343" s="42"/>
      <c r="K343" s="43"/>
      <c r="L343" s="19"/>
      <c r="M343" s="43"/>
      <c r="N343" s="44"/>
      <c r="O343" s="45">
        <f t="shared" si="216"/>
        <v>7535</v>
      </c>
      <c r="P343" s="91">
        <f t="shared" si="217"/>
        <v>7535</v>
      </c>
      <c r="Q343" s="91" t="s">
        <v>311</v>
      </c>
      <c r="R343" s="92">
        <v>5793.27</v>
      </c>
      <c r="S343" s="92"/>
      <c r="T343" s="91">
        <f t="shared" si="218"/>
        <v>5.96723157943925</v>
      </c>
      <c r="U343" s="92"/>
      <c r="V343" s="92"/>
      <c r="W343" s="76">
        <f t="shared" si="201"/>
        <v>5799.23723157944</v>
      </c>
      <c r="X343" s="93"/>
      <c r="Y343" s="93">
        <f t="shared" ref="Y341:Y356" si="219">SUM(1969.25/107.91)*H343</f>
        <v>57.5372840793254</v>
      </c>
      <c r="Z343" s="93"/>
      <c r="AA343" s="77">
        <f t="shared" si="215"/>
        <v>57.5372840793254</v>
      </c>
      <c r="AB343" s="87">
        <v>7.26</v>
      </c>
      <c r="AC343" s="74">
        <f t="shared" si="214"/>
        <v>417.720682415902</v>
      </c>
      <c r="AD343" s="74">
        <f t="shared" si="212"/>
        <v>6216.95791399534</v>
      </c>
      <c r="AE343" s="74">
        <f t="shared" si="213"/>
        <v>1318.04208600466</v>
      </c>
    </row>
    <row r="344" customFormat="1" spans="1:31">
      <c r="A344" s="18"/>
      <c r="B344" s="19"/>
      <c r="C344" s="20">
        <v>240417000035</v>
      </c>
      <c r="D344" s="21">
        <v>45488</v>
      </c>
      <c r="E344" s="21" t="s">
        <v>44</v>
      </c>
      <c r="F344" s="19" t="s">
        <v>45</v>
      </c>
      <c r="G344" s="19" t="s">
        <v>314</v>
      </c>
      <c r="H344" s="19">
        <v>0.5946</v>
      </c>
      <c r="I344" s="47"/>
      <c r="J344" s="48">
        <v>453123</v>
      </c>
      <c r="K344" s="43"/>
      <c r="L344" s="49">
        <f>SUM(J344/M344)</f>
        <v>1502.84567676031</v>
      </c>
      <c r="M344" s="50">
        <v>301.51</v>
      </c>
      <c r="N344" s="44">
        <v>7.26</v>
      </c>
      <c r="O344" s="45">
        <f>SUM(M344*N344)</f>
        <v>2188.9626</v>
      </c>
      <c r="P344" s="91">
        <f t="shared" si="217"/>
        <v>2188.9626</v>
      </c>
      <c r="Q344" s="91" t="s">
        <v>311</v>
      </c>
      <c r="R344" s="92">
        <v>1136.09</v>
      </c>
      <c r="S344" s="92"/>
      <c r="T344" s="91">
        <f t="shared" si="218"/>
        <v>1.12534996261682</v>
      </c>
      <c r="U344" s="92"/>
      <c r="V344" s="92"/>
      <c r="W344" s="76">
        <f t="shared" si="201"/>
        <v>1137.21534996262</v>
      </c>
      <c r="X344" s="93"/>
      <c r="Y344" s="93">
        <f t="shared" si="219"/>
        <v>10.8508576591604</v>
      </c>
      <c r="Z344" s="93"/>
      <c r="AA344" s="77">
        <f t="shared" si="215"/>
        <v>10.8508576591604</v>
      </c>
      <c r="AB344" s="87">
        <v>7.26</v>
      </c>
      <c r="AC344" s="74">
        <f t="shared" si="214"/>
        <v>78.7772266055045</v>
      </c>
      <c r="AD344" s="74">
        <f t="shared" si="212"/>
        <v>1215.99257656812</v>
      </c>
      <c r="AE344" s="74">
        <f t="shared" si="213"/>
        <v>972.97002343188</v>
      </c>
    </row>
    <row r="345" customFormat="1" spans="1:31">
      <c r="A345" s="18"/>
      <c r="B345" s="19"/>
      <c r="C345" s="20">
        <v>240417000038</v>
      </c>
      <c r="D345" s="21">
        <v>45488</v>
      </c>
      <c r="E345" s="21" t="s">
        <v>58</v>
      </c>
      <c r="F345" s="19" t="s">
        <v>59</v>
      </c>
      <c r="G345" s="19" t="s">
        <v>315</v>
      </c>
      <c r="H345" s="19">
        <v>0.1896</v>
      </c>
      <c r="I345" s="41">
        <v>450</v>
      </c>
      <c r="J345" s="42"/>
      <c r="K345" s="43"/>
      <c r="L345" s="19"/>
      <c r="M345" s="43"/>
      <c r="N345" s="44"/>
      <c r="O345" s="45">
        <f t="shared" ref="O345:O348" si="220">SUM(I345)</f>
        <v>450</v>
      </c>
      <c r="P345" s="91">
        <f t="shared" si="217"/>
        <v>450</v>
      </c>
      <c r="Q345" s="91" t="s">
        <v>311</v>
      </c>
      <c r="R345" s="92">
        <v>362.33</v>
      </c>
      <c r="S345" s="92"/>
      <c r="T345" s="91">
        <f t="shared" si="218"/>
        <v>0.35884014953271</v>
      </c>
      <c r="U345" s="92"/>
      <c r="V345" s="92"/>
      <c r="W345" s="76">
        <f t="shared" si="201"/>
        <v>362.688840149533</v>
      </c>
      <c r="X345" s="93"/>
      <c r="Y345" s="93">
        <f t="shared" si="219"/>
        <v>3.46001112037809</v>
      </c>
      <c r="Z345" s="93"/>
      <c r="AA345" s="77">
        <f t="shared" si="215"/>
        <v>3.46001112037809</v>
      </c>
      <c r="AB345" s="87">
        <v>7.26</v>
      </c>
      <c r="AC345" s="74">
        <f t="shared" si="214"/>
        <v>25.1196807339449</v>
      </c>
      <c r="AD345" s="74">
        <f t="shared" si="212"/>
        <v>387.808520883478</v>
      </c>
      <c r="AE345" s="74">
        <f t="shared" si="213"/>
        <v>62.191479116522</v>
      </c>
    </row>
    <row r="346" customFormat="1" spans="1:31">
      <c r="A346" s="18"/>
      <c r="B346" s="19"/>
      <c r="C346" s="20">
        <v>240418000019</v>
      </c>
      <c r="D346" s="21">
        <v>45488</v>
      </c>
      <c r="E346" s="21" t="s">
        <v>58</v>
      </c>
      <c r="F346" s="19" t="s">
        <v>59</v>
      </c>
      <c r="G346" s="19" t="s">
        <v>133</v>
      </c>
      <c r="H346" s="19">
        <v>0.1562</v>
      </c>
      <c r="I346" s="41">
        <v>313.19995</v>
      </c>
      <c r="J346" s="42"/>
      <c r="K346" s="43"/>
      <c r="L346" s="19"/>
      <c r="M346" s="43"/>
      <c r="N346" s="44"/>
      <c r="O346" s="45">
        <f t="shared" si="220"/>
        <v>313.19995</v>
      </c>
      <c r="P346" s="91">
        <f t="shared" si="217"/>
        <v>313.19995</v>
      </c>
      <c r="Q346" s="91" t="s">
        <v>311</v>
      </c>
      <c r="R346" s="92">
        <v>270.85</v>
      </c>
      <c r="S346" s="92"/>
      <c r="T346" s="91">
        <f t="shared" si="218"/>
        <v>0.295626747663551</v>
      </c>
      <c r="U346" s="92"/>
      <c r="V346" s="92"/>
      <c r="W346" s="76">
        <f t="shared" si="201"/>
        <v>271.145626747664</v>
      </c>
      <c r="X346" s="93"/>
      <c r="Y346" s="93">
        <f t="shared" si="219"/>
        <v>2.85049439347604</v>
      </c>
      <c r="Z346" s="93"/>
      <c r="AA346" s="77">
        <f t="shared" si="215"/>
        <v>2.85049439347604</v>
      </c>
      <c r="AB346" s="87">
        <v>7.26</v>
      </c>
      <c r="AC346" s="74">
        <f t="shared" si="214"/>
        <v>20.694589296636</v>
      </c>
      <c r="AD346" s="74">
        <f t="shared" si="212"/>
        <v>291.8402160443</v>
      </c>
      <c r="AE346" s="74">
        <f t="shared" si="213"/>
        <v>21.3597339557</v>
      </c>
    </row>
    <row r="347" customFormat="1" spans="1:31">
      <c r="A347" s="18"/>
      <c r="B347" s="19"/>
      <c r="C347" s="20">
        <v>240418000026</v>
      </c>
      <c r="D347" s="21">
        <v>45488</v>
      </c>
      <c r="E347" s="21" t="s">
        <v>58</v>
      </c>
      <c r="F347" s="19" t="s">
        <v>59</v>
      </c>
      <c r="G347" s="19" t="s">
        <v>133</v>
      </c>
      <c r="H347" s="19">
        <v>0.5583</v>
      </c>
      <c r="I347" s="41">
        <v>1096.2002</v>
      </c>
      <c r="J347" s="42"/>
      <c r="K347" s="43"/>
      <c r="L347" s="19"/>
      <c r="M347" s="43"/>
      <c r="N347" s="44"/>
      <c r="O347" s="45">
        <f t="shared" si="220"/>
        <v>1096.2002</v>
      </c>
      <c r="P347" s="91">
        <f t="shared" si="217"/>
        <v>1096.2002</v>
      </c>
      <c r="Q347" s="91" t="s">
        <v>311</v>
      </c>
      <c r="R347" s="92">
        <v>1026.06</v>
      </c>
      <c r="S347" s="92"/>
      <c r="T347" s="91">
        <f t="shared" si="218"/>
        <v>1.05664797196262</v>
      </c>
      <c r="U347" s="92"/>
      <c r="V347" s="92"/>
      <c r="W347" s="76">
        <f t="shared" si="201"/>
        <v>1027.11664797196</v>
      </c>
      <c r="X347" s="93"/>
      <c r="Y347" s="93"/>
      <c r="Z347" s="93"/>
      <c r="AA347" s="77">
        <f t="shared" si="215"/>
        <v>0</v>
      </c>
      <c r="AB347" s="87">
        <v>7.26</v>
      </c>
      <c r="AC347" s="74">
        <f t="shared" si="214"/>
        <v>0</v>
      </c>
      <c r="AD347" s="74">
        <f t="shared" si="212"/>
        <v>1027.11664797196</v>
      </c>
      <c r="AE347" s="74">
        <f t="shared" si="213"/>
        <v>69.08355202804</v>
      </c>
    </row>
    <row r="348" customFormat="1" spans="1:31">
      <c r="A348" s="18"/>
      <c r="B348" s="19"/>
      <c r="C348" s="20">
        <v>240513000036</v>
      </c>
      <c r="D348" s="21">
        <v>45488</v>
      </c>
      <c r="E348" s="21" t="s">
        <v>58</v>
      </c>
      <c r="F348" s="19" t="s">
        <v>59</v>
      </c>
      <c r="G348" s="19" t="s">
        <v>133</v>
      </c>
      <c r="H348" s="19">
        <v>1.6222</v>
      </c>
      <c r="I348" s="41">
        <v>3229.88</v>
      </c>
      <c r="J348" s="42"/>
      <c r="K348" s="43"/>
      <c r="L348" s="19"/>
      <c r="M348" s="43"/>
      <c r="N348" s="44"/>
      <c r="O348" s="45">
        <f t="shared" si="220"/>
        <v>3229.88</v>
      </c>
      <c r="P348" s="91">
        <f t="shared" si="217"/>
        <v>3229.88</v>
      </c>
      <c r="Q348" s="91" t="s">
        <v>311</v>
      </c>
      <c r="R348" s="92">
        <v>2980.79</v>
      </c>
      <c r="S348" s="92"/>
      <c r="T348" s="91">
        <f t="shared" si="218"/>
        <v>3.07020300934579</v>
      </c>
      <c r="U348" s="92"/>
      <c r="V348" s="92"/>
      <c r="W348" s="76">
        <f t="shared" si="201"/>
        <v>2983.86020300935</v>
      </c>
      <c r="X348" s="93"/>
      <c r="Y348" s="93">
        <f t="shared" si="219"/>
        <v>29.6035339634881</v>
      </c>
      <c r="Z348" s="93"/>
      <c r="AA348" s="77">
        <f t="shared" si="215"/>
        <v>29.6035339634881</v>
      </c>
      <c r="AB348" s="87">
        <v>7.26</v>
      </c>
      <c r="AC348" s="74">
        <f t="shared" si="214"/>
        <v>214.921656574924</v>
      </c>
      <c r="AD348" s="74">
        <f t="shared" si="212"/>
        <v>3198.78185958427</v>
      </c>
      <c r="AE348" s="74">
        <f t="shared" si="213"/>
        <v>31.0981404157301</v>
      </c>
    </row>
    <row r="349" customFormat="1" spans="1:31">
      <c r="A349" s="18"/>
      <c r="B349" s="19"/>
      <c r="C349" s="20">
        <v>240625000030</v>
      </c>
      <c r="D349" s="21">
        <v>45488</v>
      </c>
      <c r="E349" s="21" t="s">
        <v>37</v>
      </c>
      <c r="F349" s="19" t="s">
        <v>37</v>
      </c>
      <c r="G349" s="19" t="s">
        <v>313</v>
      </c>
      <c r="H349" s="19">
        <v>9.3735</v>
      </c>
      <c r="I349" s="88">
        <v>25233</v>
      </c>
      <c r="J349" s="42"/>
      <c r="K349" s="43"/>
      <c r="L349" s="19"/>
      <c r="M349" s="43"/>
      <c r="N349" s="44"/>
      <c r="O349" s="45">
        <f>SUBTOTAL(9,I349)</f>
        <v>25233</v>
      </c>
      <c r="P349" s="91">
        <f t="shared" si="217"/>
        <v>25233</v>
      </c>
      <c r="Q349" s="91" t="s">
        <v>311</v>
      </c>
      <c r="R349" s="92">
        <v>17223.81</v>
      </c>
      <c r="S349" s="92"/>
      <c r="T349" s="91">
        <f t="shared" si="218"/>
        <v>17.7404437850467</v>
      </c>
      <c r="U349" s="92"/>
      <c r="V349" s="92"/>
      <c r="W349" s="76">
        <f t="shared" si="201"/>
        <v>17241.550443785</v>
      </c>
      <c r="X349" s="93"/>
      <c r="Y349" s="93">
        <f t="shared" si="219"/>
        <v>171.057037114262</v>
      </c>
      <c r="Z349" s="93"/>
      <c r="AA349" s="77">
        <f t="shared" si="215"/>
        <v>171.057037114262</v>
      </c>
      <c r="AB349" s="87">
        <v>7.26</v>
      </c>
      <c r="AC349" s="74">
        <f t="shared" si="214"/>
        <v>1241.87408944954</v>
      </c>
      <c r="AD349" s="74">
        <f t="shared" si="212"/>
        <v>18483.4245332345</v>
      </c>
      <c r="AE349" s="74">
        <f t="shared" si="213"/>
        <v>6749.5754667655</v>
      </c>
    </row>
    <row r="350" customFormat="1" spans="1:31">
      <c r="A350" s="18"/>
      <c r="B350" s="19"/>
      <c r="C350" s="20">
        <v>240625000031</v>
      </c>
      <c r="D350" s="21">
        <v>45488</v>
      </c>
      <c r="E350" s="21" t="s">
        <v>37</v>
      </c>
      <c r="F350" s="19" t="s">
        <v>37</v>
      </c>
      <c r="G350" s="19" t="s">
        <v>38</v>
      </c>
      <c r="H350" s="19">
        <v>5.7258</v>
      </c>
      <c r="I350" s="88">
        <v>15189</v>
      </c>
      <c r="J350" s="42"/>
      <c r="K350" s="43"/>
      <c r="L350" s="19"/>
      <c r="M350" s="43"/>
      <c r="N350" s="44"/>
      <c r="O350" s="45">
        <f>SUBTOTAL(9,I350)</f>
        <v>15189</v>
      </c>
      <c r="P350" s="91">
        <f t="shared" si="217"/>
        <v>15189</v>
      </c>
      <c r="Q350" s="91" t="s">
        <v>311</v>
      </c>
      <c r="R350" s="92">
        <v>10941.81</v>
      </c>
      <c r="S350" s="92"/>
      <c r="T350" s="91">
        <f t="shared" si="218"/>
        <v>10.8367454018692</v>
      </c>
      <c r="U350" s="92"/>
      <c r="V350" s="92"/>
      <c r="W350" s="76">
        <f t="shared" si="201"/>
        <v>10952.6467454019</v>
      </c>
      <c r="X350" s="93"/>
      <c r="Y350" s="93">
        <f t="shared" si="219"/>
        <v>104.490145954962</v>
      </c>
      <c r="Z350" s="93"/>
      <c r="AA350" s="77">
        <f t="shared" si="215"/>
        <v>104.490145954962</v>
      </c>
      <c r="AB350" s="87">
        <v>7.26</v>
      </c>
      <c r="AC350" s="74">
        <f t="shared" si="214"/>
        <v>758.598459633024</v>
      </c>
      <c r="AD350" s="74">
        <f t="shared" si="212"/>
        <v>11711.2452050349</v>
      </c>
      <c r="AE350" s="74">
        <f t="shared" si="213"/>
        <v>3477.7547949651</v>
      </c>
    </row>
    <row r="351" customFormat="1" spans="1:31">
      <c r="A351" s="18"/>
      <c r="B351" s="19"/>
      <c r="C351" s="20">
        <v>240627000017</v>
      </c>
      <c r="D351" s="21">
        <v>45488</v>
      </c>
      <c r="E351" s="21" t="s">
        <v>37</v>
      </c>
      <c r="F351" s="19" t="s">
        <v>37</v>
      </c>
      <c r="G351" s="19" t="s">
        <v>316</v>
      </c>
      <c r="H351" s="19">
        <v>0.9241</v>
      </c>
      <c r="I351" s="45"/>
      <c r="J351" s="48">
        <v>545490</v>
      </c>
      <c r="K351" s="43"/>
      <c r="L351" s="49">
        <f>SUM(J351/M351)</f>
        <v>1505.96310204049</v>
      </c>
      <c r="M351" s="50">
        <v>362.22003</v>
      </c>
      <c r="N351" s="44">
        <v>7.26</v>
      </c>
      <c r="O351" s="45">
        <f t="shared" ref="O350:O352" si="221">SUM(M351*N351)</f>
        <v>2629.7174178</v>
      </c>
      <c r="P351" s="91">
        <f t="shared" si="217"/>
        <v>2629.7174178</v>
      </c>
      <c r="Q351" s="91" t="s">
        <v>311</v>
      </c>
      <c r="R351" s="92">
        <v>1697.3</v>
      </c>
      <c r="S351" s="92"/>
      <c r="T351" s="91">
        <f t="shared" si="218"/>
        <v>1.74896720560748</v>
      </c>
      <c r="U351" s="92"/>
      <c r="V351" s="92"/>
      <c r="W351" s="76">
        <f t="shared" si="201"/>
        <v>1699.04896720561</v>
      </c>
      <c r="X351" s="93"/>
      <c r="Y351" s="93">
        <f t="shared" si="219"/>
        <v>16.8639044110833</v>
      </c>
      <c r="Z351" s="93"/>
      <c r="AA351" s="77">
        <f t="shared" si="215"/>
        <v>16.8639044110833</v>
      </c>
      <c r="AB351" s="87">
        <v>7.26</v>
      </c>
      <c r="AC351" s="74">
        <f t="shared" si="214"/>
        <v>122.431946024465</v>
      </c>
      <c r="AD351" s="74">
        <f t="shared" si="212"/>
        <v>1821.48091323007</v>
      </c>
      <c r="AE351" s="74">
        <f t="shared" si="213"/>
        <v>808.23650456993</v>
      </c>
    </row>
    <row r="352" customFormat="1" spans="1:31">
      <c r="A352" s="18"/>
      <c r="B352" s="19"/>
      <c r="C352" s="20">
        <v>240701000027</v>
      </c>
      <c r="D352" s="21">
        <v>45488</v>
      </c>
      <c r="E352" s="21" t="s">
        <v>40</v>
      </c>
      <c r="F352" s="19" t="s">
        <v>41</v>
      </c>
      <c r="G352" s="19" t="s">
        <v>317</v>
      </c>
      <c r="H352" s="19">
        <v>57.5636</v>
      </c>
      <c r="I352" s="47"/>
      <c r="J352" s="48">
        <v>23885928</v>
      </c>
      <c r="K352" s="43"/>
      <c r="L352" s="49">
        <f t="shared" ref="L352:L357" si="222">SUM(J352/M352)</f>
        <v>1520.97042866967</v>
      </c>
      <c r="M352" s="50">
        <v>15704.4</v>
      </c>
      <c r="N352" s="44">
        <v>7.26</v>
      </c>
      <c r="O352" s="45">
        <f t="shared" si="221"/>
        <v>114013.944</v>
      </c>
      <c r="P352" s="91">
        <f t="shared" si="217"/>
        <v>114013.944</v>
      </c>
      <c r="Q352" s="91" t="s">
        <v>311</v>
      </c>
      <c r="R352" s="92">
        <v>104951.77</v>
      </c>
      <c r="S352" s="92"/>
      <c r="T352" s="91">
        <f t="shared" si="218"/>
        <v>108.945837719626</v>
      </c>
      <c r="U352" s="92"/>
      <c r="V352" s="92"/>
      <c r="W352" s="76">
        <f t="shared" si="201"/>
        <v>105060.71583772</v>
      </c>
      <c r="X352" s="93"/>
      <c r="Y352" s="93">
        <f t="shared" si="219"/>
        <v>1050.47835511074</v>
      </c>
      <c r="Z352" s="93"/>
      <c r="AA352" s="77">
        <f t="shared" si="215"/>
        <v>1050.47835511074</v>
      </c>
      <c r="AB352" s="87">
        <v>7.26</v>
      </c>
      <c r="AC352" s="74">
        <f t="shared" si="214"/>
        <v>7626.47285810397</v>
      </c>
      <c r="AD352" s="74">
        <f t="shared" si="212"/>
        <v>112687.188695824</v>
      </c>
      <c r="AE352" s="74">
        <f t="shared" si="213"/>
        <v>1326.75530417598</v>
      </c>
    </row>
    <row r="353" customFormat="1" spans="1:31">
      <c r="A353" s="18"/>
      <c r="B353" s="19"/>
      <c r="C353" s="20">
        <v>240702000033</v>
      </c>
      <c r="D353" s="21">
        <v>45488</v>
      </c>
      <c r="E353" s="21" t="s">
        <v>37</v>
      </c>
      <c r="F353" s="19" t="s">
        <v>37</v>
      </c>
      <c r="G353" s="19" t="s">
        <v>318</v>
      </c>
      <c r="H353" s="19">
        <v>7.0382</v>
      </c>
      <c r="I353" s="88">
        <v>15452</v>
      </c>
      <c r="J353" s="42"/>
      <c r="K353" s="43"/>
      <c r="L353" s="19"/>
      <c r="M353" s="43"/>
      <c r="N353" s="44"/>
      <c r="O353" s="45">
        <f>SUBTOTAL(9,I353)</f>
        <v>15452</v>
      </c>
      <c r="P353" s="91">
        <f t="shared" si="217"/>
        <v>15452</v>
      </c>
      <c r="Q353" s="91" t="s">
        <v>311</v>
      </c>
      <c r="R353" s="92">
        <v>13449.62</v>
      </c>
      <c r="S353" s="92"/>
      <c r="T353" s="91">
        <f t="shared" si="218"/>
        <v>13.3206157196262</v>
      </c>
      <c r="U353" s="92"/>
      <c r="V353" s="92"/>
      <c r="W353" s="76">
        <f t="shared" si="201"/>
        <v>13462.9406157196</v>
      </c>
      <c r="X353" s="93"/>
      <c r="Y353" s="93">
        <f t="shared" si="219"/>
        <v>128.440138541377</v>
      </c>
      <c r="Z353" s="93"/>
      <c r="AA353" s="77">
        <f t="shared" si="215"/>
        <v>128.440138541377</v>
      </c>
      <c r="AB353" s="87">
        <v>7.26</v>
      </c>
      <c r="AC353" s="74">
        <f t="shared" si="214"/>
        <v>932.475405810397</v>
      </c>
      <c r="AD353" s="74">
        <f t="shared" si="212"/>
        <v>14395.41602153</v>
      </c>
      <c r="AE353" s="74">
        <f t="shared" si="213"/>
        <v>1056.58397847</v>
      </c>
    </row>
    <row r="354" customFormat="1" spans="1:31">
      <c r="A354" s="18"/>
      <c r="B354" s="19"/>
      <c r="C354" s="20">
        <v>240703000010</v>
      </c>
      <c r="D354" s="21">
        <v>45488</v>
      </c>
      <c r="E354" s="21" t="s">
        <v>40</v>
      </c>
      <c r="F354" s="19" t="s">
        <v>41</v>
      </c>
      <c r="G354" s="19" t="s">
        <v>317</v>
      </c>
      <c r="H354" s="19">
        <v>7.751</v>
      </c>
      <c r="I354" s="47"/>
      <c r="J354" s="48">
        <v>3529387.28</v>
      </c>
      <c r="K354" s="43"/>
      <c r="L354" s="49">
        <f t="shared" si="222"/>
        <v>1604.4638569279</v>
      </c>
      <c r="M354" s="50">
        <v>2199.73</v>
      </c>
      <c r="N354" s="44">
        <v>7.26</v>
      </c>
      <c r="O354" s="45">
        <f t="shared" ref="O354:O359" si="223">SUM(M354*N354)</f>
        <v>15970.0398</v>
      </c>
      <c r="P354" s="91">
        <f t="shared" si="217"/>
        <v>15970.0398</v>
      </c>
      <c r="Q354" s="91" t="s">
        <v>311</v>
      </c>
      <c r="R354" s="92">
        <v>14812.16</v>
      </c>
      <c r="S354" s="92"/>
      <c r="T354" s="91">
        <f t="shared" si="218"/>
        <v>14.6696729906542</v>
      </c>
      <c r="U354" s="92"/>
      <c r="V354" s="92"/>
      <c r="W354" s="76">
        <f t="shared" si="201"/>
        <v>14826.8296729907</v>
      </c>
      <c r="X354" s="93"/>
      <c r="Y354" s="93">
        <f t="shared" si="219"/>
        <v>141.448028449634</v>
      </c>
      <c r="Z354" s="93"/>
      <c r="AA354" s="77">
        <f t="shared" si="215"/>
        <v>141.448028449634</v>
      </c>
      <c r="AB354" s="87">
        <v>7.26</v>
      </c>
      <c r="AC354" s="74">
        <f t="shared" si="214"/>
        <v>1026.91268654434</v>
      </c>
      <c r="AD354" s="74">
        <f t="shared" si="212"/>
        <v>15853.742359535</v>
      </c>
      <c r="AE354" s="74">
        <f t="shared" si="213"/>
        <v>116.297440465001</v>
      </c>
    </row>
    <row r="355" customFormat="1" spans="1:31">
      <c r="A355" s="18"/>
      <c r="B355" s="19"/>
      <c r="C355" s="20">
        <v>240703000013</v>
      </c>
      <c r="D355" s="21">
        <v>45488</v>
      </c>
      <c r="E355" s="21" t="s">
        <v>40</v>
      </c>
      <c r="F355" s="19" t="s">
        <v>41</v>
      </c>
      <c r="G355" s="19" t="s">
        <v>319</v>
      </c>
      <c r="H355" s="19">
        <v>2.7075</v>
      </c>
      <c r="I355" s="47"/>
      <c r="J355" s="48">
        <v>1953978</v>
      </c>
      <c r="K355" s="43"/>
      <c r="L355" s="49">
        <f t="shared" si="222"/>
        <v>1785.97164715238</v>
      </c>
      <c r="M355" s="50">
        <v>1094.07</v>
      </c>
      <c r="N355" s="44">
        <v>7.26</v>
      </c>
      <c r="O355" s="45">
        <f t="shared" si="223"/>
        <v>7942.9482</v>
      </c>
      <c r="P355" s="91">
        <f t="shared" si="217"/>
        <v>7942.9482</v>
      </c>
      <c r="Q355" s="91" t="s">
        <v>311</v>
      </c>
      <c r="R355" s="92">
        <v>4378.03</v>
      </c>
      <c r="S355" s="92"/>
      <c r="T355" s="91">
        <f t="shared" si="218"/>
        <v>5.12426004672897</v>
      </c>
      <c r="U355" s="92"/>
      <c r="V355" s="92"/>
      <c r="W355" s="76">
        <f t="shared" ref="W355:W398" si="224">SUM(R355:V355)</f>
        <v>4383.15426004673</v>
      </c>
      <c r="X355" s="93"/>
      <c r="Y355" s="93">
        <v>361.96</v>
      </c>
      <c r="Z355" s="93"/>
      <c r="AA355" s="77">
        <f t="shared" si="215"/>
        <v>361.96</v>
      </c>
      <c r="AB355" s="87">
        <v>7.26</v>
      </c>
      <c r="AC355" s="74">
        <f t="shared" si="214"/>
        <v>2627.8296</v>
      </c>
      <c r="AD355" s="74">
        <f t="shared" si="212"/>
        <v>7010.98386004673</v>
      </c>
      <c r="AE355" s="74">
        <f t="shared" si="213"/>
        <v>931.96433995327</v>
      </c>
    </row>
    <row r="356" customFormat="1" spans="1:31">
      <c r="A356" s="18" t="s">
        <v>320</v>
      </c>
      <c r="B356" s="19" t="s">
        <v>321</v>
      </c>
      <c r="C356" s="20">
        <v>240513000048</v>
      </c>
      <c r="D356" s="21">
        <v>45488</v>
      </c>
      <c r="E356" s="21" t="s">
        <v>58</v>
      </c>
      <c r="F356" s="19" t="s">
        <v>59</v>
      </c>
      <c r="G356" s="19" t="s">
        <v>133</v>
      </c>
      <c r="H356" s="19">
        <v>9.6</v>
      </c>
      <c r="I356" s="41">
        <v>20239.68</v>
      </c>
      <c r="J356" s="89"/>
      <c r="K356" s="43"/>
      <c r="L356" s="45"/>
      <c r="M356" s="43"/>
      <c r="N356" s="103"/>
      <c r="O356" s="92">
        <f t="shared" ref="O355:O358" si="225">SUM(I356)</f>
        <v>20239.68</v>
      </c>
      <c r="P356" s="92">
        <f t="shared" si="217"/>
        <v>20239.68</v>
      </c>
      <c r="Q356" s="91" t="s">
        <v>322</v>
      </c>
      <c r="R356" s="104">
        <v>19649.28</v>
      </c>
      <c r="S356" s="92"/>
      <c r="T356" s="91">
        <v>0</v>
      </c>
      <c r="U356" s="91"/>
      <c r="V356" s="91"/>
      <c r="W356" s="76">
        <f t="shared" si="224"/>
        <v>19649.28</v>
      </c>
      <c r="X356" s="93"/>
      <c r="Y356" s="93">
        <v>0</v>
      </c>
      <c r="Z356" s="93"/>
      <c r="AA356" s="77">
        <f t="shared" si="215"/>
        <v>0</v>
      </c>
      <c r="AB356" s="87">
        <v>7.26</v>
      </c>
      <c r="AC356" s="74">
        <f t="shared" si="214"/>
        <v>0</v>
      </c>
      <c r="AD356" s="74">
        <f t="shared" si="212"/>
        <v>19649.28</v>
      </c>
      <c r="AE356" s="74">
        <f t="shared" si="213"/>
        <v>590.400000000001</v>
      </c>
    </row>
    <row r="357" customFormat="1" spans="1:31">
      <c r="A357" s="18" t="s">
        <v>323</v>
      </c>
      <c r="B357" s="19" t="s">
        <v>324</v>
      </c>
      <c r="C357" s="20">
        <v>240708000015</v>
      </c>
      <c r="D357" s="21">
        <v>45489</v>
      </c>
      <c r="E357" s="21" t="s">
        <v>44</v>
      </c>
      <c r="F357" s="19" t="s">
        <v>45</v>
      </c>
      <c r="G357" s="19" t="s">
        <v>214</v>
      </c>
      <c r="H357" s="19">
        <v>3.5</v>
      </c>
      <c r="I357" s="47"/>
      <c r="J357" s="48">
        <v>42350</v>
      </c>
      <c r="K357" s="43"/>
      <c r="L357" s="49">
        <f t="shared" si="222"/>
        <v>1597.51037344398</v>
      </c>
      <c r="M357" s="50">
        <v>26.51</v>
      </c>
      <c r="N357" s="44">
        <v>7.26</v>
      </c>
      <c r="O357" s="45">
        <f t="shared" si="223"/>
        <v>192.4626</v>
      </c>
      <c r="P357" s="46">
        <f>SUM(O357:O398)</f>
        <v>157285.00951126</v>
      </c>
      <c r="Q357" s="46" t="s">
        <v>130</v>
      </c>
      <c r="R357" s="74">
        <f>SUM(109719/2558)*H357</f>
        <v>150.123729476153</v>
      </c>
      <c r="S357" s="74"/>
      <c r="T357" s="75">
        <f>SUM(162.75/2558)*H357</f>
        <v>0.222683737294762</v>
      </c>
      <c r="U357" s="74"/>
      <c r="V357" s="74"/>
      <c r="W357" s="76">
        <f t="shared" si="224"/>
        <v>150.346413213448</v>
      </c>
      <c r="X357" s="77">
        <f>SUM(1694.07/2558)*H357</f>
        <v>2.31792220484754</v>
      </c>
      <c r="Y357" s="77"/>
      <c r="Z357" s="77"/>
      <c r="AA357" s="77">
        <f t="shared" si="215"/>
        <v>2.31792220484754</v>
      </c>
      <c r="AB357" s="87">
        <v>7.26</v>
      </c>
      <c r="AC357" s="74">
        <f t="shared" si="214"/>
        <v>16.8281152071931</v>
      </c>
      <c r="AD357" s="74">
        <f t="shared" si="212"/>
        <v>167.174528420641</v>
      </c>
      <c r="AE357" s="74">
        <f t="shared" si="213"/>
        <v>25.288071579359</v>
      </c>
    </row>
    <row r="358" customFormat="1" spans="1:31">
      <c r="A358" s="18"/>
      <c r="B358" s="19"/>
      <c r="C358" s="20">
        <v>240708000039</v>
      </c>
      <c r="D358" s="21">
        <v>45489</v>
      </c>
      <c r="E358" s="21" t="s">
        <v>40</v>
      </c>
      <c r="F358" s="19" t="s">
        <v>41</v>
      </c>
      <c r="G358" s="19" t="s">
        <v>86</v>
      </c>
      <c r="H358" s="19">
        <v>12</v>
      </c>
      <c r="I358" s="41">
        <v>660</v>
      </c>
      <c r="J358" s="42"/>
      <c r="K358" s="43"/>
      <c r="L358" s="19"/>
      <c r="M358" s="43"/>
      <c r="N358" s="44"/>
      <c r="O358" s="45">
        <f t="shared" si="225"/>
        <v>660</v>
      </c>
      <c r="P358" s="51"/>
      <c r="Q358" s="51"/>
      <c r="R358" s="74">
        <f t="shared" ref="R358:R398" si="226">SUM(109719/2558)*H358</f>
        <v>514.709929632525</v>
      </c>
      <c r="S358" s="74"/>
      <c r="T358" s="75">
        <f t="shared" ref="T358:T398" si="227">SUM(162.75/2558)*H358</f>
        <v>0.763487099296325</v>
      </c>
      <c r="U358" s="74"/>
      <c r="V358" s="74"/>
      <c r="W358" s="76">
        <f t="shared" si="224"/>
        <v>515.473416731822</v>
      </c>
      <c r="X358" s="77">
        <f t="shared" ref="X358:X398" si="228">SUM(1694.07/2558)*H358</f>
        <v>7.94716184519156</v>
      </c>
      <c r="Y358" s="77"/>
      <c r="Z358" s="77"/>
      <c r="AA358" s="77">
        <f t="shared" si="215"/>
        <v>7.94716184519156</v>
      </c>
      <c r="AB358" s="87">
        <v>7.26</v>
      </c>
      <c r="AC358" s="74">
        <f t="shared" si="214"/>
        <v>57.6963949960907</v>
      </c>
      <c r="AD358" s="74">
        <f t="shared" si="212"/>
        <v>573.169811727913</v>
      </c>
      <c r="AE358" s="74">
        <f t="shared" si="213"/>
        <v>86.830188272087</v>
      </c>
    </row>
    <row r="359" customFormat="1" spans="1:31">
      <c r="A359" s="18"/>
      <c r="B359" s="19"/>
      <c r="C359" s="20">
        <v>240708000044</v>
      </c>
      <c r="D359" s="21">
        <v>45489</v>
      </c>
      <c r="E359" s="21" t="s">
        <v>58</v>
      </c>
      <c r="F359" s="19" t="s">
        <v>59</v>
      </c>
      <c r="G359" s="19" t="s">
        <v>325</v>
      </c>
      <c r="H359" s="19">
        <v>6</v>
      </c>
      <c r="I359" s="47"/>
      <c r="J359" s="48">
        <v>91996</v>
      </c>
      <c r="K359" s="43"/>
      <c r="L359" s="49">
        <f t="shared" ref="L359:L362" si="229">SUM(J359/M359)</f>
        <v>1582.86304198211</v>
      </c>
      <c r="M359" s="50">
        <v>58.12</v>
      </c>
      <c r="N359" s="44">
        <v>7.26</v>
      </c>
      <c r="O359" s="45">
        <f t="shared" si="223"/>
        <v>421.9512</v>
      </c>
      <c r="P359" s="51"/>
      <c r="Q359" s="51"/>
      <c r="R359" s="74">
        <f t="shared" si="226"/>
        <v>257.354964816263</v>
      </c>
      <c r="S359" s="74"/>
      <c r="T359" s="75">
        <f t="shared" si="227"/>
        <v>0.381743549648163</v>
      </c>
      <c r="U359" s="74"/>
      <c r="V359" s="74"/>
      <c r="W359" s="76">
        <f t="shared" si="224"/>
        <v>257.736708365911</v>
      </c>
      <c r="X359" s="77">
        <f t="shared" si="228"/>
        <v>3.97358092259578</v>
      </c>
      <c r="Y359" s="77"/>
      <c r="Z359" s="77"/>
      <c r="AA359" s="77">
        <f t="shared" si="215"/>
        <v>3.97358092259578</v>
      </c>
      <c r="AB359" s="87">
        <v>7.26</v>
      </c>
      <c r="AC359" s="74">
        <f t="shared" si="214"/>
        <v>28.8481974980454</v>
      </c>
      <c r="AD359" s="74">
        <f t="shared" si="212"/>
        <v>286.584905863956</v>
      </c>
      <c r="AE359" s="74">
        <f t="shared" si="213"/>
        <v>135.366294136044</v>
      </c>
    </row>
    <row r="360" customFormat="1" spans="1:31">
      <c r="A360" s="18"/>
      <c r="B360" s="19"/>
      <c r="C360" s="20">
        <v>240708000054</v>
      </c>
      <c r="D360" s="21">
        <v>45489</v>
      </c>
      <c r="E360" s="21" t="s">
        <v>44</v>
      </c>
      <c r="F360" s="19" t="s">
        <v>45</v>
      </c>
      <c r="G360" s="19" t="s">
        <v>326</v>
      </c>
      <c r="H360" s="19">
        <v>222</v>
      </c>
      <c r="I360" s="41">
        <v>16665</v>
      </c>
      <c r="J360" s="42"/>
      <c r="K360" s="43"/>
      <c r="L360" s="19"/>
      <c r="M360" s="43"/>
      <c r="N360" s="44"/>
      <c r="O360" s="45">
        <f t="shared" ref="O360:O365" si="230">SUM(I360)</f>
        <v>16665</v>
      </c>
      <c r="P360" s="51"/>
      <c r="Q360" s="51"/>
      <c r="R360" s="74">
        <f t="shared" si="226"/>
        <v>9522.13369820172</v>
      </c>
      <c r="S360" s="74"/>
      <c r="T360" s="75">
        <f t="shared" si="227"/>
        <v>14.124511336982</v>
      </c>
      <c r="U360" s="74"/>
      <c r="V360" s="74"/>
      <c r="W360" s="76">
        <f t="shared" si="224"/>
        <v>9536.2582095387</v>
      </c>
      <c r="X360" s="77">
        <f t="shared" si="228"/>
        <v>147.022494136044</v>
      </c>
      <c r="Y360" s="77"/>
      <c r="Z360" s="77"/>
      <c r="AA360" s="77">
        <f t="shared" si="215"/>
        <v>147.022494136044</v>
      </c>
      <c r="AB360" s="87">
        <v>7.26</v>
      </c>
      <c r="AC360" s="74">
        <f t="shared" si="214"/>
        <v>1067.38330742768</v>
      </c>
      <c r="AD360" s="74">
        <f t="shared" si="212"/>
        <v>10603.6415169664</v>
      </c>
      <c r="AE360" s="74">
        <f t="shared" si="213"/>
        <v>6061.3584830336</v>
      </c>
    </row>
    <row r="361" customFormat="1" spans="1:31">
      <c r="A361" s="18"/>
      <c r="B361" s="19"/>
      <c r="C361" s="20">
        <v>240709000034</v>
      </c>
      <c r="D361" s="21">
        <v>45489</v>
      </c>
      <c r="E361" s="21" t="s">
        <v>58</v>
      </c>
      <c r="F361" s="19" t="s">
        <v>59</v>
      </c>
      <c r="G361" s="19" t="s">
        <v>327</v>
      </c>
      <c r="H361" s="19">
        <v>26</v>
      </c>
      <c r="I361" s="47"/>
      <c r="J361" s="48">
        <v>311740</v>
      </c>
      <c r="K361" s="43"/>
      <c r="L361" s="49">
        <f t="shared" si="229"/>
        <v>1582.75792038993</v>
      </c>
      <c r="M361" s="50">
        <v>196.96</v>
      </c>
      <c r="N361" s="44">
        <v>7.26</v>
      </c>
      <c r="O361" s="45">
        <f t="shared" ref="O361:O368" si="231">SUM(M361*N361)</f>
        <v>1429.9296</v>
      </c>
      <c r="P361" s="51"/>
      <c r="Q361" s="51"/>
      <c r="R361" s="74">
        <f t="shared" si="226"/>
        <v>1115.20484753714</v>
      </c>
      <c r="S361" s="74"/>
      <c r="T361" s="75">
        <f t="shared" si="227"/>
        <v>1.65422204847537</v>
      </c>
      <c r="U361" s="74"/>
      <c r="V361" s="74"/>
      <c r="W361" s="76">
        <f t="shared" si="224"/>
        <v>1116.85906958561</v>
      </c>
      <c r="X361" s="77">
        <f t="shared" si="228"/>
        <v>17.2188506645817</v>
      </c>
      <c r="Y361" s="77"/>
      <c r="Z361" s="77"/>
      <c r="AA361" s="77">
        <f t="shared" si="215"/>
        <v>17.2188506645817</v>
      </c>
      <c r="AB361" s="87">
        <v>7.26</v>
      </c>
      <c r="AC361" s="74">
        <f t="shared" si="214"/>
        <v>125.008855824863</v>
      </c>
      <c r="AD361" s="74">
        <f t="shared" si="212"/>
        <v>1241.86792541047</v>
      </c>
      <c r="AE361" s="74">
        <f t="shared" si="213"/>
        <v>188.06167458953</v>
      </c>
    </row>
    <row r="362" customFormat="1" spans="1:31">
      <c r="A362" s="18"/>
      <c r="B362" s="19"/>
      <c r="C362" s="20">
        <v>240709000035</v>
      </c>
      <c r="D362" s="21">
        <v>45489</v>
      </c>
      <c r="E362" s="21" t="s">
        <v>40</v>
      </c>
      <c r="F362" s="19" t="s">
        <v>41</v>
      </c>
      <c r="G362" s="19" t="s">
        <v>87</v>
      </c>
      <c r="H362" s="19">
        <v>149</v>
      </c>
      <c r="I362" s="47"/>
      <c r="J362" s="48">
        <v>2029380</v>
      </c>
      <c r="K362" s="43"/>
      <c r="L362" s="49">
        <f t="shared" si="229"/>
        <v>1648.02663634887</v>
      </c>
      <c r="M362" s="50">
        <v>1231.4</v>
      </c>
      <c r="N362" s="44">
        <v>7.26</v>
      </c>
      <c r="O362" s="45">
        <f t="shared" si="231"/>
        <v>8939.964</v>
      </c>
      <c r="P362" s="51"/>
      <c r="Q362" s="51"/>
      <c r="R362" s="74">
        <f t="shared" si="226"/>
        <v>6390.98162627052</v>
      </c>
      <c r="S362" s="74"/>
      <c r="T362" s="75">
        <f t="shared" si="227"/>
        <v>9.4799648162627</v>
      </c>
      <c r="U362" s="74"/>
      <c r="V362" s="74"/>
      <c r="W362" s="76">
        <f t="shared" si="224"/>
        <v>6400.46159108679</v>
      </c>
      <c r="X362" s="77">
        <f t="shared" si="228"/>
        <v>98.6772595777951</v>
      </c>
      <c r="Y362" s="77"/>
      <c r="Z362" s="77"/>
      <c r="AA362" s="77">
        <f t="shared" si="215"/>
        <v>98.6772595777951</v>
      </c>
      <c r="AB362" s="87">
        <v>7.26</v>
      </c>
      <c r="AC362" s="74">
        <f t="shared" si="214"/>
        <v>716.396904534792</v>
      </c>
      <c r="AD362" s="74">
        <f t="shared" si="212"/>
        <v>7116.85849562158</v>
      </c>
      <c r="AE362" s="74">
        <f t="shared" si="213"/>
        <v>1823.10550437842</v>
      </c>
    </row>
    <row r="363" customFormat="1" spans="1:31">
      <c r="A363" s="18"/>
      <c r="B363" s="19"/>
      <c r="C363" s="20">
        <v>240709000036</v>
      </c>
      <c r="D363" s="21">
        <v>45489</v>
      </c>
      <c r="E363" s="21" t="s">
        <v>40</v>
      </c>
      <c r="F363" s="19" t="s">
        <v>41</v>
      </c>
      <c r="G363" s="19" t="s">
        <v>328</v>
      </c>
      <c r="H363" s="19">
        <v>3</v>
      </c>
      <c r="I363" s="41">
        <v>180</v>
      </c>
      <c r="J363" s="42"/>
      <c r="K363" s="43"/>
      <c r="L363" s="19"/>
      <c r="M363" s="43"/>
      <c r="N363" s="44"/>
      <c r="O363" s="45">
        <f t="shared" si="230"/>
        <v>180</v>
      </c>
      <c r="P363" s="51"/>
      <c r="Q363" s="51"/>
      <c r="R363" s="74">
        <f t="shared" si="226"/>
        <v>128.677482408131</v>
      </c>
      <c r="S363" s="74"/>
      <c r="T363" s="75">
        <f t="shared" si="227"/>
        <v>0.190871774824081</v>
      </c>
      <c r="U363" s="74"/>
      <c r="V363" s="74"/>
      <c r="W363" s="76">
        <f t="shared" si="224"/>
        <v>128.868354182955</v>
      </c>
      <c r="X363" s="77">
        <f t="shared" si="228"/>
        <v>1.98679046129789</v>
      </c>
      <c r="Y363" s="77"/>
      <c r="Z363" s="77"/>
      <c r="AA363" s="77">
        <f t="shared" si="215"/>
        <v>1.98679046129789</v>
      </c>
      <c r="AB363" s="87">
        <v>7.26</v>
      </c>
      <c r="AC363" s="74">
        <f t="shared" si="214"/>
        <v>14.4240987490227</v>
      </c>
      <c r="AD363" s="74">
        <f t="shared" si="212"/>
        <v>143.292452931978</v>
      </c>
      <c r="AE363" s="74">
        <f t="shared" si="213"/>
        <v>36.707547068022</v>
      </c>
    </row>
    <row r="364" customFormat="1" spans="1:31">
      <c r="A364" s="18"/>
      <c r="B364" s="19"/>
      <c r="C364" s="20">
        <v>240709000039</v>
      </c>
      <c r="D364" s="21">
        <v>45489</v>
      </c>
      <c r="E364" s="21" t="s">
        <v>55</v>
      </c>
      <c r="F364" s="19" t="s">
        <v>56</v>
      </c>
      <c r="G364" s="19" t="s">
        <v>329</v>
      </c>
      <c r="H364" s="19">
        <v>0.52</v>
      </c>
      <c r="I364" s="41">
        <v>63</v>
      </c>
      <c r="J364" s="42"/>
      <c r="K364" s="43"/>
      <c r="L364" s="19"/>
      <c r="M364" s="43"/>
      <c r="N364" s="44"/>
      <c r="O364" s="45">
        <f t="shared" si="230"/>
        <v>63</v>
      </c>
      <c r="P364" s="51"/>
      <c r="Q364" s="51"/>
      <c r="R364" s="74">
        <f t="shared" si="226"/>
        <v>22.3040969507428</v>
      </c>
      <c r="S364" s="74"/>
      <c r="T364" s="75">
        <f t="shared" si="227"/>
        <v>0.0330844409695074</v>
      </c>
      <c r="U364" s="74"/>
      <c r="V364" s="74"/>
      <c r="W364" s="76">
        <f t="shared" si="224"/>
        <v>22.3371813917123</v>
      </c>
      <c r="X364" s="77">
        <f t="shared" si="228"/>
        <v>0.344377013291634</v>
      </c>
      <c r="Y364" s="77"/>
      <c r="Z364" s="77"/>
      <c r="AA364" s="77">
        <f t="shared" si="215"/>
        <v>0.344377013291634</v>
      </c>
      <c r="AB364" s="87">
        <v>7.26</v>
      </c>
      <c r="AC364" s="74">
        <f t="shared" si="214"/>
        <v>2.50017711649726</v>
      </c>
      <c r="AD364" s="74">
        <f t="shared" si="212"/>
        <v>24.8373585082096</v>
      </c>
      <c r="AE364" s="74">
        <f t="shared" si="213"/>
        <v>38.1626414917904</v>
      </c>
    </row>
    <row r="365" customFormat="1" spans="1:31">
      <c r="A365" s="18"/>
      <c r="B365" s="19"/>
      <c r="C365" s="20">
        <v>240709000043</v>
      </c>
      <c r="D365" s="21">
        <v>45489</v>
      </c>
      <c r="E365" s="21" t="s">
        <v>44</v>
      </c>
      <c r="F365" s="19" t="s">
        <v>260</v>
      </c>
      <c r="G365" s="19" t="s">
        <v>330</v>
      </c>
      <c r="H365" s="19">
        <v>23</v>
      </c>
      <c r="I365" s="41">
        <v>2031</v>
      </c>
      <c r="J365" s="42"/>
      <c r="K365" s="43"/>
      <c r="L365" s="19"/>
      <c r="M365" s="43"/>
      <c r="N365" s="44"/>
      <c r="O365" s="45">
        <f t="shared" si="230"/>
        <v>2031</v>
      </c>
      <c r="P365" s="51"/>
      <c r="Q365" s="51"/>
      <c r="R365" s="74">
        <f t="shared" si="226"/>
        <v>986.527365129007</v>
      </c>
      <c r="S365" s="74"/>
      <c r="T365" s="75">
        <f t="shared" si="227"/>
        <v>1.46335027365129</v>
      </c>
      <c r="U365" s="74"/>
      <c r="V365" s="74"/>
      <c r="W365" s="76">
        <f t="shared" si="224"/>
        <v>987.990715402658</v>
      </c>
      <c r="X365" s="77">
        <f t="shared" si="228"/>
        <v>15.2320602032838</v>
      </c>
      <c r="Y365" s="77"/>
      <c r="Z365" s="77"/>
      <c r="AA365" s="77">
        <f t="shared" si="215"/>
        <v>15.2320602032838</v>
      </c>
      <c r="AB365" s="87">
        <v>7.26</v>
      </c>
      <c r="AC365" s="74">
        <f t="shared" si="214"/>
        <v>110.58475707584</v>
      </c>
      <c r="AD365" s="74">
        <f t="shared" si="212"/>
        <v>1098.5754724785</v>
      </c>
      <c r="AE365" s="74">
        <f t="shared" si="213"/>
        <v>932.4245275215</v>
      </c>
    </row>
    <row r="366" customFormat="1" spans="1:31">
      <c r="A366" s="18"/>
      <c r="B366" s="19"/>
      <c r="C366" s="20">
        <v>240710000003</v>
      </c>
      <c r="D366" s="21">
        <v>45489</v>
      </c>
      <c r="E366" s="21" t="s">
        <v>47</v>
      </c>
      <c r="F366" s="19" t="s">
        <v>48</v>
      </c>
      <c r="G366" s="19" t="s">
        <v>331</v>
      </c>
      <c r="H366" s="19">
        <v>38.5</v>
      </c>
      <c r="I366" s="47"/>
      <c r="J366" s="48">
        <v>467610</v>
      </c>
      <c r="K366" s="43"/>
      <c r="L366" s="49">
        <f>SUM(J366/M366)</f>
        <v>1597.24689165187</v>
      </c>
      <c r="M366" s="50">
        <v>292.76</v>
      </c>
      <c r="N366" s="44">
        <v>7.26</v>
      </c>
      <c r="O366" s="45">
        <f t="shared" si="231"/>
        <v>2125.4376</v>
      </c>
      <c r="P366" s="51"/>
      <c r="Q366" s="51"/>
      <c r="R366" s="74">
        <f t="shared" si="226"/>
        <v>1651.36102423769</v>
      </c>
      <c r="S366" s="74"/>
      <c r="T366" s="75">
        <f t="shared" si="227"/>
        <v>2.44952111024238</v>
      </c>
      <c r="U366" s="74"/>
      <c r="V366" s="74"/>
      <c r="W366" s="76">
        <f t="shared" si="224"/>
        <v>1653.81054534793</v>
      </c>
      <c r="X366" s="77">
        <f t="shared" si="228"/>
        <v>25.4971442533229</v>
      </c>
      <c r="Y366" s="77"/>
      <c r="Z366" s="77"/>
      <c r="AA366" s="77">
        <f t="shared" si="215"/>
        <v>25.4971442533229</v>
      </c>
      <c r="AB366" s="87">
        <v>7.26</v>
      </c>
      <c r="AC366" s="74">
        <f t="shared" si="214"/>
        <v>185.109267279124</v>
      </c>
      <c r="AD366" s="74">
        <f t="shared" si="212"/>
        <v>1838.91981262705</v>
      </c>
      <c r="AE366" s="74">
        <f t="shared" si="213"/>
        <v>286.51778737295</v>
      </c>
    </row>
    <row r="367" customFormat="1" spans="1:31">
      <c r="A367" s="18"/>
      <c r="B367" s="19"/>
      <c r="C367" s="20">
        <v>240710000005</v>
      </c>
      <c r="D367" s="21">
        <v>45489</v>
      </c>
      <c r="E367" s="21" t="s">
        <v>44</v>
      </c>
      <c r="F367" s="19" t="s">
        <v>45</v>
      </c>
      <c r="G367" s="19" t="s">
        <v>106</v>
      </c>
      <c r="H367" s="19">
        <v>3.5</v>
      </c>
      <c r="I367" s="47"/>
      <c r="J367" s="48">
        <v>51948</v>
      </c>
      <c r="K367" s="43"/>
      <c r="L367" s="49">
        <f t="shared" ref="L367:L372" si="232">SUM(J367/M367)</f>
        <v>1611.79025752405</v>
      </c>
      <c r="M367" s="50">
        <v>32.23</v>
      </c>
      <c r="N367" s="44">
        <v>7.26</v>
      </c>
      <c r="O367" s="45">
        <f t="shared" si="231"/>
        <v>233.9898</v>
      </c>
      <c r="P367" s="51"/>
      <c r="Q367" s="51"/>
      <c r="R367" s="74">
        <f t="shared" si="226"/>
        <v>150.123729476153</v>
      </c>
      <c r="S367" s="74"/>
      <c r="T367" s="75">
        <f t="shared" si="227"/>
        <v>0.222683737294762</v>
      </c>
      <c r="U367" s="74"/>
      <c r="V367" s="74"/>
      <c r="W367" s="76">
        <f t="shared" si="224"/>
        <v>150.346413213448</v>
      </c>
      <c r="X367" s="77">
        <f t="shared" si="228"/>
        <v>2.31792220484754</v>
      </c>
      <c r="Y367" s="77"/>
      <c r="Z367" s="77"/>
      <c r="AA367" s="77">
        <f t="shared" si="215"/>
        <v>2.31792220484754</v>
      </c>
      <c r="AB367" s="87">
        <v>7.26</v>
      </c>
      <c r="AC367" s="74">
        <f t="shared" si="214"/>
        <v>16.8281152071931</v>
      </c>
      <c r="AD367" s="74">
        <f t="shared" si="212"/>
        <v>167.174528420641</v>
      </c>
      <c r="AE367" s="74">
        <f t="shared" si="213"/>
        <v>66.815271579359</v>
      </c>
    </row>
    <row r="368" customFormat="1" spans="1:31">
      <c r="A368" s="18"/>
      <c r="B368" s="19"/>
      <c r="C368" s="20">
        <v>240710000008</v>
      </c>
      <c r="D368" s="21">
        <v>45489</v>
      </c>
      <c r="E368" s="21" t="s">
        <v>58</v>
      </c>
      <c r="F368" s="19" t="s">
        <v>59</v>
      </c>
      <c r="G368" s="19" t="s">
        <v>76</v>
      </c>
      <c r="H368" s="19">
        <v>0.78</v>
      </c>
      <c r="I368" s="45"/>
      <c r="J368" s="48">
        <v>14132.8</v>
      </c>
      <c r="K368" s="43"/>
      <c r="L368" s="49">
        <f t="shared" si="232"/>
        <v>1606</v>
      </c>
      <c r="M368" s="50">
        <v>8.8</v>
      </c>
      <c r="N368" s="44">
        <v>7.26</v>
      </c>
      <c r="O368" s="45">
        <f t="shared" si="231"/>
        <v>63.888</v>
      </c>
      <c r="P368" s="51"/>
      <c r="Q368" s="51"/>
      <c r="R368" s="74">
        <f t="shared" si="226"/>
        <v>33.4561454261142</v>
      </c>
      <c r="S368" s="74"/>
      <c r="T368" s="75">
        <f t="shared" si="227"/>
        <v>0.0496266614542611</v>
      </c>
      <c r="U368" s="74"/>
      <c r="V368" s="74"/>
      <c r="W368" s="76">
        <f t="shared" si="224"/>
        <v>33.5057720875684</v>
      </c>
      <c r="X368" s="77">
        <f t="shared" si="228"/>
        <v>0.516565519937451</v>
      </c>
      <c r="Y368" s="77"/>
      <c r="Z368" s="77"/>
      <c r="AA368" s="77">
        <f t="shared" si="215"/>
        <v>0.516565519937451</v>
      </c>
      <c r="AB368" s="87">
        <v>7.26</v>
      </c>
      <c r="AC368" s="74">
        <f t="shared" si="214"/>
        <v>3.75026567474589</v>
      </c>
      <c r="AD368" s="74">
        <f t="shared" ref="AD368:AD398" si="233">SUM(W368+AC368)</f>
        <v>37.2560377623143</v>
      </c>
      <c r="AE368" s="74">
        <f t="shared" ref="AE368:AE398" si="234">SUM(O368-AD368)</f>
        <v>26.6319622376857</v>
      </c>
    </row>
    <row r="369" customFormat="1" spans="1:31">
      <c r="A369" s="18"/>
      <c r="B369" s="19"/>
      <c r="C369" s="20">
        <v>240710000012</v>
      </c>
      <c r="D369" s="21">
        <v>45489</v>
      </c>
      <c r="E369" s="21" t="s">
        <v>58</v>
      </c>
      <c r="F369" s="19" t="s">
        <v>59</v>
      </c>
      <c r="G369" s="19" t="s">
        <v>120</v>
      </c>
      <c r="H369" s="19">
        <v>0.62</v>
      </c>
      <c r="I369" s="41">
        <v>63</v>
      </c>
      <c r="J369" s="42"/>
      <c r="K369" s="43"/>
      <c r="L369" s="19"/>
      <c r="M369" s="43"/>
      <c r="N369" s="44"/>
      <c r="O369" s="45">
        <f t="shared" ref="O369:O371" si="235">SUM(I369)</f>
        <v>63</v>
      </c>
      <c r="P369" s="51"/>
      <c r="Q369" s="51"/>
      <c r="R369" s="74">
        <f t="shared" si="226"/>
        <v>26.5933463643471</v>
      </c>
      <c r="S369" s="74"/>
      <c r="T369" s="75">
        <f t="shared" si="227"/>
        <v>0.0394468334636435</v>
      </c>
      <c r="U369" s="74"/>
      <c r="V369" s="74"/>
      <c r="W369" s="76">
        <f t="shared" si="224"/>
        <v>26.6327931978108</v>
      </c>
      <c r="X369" s="77">
        <f t="shared" si="228"/>
        <v>0.410603362001564</v>
      </c>
      <c r="Y369" s="77"/>
      <c r="Z369" s="77"/>
      <c r="AA369" s="77">
        <f t="shared" si="215"/>
        <v>0.410603362001564</v>
      </c>
      <c r="AB369" s="87">
        <v>7.26</v>
      </c>
      <c r="AC369" s="74">
        <f t="shared" ref="AC369:AC398" si="236">SUM(AA369*AB369)</f>
        <v>2.98098040813135</v>
      </c>
      <c r="AD369" s="74">
        <f t="shared" si="233"/>
        <v>29.6137736059422</v>
      </c>
      <c r="AE369" s="74">
        <f t="shared" si="234"/>
        <v>33.3862263940578</v>
      </c>
    </row>
    <row r="370" customFormat="1" spans="1:31">
      <c r="A370" s="18"/>
      <c r="B370" s="19"/>
      <c r="C370" s="20">
        <v>240710000019</v>
      </c>
      <c r="D370" s="21">
        <v>45489</v>
      </c>
      <c r="E370" s="21" t="s">
        <v>44</v>
      </c>
      <c r="F370" s="19" t="s">
        <v>45</v>
      </c>
      <c r="G370" s="19" t="s">
        <v>332</v>
      </c>
      <c r="H370" s="19">
        <v>0.96</v>
      </c>
      <c r="I370" s="41">
        <v>63</v>
      </c>
      <c r="J370" s="42"/>
      <c r="K370" s="43"/>
      <c r="L370" s="19"/>
      <c r="M370" s="43"/>
      <c r="N370" s="44"/>
      <c r="O370" s="45">
        <f t="shared" si="235"/>
        <v>63</v>
      </c>
      <c r="P370" s="51"/>
      <c r="Q370" s="51"/>
      <c r="R370" s="74">
        <f t="shared" si="226"/>
        <v>41.176794370602</v>
      </c>
      <c r="S370" s="74"/>
      <c r="T370" s="75">
        <f t="shared" si="227"/>
        <v>0.061078967943706</v>
      </c>
      <c r="U370" s="74"/>
      <c r="V370" s="74"/>
      <c r="W370" s="76">
        <f t="shared" si="224"/>
        <v>41.2378733385457</v>
      </c>
      <c r="X370" s="77">
        <f t="shared" si="228"/>
        <v>0.635772947615324</v>
      </c>
      <c r="Y370" s="77"/>
      <c r="Z370" s="77"/>
      <c r="AA370" s="77">
        <f t="shared" ref="AA370:AA414" si="237">SUM(X370:Z370)</f>
        <v>0.635772947615324</v>
      </c>
      <c r="AB370" s="87">
        <v>7.26</v>
      </c>
      <c r="AC370" s="74">
        <f t="shared" si="236"/>
        <v>4.61571159968726</v>
      </c>
      <c r="AD370" s="74">
        <f t="shared" si="233"/>
        <v>45.853584938233</v>
      </c>
      <c r="AE370" s="74">
        <f t="shared" si="234"/>
        <v>17.146415061767</v>
      </c>
    </row>
    <row r="371" customFormat="1" spans="1:31">
      <c r="A371" s="18"/>
      <c r="B371" s="19"/>
      <c r="C371" s="20">
        <v>240710000020</v>
      </c>
      <c r="D371" s="21">
        <v>45489</v>
      </c>
      <c r="E371" s="21" t="s">
        <v>40</v>
      </c>
      <c r="F371" s="19" t="s">
        <v>41</v>
      </c>
      <c r="G371" s="19" t="s">
        <v>88</v>
      </c>
      <c r="H371" s="19">
        <v>30</v>
      </c>
      <c r="I371" s="41">
        <v>1658</v>
      </c>
      <c r="J371" s="42"/>
      <c r="K371" s="43"/>
      <c r="L371" s="19"/>
      <c r="M371" s="43"/>
      <c r="N371" s="44"/>
      <c r="O371" s="45">
        <f t="shared" si="235"/>
        <v>1658</v>
      </c>
      <c r="P371" s="51"/>
      <c r="Q371" s="51"/>
      <c r="R371" s="74">
        <f t="shared" si="226"/>
        <v>1286.77482408131</v>
      </c>
      <c r="S371" s="74"/>
      <c r="T371" s="75">
        <f t="shared" si="227"/>
        <v>1.90871774824081</v>
      </c>
      <c r="U371" s="74"/>
      <c r="V371" s="74"/>
      <c r="W371" s="76">
        <f t="shared" si="224"/>
        <v>1288.68354182955</v>
      </c>
      <c r="X371" s="77">
        <f t="shared" si="228"/>
        <v>19.8679046129789</v>
      </c>
      <c r="Y371" s="77"/>
      <c r="Z371" s="77"/>
      <c r="AA371" s="77">
        <f t="shared" si="237"/>
        <v>19.8679046129789</v>
      </c>
      <c r="AB371" s="87">
        <v>7.26</v>
      </c>
      <c r="AC371" s="74">
        <f t="shared" si="236"/>
        <v>144.240987490227</v>
      </c>
      <c r="AD371" s="74">
        <f t="shared" si="233"/>
        <v>1432.92452931978</v>
      </c>
      <c r="AE371" s="74">
        <f t="shared" si="234"/>
        <v>225.07547068022</v>
      </c>
    </row>
    <row r="372" customFormat="1" spans="1:31">
      <c r="A372" s="18"/>
      <c r="B372" s="19"/>
      <c r="C372" s="20">
        <v>240710000021</v>
      </c>
      <c r="D372" s="21">
        <v>45489</v>
      </c>
      <c r="E372" s="21" t="s">
        <v>58</v>
      </c>
      <c r="F372" s="19" t="s">
        <v>59</v>
      </c>
      <c r="G372" s="19" t="s">
        <v>333</v>
      </c>
      <c r="H372" s="19">
        <v>6.5</v>
      </c>
      <c r="I372" s="45"/>
      <c r="J372" s="48">
        <v>83512</v>
      </c>
      <c r="K372" s="43"/>
      <c r="L372" s="49">
        <f t="shared" si="232"/>
        <v>1606</v>
      </c>
      <c r="M372" s="50">
        <v>52</v>
      </c>
      <c r="N372" s="44">
        <v>7.26</v>
      </c>
      <c r="O372" s="45">
        <f t="shared" ref="O372:O376" si="238">SUM(M372*N372)</f>
        <v>377.52</v>
      </c>
      <c r="P372" s="51"/>
      <c r="Q372" s="51"/>
      <c r="R372" s="74">
        <f t="shared" si="226"/>
        <v>278.801211884285</v>
      </c>
      <c r="S372" s="74"/>
      <c r="T372" s="75">
        <f t="shared" si="227"/>
        <v>0.413555512118843</v>
      </c>
      <c r="U372" s="74"/>
      <c r="V372" s="74"/>
      <c r="W372" s="76">
        <f t="shared" si="224"/>
        <v>279.214767396403</v>
      </c>
      <c r="X372" s="77">
        <f t="shared" si="228"/>
        <v>4.30471266614543</v>
      </c>
      <c r="Y372" s="77"/>
      <c r="Z372" s="77"/>
      <c r="AA372" s="77">
        <f t="shared" si="237"/>
        <v>4.30471266614543</v>
      </c>
      <c r="AB372" s="87">
        <v>7.26</v>
      </c>
      <c r="AC372" s="74">
        <f t="shared" si="236"/>
        <v>31.2522139562158</v>
      </c>
      <c r="AD372" s="74">
        <f t="shared" si="233"/>
        <v>310.466981352619</v>
      </c>
      <c r="AE372" s="74">
        <f t="shared" si="234"/>
        <v>67.053018647381</v>
      </c>
    </row>
    <row r="373" customFormat="1" spans="1:31">
      <c r="A373" s="18"/>
      <c r="B373" s="19"/>
      <c r="C373" s="20">
        <v>240710000024</v>
      </c>
      <c r="D373" s="21">
        <v>45489</v>
      </c>
      <c r="E373" s="21" t="s">
        <v>44</v>
      </c>
      <c r="F373" s="19" t="s">
        <v>45</v>
      </c>
      <c r="G373" s="19" t="s">
        <v>92</v>
      </c>
      <c r="H373" s="19">
        <v>2.5</v>
      </c>
      <c r="I373" s="41">
        <v>137.5</v>
      </c>
      <c r="J373" s="42"/>
      <c r="K373" s="43"/>
      <c r="L373" s="19"/>
      <c r="M373" s="43"/>
      <c r="N373" s="44"/>
      <c r="O373" s="45">
        <f t="shared" ref="O373:O380" si="239">SUM(I373)</f>
        <v>137.5</v>
      </c>
      <c r="P373" s="51"/>
      <c r="Q373" s="51"/>
      <c r="R373" s="74">
        <f t="shared" si="226"/>
        <v>107.231235340109</v>
      </c>
      <c r="S373" s="74"/>
      <c r="T373" s="75">
        <f t="shared" si="227"/>
        <v>0.159059812353401</v>
      </c>
      <c r="U373" s="74"/>
      <c r="V373" s="74"/>
      <c r="W373" s="76">
        <f t="shared" si="224"/>
        <v>107.390295152463</v>
      </c>
      <c r="X373" s="77">
        <f t="shared" si="228"/>
        <v>1.65565871774824</v>
      </c>
      <c r="Y373" s="77"/>
      <c r="Z373" s="77"/>
      <c r="AA373" s="77">
        <f t="shared" si="237"/>
        <v>1.65565871774824</v>
      </c>
      <c r="AB373" s="87">
        <v>7.26</v>
      </c>
      <c r="AC373" s="74">
        <f t="shared" si="236"/>
        <v>12.0200822908522</v>
      </c>
      <c r="AD373" s="74">
        <f t="shared" si="233"/>
        <v>119.410377443315</v>
      </c>
      <c r="AE373" s="74">
        <f t="shared" si="234"/>
        <v>18.089622556685</v>
      </c>
    </row>
    <row r="374" customFormat="1" spans="1:31">
      <c r="A374" s="18"/>
      <c r="B374" s="19"/>
      <c r="C374" s="20">
        <v>240710000025</v>
      </c>
      <c r="D374" s="21">
        <v>45489</v>
      </c>
      <c r="E374" s="21" t="s">
        <v>44</v>
      </c>
      <c r="F374" s="19" t="s">
        <v>45</v>
      </c>
      <c r="G374" s="19" t="s">
        <v>325</v>
      </c>
      <c r="H374" s="19">
        <v>0.37</v>
      </c>
      <c r="I374" s="41">
        <v>78</v>
      </c>
      <c r="J374" s="42"/>
      <c r="K374" s="43"/>
      <c r="L374" s="19"/>
      <c r="M374" s="43"/>
      <c r="N374" s="44"/>
      <c r="O374" s="45">
        <f t="shared" si="239"/>
        <v>78</v>
      </c>
      <c r="P374" s="51"/>
      <c r="Q374" s="51"/>
      <c r="R374" s="74">
        <f t="shared" si="226"/>
        <v>15.8702228303362</v>
      </c>
      <c r="S374" s="74"/>
      <c r="T374" s="75">
        <f t="shared" si="227"/>
        <v>0.0235408522283034</v>
      </c>
      <c r="U374" s="74"/>
      <c r="V374" s="74"/>
      <c r="W374" s="76">
        <f t="shared" si="224"/>
        <v>15.8937636825645</v>
      </c>
      <c r="X374" s="77">
        <f t="shared" si="228"/>
        <v>0.24503749022674</v>
      </c>
      <c r="Y374" s="77">
        <v>2.75</v>
      </c>
      <c r="Z374" s="77"/>
      <c r="AA374" s="77">
        <f t="shared" si="237"/>
        <v>2.99503749022674</v>
      </c>
      <c r="AB374" s="87">
        <v>7.26</v>
      </c>
      <c r="AC374" s="74">
        <f t="shared" si="236"/>
        <v>21.7439721790461</v>
      </c>
      <c r="AD374" s="74">
        <f t="shared" si="233"/>
        <v>37.6377358616106</v>
      </c>
      <c r="AE374" s="74">
        <f t="shared" si="234"/>
        <v>40.3622641383894</v>
      </c>
    </row>
    <row r="375" customFormat="1" spans="1:31">
      <c r="A375" s="18"/>
      <c r="B375" s="19"/>
      <c r="C375" s="20">
        <v>240710000035</v>
      </c>
      <c r="D375" s="21">
        <v>45489</v>
      </c>
      <c r="E375" s="21" t="s">
        <v>47</v>
      </c>
      <c r="F375" s="19">
        <v>13635229849</v>
      </c>
      <c r="G375" s="19" t="s">
        <v>108</v>
      </c>
      <c r="H375" s="19">
        <v>6.5</v>
      </c>
      <c r="I375" s="47"/>
      <c r="J375" s="48">
        <v>93148</v>
      </c>
      <c r="K375" s="43"/>
      <c r="L375" s="49">
        <f>SUM(J375/M375)</f>
        <v>1606</v>
      </c>
      <c r="M375" s="50">
        <v>58</v>
      </c>
      <c r="N375" s="44">
        <v>7.26</v>
      </c>
      <c r="O375" s="45">
        <f t="shared" si="238"/>
        <v>421.08</v>
      </c>
      <c r="P375" s="51"/>
      <c r="Q375" s="51"/>
      <c r="R375" s="74">
        <f t="shared" si="226"/>
        <v>278.801211884285</v>
      </c>
      <c r="S375" s="74"/>
      <c r="T375" s="75">
        <f t="shared" si="227"/>
        <v>0.413555512118843</v>
      </c>
      <c r="U375" s="74"/>
      <c r="V375" s="74"/>
      <c r="W375" s="76">
        <f t="shared" si="224"/>
        <v>279.214767396403</v>
      </c>
      <c r="X375" s="77">
        <f t="shared" si="228"/>
        <v>4.30471266614543</v>
      </c>
      <c r="Y375" s="77"/>
      <c r="Z375" s="77"/>
      <c r="AA375" s="77">
        <f t="shared" si="237"/>
        <v>4.30471266614543</v>
      </c>
      <c r="AB375" s="87">
        <v>7.26</v>
      </c>
      <c r="AC375" s="74">
        <f t="shared" si="236"/>
        <v>31.2522139562158</v>
      </c>
      <c r="AD375" s="74">
        <f t="shared" si="233"/>
        <v>310.466981352619</v>
      </c>
      <c r="AE375" s="74">
        <f t="shared" si="234"/>
        <v>110.613018647381</v>
      </c>
    </row>
    <row r="376" customFormat="1" spans="1:31">
      <c r="A376" s="18"/>
      <c r="B376" s="19"/>
      <c r="C376" s="20">
        <v>240711000004</v>
      </c>
      <c r="D376" s="21">
        <v>45489</v>
      </c>
      <c r="E376" s="21" t="s">
        <v>40</v>
      </c>
      <c r="F376" s="19" t="s">
        <v>41</v>
      </c>
      <c r="G376" s="19" t="s">
        <v>242</v>
      </c>
      <c r="H376" s="19">
        <v>62</v>
      </c>
      <c r="I376" s="47"/>
      <c r="J376" s="48">
        <v>864900</v>
      </c>
      <c r="K376" s="43"/>
      <c r="L376" s="49">
        <f>SUM(J376/M376)</f>
        <v>1633.5203127656</v>
      </c>
      <c r="M376" s="50">
        <v>529.47</v>
      </c>
      <c r="N376" s="44">
        <v>7.26</v>
      </c>
      <c r="O376" s="45">
        <f t="shared" si="238"/>
        <v>3843.9522</v>
      </c>
      <c r="P376" s="51"/>
      <c r="Q376" s="51"/>
      <c r="R376" s="74">
        <f t="shared" si="226"/>
        <v>2659.33463643471</v>
      </c>
      <c r="S376" s="74"/>
      <c r="T376" s="75">
        <f t="shared" si="227"/>
        <v>3.94468334636435</v>
      </c>
      <c r="U376" s="74"/>
      <c r="V376" s="74"/>
      <c r="W376" s="76">
        <f t="shared" si="224"/>
        <v>2663.27931978108</v>
      </c>
      <c r="X376" s="77">
        <f t="shared" si="228"/>
        <v>41.0603362001564</v>
      </c>
      <c r="Y376" s="77"/>
      <c r="Z376" s="77"/>
      <c r="AA376" s="77">
        <f t="shared" si="237"/>
        <v>41.0603362001564</v>
      </c>
      <c r="AB376" s="87">
        <v>7.26</v>
      </c>
      <c r="AC376" s="74">
        <f t="shared" si="236"/>
        <v>298.098040813135</v>
      </c>
      <c r="AD376" s="74">
        <f t="shared" si="233"/>
        <v>2961.37736059421</v>
      </c>
      <c r="AE376" s="74">
        <f t="shared" si="234"/>
        <v>882.57483940579</v>
      </c>
    </row>
    <row r="377" customFormat="1" spans="1:31">
      <c r="A377" s="18"/>
      <c r="B377" s="19"/>
      <c r="C377" s="20">
        <v>240711000006</v>
      </c>
      <c r="D377" s="21">
        <v>45489</v>
      </c>
      <c r="E377" s="21" t="s">
        <v>40</v>
      </c>
      <c r="F377" s="19" t="s">
        <v>41</v>
      </c>
      <c r="G377" s="19" t="s">
        <v>277</v>
      </c>
      <c r="H377" s="19">
        <v>4.5</v>
      </c>
      <c r="I377" s="41">
        <v>259.5</v>
      </c>
      <c r="J377" s="42"/>
      <c r="K377" s="43"/>
      <c r="L377" s="19"/>
      <c r="M377" s="43"/>
      <c r="N377" s="44"/>
      <c r="O377" s="45">
        <f t="shared" si="239"/>
        <v>259.5</v>
      </c>
      <c r="P377" s="51"/>
      <c r="Q377" s="51"/>
      <c r="R377" s="74">
        <f t="shared" si="226"/>
        <v>193.016223612197</v>
      </c>
      <c r="S377" s="74"/>
      <c r="T377" s="75">
        <f t="shared" si="227"/>
        <v>0.286307662236122</v>
      </c>
      <c r="U377" s="74">
        <v>30</v>
      </c>
      <c r="V377" s="74"/>
      <c r="W377" s="76">
        <f t="shared" si="224"/>
        <v>223.302531274433</v>
      </c>
      <c r="X377" s="77">
        <f t="shared" si="228"/>
        <v>2.98018569194683</v>
      </c>
      <c r="Y377" s="77"/>
      <c r="Z377" s="77"/>
      <c r="AA377" s="77">
        <f t="shared" si="237"/>
        <v>2.98018569194683</v>
      </c>
      <c r="AB377" s="87">
        <v>7.26</v>
      </c>
      <c r="AC377" s="74">
        <f t="shared" si="236"/>
        <v>21.636148123534</v>
      </c>
      <c r="AD377" s="74">
        <f t="shared" si="233"/>
        <v>244.938679397967</v>
      </c>
      <c r="AE377" s="74">
        <f t="shared" si="234"/>
        <v>14.561320602033</v>
      </c>
    </row>
    <row r="378" customFormat="1" spans="1:31">
      <c r="A378" s="18"/>
      <c r="B378" s="19"/>
      <c r="C378" s="22">
        <v>240711000007</v>
      </c>
      <c r="D378" s="23">
        <v>45489</v>
      </c>
      <c r="E378" s="21" t="s">
        <v>58</v>
      </c>
      <c r="F378" s="24" t="s">
        <v>59</v>
      </c>
      <c r="G378" s="24" t="s">
        <v>334</v>
      </c>
      <c r="H378" s="24">
        <v>3.5</v>
      </c>
      <c r="I378" s="41">
        <v>199.5</v>
      </c>
      <c r="J378" s="42"/>
      <c r="K378" s="43"/>
      <c r="L378" s="19"/>
      <c r="M378" s="43"/>
      <c r="N378" s="44"/>
      <c r="O378" s="45">
        <f t="shared" si="239"/>
        <v>199.5</v>
      </c>
      <c r="P378" s="51"/>
      <c r="Q378" s="51"/>
      <c r="R378" s="74">
        <f t="shared" si="226"/>
        <v>150.123729476153</v>
      </c>
      <c r="S378" s="74"/>
      <c r="T378" s="75">
        <f t="shared" si="227"/>
        <v>0.222683737294762</v>
      </c>
      <c r="U378" s="74"/>
      <c r="V378" s="74"/>
      <c r="W378" s="76">
        <f t="shared" si="224"/>
        <v>150.346413213448</v>
      </c>
      <c r="X378" s="77">
        <f t="shared" si="228"/>
        <v>2.31792220484754</v>
      </c>
      <c r="Y378" s="77"/>
      <c r="Z378" s="77"/>
      <c r="AA378" s="77">
        <f t="shared" si="237"/>
        <v>2.31792220484754</v>
      </c>
      <c r="AB378" s="87">
        <v>7.26</v>
      </c>
      <c r="AC378" s="74">
        <f t="shared" si="236"/>
        <v>16.8281152071931</v>
      </c>
      <c r="AD378" s="74">
        <f t="shared" si="233"/>
        <v>167.174528420641</v>
      </c>
      <c r="AE378" s="74">
        <f t="shared" si="234"/>
        <v>32.325471579359</v>
      </c>
    </row>
    <row r="379" customFormat="1" spans="1:31">
      <c r="A379" s="18"/>
      <c r="B379" s="19"/>
      <c r="C379" s="20">
        <v>240711000011</v>
      </c>
      <c r="D379" s="21">
        <v>45489</v>
      </c>
      <c r="E379" s="21" t="s">
        <v>47</v>
      </c>
      <c r="F379" s="19" t="s">
        <v>48</v>
      </c>
      <c r="G379" s="19" t="s">
        <v>335</v>
      </c>
      <c r="H379" s="19">
        <v>7</v>
      </c>
      <c r="I379" s="41">
        <v>499</v>
      </c>
      <c r="J379" s="42"/>
      <c r="K379" s="43"/>
      <c r="L379" s="19"/>
      <c r="M379" s="43"/>
      <c r="N379" s="44"/>
      <c r="O379" s="45">
        <f t="shared" si="239"/>
        <v>499</v>
      </c>
      <c r="P379" s="51"/>
      <c r="Q379" s="51"/>
      <c r="R379" s="74">
        <f t="shared" si="226"/>
        <v>300.247458952306</v>
      </c>
      <c r="S379" s="74"/>
      <c r="T379" s="75">
        <f t="shared" si="227"/>
        <v>0.445367474589523</v>
      </c>
      <c r="U379" s="74"/>
      <c r="V379" s="74"/>
      <c r="W379" s="76">
        <f t="shared" si="224"/>
        <v>300.692826426896</v>
      </c>
      <c r="X379" s="77">
        <f t="shared" si="228"/>
        <v>4.63584440969507</v>
      </c>
      <c r="Y379" s="77">
        <v>13.77</v>
      </c>
      <c r="Z379" s="77"/>
      <c r="AA379" s="77">
        <f t="shared" si="237"/>
        <v>18.4058444096951</v>
      </c>
      <c r="AB379" s="87">
        <v>7.26</v>
      </c>
      <c r="AC379" s="74">
        <f t="shared" si="236"/>
        <v>133.626430414386</v>
      </c>
      <c r="AD379" s="74">
        <f t="shared" si="233"/>
        <v>434.319256841282</v>
      </c>
      <c r="AE379" s="74">
        <f t="shared" si="234"/>
        <v>64.680743158718</v>
      </c>
    </row>
    <row r="380" customFormat="1" spans="1:31">
      <c r="A380" s="18"/>
      <c r="B380" s="19"/>
      <c r="C380" s="20">
        <v>240711000012</v>
      </c>
      <c r="D380" s="21">
        <v>45489</v>
      </c>
      <c r="E380" s="21" t="s">
        <v>44</v>
      </c>
      <c r="F380" s="19" t="s">
        <v>45</v>
      </c>
      <c r="G380" s="19" t="s">
        <v>92</v>
      </c>
      <c r="H380" s="19">
        <v>0.92</v>
      </c>
      <c r="I380" s="41">
        <v>55</v>
      </c>
      <c r="J380" s="42"/>
      <c r="K380" s="43"/>
      <c r="L380" s="19"/>
      <c r="M380" s="43"/>
      <c r="N380" s="44"/>
      <c r="O380" s="45">
        <f t="shared" si="239"/>
        <v>55</v>
      </c>
      <c r="P380" s="51"/>
      <c r="Q380" s="51"/>
      <c r="R380" s="74">
        <f t="shared" si="226"/>
        <v>39.4610946051603</v>
      </c>
      <c r="S380" s="74"/>
      <c r="T380" s="75">
        <f t="shared" si="227"/>
        <v>0.0585340109460516</v>
      </c>
      <c r="U380" s="74"/>
      <c r="V380" s="74"/>
      <c r="W380" s="76">
        <f t="shared" si="224"/>
        <v>39.5196286161063</v>
      </c>
      <c r="X380" s="77">
        <f t="shared" si="228"/>
        <v>0.609282408131353</v>
      </c>
      <c r="Y380" s="77"/>
      <c r="Z380" s="77"/>
      <c r="AA380" s="77">
        <f t="shared" si="237"/>
        <v>0.609282408131353</v>
      </c>
      <c r="AB380" s="87">
        <v>7.26</v>
      </c>
      <c r="AC380" s="74">
        <f t="shared" si="236"/>
        <v>4.42339028303362</v>
      </c>
      <c r="AD380" s="74">
        <f t="shared" si="233"/>
        <v>43.94301889914</v>
      </c>
      <c r="AE380" s="74">
        <f t="shared" si="234"/>
        <v>11.05698110086</v>
      </c>
    </row>
    <row r="381" customFormat="1" spans="1:31">
      <c r="A381" s="18"/>
      <c r="B381" s="19"/>
      <c r="C381" s="20">
        <v>240711000014</v>
      </c>
      <c r="D381" s="21">
        <v>45489</v>
      </c>
      <c r="E381" s="21" t="s">
        <v>47</v>
      </c>
      <c r="F381" s="19" t="s">
        <v>48</v>
      </c>
      <c r="G381" s="19" t="s">
        <v>208</v>
      </c>
      <c r="H381" s="19">
        <v>618</v>
      </c>
      <c r="I381" s="45"/>
      <c r="J381" s="48">
        <v>8149783.2</v>
      </c>
      <c r="K381" s="43"/>
      <c r="L381" s="49">
        <f t="shared" ref="L381:L386" si="240">SUM(J381/M381)</f>
        <v>1639.99986799159</v>
      </c>
      <c r="M381" s="50">
        <v>4969.3804</v>
      </c>
      <c r="N381" s="44">
        <v>7.26</v>
      </c>
      <c r="O381" s="45">
        <f t="shared" ref="O381:O386" si="241">SUM(M381*N381)</f>
        <v>36077.701704</v>
      </c>
      <c r="P381" s="51"/>
      <c r="Q381" s="51"/>
      <c r="R381" s="74">
        <f t="shared" si="226"/>
        <v>26507.5613760751</v>
      </c>
      <c r="S381" s="74"/>
      <c r="T381" s="75">
        <f t="shared" si="227"/>
        <v>39.3195856137608</v>
      </c>
      <c r="U381" s="75">
        <v>330</v>
      </c>
      <c r="V381" s="74"/>
      <c r="W381" s="76">
        <f t="shared" si="224"/>
        <v>26876.8809616888</v>
      </c>
      <c r="X381" s="77">
        <f t="shared" si="228"/>
        <v>409.278835027365</v>
      </c>
      <c r="Y381" s="77"/>
      <c r="Z381" s="77"/>
      <c r="AA381" s="77">
        <f t="shared" si="237"/>
        <v>409.278835027365</v>
      </c>
      <c r="AB381" s="87">
        <v>7.26</v>
      </c>
      <c r="AC381" s="74">
        <f t="shared" si="236"/>
        <v>2971.36434229867</v>
      </c>
      <c r="AD381" s="74">
        <f t="shared" si="233"/>
        <v>29848.2453039875</v>
      </c>
      <c r="AE381" s="74">
        <f t="shared" si="234"/>
        <v>6229.4564000125</v>
      </c>
    </row>
    <row r="382" customFormat="1" spans="1:31">
      <c r="A382" s="18"/>
      <c r="B382" s="19"/>
      <c r="C382" s="20">
        <v>240711000015</v>
      </c>
      <c r="D382" s="21">
        <v>45489</v>
      </c>
      <c r="E382" s="21" t="s">
        <v>58</v>
      </c>
      <c r="F382" s="19" t="s">
        <v>59</v>
      </c>
      <c r="G382" s="19" t="s">
        <v>263</v>
      </c>
      <c r="H382" s="19">
        <v>20</v>
      </c>
      <c r="I382" s="41">
        <v>1146</v>
      </c>
      <c r="J382" s="42"/>
      <c r="K382" s="43"/>
      <c r="L382" s="19"/>
      <c r="M382" s="43"/>
      <c r="N382" s="44"/>
      <c r="O382" s="45">
        <f t="shared" ref="O382:O385" si="242">SUM(I382)</f>
        <v>1146</v>
      </c>
      <c r="P382" s="51"/>
      <c r="Q382" s="51"/>
      <c r="R382" s="74">
        <f t="shared" si="226"/>
        <v>857.849882720876</v>
      </c>
      <c r="S382" s="74"/>
      <c r="T382" s="75">
        <f t="shared" si="227"/>
        <v>1.27247849882721</v>
      </c>
      <c r="U382" s="74"/>
      <c r="V382" s="74"/>
      <c r="W382" s="76">
        <f t="shared" si="224"/>
        <v>859.122361219703</v>
      </c>
      <c r="X382" s="77">
        <f t="shared" si="228"/>
        <v>13.2452697419859</v>
      </c>
      <c r="Y382" s="77"/>
      <c r="Z382" s="77"/>
      <c r="AA382" s="77">
        <f t="shared" si="237"/>
        <v>13.2452697419859</v>
      </c>
      <c r="AB382" s="87">
        <v>7.26</v>
      </c>
      <c r="AC382" s="74">
        <f t="shared" si="236"/>
        <v>96.1606583268178</v>
      </c>
      <c r="AD382" s="74">
        <f t="shared" si="233"/>
        <v>955.283019546521</v>
      </c>
      <c r="AE382" s="74">
        <f t="shared" si="234"/>
        <v>190.716980453479</v>
      </c>
    </row>
    <row r="383" customFormat="1" spans="1:31">
      <c r="A383" s="18"/>
      <c r="B383" s="19"/>
      <c r="C383" s="20">
        <v>240711000016</v>
      </c>
      <c r="D383" s="21">
        <v>45489</v>
      </c>
      <c r="E383" s="21" t="s">
        <v>40</v>
      </c>
      <c r="F383" s="19" t="s">
        <v>41</v>
      </c>
      <c r="G383" s="19" t="s">
        <v>89</v>
      </c>
      <c r="H383" s="19">
        <v>4</v>
      </c>
      <c r="I383" s="47"/>
      <c r="J383" s="48">
        <v>56700</v>
      </c>
      <c r="K383" s="43"/>
      <c r="L383" s="49">
        <f t="shared" si="240"/>
        <v>1633.53500432152</v>
      </c>
      <c r="M383" s="50">
        <v>34.71</v>
      </c>
      <c r="N383" s="44">
        <v>7.26</v>
      </c>
      <c r="O383" s="45">
        <f t="shared" si="241"/>
        <v>251.9946</v>
      </c>
      <c r="P383" s="51"/>
      <c r="Q383" s="51"/>
      <c r="R383" s="74">
        <f t="shared" si="226"/>
        <v>171.569976544175</v>
      </c>
      <c r="S383" s="74"/>
      <c r="T383" s="75">
        <f t="shared" si="227"/>
        <v>0.254495699765442</v>
      </c>
      <c r="U383" s="74"/>
      <c r="V383" s="74"/>
      <c r="W383" s="76">
        <f t="shared" si="224"/>
        <v>171.824472243941</v>
      </c>
      <c r="X383" s="77">
        <f t="shared" si="228"/>
        <v>2.64905394839718</v>
      </c>
      <c r="Y383" s="77"/>
      <c r="Z383" s="77"/>
      <c r="AA383" s="77">
        <f t="shared" si="237"/>
        <v>2.64905394839718</v>
      </c>
      <c r="AB383" s="87">
        <v>7.26</v>
      </c>
      <c r="AC383" s="74">
        <f t="shared" si="236"/>
        <v>19.2321316653636</v>
      </c>
      <c r="AD383" s="74">
        <f t="shared" si="233"/>
        <v>191.056603909304</v>
      </c>
      <c r="AE383" s="74">
        <f t="shared" si="234"/>
        <v>60.937996090696</v>
      </c>
    </row>
    <row r="384" customFormat="1" spans="1:31">
      <c r="A384" s="18"/>
      <c r="B384" s="19"/>
      <c r="C384" s="20">
        <v>240711000018</v>
      </c>
      <c r="D384" s="21">
        <v>45489</v>
      </c>
      <c r="E384" s="21" t="s">
        <v>47</v>
      </c>
      <c r="F384" s="19" t="s">
        <v>48</v>
      </c>
      <c r="G384" s="19" t="s">
        <v>280</v>
      </c>
      <c r="H384" s="19">
        <v>6</v>
      </c>
      <c r="I384" s="41">
        <v>348</v>
      </c>
      <c r="J384" s="42"/>
      <c r="K384" s="43"/>
      <c r="L384" s="19"/>
      <c r="M384" s="43"/>
      <c r="N384" s="44"/>
      <c r="O384" s="45">
        <f t="shared" si="242"/>
        <v>348</v>
      </c>
      <c r="P384" s="51"/>
      <c r="Q384" s="51"/>
      <c r="R384" s="74">
        <f t="shared" si="226"/>
        <v>257.354964816263</v>
      </c>
      <c r="S384" s="74"/>
      <c r="T384" s="75">
        <f t="shared" si="227"/>
        <v>0.381743549648163</v>
      </c>
      <c r="U384" s="74"/>
      <c r="V384" s="74"/>
      <c r="W384" s="76">
        <f t="shared" si="224"/>
        <v>257.736708365911</v>
      </c>
      <c r="X384" s="77">
        <f t="shared" si="228"/>
        <v>3.97358092259578</v>
      </c>
      <c r="Y384" s="77"/>
      <c r="Z384" s="77"/>
      <c r="AA384" s="77">
        <f t="shared" si="237"/>
        <v>3.97358092259578</v>
      </c>
      <c r="AB384" s="87">
        <v>7.26</v>
      </c>
      <c r="AC384" s="74">
        <f t="shared" si="236"/>
        <v>28.8481974980453</v>
      </c>
      <c r="AD384" s="74">
        <f t="shared" si="233"/>
        <v>286.584905863956</v>
      </c>
      <c r="AE384" s="74">
        <f t="shared" si="234"/>
        <v>61.415094136044</v>
      </c>
    </row>
    <row r="385" customFormat="1" spans="1:31">
      <c r="A385" s="18"/>
      <c r="B385" s="19"/>
      <c r="C385" s="20">
        <v>240711000019</v>
      </c>
      <c r="D385" s="21">
        <v>45489</v>
      </c>
      <c r="E385" s="21" t="s">
        <v>44</v>
      </c>
      <c r="F385" s="19" t="s">
        <v>45</v>
      </c>
      <c r="G385" s="19" t="s">
        <v>92</v>
      </c>
      <c r="H385" s="19">
        <v>5</v>
      </c>
      <c r="I385" s="41">
        <v>275</v>
      </c>
      <c r="J385" s="42"/>
      <c r="K385" s="43"/>
      <c r="L385" s="19"/>
      <c r="M385" s="43"/>
      <c r="N385" s="44"/>
      <c r="O385" s="45">
        <f t="shared" si="242"/>
        <v>275</v>
      </c>
      <c r="P385" s="51"/>
      <c r="Q385" s="51"/>
      <c r="R385" s="74">
        <f t="shared" si="226"/>
        <v>214.462470680219</v>
      </c>
      <c r="S385" s="74"/>
      <c r="T385" s="75">
        <f t="shared" si="227"/>
        <v>0.318119624706802</v>
      </c>
      <c r="U385" s="74"/>
      <c r="V385" s="74"/>
      <c r="W385" s="76">
        <f t="shared" si="224"/>
        <v>214.780590304926</v>
      </c>
      <c r="X385" s="77">
        <f t="shared" si="228"/>
        <v>3.31131743549648</v>
      </c>
      <c r="Y385" s="77"/>
      <c r="Z385" s="77"/>
      <c r="AA385" s="77">
        <f t="shared" si="237"/>
        <v>3.31131743549648</v>
      </c>
      <c r="AB385" s="87">
        <v>7.26</v>
      </c>
      <c r="AC385" s="74">
        <f t="shared" si="236"/>
        <v>24.0401645817045</v>
      </c>
      <c r="AD385" s="74">
        <f t="shared" si="233"/>
        <v>238.82075488663</v>
      </c>
      <c r="AE385" s="74">
        <f t="shared" si="234"/>
        <v>36.17924511337</v>
      </c>
    </row>
    <row r="386" customFormat="1" spans="1:31">
      <c r="A386" s="18"/>
      <c r="B386" s="19"/>
      <c r="C386" s="20">
        <v>240711000021</v>
      </c>
      <c r="D386" s="21">
        <v>45489</v>
      </c>
      <c r="E386" s="21" t="s">
        <v>40</v>
      </c>
      <c r="F386" s="19" t="s">
        <v>41</v>
      </c>
      <c r="G386" s="19" t="s">
        <v>87</v>
      </c>
      <c r="H386" s="19">
        <v>37.5</v>
      </c>
      <c r="I386" s="47"/>
      <c r="J386" s="48">
        <v>510750</v>
      </c>
      <c r="K386" s="43"/>
      <c r="L386" s="49">
        <f t="shared" si="240"/>
        <v>1648.0591139363</v>
      </c>
      <c r="M386" s="50">
        <v>309.91</v>
      </c>
      <c r="N386" s="44">
        <v>7.26</v>
      </c>
      <c r="O386" s="45">
        <f t="shared" si="241"/>
        <v>2249.9466</v>
      </c>
      <c r="P386" s="51"/>
      <c r="Q386" s="51"/>
      <c r="R386" s="74">
        <f t="shared" si="226"/>
        <v>1608.46853010164</v>
      </c>
      <c r="S386" s="74"/>
      <c r="T386" s="75">
        <f t="shared" si="227"/>
        <v>2.38589718530102</v>
      </c>
      <c r="U386" s="74"/>
      <c r="V386" s="74"/>
      <c r="W386" s="76">
        <f t="shared" si="224"/>
        <v>1610.85442728694</v>
      </c>
      <c r="X386" s="77">
        <f t="shared" si="228"/>
        <v>24.8348807662236</v>
      </c>
      <c r="Y386" s="77"/>
      <c r="Z386" s="77"/>
      <c r="AA386" s="77">
        <f t="shared" si="237"/>
        <v>24.8348807662236</v>
      </c>
      <c r="AB386" s="87">
        <v>7.26</v>
      </c>
      <c r="AC386" s="74">
        <f t="shared" si="236"/>
        <v>180.301234362783</v>
      </c>
      <c r="AD386" s="74">
        <f t="shared" si="233"/>
        <v>1791.15566164973</v>
      </c>
      <c r="AE386" s="74">
        <f t="shared" si="234"/>
        <v>458.79093835027</v>
      </c>
    </row>
    <row r="387" customFormat="1" spans="1:31">
      <c r="A387" s="18"/>
      <c r="B387" s="19"/>
      <c r="C387" s="20">
        <v>240711000022</v>
      </c>
      <c r="D387" s="21">
        <v>45489</v>
      </c>
      <c r="E387" s="21" t="s">
        <v>44</v>
      </c>
      <c r="F387" s="19" t="s">
        <v>45</v>
      </c>
      <c r="G387" s="19" t="s">
        <v>336</v>
      </c>
      <c r="H387" s="19">
        <v>7</v>
      </c>
      <c r="I387" s="41">
        <v>420</v>
      </c>
      <c r="J387" s="42"/>
      <c r="K387" s="43"/>
      <c r="L387" s="19"/>
      <c r="M387" s="43"/>
      <c r="N387" s="44"/>
      <c r="O387" s="45">
        <f t="shared" ref="O387:O393" si="243">SUM(I387)</f>
        <v>420</v>
      </c>
      <c r="P387" s="51"/>
      <c r="Q387" s="51"/>
      <c r="R387" s="74">
        <f t="shared" si="226"/>
        <v>300.247458952306</v>
      </c>
      <c r="S387" s="74"/>
      <c r="T387" s="75">
        <f t="shared" si="227"/>
        <v>0.445367474589523</v>
      </c>
      <c r="U387" s="74"/>
      <c r="V387" s="74"/>
      <c r="W387" s="76">
        <f t="shared" si="224"/>
        <v>300.692826426896</v>
      </c>
      <c r="X387" s="77">
        <f t="shared" si="228"/>
        <v>4.63584440969507</v>
      </c>
      <c r="Y387" s="77"/>
      <c r="Z387" s="77"/>
      <c r="AA387" s="77">
        <f t="shared" si="237"/>
        <v>4.63584440969507</v>
      </c>
      <c r="AB387" s="87">
        <v>7.26</v>
      </c>
      <c r="AC387" s="74">
        <f t="shared" si="236"/>
        <v>33.6562304143862</v>
      </c>
      <c r="AD387" s="74">
        <f t="shared" si="233"/>
        <v>334.349056841282</v>
      </c>
      <c r="AE387" s="74">
        <f t="shared" si="234"/>
        <v>85.650943158718</v>
      </c>
    </row>
    <row r="388" customFormat="1" spans="1:31">
      <c r="A388" s="18"/>
      <c r="B388" s="19"/>
      <c r="C388" s="20">
        <v>240711000024</v>
      </c>
      <c r="D388" s="21">
        <v>45489</v>
      </c>
      <c r="E388" s="21" t="s">
        <v>58</v>
      </c>
      <c r="F388" s="19" t="s">
        <v>59</v>
      </c>
      <c r="G388" s="19" t="s">
        <v>337</v>
      </c>
      <c r="H388" s="19">
        <v>229</v>
      </c>
      <c r="I388" s="45"/>
      <c r="J388" s="42"/>
      <c r="K388" s="50">
        <v>2370</v>
      </c>
      <c r="L388" s="49">
        <f>SUM(J388/M388)</f>
        <v>0</v>
      </c>
      <c r="M388" s="50">
        <v>2370</v>
      </c>
      <c r="N388" s="44">
        <v>7.26</v>
      </c>
      <c r="O388" s="45">
        <f>SUM(M388*N388)</f>
        <v>17206.2</v>
      </c>
      <c r="P388" s="51"/>
      <c r="Q388" s="51"/>
      <c r="R388" s="74">
        <f t="shared" si="226"/>
        <v>9822.38115715403</v>
      </c>
      <c r="S388" s="74"/>
      <c r="T388" s="75">
        <f t="shared" si="227"/>
        <v>14.5698788115715</v>
      </c>
      <c r="U388" s="75">
        <v>576</v>
      </c>
      <c r="V388" s="75">
        <v>216</v>
      </c>
      <c r="W388" s="76">
        <f t="shared" si="224"/>
        <v>10628.9510359656</v>
      </c>
      <c r="X388" s="77">
        <f t="shared" si="228"/>
        <v>151.658338545739</v>
      </c>
      <c r="Y388" s="77"/>
      <c r="Z388" s="77"/>
      <c r="AA388" s="77">
        <f t="shared" si="237"/>
        <v>151.658338545739</v>
      </c>
      <c r="AB388" s="87">
        <v>7.26</v>
      </c>
      <c r="AC388" s="74">
        <f t="shared" si="236"/>
        <v>1101.03953784206</v>
      </c>
      <c r="AD388" s="74">
        <f t="shared" si="233"/>
        <v>11729.9905738077</v>
      </c>
      <c r="AE388" s="74">
        <f t="shared" si="234"/>
        <v>5476.2094261923</v>
      </c>
    </row>
    <row r="389" customFormat="1" spans="1:31">
      <c r="A389" s="18"/>
      <c r="B389" s="19"/>
      <c r="C389" s="20">
        <v>240711000028</v>
      </c>
      <c r="D389" s="21">
        <v>45489</v>
      </c>
      <c r="E389" s="21" t="s">
        <v>81</v>
      </c>
      <c r="F389" s="19" t="s">
        <v>199</v>
      </c>
      <c r="G389" s="19" t="s">
        <v>200</v>
      </c>
      <c r="H389" s="19">
        <v>1.5</v>
      </c>
      <c r="I389" s="45"/>
      <c r="J389" s="42"/>
      <c r="K389" s="43"/>
      <c r="L389" s="19"/>
      <c r="M389" s="43">
        <v>12.950001</v>
      </c>
      <c r="N389" s="44">
        <v>7.26</v>
      </c>
      <c r="O389" s="45">
        <f>SUM(M389*N389)</f>
        <v>94.01700726</v>
      </c>
      <c r="P389" s="51"/>
      <c r="Q389" s="51"/>
      <c r="R389" s="74">
        <f t="shared" si="226"/>
        <v>64.3387412040657</v>
      </c>
      <c r="S389" s="74"/>
      <c r="T389" s="75">
        <f t="shared" si="227"/>
        <v>0.0954358874120406</v>
      </c>
      <c r="U389" s="74"/>
      <c r="V389" s="74"/>
      <c r="W389" s="76">
        <f t="shared" si="224"/>
        <v>64.4341770914777</v>
      </c>
      <c r="X389" s="77">
        <f t="shared" si="228"/>
        <v>0.993395230648944</v>
      </c>
      <c r="Y389" s="77"/>
      <c r="Z389" s="77"/>
      <c r="AA389" s="77">
        <f t="shared" si="237"/>
        <v>0.993395230648944</v>
      </c>
      <c r="AB389" s="87">
        <v>7.26</v>
      </c>
      <c r="AC389" s="74">
        <f t="shared" si="236"/>
        <v>7.21204937451134</v>
      </c>
      <c r="AD389" s="74">
        <f t="shared" si="233"/>
        <v>71.6462264659891</v>
      </c>
      <c r="AE389" s="74">
        <f t="shared" si="234"/>
        <v>22.3707807940109</v>
      </c>
    </row>
    <row r="390" customFormat="1" spans="1:31">
      <c r="A390" s="18"/>
      <c r="B390" s="19"/>
      <c r="C390" s="20">
        <v>240712000003</v>
      </c>
      <c r="D390" s="21">
        <v>45489</v>
      </c>
      <c r="E390" s="21" t="s">
        <v>44</v>
      </c>
      <c r="F390" s="19" t="s">
        <v>45</v>
      </c>
      <c r="G390" s="19" t="s">
        <v>72</v>
      </c>
      <c r="H390" s="19">
        <v>5.5</v>
      </c>
      <c r="I390" s="41">
        <v>356</v>
      </c>
      <c r="J390" s="42"/>
      <c r="K390" s="43"/>
      <c r="L390" s="19"/>
      <c r="M390" s="43"/>
      <c r="N390" s="44"/>
      <c r="O390" s="45">
        <f t="shared" si="243"/>
        <v>356</v>
      </c>
      <c r="P390" s="51"/>
      <c r="Q390" s="51"/>
      <c r="R390" s="74">
        <f t="shared" si="226"/>
        <v>235.908717748241</v>
      </c>
      <c r="S390" s="74"/>
      <c r="T390" s="75">
        <f t="shared" si="227"/>
        <v>0.349931587177482</v>
      </c>
      <c r="U390" s="74"/>
      <c r="V390" s="75">
        <v>23</v>
      </c>
      <c r="W390" s="76">
        <f t="shared" si="224"/>
        <v>259.258649335418</v>
      </c>
      <c r="X390" s="77">
        <f t="shared" si="228"/>
        <v>3.64244917904613</v>
      </c>
      <c r="Y390" s="77"/>
      <c r="Z390" s="77"/>
      <c r="AA390" s="77">
        <f t="shared" si="237"/>
        <v>3.64244917904613</v>
      </c>
      <c r="AB390" s="87">
        <v>7.26</v>
      </c>
      <c r="AC390" s="74">
        <f t="shared" si="236"/>
        <v>26.4441810398749</v>
      </c>
      <c r="AD390" s="74">
        <f t="shared" si="233"/>
        <v>285.702830375293</v>
      </c>
      <c r="AE390" s="74">
        <f t="shared" si="234"/>
        <v>70.297169624707</v>
      </c>
    </row>
    <row r="391" customFormat="1" spans="1:31">
      <c r="A391" s="18"/>
      <c r="B391" s="19"/>
      <c r="C391" s="20">
        <v>240712000020</v>
      </c>
      <c r="D391" s="21">
        <v>45489</v>
      </c>
      <c r="E391" s="21" t="s">
        <v>37</v>
      </c>
      <c r="F391" s="19" t="s">
        <v>37</v>
      </c>
      <c r="G391" s="19" t="s">
        <v>338</v>
      </c>
      <c r="H391" s="19">
        <v>624.5</v>
      </c>
      <c r="I391" s="41">
        <v>36547.5</v>
      </c>
      <c r="J391" s="42"/>
      <c r="K391" s="43"/>
      <c r="L391" s="19"/>
      <c r="M391" s="43"/>
      <c r="N391" s="44"/>
      <c r="O391" s="45">
        <f t="shared" si="243"/>
        <v>36547.5</v>
      </c>
      <c r="P391" s="51"/>
      <c r="Q391" s="51"/>
      <c r="R391" s="74">
        <f t="shared" si="226"/>
        <v>26786.3625879593</v>
      </c>
      <c r="S391" s="74"/>
      <c r="T391" s="75">
        <f t="shared" si="227"/>
        <v>39.7331411258796</v>
      </c>
      <c r="U391" s="74"/>
      <c r="V391" s="74"/>
      <c r="W391" s="76">
        <f t="shared" si="224"/>
        <v>26826.0957290852</v>
      </c>
      <c r="X391" s="77">
        <f t="shared" si="228"/>
        <v>413.583547693511</v>
      </c>
      <c r="Y391" s="77"/>
      <c r="Z391" s="77"/>
      <c r="AA391" s="77">
        <f t="shared" si="237"/>
        <v>413.583547693511</v>
      </c>
      <c r="AB391" s="87">
        <v>7.26</v>
      </c>
      <c r="AC391" s="74">
        <f t="shared" si="236"/>
        <v>3002.61655625489</v>
      </c>
      <c r="AD391" s="74">
        <f t="shared" si="233"/>
        <v>29828.7122853401</v>
      </c>
      <c r="AE391" s="74">
        <f t="shared" si="234"/>
        <v>6718.7877146599</v>
      </c>
    </row>
    <row r="392" customFormat="1" spans="1:31">
      <c r="A392" s="18"/>
      <c r="B392" s="19"/>
      <c r="C392" s="20">
        <v>240712000021</v>
      </c>
      <c r="D392" s="21">
        <v>45489</v>
      </c>
      <c r="E392" s="21" t="s">
        <v>37</v>
      </c>
      <c r="F392" s="19" t="s">
        <v>37</v>
      </c>
      <c r="G392" s="19" t="s">
        <v>338</v>
      </c>
      <c r="H392" s="19">
        <v>249</v>
      </c>
      <c r="I392" s="41">
        <v>13695</v>
      </c>
      <c r="J392" s="42"/>
      <c r="K392" s="43"/>
      <c r="L392" s="19"/>
      <c r="M392" s="43"/>
      <c r="N392" s="44"/>
      <c r="O392" s="45">
        <f t="shared" si="243"/>
        <v>13695</v>
      </c>
      <c r="P392" s="51"/>
      <c r="Q392" s="51"/>
      <c r="R392" s="74">
        <f t="shared" si="226"/>
        <v>10680.2310398749</v>
      </c>
      <c r="S392" s="74"/>
      <c r="T392" s="75">
        <f t="shared" si="227"/>
        <v>15.8423573103987</v>
      </c>
      <c r="U392" s="74"/>
      <c r="V392" s="74"/>
      <c r="W392" s="76">
        <f t="shared" si="224"/>
        <v>10696.0733971853</v>
      </c>
      <c r="X392" s="77">
        <f t="shared" si="228"/>
        <v>164.903608287725</v>
      </c>
      <c r="Y392" s="77"/>
      <c r="Z392" s="77"/>
      <c r="AA392" s="77">
        <f t="shared" si="237"/>
        <v>164.903608287725</v>
      </c>
      <c r="AB392" s="87">
        <v>7.26</v>
      </c>
      <c r="AC392" s="74">
        <f t="shared" si="236"/>
        <v>1197.20019616888</v>
      </c>
      <c r="AD392" s="74">
        <f t="shared" si="233"/>
        <v>11893.2735933542</v>
      </c>
      <c r="AE392" s="74">
        <f t="shared" si="234"/>
        <v>1801.7264066458</v>
      </c>
    </row>
    <row r="393" customFormat="1" spans="1:31">
      <c r="A393" s="18"/>
      <c r="B393" s="19"/>
      <c r="C393" s="20">
        <v>240712000022</v>
      </c>
      <c r="D393" s="21">
        <v>45489</v>
      </c>
      <c r="E393" s="21" t="s">
        <v>37</v>
      </c>
      <c r="F393" s="19" t="s">
        <v>37</v>
      </c>
      <c r="G393" s="19" t="s">
        <v>339</v>
      </c>
      <c r="H393" s="19">
        <v>50.5</v>
      </c>
      <c r="I393" s="41">
        <v>3278.5</v>
      </c>
      <c r="J393" s="42"/>
      <c r="K393" s="43"/>
      <c r="L393" s="19"/>
      <c r="M393" s="43"/>
      <c r="N393" s="44"/>
      <c r="O393" s="45">
        <f t="shared" si="243"/>
        <v>3278.5</v>
      </c>
      <c r="P393" s="51"/>
      <c r="Q393" s="51"/>
      <c r="R393" s="74">
        <f t="shared" si="226"/>
        <v>2166.07095387021</v>
      </c>
      <c r="S393" s="74"/>
      <c r="T393" s="75">
        <f t="shared" si="227"/>
        <v>3.2130082095387</v>
      </c>
      <c r="U393" s="74"/>
      <c r="V393" s="74"/>
      <c r="W393" s="76">
        <f t="shared" si="224"/>
        <v>2169.28396207975</v>
      </c>
      <c r="X393" s="77">
        <f t="shared" si="228"/>
        <v>33.4443060985145</v>
      </c>
      <c r="Y393" s="77"/>
      <c r="Z393" s="77"/>
      <c r="AA393" s="77">
        <f t="shared" si="237"/>
        <v>33.4443060985145</v>
      </c>
      <c r="AB393" s="87">
        <v>7.26</v>
      </c>
      <c r="AC393" s="74">
        <f t="shared" si="236"/>
        <v>242.805662275215</v>
      </c>
      <c r="AD393" s="74">
        <f t="shared" si="233"/>
        <v>2412.08962435497</v>
      </c>
      <c r="AE393" s="74">
        <f t="shared" si="234"/>
        <v>866.41037564503</v>
      </c>
    </row>
    <row r="394" customFormat="1" spans="1:31">
      <c r="A394" s="18"/>
      <c r="B394" s="19"/>
      <c r="C394" s="20">
        <v>240712000026</v>
      </c>
      <c r="D394" s="21">
        <v>45489</v>
      </c>
      <c r="E394" s="21" t="s">
        <v>58</v>
      </c>
      <c r="F394" s="19" t="s">
        <v>166</v>
      </c>
      <c r="G394" s="19" t="s">
        <v>167</v>
      </c>
      <c r="H394" s="19">
        <v>7</v>
      </c>
      <c r="I394" s="45"/>
      <c r="J394" s="48">
        <v>90257.2</v>
      </c>
      <c r="K394" s="43"/>
      <c r="L394" s="49">
        <f>SUM(J394/M394)</f>
        <v>1606</v>
      </c>
      <c r="M394" s="50">
        <v>56.2</v>
      </c>
      <c r="N394" s="44">
        <v>7.26</v>
      </c>
      <c r="O394" s="45">
        <f>SUM(M394*N394)</f>
        <v>408.012</v>
      </c>
      <c r="P394" s="51"/>
      <c r="Q394" s="51"/>
      <c r="R394" s="74">
        <f t="shared" si="226"/>
        <v>300.247458952306</v>
      </c>
      <c r="S394" s="74"/>
      <c r="T394" s="75">
        <f t="shared" si="227"/>
        <v>0.445367474589523</v>
      </c>
      <c r="U394" s="74"/>
      <c r="V394" s="74"/>
      <c r="W394" s="76">
        <f t="shared" si="224"/>
        <v>300.692826426896</v>
      </c>
      <c r="X394" s="77">
        <f t="shared" si="228"/>
        <v>4.63584440969507</v>
      </c>
      <c r="Y394" s="77"/>
      <c r="Z394" s="77"/>
      <c r="AA394" s="77">
        <f t="shared" si="237"/>
        <v>4.63584440969507</v>
      </c>
      <c r="AB394" s="87">
        <v>7.26</v>
      </c>
      <c r="AC394" s="74">
        <f t="shared" si="236"/>
        <v>33.6562304143862</v>
      </c>
      <c r="AD394" s="74">
        <f t="shared" si="233"/>
        <v>334.349056841282</v>
      </c>
      <c r="AE394" s="74">
        <f t="shared" si="234"/>
        <v>73.662943158718</v>
      </c>
    </row>
    <row r="395" customFormat="1" spans="1:31">
      <c r="A395" s="18"/>
      <c r="B395" s="19"/>
      <c r="C395" s="20">
        <v>240712000030</v>
      </c>
      <c r="D395" s="21">
        <v>45489</v>
      </c>
      <c r="E395" s="21" t="s">
        <v>40</v>
      </c>
      <c r="F395" s="19" t="s">
        <v>41</v>
      </c>
      <c r="G395" s="19" t="s">
        <v>139</v>
      </c>
      <c r="H395" s="19">
        <v>2.5</v>
      </c>
      <c r="I395" s="41">
        <v>150</v>
      </c>
      <c r="J395" s="42"/>
      <c r="K395" s="43"/>
      <c r="L395" s="19"/>
      <c r="M395" s="43"/>
      <c r="N395" s="44"/>
      <c r="O395" s="45">
        <f t="shared" ref="O395:O399" si="244">SUM(I395)</f>
        <v>150</v>
      </c>
      <c r="P395" s="51"/>
      <c r="Q395" s="51"/>
      <c r="R395" s="74">
        <f t="shared" si="226"/>
        <v>107.231235340109</v>
      </c>
      <c r="S395" s="74"/>
      <c r="T395" s="75">
        <f t="shared" si="227"/>
        <v>0.159059812353401</v>
      </c>
      <c r="U395" s="74"/>
      <c r="V395" s="74"/>
      <c r="W395" s="76">
        <f t="shared" si="224"/>
        <v>107.390295152463</v>
      </c>
      <c r="X395" s="77">
        <f t="shared" si="228"/>
        <v>1.65565871774824</v>
      </c>
      <c r="Y395" s="77"/>
      <c r="Z395" s="77"/>
      <c r="AA395" s="77">
        <f t="shared" si="237"/>
        <v>1.65565871774824</v>
      </c>
      <c r="AB395" s="87">
        <v>7.26</v>
      </c>
      <c r="AC395" s="74">
        <f t="shared" si="236"/>
        <v>12.0200822908522</v>
      </c>
      <c r="AD395" s="74">
        <f t="shared" si="233"/>
        <v>119.410377443315</v>
      </c>
      <c r="AE395" s="74">
        <f t="shared" ref="AE395:AE415" si="245">SUM(O395-AD395)</f>
        <v>30.589622556685</v>
      </c>
    </row>
    <row r="396" customFormat="1" spans="1:31">
      <c r="A396" s="18"/>
      <c r="B396" s="19"/>
      <c r="C396" s="20">
        <v>240712000035</v>
      </c>
      <c r="D396" s="21">
        <v>45489</v>
      </c>
      <c r="E396" s="21" t="s">
        <v>40</v>
      </c>
      <c r="F396" s="19" t="s">
        <v>41</v>
      </c>
      <c r="G396" s="19" t="s">
        <v>91</v>
      </c>
      <c r="H396" s="19">
        <v>20</v>
      </c>
      <c r="I396" s="47"/>
      <c r="J396" s="48">
        <v>269500</v>
      </c>
      <c r="K396" s="43"/>
      <c r="L396" s="49">
        <f>SUM(J396/M396)</f>
        <v>1778.76047785625</v>
      </c>
      <c r="M396" s="50">
        <v>151.51</v>
      </c>
      <c r="N396" s="44">
        <v>7.26</v>
      </c>
      <c r="O396" s="45">
        <f>SUM(M396*N396)</f>
        <v>1099.9626</v>
      </c>
      <c r="P396" s="51"/>
      <c r="Q396" s="51"/>
      <c r="R396" s="74">
        <f t="shared" si="226"/>
        <v>857.849882720876</v>
      </c>
      <c r="S396" s="74"/>
      <c r="T396" s="75">
        <f t="shared" si="227"/>
        <v>1.27247849882721</v>
      </c>
      <c r="U396" s="74"/>
      <c r="V396" s="74"/>
      <c r="W396" s="76">
        <f t="shared" ref="W396:W415" si="246">SUM(R396:V396)</f>
        <v>859.122361219703</v>
      </c>
      <c r="X396" s="77">
        <f t="shared" si="228"/>
        <v>13.2452697419859</v>
      </c>
      <c r="Y396" s="77"/>
      <c r="Z396" s="77"/>
      <c r="AA396" s="77">
        <f t="shared" si="237"/>
        <v>13.2452697419859</v>
      </c>
      <c r="AB396" s="87">
        <v>7.26</v>
      </c>
      <c r="AC396" s="74">
        <f t="shared" si="236"/>
        <v>96.1606583268178</v>
      </c>
      <c r="AD396" s="74">
        <f t="shared" si="233"/>
        <v>955.283019546521</v>
      </c>
      <c r="AE396" s="74">
        <f t="shared" si="245"/>
        <v>144.679580453479</v>
      </c>
    </row>
    <row r="397" customFormat="1" spans="1:31">
      <c r="A397" s="18"/>
      <c r="B397" s="19"/>
      <c r="C397" s="20">
        <v>240712000038</v>
      </c>
      <c r="D397" s="21">
        <v>45489</v>
      </c>
      <c r="E397" s="21" t="s">
        <v>127</v>
      </c>
      <c r="F397" s="19" t="s">
        <v>128</v>
      </c>
      <c r="G397" s="19" t="s">
        <v>340</v>
      </c>
      <c r="H397" s="19">
        <v>2</v>
      </c>
      <c r="I397" s="41">
        <v>198</v>
      </c>
      <c r="J397" s="42"/>
      <c r="K397" s="43"/>
      <c r="L397" s="19"/>
      <c r="M397" s="43"/>
      <c r="N397" s="44"/>
      <c r="O397" s="45">
        <f t="shared" si="244"/>
        <v>198</v>
      </c>
      <c r="P397" s="51"/>
      <c r="Q397" s="51"/>
      <c r="R397" s="74">
        <f t="shared" si="226"/>
        <v>85.7849882720876</v>
      </c>
      <c r="S397" s="74"/>
      <c r="T397" s="75">
        <f t="shared" si="227"/>
        <v>0.127247849882721</v>
      </c>
      <c r="U397" s="74"/>
      <c r="V397" s="74"/>
      <c r="W397" s="76">
        <f t="shared" si="246"/>
        <v>85.9122361219703</v>
      </c>
      <c r="X397" s="77">
        <f t="shared" si="228"/>
        <v>1.32452697419859</v>
      </c>
      <c r="Y397" s="77">
        <v>10.33</v>
      </c>
      <c r="Z397" s="77"/>
      <c r="AA397" s="77">
        <f t="shared" si="237"/>
        <v>11.6545269741986</v>
      </c>
      <c r="AB397" s="87">
        <v>7.26</v>
      </c>
      <c r="AC397" s="74">
        <f t="shared" ref="AC397:AC415" si="247">SUM(AA397*AB397)</f>
        <v>84.6118658326818</v>
      </c>
      <c r="AD397" s="74">
        <f t="shared" ref="AD397:AD415" si="248">SUM(W397+AC397)</f>
        <v>170.524101954652</v>
      </c>
      <c r="AE397" s="74">
        <f t="shared" si="245"/>
        <v>27.475898045348</v>
      </c>
    </row>
    <row r="398" customFormat="1" spans="1:31">
      <c r="A398" s="18"/>
      <c r="B398" s="19"/>
      <c r="C398" s="20">
        <v>240712000040</v>
      </c>
      <c r="D398" s="21">
        <v>45489</v>
      </c>
      <c r="E398" s="21" t="s">
        <v>44</v>
      </c>
      <c r="F398" s="19" t="s">
        <v>45</v>
      </c>
      <c r="G398" s="19" t="s">
        <v>92</v>
      </c>
      <c r="H398" s="19">
        <v>49.5</v>
      </c>
      <c r="I398" s="41">
        <v>2821.5</v>
      </c>
      <c r="J398" s="42"/>
      <c r="K398" s="43"/>
      <c r="L398" s="19"/>
      <c r="M398" s="43"/>
      <c r="N398" s="44"/>
      <c r="O398" s="45">
        <f t="shared" si="244"/>
        <v>2821.5</v>
      </c>
      <c r="P398" s="52"/>
      <c r="Q398" s="52"/>
      <c r="R398" s="74">
        <f t="shared" si="226"/>
        <v>2123.17845973417</v>
      </c>
      <c r="S398" s="74"/>
      <c r="T398" s="75">
        <f t="shared" si="227"/>
        <v>3.14938428459734</v>
      </c>
      <c r="U398" s="74"/>
      <c r="V398" s="74"/>
      <c r="W398" s="76">
        <f t="shared" si="246"/>
        <v>2126.32784401877</v>
      </c>
      <c r="X398" s="77">
        <f t="shared" si="228"/>
        <v>32.7820426114152</v>
      </c>
      <c r="Y398" s="77"/>
      <c r="Z398" s="77"/>
      <c r="AA398" s="77">
        <f t="shared" si="237"/>
        <v>32.7820426114152</v>
      </c>
      <c r="AB398" s="87">
        <v>7.26</v>
      </c>
      <c r="AC398" s="74">
        <f t="shared" si="247"/>
        <v>237.997629358874</v>
      </c>
      <c r="AD398" s="74">
        <f t="shared" si="248"/>
        <v>2364.32547337764</v>
      </c>
      <c r="AE398" s="74">
        <f t="shared" si="245"/>
        <v>457.17452662236</v>
      </c>
    </row>
    <row r="399" customFormat="1" spans="1:31">
      <c r="A399" s="18" t="s">
        <v>341</v>
      </c>
      <c r="B399" s="19" t="s">
        <v>342</v>
      </c>
      <c r="C399" s="20">
        <v>240712000002</v>
      </c>
      <c r="D399" s="21">
        <v>45490</v>
      </c>
      <c r="E399" s="21" t="s">
        <v>55</v>
      </c>
      <c r="F399" s="19" t="s">
        <v>56</v>
      </c>
      <c r="G399" s="19" t="s">
        <v>343</v>
      </c>
      <c r="H399" s="19">
        <v>4.5</v>
      </c>
      <c r="I399" s="41">
        <v>547.5</v>
      </c>
      <c r="J399" s="42"/>
      <c r="K399" s="43"/>
      <c r="L399" s="19"/>
      <c r="M399" s="43"/>
      <c r="N399" s="44"/>
      <c r="O399" s="45">
        <f t="shared" si="244"/>
        <v>547.5</v>
      </c>
      <c r="P399" s="46">
        <f>SUM(O399:O415)</f>
        <v>9020.773</v>
      </c>
      <c r="Q399" s="46" t="s">
        <v>39</v>
      </c>
      <c r="R399" s="74">
        <f>SUM(5000/64)*H399</f>
        <v>351.5625</v>
      </c>
      <c r="S399" s="74"/>
      <c r="T399" s="75">
        <f>SUM(63.65/64)*H399</f>
        <v>4.475390625</v>
      </c>
      <c r="U399" s="74"/>
      <c r="V399" s="74"/>
      <c r="W399" s="76">
        <f t="shared" si="246"/>
        <v>356.037890625</v>
      </c>
      <c r="X399" s="77">
        <f>SUM(203/64)*H399</f>
        <v>14.2734375</v>
      </c>
      <c r="Y399" s="77"/>
      <c r="Z399" s="77"/>
      <c r="AA399" s="77">
        <f t="shared" si="237"/>
        <v>14.2734375</v>
      </c>
      <c r="AB399" s="87">
        <v>7.26</v>
      </c>
      <c r="AC399" s="74">
        <f t="shared" si="247"/>
        <v>103.62515625</v>
      </c>
      <c r="AD399" s="74">
        <f t="shared" si="248"/>
        <v>459.663046875</v>
      </c>
      <c r="AE399" s="74">
        <f t="shared" si="245"/>
        <v>87.836953125</v>
      </c>
    </row>
    <row r="400" customFormat="1" spans="1:31">
      <c r="A400" s="18"/>
      <c r="B400" s="19"/>
      <c r="C400" s="20">
        <v>240712000004</v>
      </c>
      <c r="D400" s="21">
        <v>45490</v>
      </c>
      <c r="E400" s="21" t="s">
        <v>58</v>
      </c>
      <c r="F400" s="19" t="s">
        <v>59</v>
      </c>
      <c r="G400" s="19" t="s">
        <v>344</v>
      </c>
      <c r="H400" s="19">
        <v>3</v>
      </c>
      <c r="I400" s="45"/>
      <c r="J400" s="48">
        <v>78829</v>
      </c>
      <c r="K400" s="43"/>
      <c r="L400" s="49">
        <f>SUM(J400/M400)</f>
        <v>1645.01252086811</v>
      </c>
      <c r="M400" s="50">
        <v>47.92</v>
      </c>
      <c r="N400" s="44">
        <v>7.26</v>
      </c>
      <c r="O400" s="45">
        <f>SUM(M400*N400)</f>
        <v>347.8992</v>
      </c>
      <c r="P400" s="51"/>
      <c r="Q400" s="51"/>
      <c r="R400" s="74">
        <f t="shared" ref="R400:R415" si="249">SUM(5000/64)*H400</f>
        <v>234.375</v>
      </c>
      <c r="S400" s="74"/>
      <c r="T400" s="75">
        <f t="shared" ref="T400:T415" si="250">SUM(63.65/64)*H400</f>
        <v>2.98359375</v>
      </c>
      <c r="U400" s="74"/>
      <c r="V400" s="74"/>
      <c r="W400" s="76">
        <f t="shared" si="246"/>
        <v>237.35859375</v>
      </c>
      <c r="X400" s="77">
        <f t="shared" ref="X400:X415" si="251">SUM(203/64)*H400</f>
        <v>9.515625</v>
      </c>
      <c r="Y400" s="77"/>
      <c r="Z400" s="77"/>
      <c r="AA400" s="77">
        <f t="shared" si="237"/>
        <v>9.515625</v>
      </c>
      <c r="AB400" s="87">
        <v>7.26</v>
      </c>
      <c r="AC400" s="74">
        <f t="shared" si="247"/>
        <v>69.0834375</v>
      </c>
      <c r="AD400" s="74">
        <f t="shared" si="248"/>
        <v>306.44203125</v>
      </c>
      <c r="AE400" s="74">
        <f t="shared" si="245"/>
        <v>41.45716875</v>
      </c>
    </row>
    <row r="401" customFormat="1" spans="1:31">
      <c r="A401" s="18"/>
      <c r="B401" s="19"/>
      <c r="C401" s="20">
        <v>240712000007</v>
      </c>
      <c r="D401" s="21">
        <v>45490</v>
      </c>
      <c r="E401" s="21" t="s">
        <v>40</v>
      </c>
      <c r="F401" s="19" t="s">
        <v>41</v>
      </c>
      <c r="G401" s="19" t="s">
        <v>345</v>
      </c>
      <c r="H401" s="19">
        <v>4</v>
      </c>
      <c r="I401" s="41">
        <v>480</v>
      </c>
      <c r="J401" s="42"/>
      <c r="K401" s="43"/>
      <c r="L401" s="19"/>
      <c r="M401" s="43"/>
      <c r="N401" s="44"/>
      <c r="O401" s="45">
        <f t="shared" ref="O401:O410" si="252">SUM(I401)</f>
        <v>480</v>
      </c>
      <c r="P401" s="51"/>
      <c r="Q401" s="51"/>
      <c r="R401" s="74">
        <f t="shared" si="249"/>
        <v>312.5</v>
      </c>
      <c r="S401" s="74"/>
      <c r="T401" s="75">
        <f t="shared" si="250"/>
        <v>3.978125</v>
      </c>
      <c r="U401" s="74"/>
      <c r="V401" s="74"/>
      <c r="W401" s="76">
        <f t="shared" si="246"/>
        <v>316.478125</v>
      </c>
      <c r="X401" s="77">
        <f t="shared" si="251"/>
        <v>12.6875</v>
      </c>
      <c r="Y401" s="77"/>
      <c r="Z401" s="77"/>
      <c r="AA401" s="77">
        <f t="shared" si="237"/>
        <v>12.6875</v>
      </c>
      <c r="AB401" s="87">
        <v>7.26</v>
      </c>
      <c r="AC401" s="74">
        <f t="shared" si="247"/>
        <v>92.11125</v>
      </c>
      <c r="AD401" s="74">
        <f t="shared" si="248"/>
        <v>408.589375</v>
      </c>
      <c r="AE401" s="74">
        <f t="shared" si="245"/>
        <v>71.410625</v>
      </c>
    </row>
    <row r="402" customFormat="1" spans="1:31">
      <c r="A402" s="18"/>
      <c r="B402" s="19"/>
      <c r="C402" s="20">
        <v>240712000014</v>
      </c>
      <c r="D402" s="21">
        <v>45490</v>
      </c>
      <c r="E402" s="21" t="s">
        <v>40</v>
      </c>
      <c r="F402" s="19" t="s">
        <v>41</v>
      </c>
      <c r="G402" s="19" t="s">
        <v>346</v>
      </c>
      <c r="H402" s="19">
        <v>2.5</v>
      </c>
      <c r="I402" s="41">
        <v>420</v>
      </c>
      <c r="J402" s="42"/>
      <c r="K402" s="43"/>
      <c r="L402" s="19"/>
      <c r="M402" s="43"/>
      <c r="N402" s="44"/>
      <c r="O402" s="45">
        <f t="shared" si="252"/>
        <v>420</v>
      </c>
      <c r="P402" s="51"/>
      <c r="Q402" s="51"/>
      <c r="R402" s="74">
        <f t="shared" si="249"/>
        <v>195.3125</v>
      </c>
      <c r="S402" s="74"/>
      <c r="T402" s="75">
        <f t="shared" si="250"/>
        <v>2.486328125</v>
      </c>
      <c r="U402" s="74"/>
      <c r="V402" s="74"/>
      <c r="W402" s="76">
        <f t="shared" si="246"/>
        <v>197.798828125</v>
      </c>
      <c r="X402" s="77">
        <f t="shared" si="251"/>
        <v>7.9296875</v>
      </c>
      <c r="Y402" s="77"/>
      <c r="Z402" s="77"/>
      <c r="AA402" s="77">
        <f t="shared" si="237"/>
        <v>7.9296875</v>
      </c>
      <c r="AB402" s="87">
        <v>7.26</v>
      </c>
      <c r="AC402" s="74">
        <f t="shared" si="247"/>
        <v>57.56953125</v>
      </c>
      <c r="AD402" s="74">
        <f t="shared" si="248"/>
        <v>255.368359375</v>
      </c>
      <c r="AE402" s="74">
        <f t="shared" si="245"/>
        <v>164.631640625</v>
      </c>
    </row>
    <row r="403" customFormat="1" spans="1:31">
      <c r="A403" s="18"/>
      <c r="B403" s="19"/>
      <c r="C403" s="20">
        <v>240712000016</v>
      </c>
      <c r="D403" s="21">
        <v>45490</v>
      </c>
      <c r="E403" s="21" t="s">
        <v>40</v>
      </c>
      <c r="F403" s="19" t="s">
        <v>41</v>
      </c>
      <c r="G403" s="19" t="s">
        <v>88</v>
      </c>
      <c r="H403" s="19">
        <v>0.6</v>
      </c>
      <c r="I403" s="41">
        <v>115</v>
      </c>
      <c r="J403" s="42"/>
      <c r="K403" s="43"/>
      <c r="L403" s="19"/>
      <c r="M403" s="43"/>
      <c r="N403" s="44"/>
      <c r="O403" s="45">
        <f t="shared" si="252"/>
        <v>115</v>
      </c>
      <c r="P403" s="51"/>
      <c r="Q403" s="51"/>
      <c r="R403" s="74">
        <f t="shared" si="249"/>
        <v>46.875</v>
      </c>
      <c r="S403" s="74"/>
      <c r="T403" s="75">
        <f t="shared" si="250"/>
        <v>0.59671875</v>
      </c>
      <c r="U403" s="74"/>
      <c r="V403" s="74"/>
      <c r="W403" s="76">
        <f t="shared" si="246"/>
        <v>47.47171875</v>
      </c>
      <c r="X403" s="77">
        <f t="shared" si="251"/>
        <v>1.903125</v>
      </c>
      <c r="Y403" s="77">
        <v>4.13</v>
      </c>
      <c r="Z403" s="77"/>
      <c r="AA403" s="77">
        <f t="shared" si="237"/>
        <v>6.033125</v>
      </c>
      <c r="AB403" s="87">
        <v>7.26</v>
      </c>
      <c r="AC403" s="74">
        <f t="shared" si="247"/>
        <v>43.8004875</v>
      </c>
      <c r="AD403" s="74">
        <f t="shared" si="248"/>
        <v>91.27220625</v>
      </c>
      <c r="AE403" s="74">
        <f t="shared" si="245"/>
        <v>23.72779375</v>
      </c>
    </row>
    <row r="404" customFormat="1" spans="1:31">
      <c r="A404" s="18"/>
      <c r="B404" s="19"/>
      <c r="C404" s="20">
        <v>240712000036</v>
      </c>
      <c r="D404" s="21">
        <v>45490</v>
      </c>
      <c r="E404" s="21" t="s">
        <v>44</v>
      </c>
      <c r="F404" s="19" t="s">
        <v>45</v>
      </c>
      <c r="G404" s="19" t="s">
        <v>347</v>
      </c>
      <c r="H404" s="19">
        <v>5</v>
      </c>
      <c r="I404" s="41">
        <v>645</v>
      </c>
      <c r="J404" s="42"/>
      <c r="K404" s="43"/>
      <c r="L404" s="19"/>
      <c r="M404" s="43"/>
      <c r="N404" s="44"/>
      <c r="O404" s="45">
        <f t="shared" si="252"/>
        <v>645</v>
      </c>
      <c r="P404" s="51"/>
      <c r="Q404" s="51"/>
      <c r="R404" s="74">
        <f t="shared" si="249"/>
        <v>390.625</v>
      </c>
      <c r="S404" s="74"/>
      <c r="T404" s="75">
        <f t="shared" si="250"/>
        <v>4.97265625</v>
      </c>
      <c r="U404" s="74"/>
      <c r="V404" s="74"/>
      <c r="W404" s="76">
        <f t="shared" si="246"/>
        <v>395.59765625</v>
      </c>
      <c r="X404" s="77">
        <f t="shared" si="251"/>
        <v>15.859375</v>
      </c>
      <c r="Y404" s="77">
        <v>9.64</v>
      </c>
      <c r="Z404" s="77"/>
      <c r="AA404" s="77">
        <f t="shared" si="237"/>
        <v>25.499375</v>
      </c>
      <c r="AB404" s="87">
        <v>7.26</v>
      </c>
      <c r="AC404" s="74">
        <f t="shared" si="247"/>
        <v>185.1254625</v>
      </c>
      <c r="AD404" s="74">
        <f t="shared" si="248"/>
        <v>580.72311875</v>
      </c>
      <c r="AE404" s="74">
        <f t="shared" si="245"/>
        <v>64.27688125</v>
      </c>
    </row>
    <row r="405" customFormat="1" spans="1:31">
      <c r="A405" s="18"/>
      <c r="B405" s="19"/>
      <c r="C405" s="20">
        <v>240712000041</v>
      </c>
      <c r="D405" s="21">
        <v>45490</v>
      </c>
      <c r="E405" s="21" t="s">
        <v>47</v>
      </c>
      <c r="F405" s="19" t="s">
        <v>48</v>
      </c>
      <c r="G405" s="19" t="s">
        <v>160</v>
      </c>
      <c r="H405" s="19">
        <v>1.5</v>
      </c>
      <c r="I405" s="41">
        <v>172</v>
      </c>
      <c r="J405" s="42"/>
      <c r="K405" s="43"/>
      <c r="L405" s="19"/>
      <c r="M405" s="43"/>
      <c r="N405" s="44"/>
      <c r="O405" s="45">
        <f t="shared" si="252"/>
        <v>172</v>
      </c>
      <c r="P405" s="51"/>
      <c r="Q405" s="51"/>
      <c r="R405" s="74">
        <f t="shared" si="249"/>
        <v>117.1875</v>
      </c>
      <c r="S405" s="74"/>
      <c r="T405" s="75">
        <f t="shared" si="250"/>
        <v>1.491796875</v>
      </c>
      <c r="U405" s="74"/>
      <c r="V405" s="74"/>
      <c r="W405" s="76">
        <f t="shared" si="246"/>
        <v>118.679296875</v>
      </c>
      <c r="X405" s="77">
        <f t="shared" si="251"/>
        <v>4.7578125</v>
      </c>
      <c r="Y405" s="77"/>
      <c r="Z405" s="77"/>
      <c r="AA405" s="77">
        <f t="shared" si="237"/>
        <v>4.7578125</v>
      </c>
      <c r="AB405" s="87">
        <v>7.26</v>
      </c>
      <c r="AC405" s="74">
        <f t="shared" si="247"/>
        <v>34.54171875</v>
      </c>
      <c r="AD405" s="74">
        <f t="shared" si="248"/>
        <v>153.221015625</v>
      </c>
      <c r="AE405" s="74">
        <f t="shared" si="245"/>
        <v>18.778984375</v>
      </c>
    </row>
    <row r="406" customFormat="1" spans="1:31">
      <c r="A406" s="18"/>
      <c r="B406" s="19"/>
      <c r="C406" s="20">
        <v>240712000043</v>
      </c>
      <c r="D406" s="21">
        <v>45490</v>
      </c>
      <c r="E406" s="21" t="s">
        <v>47</v>
      </c>
      <c r="F406" s="19" t="s">
        <v>48</v>
      </c>
      <c r="G406" s="19" t="s">
        <v>159</v>
      </c>
      <c r="H406" s="19">
        <v>6</v>
      </c>
      <c r="I406" s="53">
        <v>720</v>
      </c>
      <c r="J406" s="42"/>
      <c r="K406" s="43"/>
      <c r="L406" s="19"/>
      <c r="M406" s="43"/>
      <c r="N406" s="44"/>
      <c r="O406" s="45">
        <f t="shared" si="252"/>
        <v>720</v>
      </c>
      <c r="P406" s="51"/>
      <c r="Q406" s="51"/>
      <c r="R406" s="74">
        <f t="shared" si="249"/>
        <v>468.75</v>
      </c>
      <c r="S406" s="74"/>
      <c r="T406" s="75">
        <f t="shared" si="250"/>
        <v>5.9671875</v>
      </c>
      <c r="U406" s="74"/>
      <c r="V406" s="74"/>
      <c r="W406" s="76">
        <f t="shared" si="246"/>
        <v>474.7171875</v>
      </c>
      <c r="X406" s="77">
        <f t="shared" si="251"/>
        <v>19.03125</v>
      </c>
      <c r="Y406" s="77"/>
      <c r="Z406" s="77"/>
      <c r="AA406" s="77">
        <f t="shared" si="237"/>
        <v>19.03125</v>
      </c>
      <c r="AB406" s="87">
        <v>7.26</v>
      </c>
      <c r="AC406" s="74">
        <f t="shared" si="247"/>
        <v>138.166875</v>
      </c>
      <c r="AD406" s="74">
        <f t="shared" si="248"/>
        <v>612.8840625</v>
      </c>
      <c r="AE406" s="74">
        <f t="shared" si="245"/>
        <v>107.1159375</v>
      </c>
    </row>
    <row r="407" customFormat="1" spans="1:31">
      <c r="A407" s="18"/>
      <c r="B407" s="19"/>
      <c r="C407" s="20">
        <v>240712000044</v>
      </c>
      <c r="D407" s="21">
        <v>45490</v>
      </c>
      <c r="E407" s="21" t="s">
        <v>58</v>
      </c>
      <c r="F407" s="19" t="s">
        <v>59</v>
      </c>
      <c r="G407" s="19" t="s">
        <v>348</v>
      </c>
      <c r="H407" s="19">
        <v>2.5</v>
      </c>
      <c r="I407" s="41">
        <v>330</v>
      </c>
      <c r="J407" s="42"/>
      <c r="K407" s="43"/>
      <c r="L407" s="19"/>
      <c r="M407" s="43"/>
      <c r="N407" s="44"/>
      <c r="O407" s="45">
        <f t="shared" si="252"/>
        <v>330</v>
      </c>
      <c r="P407" s="51"/>
      <c r="Q407" s="51"/>
      <c r="R407" s="74">
        <f t="shared" si="249"/>
        <v>195.3125</v>
      </c>
      <c r="S407" s="74"/>
      <c r="T407" s="75">
        <f t="shared" si="250"/>
        <v>2.486328125</v>
      </c>
      <c r="U407" s="74"/>
      <c r="V407" s="74"/>
      <c r="W407" s="76">
        <f t="shared" si="246"/>
        <v>197.798828125</v>
      </c>
      <c r="X407" s="77">
        <f t="shared" si="251"/>
        <v>7.9296875</v>
      </c>
      <c r="Y407" s="77"/>
      <c r="Z407" s="77"/>
      <c r="AA407" s="77">
        <f t="shared" si="237"/>
        <v>7.9296875</v>
      </c>
      <c r="AB407" s="87">
        <v>7.26</v>
      </c>
      <c r="AC407" s="74">
        <f t="shared" si="247"/>
        <v>57.56953125</v>
      </c>
      <c r="AD407" s="74">
        <f t="shared" si="248"/>
        <v>255.368359375</v>
      </c>
      <c r="AE407" s="74">
        <f t="shared" si="245"/>
        <v>74.631640625</v>
      </c>
    </row>
    <row r="408" customFormat="1" spans="1:31">
      <c r="A408" s="18"/>
      <c r="B408" s="19"/>
      <c r="C408" s="20">
        <v>240713000008</v>
      </c>
      <c r="D408" s="21">
        <v>45490</v>
      </c>
      <c r="E408" s="21" t="s">
        <v>40</v>
      </c>
      <c r="F408" s="19" t="s">
        <v>41</v>
      </c>
      <c r="G408" s="19" t="s">
        <v>349</v>
      </c>
      <c r="H408" s="19">
        <v>3.5</v>
      </c>
      <c r="I408" s="41">
        <v>955</v>
      </c>
      <c r="J408" s="42"/>
      <c r="K408" s="43"/>
      <c r="L408" s="19"/>
      <c r="M408" s="43"/>
      <c r="N408" s="44"/>
      <c r="O408" s="45">
        <f t="shared" si="252"/>
        <v>955</v>
      </c>
      <c r="P408" s="51"/>
      <c r="Q408" s="51"/>
      <c r="R408" s="74">
        <f t="shared" si="249"/>
        <v>273.4375</v>
      </c>
      <c r="S408" s="74"/>
      <c r="T408" s="75">
        <f t="shared" si="250"/>
        <v>3.480859375</v>
      </c>
      <c r="U408" s="74"/>
      <c r="V408" s="74"/>
      <c r="W408" s="76">
        <f t="shared" si="246"/>
        <v>276.918359375</v>
      </c>
      <c r="X408" s="77">
        <f t="shared" si="251"/>
        <v>11.1015625</v>
      </c>
      <c r="Y408" s="77">
        <v>10.33</v>
      </c>
      <c r="Z408" s="77"/>
      <c r="AA408" s="77">
        <f t="shared" si="237"/>
        <v>21.4315625</v>
      </c>
      <c r="AB408" s="87">
        <v>7.26</v>
      </c>
      <c r="AC408" s="74">
        <f t="shared" si="247"/>
        <v>155.59314375</v>
      </c>
      <c r="AD408" s="74">
        <f t="shared" si="248"/>
        <v>432.511503125</v>
      </c>
      <c r="AE408" s="74">
        <f t="shared" si="245"/>
        <v>522.488496875</v>
      </c>
    </row>
    <row r="409" customFormat="1" spans="1:31">
      <c r="A409" s="18"/>
      <c r="B409" s="19"/>
      <c r="C409" s="20">
        <v>240713000010</v>
      </c>
      <c r="D409" s="21">
        <v>45490</v>
      </c>
      <c r="E409" s="21" t="s">
        <v>40</v>
      </c>
      <c r="F409" s="19" t="s">
        <v>41</v>
      </c>
      <c r="G409" s="19" t="s">
        <v>350</v>
      </c>
      <c r="H409" s="19">
        <v>0.63</v>
      </c>
      <c r="I409" s="41">
        <v>170</v>
      </c>
      <c r="J409" s="42"/>
      <c r="K409" s="43"/>
      <c r="L409" s="19"/>
      <c r="M409" s="43"/>
      <c r="N409" s="44"/>
      <c r="O409" s="45">
        <f t="shared" si="252"/>
        <v>170</v>
      </c>
      <c r="P409" s="51"/>
      <c r="Q409" s="51"/>
      <c r="R409" s="74">
        <f t="shared" si="249"/>
        <v>49.21875</v>
      </c>
      <c r="S409" s="74"/>
      <c r="T409" s="75">
        <f t="shared" si="250"/>
        <v>0.6265546875</v>
      </c>
      <c r="U409" s="74"/>
      <c r="V409" s="74"/>
      <c r="W409" s="76">
        <f t="shared" si="246"/>
        <v>49.8453046875</v>
      </c>
      <c r="X409" s="77">
        <f t="shared" si="251"/>
        <v>1.99828125</v>
      </c>
      <c r="Y409" s="77"/>
      <c r="Z409" s="77"/>
      <c r="AA409" s="77">
        <f t="shared" si="237"/>
        <v>1.99828125</v>
      </c>
      <c r="AB409" s="87">
        <v>7.26</v>
      </c>
      <c r="AC409" s="74">
        <f t="shared" si="247"/>
        <v>14.507521875</v>
      </c>
      <c r="AD409" s="74">
        <f t="shared" si="248"/>
        <v>64.3528265625</v>
      </c>
      <c r="AE409" s="74">
        <f t="shared" si="245"/>
        <v>105.6471734375</v>
      </c>
    </row>
    <row r="410" customFormat="1" spans="1:31">
      <c r="A410" s="18"/>
      <c r="B410" s="19"/>
      <c r="C410" s="20">
        <v>240713000013</v>
      </c>
      <c r="D410" s="21">
        <v>45490</v>
      </c>
      <c r="E410" s="21" t="s">
        <v>37</v>
      </c>
      <c r="F410" s="19" t="s">
        <v>37</v>
      </c>
      <c r="G410" s="19" t="s">
        <v>63</v>
      </c>
      <c r="H410" s="19">
        <v>1.5</v>
      </c>
      <c r="I410" s="41">
        <v>180</v>
      </c>
      <c r="J410" s="42"/>
      <c r="K410" s="43"/>
      <c r="L410" s="19"/>
      <c r="M410" s="43"/>
      <c r="N410" s="44"/>
      <c r="O410" s="45">
        <f t="shared" si="252"/>
        <v>180</v>
      </c>
      <c r="P410" s="51"/>
      <c r="Q410" s="51"/>
      <c r="R410" s="74">
        <f t="shared" si="249"/>
        <v>117.1875</v>
      </c>
      <c r="S410" s="74"/>
      <c r="T410" s="75">
        <f t="shared" si="250"/>
        <v>1.491796875</v>
      </c>
      <c r="U410" s="74"/>
      <c r="V410" s="74"/>
      <c r="W410" s="76">
        <f t="shared" si="246"/>
        <v>118.679296875</v>
      </c>
      <c r="X410" s="77">
        <f t="shared" si="251"/>
        <v>4.7578125</v>
      </c>
      <c r="Y410" s="77"/>
      <c r="Z410" s="77"/>
      <c r="AA410" s="77">
        <f t="shared" si="237"/>
        <v>4.7578125</v>
      </c>
      <c r="AB410" s="87">
        <v>7.26</v>
      </c>
      <c r="AC410" s="74">
        <f t="shared" si="247"/>
        <v>34.54171875</v>
      </c>
      <c r="AD410" s="74">
        <f t="shared" si="248"/>
        <v>153.221015625</v>
      </c>
      <c r="AE410" s="74">
        <f t="shared" si="245"/>
        <v>26.778984375</v>
      </c>
    </row>
    <row r="411" customFormat="1" spans="1:31">
      <c r="A411" s="18"/>
      <c r="B411" s="19"/>
      <c r="C411" s="20">
        <v>240713000019</v>
      </c>
      <c r="D411" s="21">
        <v>45490</v>
      </c>
      <c r="E411" s="21" t="s">
        <v>47</v>
      </c>
      <c r="F411" s="19" t="s">
        <v>48</v>
      </c>
      <c r="G411" s="19" t="s">
        <v>122</v>
      </c>
      <c r="H411" s="19">
        <v>0.24</v>
      </c>
      <c r="I411" s="45"/>
      <c r="J411" s="48">
        <v>25648</v>
      </c>
      <c r="K411" s="43"/>
      <c r="L411" s="49">
        <f t="shared" ref="L411:L416" si="253">SUM(J411/M411)</f>
        <v>1606.01127113337</v>
      </c>
      <c r="M411" s="50">
        <v>15.97</v>
      </c>
      <c r="N411" s="44">
        <v>7.26</v>
      </c>
      <c r="O411" s="45">
        <f t="shared" ref="O411:O416" si="254">SUM(M411*N411)</f>
        <v>115.9422</v>
      </c>
      <c r="P411" s="51"/>
      <c r="Q411" s="51"/>
      <c r="R411" s="74">
        <f t="shared" si="249"/>
        <v>18.75</v>
      </c>
      <c r="S411" s="74"/>
      <c r="T411" s="75">
        <f t="shared" si="250"/>
        <v>0.2386875</v>
      </c>
      <c r="U411" s="74"/>
      <c r="V411" s="74"/>
      <c r="W411" s="76">
        <f t="shared" si="246"/>
        <v>18.9886875</v>
      </c>
      <c r="X411" s="77">
        <f t="shared" si="251"/>
        <v>0.76125</v>
      </c>
      <c r="Y411" s="77"/>
      <c r="Z411" s="77"/>
      <c r="AA411" s="77">
        <f t="shared" si="237"/>
        <v>0.76125</v>
      </c>
      <c r="AB411" s="87">
        <v>7.26</v>
      </c>
      <c r="AC411" s="74">
        <f t="shared" si="247"/>
        <v>5.526675</v>
      </c>
      <c r="AD411" s="74">
        <f t="shared" si="248"/>
        <v>24.5153625</v>
      </c>
      <c r="AE411" s="74">
        <f t="shared" si="245"/>
        <v>91.4268375</v>
      </c>
    </row>
    <row r="412" customFormat="1" spans="1:31">
      <c r="A412" s="18"/>
      <c r="B412" s="19"/>
      <c r="C412" s="20">
        <v>240715000011</v>
      </c>
      <c r="D412" s="21">
        <v>45490</v>
      </c>
      <c r="E412" s="21" t="s">
        <v>58</v>
      </c>
      <c r="F412" s="19" t="s">
        <v>59</v>
      </c>
      <c r="G412" s="19" t="s">
        <v>234</v>
      </c>
      <c r="H412" s="19">
        <v>2.5</v>
      </c>
      <c r="I412" s="41">
        <v>300</v>
      </c>
      <c r="J412" s="42"/>
      <c r="K412" s="43"/>
      <c r="L412" s="19"/>
      <c r="M412" s="43"/>
      <c r="N412" s="44"/>
      <c r="O412" s="45">
        <f t="shared" ref="O412:O415" si="255">SUM(I412)</f>
        <v>300</v>
      </c>
      <c r="P412" s="51"/>
      <c r="Q412" s="51"/>
      <c r="R412" s="74">
        <f t="shared" si="249"/>
        <v>195.3125</v>
      </c>
      <c r="S412" s="74"/>
      <c r="T412" s="75">
        <f t="shared" si="250"/>
        <v>2.486328125</v>
      </c>
      <c r="U412" s="74"/>
      <c r="V412" s="74"/>
      <c r="W412" s="76">
        <f t="shared" si="246"/>
        <v>197.798828125</v>
      </c>
      <c r="X412" s="77">
        <f t="shared" si="251"/>
        <v>7.9296875</v>
      </c>
      <c r="Y412" s="77"/>
      <c r="Z412" s="77"/>
      <c r="AA412" s="77">
        <f t="shared" si="237"/>
        <v>7.9296875</v>
      </c>
      <c r="AB412" s="87">
        <v>7.26</v>
      </c>
      <c r="AC412" s="74">
        <f t="shared" si="247"/>
        <v>57.56953125</v>
      </c>
      <c r="AD412" s="74">
        <f t="shared" si="248"/>
        <v>255.368359375</v>
      </c>
      <c r="AE412" s="74">
        <f t="shared" si="245"/>
        <v>44.631640625</v>
      </c>
    </row>
    <row r="413" customFormat="1" spans="1:31">
      <c r="A413" s="18"/>
      <c r="B413" s="19"/>
      <c r="C413" s="20">
        <v>240715000023</v>
      </c>
      <c r="D413" s="21">
        <v>45490</v>
      </c>
      <c r="E413" s="21" t="s">
        <v>37</v>
      </c>
      <c r="F413" s="19" t="s">
        <v>37</v>
      </c>
      <c r="G413" s="19" t="s">
        <v>351</v>
      </c>
      <c r="H413" s="19">
        <v>14.5</v>
      </c>
      <c r="I413" s="47"/>
      <c r="J413" s="48">
        <v>382800</v>
      </c>
      <c r="K413" s="43"/>
      <c r="L413" s="49">
        <f t="shared" si="253"/>
        <v>1597.26278895101</v>
      </c>
      <c r="M413" s="50">
        <v>239.66</v>
      </c>
      <c r="N413" s="44">
        <v>7.26</v>
      </c>
      <c r="O413" s="45">
        <f t="shared" si="254"/>
        <v>1739.9316</v>
      </c>
      <c r="P413" s="51"/>
      <c r="Q413" s="51"/>
      <c r="R413" s="74">
        <f t="shared" si="249"/>
        <v>1132.8125</v>
      </c>
      <c r="S413" s="74"/>
      <c r="T413" s="75">
        <f t="shared" si="250"/>
        <v>14.420703125</v>
      </c>
      <c r="U413" s="74"/>
      <c r="V413" s="74"/>
      <c r="W413" s="76">
        <f t="shared" si="246"/>
        <v>1147.233203125</v>
      </c>
      <c r="X413" s="77">
        <f t="shared" si="251"/>
        <v>45.9921875</v>
      </c>
      <c r="Y413" s="77"/>
      <c r="Z413" s="77"/>
      <c r="AA413" s="77">
        <f t="shared" si="237"/>
        <v>45.9921875</v>
      </c>
      <c r="AB413" s="87">
        <v>7.26</v>
      </c>
      <c r="AC413" s="74">
        <f t="shared" si="247"/>
        <v>333.90328125</v>
      </c>
      <c r="AD413" s="74">
        <f t="shared" si="248"/>
        <v>1481.136484375</v>
      </c>
      <c r="AE413" s="74">
        <f t="shared" si="245"/>
        <v>258.795115625</v>
      </c>
    </row>
    <row r="414" customFormat="1" spans="1:31">
      <c r="A414" s="18"/>
      <c r="B414" s="19"/>
      <c r="C414" s="20">
        <v>240715000032</v>
      </c>
      <c r="D414" s="21">
        <v>45490</v>
      </c>
      <c r="E414" s="21" t="s">
        <v>55</v>
      </c>
      <c r="F414" s="19" t="s">
        <v>56</v>
      </c>
      <c r="G414" s="19" t="s">
        <v>138</v>
      </c>
      <c r="H414" s="19">
        <v>3.5</v>
      </c>
      <c r="I414" s="41">
        <v>402.5</v>
      </c>
      <c r="J414" s="42"/>
      <c r="K414" s="43"/>
      <c r="L414" s="19"/>
      <c r="M414" s="43"/>
      <c r="N414" s="44"/>
      <c r="O414" s="45">
        <f t="shared" si="255"/>
        <v>402.5</v>
      </c>
      <c r="P414" s="51"/>
      <c r="Q414" s="51"/>
      <c r="R414" s="74">
        <f t="shared" si="249"/>
        <v>273.4375</v>
      </c>
      <c r="S414" s="74"/>
      <c r="T414" s="75">
        <f t="shared" si="250"/>
        <v>3.480859375</v>
      </c>
      <c r="U414" s="74"/>
      <c r="V414" s="74"/>
      <c r="W414" s="76">
        <f t="shared" si="246"/>
        <v>276.918359375</v>
      </c>
      <c r="X414" s="77">
        <f t="shared" si="251"/>
        <v>11.1015625</v>
      </c>
      <c r="Y414" s="77"/>
      <c r="Z414" s="77"/>
      <c r="AA414" s="77">
        <f t="shared" si="237"/>
        <v>11.1015625</v>
      </c>
      <c r="AB414" s="87">
        <v>7.26</v>
      </c>
      <c r="AC414" s="74">
        <f t="shared" ref="AC414:AC445" si="256">SUM(AA414*AB414)</f>
        <v>80.59734375</v>
      </c>
      <c r="AD414" s="74">
        <f t="shared" ref="AD414:AD445" si="257">SUM(W414+AC414)</f>
        <v>357.515703125</v>
      </c>
      <c r="AE414" s="74">
        <f t="shared" ref="AE414:AE445" si="258">SUM(O414-AD414)</f>
        <v>44.984296875</v>
      </c>
    </row>
    <row r="415" customFormat="1" spans="1:31">
      <c r="A415" s="18"/>
      <c r="B415" s="19"/>
      <c r="C415" s="20">
        <v>240716000008</v>
      </c>
      <c r="D415" s="21">
        <v>45490</v>
      </c>
      <c r="E415" s="21" t="s">
        <v>44</v>
      </c>
      <c r="F415" s="19" t="s">
        <v>45</v>
      </c>
      <c r="G415" s="19" t="s">
        <v>352</v>
      </c>
      <c r="H415" s="19">
        <v>11.5</v>
      </c>
      <c r="I415" s="41">
        <v>1380</v>
      </c>
      <c r="J415" s="42"/>
      <c r="K415" s="43"/>
      <c r="L415" s="19"/>
      <c r="M415" s="43"/>
      <c r="N415" s="44"/>
      <c r="O415" s="45">
        <f t="shared" si="255"/>
        <v>1380</v>
      </c>
      <c r="P415" s="52"/>
      <c r="Q415" s="52"/>
      <c r="R415" s="74">
        <f t="shared" si="249"/>
        <v>898.4375</v>
      </c>
      <c r="S415" s="74"/>
      <c r="T415" s="75">
        <f t="shared" si="250"/>
        <v>11.437109375</v>
      </c>
      <c r="U415" s="74"/>
      <c r="V415" s="74"/>
      <c r="W415" s="76">
        <f t="shared" ref="W415:W446" si="259">SUM(R415:V415)</f>
        <v>909.874609375</v>
      </c>
      <c r="X415" s="77">
        <f t="shared" si="251"/>
        <v>36.4765625</v>
      </c>
      <c r="Y415" s="77"/>
      <c r="Z415" s="77"/>
      <c r="AA415" s="77">
        <f t="shared" ref="AA415:AA446" si="260">SUM(X415:Z415)</f>
        <v>36.4765625</v>
      </c>
      <c r="AB415" s="87">
        <v>7.26</v>
      </c>
      <c r="AC415" s="74">
        <f t="shared" si="256"/>
        <v>264.81984375</v>
      </c>
      <c r="AD415" s="74">
        <f t="shared" si="257"/>
        <v>1174.694453125</v>
      </c>
      <c r="AE415" s="74">
        <f t="shared" si="258"/>
        <v>205.305546875</v>
      </c>
    </row>
    <row r="416" customFormat="1" spans="1:31">
      <c r="A416" s="18" t="s">
        <v>353</v>
      </c>
      <c r="B416" s="19" t="s">
        <v>354</v>
      </c>
      <c r="C416" s="20">
        <v>240706000001</v>
      </c>
      <c r="D416" s="21">
        <v>45488</v>
      </c>
      <c r="E416" s="21" t="s">
        <v>81</v>
      </c>
      <c r="F416" s="19" t="s">
        <v>270</v>
      </c>
      <c r="G416" s="19" t="s">
        <v>355</v>
      </c>
      <c r="H416" s="19">
        <v>64</v>
      </c>
      <c r="I416" s="45"/>
      <c r="J416" s="48">
        <v>1096288</v>
      </c>
      <c r="K416" s="43"/>
      <c r="L416" s="49">
        <f t="shared" si="253"/>
        <v>1606.00041018429</v>
      </c>
      <c r="M416" s="50">
        <v>682.62</v>
      </c>
      <c r="N416" s="44">
        <v>7.26</v>
      </c>
      <c r="O416" s="45">
        <f t="shared" si="254"/>
        <v>4955.8212</v>
      </c>
      <c r="P416" s="46">
        <f>SUM(O416:O467)</f>
        <v>177133.70080726</v>
      </c>
      <c r="Q416" s="46" t="s">
        <v>130</v>
      </c>
      <c r="R416" s="74">
        <f>SUM(135419/2865)*H416</f>
        <v>3025.06666666667</v>
      </c>
      <c r="S416" s="74"/>
      <c r="T416" s="75">
        <f>SUM(178/2865)*H416</f>
        <v>3.97626527050611</v>
      </c>
      <c r="U416" s="74"/>
      <c r="V416" s="74"/>
      <c r="W416" s="76">
        <f t="shared" si="259"/>
        <v>3029.04293193717</v>
      </c>
      <c r="X416" s="77">
        <f>SUM(2072.6/2865)*H416</f>
        <v>46.2989179755672</v>
      </c>
      <c r="Y416" s="77"/>
      <c r="Z416" s="77"/>
      <c r="AA416" s="77">
        <f t="shared" si="260"/>
        <v>46.2989179755672</v>
      </c>
      <c r="AB416" s="87">
        <v>7.26</v>
      </c>
      <c r="AC416" s="74">
        <f t="shared" si="256"/>
        <v>336.130144502618</v>
      </c>
      <c r="AD416" s="74">
        <f t="shared" si="257"/>
        <v>3365.17307643979</v>
      </c>
      <c r="AE416" s="74">
        <f t="shared" si="258"/>
        <v>1590.64812356021</v>
      </c>
    </row>
    <row r="417" customFormat="1" spans="1:31">
      <c r="A417" s="18"/>
      <c r="B417" s="19"/>
      <c r="C417" s="20">
        <v>240706000004</v>
      </c>
      <c r="D417" s="21">
        <v>45488</v>
      </c>
      <c r="E417" s="21" t="s">
        <v>44</v>
      </c>
      <c r="F417" s="19" t="s">
        <v>45</v>
      </c>
      <c r="G417" s="19" t="s">
        <v>356</v>
      </c>
      <c r="H417" s="19">
        <v>3.5</v>
      </c>
      <c r="I417" s="41">
        <v>257.4</v>
      </c>
      <c r="J417" s="42"/>
      <c r="K417" s="43"/>
      <c r="L417" s="19"/>
      <c r="M417" s="43"/>
      <c r="N417" s="44"/>
      <c r="O417" s="45">
        <f t="shared" ref="O417:O419" si="261">SUM(I417)</f>
        <v>257.4</v>
      </c>
      <c r="P417" s="51"/>
      <c r="Q417" s="51"/>
      <c r="R417" s="74">
        <f t="shared" ref="R417:R448" si="262">SUM(135419/2865)*H417</f>
        <v>165.433333333333</v>
      </c>
      <c r="S417" s="74"/>
      <c r="T417" s="75">
        <f t="shared" ref="T417:T448" si="263">SUM(178/2865)*H417</f>
        <v>0.217452006980803</v>
      </c>
      <c r="U417" s="74"/>
      <c r="V417" s="74"/>
      <c r="W417" s="76">
        <f t="shared" si="259"/>
        <v>165.650785340314</v>
      </c>
      <c r="X417" s="77">
        <f t="shared" ref="X417:X448" si="264">SUM(2072.6/2865)*H417</f>
        <v>2.53197207678883</v>
      </c>
      <c r="Y417" s="77"/>
      <c r="Z417" s="77"/>
      <c r="AA417" s="77">
        <f t="shared" si="260"/>
        <v>2.53197207678883</v>
      </c>
      <c r="AB417" s="87">
        <v>7.26</v>
      </c>
      <c r="AC417" s="74">
        <f t="shared" si="256"/>
        <v>18.3821172774869</v>
      </c>
      <c r="AD417" s="74">
        <f t="shared" si="257"/>
        <v>184.032902617801</v>
      </c>
      <c r="AE417" s="74">
        <f t="shared" si="258"/>
        <v>73.367097382199</v>
      </c>
    </row>
    <row r="418" customFormat="1" spans="1:31">
      <c r="A418" s="18"/>
      <c r="B418" s="19"/>
      <c r="C418" s="20">
        <v>240706000010</v>
      </c>
      <c r="D418" s="21">
        <v>45488</v>
      </c>
      <c r="E418" s="21" t="s">
        <v>55</v>
      </c>
      <c r="F418" s="19" t="s">
        <v>56</v>
      </c>
      <c r="G418" s="19" t="s">
        <v>357</v>
      </c>
      <c r="H418" s="19">
        <v>7.5</v>
      </c>
      <c r="I418" s="47"/>
      <c r="J418" s="48">
        <v>110493</v>
      </c>
      <c r="K418" s="43"/>
      <c r="L418" s="49">
        <f>SUM(J418/M418)</f>
        <v>1582.76751181779</v>
      </c>
      <c r="M418" s="50">
        <v>69.81</v>
      </c>
      <c r="N418" s="44">
        <v>7.26</v>
      </c>
      <c r="O418" s="45">
        <f>SUM(M418*N418)</f>
        <v>506.8206</v>
      </c>
      <c r="P418" s="51"/>
      <c r="Q418" s="51"/>
      <c r="R418" s="74">
        <f t="shared" si="262"/>
        <v>354.5</v>
      </c>
      <c r="S418" s="74"/>
      <c r="T418" s="75">
        <f t="shared" si="263"/>
        <v>0.465968586387435</v>
      </c>
      <c r="U418" s="74">
        <v>30</v>
      </c>
      <c r="V418" s="74"/>
      <c r="W418" s="76">
        <f t="shared" si="259"/>
        <v>384.965968586387</v>
      </c>
      <c r="X418" s="77">
        <f t="shared" si="264"/>
        <v>5.42565445026178</v>
      </c>
      <c r="Y418" s="77"/>
      <c r="Z418" s="77"/>
      <c r="AA418" s="77">
        <f t="shared" si="260"/>
        <v>5.42565445026178</v>
      </c>
      <c r="AB418" s="87">
        <v>7.26</v>
      </c>
      <c r="AC418" s="74">
        <f t="shared" si="256"/>
        <v>39.3902513089005</v>
      </c>
      <c r="AD418" s="74">
        <f t="shared" si="257"/>
        <v>424.356219895288</v>
      </c>
      <c r="AE418" s="74">
        <f t="shared" si="258"/>
        <v>82.464380104712</v>
      </c>
    </row>
    <row r="419" customFormat="1" spans="1:31">
      <c r="A419" s="18"/>
      <c r="B419" s="19"/>
      <c r="C419" s="20">
        <v>240708000005</v>
      </c>
      <c r="D419" s="21">
        <v>45488</v>
      </c>
      <c r="E419" s="21" t="s">
        <v>40</v>
      </c>
      <c r="F419" s="19" t="s">
        <v>41</v>
      </c>
      <c r="G419" s="19" t="s">
        <v>358</v>
      </c>
      <c r="H419" s="19">
        <v>4.5</v>
      </c>
      <c r="I419" s="41">
        <v>330</v>
      </c>
      <c r="J419" s="42"/>
      <c r="K419" s="43"/>
      <c r="L419" s="19"/>
      <c r="M419" s="43"/>
      <c r="N419" s="44"/>
      <c r="O419" s="45">
        <f t="shared" si="261"/>
        <v>330</v>
      </c>
      <c r="P419" s="51"/>
      <c r="Q419" s="51"/>
      <c r="R419" s="74">
        <f t="shared" si="262"/>
        <v>212.7</v>
      </c>
      <c r="S419" s="74"/>
      <c r="T419" s="75">
        <f t="shared" si="263"/>
        <v>0.279581151832461</v>
      </c>
      <c r="U419" s="74"/>
      <c r="V419" s="74"/>
      <c r="W419" s="76">
        <f t="shared" si="259"/>
        <v>212.979581151832</v>
      </c>
      <c r="X419" s="77">
        <f t="shared" si="264"/>
        <v>3.25539267015707</v>
      </c>
      <c r="Y419" s="77"/>
      <c r="Z419" s="77"/>
      <c r="AA419" s="77">
        <f t="shared" si="260"/>
        <v>3.25539267015707</v>
      </c>
      <c r="AB419" s="87">
        <v>7.26</v>
      </c>
      <c r="AC419" s="74">
        <f t="shared" si="256"/>
        <v>23.6341507853403</v>
      </c>
      <c r="AD419" s="74">
        <f t="shared" si="257"/>
        <v>236.613731937173</v>
      </c>
      <c r="AE419" s="74">
        <f t="shared" si="258"/>
        <v>93.386268062827</v>
      </c>
    </row>
    <row r="420" customFormat="1" spans="1:31">
      <c r="A420" s="18"/>
      <c r="B420" s="19"/>
      <c r="C420" s="20">
        <v>240708000006</v>
      </c>
      <c r="D420" s="21">
        <v>45488</v>
      </c>
      <c r="E420" s="21" t="s">
        <v>40</v>
      </c>
      <c r="F420" s="19" t="s">
        <v>41</v>
      </c>
      <c r="G420" s="19" t="s">
        <v>43</v>
      </c>
      <c r="H420" s="19">
        <v>15</v>
      </c>
      <c r="I420" s="47"/>
      <c r="J420" s="48">
        <v>232234</v>
      </c>
      <c r="K420" s="43"/>
      <c r="L420" s="49">
        <f>SUM(J420/M420)</f>
        <v>1611.72878062322</v>
      </c>
      <c r="M420" s="50">
        <v>144.09</v>
      </c>
      <c r="N420" s="44">
        <v>7.26</v>
      </c>
      <c r="O420" s="45">
        <f>SUM(M420*N420)</f>
        <v>1046.0934</v>
      </c>
      <c r="P420" s="51"/>
      <c r="Q420" s="51"/>
      <c r="R420" s="74">
        <f t="shared" si="262"/>
        <v>709</v>
      </c>
      <c r="S420" s="74"/>
      <c r="T420" s="75">
        <f t="shared" si="263"/>
        <v>0.931937172774869</v>
      </c>
      <c r="U420" s="74"/>
      <c r="V420" s="74"/>
      <c r="W420" s="76">
        <f t="shared" si="259"/>
        <v>709.931937172775</v>
      </c>
      <c r="X420" s="77">
        <f t="shared" si="264"/>
        <v>10.8513089005236</v>
      </c>
      <c r="Y420" s="77"/>
      <c r="Z420" s="77"/>
      <c r="AA420" s="77">
        <f t="shared" si="260"/>
        <v>10.8513089005236</v>
      </c>
      <c r="AB420" s="87">
        <v>7.26</v>
      </c>
      <c r="AC420" s="74">
        <f t="shared" si="256"/>
        <v>78.780502617801</v>
      </c>
      <c r="AD420" s="74">
        <f t="shared" si="257"/>
        <v>788.712439790576</v>
      </c>
      <c r="AE420" s="74">
        <f t="shared" si="258"/>
        <v>257.380960209424</v>
      </c>
    </row>
    <row r="421" customFormat="1" spans="1:31">
      <c r="A421" s="18"/>
      <c r="B421" s="19"/>
      <c r="C421" s="20">
        <v>240708000009</v>
      </c>
      <c r="D421" s="21">
        <v>45488</v>
      </c>
      <c r="E421" s="21" t="s">
        <v>40</v>
      </c>
      <c r="F421" s="19" t="s">
        <v>41</v>
      </c>
      <c r="G421" s="19" t="s">
        <v>359</v>
      </c>
      <c r="H421" s="19">
        <v>89.5</v>
      </c>
      <c r="I421" s="47"/>
      <c r="J421" s="48">
        <v>1336162.5</v>
      </c>
      <c r="K421" s="43"/>
      <c r="L421" s="49">
        <f>SUM(J421/M421)</f>
        <v>1633.51039769185</v>
      </c>
      <c r="M421" s="50">
        <v>817.97</v>
      </c>
      <c r="N421" s="44">
        <v>7.26</v>
      </c>
      <c r="O421" s="45">
        <f>SUM(M421*N421)</f>
        <v>5938.4622</v>
      </c>
      <c r="P421" s="51"/>
      <c r="Q421" s="51"/>
      <c r="R421" s="74">
        <f t="shared" si="262"/>
        <v>4230.36666666667</v>
      </c>
      <c r="S421" s="74"/>
      <c r="T421" s="75">
        <f t="shared" si="263"/>
        <v>5.56055846422339</v>
      </c>
      <c r="U421" s="75">
        <v>300</v>
      </c>
      <c r="V421" s="74"/>
      <c r="W421" s="76">
        <f t="shared" si="259"/>
        <v>4535.92722513089</v>
      </c>
      <c r="X421" s="77">
        <f t="shared" si="264"/>
        <v>64.7461431064572</v>
      </c>
      <c r="Y421" s="77"/>
      <c r="Z421" s="77"/>
      <c r="AA421" s="77">
        <f t="shared" si="260"/>
        <v>64.7461431064572</v>
      </c>
      <c r="AB421" s="87">
        <v>7.26</v>
      </c>
      <c r="AC421" s="74">
        <f t="shared" si="256"/>
        <v>470.05699895288</v>
      </c>
      <c r="AD421" s="74">
        <f t="shared" si="257"/>
        <v>5005.98422408377</v>
      </c>
      <c r="AE421" s="74">
        <f t="shared" si="258"/>
        <v>932.47797591623</v>
      </c>
    </row>
    <row r="422" customFormat="1" spans="1:31">
      <c r="A422" s="18"/>
      <c r="B422" s="19"/>
      <c r="C422" s="20">
        <v>240708000011</v>
      </c>
      <c r="D422" s="21">
        <v>45488</v>
      </c>
      <c r="E422" s="21" t="s">
        <v>40</v>
      </c>
      <c r="F422" s="19" t="s">
        <v>41</v>
      </c>
      <c r="G422" s="19" t="s">
        <v>277</v>
      </c>
      <c r="H422" s="19">
        <v>6.5</v>
      </c>
      <c r="I422" s="41">
        <v>455</v>
      </c>
      <c r="J422" s="42"/>
      <c r="K422" s="43"/>
      <c r="L422" s="19"/>
      <c r="M422" s="43"/>
      <c r="N422" s="44"/>
      <c r="O422" s="45">
        <f t="shared" ref="O422:O426" si="265">SUM(I422)</f>
        <v>455</v>
      </c>
      <c r="P422" s="51"/>
      <c r="Q422" s="51"/>
      <c r="R422" s="74">
        <f t="shared" si="262"/>
        <v>307.233333333333</v>
      </c>
      <c r="S422" s="74"/>
      <c r="T422" s="75">
        <f t="shared" si="263"/>
        <v>0.403839441535777</v>
      </c>
      <c r="U422" s="74"/>
      <c r="V422" s="74"/>
      <c r="W422" s="76">
        <f t="shared" si="259"/>
        <v>307.637172774869</v>
      </c>
      <c r="X422" s="77">
        <f t="shared" si="264"/>
        <v>4.70223385689354</v>
      </c>
      <c r="Y422" s="77"/>
      <c r="Z422" s="77"/>
      <c r="AA422" s="77">
        <f t="shared" si="260"/>
        <v>4.70223385689354</v>
      </c>
      <c r="AB422" s="87">
        <v>7.26</v>
      </c>
      <c r="AC422" s="74">
        <f t="shared" si="256"/>
        <v>34.1382178010471</v>
      </c>
      <c r="AD422" s="74">
        <f t="shared" si="257"/>
        <v>341.775390575916</v>
      </c>
      <c r="AE422" s="74">
        <f t="shared" si="258"/>
        <v>113.224609424084</v>
      </c>
    </row>
    <row r="423" customFormat="1" spans="1:31">
      <c r="A423" s="18"/>
      <c r="B423" s="19"/>
      <c r="C423" s="20">
        <v>240708000012</v>
      </c>
      <c r="D423" s="21">
        <v>45488</v>
      </c>
      <c r="E423" s="21" t="s">
        <v>44</v>
      </c>
      <c r="F423" s="19" t="s">
        <v>45</v>
      </c>
      <c r="G423" s="19" t="s">
        <v>360</v>
      </c>
      <c r="H423" s="19">
        <v>1.5</v>
      </c>
      <c r="I423" s="41">
        <v>180.2</v>
      </c>
      <c r="J423" s="42"/>
      <c r="K423" s="43"/>
      <c r="L423" s="19"/>
      <c r="M423" s="43"/>
      <c r="N423" s="44"/>
      <c r="O423" s="45">
        <f t="shared" si="265"/>
        <v>180.2</v>
      </c>
      <c r="P423" s="51"/>
      <c r="Q423" s="51"/>
      <c r="R423" s="74">
        <f t="shared" si="262"/>
        <v>70.9</v>
      </c>
      <c r="S423" s="74"/>
      <c r="T423" s="75">
        <f t="shared" si="263"/>
        <v>0.0931937172774869</v>
      </c>
      <c r="U423" s="74"/>
      <c r="V423" s="74"/>
      <c r="W423" s="76">
        <f t="shared" si="259"/>
        <v>70.9931937172775</v>
      </c>
      <c r="X423" s="77">
        <f t="shared" si="264"/>
        <v>1.08513089005236</v>
      </c>
      <c r="Y423" s="77">
        <v>6.98</v>
      </c>
      <c r="Z423" s="77"/>
      <c r="AA423" s="77">
        <f t="shared" si="260"/>
        <v>8.06513089005236</v>
      </c>
      <c r="AB423" s="87">
        <v>7.26</v>
      </c>
      <c r="AC423" s="74">
        <f t="shared" si="256"/>
        <v>58.5528502617801</v>
      </c>
      <c r="AD423" s="74">
        <f t="shared" si="257"/>
        <v>129.546043979058</v>
      </c>
      <c r="AE423" s="74">
        <f t="shared" si="258"/>
        <v>50.653956020942</v>
      </c>
    </row>
    <row r="424" customFormat="1" spans="1:31">
      <c r="A424" s="18"/>
      <c r="B424" s="19"/>
      <c r="C424" s="20">
        <v>240708000016</v>
      </c>
      <c r="D424" s="21">
        <v>45488</v>
      </c>
      <c r="E424" s="21" t="s">
        <v>40</v>
      </c>
      <c r="F424" s="19" t="s">
        <v>41</v>
      </c>
      <c r="G424" s="19" t="s">
        <v>180</v>
      </c>
      <c r="H424" s="19">
        <v>2.5</v>
      </c>
      <c r="I424" s="41">
        <v>178</v>
      </c>
      <c r="J424" s="42"/>
      <c r="K424" s="43"/>
      <c r="L424" s="19"/>
      <c r="M424" s="43"/>
      <c r="N424" s="44"/>
      <c r="O424" s="45">
        <f t="shared" si="265"/>
        <v>178</v>
      </c>
      <c r="P424" s="51"/>
      <c r="Q424" s="51"/>
      <c r="R424" s="74">
        <f t="shared" si="262"/>
        <v>118.166666666667</v>
      </c>
      <c r="S424" s="74"/>
      <c r="T424" s="75">
        <f t="shared" si="263"/>
        <v>0.155322862129145</v>
      </c>
      <c r="U424" s="74"/>
      <c r="V424" s="74"/>
      <c r="W424" s="76">
        <f t="shared" si="259"/>
        <v>118.321989528796</v>
      </c>
      <c r="X424" s="77">
        <f t="shared" si="264"/>
        <v>1.80855148342059</v>
      </c>
      <c r="Y424" s="77">
        <v>3.44</v>
      </c>
      <c r="Z424" s="77"/>
      <c r="AA424" s="77">
        <f t="shared" si="260"/>
        <v>5.24855148342059</v>
      </c>
      <c r="AB424" s="87">
        <v>7.26</v>
      </c>
      <c r="AC424" s="74">
        <f t="shared" si="256"/>
        <v>38.1044837696335</v>
      </c>
      <c r="AD424" s="74">
        <f t="shared" si="257"/>
        <v>156.426473298429</v>
      </c>
      <c r="AE424" s="74">
        <f t="shared" si="258"/>
        <v>21.573526701571</v>
      </c>
    </row>
    <row r="425" customFormat="1" spans="1:31">
      <c r="A425" s="18"/>
      <c r="B425" s="19"/>
      <c r="C425" s="20">
        <v>240708000019</v>
      </c>
      <c r="D425" s="21">
        <v>45488</v>
      </c>
      <c r="E425" s="21" t="s">
        <v>44</v>
      </c>
      <c r="F425" s="19" t="s">
        <v>45</v>
      </c>
      <c r="G425" s="19" t="s">
        <v>361</v>
      </c>
      <c r="H425" s="19">
        <v>36</v>
      </c>
      <c r="I425" s="41">
        <v>2386</v>
      </c>
      <c r="J425" s="42"/>
      <c r="K425" s="43"/>
      <c r="L425" s="19"/>
      <c r="M425" s="43"/>
      <c r="N425" s="44"/>
      <c r="O425" s="45">
        <f t="shared" si="265"/>
        <v>2386</v>
      </c>
      <c r="P425" s="51"/>
      <c r="Q425" s="51"/>
      <c r="R425" s="74">
        <f t="shared" si="262"/>
        <v>1701.6</v>
      </c>
      <c r="S425" s="74"/>
      <c r="T425" s="75">
        <f t="shared" si="263"/>
        <v>2.23664921465969</v>
      </c>
      <c r="U425" s="74"/>
      <c r="V425" s="74"/>
      <c r="W425" s="76">
        <f t="shared" si="259"/>
        <v>1703.83664921466</v>
      </c>
      <c r="X425" s="77">
        <f t="shared" si="264"/>
        <v>26.0431413612565</v>
      </c>
      <c r="Y425" s="77"/>
      <c r="Z425" s="77"/>
      <c r="AA425" s="77">
        <f t="shared" si="260"/>
        <v>26.0431413612565</v>
      </c>
      <c r="AB425" s="87">
        <v>7.26</v>
      </c>
      <c r="AC425" s="74">
        <f t="shared" si="256"/>
        <v>189.073206282722</v>
      </c>
      <c r="AD425" s="74">
        <f t="shared" si="257"/>
        <v>1892.90985549738</v>
      </c>
      <c r="AE425" s="74">
        <f t="shared" si="258"/>
        <v>493.09014450262</v>
      </c>
    </row>
    <row r="426" customFormat="1" spans="1:31">
      <c r="A426" s="18"/>
      <c r="B426" s="19"/>
      <c r="C426" s="20">
        <v>240708000021</v>
      </c>
      <c r="D426" s="21">
        <v>45488</v>
      </c>
      <c r="E426" s="21" t="s">
        <v>58</v>
      </c>
      <c r="F426" s="19" t="s">
        <v>59</v>
      </c>
      <c r="G426" s="19" t="s">
        <v>234</v>
      </c>
      <c r="H426" s="19">
        <v>1.5</v>
      </c>
      <c r="I426" s="41">
        <v>112</v>
      </c>
      <c r="J426" s="42"/>
      <c r="K426" s="43"/>
      <c r="L426" s="19"/>
      <c r="M426" s="43"/>
      <c r="N426" s="44"/>
      <c r="O426" s="45">
        <f t="shared" si="265"/>
        <v>112</v>
      </c>
      <c r="P426" s="51"/>
      <c r="Q426" s="51"/>
      <c r="R426" s="74">
        <f t="shared" si="262"/>
        <v>70.9</v>
      </c>
      <c r="S426" s="74"/>
      <c r="T426" s="75">
        <f t="shared" si="263"/>
        <v>0.0931937172774869</v>
      </c>
      <c r="U426" s="74"/>
      <c r="V426" s="74"/>
      <c r="W426" s="76">
        <f t="shared" si="259"/>
        <v>70.9931937172775</v>
      </c>
      <c r="X426" s="77">
        <f t="shared" si="264"/>
        <v>1.08513089005236</v>
      </c>
      <c r="Y426" s="77"/>
      <c r="Z426" s="77"/>
      <c r="AA426" s="77">
        <f t="shared" si="260"/>
        <v>1.08513089005236</v>
      </c>
      <c r="AB426" s="87">
        <v>7.26</v>
      </c>
      <c r="AC426" s="74">
        <f t="shared" si="256"/>
        <v>7.8780502617801</v>
      </c>
      <c r="AD426" s="74">
        <f t="shared" si="257"/>
        <v>78.8712439790576</v>
      </c>
      <c r="AE426" s="74">
        <f t="shared" si="258"/>
        <v>33.1287560209424</v>
      </c>
    </row>
    <row r="427" customFormat="1" spans="1:31">
      <c r="A427" s="18"/>
      <c r="B427" s="19"/>
      <c r="C427" s="20">
        <v>240708000023</v>
      </c>
      <c r="D427" s="21">
        <v>45488</v>
      </c>
      <c r="E427" s="21" t="s">
        <v>58</v>
      </c>
      <c r="F427" s="19" t="s">
        <v>59</v>
      </c>
      <c r="G427" s="19" t="s">
        <v>333</v>
      </c>
      <c r="H427" s="19">
        <v>3</v>
      </c>
      <c r="I427" s="45"/>
      <c r="J427" s="48">
        <v>42400</v>
      </c>
      <c r="K427" s="43"/>
      <c r="L427" s="49">
        <f>SUM(J427/M427)</f>
        <v>1606.06060606061</v>
      </c>
      <c r="M427" s="50">
        <v>26.4</v>
      </c>
      <c r="N427" s="44">
        <v>7.26</v>
      </c>
      <c r="O427" s="45">
        <f>SUM(M427*N427)</f>
        <v>191.664</v>
      </c>
      <c r="P427" s="51"/>
      <c r="Q427" s="51"/>
      <c r="R427" s="74">
        <f t="shared" si="262"/>
        <v>141.8</v>
      </c>
      <c r="S427" s="74"/>
      <c r="T427" s="75">
        <f t="shared" si="263"/>
        <v>0.186387434554974</v>
      </c>
      <c r="U427" s="74"/>
      <c r="V427" s="74"/>
      <c r="W427" s="76">
        <f t="shared" si="259"/>
        <v>141.986387434555</v>
      </c>
      <c r="X427" s="77">
        <f t="shared" si="264"/>
        <v>2.17026178010471</v>
      </c>
      <c r="Y427" s="77"/>
      <c r="Z427" s="77"/>
      <c r="AA427" s="77">
        <f t="shared" si="260"/>
        <v>2.17026178010471</v>
      </c>
      <c r="AB427" s="87">
        <v>7.26</v>
      </c>
      <c r="AC427" s="74">
        <f t="shared" si="256"/>
        <v>15.7561005235602</v>
      </c>
      <c r="AD427" s="74">
        <f t="shared" si="257"/>
        <v>157.742487958115</v>
      </c>
      <c r="AE427" s="74">
        <f t="shared" si="258"/>
        <v>33.921512041885</v>
      </c>
    </row>
    <row r="428" customFormat="1" spans="1:31">
      <c r="A428" s="18"/>
      <c r="B428" s="19"/>
      <c r="C428" s="20">
        <v>240708000025</v>
      </c>
      <c r="D428" s="21">
        <v>45488</v>
      </c>
      <c r="E428" s="21" t="s">
        <v>44</v>
      </c>
      <c r="F428" s="19" t="s">
        <v>45</v>
      </c>
      <c r="G428" s="19" t="s">
        <v>362</v>
      </c>
      <c r="H428" s="19">
        <v>3</v>
      </c>
      <c r="I428" s="41">
        <v>360</v>
      </c>
      <c r="J428" s="42"/>
      <c r="K428" s="43"/>
      <c r="L428" s="19"/>
      <c r="M428" s="43"/>
      <c r="N428" s="44"/>
      <c r="O428" s="45">
        <f t="shared" ref="O428:O439" si="266">SUM(I428)</f>
        <v>360</v>
      </c>
      <c r="P428" s="51"/>
      <c r="Q428" s="51"/>
      <c r="R428" s="74">
        <f t="shared" si="262"/>
        <v>141.8</v>
      </c>
      <c r="S428" s="74"/>
      <c r="T428" s="75">
        <f t="shared" si="263"/>
        <v>0.186387434554974</v>
      </c>
      <c r="U428" s="74"/>
      <c r="V428" s="74"/>
      <c r="W428" s="76">
        <f t="shared" si="259"/>
        <v>141.986387434555</v>
      </c>
      <c r="X428" s="77">
        <f t="shared" si="264"/>
        <v>2.17026178010471</v>
      </c>
      <c r="Y428" s="77"/>
      <c r="Z428" s="77"/>
      <c r="AA428" s="77">
        <f t="shared" si="260"/>
        <v>2.17026178010471</v>
      </c>
      <c r="AB428" s="87">
        <v>7.26</v>
      </c>
      <c r="AC428" s="74">
        <f t="shared" si="256"/>
        <v>15.7561005235602</v>
      </c>
      <c r="AD428" s="74">
        <f t="shared" si="257"/>
        <v>157.742487958115</v>
      </c>
      <c r="AE428" s="74">
        <f t="shared" si="258"/>
        <v>202.257512041885</v>
      </c>
    </row>
    <row r="429" customFormat="1" spans="1:31">
      <c r="A429" s="18"/>
      <c r="B429" s="19"/>
      <c r="C429" s="20">
        <v>240708000026</v>
      </c>
      <c r="D429" s="21">
        <v>45488</v>
      </c>
      <c r="E429" s="21" t="s">
        <v>47</v>
      </c>
      <c r="F429" s="19" t="s">
        <v>48</v>
      </c>
      <c r="G429" s="19" t="s">
        <v>96</v>
      </c>
      <c r="H429" s="19">
        <v>3</v>
      </c>
      <c r="I429" s="41">
        <v>201.3</v>
      </c>
      <c r="J429" s="42"/>
      <c r="K429" s="43"/>
      <c r="L429" s="19"/>
      <c r="M429" s="43"/>
      <c r="N429" s="44"/>
      <c r="O429" s="45">
        <f t="shared" si="266"/>
        <v>201.3</v>
      </c>
      <c r="P429" s="51"/>
      <c r="Q429" s="51"/>
      <c r="R429" s="74">
        <f t="shared" si="262"/>
        <v>141.8</v>
      </c>
      <c r="S429" s="74"/>
      <c r="T429" s="75">
        <f t="shared" si="263"/>
        <v>0.186387434554974</v>
      </c>
      <c r="U429" s="74"/>
      <c r="V429" s="74"/>
      <c r="W429" s="76">
        <f t="shared" si="259"/>
        <v>141.986387434555</v>
      </c>
      <c r="X429" s="77">
        <f t="shared" si="264"/>
        <v>2.17026178010471</v>
      </c>
      <c r="Y429" s="77"/>
      <c r="Z429" s="77"/>
      <c r="AA429" s="77">
        <f t="shared" si="260"/>
        <v>2.17026178010471</v>
      </c>
      <c r="AB429" s="87">
        <v>7.26</v>
      </c>
      <c r="AC429" s="74">
        <f t="shared" si="256"/>
        <v>15.7561005235602</v>
      </c>
      <c r="AD429" s="74">
        <f t="shared" si="257"/>
        <v>157.742487958115</v>
      </c>
      <c r="AE429" s="74">
        <f t="shared" si="258"/>
        <v>43.557512041885</v>
      </c>
    </row>
    <row r="430" customFormat="1" spans="1:31">
      <c r="A430" s="18"/>
      <c r="B430" s="19"/>
      <c r="C430" s="20">
        <v>240708000029</v>
      </c>
      <c r="D430" s="21">
        <v>45488</v>
      </c>
      <c r="E430" s="21" t="s">
        <v>44</v>
      </c>
      <c r="F430" s="19" t="s">
        <v>45</v>
      </c>
      <c r="G430" s="19" t="s">
        <v>363</v>
      </c>
      <c r="H430" s="19">
        <v>4.5</v>
      </c>
      <c r="I430" s="41">
        <v>330</v>
      </c>
      <c r="J430" s="42"/>
      <c r="K430" s="43"/>
      <c r="L430" s="19"/>
      <c r="M430" s="43"/>
      <c r="N430" s="44"/>
      <c r="O430" s="45">
        <f t="shared" si="266"/>
        <v>330</v>
      </c>
      <c r="P430" s="51"/>
      <c r="Q430" s="51"/>
      <c r="R430" s="74">
        <f t="shared" si="262"/>
        <v>212.7</v>
      </c>
      <c r="S430" s="74"/>
      <c r="T430" s="75">
        <f t="shared" si="263"/>
        <v>0.279581151832461</v>
      </c>
      <c r="U430" s="74"/>
      <c r="V430" s="74"/>
      <c r="W430" s="76">
        <f t="shared" si="259"/>
        <v>212.979581151832</v>
      </c>
      <c r="X430" s="77">
        <f t="shared" si="264"/>
        <v>3.25539267015707</v>
      </c>
      <c r="Y430" s="77"/>
      <c r="Z430" s="77"/>
      <c r="AA430" s="77">
        <f t="shared" si="260"/>
        <v>3.25539267015707</v>
      </c>
      <c r="AB430" s="87">
        <v>7.26</v>
      </c>
      <c r="AC430" s="74">
        <f t="shared" si="256"/>
        <v>23.6341507853403</v>
      </c>
      <c r="AD430" s="74">
        <f t="shared" si="257"/>
        <v>236.613731937173</v>
      </c>
      <c r="AE430" s="74">
        <f t="shared" si="258"/>
        <v>93.386268062827</v>
      </c>
    </row>
    <row r="431" customFormat="1" spans="1:31">
      <c r="A431" s="18"/>
      <c r="B431" s="19"/>
      <c r="C431" s="20">
        <v>240708000030</v>
      </c>
      <c r="D431" s="21">
        <v>45488</v>
      </c>
      <c r="E431" s="21" t="s">
        <v>47</v>
      </c>
      <c r="F431" s="19" t="s">
        <v>48</v>
      </c>
      <c r="G431" s="19" t="s">
        <v>246</v>
      </c>
      <c r="H431" s="19">
        <v>0.9</v>
      </c>
      <c r="I431" s="47"/>
      <c r="J431" s="48">
        <v>15180</v>
      </c>
      <c r="K431" s="43"/>
      <c r="L431" s="49">
        <f>SUM(J431/M431)</f>
        <v>1591.19496855346</v>
      </c>
      <c r="M431" s="50">
        <v>9.54</v>
      </c>
      <c r="N431" s="44">
        <v>7.26</v>
      </c>
      <c r="O431" s="45">
        <f>SUM(M431*N431)</f>
        <v>69.2604</v>
      </c>
      <c r="P431" s="51"/>
      <c r="Q431" s="51"/>
      <c r="R431" s="74">
        <f t="shared" si="262"/>
        <v>42.54</v>
      </c>
      <c r="S431" s="74"/>
      <c r="T431" s="75">
        <f t="shared" si="263"/>
        <v>0.0559162303664921</v>
      </c>
      <c r="U431" s="74"/>
      <c r="V431" s="74"/>
      <c r="W431" s="76">
        <f t="shared" si="259"/>
        <v>42.5959162303665</v>
      </c>
      <c r="X431" s="77">
        <f t="shared" si="264"/>
        <v>0.651078534031414</v>
      </c>
      <c r="Y431" s="77"/>
      <c r="Z431" s="77"/>
      <c r="AA431" s="77">
        <f t="shared" si="260"/>
        <v>0.651078534031414</v>
      </c>
      <c r="AB431" s="87">
        <v>7.26</v>
      </c>
      <c r="AC431" s="74">
        <f t="shared" si="256"/>
        <v>4.72683015706806</v>
      </c>
      <c r="AD431" s="74">
        <f t="shared" si="257"/>
        <v>47.3227463874346</v>
      </c>
      <c r="AE431" s="74">
        <f t="shared" si="258"/>
        <v>21.9376536125654</v>
      </c>
    </row>
    <row r="432" customFormat="1" spans="1:31">
      <c r="A432" s="18"/>
      <c r="B432" s="19"/>
      <c r="C432" s="20">
        <v>240708000034</v>
      </c>
      <c r="D432" s="21">
        <v>45488</v>
      </c>
      <c r="E432" s="21" t="s">
        <v>40</v>
      </c>
      <c r="F432" s="19" t="s">
        <v>41</v>
      </c>
      <c r="G432" s="19" t="s">
        <v>364</v>
      </c>
      <c r="H432" s="19">
        <v>43</v>
      </c>
      <c r="I432" s="41">
        <v>3376</v>
      </c>
      <c r="J432" s="42"/>
      <c r="K432" s="43"/>
      <c r="L432" s="19"/>
      <c r="M432" s="43"/>
      <c r="N432" s="44"/>
      <c r="O432" s="45">
        <f t="shared" si="266"/>
        <v>3376</v>
      </c>
      <c r="P432" s="51"/>
      <c r="Q432" s="51"/>
      <c r="R432" s="74">
        <f t="shared" si="262"/>
        <v>2032.46666666667</v>
      </c>
      <c r="S432" s="74"/>
      <c r="T432" s="75">
        <f t="shared" si="263"/>
        <v>2.67155322862129</v>
      </c>
      <c r="U432" s="75">
        <v>70</v>
      </c>
      <c r="V432" s="74"/>
      <c r="W432" s="76">
        <f t="shared" si="259"/>
        <v>2105.13821989529</v>
      </c>
      <c r="X432" s="77">
        <f t="shared" si="264"/>
        <v>31.1070855148342</v>
      </c>
      <c r="Y432" s="77"/>
      <c r="Z432" s="77"/>
      <c r="AA432" s="77">
        <f t="shared" si="260"/>
        <v>31.1070855148342</v>
      </c>
      <c r="AB432" s="87">
        <v>7.26</v>
      </c>
      <c r="AC432" s="74">
        <f t="shared" si="256"/>
        <v>225.837440837696</v>
      </c>
      <c r="AD432" s="74">
        <f t="shared" si="257"/>
        <v>2330.97566073298</v>
      </c>
      <c r="AE432" s="74">
        <f t="shared" si="258"/>
        <v>1045.02433926702</v>
      </c>
    </row>
    <row r="433" customFormat="1" spans="1:31">
      <c r="A433" s="18"/>
      <c r="B433" s="19"/>
      <c r="C433" s="20">
        <v>240708000046</v>
      </c>
      <c r="D433" s="21">
        <v>45488</v>
      </c>
      <c r="E433" s="21" t="s">
        <v>47</v>
      </c>
      <c r="F433" s="19" t="s">
        <v>48</v>
      </c>
      <c r="G433" s="19" t="s">
        <v>365</v>
      </c>
      <c r="H433" s="19">
        <v>5.5</v>
      </c>
      <c r="I433" s="41">
        <v>467</v>
      </c>
      <c r="J433" s="42"/>
      <c r="K433" s="43"/>
      <c r="L433" s="19"/>
      <c r="M433" s="43"/>
      <c r="N433" s="44"/>
      <c r="O433" s="45">
        <f t="shared" si="266"/>
        <v>467</v>
      </c>
      <c r="P433" s="51"/>
      <c r="Q433" s="51"/>
      <c r="R433" s="74">
        <f t="shared" si="262"/>
        <v>259.966666666667</v>
      </c>
      <c r="S433" s="74"/>
      <c r="T433" s="75">
        <f t="shared" si="263"/>
        <v>0.341710296684119</v>
      </c>
      <c r="U433" s="74"/>
      <c r="V433" s="74"/>
      <c r="W433" s="76">
        <f t="shared" si="259"/>
        <v>260.308376963351</v>
      </c>
      <c r="X433" s="77">
        <f t="shared" si="264"/>
        <v>3.9788132635253</v>
      </c>
      <c r="Y433" s="77"/>
      <c r="Z433" s="77"/>
      <c r="AA433" s="77">
        <f t="shared" si="260"/>
        <v>3.9788132635253</v>
      </c>
      <c r="AB433" s="87">
        <v>7.26</v>
      </c>
      <c r="AC433" s="74">
        <f t="shared" si="256"/>
        <v>28.8861842931937</v>
      </c>
      <c r="AD433" s="74">
        <f t="shared" si="257"/>
        <v>289.194561256544</v>
      </c>
      <c r="AE433" s="74">
        <f t="shared" si="258"/>
        <v>177.805438743456</v>
      </c>
    </row>
    <row r="434" customFormat="1" spans="1:31">
      <c r="A434" s="18"/>
      <c r="B434" s="19"/>
      <c r="C434" s="20">
        <v>240708000049</v>
      </c>
      <c r="D434" s="21">
        <v>45488</v>
      </c>
      <c r="E434" s="21" t="s">
        <v>37</v>
      </c>
      <c r="F434" s="19" t="s">
        <v>281</v>
      </c>
      <c r="G434" s="19" t="s">
        <v>282</v>
      </c>
      <c r="H434" s="19">
        <v>104</v>
      </c>
      <c r="I434" s="41">
        <v>7081.9</v>
      </c>
      <c r="J434" s="42"/>
      <c r="K434" s="43"/>
      <c r="L434" s="19"/>
      <c r="M434" s="43"/>
      <c r="N434" s="44"/>
      <c r="O434" s="45">
        <f t="shared" si="266"/>
        <v>7081.9</v>
      </c>
      <c r="P434" s="51"/>
      <c r="Q434" s="51"/>
      <c r="R434" s="74">
        <f t="shared" si="262"/>
        <v>4915.73333333333</v>
      </c>
      <c r="S434" s="74"/>
      <c r="T434" s="75">
        <f t="shared" si="263"/>
        <v>6.46143106457243</v>
      </c>
      <c r="U434" s="74"/>
      <c r="V434" s="74"/>
      <c r="W434" s="76">
        <f t="shared" si="259"/>
        <v>4922.19476439791</v>
      </c>
      <c r="X434" s="77">
        <f t="shared" si="264"/>
        <v>75.2357417102967</v>
      </c>
      <c r="Y434" s="77"/>
      <c r="Z434" s="77"/>
      <c r="AA434" s="77">
        <f t="shared" si="260"/>
        <v>75.2357417102967</v>
      </c>
      <c r="AB434" s="87">
        <v>7.26</v>
      </c>
      <c r="AC434" s="74">
        <f t="shared" si="256"/>
        <v>546.211484816754</v>
      </c>
      <c r="AD434" s="74">
        <f t="shared" si="257"/>
        <v>5468.40624921466</v>
      </c>
      <c r="AE434" s="74">
        <f t="shared" si="258"/>
        <v>1613.49375078534</v>
      </c>
    </row>
    <row r="435" customFormat="1" spans="1:31">
      <c r="A435" s="18"/>
      <c r="B435" s="19"/>
      <c r="C435" s="20">
        <v>240708000051</v>
      </c>
      <c r="D435" s="21">
        <v>45488</v>
      </c>
      <c r="E435" s="21" t="s">
        <v>58</v>
      </c>
      <c r="F435" s="19" t="s">
        <v>59</v>
      </c>
      <c r="G435" s="19" t="s">
        <v>110</v>
      </c>
      <c r="H435" s="19">
        <v>9.5</v>
      </c>
      <c r="I435" s="41">
        <v>602</v>
      </c>
      <c r="J435" s="42"/>
      <c r="K435" s="43"/>
      <c r="L435" s="19"/>
      <c r="M435" s="43"/>
      <c r="N435" s="44"/>
      <c r="O435" s="45">
        <f t="shared" si="266"/>
        <v>602</v>
      </c>
      <c r="P435" s="51"/>
      <c r="Q435" s="51"/>
      <c r="R435" s="74">
        <f t="shared" si="262"/>
        <v>449.033333333333</v>
      </c>
      <c r="S435" s="74"/>
      <c r="T435" s="75">
        <f t="shared" si="263"/>
        <v>0.59022687609075</v>
      </c>
      <c r="U435" s="74"/>
      <c r="V435" s="74"/>
      <c r="W435" s="76">
        <f t="shared" si="259"/>
        <v>449.623560209424</v>
      </c>
      <c r="X435" s="77">
        <f t="shared" si="264"/>
        <v>6.87249563699825</v>
      </c>
      <c r="Y435" s="77"/>
      <c r="Z435" s="77"/>
      <c r="AA435" s="77">
        <f t="shared" si="260"/>
        <v>6.87249563699825</v>
      </c>
      <c r="AB435" s="87">
        <v>7.26</v>
      </c>
      <c r="AC435" s="74">
        <f t="shared" si="256"/>
        <v>49.8943183246073</v>
      </c>
      <c r="AD435" s="74">
        <f t="shared" si="257"/>
        <v>499.517878534031</v>
      </c>
      <c r="AE435" s="74">
        <f t="shared" si="258"/>
        <v>102.482121465969</v>
      </c>
    </row>
    <row r="436" customFormat="1" spans="1:31">
      <c r="A436" s="18"/>
      <c r="B436" s="19"/>
      <c r="C436" s="20">
        <v>240708000053</v>
      </c>
      <c r="D436" s="21">
        <v>45488</v>
      </c>
      <c r="E436" s="21" t="s">
        <v>44</v>
      </c>
      <c r="F436" s="19" t="s">
        <v>45</v>
      </c>
      <c r="G436" s="19" t="s">
        <v>334</v>
      </c>
      <c r="H436" s="19">
        <v>58</v>
      </c>
      <c r="I436" s="41">
        <v>5394</v>
      </c>
      <c r="J436" s="42"/>
      <c r="K436" s="43"/>
      <c r="L436" s="19"/>
      <c r="M436" s="43"/>
      <c r="N436" s="44"/>
      <c r="O436" s="45">
        <f t="shared" si="266"/>
        <v>5394</v>
      </c>
      <c r="P436" s="51"/>
      <c r="Q436" s="51"/>
      <c r="R436" s="74">
        <f t="shared" si="262"/>
        <v>2741.46666666667</v>
      </c>
      <c r="S436" s="74"/>
      <c r="T436" s="75">
        <f t="shared" si="263"/>
        <v>3.60349040139616</v>
      </c>
      <c r="U436" s="74"/>
      <c r="V436" s="74"/>
      <c r="W436" s="76">
        <f t="shared" si="259"/>
        <v>2745.07015706806</v>
      </c>
      <c r="X436" s="77">
        <f t="shared" si="264"/>
        <v>41.9583944153578</v>
      </c>
      <c r="Y436" s="77"/>
      <c r="Z436" s="77"/>
      <c r="AA436" s="77">
        <f t="shared" si="260"/>
        <v>41.9583944153578</v>
      </c>
      <c r="AB436" s="87">
        <v>7.26</v>
      </c>
      <c r="AC436" s="74">
        <f t="shared" si="256"/>
        <v>304.617943455497</v>
      </c>
      <c r="AD436" s="74">
        <f t="shared" si="257"/>
        <v>3049.68810052356</v>
      </c>
      <c r="AE436" s="74">
        <f t="shared" si="258"/>
        <v>2344.31189947644</v>
      </c>
    </row>
    <row r="437" customFormat="1" spans="1:31">
      <c r="A437" s="18"/>
      <c r="B437" s="19"/>
      <c r="C437" s="22">
        <v>240708000056</v>
      </c>
      <c r="D437" s="23">
        <v>45488</v>
      </c>
      <c r="E437" s="21" t="s">
        <v>44</v>
      </c>
      <c r="F437" s="24" t="s">
        <v>45</v>
      </c>
      <c r="G437" s="24" t="s">
        <v>366</v>
      </c>
      <c r="H437" s="24">
        <v>0.42</v>
      </c>
      <c r="I437" s="53">
        <v>69.3</v>
      </c>
      <c r="J437" s="42"/>
      <c r="K437" s="43"/>
      <c r="L437" s="19"/>
      <c r="M437" s="43"/>
      <c r="N437" s="44"/>
      <c r="O437" s="45">
        <f t="shared" si="266"/>
        <v>69.3</v>
      </c>
      <c r="P437" s="51"/>
      <c r="Q437" s="51"/>
      <c r="R437" s="74">
        <f t="shared" si="262"/>
        <v>19.852</v>
      </c>
      <c r="S437" s="74"/>
      <c r="T437" s="75">
        <f t="shared" si="263"/>
        <v>0.0260942408376963</v>
      </c>
      <c r="U437" s="74"/>
      <c r="V437" s="74"/>
      <c r="W437" s="76">
        <f t="shared" si="259"/>
        <v>19.8780942408377</v>
      </c>
      <c r="X437" s="77">
        <f t="shared" si="264"/>
        <v>0.30383664921466</v>
      </c>
      <c r="Y437" s="77"/>
      <c r="Z437" s="77"/>
      <c r="AA437" s="77">
        <f t="shared" si="260"/>
        <v>0.30383664921466</v>
      </c>
      <c r="AB437" s="87">
        <v>7.26</v>
      </c>
      <c r="AC437" s="74">
        <f t="shared" si="256"/>
        <v>2.20585407329843</v>
      </c>
      <c r="AD437" s="74">
        <f t="shared" si="257"/>
        <v>22.0839483141361</v>
      </c>
      <c r="AE437" s="74">
        <f t="shared" si="258"/>
        <v>47.2160516858639</v>
      </c>
    </row>
    <row r="438" customFormat="1" spans="1:31">
      <c r="A438" s="18"/>
      <c r="B438" s="19"/>
      <c r="C438" s="20">
        <v>240708000061</v>
      </c>
      <c r="D438" s="21">
        <v>45488</v>
      </c>
      <c r="E438" s="21" t="s">
        <v>37</v>
      </c>
      <c r="F438" s="19" t="s">
        <v>37</v>
      </c>
      <c r="G438" s="19" t="s">
        <v>367</v>
      </c>
      <c r="H438" s="19">
        <v>2.5</v>
      </c>
      <c r="I438" s="41">
        <v>168.3</v>
      </c>
      <c r="J438" s="42"/>
      <c r="K438" s="43"/>
      <c r="L438" s="19"/>
      <c r="M438" s="43"/>
      <c r="N438" s="44"/>
      <c r="O438" s="45">
        <f t="shared" si="266"/>
        <v>168.3</v>
      </c>
      <c r="P438" s="51"/>
      <c r="Q438" s="51"/>
      <c r="R438" s="74">
        <f t="shared" si="262"/>
        <v>118.166666666667</v>
      </c>
      <c r="S438" s="74"/>
      <c r="T438" s="75">
        <f t="shared" si="263"/>
        <v>0.155322862129145</v>
      </c>
      <c r="U438" s="74"/>
      <c r="V438" s="74"/>
      <c r="W438" s="76">
        <f t="shared" si="259"/>
        <v>118.321989528796</v>
      </c>
      <c r="X438" s="77">
        <f t="shared" si="264"/>
        <v>1.80855148342059</v>
      </c>
      <c r="Y438" s="77"/>
      <c r="Z438" s="77"/>
      <c r="AA438" s="77">
        <f t="shared" si="260"/>
        <v>1.80855148342059</v>
      </c>
      <c r="AB438" s="87">
        <v>7.26</v>
      </c>
      <c r="AC438" s="74">
        <f t="shared" si="256"/>
        <v>13.1300837696335</v>
      </c>
      <c r="AD438" s="74">
        <f t="shared" si="257"/>
        <v>131.452073298429</v>
      </c>
      <c r="AE438" s="74">
        <f t="shared" si="258"/>
        <v>36.847926701571</v>
      </c>
    </row>
    <row r="439" customFormat="1" spans="1:31">
      <c r="A439" s="18"/>
      <c r="B439" s="19"/>
      <c r="C439" s="20">
        <v>240709000013</v>
      </c>
      <c r="D439" s="21">
        <v>45488</v>
      </c>
      <c r="E439" s="21" t="s">
        <v>40</v>
      </c>
      <c r="F439" s="19" t="s">
        <v>41</v>
      </c>
      <c r="G439" s="19" t="s">
        <v>255</v>
      </c>
      <c r="H439" s="19">
        <v>0.26</v>
      </c>
      <c r="I439" s="41">
        <v>63</v>
      </c>
      <c r="J439" s="42"/>
      <c r="K439" s="43"/>
      <c r="L439" s="19"/>
      <c r="M439" s="43"/>
      <c r="N439" s="44"/>
      <c r="O439" s="45">
        <f t="shared" si="266"/>
        <v>63</v>
      </c>
      <c r="P439" s="51"/>
      <c r="Q439" s="51"/>
      <c r="R439" s="74">
        <f t="shared" si="262"/>
        <v>12.2893333333333</v>
      </c>
      <c r="S439" s="74"/>
      <c r="T439" s="75">
        <f t="shared" si="263"/>
        <v>0.0161535776614311</v>
      </c>
      <c r="U439" s="74"/>
      <c r="V439" s="74"/>
      <c r="W439" s="76">
        <f t="shared" si="259"/>
        <v>12.3054869109948</v>
      </c>
      <c r="X439" s="77">
        <f t="shared" si="264"/>
        <v>0.188089354275742</v>
      </c>
      <c r="Y439" s="77"/>
      <c r="Z439" s="77"/>
      <c r="AA439" s="77">
        <f t="shared" si="260"/>
        <v>0.188089354275742</v>
      </c>
      <c r="AB439" s="87">
        <v>7.26</v>
      </c>
      <c r="AC439" s="74">
        <f t="shared" si="256"/>
        <v>1.36552871204188</v>
      </c>
      <c r="AD439" s="74">
        <f t="shared" si="257"/>
        <v>13.6710156230366</v>
      </c>
      <c r="AE439" s="74">
        <f t="shared" si="258"/>
        <v>49.3289843769634</v>
      </c>
    </row>
    <row r="440" customFormat="1" spans="1:31">
      <c r="A440" s="18"/>
      <c r="B440" s="19"/>
      <c r="C440" s="20">
        <v>240709000014</v>
      </c>
      <c r="D440" s="21">
        <v>45488</v>
      </c>
      <c r="E440" s="21" t="s">
        <v>40</v>
      </c>
      <c r="F440" s="19" t="s">
        <v>41</v>
      </c>
      <c r="G440" s="19" t="s">
        <v>368</v>
      </c>
      <c r="H440" s="19">
        <v>1.5</v>
      </c>
      <c r="I440" s="45"/>
      <c r="J440" s="48">
        <v>29824</v>
      </c>
      <c r="K440" s="43"/>
      <c r="L440" s="49">
        <f>SUM(J440/M440)</f>
        <v>1645.00818284566</v>
      </c>
      <c r="M440" s="50">
        <v>18.130001</v>
      </c>
      <c r="N440" s="44">
        <v>7.26</v>
      </c>
      <c r="O440" s="45">
        <f>SUM(M440*N440)</f>
        <v>131.62380726</v>
      </c>
      <c r="P440" s="51"/>
      <c r="Q440" s="51"/>
      <c r="R440" s="74">
        <f t="shared" si="262"/>
        <v>70.9</v>
      </c>
      <c r="S440" s="74"/>
      <c r="T440" s="75">
        <f t="shared" si="263"/>
        <v>0.0931937172774869</v>
      </c>
      <c r="U440" s="74"/>
      <c r="V440" s="74"/>
      <c r="W440" s="76">
        <f t="shared" si="259"/>
        <v>70.9931937172775</v>
      </c>
      <c r="X440" s="77">
        <f t="shared" si="264"/>
        <v>1.08513089005236</v>
      </c>
      <c r="Y440" s="77"/>
      <c r="Z440" s="77"/>
      <c r="AA440" s="77">
        <f t="shared" si="260"/>
        <v>1.08513089005236</v>
      </c>
      <c r="AB440" s="87">
        <v>7.26</v>
      </c>
      <c r="AC440" s="74">
        <f t="shared" si="256"/>
        <v>7.8780502617801</v>
      </c>
      <c r="AD440" s="74">
        <f t="shared" si="257"/>
        <v>78.8712439790576</v>
      </c>
      <c r="AE440" s="74">
        <f t="shared" si="258"/>
        <v>52.7525632809424</v>
      </c>
    </row>
    <row r="441" customFormat="1" spans="1:31">
      <c r="A441" s="18"/>
      <c r="B441" s="19"/>
      <c r="C441" s="20">
        <v>240709000017</v>
      </c>
      <c r="D441" s="21">
        <v>45488</v>
      </c>
      <c r="E441" s="21" t="s">
        <v>58</v>
      </c>
      <c r="F441" s="19" t="s">
        <v>59</v>
      </c>
      <c r="G441" s="19" t="s">
        <v>133</v>
      </c>
      <c r="H441" s="19">
        <v>7</v>
      </c>
      <c r="I441" s="41">
        <v>417.2</v>
      </c>
      <c r="J441" s="42"/>
      <c r="K441" s="43"/>
      <c r="L441" s="19"/>
      <c r="M441" s="43"/>
      <c r="N441" s="44"/>
      <c r="O441" s="45">
        <f t="shared" ref="O441:O445" si="267">SUM(I441)</f>
        <v>417.2</v>
      </c>
      <c r="P441" s="51"/>
      <c r="Q441" s="51"/>
      <c r="R441" s="74">
        <f t="shared" si="262"/>
        <v>330.866666666667</v>
      </c>
      <c r="S441" s="74"/>
      <c r="T441" s="75">
        <f t="shared" si="263"/>
        <v>0.434904013961606</v>
      </c>
      <c r="U441" s="74"/>
      <c r="V441" s="74"/>
      <c r="W441" s="76">
        <f t="shared" si="259"/>
        <v>331.301570680628</v>
      </c>
      <c r="X441" s="77">
        <f t="shared" si="264"/>
        <v>5.06394415357766</v>
      </c>
      <c r="Y441" s="77"/>
      <c r="Z441" s="77"/>
      <c r="AA441" s="77">
        <f t="shared" si="260"/>
        <v>5.06394415357766</v>
      </c>
      <c r="AB441" s="87">
        <v>7.26</v>
      </c>
      <c r="AC441" s="74">
        <f t="shared" si="256"/>
        <v>36.7642345549738</v>
      </c>
      <c r="AD441" s="74">
        <f t="shared" si="257"/>
        <v>368.065805235602</v>
      </c>
      <c r="AE441" s="74">
        <f t="shared" si="258"/>
        <v>49.134194764398</v>
      </c>
    </row>
    <row r="442" customFormat="1" spans="1:31">
      <c r="A442" s="18"/>
      <c r="B442" s="19"/>
      <c r="C442" s="20">
        <v>240709000019</v>
      </c>
      <c r="D442" s="21">
        <v>45488</v>
      </c>
      <c r="E442" s="21" t="s">
        <v>37</v>
      </c>
      <c r="F442" s="19" t="s">
        <v>37</v>
      </c>
      <c r="G442" s="19" t="s">
        <v>369</v>
      </c>
      <c r="H442" s="19">
        <v>87</v>
      </c>
      <c r="I442" s="41">
        <v>5272.3</v>
      </c>
      <c r="J442" s="42"/>
      <c r="K442" s="43"/>
      <c r="L442" s="19"/>
      <c r="M442" s="43"/>
      <c r="N442" s="44"/>
      <c r="O442" s="45">
        <f t="shared" si="267"/>
        <v>5272.3</v>
      </c>
      <c r="P442" s="51"/>
      <c r="Q442" s="51"/>
      <c r="R442" s="74">
        <f t="shared" si="262"/>
        <v>4112.2</v>
      </c>
      <c r="S442" s="74"/>
      <c r="T442" s="75">
        <f t="shared" si="263"/>
        <v>5.40523560209424</v>
      </c>
      <c r="U442" s="74"/>
      <c r="V442" s="74"/>
      <c r="W442" s="76">
        <f t="shared" si="259"/>
        <v>4117.60523560209</v>
      </c>
      <c r="X442" s="77">
        <f t="shared" si="264"/>
        <v>62.9375916230366</v>
      </c>
      <c r="Y442" s="77"/>
      <c r="Z442" s="77"/>
      <c r="AA442" s="77">
        <f t="shared" si="260"/>
        <v>62.9375916230366</v>
      </c>
      <c r="AB442" s="87">
        <v>7.26</v>
      </c>
      <c r="AC442" s="74">
        <f t="shared" si="256"/>
        <v>456.926915183246</v>
      </c>
      <c r="AD442" s="74">
        <f t="shared" si="257"/>
        <v>4574.53215078534</v>
      </c>
      <c r="AE442" s="74">
        <f t="shared" si="258"/>
        <v>697.767849214661</v>
      </c>
    </row>
    <row r="443" customFormat="1" spans="1:31">
      <c r="A443" s="18"/>
      <c r="B443" s="19"/>
      <c r="C443" s="20">
        <v>240709000020</v>
      </c>
      <c r="D443" s="21">
        <v>45488</v>
      </c>
      <c r="E443" s="21" t="s">
        <v>37</v>
      </c>
      <c r="F443" s="19" t="s">
        <v>37</v>
      </c>
      <c r="G443" s="19" t="s">
        <v>149</v>
      </c>
      <c r="H443" s="19">
        <v>1150</v>
      </c>
      <c r="I443" s="41">
        <v>62683.5</v>
      </c>
      <c r="J443" s="42"/>
      <c r="K443" s="43"/>
      <c r="L443" s="19"/>
      <c r="M443" s="43"/>
      <c r="N443" s="44"/>
      <c r="O443" s="45">
        <f t="shared" si="267"/>
        <v>62683.5</v>
      </c>
      <c r="P443" s="51"/>
      <c r="Q443" s="51"/>
      <c r="R443" s="74">
        <f t="shared" si="262"/>
        <v>54356.6666666667</v>
      </c>
      <c r="S443" s="74"/>
      <c r="T443" s="75">
        <f t="shared" si="263"/>
        <v>71.4485165794066</v>
      </c>
      <c r="U443" s="74"/>
      <c r="V443" s="74"/>
      <c r="W443" s="76">
        <f t="shared" si="259"/>
        <v>54428.1151832461</v>
      </c>
      <c r="X443" s="77">
        <f t="shared" si="264"/>
        <v>831.933682373473</v>
      </c>
      <c r="Y443" s="77"/>
      <c r="Z443" s="77"/>
      <c r="AA443" s="77">
        <f t="shared" si="260"/>
        <v>831.933682373473</v>
      </c>
      <c r="AB443" s="87">
        <v>7.26</v>
      </c>
      <c r="AC443" s="74">
        <f t="shared" si="256"/>
        <v>6039.83853403141</v>
      </c>
      <c r="AD443" s="74">
        <f t="shared" si="257"/>
        <v>60467.9537172775</v>
      </c>
      <c r="AE443" s="74">
        <f t="shared" si="258"/>
        <v>2215.5462827225</v>
      </c>
    </row>
    <row r="444" customFormat="1" spans="1:31">
      <c r="A444" s="18"/>
      <c r="B444" s="19"/>
      <c r="C444" s="20">
        <v>240709000021</v>
      </c>
      <c r="D444" s="21">
        <v>45488</v>
      </c>
      <c r="E444" s="21" t="s">
        <v>37</v>
      </c>
      <c r="F444" s="19" t="s">
        <v>37</v>
      </c>
      <c r="G444" s="19" t="s">
        <v>370</v>
      </c>
      <c r="H444" s="19">
        <v>4.5</v>
      </c>
      <c r="I444" s="41">
        <v>300.3</v>
      </c>
      <c r="J444" s="42"/>
      <c r="K444" s="43"/>
      <c r="L444" s="19"/>
      <c r="M444" s="43"/>
      <c r="N444" s="44"/>
      <c r="O444" s="45">
        <f t="shared" si="267"/>
        <v>300.3</v>
      </c>
      <c r="P444" s="51"/>
      <c r="Q444" s="51"/>
      <c r="R444" s="74">
        <f t="shared" si="262"/>
        <v>212.7</v>
      </c>
      <c r="S444" s="74"/>
      <c r="T444" s="75">
        <f t="shared" si="263"/>
        <v>0.279581151832461</v>
      </c>
      <c r="U444" s="74"/>
      <c r="V444" s="74"/>
      <c r="W444" s="76">
        <f t="shared" si="259"/>
        <v>212.979581151832</v>
      </c>
      <c r="X444" s="77">
        <f t="shared" si="264"/>
        <v>3.25539267015707</v>
      </c>
      <c r="Y444" s="77"/>
      <c r="Z444" s="77"/>
      <c r="AA444" s="77">
        <f t="shared" si="260"/>
        <v>3.25539267015707</v>
      </c>
      <c r="AB444" s="87">
        <v>7.26</v>
      </c>
      <c r="AC444" s="74">
        <f t="shared" si="256"/>
        <v>23.6341507853403</v>
      </c>
      <c r="AD444" s="74">
        <f t="shared" si="257"/>
        <v>236.613731937173</v>
      </c>
      <c r="AE444" s="74">
        <f t="shared" si="258"/>
        <v>63.686268062827</v>
      </c>
    </row>
    <row r="445" customFormat="1" spans="1:31">
      <c r="A445" s="18"/>
      <c r="B445" s="19"/>
      <c r="C445" s="20">
        <v>240709000022</v>
      </c>
      <c r="D445" s="21">
        <v>45488</v>
      </c>
      <c r="E445" s="21" t="s">
        <v>127</v>
      </c>
      <c r="F445" s="19" t="s">
        <v>128</v>
      </c>
      <c r="G445" s="19" t="s">
        <v>371</v>
      </c>
      <c r="H445" s="19">
        <v>0.5</v>
      </c>
      <c r="I445" s="41">
        <v>100.8</v>
      </c>
      <c r="J445" s="42"/>
      <c r="K445" s="43"/>
      <c r="L445" s="19"/>
      <c r="M445" s="43"/>
      <c r="N445" s="44"/>
      <c r="O445" s="45">
        <f t="shared" si="267"/>
        <v>100.8</v>
      </c>
      <c r="P445" s="51"/>
      <c r="Q445" s="51"/>
      <c r="R445" s="74">
        <f t="shared" si="262"/>
        <v>23.6333333333333</v>
      </c>
      <c r="S445" s="74"/>
      <c r="T445" s="75">
        <f t="shared" si="263"/>
        <v>0.031064572425829</v>
      </c>
      <c r="U445" s="74"/>
      <c r="V445" s="74"/>
      <c r="W445" s="76">
        <f t="shared" si="259"/>
        <v>23.6643979057592</v>
      </c>
      <c r="X445" s="77">
        <f t="shared" si="264"/>
        <v>0.361710296684119</v>
      </c>
      <c r="Y445" s="77"/>
      <c r="Z445" s="77"/>
      <c r="AA445" s="77">
        <f t="shared" si="260"/>
        <v>0.361710296684119</v>
      </c>
      <c r="AB445" s="87">
        <v>7.26</v>
      </c>
      <c r="AC445" s="74">
        <f t="shared" si="256"/>
        <v>2.6260167539267</v>
      </c>
      <c r="AD445" s="74">
        <f t="shared" si="257"/>
        <v>26.2904146596859</v>
      </c>
      <c r="AE445" s="74">
        <f t="shared" si="258"/>
        <v>74.5095853403141</v>
      </c>
    </row>
    <row r="446" customFormat="1" spans="1:31">
      <c r="A446" s="18"/>
      <c r="B446" s="19"/>
      <c r="C446" s="20">
        <v>240709000023</v>
      </c>
      <c r="D446" s="21">
        <v>45488</v>
      </c>
      <c r="E446" s="21" t="s">
        <v>44</v>
      </c>
      <c r="F446" s="19" t="s">
        <v>45</v>
      </c>
      <c r="G446" s="19" t="s">
        <v>372</v>
      </c>
      <c r="H446" s="19">
        <v>32.5</v>
      </c>
      <c r="I446" s="47"/>
      <c r="J446" s="48">
        <v>474100</v>
      </c>
      <c r="K446" s="43"/>
      <c r="L446" s="49">
        <f>SUM(J446/M446)</f>
        <v>1597.21052454267</v>
      </c>
      <c r="M446" s="50">
        <v>296.83</v>
      </c>
      <c r="N446" s="44">
        <v>7.26</v>
      </c>
      <c r="O446" s="45">
        <f>SUM(M446*N446)</f>
        <v>2154.9858</v>
      </c>
      <c r="P446" s="51"/>
      <c r="Q446" s="51"/>
      <c r="R446" s="74">
        <f t="shared" si="262"/>
        <v>1536.16666666667</v>
      </c>
      <c r="S446" s="74"/>
      <c r="T446" s="75">
        <f t="shared" si="263"/>
        <v>2.01919720767888</v>
      </c>
      <c r="U446" s="74"/>
      <c r="V446" s="74"/>
      <c r="W446" s="76">
        <f t="shared" si="259"/>
        <v>1538.18586387435</v>
      </c>
      <c r="X446" s="77">
        <f t="shared" si="264"/>
        <v>23.5111692844677</v>
      </c>
      <c r="Y446" s="77"/>
      <c r="Z446" s="77"/>
      <c r="AA446" s="77">
        <f t="shared" si="260"/>
        <v>23.5111692844677</v>
      </c>
      <c r="AB446" s="87">
        <v>7.26</v>
      </c>
      <c r="AC446" s="74">
        <f t="shared" ref="AC446:AC468" si="268">SUM(AA446*AB446)</f>
        <v>170.691089005236</v>
      </c>
      <c r="AD446" s="74">
        <f t="shared" ref="AD446:AD468" si="269">SUM(W446+AC446)</f>
        <v>1708.87695287958</v>
      </c>
      <c r="AE446" s="74">
        <f t="shared" ref="AE446:AE468" si="270">SUM(O446-AD446)</f>
        <v>446.10884712042</v>
      </c>
    </row>
    <row r="447" customFormat="1" spans="1:31">
      <c r="A447" s="18"/>
      <c r="B447" s="19"/>
      <c r="C447" s="20">
        <v>240709000024</v>
      </c>
      <c r="D447" s="21">
        <v>45488</v>
      </c>
      <c r="E447" s="21" t="s">
        <v>37</v>
      </c>
      <c r="F447" s="19" t="s">
        <v>37</v>
      </c>
      <c r="G447" s="19" t="s">
        <v>201</v>
      </c>
      <c r="H447" s="19">
        <v>102</v>
      </c>
      <c r="I447" s="41">
        <v>10242</v>
      </c>
      <c r="J447" s="42"/>
      <c r="K447" s="43"/>
      <c r="L447" s="19"/>
      <c r="M447" s="43"/>
      <c r="N447" s="44"/>
      <c r="O447" s="45">
        <f t="shared" ref="O447:O460" si="271">SUM(I447)</f>
        <v>10242</v>
      </c>
      <c r="P447" s="51"/>
      <c r="Q447" s="51"/>
      <c r="R447" s="74">
        <f t="shared" si="262"/>
        <v>4821.2</v>
      </c>
      <c r="S447" s="74"/>
      <c r="T447" s="75">
        <f t="shared" si="263"/>
        <v>6.33717277486911</v>
      </c>
      <c r="U447" s="74"/>
      <c r="V447" s="74"/>
      <c r="W447" s="76">
        <f t="shared" ref="W447:W468" si="272">SUM(R447:V447)</f>
        <v>4827.53717277487</v>
      </c>
      <c r="X447" s="77">
        <f t="shared" si="264"/>
        <v>73.7889005235602</v>
      </c>
      <c r="Y447" s="77"/>
      <c r="Z447" s="77"/>
      <c r="AA447" s="77">
        <f t="shared" ref="AA447:AA468" si="273">SUM(X447:Z447)</f>
        <v>73.7889005235602</v>
      </c>
      <c r="AB447" s="87">
        <v>7.26</v>
      </c>
      <c r="AC447" s="74">
        <f t="shared" si="268"/>
        <v>535.707417801047</v>
      </c>
      <c r="AD447" s="74">
        <f t="shared" si="269"/>
        <v>5363.24459057592</v>
      </c>
      <c r="AE447" s="74">
        <f t="shared" si="270"/>
        <v>4878.75540942408</v>
      </c>
    </row>
    <row r="448" customFormat="1" spans="1:31">
      <c r="A448" s="18"/>
      <c r="B448" s="19"/>
      <c r="C448" s="20">
        <v>240709000027</v>
      </c>
      <c r="D448" s="21">
        <v>45488</v>
      </c>
      <c r="E448" s="21" t="s">
        <v>44</v>
      </c>
      <c r="F448" s="19" t="s">
        <v>45</v>
      </c>
      <c r="G448" s="19" t="s">
        <v>194</v>
      </c>
      <c r="H448" s="19">
        <v>4.5</v>
      </c>
      <c r="I448" s="47"/>
      <c r="J448" s="48">
        <v>71940</v>
      </c>
      <c r="K448" s="43"/>
      <c r="L448" s="49">
        <f>SUM(J448/M448)</f>
        <v>1582.83828382838</v>
      </c>
      <c r="M448" s="50">
        <v>45.45</v>
      </c>
      <c r="N448" s="44">
        <v>7.26</v>
      </c>
      <c r="O448" s="45">
        <f>SUM(M448*N448)</f>
        <v>329.967</v>
      </c>
      <c r="P448" s="51"/>
      <c r="Q448" s="51"/>
      <c r="R448" s="74">
        <f t="shared" si="262"/>
        <v>212.7</v>
      </c>
      <c r="S448" s="74"/>
      <c r="T448" s="75">
        <f t="shared" si="263"/>
        <v>0.279581151832461</v>
      </c>
      <c r="U448" s="74"/>
      <c r="V448" s="74"/>
      <c r="W448" s="76">
        <f t="shared" si="272"/>
        <v>212.979581151832</v>
      </c>
      <c r="X448" s="77">
        <f t="shared" si="264"/>
        <v>3.25539267015707</v>
      </c>
      <c r="Y448" s="77"/>
      <c r="Z448" s="77"/>
      <c r="AA448" s="77">
        <f t="shared" si="273"/>
        <v>3.25539267015707</v>
      </c>
      <c r="AB448" s="87">
        <v>7.26</v>
      </c>
      <c r="AC448" s="74">
        <f t="shared" si="268"/>
        <v>23.6341507853403</v>
      </c>
      <c r="AD448" s="74">
        <f t="shared" si="269"/>
        <v>236.613731937173</v>
      </c>
      <c r="AE448" s="74">
        <f t="shared" si="270"/>
        <v>93.353268062827</v>
      </c>
    </row>
    <row r="449" customFormat="1" spans="1:31">
      <c r="A449" s="18"/>
      <c r="B449" s="19"/>
      <c r="C449" s="20">
        <v>240709000028</v>
      </c>
      <c r="D449" s="21">
        <v>45488</v>
      </c>
      <c r="E449" s="21" t="s">
        <v>47</v>
      </c>
      <c r="F449" s="19" t="s">
        <v>48</v>
      </c>
      <c r="G449" s="19" t="s">
        <v>373</v>
      </c>
      <c r="H449" s="19">
        <v>2.5</v>
      </c>
      <c r="I449" s="41">
        <v>257.95</v>
      </c>
      <c r="J449" s="42"/>
      <c r="K449" s="43"/>
      <c r="L449" s="19"/>
      <c r="M449" s="43"/>
      <c r="N449" s="44"/>
      <c r="O449" s="45">
        <f t="shared" si="271"/>
        <v>257.95</v>
      </c>
      <c r="P449" s="51"/>
      <c r="Q449" s="51"/>
      <c r="R449" s="74">
        <f t="shared" ref="R449:R467" si="274">SUM(135419/2865)*H449</f>
        <v>118.166666666667</v>
      </c>
      <c r="S449" s="74"/>
      <c r="T449" s="75">
        <f t="shared" ref="T449:T467" si="275">SUM(178/2865)*H449</f>
        <v>0.155322862129145</v>
      </c>
      <c r="U449" s="74"/>
      <c r="V449" s="74"/>
      <c r="W449" s="76">
        <f t="shared" si="272"/>
        <v>118.321989528796</v>
      </c>
      <c r="X449" s="77">
        <f t="shared" ref="X449:X467" si="276">SUM(2072.6/2865)*H449</f>
        <v>1.80855148342059</v>
      </c>
      <c r="Y449" s="77"/>
      <c r="Z449" s="77"/>
      <c r="AA449" s="77">
        <f t="shared" si="273"/>
        <v>1.80855148342059</v>
      </c>
      <c r="AB449" s="87">
        <v>7.26</v>
      </c>
      <c r="AC449" s="74">
        <f t="shared" si="268"/>
        <v>13.1300837696335</v>
      </c>
      <c r="AD449" s="74">
        <f t="shared" si="269"/>
        <v>131.452073298429</v>
      </c>
      <c r="AE449" s="74">
        <f t="shared" si="270"/>
        <v>126.497926701571</v>
      </c>
    </row>
    <row r="450" customFormat="1" spans="1:31">
      <c r="A450" s="18"/>
      <c r="B450" s="19"/>
      <c r="C450" s="20">
        <v>240709000029</v>
      </c>
      <c r="D450" s="21">
        <v>45488</v>
      </c>
      <c r="E450" s="21" t="s">
        <v>44</v>
      </c>
      <c r="F450" s="19" t="s">
        <v>45</v>
      </c>
      <c r="G450" s="19" t="s">
        <v>224</v>
      </c>
      <c r="H450" s="19">
        <v>0.6</v>
      </c>
      <c r="I450" s="41">
        <v>88.2</v>
      </c>
      <c r="J450" s="42"/>
      <c r="K450" s="43"/>
      <c r="L450" s="19"/>
      <c r="M450" s="43"/>
      <c r="N450" s="44"/>
      <c r="O450" s="45">
        <f t="shared" si="271"/>
        <v>88.2</v>
      </c>
      <c r="P450" s="51"/>
      <c r="Q450" s="51"/>
      <c r="R450" s="74">
        <f t="shared" si="274"/>
        <v>28.36</v>
      </c>
      <c r="S450" s="74"/>
      <c r="T450" s="75">
        <f t="shared" si="275"/>
        <v>0.0372774869109948</v>
      </c>
      <c r="U450" s="74"/>
      <c r="V450" s="74"/>
      <c r="W450" s="76">
        <f t="shared" si="272"/>
        <v>28.397277486911</v>
      </c>
      <c r="X450" s="77">
        <f t="shared" si="276"/>
        <v>0.434052356020942</v>
      </c>
      <c r="Y450" s="77"/>
      <c r="Z450" s="77"/>
      <c r="AA450" s="77">
        <f t="shared" si="273"/>
        <v>0.434052356020942</v>
      </c>
      <c r="AB450" s="87">
        <v>7.26</v>
      </c>
      <c r="AC450" s="74">
        <f t="shared" si="268"/>
        <v>3.15122010471204</v>
      </c>
      <c r="AD450" s="74">
        <f t="shared" si="269"/>
        <v>31.548497591623</v>
      </c>
      <c r="AE450" s="74">
        <f t="shared" si="270"/>
        <v>56.651502408377</v>
      </c>
    </row>
    <row r="451" customFormat="1" spans="1:31">
      <c r="A451" s="18"/>
      <c r="B451" s="19"/>
      <c r="C451" s="20">
        <v>240709000032</v>
      </c>
      <c r="D451" s="21">
        <v>45488</v>
      </c>
      <c r="E451" s="21" t="s">
        <v>40</v>
      </c>
      <c r="F451" s="19" t="s">
        <v>41</v>
      </c>
      <c r="G451" s="19" t="s">
        <v>374</v>
      </c>
      <c r="H451" s="19">
        <v>12.5</v>
      </c>
      <c r="I451" s="41">
        <v>812.5</v>
      </c>
      <c r="J451" s="42"/>
      <c r="K451" s="43"/>
      <c r="L451" s="19"/>
      <c r="M451" s="43"/>
      <c r="N451" s="44"/>
      <c r="O451" s="45">
        <f t="shared" si="271"/>
        <v>812.5</v>
      </c>
      <c r="P451" s="51"/>
      <c r="Q451" s="51"/>
      <c r="R451" s="74">
        <f t="shared" si="274"/>
        <v>590.833333333333</v>
      </c>
      <c r="S451" s="74"/>
      <c r="T451" s="75">
        <f t="shared" si="275"/>
        <v>0.776614310645724</v>
      </c>
      <c r="U451" s="74"/>
      <c r="V451" s="74"/>
      <c r="W451" s="76">
        <f t="shared" si="272"/>
        <v>591.609947643979</v>
      </c>
      <c r="X451" s="77">
        <f t="shared" si="276"/>
        <v>9.04275741710297</v>
      </c>
      <c r="Y451" s="77"/>
      <c r="Z451" s="77"/>
      <c r="AA451" s="77">
        <f t="shared" si="273"/>
        <v>9.04275741710297</v>
      </c>
      <c r="AB451" s="87">
        <v>7.26</v>
      </c>
      <c r="AC451" s="74">
        <f t="shared" si="268"/>
        <v>65.6504188481675</v>
      </c>
      <c r="AD451" s="74">
        <f t="shared" si="269"/>
        <v>657.260366492147</v>
      </c>
      <c r="AE451" s="74">
        <f t="shared" si="270"/>
        <v>155.239633507853</v>
      </c>
    </row>
    <row r="452" customFormat="1" spans="1:31">
      <c r="A452" s="18"/>
      <c r="B452" s="19"/>
      <c r="C452" s="20">
        <v>240709000037</v>
      </c>
      <c r="D452" s="21">
        <v>45488</v>
      </c>
      <c r="E452" s="21" t="s">
        <v>58</v>
      </c>
      <c r="F452" s="19" t="s">
        <v>59</v>
      </c>
      <c r="G452" s="19" t="s">
        <v>232</v>
      </c>
      <c r="H452" s="19">
        <v>8</v>
      </c>
      <c r="I452" s="41">
        <v>508</v>
      </c>
      <c r="J452" s="42"/>
      <c r="K452" s="43"/>
      <c r="L452" s="19"/>
      <c r="M452" s="43"/>
      <c r="N452" s="44"/>
      <c r="O452" s="45">
        <f t="shared" si="271"/>
        <v>508</v>
      </c>
      <c r="P452" s="51"/>
      <c r="Q452" s="51"/>
      <c r="R452" s="74">
        <f t="shared" si="274"/>
        <v>378.133333333333</v>
      </c>
      <c r="S452" s="74"/>
      <c r="T452" s="75">
        <f t="shared" si="275"/>
        <v>0.497033158813264</v>
      </c>
      <c r="U452" s="74"/>
      <c r="V452" s="74"/>
      <c r="W452" s="76">
        <f t="shared" si="272"/>
        <v>378.630366492147</v>
      </c>
      <c r="X452" s="77">
        <f t="shared" si="276"/>
        <v>5.7873647469459</v>
      </c>
      <c r="Y452" s="77"/>
      <c r="Z452" s="77"/>
      <c r="AA452" s="77">
        <f t="shared" si="273"/>
        <v>5.7873647469459</v>
      </c>
      <c r="AB452" s="87">
        <v>7.26</v>
      </c>
      <c r="AC452" s="74">
        <f t="shared" si="268"/>
        <v>42.0162680628272</v>
      </c>
      <c r="AD452" s="74">
        <f t="shared" si="269"/>
        <v>420.646634554974</v>
      </c>
      <c r="AE452" s="74">
        <f t="shared" si="270"/>
        <v>87.353365445026</v>
      </c>
    </row>
    <row r="453" customFormat="1" spans="1:31">
      <c r="A453" s="18"/>
      <c r="B453" s="19"/>
      <c r="C453" s="20">
        <v>240709000038</v>
      </c>
      <c r="D453" s="21">
        <v>45488</v>
      </c>
      <c r="E453" s="21" t="s">
        <v>58</v>
      </c>
      <c r="F453" s="19" t="s">
        <v>59</v>
      </c>
      <c r="G453" s="19" t="s">
        <v>133</v>
      </c>
      <c r="H453" s="19">
        <v>120</v>
      </c>
      <c r="I453" s="41">
        <v>7152</v>
      </c>
      <c r="J453" s="42"/>
      <c r="K453" s="43"/>
      <c r="L453" s="19"/>
      <c r="M453" s="43"/>
      <c r="N453" s="44"/>
      <c r="O453" s="45">
        <f t="shared" si="271"/>
        <v>7152</v>
      </c>
      <c r="P453" s="51"/>
      <c r="Q453" s="51"/>
      <c r="R453" s="74">
        <f t="shared" si="274"/>
        <v>5672</v>
      </c>
      <c r="S453" s="74"/>
      <c r="T453" s="75">
        <f t="shared" si="275"/>
        <v>7.45549738219895</v>
      </c>
      <c r="U453" s="74"/>
      <c r="V453" s="74"/>
      <c r="W453" s="76">
        <f t="shared" si="272"/>
        <v>5679.4554973822</v>
      </c>
      <c r="X453" s="77">
        <f t="shared" si="276"/>
        <v>86.8104712041885</v>
      </c>
      <c r="Y453" s="77"/>
      <c r="Z453" s="77"/>
      <c r="AA453" s="77">
        <f t="shared" si="273"/>
        <v>86.8104712041885</v>
      </c>
      <c r="AB453" s="87">
        <v>7.26</v>
      </c>
      <c r="AC453" s="74">
        <f t="shared" si="268"/>
        <v>630.244020942408</v>
      </c>
      <c r="AD453" s="74">
        <f t="shared" si="269"/>
        <v>6309.69951832461</v>
      </c>
      <c r="AE453" s="74">
        <f t="shared" si="270"/>
        <v>842.30048167539</v>
      </c>
    </row>
    <row r="454" customFormat="1" spans="1:31">
      <c r="A454" s="18"/>
      <c r="B454" s="19"/>
      <c r="C454" s="20">
        <v>240709000040</v>
      </c>
      <c r="D454" s="21">
        <v>45488</v>
      </c>
      <c r="E454" s="21" t="s">
        <v>40</v>
      </c>
      <c r="F454" s="19" t="s">
        <v>41</v>
      </c>
      <c r="G454" s="19" t="s">
        <v>277</v>
      </c>
      <c r="H454" s="19">
        <v>74</v>
      </c>
      <c r="I454" s="41">
        <v>5600</v>
      </c>
      <c r="J454" s="42"/>
      <c r="K454" s="43"/>
      <c r="L454" s="19"/>
      <c r="M454" s="43"/>
      <c r="N454" s="44"/>
      <c r="O454" s="45">
        <f t="shared" si="271"/>
        <v>5600</v>
      </c>
      <c r="P454" s="51"/>
      <c r="Q454" s="51"/>
      <c r="R454" s="74">
        <f t="shared" si="274"/>
        <v>3497.73333333333</v>
      </c>
      <c r="S454" s="74"/>
      <c r="T454" s="75">
        <f t="shared" si="275"/>
        <v>4.59755671902269</v>
      </c>
      <c r="U454" s="74"/>
      <c r="V454" s="74"/>
      <c r="W454" s="76">
        <f t="shared" si="272"/>
        <v>3502.33089005236</v>
      </c>
      <c r="X454" s="77">
        <f t="shared" si="276"/>
        <v>53.5331239092496</v>
      </c>
      <c r="Y454" s="77"/>
      <c r="Z454" s="77"/>
      <c r="AA454" s="77">
        <f t="shared" si="273"/>
        <v>53.5331239092496</v>
      </c>
      <c r="AB454" s="87">
        <v>7.26</v>
      </c>
      <c r="AC454" s="74">
        <f t="shared" si="268"/>
        <v>388.650479581152</v>
      </c>
      <c r="AD454" s="74">
        <f t="shared" si="269"/>
        <v>3890.98136963351</v>
      </c>
      <c r="AE454" s="74">
        <f t="shared" si="270"/>
        <v>1709.01863036649</v>
      </c>
    </row>
    <row r="455" customFormat="1" spans="1:31">
      <c r="A455" s="18"/>
      <c r="B455" s="19"/>
      <c r="C455" s="20">
        <v>240709000042</v>
      </c>
      <c r="D455" s="21">
        <v>45488</v>
      </c>
      <c r="E455" s="21" t="s">
        <v>37</v>
      </c>
      <c r="F455" s="19" t="s">
        <v>37</v>
      </c>
      <c r="G455" s="19" t="s">
        <v>148</v>
      </c>
      <c r="H455" s="19">
        <v>494</v>
      </c>
      <c r="I455" s="41">
        <v>25688</v>
      </c>
      <c r="J455" s="42"/>
      <c r="K455" s="43"/>
      <c r="L455" s="19"/>
      <c r="M455" s="43"/>
      <c r="N455" s="44"/>
      <c r="O455" s="45">
        <f t="shared" si="271"/>
        <v>25688</v>
      </c>
      <c r="P455" s="51"/>
      <c r="Q455" s="51"/>
      <c r="R455" s="74">
        <f t="shared" si="274"/>
        <v>23349.7333333333</v>
      </c>
      <c r="S455" s="74"/>
      <c r="T455" s="75">
        <f t="shared" si="275"/>
        <v>30.691797556719</v>
      </c>
      <c r="U455" s="74"/>
      <c r="V455" s="74"/>
      <c r="W455" s="76">
        <f t="shared" si="272"/>
        <v>23380.4251308901</v>
      </c>
      <c r="X455" s="77">
        <f t="shared" si="276"/>
        <v>357.369773123909</v>
      </c>
      <c r="Y455" s="77"/>
      <c r="Z455" s="77"/>
      <c r="AA455" s="77">
        <f t="shared" si="273"/>
        <v>357.369773123909</v>
      </c>
      <c r="AB455" s="87">
        <v>7.26</v>
      </c>
      <c r="AC455" s="74">
        <f t="shared" si="268"/>
        <v>2594.50455287958</v>
      </c>
      <c r="AD455" s="74">
        <f t="shared" si="269"/>
        <v>25974.9296837696</v>
      </c>
      <c r="AE455" s="74">
        <f t="shared" si="270"/>
        <v>-286.929683769598</v>
      </c>
    </row>
    <row r="456" customFormat="1" spans="1:31">
      <c r="A456" s="18"/>
      <c r="B456" s="19"/>
      <c r="C456" s="20">
        <v>240710000001</v>
      </c>
      <c r="D456" s="21">
        <v>45488</v>
      </c>
      <c r="E456" s="21" t="s">
        <v>47</v>
      </c>
      <c r="F456" s="19" t="s">
        <v>48</v>
      </c>
      <c r="G456" s="19" t="s">
        <v>367</v>
      </c>
      <c r="H456" s="19">
        <v>7.5</v>
      </c>
      <c r="I456" s="41">
        <v>768</v>
      </c>
      <c r="J456" s="42"/>
      <c r="K456" s="43"/>
      <c r="L456" s="19"/>
      <c r="M456" s="43"/>
      <c r="N456" s="44"/>
      <c r="O456" s="45">
        <f t="shared" si="271"/>
        <v>768</v>
      </c>
      <c r="P456" s="51"/>
      <c r="Q456" s="51"/>
      <c r="R456" s="74">
        <f t="shared" si="274"/>
        <v>354.5</v>
      </c>
      <c r="S456" s="74"/>
      <c r="T456" s="75">
        <f t="shared" si="275"/>
        <v>0.465968586387435</v>
      </c>
      <c r="U456" s="74"/>
      <c r="V456" s="74"/>
      <c r="W456" s="76">
        <f t="shared" si="272"/>
        <v>354.965968586387</v>
      </c>
      <c r="X456" s="77">
        <f t="shared" si="276"/>
        <v>5.42565445026178</v>
      </c>
      <c r="Y456" s="77"/>
      <c r="Z456" s="77"/>
      <c r="AA456" s="77">
        <f t="shared" si="273"/>
        <v>5.42565445026178</v>
      </c>
      <c r="AB456" s="87">
        <v>7.26</v>
      </c>
      <c r="AC456" s="74">
        <f t="shared" si="268"/>
        <v>39.3902513089005</v>
      </c>
      <c r="AD456" s="74">
        <f t="shared" si="269"/>
        <v>394.356219895288</v>
      </c>
      <c r="AE456" s="74">
        <f t="shared" si="270"/>
        <v>373.643780104712</v>
      </c>
    </row>
    <row r="457" customFormat="1" spans="1:31">
      <c r="A457" s="18"/>
      <c r="B457" s="19"/>
      <c r="C457" s="20">
        <v>240710000002</v>
      </c>
      <c r="D457" s="21">
        <v>45488</v>
      </c>
      <c r="E457" s="21" t="s">
        <v>47</v>
      </c>
      <c r="F457" s="19" t="s">
        <v>48</v>
      </c>
      <c r="G457" s="19" t="s">
        <v>96</v>
      </c>
      <c r="H457" s="19">
        <v>7.5</v>
      </c>
      <c r="I457" s="41">
        <v>476.7</v>
      </c>
      <c r="J457" s="42"/>
      <c r="K457" s="43"/>
      <c r="L457" s="19"/>
      <c r="M457" s="43"/>
      <c r="N457" s="44"/>
      <c r="O457" s="45">
        <f t="shared" si="271"/>
        <v>476.7</v>
      </c>
      <c r="P457" s="51"/>
      <c r="Q457" s="51"/>
      <c r="R457" s="74">
        <f t="shared" si="274"/>
        <v>354.5</v>
      </c>
      <c r="S457" s="74"/>
      <c r="T457" s="75">
        <f t="shared" si="275"/>
        <v>0.465968586387435</v>
      </c>
      <c r="U457" s="74"/>
      <c r="V457" s="74"/>
      <c r="W457" s="76">
        <f t="shared" si="272"/>
        <v>354.965968586387</v>
      </c>
      <c r="X457" s="77">
        <f t="shared" si="276"/>
        <v>5.42565445026178</v>
      </c>
      <c r="Y457" s="77"/>
      <c r="Z457" s="77"/>
      <c r="AA457" s="77">
        <f t="shared" si="273"/>
        <v>5.42565445026178</v>
      </c>
      <c r="AB457" s="87">
        <v>7.26</v>
      </c>
      <c r="AC457" s="74">
        <f t="shared" si="268"/>
        <v>39.3902513089005</v>
      </c>
      <c r="AD457" s="74">
        <f t="shared" si="269"/>
        <v>394.356219895288</v>
      </c>
      <c r="AE457" s="74">
        <f t="shared" si="270"/>
        <v>82.343780104712</v>
      </c>
    </row>
    <row r="458" customFormat="1" spans="1:31">
      <c r="A458" s="18"/>
      <c r="B458" s="19"/>
      <c r="C458" s="20">
        <v>240710000006</v>
      </c>
      <c r="D458" s="21">
        <v>45488</v>
      </c>
      <c r="E458" s="21" t="s">
        <v>127</v>
      </c>
      <c r="F458" s="19" t="s">
        <v>128</v>
      </c>
      <c r="G458" s="19" t="s">
        <v>375</v>
      </c>
      <c r="H458" s="19">
        <v>3</v>
      </c>
      <c r="I458" s="41">
        <v>221.1</v>
      </c>
      <c r="J458" s="42"/>
      <c r="K458" s="43"/>
      <c r="L458" s="19"/>
      <c r="M458" s="43"/>
      <c r="N458" s="44"/>
      <c r="O458" s="45">
        <f t="shared" si="271"/>
        <v>221.1</v>
      </c>
      <c r="P458" s="51"/>
      <c r="Q458" s="51"/>
      <c r="R458" s="74">
        <f t="shared" si="274"/>
        <v>141.8</v>
      </c>
      <c r="S458" s="74"/>
      <c r="T458" s="75">
        <f t="shared" si="275"/>
        <v>0.186387434554974</v>
      </c>
      <c r="U458" s="74"/>
      <c r="V458" s="74"/>
      <c r="W458" s="76">
        <f t="shared" si="272"/>
        <v>141.986387434555</v>
      </c>
      <c r="X458" s="77">
        <f t="shared" si="276"/>
        <v>2.17026178010471</v>
      </c>
      <c r="Y458" s="77"/>
      <c r="Z458" s="77"/>
      <c r="AA458" s="77">
        <f t="shared" si="273"/>
        <v>2.17026178010471</v>
      </c>
      <c r="AB458" s="87">
        <v>7.26</v>
      </c>
      <c r="AC458" s="74">
        <f t="shared" si="268"/>
        <v>15.7561005235602</v>
      </c>
      <c r="AD458" s="74">
        <f t="shared" si="269"/>
        <v>157.742487958115</v>
      </c>
      <c r="AE458" s="74">
        <f t="shared" si="270"/>
        <v>63.357512041885</v>
      </c>
    </row>
    <row r="459" customFormat="1" spans="1:31">
      <c r="A459" s="18"/>
      <c r="B459" s="19"/>
      <c r="C459" s="22">
        <v>240710000011</v>
      </c>
      <c r="D459" s="23">
        <v>45488</v>
      </c>
      <c r="E459" s="21" t="s">
        <v>58</v>
      </c>
      <c r="F459" s="24" t="s">
        <v>59</v>
      </c>
      <c r="G459" s="24" t="s">
        <v>135</v>
      </c>
      <c r="H459" s="24">
        <v>7.5</v>
      </c>
      <c r="I459" s="41">
        <v>526</v>
      </c>
      <c r="J459" s="42"/>
      <c r="K459" s="43"/>
      <c r="L459" s="19"/>
      <c r="M459" s="43"/>
      <c r="N459" s="44"/>
      <c r="O459" s="45">
        <f t="shared" si="271"/>
        <v>526</v>
      </c>
      <c r="P459" s="51"/>
      <c r="Q459" s="51"/>
      <c r="R459" s="74">
        <f t="shared" si="274"/>
        <v>354.5</v>
      </c>
      <c r="S459" s="74"/>
      <c r="T459" s="75">
        <f t="shared" si="275"/>
        <v>0.465968586387435</v>
      </c>
      <c r="U459" s="74"/>
      <c r="V459" s="74"/>
      <c r="W459" s="76">
        <f t="shared" si="272"/>
        <v>354.965968586387</v>
      </c>
      <c r="X459" s="77">
        <f t="shared" si="276"/>
        <v>5.42565445026178</v>
      </c>
      <c r="Y459" s="77"/>
      <c r="Z459" s="77"/>
      <c r="AA459" s="77">
        <f t="shared" si="273"/>
        <v>5.42565445026178</v>
      </c>
      <c r="AB459" s="87">
        <v>7.26</v>
      </c>
      <c r="AC459" s="74">
        <f t="shared" si="268"/>
        <v>39.3902513089005</v>
      </c>
      <c r="AD459" s="74">
        <f t="shared" si="269"/>
        <v>394.356219895288</v>
      </c>
      <c r="AE459" s="74">
        <f t="shared" si="270"/>
        <v>131.643780104712</v>
      </c>
    </row>
    <row r="460" customFormat="1" spans="1:31">
      <c r="A460" s="18"/>
      <c r="B460" s="19"/>
      <c r="C460" s="20">
        <v>240710000013</v>
      </c>
      <c r="D460" s="21">
        <v>45488</v>
      </c>
      <c r="E460" s="21" t="s">
        <v>40</v>
      </c>
      <c r="F460" s="19" t="s">
        <v>41</v>
      </c>
      <c r="G460" s="19" t="s">
        <v>376</v>
      </c>
      <c r="H460" s="19">
        <v>7</v>
      </c>
      <c r="I460" s="41">
        <v>455</v>
      </c>
      <c r="J460" s="42"/>
      <c r="K460" s="43"/>
      <c r="L460" s="19"/>
      <c r="M460" s="43"/>
      <c r="N460" s="44"/>
      <c r="O460" s="45">
        <f t="shared" si="271"/>
        <v>455</v>
      </c>
      <c r="P460" s="51"/>
      <c r="Q460" s="51"/>
      <c r="R460" s="74">
        <f t="shared" si="274"/>
        <v>330.866666666667</v>
      </c>
      <c r="S460" s="74"/>
      <c r="T460" s="75">
        <f t="shared" si="275"/>
        <v>0.434904013961606</v>
      </c>
      <c r="U460" s="74"/>
      <c r="V460" s="74"/>
      <c r="W460" s="76">
        <f t="shared" si="272"/>
        <v>331.301570680628</v>
      </c>
      <c r="X460" s="77">
        <f t="shared" si="276"/>
        <v>5.06394415357766</v>
      </c>
      <c r="Y460" s="77"/>
      <c r="Z460" s="77"/>
      <c r="AA460" s="77">
        <f t="shared" si="273"/>
        <v>5.06394415357766</v>
      </c>
      <c r="AB460" s="87">
        <v>7.26</v>
      </c>
      <c r="AC460" s="74">
        <f t="shared" si="268"/>
        <v>36.7642345549738</v>
      </c>
      <c r="AD460" s="74">
        <f t="shared" si="269"/>
        <v>368.065805235602</v>
      </c>
      <c r="AE460" s="74">
        <f t="shared" si="270"/>
        <v>86.934194764398</v>
      </c>
    </row>
    <row r="461" customFormat="1" spans="1:31">
      <c r="A461" s="18"/>
      <c r="B461" s="19"/>
      <c r="C461" s="20">
        <v>240710000026</v>
      </c>
      <c r="D461" s="21">
        <v>45488</v>
      </c>
      <c r="E461" s="21" t="s">
        <v>44</v>
      </c>
      <c r="F461" s="19" t="s">
        <v>45</v>
      </c>
      <c r="G461" s="19" t="s">
        <v>143</v>
      </c>
      <c r="H461" s="19">
        <v>13</v>
      </c>
      <c r="I461" s="45"/>
      <c r="J461" s="48">
        <v>232934.24</v>
      </c>
      <c r="K461" s="43"/>
      <c r="L461" s="49">
        <f t="shared" ref="L461:L466" si="277">SUM(J461/M461)</f>
        <v>1606</v>
      </c>
      <c r="M461" s="50">
        <v>145.04</v>
      </c>
      <c r="N461" s="44">
        <v>7.26</v>
      </c>
      <c r="O461" s="45">
        <f t="shared" ref="O461:O466" si="278">SUM(M461*N461)</f>
        <v>1052.9904</v>
      </c>
      <c r="P461" s="51"/>
      <c r="Q461" s="51"/>
      <c r="R461" s="74">
        <f t="shared" si="274"/>
        <v>614.466666666667</v>
      </c>
      <c r="S461" s="74"/>
      <c r="T461" s="75">
        <f t="shared" si="275"/>
        <v>0.807678883071553</v>
      </c>
      <c r="U461" s="74"/>
      <c r="V461" s="74"/>
      <c r="W461" s="76">
        <f t="shared" si="272"/>
        <v>615.274345549738</v>
      </c>
      <c r="X461" s="77">
        <f t="shared" si="276"/>
        <v>9.40446771378708</v>
      </c>
      <c r="Y461" s="77"/>
      <c r="Z461" s="77"/>
      <c r="AA461" s="77">
        <f t="shared" si="273"/>
        <v>9.40446771378708</v>
      </c>
      <c r="AB461" s="87">
        <v>7.26</v>
      </c>
      <c r="AC461" s="74">
        <f t="shared" si="268"/>
        <v>68.2764356020942</v>
      </c>
      <c r="AD461" s="74">
        <f t="shared" si="269"/>
        <v>683.550781151832</v>
      </c>
      <c r="AE461" s="74">
        <f t="shared" si="270"/>
        <v>369.439618848168</v>
      </c>
    </row>
    <row r="462" customFormat="1" spans="1:31">
      <c r="A462" s="18"/>
      <c r="B462" s="19"/>
      <c r="C462" s="20">
        <v>240710000028</v>
      </c>
      <c r="D462" s="21">
        <v>45488</v>
      </c>
      <c r="E462" s="21" t="s">
        <v>40</v>
      </c>
      <c r="F462" s="19" t="s">
        <v>41</v>
      </c>
      <c r="G462" s="19" t="s">
        <v>91</v>
      </c>
      <c r="H462" s="19">
        <v>32</v>
      </c>
      <c r="I462" s="47"/>
      <c r="J462" s="48">
        <v>600250</v>
      </c>
      <c r="K462" s="43"/>
      <c r="L462" s="49">
        <f t="shared" si="277"/>
        <v>1778.72933088366</v>
      </c>
      <c r="M462" s="50">
        <v>337.46</v>
      </c>
      <c r="N462" s="44">
        <v>7.26</v>
      </c>
      <c r="O462" s="45">
        <f t="shared" si="278"/>
        <v>2449.9596</v>
      </c>
      <c r="P462" s="51"/>
      <c r="Q462" s="51"/>
      <c r="R462" s="74">
        <f t="shared" si="274"/>
        <v>1512.53333333333</v>
      </c>
      <c r="S462" s="74"/>
      <c r="T462" s="75">
        <f t="shared" si="275"/>
        <v>1.98813263525305</v>
      </c>
      <c r="U462" s="74">
        <v>50</v>
      </c>
      <c r="V462" s="74"/>
      <c r="W462" s="76">
        <f t="shared" si="272"/>
        <v>1564.52146596859</v>
      </c>
      <c r="X462" s="77">
        <f t="shared" si="276"/>
        <v>23.1494589877836</v>
      </c>
      <c r="Y462" s="77"/>
      <c r="Z462" s="77"/>
      <c r="AA462" s="77">
        <f t="shared" si="273"/>
        <v>23.1494589877836</v>
      </c>
      <c r="AB462" s="87">
        <v>7.26</v>
      </c>
      <c r="AC462" s="74">
        <f t="shared" si="268"/>
        <v>168.065072251309</v>
      </c>
      <c r="AD462" s="74">
        <f t="shared" si="269"/>
        <v>1732.5865382199</v>
      </c>
      <c r="AE462" s="74">
        <f t="shared" si="270"/>
        <v>717.3730617801</v>
      </c>
    </row>
    <row r="463" customFormat="1" spans="1:31">
      <c r="A463" s="18"/>
      <c r="B463" s="19"/>
      <c r="C463" s="20">
        <v>240711000017</v>
      </c>
      <c r="D463" s="21">
        <v>45488</v>
      </c>
      <c r="E463" s="21" t="s">
        <v>44</v>
      </c>
      <c r="F463" s="19" t="s">
        <v>45</v>
      </c>
      <c r="G463" s="19" t="s">
        <v>92</v>
      </c>
      <c r="H463" s="19">
        <v>0.79</v>
      </c>
      <c r="I463" s="41">
        <v>88.2</v>
      </c>
      <c r="J463" s="42"/>
      <c r="K463" s="43"/>
      <c r="L463" s="19"/>
      <c r="M463" s="43"/>
      <c r="N463" s="44"/>
      <c r="O463" s="45">
        <f t="shared" ref="O462:O465" si="279">SUM(I463)</f>
        <v>88.2</v>
      </c>
      <c r="P463" s="51"/>
      <c r="Q463" s="51"/>
      <c r="R463" s="74">
        <f t="shared" si="274"/>
        <v>37.3406666666667</v>
      </c>
      <c r="S463" s="74"/>
      <c r="T463" s="75">
        <f t="shared" si="275"/>
        <v>0.0490820244328098</v>
      </c>
      <c r="U463" s="74"/>
      <c r="V463" s="74"/>
      <c r="W463" s="76">
        <f t="shared" si="272"/>
        <v>37.3897486910995</v>
      </c>
      <c r="X463" s="77">
        <f t="shared" si="276"/>
        <v>0.571502268760907</v>
      </c>
      <c r="Y463" s="77"/>
      <c r="Z463" s="77"/>
      <c r="AA463" s="77">
        <f t="shared" si="273"/>
        <v>0.571502268760907</v>
      </c>
      <c r="AB463" s="87">
        <v>7.26</v>
      </c>
      <c r="AC463" s="74">
        <f t="shared" si="268"/>
        <v>4.14910647120419</v>
      </c>
      <c r="AD463" s="74">
        <f t="shared" si="269"/>
        <v>41.5388551623037</v>
      </c>
      <c r="AE463" s="74">
        <f t="shared" si="270"/>
        <v>46.6611448376963</v>
      </c>
    </row>
    <row r="464" customFormat="1" spans="1:31">
      <c r="A464" s="18"/>
      <c r="B464" s="19"/>
      <c r="C464" s="20">
        <v>240712000017</v>
      </c>
      <c r="D464" s="21">
        <v>45488</v>
      </c>
      <c r="E464" s="21" t="s">
        <v>44</v>
      </c>
      <c r="F464" s="19" t="s">
        <v>45</v>
      </c>
      <c r="G464" s="19" t="s">
        <v>377</v>
      </c>
      <c r="H464" s="19">
        <v>6.5</v>
      </c>
      <c r="I464" s="47"/>
      <c r="J464" s="48">
        <v>90284</v>
      </c>
      <c r="K464" s="43"/>
      <c r="L464" s="49">
        <f t="shared" si="277"/>
        <v>1582.8190743338</v>
      </c>
      <c r="M464" s="50">
        <v>57.04</v>
      </c>
      <c r="N464" s="44">
        <v>7.26</v>
      </c>
      <c r="O464" s="45">
        <f t="shared" si="278"/>
        <v>414.1104</v>
      </c>
      <c r="P464" s="51"/>
      <c r="Q464" s="51"/>
      <c r="R464" s="74">
        <f t="shared" si="274"/>
        <v>307.233333333333</v>
      </c>
      <c r="S464" s="74"/>
      <c r="T464" s="75">
        <f t="shared" si="275"/>
        <v>0.403839441535777</v>
      </c>
      <c r="U464" s="74"/>
      <c r="V464" s="74"/>
      <c r="W464" s="76">
        <f t="shared" si="272"/>
        <v>307.637172774869</v>
      </c>
      <c r="X464" s="77">
        <f t="shared" si="276"/>
        <v>4.70223385689354</v>
      </c>
      <c r="Y464" s="77"/>
      <c r="Z464" s="77"/>
      <c r="AA464" s="77">
        <f t="shared" si="273"/>
        <v>4.70223385689354</v>
      </c>
      <c r="AB464" s="87">
        <v>7.26</v>
      </c>
      <c r="AC464" s="74">
        <f t="shared" si="268"/>
        <v>34.1382178010471</v>
      </c>
      <c r="AD464" s="74">
        <f t="shared" si="269"/>
        <v>341.775390575916</v>
      </c>
      <c r="AE464" s="74">
        <f t="shared" si="270"/>
        <v>72.335009424084</v>
      </c>
    </row>
    <row r="465" customFormat="1" spans="1:31">
      <c r="A465" s="18"/>
      <c r="B465" s="19"/>
      <c r="C465" s="20">
        <v>240712000019</v>
      </c>
      <c r="D465" s="21">
        <v>45488</v>
      </c>
      <c r="E465" s="21" t="s">
        <v>37</v>
      </c>
      <c r="F465" s="19" t="s">
        <v>37</v>
      </c>
      <c r="G465" s="19" t="s">
        <v>149</v>
      </c>
      <c r="H465" s="19">
        <v>237</v>
      </c>
      <c r="I465" s="41">
        <v>13347.5</v>
      </c>
      <c r="J465" s="42"/>
      <c r="K465" s="43"/>
      <c r="L465" s="19"/>
      <c r="M465" s="43"/>
      <c r="N465" s="44"/>
      <c r="O465" s="45">
        <f t="shared" si="279"/>
        <v>13347.5</v>
      </c>
      <c r="P465" s="51"/>
      <c r="Q465" s="51"/>
      <c r="R465" s="74">
        <f t="shared" si="274"/>
        <v>11202.2</v>
      </c>
      <c r="S465" s="74"/>
      <c r="T465" s="75">
        <f t="shared" si="275"/>
        <v>14.7246073298429</v>
      </c>
      <c r="U465" s="74"/>
      <c r="V465" s="74"/>
      <c r="W465" s="76">
        <f t="shared" si="272"/>
        <v>11216.9246073298</v>
      </c>
      <c r="X465" s="77">
        <f t="shared" si="276"/>
        <v>171.450680628272</v>
      </c>
      <c r="Y465" s="77"/>
      <c r="Z465" s="77"/>
      <c r="AA465" s="77">
        <f t="shared" si="273"/>
        <v>171.450680628272</v>
      </c>
      <c r="AB465" s="87">
        <v>7.26</v>
      </c>
      <c r="AC465" s="74">
        <f t="shared" ref="AC465:AC475" si="280">SUM(AA465*AB465)</f>
        <v>1244.73194136126</v>
      </c>
      <c r="AD465" s="74">
        <f t="shared" si="269"/>
        <v>12461.6565486911</v>
      </c>
      <c r="AE465" s="74">
        <f t="shared" si="270"/>
        <v>885.8434513089</v>
      </c>
    </row>
    <row r="466" customFormat="1" spans="1:31">
      <c r="A466" s="18"/>
      <c r="B466" s="19"/>
      <c r="C466" s="20">
        <v>240712000025</v>
      </c>
      <c r="D466" s="21">
        <v>45488</v>
      </c>
      <c r="E466" s="21" t="s">
        <v>58</v>
      </c>
      <c r="F466" s="19" t="s">
        <v>166</v>
      </c>
      <c r="G466" s="19" t="s">
        <v>167</v>
      </c>
      <c r="H466" s="19">
        <v>9</v>
      </c>
      <c r="I466" s="45"/>
      <c r="J466" s="48">
        <v>127195.2</v>
      </c>
      <c r="K466" s="43"/>
      <c r="L466" s="49">
        <f t="shared" si="277"/>
        <v>1606</v>
      </c>
      <c r="M466" s="50">
        <v>79.2</v>
      </c>
      <c r="N466" s="44">
        <v>7.26</v>
      </c>
      <c r="O466" s="45">
        <f t="shared" si="278"/>
        <v>574.992</v>
      </c>
      <c r="P466" s="51"/>
      <c r="Q466" s="51"/>
      <c r="R466" s="74">
        <f t="shared" si="274"/>
        <v>425.4</v>
      </c>
      <c r="S466" s="74"/>
      <c r="T466" s="75">
        <f t="shared" si="275"/>
        <v>0.559162303664921</v>
      </c>
      <c r="U466" s="74"/>
      <c r="V466" s="74"/>
      <c r="W466" s="76">
        <f t="shared" si="272"/>
        <v>425.959162303665</v>
      </c>
      <c r="X466" s="77">
        <f t="shared" si="276"/>
        <v>6.51078534031414</v>
      </c>
      <c r="Y466" s="77"/>
      <c r="Z466" s="77"/>
      <c r="AA466" s="77">
        <f t="shared" si="273"/>
        <v>6.51078534031414</v>
      </c>
      <c r="AB466" s="87">
        <v>7.26</v>
      </c>
      <c r="AC466" s="74">
        <f t="shared" si="280"/>
        <v>47.2683015706806</v>
      </c>
      <c r="AD466" s="74">
        <f t="shared" si="269"/>
        <v>473.227463874346</v>
      </c>
      <c r="AE466" s="74">
        <f t="shared" ref="AE466:AE475" si="281">SUM(O466-AD466)</f>
        <v>101.764536125654</v>
      </c>
    </row>
    <row r="467" customFormat="1" spans="1:31">
      <c r="A467" s="18"/>
      <c r="B467" s="19"/>
      <c r="C467" s="20">
        <v>240712000045</v>
      </c>
      <c r="D467" s="21">
        <v>45488</v>
      </c>
      <c r="E467" s="21" t="s">
        <v>37</v>
      </c>
      <c r="F467" s="19" t="s">
        <v>37</v>
      </c>
      <c r="G467" s="19" t="s">
        <v>172</v>
      </c>
      <c r="H467" s="19">
        <v>4.5</v>
      </c>
      <c r="I467" s="41">
        <v>300.3</v>
      </c>
      <c r="J467" s="42"/>
      <c r="K467" s="43"/>
      <c r="L467" s="19"/>
      <c r="M467" s="43"/>
      <c r="N467" s="44"/>
      <c r="O467" s="45">
        <f t="shared" ref="O467:O471" si="282">SUM(I467)</f>
        <v>300.3</v>
      </c>
      <c r="P467" s="52"/>
      <c r="Q467" s="52"/>
      <c r="R467" s="74">
        <f t="shared" si="274"/>
        <v>212.7</v>
      </c>
      <c r="S467" s="74"/>
      <c r="T467" s="75">
        <f t="shared" si="275"/>
        <v>0.279581151832461</v>
      </c>
      <c r="U467" s="74"/>
      <c r="V467" s="74"/>
      <c r="W467" s="76">
        <f t="shared" ref="W467:W475" si="283">SUM(R467:V467)</f>
        <v>212.979581151832</v>
      </c>
      <c r="X467" s="77">
        <f t="shared" si="276"/>
        <v>3.25539267015707</v>
      </c>
      <c r="Y467" s="77"/>
      <c r="Z467" s="77"/>
      <c r="AA467" s="77">
        <f t="shared" ref="AA467:AA475" si="284">SUM(X467:Z467)</f>
        <v>3.25539267015707</v>
      </c>
      <c r="AB467" s="87">
        <v>7.26</v>
      </c>
      <c r="AC467" s="74">
        <f t="shared" si="280"/>
        <v>23.6341507853403</v>
      </c>
      <c r="AD467" s="74">
        <f t="shared" ref="AD467:AD475" si="285">SUM(W467+AC467)</f>
        <v>236.613731937173</v>
      </c>
      <c r="AE467" s="74">
        <f t="shared" si="281"/>
        <v>63.6862680628273</v>
      </c>
    </row>
    <row r="468" customFormat="1" spans="1:31">
      <c r="A468" s="18" t="s">
        <v>378</v>
      </c>
      <c r="B468" s="19" t="s">
        <v>379</v>
      </c>
      <c r="C468" s="20">
        <v>240713000017</v>
      </c>
      <c r="D468" s="21">
        <v>45492</v>
      </c>
      <c r="E468" s="21" t="s">
        <v>37</v>
      </c>
      <c r="F468" s="19" t="s">
        <v>37</v>
      </c>
      <c r="G468" s="19" t="s">
        <v>380</v>
      </c>
      <c r="H468" s="19">
        <v>1596</v>
      </c>
      <c r="I468" s="41">
        <v>90113.4</v>
      </c>
      <c r="J468" s="89"/>
      <c r="K468" s="43"/>
      <c r="L468" s="45"/>
      <c r="M468" s="43"/>
      <c r="N468" s="103"/>
      <c r="O468" s="90">
        <f t="shared" si="282"/>
        <v>90113.4</v>
      </c>
      <c r="P468" s="105">
        <f>SUM(O468)</f>
        <v>90113.4</v>
      </c>
      <c r="Q468" s="105" t="s">
        <v>205</v>
      </c>
      <c r="R468" s="92">
        <v>67353.2</v>
      </c>
      <c r="S468" s="106">
        <v>2199.4</v>
      </c>
      <c r="T468" s="91"/>
      <c r="U468" s="92"/>
      <c r="V468" s="92"/>
      <c r="W468" s="76">
        <f t="shared" si="283"/>
        <v>69552.6</v>
      </c>
      <c r="X468" s="93">
        <v>916.56</v>
      </c>
      <c r="Y468" s="93"/>
      <c r="Z468" s="93"/>
      <c r="AA468" s="77">
        <f t="shared" si="284"/>
        <v>916.56</v>
      </c>
      <c r="AB468" s="87">
        <v>7.26</v>
      </c>
      <c r="AC468" s="74">
        <f t="shared" si="280"/>
        <v>6654.2256</v>
      </c>
      <c r="AD468" s="74">
        <f t="shared" si="285"/>
        <v>76206.8256</v>
      </c>
      <c r="AE468" s="74">
        <f t="shared" si="281"/>
        <v>13906.5744</v>
      </c>
    </row>
    <row r="469" customFormat="1" spans="1:31">
      <c r="A469" s="18" t="s">
        <v>381</v>
      </c>
      <c r="B469" s="19" t="s">
        <v>382</v>
      </c>
      <c r="C469" s="20">
        <v>240715000002</v>
      </c>
      <c r="D469" s="21">
        <v>45492</v>
      </c>
      <c r="E469" s="21" t="s">
        <v>44</v>
      </c>
      <c r="F469" s="19" t="s">
        <v>45</v>
      </c>
      <c r="G469" s="19" t="s">
        <v>304</v>
      </c>
      <c r="H469" s="19">
        <v>3</v>
      </c>
      <c r="I469" s="41">
        <v>345</v>
      </c>
      <c r="J469" s="42"/>
      <c r="K469" s="43"/>
      <c r="L469" s="19"/>
      <c r="M469" s="43"/>
      <c r="N469" s="44"/>
      <c r="O469" s="45">
        <f t="shared" si="282"/>
        <v>345</v>
      </c>
      <c r="P469" s="46">
        <f>SUM(O469:O475)</f>
        <v>3437.5242</v>
      </c>
      <c r="Q469" s="46" t="s">
        <v>39</v>
      </c>
      <c r="R469" s="74">
        <f>SUM(2500/32)*H469</f>
        <v>234.375</v>
      </c>
      <c r="S469" s="74"/>
      <c r="T469" s="75">
        <f>SUM(58.65/32)*H469</f>
        <v>5.4984375</v>
      </c>
      <c r="U469" s="74"/>
      <c r="V469" s="74"/>
      <c r="W469" s="76">
        <f t="shared" si="283"/>
        <v>239.8734375</v>
      </c>
      <c r="X469" s="77">
        <f>SUM(60.86/32)*H469</f>
        <v>5.705625</v>
      </c>
      <c r="Y469" s="77"/>
      <c r="Z469" s="77"/>
      <c r="AA469" s="77">
        <f t="shared" si="284"/>
        <v>5.705625</v>
      </c>
      <c r="AB469" s="87">
        <v>7.26</v>
      </c>
      <c r="AC469" s="74">
        <f t="shared" si="280"/>
        <v>41.4228375</v>
      </c>
      <c r="AD469" s="74">
        <f t="shared" si="285"/>
        <v>281.296275</v>
      </c>
      <c r="AE469" s="74">
        <f t="shared" si="281"/>
        <v>63.703725</v>
      </c>
    </row>
    <row r="470" customFormat="1" spans="1:31">
      <c r="A470" s="18"/>
      <c r="B470" s="19"/>
      <c r="C470" s="20">
        <v>240715000021</v>
      </c>
      <c r="D470" s="21">
        <v>45492</v>
      </c>
      <c r="E470" s="21" t="s">
        <v>58</v>
      </c>
      <c r="F470" s="19" t="s">
        <v>59</v>
      </c>
      <c r="G470" s="19" t="s">
        <v>238</v>
      </c>
      <c r="H470" s="19">
        <v>2.5</v>
      </c>
      <c r="I470" s="41">
        <v>288</v>
      </c>
      <c r="J470" s="42"/>
      <c r="K470" s="43"/>
      <c r="L470" s="19"/>
      <c r="M470" s="43"/>
      <c r="N470" s="44"/>
      <c r="O470" s="45">
        <f t="shared" si="282"/>
        <v>288</v>
      </c>
      <c r="P470" s="51"/>
      <c r="Q470" s="51"/>
      <c r="R470" s="74">
        <f t="shared" ref="R470:R475" si="286">SUM(2500/32)*H470</f>
        <v>195.3125</v>
      </c>
      <c r="S470" s="74"/>
      <c r="T470" s="75">
        <f t="shared" ref="T470:T475" si="287">SUM(58.65/32)*H470</f>
        <v>4.58203125</v>
      </c>
      <c r="U470" s="74"/>
      <c r="V470" s="74"/>
      <c r="W470" s="76">
        <f t="shared" si="283"/>
        <v>199.89453125</v>
      </c>
      <c r="X470" s="77">
        <f t="shared" ref="X470:X475" si="288">SUM(60.86/32)*H470</f>
        <v>4.7546875</v>
      </c>
      <c r="Y470" s="77"/>
      <c r="Z470" s="77"/>
      <c r="AA470" s="77">
        <f t="shared" si="284"/>
        <v>4.7546875</v>
      </c>
      <c r="AB470" s="87">
        <v>7.26</v>
      </c>
      <c r="AC470" s="74">
        <f t="shared" si="280"/>
        <v>34.51903125</v>
      </c>
      <c r="AD470" s="74">
        <f t="shared" si="285"/>
        <v>234.4135625</v>
      </c>
      <c r="AE470" s="74">
        <f t="shared" si="281"/>
        <v>53.5864375</v>
      </c>
    </row>
    <row r="471" customFormat="1" spans="1:31">
      <c r="A471" s="18"/>
      <c r="B471" s="19"/>
      <c r="C471" s="20">
        <v>240716000021</v>
      </c>
      <c r="D471" s="21">
        <v>45492</v>
      </c>
      <c r="E471" s="21" t="s">
        <v>44</v>
      </c>
      <c r="F471" s="19" t="s">
        <v>45</v>
      </c>
      <c r="G471" s="19" t="s">
        <v>153</v>
      </c>
      <c r="H471" s="19">
        <v>4.5</v>
      </c>
      <c r="I471" s="41">
        <v>517.5</v>
      </c>
      <c r="J471" s="42"/>
      <c r="K471" s="43"/>
      <c r="L471" s="19"/>
      <c r="M471" s="43"/>
      <c r="N471" s="44"/>
      <c r="O471" s="45">
        <f t="shared" si="282"/>
        <v>517.5</v>
      </c>
      <c r="P471" s="51"/>
      <c r="Q471" s="51"/>
      <c r="R471" s="74">
        <f t="shared" si="286"/>
        <v>351.5625</v>
      </c>
      <c r="S471" s="74"/>
      <c r="T471" s="75">
        <f t="shared" si="287"/>
        <v>8.24765625</v>
      </c>
      <c r="U471" s="74"/>
      <c r="V471" s="74"/>
      <c r="W471" s="76">
        <f t="shared" si="283"/>
        <v>359.81015625</v>
      </c>
      <c r="X471" s="77">
        <f t="shared" si="288"/>
        <v>8.5584375</v>
      </c>
      <c r="Y471" s="77"/>
      <c r="Z471" s="77"/>
      <c r="AA471" s="77">
        <f t="shared" si="284"/>
        <v>8.5584375</v>
      </c>
      <c r="AB471" s="87">
        <v>7.26</v>
      </c>
      <c r="AC471" s="74">
        <f t="shared" si="280"/>
        <v>62.13425625</v>
      </c>
      <c r="AD471" s="74">
        <f t="shared" si="285"/>
        <v>421.9444125</v>
      </c>
      <c r="AE471" s="74">
        <f t="shared" si="281"/>
        <v>95.5555875</v>
      </c>
    </row>
    <row r="472" customFormat="1" spans="1:31">
      <c r="A472" s="18"/>
      <c r="B472" s="19"/>
      <c r="C472" s="20">
        <v>240716000029</v>
      </c>
      <c r="D472" s="21">
        <v>45492</v>
      </c>
      <c r="E472" s="21" t="s">
        <v>47</v>
      </c>
      <c r="F472" s="19">
        <v>13635229849</v>
      </c>
      <c r="G472" s="19" t="s">
        <v>108</v>
      </c>
      <c r="H472" s="19">
        <v>0.5</v>
      </c>
      <c r="I472" s="45"/>
      <c r="J472" s="48">
        <v>26772</v>
      </c>
      <c r="K472" s="43"/>
      <c r="L472" s="49">
        <f>SUM(J472/M472)</f>
        <v>1605.99880023995</v>
      </c>
      <c r="M472" s="50">
        <v>16.67</v>
      </c>
      <c r="N472" s="44">
        <v>7.26</v>
      </c>
      <c r="O472" s="45">
        <f>SUM(M472*N472)</f>
        <v>121.0242</v>
      </c>
      <c r="P472" s="51"/>
      <c r="Q472" s="51"/>
      <c r="R472" s="74">
        <f t="shared" si="286"/>
        <v>39.0625</v>
      </c>
      <c r="S472" s="74"/>
      <c r="T472" s="75">
        <f t="shared" si="287"/>
        <v>0.91640625</v>
      </c>
      <c r="U472" s="74"/>
      <c r="V472" s="74"/>
      <c r="W472" s="76">
        <f t="shared" si="283"/>
        <v>39.97890625</v>
      </c>
      <c r="X472" s="77">
        <f t="shared" si="288"/>
        <v>0.9509375</v>
      </c>
      <c r="Y472" s="77"/>
      <c r="Z472" s="77"/>
      <c r="AA472" s="77">
        <f t="shared" si="284"/>
        <v>0.9509375</v>
      </c>
      <c r="AB472" s="87">
        <v>7.26</v>
      </c>
      <c r="AC472" s="74">
        <f t="shared" si="280"/>
        <v>6.90380625</v>
      </c>
      <c r="AD472" s="74">
        <f t="shared" si="285"/>
        <v>46.8827125</v>
      </c>
      <c r="AE472" s="74">
        <f t="shared" si="281"/>
        <v>74.1414875</v>
      </c>
    </row>
    <row r="473" customFormat="1" spans="1:31">
      <c r="A473" s="18"/>
      <c r="B473" s="19"/>
      <c r="C473" s="20">
        <v>240717000009</v>
      </c>
      <c r="D473" s="21">
        <v>45492</v>
      </c>
      <c r="E473" s="21" t="s">
        <v>58</v>
      </c>
      <c r="F473" s="19" t="s">
        <v>59</v>
      </c>
      <c r="G473" s="19" t="s">
        <v>234</v>
      </c>
      <c r="H473" s="19">
        <v>0.96666664</v>
      </c>
      <c r="I473" s="41">
        <v>120</v>
      </c>
      <c r="J473" s="42"/>
      <c r="K473" s="43"/>
      <c r="L473" s="19"/>
      <c r="M473" s="43"/>
      <c r="N473" s="44"/>
      <c r="O473" s="45">
        <f t="shared" ref="O473:O476" si="289">SUM(I473)</f>
        <v>120</v>
      </c>
      <c r="P473" s="51"/>
      <c r="Q473" s="51"/>
      <c r="R473" s="74">
        <f t="shared" si="286"/>
        <v>75.52083125</v>
      </c>
      <c r="S473" s="74"/>
      <c r="T473" s="75">
        <f t="shared" si="287"/>
        <v>1.771718701125</v>
      </c>
      <c r="U473" s="74"/>
      <c r="V473" s="74"/>
      <c r="W473" s="76">
        <f t="shared" si="283"/>
        <v>77.292549951125</v>
      </c>
      <c r="X473" s="77">
        <f t="shared" si="288"/>
        <v>1.83847911595</v>
      </c>
      <c r="Y473" s="77"/>
      <c r="Z473" s="77"/>
      <c r="AA473" s="77">
        <f t="shared" si="284"/>
        <v>1.83847911595</v>
      </c>
      <c r="AB473" s="87">
        <v>7.26</v>
      </c>
      <c r="AC473" s="74">
        <f t="shared" si="280"/>
        <v>13.347358381797</v>
      </c>
      <c r="AD473" s="74">
        <f t="shared" ref="AD473:AD504" si="290">SUM(W473+AC473)</f>
        <v>90.639908332922</v>
      </c>
      <c r="AE473" s="74">
        <f t="shared" si="281"/>
        <v>29.360091667078</v>
      </c>
    </row>
    <row r="474" customFormat="1" spans="1:31">
      <c r="A474" s="18"/>
      <c r="B474" s="19"/>
      <c r="C474" s="20">
        <v>240717000011</v>
      </c>
      <c r="D474" s="21">
        <v>45492</v>
      </c>
      <c r="E474" s="21" t="s">
        <v>47</v>
      </c>
      <c r="F474" s="19" t="s">
        <v>48</v>
      </c>
      <c r="G474" s="19" t="s">
        <v>160</v>
      </c>
      <c r="H474" s="19">
        <v>5.5</v>
      </c>
      <c r="I474" s="41">
        <v>646</v>
      </c>
      <c r="J474" s="42"/>
      <c r="K474" s="43"/>
      <c r="L474" s="19"/>
      <c r="M474" s="43"/>
      <c r="N474" s="44"/>
      <c r="O474" s="45">
        <f t="shared" si="289"/>
        <v>646</v>
      </c>
      <c r="P474" s="51"/>
      <c r="Q474" s="51"/>
      <c r="R474" s="74">
        <f t="shared" si="286"/>
        <v>429.6875</v>
      </c>
      <c r="S474" s="74"/>
      <c r="T474" s="75">
        <f t="shared" si="287"/>
        <v>10.08046875</v>
      </c>
      <c r="U474" s="74"/>
      <c r="V474" s="75">
        <v>14</v>
      </c>
      <c r="W474" s="76">
        <f t="shared" si="283"/>
        <v>453.76796875</v>
      </c>
      <c r="X474" s="77">
        <f t="shared" si="288"/>
        <v>10.4603125</v>
      </c>
      <c r="Y474" s="77"/>
      <c r="Z474" s="77"/>
      <c r="AA474" s="77">
        <f t="shared" si="284"/>
        <v>10.4603125</v>
      </c>
      <c r="AB474" s="87">
        <v>7.26</v>
      </c>
      <c r="AC474" s="74">
        <f t="shared" si="280"/>
        <v>75.94186875</v>
      </c>
      <c r="AD474" s="74">
        <f t="shared" si="290"/>
        <v>529.7098375</v>
      </c>
      <c r="AE474" s="74">
        <f t="shared" si="281"/>
        <v>116.2901625</v>
      </c>
    </row>
    <row r="475" customFormat="1" spans="1:31">
      <c r="A475" s="18"/>
      <c r="B475" s="19"/>
      <c r="C475" s="20">
        <v>240717000032</v>
      </c>
      <c r="D475" s="21">
        <v>45492</v>
      </c>
      <c r="E475" s="21" t="s">
        <v>40</v>
      </c>
      <c r="F475" s="19" t="s">
        <v>41</v>
      </c>
      <c r="G475" s="19" t="s">
        <v>86</v>
      </c>
      <c r="H475" s="19">
        <v>14</v>
      </c>
      <c r="I475" s="41">
        <v>1400</v>
      </c>
      <c r="J475" s="42"/>
      <c r="K475" s="43"/>
      <c r="L475" s="19"/>
      <c r="M475" s="43"/>
      <c r="N475" s="44"/>
      <c r="O475" s="45">
        <f t="shared" si="289"/>
        <v>1400</v>
      </c>
      <c r="P475" s="52"/>
      <c r="Q475" s="52"/>
      <c r="R475" s="74">
        <f t="shared" si="286"/>
        <v>1093.75</v>
      </c>
      <c r="S475" s="74"/>
      <c r="T475" s="75">
        <f t="shared" si="287"/>
        <v>25.659375</v>
      </c>
      <c r="U475" s="74"/>
      <c r="V475" s="74"/>
      <c r="W475" s="76">
        <f t="shared" ref="W475:W522" si="291">SUM(R475:V475)</f>
        <v>1119.409375</v>
      </c>
      <c r="X475" s="77">
        <f t="shared" si="288"/>
        <v>26.62625</v>
      </c>
      <c r="Y475" s="77"/>
      <c r="Z475" s="77"/>
      <c r="AA475" s="77">
        <f t="shared" si="284"/>
        <v>26.62625</v>
      </c>
      <c r="AB475" s="87">
        <v>7.26</v>
      </c>
      <c r="AC475" s="74">
        <f t="shared" ref="AC475:AC522" si="292">SUM(AA475*AB475)</f>
        <v>193.306575</v>
      </c>
      <c r="AD475" s="74">
        <f t="shared" si="290"/>
        <v>1312.71595</v>
      </c>
      <c r="AE475" s="74">
        <f t="shared" ref="AE475:AE522" si="293">SUM(O475-AD475)</f>
        <v>87.28405</v>
      </c>
    </row>
    <row r="476" customFormat="1" spans="1:31">
      <c r="A476" s="18" t="s">
        <v>383</v>
      </c>
      <c r="B476" s="19" t="s">
        <v>384</v>
      </c>
      <c r="C476" s="20">
        <v>240711000003</v>
      </c>
      <c r="D476" s="21">
        <v>45492</v>
      </c>
      <c r="E476" s="21" t="s">
        <v>127</v>
      </c>
      <c r="F476" s="19" t="s">
        <v>128</v>
      </c>
      <c r="G476" s="19" t="s">
        <v>375</v>
      </c>
      <c r="H476" s="19">
        <v>12.5</v>
      </c>
      <c r="I476" s="41">
        <v>843.5</v>
      </c>
      <c r="J476" s="42"/>
      <c r="K476" s="43"/>
      <c r="L476" s="19"/>
      <c r="M476" s="43"/>
      <c r="N476" s="44"/>
      <c r="O476" s="45">
        <f t="shared" si="289"/>
        <v>843.5</v>
      </c>
      <c r="P476" s="46">
        <f>SUM(O476:O522)</f>
        <v>125373.25</v>
      </c>
      <c r="Q476" s="78" t="s">
        <v>385</v>
      </c>
      <c r="R476" s="74">
        <f>SUM(101406.1/2227)*H476</f>
        <v>569.185563538392</v>
      </c>
      <c r="S476" s="74"/>
      <c r="T476" s="75">
        <f>SUM(161.75/2227)*H476</f>
        <v>0.907891782667265</v>
      </c>
      <c r="U476" s="74"/>
      <c r="V476" s="74"/>
      <c r="W476" s="76">
        <f t="shared" si="291"/>
        <v>570.09345532106</v>
      </c>
      <c r="X476" s="77">
        <f>SUM(1350.47/2227)*H476</f>
        <v>7.58009654243377</v>
      </c>
      <c r="Y476" s="77">
        <v>6.88</v>
      </c>
      <c r="Z476" s="77"/>
      <c r="AA476" s="77">
        <f t="shared" ref="AA476:AA522" si="294">SUM(X476:Z476)</f>
        <v>14.4600965424338</v>
      </c>
      <c r="AB476" s="87">
        <v>7.26</v>
      </c>
      <c r="AC476" s="74">
        <f t="shared" si="292"/>
        <v>104.980300898069</v>
      </c>
      <c r="AD476" s="74">
        <f t="shared" si="290"/>
        <v>675.073756219129</v>
      </c>
      <c r="AE476" s="74">
        <f t="shared" si="293"/>
        <v>168.426243780871</v>
      </c>
    </row>
    <row r="477" customFormat="1" spans="1:31">
      <c r="A477" s="18"/>
      <c r="B477" s="19"/>
      <c r="C477" s="20">
        <v>240711000005</v>
      </c>
      <c r="D477" s="21">
        <v>45492</v>
      </c>
      <c r="E477" s="21" t="s">
        <v>40</v>
      </c>
      <c r="F477" s="19" t="s">
        <v>41</v>
      </c>
      <c r="G477" s="19" t="s">
        <v>87</v>
      </c>
      <c r="H477" s="19">
        <v>47</v>
      </c>
      <c r="I477" s="47"/>
      <c r="J477" s="48">
        <v>640140</v>
      </c>
      <c r="K477" s="43"/>
      <c r="L477" s="49">
        <f>SUM(J477/M477)</f>
        <v>1648.0613768601</v>
      </c>
      <c r="M477" s="50">
        <v>388.42</v>
      </c>
      <c r="N477" s="44">
        <v>7.26</v>
      </c>
      <c r="O477" s="45">
        <f t="shared" ref="O477:O480" si="295">SUM(M477*N477)</f>
        <v>2819.9292</v>
      </c>
      <c r="P477" s="51"/>
      <c r="Q477" s="51"/>
      <c r="R477" s="74">
        <f t="shared" ref="R477:R522" si="296">SUM(101406.1/2227)*H477</f>
        <v>2140.13771890436</v>
      </c>
      <c r="S477" s="74"/>
      <c r="T477" s="75">
        <f t="shared" ref="T477:T522" si="297">SUM(161.75/2227)*H477</f>
        <v>3.41367310282892</v>
      </c>
      <c r="U477" s="74"/>
      <c r="V477" s="74"/>
      <c r="W477" s="76">
        <f t="shared" si="291"/>
        <v>2143.55139200718</v>
      </c>
      <c r="X477" s="77">
        <f t="shared" ref="X477:X522" si="298">SUM(1350.47/2227)*H477</f>
        <v>28.501162999551</v>
      </c>
      <c r="Y477" s="77"/>
      <c r="Z477" s="77"/>
      <c r="AA477" s="77">
        <f t="shared" si="294"/>
        <v>28.501162999551</v>
      </c>
      <c r="AB477" s="87">
        <v>7.26</v>
      </c>
      <c r="AC477" s="74">
        <f t="shared" si="292"/>
        <v>206.91844337674</v>
      </c>
      <c r="AD477" s="74">
        <f t="shared" si="290"/>
        <v>2350.46983538392</v>
      </c>
      <c r="AE477" s="74">
        <f t="shared" si="293"/>
        <v>469.45936461608</v>
      </c>
    </row>
    <row r="478" customFormat="1" spans="1:31">
      <c r="A478" s="18"/>
      <c r="B478" s="19"/>
      <c r="C478" s="20">
        <v>240711000008</v>
      </c>
      <c r="D478" s="21">
        <v>45492</v>
      </c>
      <c r="E478" s="21" t="s">
        <v>58</v>
      </c>
      <c r="F478" s="19" t="s">
        <v>59</v>
      </c>
      <c r="G478" s="19" t="s">
        <v>327</v>
      </c>
      <c r="H478" s="19">
        <v>41.5</v>
      </c>
      <c r="I478" s="47"/>
      <c r="J478" s="48">
        <v>579880</v>
      </c>
      <c r="K478" s="43"/>
      <c r="L478" s="49">
        <f>SUM(J478/M478)</f>
        <v>1582.68511695188</v>
      </c>
      <c r="M478" s="50">
        <v>366.39</v>
      </c>
      <c r="N478" s="44">
        <v>7.26</v>
      </c>
      <c r="O478" s="45">
        <f t="shared" si="295"/>
        <v>2659.9914</v>
      </c>
      <c r="P478" s="51"/>
      <c r="Q478" s="51"/>
      <c r="R478" s="74">
        <f t="shared" si="296"/>
        <v>1889.69607094746</v>
      </c>
      <c r="S478" s="74"/>
      <c r="T478" s="75">
        <f t="shared" si="297"/>
        <v>3.01420071845532</v>
      </c>
      <c r="U478" s="74"/>
      <c r="V478" s="74"/>
      <c r="W478" s="76">
        <f t="shared" si="291"/>
        <v>1892.71027166592</v>
      </c>
      <c r="X478" s="77">
        <f t="shared" si="298"/>
        <v>25.1659205208801</v>
      </c>
      <c r="Y478" s="77"/>
      <c r="Z478" s="77"/>
      <c r="AA478" s="77">
        <f t="shared" si="294"/>
        <v>25.1659205208801</v>
      </c>
      <c r="AB478" s="87">
        <v>7.26</v>
      </c>
      <c r="AC478" s="74">
        <f t="shared" si="292"/>
        <v>182.70458298159</v>
      </c>
      <c r="AD478" s="74">
        <f t="shared" si="290"/>
        <v>2075.41485464751</v>
      </c>
      <c r="AE478" s="74">
        <f t="shared" si="293"/>
        <v>584.57654535249</v>
      </c>
    </row>
    <row r="479" customFormat="1" spans="1:31">
      <c r="A479" s="18"/>
      <c r="B479" s="19"/>
      <c r="C479" s="20">
        <v>240711000020</v>
      </c>
      <c r="D479" s="21">
        <v>45492</v>
      </c>
      <c r="E479" s="21" t="s">
        <v>40</v>
      </c>
      <c r="F479" s="19" t="s">
        <v>41</v>
      </c>
      <c r="G479" s="19" t="s">
        <v>386</v>
      </c>
      <c r="H479" s="19">
        <v>31</v>
      </c>
      <c r="I479" s="41">
        <v>1948</v>
      </c>
      <c r="J479" s="42"/>
      <c r="K479" s="43"/>
      <c r="L479" s="19"/>
      <c r="M479" s="43"/>
      <c r="N479" s="44"/>
      <c r="O479" s="45">
        <f t="shared" ref="O479:O484" si="299">SUM(I479)</f>
        <v>1948</v>
      </c>
      <c r="P479" s="51"/>
      <c r="Q479" s="51"/>
      <c r="R479" s="74">
        <f t="shared" si="296"/>
        <v>1411.58019757521</v>
      </c>
      <c r="S479" s="74"/>
      <c r="T479" s="75">
        <f t="shared" si="297"/>
        <v>2.25157162101482</v>
      </c>
      <c r="U479" s="75">
        <v>150</v>
      </c>
      <c r="V479" s="74"/>
      <c r="W479" s="76">
        <f t="shared" si="291"/>
        <v>1563.83176919623</v>
      </c>
      <c r="X479" s="77">
        <f t="shared" si="298"/>
        <v>18.7986394252357</v>
      </c>
      <c r="Y479" s="77"/>
      <c r="Z479" s="77"/>
      <c r="AA479" s="77">
        <f t="shared" si="294"/>
        <v>18.7986394252357</v>
      </c>
      <c r="AB479" s="87">
        <v>7.26</v>
      </c>
      <c r="AC479" s="74">
        <f t="shared" si="292"/>
        <v>136.478122227211</v>
      </c>
      <c r="AD479" s="74">
        <f t="shared" si="290"/>
        <v>1700.30989142344</v>
      </c>
      <c r="AE479" s="74">
        <f t="shared" si="293"/>
        <v>247.69010857656</v>
      </c>
    </row>
    <row r="480" customFormat="1" spans="1:31">
      <c r="A480" s="18"/>
      <c r="B480" s="19"/>
      <c r="C480" s="20">
        <v>240712000006</v>
      </c>
      <c r="D480" s="21">
        <v>45492</v>
      </c>
      <c r="E480" s="21" t="s">
        <v>58</v>
      </c>
      <c r="F480" s="19" t="s">
        <v>59</v>
      </c>
      <c r="G480" s="19" t="s">
        <v>76</v>
      </c>
      <c r="H480" s="19">
        <v>4</v>
      </c>
      <c r="I480" s="45"/>
      <c r="J480" s="48">
        <v>54122.2</v>
      </c>
      <c r="K480" s="43"/>
      <c r="L480" s="49">
        <f>SUM(J480/M480)</f>
        <v>1606</v>
      </c>
      <c r="M480" s="50">
        <v>33.7</v>
      </c>
      <c r="N480" s="44">
        <v>7.26</v>
      </c>
      <c r="O480" s="45">
        <f t="shared" si="295"/>
        <v>244.662</v>
      </c>
      <c r="P480" s="51"/>
      <c r="Q480" s="51"/>
      <c r="R480" s="74">
        <f t="shared" si="296"/>
        <v>182.139380332286</v>
      </c>
      <c r="S480" s="74"/>
      <c r="T480" s="75">
        <f t="shared" si="297"/>
        <v>0.290525370453525</v>
      </c>
      <c r="U480" s="74"/>
      <c r="V480" s="74"/>
      <c r="W480" s="76">
        <f t="shared" si="291"/>
        <v>182.429905702739</v>
      </c>
      <c r="X480" s="77">
        <f t="shared" si="298"/>
        <v>2.42563089357881</v>
      </c>
      <c r="Y480" s="77"/>
      <c r="Z480" s="77"/>
      <c r="AA480" s="77">
        <f t="shared" si="294"/>
        <v>2.42563089357881</v>
      </c>
      <c r="AB480" s="87">
        <v>7.26</v>
      </c>
      <c r="AC480" s="74">
        <f t="shared" si="292"/>
        <v>17.6100802873821</v>
      </c>
      <c r="AD480" s="74">
        <f t="shared" si="290"/>
        <v>200.039985990121</v>
      </c>
      <c r="AE480" s="74">
        <f t="shared" si="293"/>
        <v>44.622014009879</v>
      </c>
    </row>
    <row r="481" customFormat="1" spans="1:31">
      <c r="A481" s="18"/>
      <c r="B481" s="19"/>
      <c r="C481" s="20">
        <v>240712000009</v>
      </c>
      <c r="D481" s="21">
        <v>45492</v>
      </c>
      <c r="E481" s="21" t="s">
        <v>44</v>
      </c>
      <c r="F481" s="19" t="s">
        <v>45</v>
      </c>
      <c r="G481" s="19" t="s">
        <v>334</v>
      </c>
      <c r="H481" s="19">
        <v>2</v>
      </c>
      <c r="I481" s="41">
        <v>116</v>
      </c>
      <c r="J481" s="42"/>
      <c r="K481" s="43"/>
      <c r="L481" s="19"/>
      <c r="M481" s="43"/>
      <c r="N481" s="44"/>
      <c r="O481" s="45">
        <f t="shared" si="299"/>
        <v>116</v>
      </c>
      <c r="P481" s="51"/>
      <c r="Q481" s="51"/>
      <c r="R481" s="74">
        <f t="shared" si="296"/>
        <v>91.0696901661428</v>
      </c>
      <c r="S481" s="74"/>
      <c r="T481" s="75">
        <f t="shared" si="297"/>
        <v>0.145262685226762</v>
      </c>
      <c r="U481" s="74"/>
      <c r="V481" s="74"/>
      <c r="W481" s="76">
        <f t="shared" si="291"/>
        <v>91.2149528513696</v>
      </c>
      <c r="X481" s="77">
        <f t="shared" si="298"/>
        <v>1.2128154467894</v>
      </c>
      <c r="Y481" s="77"/>
      <c r="Z481" s="77"/>
      <c r="AA481" s="77">
        <f t="shared" si="294"/>
        <v>1.2128154467894</v>
      </c>
      <c r="AB481" s="87">
        <v>7.26</v>
      </c>
      <c r="AC481" s="74">
        <f t="shared" si="292"/>
        <v>8.80504014369106</v>
      </c>
      <c r="AD481" s="74">
        <f t="shared" si="290"/>
        <v>100.019992995061</v>
      </c>
      <c r="AE481" s="74">
        <f t="shared" si="293"/>
        <v>15.980007004939</v>
      </c>
    </row>
    <row r="482" customFormat="1" spans="1:31">
      <c r="A482" s="18"/>
      <c r="B482" s="19"/>
      <c r="C482" s="20">
        <v>240712000011</v>
      </c>
      <c r="D482" s="21">
        <v>45492</v>
      </c>
      <c r="E482" s="21" t="s">
        <v>47</v>
      </c>
      <c r="F482" s="19" t="s">
        <v>48</v>
      </c>
      <c r="G482" s="19" t="s">
        <v>387</v>
      </c>
      <c r="H482" s="19">
        <v>730</v>
      </c>
      <c r="I482" s="41">
        <v>38690</v>
      </c>
      <c r="J482" s="42"/>
      <c r="K482" s="43"/>
      <c r="L482" s="19"/>
      <c r="M482" s="43"/>
      <c r="N482" s="44"/>
      <c r="O482" s="45">
        <f t="shared" si="299"/>
        <v>38690</v>
      </c>
      <c r="P482" s="51"/>
      <c r="Q482" s="51"/>
      <c r="R482" s="74">
        <f t="shared" si="296"/>
        <v>33240.4369106421</v>
      </c>
      <c r="S482" s="74"/>
      <c r="T482" s="75">
        <f t="shared" si="297"/>
        <v>53.0208801077683</v>
      </c>
      <c r="U482" s="74"/>
      <c r="V482" s="74"/>
      <c r="W482" s="76">
        <f t="shared" si="291"/>
        <v>33293.4577907499</v>
      </c>
      <c r="X482" s="77">
        <f t="shared" si="298"/>
        <v>442.677638078132</v>
      </c>
      <c r="Y482" s="77"/>
      <c r="Z482" s="77"/>
      <c r="AA482" s="77">
        <f t="shared" si="294"/>
        <v>442.677638078132</v>
      </c>
      <c r="AB482" s="87">
        <v>7.26</v>
      </c>
      <c r="AC482" s="74">
        <f t="shared" si="292"/>
        <v>3213.83965244724</v>
      </c>
      <c r="AD482" s="74">
        <f t="shared" si="290"/>
        <v>36507.2974431971</v>
      </c>
      <c r="AE482" s="74">
        <f t="shared" si="293"/>
        <v>2182.7025568029</v>
      </c>
    </row>
    <row r="483" customFormat="1" spans="1:31">
      <c r="A483" s="18"/>
      <c r="B483" s="19"/>
      <c r="C483" s="20">
        <v>240712000012</v>
      </c>
      <c r="D483" s="21">
        <v>45492</v>
      </c>
      <c r="E483" s="21" t="s">
        <v>44</v>
      </c>
      <c r="F483" s="19" t="s">
        <v>45</v>
      </c>
      <c r="G483" s="19" t="s">
        <v>92</v>
      </c>
      <c r="H483" s="19">
        <v>9</v>
      </c>
      <c r="I483" s="41">
        <v>477</v>
      </c>
      <c r="J483" s="42"/>
      <c r="K483" s="43"/>
      <c r="L483" s="19"/>
      <c r="M483" s="43"/>
      <c r="N483" s="44"/>
      <c r="O483" s="45">
        <f t="shared" si="299"/>
        <v>477</v>
      </c>
      <c r="P483" s="51"/>
      <c r="Q483" s="51"/>
      <c r="R483" s="74">
        <f t="shared" si="296"/>
        <v>409.813605747643</v>
      </c>
      <c r="S483" s="74"/>
      <c r="T483" s="75">
        <f t="shared" si="297"/>
        <v>0.653682083520431</v>
      </c>
      <c r="U483" s="74"/>
      <c r="V483" s="74"/>
      <c r="W483" s="76">
        <f t="shared" si="291"/>
        <v>410.467287831163</v>
      </c>
      <c r="X483" s="77">
        <f t="shared" si="298"/>
        <v>5.45766951055231</v>
      </c>
      <c r="Y483" s="77"/>
      <c r="Z483" s="77"/>
      <c r="AA483" s="77">
        <f t="shared" si="294"/>
        <v>5.45766951055231</v>
      </c>
      <c r="AB483" s="87">
        <v>7.26</v>
      </c>
      <c r="AC483" s="74">
        <f t="shared" si="292"/>
        <v>39.6226806466098</v>
      </c>
      <c r="AD483" s="74">
        <f t="shared" si="290"/>
        <v>450.089968477773</v>
      </c>
      <c r="AE483" s="74">
        <f t="shared" si="293"/>
        <v>26.910031522227</v>
      </c>
    </row>
    <row r="484" customFormat="1" spans="1:31">
      <c r="A484" s="18"/>
      <c r="B484" s="19"/>
      <c r="C484" s="20">
        <v>240712000013</v>
      </c>
      <c r="D484" s="21">
        <v>45492</v>
      </c>
      <c r="E484" s="21" t="s">
        <v>47</v>
      </c>
      <c r="F484" s="19" t="s">
        <v>48</v>
      </c>
      <c r="G484" s="19" t="s">
        <v>243</v>
      </c>
      <c r="H484" s="19">
        <v>304</v>
      </c>
      <c r="I484" s="41">
        <v>15808</v>
      </c>
      <c r="J484" s="42"/>
      <c r="K484" s="43"/>
      <c r="L484" s="19"/>
      <c r="M484" s="43"/>
      <c r="N484" s="44"/>
      <c r="O484" s="45">
        <f t="shared" si="299"/>
        <v>15808</v>
      </c>
      <c r="P484" s="51"/>
      <c r="Q484" s="51"/>
      <c r="R484" s="74">
        <f t="shared" si="296"/>
        <v>13842.5929052537</v>
      </c>
      <c r="S484" s="74"/>
      <c r="T484" s="75">
        <f t="shared" si="297"/>
        <v>22.0799281544679</v>
      </c>
      <c r="U484" s="74"/>
      <c r="V484" s="74"/>
      <c r="W484" s="76">
        <f t="shared" si="291"/>
        <v>13864.6728334082</v>
      </c>
      <c r="X484" s="77">
        <f t="shared" si="298"/>
        <v>184.347947911989</v>
      </c>
      <c r="Y484" s="77"/>
      <c r="Z484" s="77"/>
      <c r="AA484" s="77">
        <f t="shared" si="294"/>
        <v>184.347947911989</v>
      </c>
      <c r="AB484" s="87">
        <v>7.26</v>
      </c>
      <c r="AC484" s="74">
        <f t="shared" si="292"/>
        <v>1338.36610184104</v>
      </c>
      <c r="AD484" s="74">
        <f t="shared" si="290"/>
        <v>15203.0389352492</v>
      </c>
      <c r="AE484" s="74">
        <f t="shared" si="293"/>
        <v>604.9610647508</v>
      </c>
    </row>
    <row r="485" customFormat="1" spans="1:31">
      <c r="A485" s="18"/>
      <c r="B485" s="19"/>
      <c r="C485" s="20">
        <v>240712000015</v>
      </c>
      <c r="D485" s="21">
        <v>45492</v>
      </c>
      <c r="E485" s="21" t="s">
        <v>44</v>
      </c>
      <c r="F485" s="19" t="s">
        <v>45</v>
      </c>
      <c r="G485" s="19" t="s">
        <v>325</v>
      </c>
      <c r="H485" s="19">
        <v>3</v>
      </c>
      <c r="I485" s="47"/>
      <c r="J485" s="48">
        <v>36300</v>
      </c>
      <c r="K485" s="43"/>
      <c r="L485" s="49">
        <f t="shared" ref="L485:L489" si="300">SUM(J485/M485)</f>
        <v>1597.71126760563</v>
      </c>
      <c r="M485" s="50">
        <v>22.72</v>
      </c>
      <c r="N485" s="44">
        <v>7.26</v>
      </c>
      <c r="O485" s="45">
        <f t="shared" ref="O485:O489" si="301">SUM(M485*N485)</f>
        <v>164.9472</v>
      </c>
      <c r="P485" s="51"/>
      <c r="Q485" s="51"/>
      <c r="R485" s="74">
        <f t="shared" si="296"/>
        <v>136.604535249214</v>
      </c>
      <c r="S485" s="74"/>
      <c r="T485" s="75">
        <f t="shared" si="297"/>
        <v>0.217894027840144</v>
      </c>
      <c r="U485" s="74"/>
      <c r="V485" s="74"/>
      <c r="W485" s="76">
        <f t="shared" si="291"/>
        <v>136.822429277054</v>
      </c>
      <c r="X485" s="77">
        <f t="shared" si="298"/>
        <v>1.8192231701841</v>
      </c>
      <c r="Y485" s="77"/>
      <c r="Z485" s="77"/>
      <c r="AA485" s="77">
        <f t="shared" si="294"/>
        <v>1.8192231701841</v>
      </c>
      <c r="AB485" s="87">
        <v>7.26</v>
      </c>
      <c r="AC485" s="74">
        <f t="shared" si="292"/>
        <v>13.2075602155366</v>
      </c>
      <c r="AD485" s="74">
        <f t="shared" si="290"/>
        <v>150.029989492591</v>
      </c>
      <c r="AE485" s="74">
        <f t="shared" si="293"/>
        <v>14.917210507409</v>
      </c>
    </row>
    <row r="486" customFormat="1" spans="1:31">
      <c r="A486" s="18"/>
      <c r="B486" s="19"/>
      <c r="C486" s="20">
        <v>240712000029</v>
      </c>
      <c r="D486" s="21">
        <v>45492</v>
      </c>
      <c r="E486" s="21" t="s">
        <v>40</v>
      </c>
      <c r="F486" s="19" t="s">
        <v>41</v>
      </c>
      <c r="G486" s="19" t="s">
        <v>87</v>
      </c>
      <c r="H486" s="19">
        <v>13.5</v>
      </c>
      <c r="I486" s="47"/>
      <c r="J486" s="48">
        <v>183870</v>
      </c>
      <c r="K486" s="43"/>
      <c r="L486" s="49">
        <f t="shared" si="300"/>
        <v>1648.02366227481</v>
      </c>
      <c r="M486" s="50">
        <v>111.57</v>
      </c>
      <c r="N486" s="44">
        <v>7.26</v>
      </c>
      <c r="O486" s="45">
        <f t="shared" si="301"/>
        <v>809.9982</v>
      </c>
      <c r="P486" s="51"/>
      <c r="Q486" s="51"/>
      <c r="R486" s="74">
        <f t="shared" si="296"/>
        <v>614.720408621464</v>
      </c>
      <c r="S486" s="74"/>
      <c r="T486" s="75">
        <f t="shared" si="297"/>
        <v>0.980523125280647</v>
      </c>
      <c r="U486" s="74"/>
      <c r="V486" s="74"/>
      <c r="W486" s="76">
        <f t="shared" si="291"/>
        <v>615.700931746745</v>
      </c>
      <c r="X486" s="77">
        <f t="shared" si="298"/>
        <v>8.18650426582847</v>
      </c>
      <c r="Y486" s="77"/>
      <c r="Z486" s="77"/>
      <c r="AA486" s="77">
        <f t="shared" si="294"/>
        <v>8.18650426582847</v>
      </c>
      <c r="AB486" s="87">
        <v>7.26</v>
      </c>
      <c r="AC486" s="74">
        <f t="shared" si="292"/>
        <v>59.4340209699147</v>
      </c>
      <c r="AD486" s="74">
        <f t="shared" si="290"/>
        <v>675.134952716659</v>
      </c>
      <c r="AE486" s="74">
        <f t="shared" si="293"/>
        <v>134.863247283341</v>
      </c>
    </row>
    <row r="487" customFormat="1" spans="1:31">
      <c r="A487" s="18"/>
      <c r="B487" s="19"/>
      <c r="C487" s="20">
        <v>240712000031</v>
      </c>
      <c r="D487" s="21">
        <v>45492</v>
      </c>
      <c r="E487" s="21" t="s">
        <v>40</v>
      </c>
      <c r="F487" s="19" t="s">
        <v>41</v>
      </c>
      <c r="G487" s="19" t="s">
        <v>87</v>
      </c>
      <c r="H487" s="19">
        <v>51</v>
      </c>
      <c r="I487" s="47"/>
      <c r="J487" s="48">
        <v>671466</v>
      </c>
      <c r="K487" s="43"/>
      <c r="L487" s="49">
        <f t="shared" si="300"/>
        <v>1648.05242618364</v>
      </c>
      <c r="M487" s="50">
        <v>407.43</v>
      </c>
      <c r="N487" s="44">
        <v>7.26</v>
      </c>
      <c r="O487" s="45">
        <f t="shared" si="301"/>
        <v>2957.9418</v>
      </c>
      <c r="P487" s="51"/>
      <c r="Q487" s="51"/>
      <c r="R487" s="74">
        <f t="shared" si="296"/>
        <v>2322.27709923664</v>
      </c>
      <c r="S487" s="74"/>
      <c r="T487" s="75">
        <f t="shared" si="297"/>
        <v>3.70419847328244</v>
      </c>
      <c r="U487" s="74"/>
      <c r="V487" s="74"/>
      <c r="W487" s="76">
        <f t="shared" si="291"/>
        <v>2325.98129770992</v>
      </c>
      <c r="X487" s="77">
        <f t="shared" si="298"/>
        <v>30.9267938931298</v>
      </c>
      <c r="Y487" s="77"/>
      <c r="Z487" s="77"/>
      <c r="AA487" s="77">
        <f t="shared" si="294"/>
        <v>30.9267938931298</v>
      </c>
      <c r="AB487" s="87">
        <v>7.26</v>
      </c>
      <c r="AC487" s="74">
        <f t="shared" si="292"/>
        <v>224.528523664122</v>
      </c>
      <c r="AD487" s="74">
        <f t="shared" si="290"/>
        <v>2550.50982137405</v>
      </c>
      <c r="AE487" s="74">
        <f t="shared" si="293"/>
        <v>407.43197862595</v>
      </c>
    </row>
    <row r="488" customFormat="1" spans="1:31">
      <c r="A488" s="18"/>
      <c r="B488" s="19"/>
      <c r="C488" s="20">
        <v>240712000032</v>
      </c>
      <c r="D488" s="21">
        <v>45492</v>
      </c>
      <c r="E488" s="21" t="s">
        <v>40</v>
      </c>
      <c r="F488" s="19" t="s">
        <v>41</v>
      </c>
      <c r="G488" s="19" t="s">
        <v>86</v>
      </c>
      <c r="H488" s="19">
        <v>12.5</v>
      </c>
      <c r="I488" s="47"/>
      <c r="J488" s="48">
        <v>146412.5</v>
      </c>
      <c r="K488" s="43"/>
      <c r="L488" s="49">
        <f t="shared" si="300"/>
        <v>1604.52054794521</v>
      </c>
      <c r="M488" s="50">
        <v>91.25</v>
      </c>
      <c r="N488" s="44">
        <v>7.26</v>
      </c>
      <c r="O488" s="45">
        <f t="shared" si="301"/>
        <v>662.475</v>
      </c>
      <c r="P488" s="51"/>
      <c r="Q488" s="51"/>
      <c r="R488" s="74">
        <f t="shared" si="296"/>
        <v>569.185563538392</v>
      </c>
      <c r="S488" s="74"/>
      <c r="T488" s="75">
        <f t="shared" si="297"/>
        <v>0.907891782667265</v>
      </c>
      <c r="U488" s="74"/>
      <c r="V488" s="74"/>
      <c r="W488" s="76">
        <f t="shared" si="291"/>
        <v>570.09345532106</v>
      </c>
      <c r="X488" s="77">
        <f t="shared" si="298"/>
        <v>7.58009654243377</v>
      </c>
      <c r="Y488" s="77"/>
      <c r="Z488" s="77"/>
      <c r="AA488" s="77">
        <f t="shared" si="294"/>
        <v>7.58009654243377</v>
      </c>
      <c r="AB488" s="87">
        <v>7.26</v>
      </c>
      <c r="AC488" s="74">
        <f t="shared" si="292"/>
        <v>55.0315008980691</v>
      </c>
      <c r="AD488" s="74">
        <f t="shared" si="290"/>
        <v>625.124956219129</v>
      </c>
      <c r="AE488" s="74">
        <f t="shared" si="293"/>
        <v>37.350043780871</v>
      </c>
    </row>
    <row r="489" customFormat="1" spans="1:31">
      <c r="A489" s="18"/>
      <c r="B489" s="19"/>
      <c r="C489" s="20">
        <v>240712000033</v>
      </c>
      <c r="D489" s="21">
        <v>45492</v>
      </c>
      <c r="E489" s="21" t="s">
        <v>40</v>
      </c>
      <c r="F489" s="19" t="s">
        <v>41</v>
      </c>
      <c r="G489" s="19" t="s">
        <v>91</v>
      </c>
      <c r="H489" s="19">
        <v>28.5</v>
      </c>
      <c r="I489" s="47"/>
      <c r="J489" s="48">
        <v>370072.5</v>
      </c>
      <c r="K489" s="43"/>
      <c r="L489" s="49">
        <f t="shared" si="300"/>
        <v>1778.76712328767</v>
      </c>
      <c r="M489" s="50">
        <v>208.05</v>
      </c>
      <c r="N489" s="44">
        <v>7.26</v>
      </c>
      <c r="O489" s="45">
        <f t="shared" si="301"/>
        <v>1510.443</v>
      </c>
      <c r="P489" s="51"/>
      <c r="Q489" s="51"/>
      <c r="R489" s="74">
        <f t="shared" si="296"/>
        <v>1297.74308486753</v>
      </c>
      <c r="S489" s="74"/>
      <c r="T489" s="75">
        <f t="shared" si="297"/>
        <v>2.06999326448137</v>
      </c>
      <c r="U489" s="74"/>
      <c r="V489" s="74"/>
      <c r="W489" s="76">
        <f t="shared" si="291"/>
        <v>1299.81307813202</v>
      </c>
      <c r="X489" s="77">
        <f t="shared" si="298"/>
        <v>17.282620116749</v>
      </c>
      <c r="Y489" s="77"/>
      <c r="Z489" s="77"/>
      <c r="AA489" s="77">
        <f t="shared" si="294"/>
        <v>17.282620116749</v>
      </c>
      <c r="AB489" s="87">
        <v>7.26</v>
      </c>
      <c r="AC489" s="74">
        <f t="shared" si="292"/>
        <v>125.471822047598</v>
      </c>
      <c r="AD489" s="74">
        <f t="shared" si="290"/>
        <v>1425.28490017961</v>
      </c>
      <c r="AE489" s="74">
        <f t="shared" si="293"/>
        <v>85.1580998203899</v>
      </c>
    </row>
    <row r="490" customFormat="1" spans="1:31">
      <c r="A490" s="18"/>
      <c r="B490" s="19"/>
      <c r="C490" s="20">
        <v>240712000034</v>
      </c>
      <c r="D490" s="21">
        <v>45492</v>
      </c>
      <c r="E490" s="21" t="s">
        <v>44</v>
      </c>
      <c r="F490" s="19" t="s">
        <v>45</v>
      </c>
      <c r="G490" s="19" t="s">
        <v>388</v>
      </c>
      <c r="H490" s="19">
        <v>2.5</v>
      </c>
      <c r="I490" s="41">
        <v>153</v>
      </c>
      <c r="J490" s="42"/>
      <c r="K490" s="43"/>
      <c r="L490" s="19"/>
      <c r="M490" s="43"/>
      <c r="N490" s="44"/>
      <c r="O490" s="45">
        <f t="shared" ref="O489:O491" si="302">SUM(I490)</f>
        <v>153</v>
      </c>
      <c r="P490" s="51"/>
      <c r="Q490" s="51"/>
      <c r="R490" s="74">
        <f t="shared" si="296"/>
        <v>113.837112707678</v>
      </c>
      <c r="S490" s="74"/>
      <c r="T490" s="75">
        <f t="shared" si="297"/>
        <v>0.181578356533453</v>
      </c>
      <c r="U490" s="74"/>
      <c r="V490" s="74"/>
      <c r="W490" s="76">
        <f t="shared" si="291"/>
        <v>114.018691064212</v>
      </c>
      <c r="X490" s="77">
        <f t="shared" si="298"/>
        <v>1.51601930848675</v>
      </c>
      <c r="Y490" s="77"/>
      <c r="Z490" s="77"/>
      <c r="AA490" s="77">
        <f t="shared" si="294"/>
        <v>1.51601930848675</v>
      </c>
      <c r="AB490" s="87">
        <v>7.26</v>
      </c>
      <c r="AC490" s="74">
        <f t="shared" si="292"/>
        <v>11.0063001796138</v>
      </c>
      <c r="AD490" s="74">
        <f t="shared" si="290"/>
        <v>125.024991243826</v>
      </c>
      <c r="AE490" s="74">
        <f t="shared" si="293"/>
        <v>27.975008756174</v>
      </c>
    </row>
    <row r="491" customFormat="1" spans="1:31">
      <c r="A491" s="18"/>
      <c r="B491" s="19"/>
      <c r="C491" s="20">
        <v>240712000037</v>
      </c>
      <c r="D491" s="21">
        <v>45492</v>
      </c>
      <c r="E491" s="21" t="s">
        <v>40</v>
      </c>
      <c r="F491" s="19" t="s">
        <v>41</v>
      </c>
      <c r="G491" s="19" t="s">
        <v>389</v>
      </c>
      <c r="H491" s="19">
        <v>11</v>
      </c>
      <c r="I491" s="41">
        <v>884</v>
      </c>
      <c r="J491" s="42"/>
      <c r="K491" s="43"/>
      <c r="L491" s="19"/>
      <c r="M491" s="43"/>
      <c r="N491" s="44"/>
      <c r="O491" s="45">
        <f t="shared" si="302"/>
        <v>884</v>
      </c>
      <c r="P491" s="51"/>
      <c r="Q491" s="51"/>
      <c r="R491" s="74">
        <f t="shared" si="296"/>
        <v>500.883295913785</v>
      </c>
      <c r="S491" s="74"/>
      <c r="T491" s="75">
        <f t="shared" si="297"/>
        <v>0.798944768747194</v>
      </c>
      <c r="U491" s="74"/>
      <c r="V491" s="74">
        <v>104</v>
      </c>
      <c r="W491" s="76">
        <f t="shared" si="291"/>
        <v>605.682240682533</v>
      </c>
      <c r="X491" s="77">
        <f t="shared" si="298"/>
        <v>6.67048495734172</v>
      </c>
      <c r="Y491" s="77"/>
      <c r="Z491" s="77"/>
      <c r="AA491" s="77">
        <f t="shared" si="294"/>
        <v>6.67048495734172</v>
      </c>
      <c r="AB491" s="87">
        <v>7.26</v>
      </c>
      <c r="AC491" s="74">
        <f t="shared" si="292"/>
        <v>48.4277207903009</v>
      </c>
      <c r="AD491" s="74">
        <f t="shared" si="290"/>
        <v>654.109961472833</v>
      </c>
      <c r="AE491" s="74">
        <f t="shared" si="293"/>
        <v>229.890038527167</v>
      </c>
    </row>
    <row r="492" customFormat="1" spans="1:31">
      <c r="A492" s="18"/>
      <c r="B492" s="19"/>
      <c r="C492" s="20">
        <v>240713000001</v>
      </c>
      <c r="D492" s="21">
        <v>45492</v>
      </c>
      <c r="E492" s="21" t="s">
        <v>81</v>
      </c>
      <c r="F492" s="19" t="s">
        <v>187</v>
      </c>
      <c r="G492" s="19" t="s">
        <v>390</v>
      </c>
      <c r="H492" s="19">
        <v>0.18</v>
      </c>
      <c r="I492" s="45"/>
      <c r="J492" s="48">
        <v>14132</v>
      </c>
      <c r="K492" s="43"/>
      <c r="L492" s="49">
        <f t="shared" ref="L492:L496" si="303">SUM(J492/M492)</f>
        <v>1605.90909090909</v>
      </c>
      <c r="M492" s="50">
        <v>8.8</v>
      </c>
      <c r="N492" s="44">
        <v>7.26</v>
      </c>
      <c r="O492" s="45">
        <f t="shared" ref="O492:O496" si="304">SUM(M492*N492)</f>
        <v>63.888</v>
      </c>
      <c r="P492" s="51"/>
      <c r="Q492" s="51"/>
      <c r="R492" s="74">
        <f t="shared" si="296"/>
        <v>8.19627211495285</v>
      </c>
      <c r="S492" s="74"/>
      <c r="T492" s="75">
        <f t="shared" si="297"/>
        <v>0.0130736416704086</v>
      </c>
      <c r="U492" s="74"/>
      <c r="V492" s="74"/>
      <c r="W492" s="76">
        <f t="shared" si="291"/>
        <v>8.20934575662326</v>
      </c>
      <c r="X492" s="77">
        <f t="shared" si="298"/>
        <v>0.109153390211046</v>
      </c>
      <c r="Y492" s="77"/>
      <c r="Z492" s="77"/>
      <c r="AA492" s="77">
        <f t="shared" si="294"/>
        <v>0.109153390211046</v>
      </c>
      <c r="AB492" s="87">
        <v>7.26</v>
      </c>
      <c r="AC492" s="74">
        <f t="shared" si="292"/>
        <v>0.792453612932196</v>
      </c>
      <c r="AD492" s="74">
        <f t="shared" si="290"/>
        <v>9.00179936955545</v>
      </c>
      <c r="AE492" s="74">
        <f t="shared" si="293"/>
        <v>54.8862006304445</v>
      </c>
    </row>
    <row r="493" customFormat="1" spans="1:31">
      <c r="A493" s="18"/>
      <c r="B493" s="19"/>
      <c r="C493" s="20">
        <v>240713000005</v>
      </c>
      <c r="D493" s="21">
        <v>45492</v>
      </c>
      <c r="E493" s="21" t="s">
        <v>44</v>
      </c>
      <c r="F493" s="19" t="s">
        <v>45</v>
      </c>
      <c r="G493" s="19" t="s">
        <v>121</v>
      </c>
      <c r="H493" s="19">
        <v>2</v>
      </c>
      <c r="I493" s="41">
        <v>180</v>
      </c>
      <c r="J493" s="42"/>
      <c r="K493" s="43"/>
      <c r="L493" s="19"/>
      <c r="M493" s="43"/>
      <c r="N493" s="44"/>
      <c r="O493" s="45">
        <f t="shared" ref="O493:O498" si="305">SUM(I493)</f>
        <v>180</v>
      </c>
      <c r="P493" s="51"/>
      <c r="Q493" s="51"/>
      <c r="R493" s="74">
        <f t="shared" si="296"/>
        <v>91.0696901661428</v>
      </c>
      <c r="S493" s="74"/>
      <c r="T493" s="75">
        <f t="shared" si="297"/>
        <v>0.145262685226762</v>
      </c>
      <c r="U493" s="74"/>
      <c r="V493" s="74"/>
      <c r="W493" s="76">
        <f t="shared" si="291"/>
        <v>91.2149528513696</v>
      </c>
      <c r="X493" s="77">
        <f t="shared" si="298"/>
        <v>1.2128154467894</v>
      </c>
      <c r="Y493" s="77">
        <v>7.85</v>
      </c>
      <c r="Z493" s="77"/>
      <c r="AA493" s="77">
        <f t="shared" si="294"/>
        <v>9.0628154467894</v>
      </c>
      <c r="AB493" s="87">
        <v>7.26</v>
      </c>
      <c r="AC493" s="74">
        <f t="shared" si="292"/>
        <v>65.7960401436911</v>
      </c>
      <c r="AD493" s="74">
        <f t="shared" si="290"/>
        <v>157.010992995061</v>
      </c>
      <c r="AE493" s="74">
        <f t="shared" si="293"/>
        <v>22.989007004939</v>
      </c>
    </row>
    <row r="494" customFormat="1" spans="1:31">
      <c r="A494" s="18"/>
      <c r="B494" s="19"/>
      <c r="C494" s="20">
        <v>240713000012</v>
      </c>
      <c r="D494" s="21">
        <v>45492</v>
      </c>
      <c r="E494" s="21" t="s">
        <v>58</v>
      </c>
      <c r="F494" s="19" t="s">
        <v>59</v>
      </c>
      <c r="G494" s="19" t="s">
        <v>120</v>
      </c>
      <c r="H494" s="19">
        <v>1.5</v>
      </c>
      <c r="I494" s="41">
        <v>93</v>
      </c>
      <c r="J494" s="42"/>
      <c r="K494" s="43"/>
      <c r="L494" s="19"/>
      <c r="M494" s="43"/>
      <c r="N494" s="44"/>
      <c r="O494" s="45">
        <f t="shared" si="305"/>
        <v>93</v>
      </c>
      <c r="P494" s="51"/>
      <c r="Q494" s="51"/>
      <c r="R494" s="74">
        <f t="shared" si="296"/>
        <v>68.3022676246071</v>
      </c>
      <c r="S494" s="74"/>
      <c r="T494" s="75">
        <f t="shared" si="297"/>
        <v>0.108947013920072</v>
      </c>
      <c r="U494" s="74"/>
      <c r="V494" s="74"/>
      <c r="W494" s="76">
        <f t="shared" si="291"/>
        <v>68.4112146385272</v>
      </c>
      <c r="X494" s="77">
        <f t="shared" si="298"/>
        <v>0.909611585092052</v>
      </c>
      <c r="Y494" s="77"/>
      <c r="Z494" s="77"/>
      <c r="AA494" s="77">
        <f t="shared" si="294"/>
        <v>0.909611585092052</v>
      </c>
      <c r="AB494" s="87">
        <v>7.26</v>
      </c>
      <c r="AC494" s="74">
        <f t="shared" si="292"/>
        <v>6.6037801077683</v>
      </c>
      <c r="AD494" s="74">
        <f t="shared" si="290"/>
        <v>75.0149947462955</v>
      </c>
      <c r="AE494" s="74">
        <f t="shared" si="293"/>
        <v>17.9850052537045</v>
      </c>
    </row>
    <row r="495" customFormat="1" spans="1:31">
      <c r="A495" s="18"/>
      <c r="B495" s="19"/>
      <c r="C495" s="20">
        <v>240713000014</v>
      </c>
      <c r="D495" s="21">
        <v>45492</v>
      </c>
      <c r="E495" s="21" t="s">
        <v>81</v>
      </c>
      <c r="F495" s="19"/>
      <c r="G495" s="19" t="s">
        <v>391</v>
      </c>
      <c r="H495" s="19">
        <v>16.5</v>
      </c>
      <c r="I495" s="45"/>
      <c r="J495" s="48">
        <v>210787.5</v>
      </c>
      <c r="K495" s="43"/>
      <c r="L495" s="49">
        <f t="shared" si="303"/>
        <v>1606</v>
      </c>
      <c r="M495" s="50">
        <v>131.25</v>
      </c>
      <c r="N495" s="44">
        <v>7.26</v>
      </c>
      <c r="O495" s="45">
        <f t="shared" si="304"/>
        <v>952.875</v>
      </c>
      <c r="P495" s="51"/>
      <c r="Q495" s="51"/>
      <c r="R495" s="74">
        <f t="shared" si="296"/>
        <v>751.324943870678</v>
      </c>
      <c r="S495" s="74"/>
      <c r="T495" s="75">
        <f t="shared" si="297"/>
        <v>1.19841715312079</v>
      </c>
      <c r="U495" s="74"/>
      <c r="V495" s="74"/>
      <c r="W495" s="76">
        <f t="shared" si="291"/>
        <v>752.523361023799</v>
      </c>
      <c r="X495" s="77">
        <f t="shared" si="298"/>
        <v>10.0057274360126</v>
      </c>
      <c r="Y495" s="77"/>
      <c r="Z495" s="77"/>
      <c r="AA495" s="77">
        <f t="shared" si="294"/>
        <v>10.0057274360126</v>
      </c>
      <c r="AB495" s="87">
        <v>7.26</v>
      </c>
      <c r="AC495" s="74">
        <f t="shared" si="292"/>
        <v>72.6415811854513</v>
      </c>
      <c r="AD495" s="74">
        <f t="shared" si="290"/>
        <v>825.16494220925</v>
      </c>
      <c r="AE495" s="74">
        <f t="shared" si="293"/>
        <v>127.71005779075</v>
      </c>
    </row>
    <row r="496" customFormat="1" spans="1:31">
      <c r="A496" s="18"/>
      <c r="B496" s="19"/>
      <c r="C496" s="20">
        <v>240714000004</v>
      </c>
      <c r="D496" s="21">
        <v>45492</v>
      </c>
      <c r="E496" s="21" t="s">
        <v>40</v>
      </c>
      <c r="F496" s="19" t="s">
        <v>41</v>
      </c>
      <c r="G496" s="19" t="s">
        <v>392</v>
      </c>
      <c r="H496" s="19">
        <v>10.5</v>
      </c>
      <c r="I496" s="47"/>
      <c r="J496" s="48">
        <v>121317</v>
      </c>
      <c r="K496" s="43"/>
      <c r="L496" s="49">
        <f t="shared" si="303"/>
        <v>1582.7397260274</v>
      </c>
      <c r="M496" s="50">
        <v>76.65</v>
      </c>
      <c r="N496" s="44">
        <v>7.26</v>
      </c>
      <c r="O496" s="45">
        <f t="shared" si="304"/>
        <v>556.479</v>
      </c>
      <c r="P496" s="51"/>
      <c r="Q496" s="51"/>
      <c r="R496" s="74">
        <f t="shared" si="296"/>
        <v>478.11587337225</v>
      </c>
      <c r="S496" s="74"/>
      <c r="T496" s="75">
        <f t="shared" si="297"/>
        <v>0.762629097440503</v>
      </c>
      <c r="U496" s="74"/>
      <c r="V496" s="74"/>
      <c r="W496" s="76">
        <f t="shared" si="291"/>
        <v>478.87850246969</v>
      </c>
      <c r="X496" s="77">
        <f t="shared" si="298"/>
        <v>6.36728109564436</v>
      </c>
      <c r="Y496" s="77"/>
      <c r="Z496" s="77"/>
      <c r="AA496" s="77">
        <f t="shared" si="294"/>
        <v>6.36728109564436</v>
      </c>
      <c r="AB496" s="87">
        <v>7.26</v>
      </c>
      <c r="AC496" s="74">
        <f t="shared" si="292"/>
        <v>46.2264607543781</v>
      </c>
      <c r="AD496" s="74">
        <f t="shared" si="290"/>
        <v>525.104963224068</v>
      </c>
      <c r="AE496" s="74">
        <f t="shared" si="293"/>
        <v>31.374036775932</v>
      </c>
    </row>
    <row r="497" customFormat="1" spans="1:31">
      <c r="A497" s="18"/>
      <c r="B497" s="19"/>
      <c r="C497" s="22">
        <v>240714000009</v>
      </c>
      <c r="D497" s="23">
        <v>45492</v>
      </c>
      <c r="E497" s="21" t="s">
        <v>40</v>
      </c>
      <c r="F497" s="24" t="s">
        <v>41</v>
      </c>
      <c r="G497" s="24" t="s">
        <v>393</v>
      </c>
      <c r="H497" s="24">
        <v>2.5</v>
      </c>
      <c r="I497" s="41">
        <v>168</v>
      </c>
      <c r="J497" s="42"/>
      <c r="K497" s="43"/>
      <c r="L497" s="19"/>
      <c r="M497" s="43"/>
      <c r="N497" s="44"/>
      <c r="O497" s="45">
        <f t="shared" si="305"/>
        <v>168</v>
      </c>
      <c r="P497" s="51"/>
      <c r="Q497" s="51"/>
      <c r="R497" s="74">
        <f t="shared" si="296"/>
        <v>113.837112707678</v>
      </c>
      <c r="S497" s="74"/>
      <c r="T497" s="75">
        <f t="shared" si="297"/>
        <v>0.181578356533453</v>
      </c>
      <c r="U497" s="74"/>
      <c r="V497" s="74"/>
      <c r="W497" s="76">
        <f t="shared" si="291"/>
        <v>114.018691064212</v>
      </c>
      <c r="X497" s="77">
        <f t="shared" si="298"/>
        <v>1.51601930848675</v>
      </c>
      <c r="Y497" s="77"/>
      <c r="Z497" s="77"/>
      <c r="AA497" s="77">
        <f t="shared" si="294"/>
        <v>1.51601930848675</v>
      </c>
      <c r="AB497" s="87">
        <v>7.26</v>
      </c>
      <c r="AC497" s="74">
        <f t="shared" si="292"/>
        <v>11.0063001796138</v>
      </c>
      <c r="AD497" s="74">
        <f t="shared" si="290"/>
        <v>125.024991243826</v>
      </c>
      <c r="AE497" s="74">
        <f t="shared" si="293"/>
        <v>42.975008756174</v>
      </c>
    </row>
    <row r="498" customFormat="1" spans="1:31">
      <c r="A498" s="18"/>
      <c r="B498" s="19"/>
      <c r="C498" s="20">
        <v>240715000005</v>
      </c>
      <c r="D498" s="21">
        <v>45492</v>
      </c>
      <c r="E498" s="21" t="s">
        <v>44</v>
      </c>
      <c r="F498" s="19" t="s">
        <v>45</v>
      </c>
      <c r="G498" s="19" t="s">
        <v>394</v>
      </c>
      <c r="H498" s="19">
        <v>2.5</v>
      </c>
      <c r="I498" s="41">
        <v>153</v>
      </c>
      <c r="J498" s="42"/>
      <c r="K498" s="43"/>
      <c r="L498" s="19"/>
      <c r="M498" s="43"/>
      <c r="N498" s="44"/>
      <c r="O498" s="45">
        <f t="shared" si="305"/>
        <v>153</v>
      </c>
      <c r="P498" s="51"/>
      <c r="Q498" s="51"/>
      <c r="R498" s="74">
        <f t="shared" si="296"/>
        <v>113.837112707678</v>
      </c>
      <c r="S498" s="74"/>
      <c r="T498" s="75">
        <f t="shared" si="297"/>
        <v>0.181578356533453</v>
      </c>
      <c r="U498" s="74"/>
      <c r="V498" s="74"/>
      <c r="W498" s="76">
        <f t="shared" si="291"/>
        <v>114.018691064212</v>
      </c>
      <c r="X498" s="77">
        <f t="shared" si="298"/>
        <v>1.51601930848675</v>
      </c>
      <c r="Y498" s="77"/>
      <c r="Z498" s="77"/>
      <c r="AA498" s="77">
        <f t="shared" si="294"/>
        <v>1.51601930848675</v>
      </c>
      <c r="AB498" s="87">
        <v>7.26</v>
      </c>
      <c r="AC498" s="74">
        <f t="shared" si="292"/>
        <v>11.0063001796138</v>
      </c>
      <c r="AD498" s="74">
        <f t="shared" si="290"/>
        <v>125.024991243826</v>
      </c>
      <c r="AE498" s="74">
        <f t="shared" si="293"/>
        <v>27.975008756174</v>
      </c>
    </row>
    <row r="499" customFormat="1" spans="1:31">
      <c r="A499" s="18"/>
      <c r="B499" s="19"/>
      <c r="C499" s="20">
        <v>240715000006</v>
      </c>
      <c r="D499" s="21">
        <v>45492</v>
      </c>
      <c r="E499" s="21" t="s">
        <v>44</v>
      </c>
      <c r="F499" s="19" t="s">
        <v>45</v>
      </c>
      <c r="G499" s="19" t="s">
        <v>79</v>
      </c>
      <c r="H499" s="19">
        <v>10.5</v>
      </c>
      <c r="I499" s="47"/>
      <c r="J499" s="48">
        <v>132990</v>
      </c>
      <c r="K499" s="43"/>
      <c r="L499" s="49">
        <f>SUM(J499/M499)</f>
        <v>1597.28561133798</v>
      </c>
      <c r="M499" s="50">
        <v>83.26</v>
      </c>
      <c r="N499" s="44">
        <v>7.26</v>
      </c>
      <c r="O499" s="45">
        <f>SUM(M499*N499)</f>
        <v>604.4676</v>
      </c>
      <c r="P499" s="51"/>
      <c r="Q499" s="51"/>
      <c r="R499" s="74">
        <f t="shared" si="296"/>
        <v>478.11587337225</v>
      </c>
      <c r="S499" s="74"/>
      <c r="T499" s="75">
        <f t="shared" si="297"/>
        <v>0.762629097440503</v>
      </c>
      <c r="U499" s="74"/>
      <c r="V499" s="74"/>
      <c r="W499" s="76">
        <f t="shared" si="291"/>
        <v>478.87850246969</v>
      </c>
      <c r="X499" s="77">
        <f t="shared" si="298"/>
        <v>6.36728109564436</v>
      </c>
      <c r="Y499" s="77"/>
      <c r="Z499" s="77"/>
      <c r="AA499" s="77">
        <f t="shared" si="294"/>
        <v>6.36728109564436</v>
      </c>
      <c r="AB499" s="87">
        <v>7.26</v>
      </c>
      <c r="AC499" s="74">
        <f t="shared" si="292"/>
        <v>46.2264607543781</v>
      </c>
      <c r="AD499" s="74">
        <f t="shared" si="290"/>
        <v>525.104963224068</v>
      </c>
      <c r="AE499" s="74">
        <f t="shared" si="293"/>
        <v>79.3626367759319</v>
      </c>
    </row>
    <row r="500" customFormat="1" spans="1:31">
      <c r="A500" s="18"/>
      <c r="B500" s="19"/>
      <c r="C500" s="20">
        <v>240715000012</v>
      </c>
      <c r="D500" s="21">
        <v>45492</v>
      </c>
      <c r="E500" s="21" t="s">
        <v>58</v>
      </c>
      <c r="F500" s="19" t="s">
        <v>59</v>
      </c>
      <c r="G500" s="19" t="s">
        <v>395</v>
      </c>
      <c r="H500" s="19">
        <v>1.5</v>
      </c>
      <c r="I500" s="88">
        <v>96</v>
      </c>
      <c r="J500" s="42"/>
      <c r="K500" s="43"/>
      <c r="L500" s="19"/>
      <c r="M500" s="43"/>
      <c r="N500" s="44"/>
      <c r="O500" s="45">
        <f>SUBTOTAL(9,I500)</f>
        <v>96</v>
      </c>
      <c r="P500" s="51"/>
      <c r="Q500" s="51"/>
      <c r="R500" s="74">
        <f t="shared" si="296"/>
        <v>68.3022676246071</v>
      </c>
      <c r="S500" s="74"/>
      <c r="T500" s="75">
        <f t="shared" si="297"/>
        <v>0.108947013920072</v>
      </c>
      <c r="U500" s="74"/>
      <c r="V500" s="74"/>
      <c r="W500" s="76">
        <f t="shared" si="291"/>
        <v>68.4112146385272</v>
      </c>
      <c r="X500" s="77">
        <f t="shared" si="298"/>
        <v>0.909611585092052</v>
      </c>
      <c r="Y500" s="77"/>
      <c r="Z500" s="77"/>
      <c r="AA500" s="77">
        <f t="shared" si="294"/>
        <v>0.909611585092052</v>
      </c>
      <c r="AB500" s="87">
        <v>7.26</v>
      </c>
      <c r="AC500" s="74">
        <f t="shared" si="292"/>
        <v>6.6037801077683</v>
      </c>
      <c r="AD500" s="74">
        <f t="shared" si="290"/>
        <v>75.0149947462955</v>
      </c>
      <c r="AE500" s="74">
        <f t="shared" si="293"/>
        <v>20.9850052537045</v>
      </c>
    </row>
    <row r="501" customFormat="1" spans="1:31">
      <c r="A501" s="18"/>
      <c r="B501" s="19"/>
      <c r="C501" s="20">
        <v>240715000014</v>
      </c>
      <c r="D501" s="21">
        <v>45492</v>
      </c>
      <c r="E501" s="21" t="s">
        <v>58</v>
      </c>
      <c r="F501" s="19" t="s">
        <v>59</v>
      </c>
      <c r="G501" s="19" t="s">
        <v>99</v>
      </c>
      <c r="H501" s="19">
        <v>40</v>
      </c>
      <c r="I501" s="41">
        <v>2420</v>
      </c>
      <c r="J501" s="42"/>
      <c r="K501" s="43"/>
      <c r="L501" s="19"/>
      <c r="M501" s="43"/>
      <c r="N501" s="44"/>
      <c r="O501" s="45">
        <f t="shared" ref="O501:O504" si="306">SUM(I501)</f>
        <v>2420</v>
      </c>
      <c r="P501" s="51"/>
      <c r="Q501" s="51"/>
      <c r="R501" s="74">
        <f t="shared" si="296"/>
        <v>1821.39380332286</v>
      </c>
      <c r="S501" s="74"/>
      <c r="T501" s="75">
        <f t="shared" si="297"/>
        <v>2.90525370453525</v>
      </c>
      <c r="U501" s="74"/>
      <c r="V501" s="74"/>
      <c r="W501" s="76">
        <f t="shared" si="291"/>
        <v>1824.29905702739</v>
      </c>
      <c r="X501" s="77">
        <f t="shared" si="298"/>
        <v>24.2563089357881</v>
      </c>
      <c r="Y501" s="77"/>
      <c r="Z501" s="77"/>
      <c r="AA501" s="77">
        <f t="shared" si="294"/>
        <v>24.2563089357881</v>
      </c>
      <c r="AB501" s="87">
        <v>7.26</v>
      </c>
      <c r="AC501" s="74">
        <f t="shared" si="292"/>
        <v>176.100802873821</v>
      </c>
      <c r="AD501" s="74">
        <f t="shared" si="290"/>
        <v>2000.39985990121</v>
      </c>
      <c r="AE501" s="74">
        <f t="shared" si="293"/>
        <v>419.60014009879</v>
      </c>
    </row>
    <row r="502" customFormat="1" spans="1:31">
      <c r="A502" s="18"/>
      <c r="B502" s="19"/>
      <c r="C502" s="20">
        <v>240715000015</v>
      </c>
      <c r="D502" s="21">
        <v>45492</v>
      </c>
      <c r="E502" s="21" t="s">
        <v>58</v>
      </c>
      <c r="F502" s="19" t="s">
        <v>59</v>
      </c>
      <c r="G502" s="19" t="s">
        <v>99</v>
      </c>
      <c r="H502" s="19">
        <v>26.5</v>
      </c>
      <c r="I502" s="41">
        <v>1404.5</v>
      </c>
      <c r="J502" s="42"/>
      <c r="K502" s="43"/>
      <c r="L502" s="19"/>
      <c r="M502" s="43"/>
      <c r="N502" s="44"/>
      <c r="O502" s="45">
        <f t="shared" si="306"/>
        <v>1404.5</v>
      </c>
      <c r="P502" s="51"/>
      <c r="Q502" s="51"/>
      <c r="R502" s="74">
        <f t="shared" si="296"/>
        <v>1206.67339470139</v>
      </c>
      <c r="S502" s="74"/>
      <c r="T502" s="75">
        <f t="shared" si="297"/>
        <v>1.9247305792546</v>
      </c>
      <c r="U502" s="74"/>
      <c r="V502" s="74"/>
      <c r="W502" s="76">
        <f t="shared" si="291"/>
        <v>1208.59812528065</v>
      </c>
      <c r="X502" s="77">
        <f t="shared" si="298"/>
        <v>16.0698046699596</v>
      </c>
      <c r="Y502" s="77"/>
      <c r="Z502" s="77"/>
      <c r="AA502" s="77">
        <f t="shared" si="294"/>
        <v>16.0698046699596</v>
      </c>
      <c r="AB502" s="87">
        <v>7.26</v>
      </c>
      <c r="AC502" s="74">
        <f t="shared" si="292"/>
        <v>116.666781903907</v>
      </c>
      <c r="AD502" s="74">
        <f t="shared" si="290"/>
        <v>1325.26490718455</v>
      </c>
      <c r="AE502" s="74">
        <f t="shared" si="293"/>
        <v>79.2350928154499</v>
      </c>
    </row>
    <row r="503" customFormat="1" spans="1:31">
      <c r="A503" s="18"/>
      <c r="B503" s="19"/>
      <c r="C503" s="20">
        <v>240715000016</v>
      </c>
      <c r="D503" s="21">
        <v>45492</v>
      </c>
      <c r="E503" s="21" t="s">
        <v>58</v>
      </c>
      <c r="F503" s="19" t="s">
        <v>59</v>
      </c>
      <c r="G503" s="19" t="s">
        <v>99</v>
      </c>
      <c r="H503" s="19">
        <v>16.5</v>
      </c>
      <c r="I503" s="41">
        <v>1440.5</v>
      </c>
      <c r="J503" s="42"/>
      <c r="K503" s="43"/>
      <c r="L503" s="19"/>
      <c r="M503" s="43"/>
      <c r="N503" s="44"/>
      <c r="O503" s="45">
        <f t="shared" si="306"/>
        <v>1440.5</v>
      </c>
      <c r="P503" s="51"/>
      <c r="Q503" s="51"/>
      <c r="R503" s="74">
        <f t="shared" si="296"/>
        <v>751.324943870678</v>
      </c>
      <c r="S503" s="74"/>
      <c r="T503" s="75">
        <f t="shared" si="297"/>
        <v>1.19841715312079</v>
      </c>
      <c r="U503" s="74"/>
      <c r="V503" s="74"/>
      <c r="W503" s="76">
        <f t="shared" si="291"/>
        <v>752.523361023799</v>
      </c>
      <c r="X503" s="77">
        <f t="shared" si="298"/>
        <v>10.0057274360126</v>
      </c>
      <c r="Y503" s="77"/>
      <c r="Z503" s="77"/>
      <c r="AA503" s="77">
        <f t="shared" si="294"/>
        <v>10.0057274360126</v>
      </c>
      <c r="AB503" s="87">
        <v>7.26</v>
      </c>
      <c r="AC503" s="74">
        <f t="shared" si="292"/>
        <v>72.6415811854513</v>
      </c>
      <c r="AD503" s="74">
        <f t="shared" si="290"/>
        <v>825.16494220925</v>
      </c>
      <c r="AE503" s="74">
        <f t="shared" si="293"/>
        <v>615.33505779075</v>
      </c>
    </row>
    <row r="504" customFormat="1" spans="1:31">
      <c r="A504" s="18"/>
      <c r="B504" s="19"/>
      <c r="C504" s="20">
        <v>240715000019</v>
      </c>
      <c r="D504" s="21">
        <v>45492</v>
      </c>
      <c r="E504" s="21" t="s">
        <v>40</v>
      </c>
      <c r="F504" s="19" t="s">
        <v>41</v>
      </c>
      <c r="G504" s="19" t="s">
        <v>396</v>
      </c>
      <c r="H504" s="19">
        <v>141</v>
      </c>
      <c r="I504" s="53">
        <v>3476</v>
      </c>
      <c r="J504" s="48">
        <v>1225000</v>
      </c>
      <c r="K504" s="43"/>
      <c r="L504" s="49">
        <f>SUM(J504/M504)</f>
        <v>1778.71351822274</v>
      </c>
      <c r="M504" s="50">
        <v>688.7</v>
      </c>
      <c r="N504" s="44">
        <v>7.26</v>
      </c>
      <c r="O504" s="45">
        <f>SUM(M504*N504)+I504</f>
        <v>8475.962</v>
      </c>
      <c r="P504" s="51"/>
      <c r="Q504" s="51"/>
      <c r="R504" s="74">
        <f t="shared" si="296"/>
        <v>6420.41315671307</v>
      </c>
      <c r="S504" s="74"/>
      <c r="T504" s="75">
        <f t="shared" si="297"/>
        <v>10.2410193084868</v>
      </c>
      <c r="U504" s="75">
        <v>70</v>
      </c>
      <c r="V504" s="74"/>
      <c r="W504" s="76">
        <f t="shared" si="291"/>
        <v>6500.65417602155</v>
      </c>
      <c r="X504" s="77">
        <f t="shared" si="298"/>
        <v>85.5034889986529</v>
      </c>
      <c r="Y504" s="77"/>
      <c r="Z504" s="77"/>
      <c r="AA504" s="77">
        <f t="shared" si="294"/>
        <v>85.5034889986529</v>
      </c>
      <c r="AB504" s="87">
        <v>7.26</v>
      </c>
      <c r="AC504" s="74">
        <f t="shared" si="292"/>
        <v>620.75533013022</v>
      </c>
      <c r="AD504" s="74">
        <f t="shared" si="290"/>
        <v>7121.40950615177</v>
      </c>
      <c r="AE504" s="74">
        <f t="shared" si="293"/>
        <v>1354.55249384823</v>
      </c>
    </row>
    <row r="505" customFormat="1" spans="1:31">
      <c r="A505" s="18"/>
      <c r="B505" s="19"/>
      <c r="C505" s="20">
        <v>240715000020</v>
      </c>
      <c r="D505" s="21">
        <v>45492</v>
      </c>
      <c r="E505" s="21" t="s">
        <v>47</v>
      </c>
      <c r="F505" s="19" t="s">
        <v>48</v>
      </c>
      <c r="G505" s="19" t="s">
        <v>397</v>
      </c>
      <c r="H505" s="19">
        <v>0.83</v>
      </c>
      <c r="I505" s="45"/>
      <c r="J505" s="48">
        <v>14133</v>
      </c>
      <c r="K505" s="43"/>
      <c r="L505" s="49">
        <f>SUM(J505/M505)</f>
        <v>1606.02272727273</v>
      </c>
      <c r="M505" s="50">
        <v>8.8</v>
      </c>
      <c r="N505" s="44">
        <v>7.26</v>
      </c>
      <c r="O505" s="45">
        <f>SUM(M505*N505)</f>
        <v>63.888</v>
      </c>
      <c r="P505" s="51"/>
      <c r="Q505" s="51"/>
      <c r="R505" s="74">
        <f t="shared" si="296"/>
        <v>37.7939214189493</v>
      </c>
      <c r="S505" s="74"/>
      <c r="T505" s="75">
        <f t="shared" si="297"/>
        <v>0.0602840143691064</v>
      </c>
      <c r="U505" s="74"/>
      <c r="V505" s="74"/>
      <c r="W505" s="76">
        <f t="shared" si="291"/>
        <v>37.8542054333184</v>
      </c>
      <c r="X505" s="77">
        <f t="shared" si="298"/>
        <v>0.503318410417602</v>
      </c>
      <c r="Y505" s="77"/>
      <c r="Z505" s="77"/>
      <c r="AA505" s="77">
        <f t="shared" si="294"/>
        <v>0.503318410417602</v>
      </c>
      <c r="AB505" s="87">
        <v>7.26</v>
      </c>
      <c r="AC505" s="74">
        <f t="shared" si="292"/>
        <v>3.65409165963179</v>
      </c>
      <c r="AD505" s="74">
        <f t="shared" ref="AD505:AD522" si="307">SUM(W505+AC505)</f>
        <v>41.5082970929502</v>
      </c>
      <c r="AE505" s="74">
        <f t="shared" si="293"/>
        <v>22.3797029070498</v>
      </c>
    </row>
    <row r="506" customFormat="1" spans="1:31">
      <c r="A506" s="18"/>
      <c r="B506" s="19"/>
      <c r="C506" s="20">
        <v>240715000025</v>
      </c>
      <c r="D506" s="21">
        <v>45492</v>
      </c>
      <c r="E506" s="21" t="s">
        <v>47</v>
      </c>
      <c r="F506" s="19" t="s">
        <v>48</v>
      </c>
      <c r="G506" s="19" t="s">
        <v>398</v>
      </c>
      <c r="H506" s="19">
        <v>0.46</v>
      </c>
      <c r="I506" s="41">
        <v>69</v>
      </c>
      <c r="J506" s="42"/>
      <c r="K506" s="43"/>
      <c r="L506" s="19"/>
      <c r="M506" s="43"/>
      <c r="N506" s="44"/>
      <c r="O506" s="45">
        <f t="shared" ref="O506:O509" si="308">SUM(I506)</f>
        <v>69</v>
      </c>
      <c r="P506" s="51"/>
      <c r="Q506" s="51"/>
      <c r="R506" s="74">
        <f t="shared" si="296"/>
        <v>20.9460287382128</v>
      </c>
      <c r="S506" s="74"/>
      <c r="T506" s="75">
        <f t="shared" si="297"/>
        <v>0.0334104176021554</v>
      </c>
      <c r="U506" s="74"/>
      <c r="V506" s="74"/>
      <c r="W506" s="76">
        <f t="shared" si="291"/>
        <v>20.979439155815</v>
      </c>
      <c r="X506" s="77">
        <f t="shared" si="298"/>
        <v>0.278947552761563</v>
      </c>
      <c r="Y506" s="77"/>
      <c r="Z506" s="77"/>
      <c r="AA506" s="77">
        <f t="shared" si="294"/>
        <v>0.278947552761563</v>
      </c>
      <c r="AB506" s="87">
        <v>7.26</v>
      </c>
      <c r="AC506" s="74">
        <f t="shared" si="292"/>
        <v>2.02515923304894</v>
      </c>
      <c r="AD506" s="74">
        <f t="shared" si="307"/>
        <v>23.0045983888639</v>
      </c>
      <c r="AE506" s="74">
        <f t="shared" si="293"/>
        <v>45.9954016111361</v>
      </c>
    </row>
    <row r="507" customFormat="1" spans="1:31">
      <c r="A507" s="18"/>
      <c r="B507" s="19"/>
      <c r="C507" s="20">
        <v>240715000026</v>
      </c>
      <c r="D507" s="21">
        <v>45492</v>
      </c>
      <c r="E507" s="21" t="s">
        <v>47</v>
      </c>
      <c r="F507" s="19" t="s">
        <v>48</v>
      </c>
      <c r="G507" s="19" t="s">
        <v>69</v>
      </c>
      <c r="H507" s="19">
        <v>183.5</v>
      </c>
      <c r="I507" s="41">
        <v>10092.5</v>
      </c>
      <c r="J507" s="42"/>
      <c r="K507" s="43"/>
      <c r="L507" s="19"/>
      <c r="M507" s="43"/>
      <c r="N507" s="44"/>
      <c r="O507" s="45">
        <f t="shared" si="308"/>
        <v>10092.5</v>
      </c>
      <c r="P507" s="51"/>
      <c r="Q507" s="51"/>
      <c r="R507" s="74">
        <f t="shared" si="296"/>
        <v>8355.6440727436</v>
      </c>
      <c r="S507" s="74"/>
      <c r="T507" s="75">
        <f t="shared" si="297"/>
        <v>13.3278513695555</v>
      </c>
      <c r="U507" s="74"/>
      <c r="V507" s="74"/>
      <c r="W507" s="76">
        <f t="shared" si="291"/>
        <v>8368.97192411316</v>
      </c>
      <c r="X507" s="77">
        <f t="shared" si="298"/>
        <v>111.275817242928</v>
      </c>
      <c r="Y507" s="77"/>
      <c r="Z507" s="77"/>
      <c r="AA507" s="77">
        <f t="shared" si="294"/>
        <v>111.275817242928</v>
      </c>
      <c r="AB507" s="87">
        <v>7.26</v>
      </c>
      <c r="AC507" s="74">
        <f t="shared" si="292"/>
        <v>807.862433183655</v>
      </c>
      <c r="AD507" s="74">
        <f t="shared" si="307"/>
        <v>9176.83435729681</v>
      </c>
      <c r="AE507" s="74">
        <f t="shared" si="293"/>
        <v>915.66564270319</v>
      </c>
    </row>
    <row r="508" customFormat="1" spans="1:31">
      <c r="A508" s="18"/>
      <c r="B508" s="19"/>
      <c r="C508" s="20">
        <v>240715000027</v>
      </c>
      <c r="D508" s="21">
        <v>45492</v>
      </c>
      <c r="E508" s="21" t="s">
        <v>47</v>
      </c>
      <c r="F508" s="19" t="s">
        <v>48</v>
      </c>
      <c r="G508" s="19" t="s">
        <v>50</v>
      </c>
      <c r="H508" s="19">
        <v>1.5</v>
      </c>
      <c r="I508" s="41">
        <v>102</v>
      </c>
      <c r="J508" s="42"/>
      <c r="K508" s="43"/>
      <c r="L508" s="19"/>
      <c r="M508" s="43"/>
      <c r="N508" s="44"/>
      <c r="O508" s="45">
        <f t="shared" si="308"/>
        <v>102</v>
      </c>
      <c r="P508" s="51"/>
      <c r="Q508" s="51"/>
      <c r="R508" s="74">
        <f t="shared" si="296"/>
        <v>68.3022676246071</v>
      </c>
      <c r="S508" s="74"/>
      <c r="T508" s="75">
        <f t="shared" si="297"/>
        <v>0.108947013920072</v>
      </c>
      <c r="U508" s="74"/>
      <c r="V508" s="74"/>
      <c r="W508" s="76">
        <f t="shared" si="291"/>
        <v>68.4112146385272</v>
      </c>
      <c r="X508" s="77">
        <f t="shared" si="298"/>
        <v>0.909611585092052</v>
      </c>
      <c r="Y508" s="77"/>
      <c r="Z508" s="77"/>
      <c r="AA508" s="77">
        <f t="shared" si="294"/>
        <v>0.909611585092052</v>
      </c>
      <c r="AB508" s="87">
        <v>7.26</v>
      </c>
      <c r="AC508" s="74">
        <f t="shared" si="292"/>
        <v>6.6037801077683</v>
      </c>
      <c r="AD508" s="74">
        <f t="shared" si="307"/>
        <v>75.0149947462955</v>
      </c>
      <c r="AE508" s="74">
        <f t="shared" si="293"/>
        <v>26.9850052537045</v>
      </c>
    </row>
    <row r="509" customFormat="1" spans="1:31">
      <c r="A509" s="18"/>
      <c r="B509" s="19"/>
      <c r="C509" s="20">
        <v>240715000033</v>
      </c>
      <c r="D509" s="21">
        <v>45492</v>
      </c>
      <c r="E509" s="21" t="s">
        <v>47</v>
      </c>
      <c r="F509" s="19" t="s">
        <v>48</v>
      </c>
      <c r="G509" s="19" t="s">
        <v>399</v>
      </c>
      <c r="H509" s="19">
        <v>82.5</v>
      </c>
      <c r="I509" s="41">
        <v>4537</v>
      </c>
      <c r="J509" s="42"/>
      <c r="K509" s="43"/>
      <c r="L509" s="19"/>
      <c r="M509" s="43"/>
      <c r="N509" s="44"/>
      <c r="O509" s="45">
        <f t="shared" si="308"/>
        <v>4537</v>
      </c>
      <c r="P509" s="51"/>
      <c r="Q509" s="51"/>
      <c r="R509" s="74">
        <f t="shared" si="296"/>
        <v>3756.62471935339</v>
      </c>
      <c r="S509" s="74"/>
      <c r="T509" s="75">
        <f t="shared" si="297"/>
        <v>5.99208576560395</v>
      </c>
      <c r="U509" s="74"/>
      <c r="V509" s="74"/>
      <c r="W509" s="76">
        <f t="shared" si="291"/>
        <v>3762.61680511899</v>
      </c>
      <c r="X509" s="77">
        <f t="shared" si="298"/>
        <v>50.0286371800629</v>
      </c>
      <c r="Y509" s="77"/>
      <c r="Z509" s="77"/>
      <c r="AA509" s="77">
        <f t="shared" si="294"/>
        <v>50.0286371800629</v>
      </c>
      <c r="AB509" s="87">
        <v>7.26</v>
      </c>
      <c r="AC509" s="74">
        <f t="shared" si="292"/>
        <v>363.207905927256</v>
      </c>
      <c r="AD509" s="74">
        <f t="shared" si="307"/>
        <v>4125.82471104625</v>
      </c>
      <c r="AE509" s="74">
        <f t="shared" si="293"/>
        <v>411.17528895375</v>
      </c>
    </row>
    <row r="510" customFormat="1" spans="1:31">
      <c r="A510" s="18"/>
      <c r="B510" s="19"/>
      <c r="C510" s="20">
        <v>240715000035</v>
      </c>
      <c r="D510" s="21">
        <v>45492</v>
      </c>
      <c r="E510" s="21" t="s">
        <v>40</v>
      </c>
      <c r="F510" s="19" t="s">
        <v>41</v>
      </c>
      <c r="G510" s="19" t="s">
        <v>400</v>
      </c>
      <c r="H510" s="19">
        <v>36.5</v>
      </c>
      <c r="I510" s="47"/>
      <c r="J510" s="48">
        <v>507937.5</v>
      </c>
      <c r="K510" s="43"/>
      <c r="L510" s="49">
        <f t="shared" ref="L510:L512" si="309">SUM(J510/M510)</f>
        <v>1633.502170767</v>
      </c>
      <c r="M510" s="50">
        <v>310.95</v>
      </c>
      <c r="N510" s="44">
        <v>7.26</v>
      </c>
      <c r="O510" s="45">
        <f t="shared" ref="O510:O512" si="310">SUM(M510*N510)</f>
        <v>2257.497</v>
      </c>
      <c r="P510" s="51"/>
      <c r="Q510" s="51"/>
      <c r="R510" s="74">
        <f t="shared" si="296"/>
        <v>1662.02184553211</v>
      </c>
      <c r="S510" s="74"/>
      <c r="T510" s="75">
        <f t="shared" si="297"/>
        <v>2.65104400538842</v>
      </c>
      <c r="U510" s="74"/>
      <c r="V510" s="75">
        <v>100</v>
      </c>
      <c r="W510" s="76">
        <f t="shared" si="291"/>
        <v>1764.67288953749</v>
      </c>
      <c r="X510" s="77">
        <f t="shared" si="298"/>
        <v>22.1338819039066</v>
      </c>
      <c r="Y510" s="77">
        <v>20.5</v>
      </c>
      <c r="Z510" s="77"/>
      <c r="AA510" s="77">
        <f t="shared" si="294"/>
        <v>42.6338819039066</v>
      </c>
      <c r="AB510" s="87">
        <v>7.26</v>
      </c>
      <c r="AC510" s="74">
        <f t="shared" si="292"/>
        <v>309.521982622362</v>
      </c>
      <c r="AD510" s="74">
        <f t="shared" si="307"/>
        <v>2074.19487215986</v>
      </c>
      <c r="AE510" s="74">
        <f t="shared" si="293"/>
        <v>183.30212784014</v>
      </c>
    </row>
    <row r="511" customFormat="1" spans="1:31">
      <c r="A511" s="18"/>
      <c r="B511" s="19"/>
      <c r="C511" s="20">
        <v>240715000036</v>
      </c>
      <c r="D511" s="21">
        <v>45492</v>
      </c>
      <c r="E511" s="21" t="s">
        <v>127</v>
      </c>
      <c r="F511" s="19" t="s">
        <v>128</v>
      </c>
      <c r="G511" s="19" t="s">
        <v>401</v>
      </c>
      <c r="H511" s="19">
        <v>32.5</v>
      </c>
      <c r="I511" s="47"/>
      <c r="J511" s="48">
        <v>450780</v>
      </c>
      <c r="K511" s="43"/>
      <c r="L511" s="49">
        <f t="shared" si="309"/>
        <v>1597.20795096198</v>
      </c>
      <c r="M511" s="50">
        <v>282.23</v>
      </c>
      <c r="N511" s="44">
        <v>7.26</v>
      </c>
      <c r="O511" s="45">
        <f t="shared" si="310"/>
        <v>2048.9898</v>
      </c>
      <c r="P511" s="51"/>
      <c r="Q511" s="51"/>
      <c r="R511" s="74">
        <f t="shared" si="296"/>
        <v>1479.88246519982</v>
      </c>
      <c r="S511" s="74"/>
      <c r="T511" s="75">
        <f t="shared" si="297"/>
        <v>2.36051863493489</v>
      </c>
      <c r="U511" s="75">
        <v>90</v>
      </c>
      <c r="V511" s="74"/>
      <c r="W511" s="76">
        <f t="shared" si="291"/>
        <v>1572.24298383476</v>
      </c>
      <c r="X511" s="77">
        <f t="shared" si="298"/>
        <v>19.7082510103278</v>
      </c>
      <c r="Y511" s="77"/>
      <c r="Z511" s="77"/>
      <c r="AA511" s="77">
        <f t="shared" si="294"/>
        <v>19.7082510103278</v>
      </c>
      <c r="AB511" s="87">
        <v>7.26</v>
      </c>
      <c r="AC511" s="74">
        <f t="shared" si="292"/>
        <v>143.08190233498</v>
      </c>
      <c r="AD511" s="74">
        <f t="shared" si="307"/>
        <v>1715.32488616974</v>
      </c>
      <c r="AE511" s="74">
        <f t="shared" si="293"/>
        <v>333.66491383026</v>
      </c>
    </row>
    <row r="512" customFormat="1" spans="1:31">
      <c r="A512" s="18"/>
      <c r="B512" s="19"/>
      <c r="C512" s="20">
        <v>240715000040</v>
      </c>
      <c r="D512" s="21">
        <v>45492</v>
      </c>
      <c r="E512" s="21" t="s">
        <v>44</v>
      </c>
      <c r="F512" s="19" t="s">
        <v>45</v>
      </c>
      <c r="G512" s="19" t="s">
        <v>402</v>
      </c>
      <c r="H512" s="19">
        <v>3.5</v>
      </c>
      <c r="I512" s="47"/>
      <c r="J512" s="48">
        <v>46434</v>
      </c>
      <c r="K512" s="43"/>
      <c r="L512" s="49">
        <f t="shared" si="309"/>
        <v>1583.15717695193</v>
      </c>
      <c r="M512" s="50">
        <v>29.33</v>
      </c>
      <c r="N512" s="44">
        <v>7.26</v>
      </c>
      <c r="O512" s="45">
        <f t="shared" si="310"/>
        <v>212.9358</v>
      </c>
      <c r="P512" s="51"/>
      <c r="Q512" s="51"/>
      <c r="R512" s="74">
        <f t="shared" si="296"/>
        <v>159.37195779075</v>
      </c>
      <c r="S512" s="74"/>
      <c r="T512" s="75">
        <f t="shared" si="297"/>
        <v>0.254209699146834</v>
      </c>
      <c r="U512" s="74"/>
      <c r="V512" s="74"/>
      <c r="W512" s="76">
        <f t="shared" si="291"/>
        <v>159.626167489897</v>
      </c>
      <c r="X512" s="77">
        <f t="shared" si="298"/>
        <v>2.12242703188145</v>
      </c>
      <c r="Y512" s="77"/>
      <c r="Z512" s="77"/>
      <c r="AA512" s="77">
        <f t="shared" si="294"/>
        <v>2.12242703188145</v>
      </c>
      <c r="AB512" s="87">
        <v>7.26</v>
      </c>
      <c r="AC512" s="74">
        <f t="shared" si="292"/>
        <v>15.4088202514594</v>
      </c>
      <c r="AD512" s="74">
        <f t="shared" si="307"/>
        <v>175.034987741356</v>
      </c>
      <c r="AE512" s="74">
        <f t="shared" si="293"/>
        <v>37.900812258644</v>
      </c>
    </row>
    <row r="513" customFormat="1" spans="1:31">
      <c r="A513" s="18"/>
      <c r="B513" s="19"/>
      <c r="C513" s="20">
        <v>240715000041</v>
      </c>
      <c r="D513" s="21">
        <v>45492</v>
      </c>
      <c r="E513" s="21" t="s">
        <v>40</v>
      </c>
      <c r="F513" s="19" t="s">
        <v>41</v>
      </c>
      <c r="G513" s="19" t="s">
        <v>279</v>
      </c>
      <c r="H513" s="19">
        <v>6</v>
      </c>
      <c r="I513" s="41">
        <v>360</v>
      </c>
      <c r="J513" s="42"/>
      <c r="K513" s="43"/>
      <c r="L513" s="19"/>
      <c r="M513" s="43"/>
      <c r="N513" s="44"/>
      <c r="O513" s="45">
        <f t="shared" ref="O513:O516" si="311">SUM(I513)</f>
        <v>360</v>
      </c>
      <c r="P513" s="51"/>
      <c r="Q513" s="51"/>
      <c r="R513" s="74">
        <f t="shared" si="296"/>
        <v>273.209070498428</v>
      </c>
      <c r="S513" s="74"/>
      <c r="T513" s="75">
        <f t="shared" si="297"/>
        <v>0.435788055680287</v>
      </c>
      <c r="U513" s="74"/>
      <c r="V513" s="74"/>
      <c r="W513" s="76">
        <f t="shared" si="291"/>
        <v>273.644858554109</v>
      </c>
      <c r="X513" s="77">
        <f t="shared" si="298"/>
        <v>3.63844634036821</v>
      </c>
      <c r="Y513" s="77"/>
      <c r="Z513" s="77"/>
      <c r="AA513" s="77">
        <f t="shared" si="294"/>
        <v>3.63844634036821</v>
      </c>
      <c r="AB513" s="87">
        <v>7.26</v>
      </c>
      <c r="AC513" s="74">
        <f t="shared" si="292"/>
        <v>26.4151204310732</v>
      </c>
      <c r="AD513" s="74">
        <f t="shared" si="307"/>
        <v>300.059978985182</v>
      </c>
      <c r="AE513" s="74">
        <f t="shared" si="293"/>
        <v>59.940021014818</v>
      </c>
    </row>
    <row r="514" customFormat="1" spans="1:31">
      <c r="A514" s="18"/>
      <c r="B514" s="19"/>
      <c r="C514" s="20">
        <v>240715000045</v>
      </c>
      <c r="D514" s="21">
        <v>45492</v>
      </c>
      <c r="E514" s="21" t="s">
        <v>40</v>
      </c>
      <c r="F514" s="19" t="s">
        <v>41</v>
      </c>
      <c r="G514" s="19" t="s">
        <v>274</v>
      </c>
      <c r="H514" s="19">
        <v>50.5</v>
      </c>
      <c r="I514" s="47"/>
      <c r="J514" s="48">
        <v>632362.5</v>
      </c>
      <c r="K514" s="43"/>
      <c r="L514" s="49">
        <f t="shared" ref="L514:L519" si="312">SUM(J514/M514)</f>
        <v>1633.50511469312</v>
      </c>
      <c r="M514" s="50">
        <v>387.12</v>
      </c>
      <c r="N514" s="44">
        <v>7.26</v>
      </c>
      <c r="O514" s="45">
        <f t="shared" ref="O514:O519" si="313">SUM(M514*N514)</f>
        <v>2810.4912</v>
      </c>
      <c r="P514" s="51"/>
      <c r="Q514" s="51"/>
      <c r="R514" s="74">
        <f t="shared" si="296"/>
        <v>2299.50967669511</v>
      </c>
      <c r="S514" s="74"/>
      <c r="T514" s="75">
        <f t="shared" si="297"/>
        <v>3.66788280197575</v>
      </c>
      <c r="U514" s="74"/>
      <c r="V514" s="75">
        <v>33</v>
      </c>
      <c r="W514" s="76">
        <f t="shared" si="291"/>
        <v>2336.17755949708</v>
      </c>
      <c r="X514" s="77">
        <f t="shared" si="298"/>
        <v>30.6235900314324</v>
      </c>
      <c r="Y514" s="77"/>
      <c r="Z514" s="77"/>
      <c r="AA514" s="77">
        <f t="shared" si="294"/>
        <v>30.6235900314324</v>
      </c>
      <c r="AB514" s="87">
        <v>7.26</v>
      </c>
      <c r="AC514" s="74">
        <f t="shared" si="292"/>
        <v>222.327263628199</v>
      </c>
      <c r="AD514" s="74">
        <f t="shared" si="307"/>
        <v>2558.50482312528</v>
      </c>
      <c r="AE514" s="74">
        <f t="shared" si="293"/>
        <v>251.98637687472</v>
      </c>
    </row>
    <row r="515" customFormat="1" spans="1:31">
      <c r="A515" s="18"/>
      <c r="B515" s="19"/>
      <c r="C515" s="20">
        <v>240715000047</v>
      </c>
      <c r="D515" s="21">
        <v>45492</v>
      </c>
      <c r="E515" s="21" t="s">
        <v>47</v>
      </c>
      <c r="F515" s="19" t="s">
        <v>48</v>
      </c>
      <c r="G515" s="19" t="s">
        <v>50</v>
      </c>
      <c r="H515" s="19">
        <v>26.5</v>
      </c>
      <c r="I515" s="41">
        <v>1669</v>
      </c>
      <c r="J515" s="42"/>
      <c r="K515" s="43"/>
      <c r="L515" s="19"/>
      <c r="M515" s="43"/>
      <c r="N515" s="44"/>
      <c r="O515" s="45">
        <f t="shared" si="311"/>
        <v>1669</v>
      </c>
      <c r="P515" s="51"/>
      <c r="Q515" s="51"/>
      <c r="R515" s="74">
        <f t="shared" si="296"/>
        <v>1206.67339470139</v>
      </c>
      <c r="S515" s="74"/>
      <c r="T515" s="75">
        <f t="shared" si="297"/>
        <v>1.9247305792546</v>
      </c>
      <c r="U515" s="74"/>
      <c r="V515" s="74"/>
      <c r="W515" s="76">
        <f t="shared" si="291"/>
        <v>1208.59812528065</v>
      </c>
      <c r="X515" s="77">
        <f t="shared" si="298"/>
        <v>16.0698046699596</v>
      </c>
      <c r="Y515" s="77"/>
      <c r="Z515" s="77"/>
      <c r="AA515" s="77">
        <f t="shared" si="294"/>
        <v>16.0698046699596</v>
      </c>
      <c r="AB515" s="87">
        <v>7.26</v>
      </c>
      <c r="AC515" s="74">
        <f t="shared" si="292"/>
        <v>116.666781903907</v>
      </c>
      <c r="AD515" s="74">
        <f t="shared" si="307"/>
        <v>1325.26490718455</v>
      </c>
      <c r="AE515" s="74">
        <f t="shared" si="293"/>
        <v>343.73509281545</v>
      </c>
    </row>
    <row r="516" customFormat="1" spans="1:31">
      <c r="A516" s="18"/>
      <c r="B516" s="19"/>
      <c r="C516" s="20">
        <v>240715000050</v>
      </c>
      <c r="D516" s="21">
        <v>45492</v>
      </c>
      <c r="E516" s="21" t="s">
        <v>37</v>
      </c>
      <c r="F516" s="19" t="s">
        <v>37</v>
      </c>
      <c r="G516" s="19" t="s">
        <v>367</v>
      </c>
      <c r="H516" s="19">
        <v>2</v>
      </c>
      <c r="I516" s="41">
        <v>123</v>
      </c>
      <c r="J516" s="42"/>
      <c r="K516" s="43"/>
      <c r="L516" s="19"/>
      <c r="M516" s="43"/>
      <c r="N516" s="44"/>
      <c r="O516" s="45">
        <f t="shared" si="311"/>
        <v>123</v>
      </c>
      <c r="P516" s="51"/>
      <c r="Q516" s="51"/>
      <c r="R516" s="74">
        <f t="shared" si="296"/>
        <v>91.0696901661428</v>
      </c>
      <c r="S516" s="74"/>
      <c r="T516" s="75">
        <f t="shared" si="297"/>
        <v>0.145262685226762</v>
      </c>
      <c r="U516" s="74"/>
      <c r="V516" s="74"/>
      <c r="W516" s="76">
        <f t="shared" si="291"/>
        <v>91.2149528513696</v>
      </c>
      <c r="X516" s="77">
        <f t="shared" si="298"/>
        <v>1.2128154467894</v>
      </c>
      <c r="Y516" s="77"/>
      <c r="Z516" s="77"/>
      <c r="AA516" s="77">
        <f t="shared" si="294"/>
        <v>1.2128154467894</v>
      </c>
      <c r="AB516" s="87">
        <v>7.26</v>
      </c>
      <c r="AC516" s="74">
        <f t="shared" si="292"/>
        <v>8.80504014369106</v>
      </c>
      <c r="AD516" s="74">
        <f t="shared" si="307"/>
        <v>100.019992995061</v>
      </c>
      <c r="AE516" s="74">
        <f t="shared" si="293"/>
        <v>22.980007004939</v>
      </c>
    </row>
    <row r="517" customFormat="1" spans="1:31">
      <c r="A517" s="18"/>
      <c r="B517" s="19"/>
      <c r="C517" s="20">
        <v>240716000011</v>
      </c>
      <c r="D517" s="21">
        <v>45492</v>
      </c>
      <c r="E517" s="21" t="s">
        <v>40</v>
      </c>
      <c r="F517" s="19" t="s">
        <v>41</v>
      </c>
      <c r="G517" s="19" t="s">
        <v>403</v>
      </c>
      <c r="H517" s="19">
        <v>11.5</v>
      </c>
      <c r="I517" s="47"/>
      <c r="J517" s="48">
        <v>141300</v>
      </c>
      <c r="K517" s="43"/>
      <c r="L517" s="49">
        <f t="shared" si="312"/>
        <v>1611.72578989392</v>
      </c>
      <c r="M517" s="50">
        <v>87.67</v>
      </c>
      <c r="N517" s="44">
        <v>7.26</v>
      </c>
      <c r="O517" s="45">
        <f t="shared" si="313"/>
        <v>636.4842</v>
      </c>
      <c r="P517" s="51"/>
      <c r="Q517" s="51"/>
      <c r="R517" s="74">
        <f t="shared" si="296"/>
        <v>523.650718455321</v>
      </c>
      <c r="S517" s="74"/>
      <c r="T517" s="75">
        <f t="shared" si="297"/>
        <v>0.835260440053884</v>
      </c>
      <c r="U517" s="74"/>
      <c r="V517" s="74">
        <v>27</v>
      </c>
      <c r="W517" s="76">
        <f t="shared" si="291"/>
        <v>551.485978895375</v>
      </c>
      <c r="X517" s="77">
        <f t="shared" si="298"/>
        <v>6.97368881903907</v>
      </c>
      <c r="Y517" s="77"/>
      <c r="Z517" s="77"/>
      <c r="AA517" s="77">
        <f t="shared" si="294"/>
        <v>6.97368881903907</v>
      </c>
      <c r="AB517" s="87">
        <v>7.26</v>
      </c>
      <c r="AC517" s="74">
        <f t="shared" si="292"/>
        <v>50.6289808262236</v>
      </c>
      <c r="AD517" s="74">
        <f t="shared" si="307"/>
        <v>602.114959721598</v>
      </c>
      <c r="AE517" s="74">
        <f t="shared" si="293"/>
        <v>34.369240278402</v>
      </c>
    </row>
    <row r="518" customFormat="1" spans="1:31">
      <c r="A518" s="18"/>
      <c r="B518" s="19"/>
      <c r="C518" s="20">
        <v>240716000012</v>
      </c>
      <c r="D518" s="21">
        <v>45492</v>
      </c>
      <c r="E518" s="21" t="s">
        <v>40</v>
      </c>
      <c r="F518" s="19" t="s">
        <v>41</v>
      </c>
      <c r="G518" s="19" t="s">
        <v>359</v>
      </c>
      <c r="H518" s="19">
        <v>38</v>
      </c>
      <c r="I518" s="41">
        <v>2242</v>
      </c>
      <c r="J518" s="42"/>
      <c r="K518" s="43"/>
      <c r="L518" s="19"/>
      <c r="M518" s="43"/>
      <c r="N518" s="44"/>
      <c r="O518" s="45">
        <f t="shared" ref="O518:O535" si="314">SUM(I518)</f>
        <v>2242</v>
      </c>
      <c r="P518" s="51"/>
      <c r="Q518" s="51"/>
      <c r="R518" s="74">
        <f t="shared" si="296"/>
        <v>1730.32411315671</v>
      </c>
      <c r="S518" s="74"/>
      <c r="T518" s="75">
        <f t="shared" si="297"/>
        <v>2.75999101930849</v>
      </c>
      <c r="U518" s="74"/>
      <c r="V518" s="74"/>
      <c r="W518" s="76">
        <f t="shared" si="291"/>
        <v>1733.08410417602</v>
      </c>
      <c r="X518" s="77">
        <f t="shared" si="298"/>
        <v>23.0434934889987</v>
      </c>
      <c r="Y518" s="77"/>
      <c r="Z518" s="77"/>
      <c r="AA518" s="77">
        <f t="shared" si="294"/>
        <v>23.0434934889987</v>
      </c>
      <c r="AB518" s="87">
        <v>7.26</v>
      </c>
      <c r="AC518" s="74">
        <f t="shared" si="292"/>
        <v>167.29576273013</v>
      </c>
      <c r="AD518" s="74">
        <f t="shared" si="307"/>
        <v>1900.37986690615</v>
      </c>
      <c r="AE518" s="74">
        <f t="shared" si="293"/>
        <v>341.62013309385</v>
      </c>
    </row>
    <row r="519" customFormat="1" spans="1:31">
      <c r="A519" s="18"/>
      <c r="B519" s="19"/>
      <c r="C519" s="20">
        <v>240716000015</v>
      </c>
      <c r="D519" s="21">
        <v>45492</v>
      </c>
      <c r="E519" s="21" t="s">
        <v>40</v>
      </c>
      <c r="F519" s="19" t="s">
        <v>41</v>
      </c>
      <c r="G519" s="19" t="s">
        <v>165</v>
      </c>
      <c r="H519" s="19">
        <v>18</v>
      </c>
      <c r="I519" s="47"/>
      <c r="J519" s="48">
        <v>215604</v>
      </c>
      <c r="K519" s="43"/>
      <c r="L519" s="49">
        <f t="shared" si="312"/>
        <v>1640.82191780822</v>
      </c>
      <c r="M519" s="50">
        <v>131.4</v>
      </c>
      <c r="N519" s="44">
        <v>7.26</v>
      </c>
      <c r="O519" s="45">
        <f t="shared" si="313"/>
        <v>953.964</v>
      </c>
      <c r="P519" s="51"/>
      <c r="Q519" s="51"/>
      <c r="R519" s="74">
        <f t="shared" si="296"/>
        <v>819.627211495285</v>
      </c>
      <c r="S519" s="74"/>
      <c r="T519" s="75">
        <f t="shared" si="297"/>
        <v>1.30736416704086</v>
      </c>
      <c r="U519" s="74"/>
      <c r="V519" s="75">
        <v>44</v>
      </c>
      <c r="W519" s="76">
        <f t="shared" si="291"/>
        <v>864.934575662326</v>
      </c>
      <c r="X519" s="77">
        <f t="shared" si="298"/>
        <v>10.9153390211046</v>
      </c>
      <c r="Y519" s="77"/>
      <c r="Z519" s="77"/>
      <c r="AA519" s="77">
        <f t="shared" si="294"/>
        <v>10.9153390211046</v>
      </c>
      <c r="AB519" s="87">
        <v>7.26</v>
      </c>
      <c r="AC519" s="74">
        <f t="shared" si="292"/>
        <v>79.2453612932196</v>
      </c>
      <c r="AD519" s="74">
        <f t="shared" si="307"/>
        <v>944.179936955546</v>
      </c>
      <c r="AE519" s="74">
        <f t="shared" si="293"/>
        <v>9.784063044454</v>
      </c>
    </row>
    <row r="520" customFormat="1" spans="1:31">
      <c r="A520" s="18"/>
      <c r="B520" s="19"/>
      <c r="C520" s="20">
        <v>240716000018</v>
      </c>
      <c r="D520" s="21">
        <v>45492</v>
      </c>
      <c r="E520" s="21" t="s">
        <v>37</v>
      </c>
      <c r="F520" s="19" t="s">
        <v>37</v>
      </c>
      <c r="G520" s="19" t="s">
        <v>404</v>
      </c>
      <c r="H520" s="19">
        <v>147.5</v>
      </c>
      <c r="I520" s="47">
        <v>8315</v>
      </c>
      <c r="J520" s="42"/>
      <c r="K520" s="43"/>
      <c r="L520" s="19"/>
      <c r="M520" s="43"/>
      <c r="N520" s="44"/>
      <c r="O520" s="45">
        <f t="shared" si="314"/>
        <v>8315</v>
      </c>
      <c r="P520" s="51"/>
      <c r="Q520" s="51"/>
      <c r="R520" s="74">
        <f t="shared" si="296"/>
        <v>6716.38964975303</v>
      </c>
      <c r="S520" s="74"/>
      <c r="T520" s="75">
        <f t="shared" si="297"/>
        <v>10.7131230354737</v>
      </c>
      <c r="U520" s="74"/>
      <c r="V520" s="74"/>
      <c r="W520" s="76">
        <f t="shared" si="291"/>
        <v>6727.1027727885</v>
      </c>
      <c r="X520" s="77">
        <f t="shared" si="298"/>
        <v>89.4451392007185</v>
      </c>
      <c r="Y520" s="77"/>
      <c r="Z520" s="77"/>
      <c r="AA520" s="77">
        <f t="shared" si="294"/>
        <v>89.4451392007185</v>
      </c>
      <c r="AB520" s="87">
        <v>7.26</v>
      </c>
      <c r="AC520" s="74">
        <f t="shared" ref="AC520:AC551" si="315">SUM(AA520*AB520)</f>
        <v>649.371710597216</v>
      </c>
      <c r="AD520" s="74">
        <f t="shared" ref="AD520:AD551" si="316">SUM(W520+AC520)</f>
        <v>7376.47448338572</v>
      </c>
      <c r="AE520" s="74">
        <f t="shared" ref="AE520:AE551" si="317">SUM(O520-AD520)</f>
        <v>938.52551661428</v>
      </c>
    </row>
    <row r="521" customFormat="1" spans="1:31">
      <c r="A521" s="18"/>
      <c r="B521" s="19"/>
      <c r="C521" s="20">
        <v>240716000026</v>
      </c>
      <c r="D521" s="21">
        <v>45492</v>
      </c>
      <c r="E521" s="21" t="s">
        <v>40</v>
      </c>
      <c r="F521" s="19" t="s">
        <v>41</v>
      </c>
      <c r="G521" s="19" t="s">
        <v>218</v>
      </c>
      <c r="H521" s="19">
        <v>3</v>
      </c>
      <c r="I521" s="41">
        <v>201</v>
      </c>
      <c r="J521" s="42"/>
      <c r="K521" s="43"/>
      <c r="L521" s="19"/>
      <c r="M521" s="43"/>
      <c r="N521" s="44"/>
      <c r="O521" s="45">
        <f t="shared" si="314"/>
        <v>201</v>
      </c>
      <c r="P521" s="51"/>
      <c r="Q521" s="51"/>
      <c r="R521" s="74">
        <f t="shared" si="296"/>
        <v>136.604535249214</v>
      </c>
      <c r="S521" s="74"/>
      <c r="T521" s="75">
        <f t="shared" si="297"/>
        <v>0.217894027840144</v>
      </c>
      <c r="U521" s="74"/>
      <c r="V521" s="74"/>
      <c r="W521" s="76">
        <f t="shared" si="291"/>
        <v>136.822429277054</v>
      </c>
      <c r="X521" s="77">
        <f t="shared" si="298"/>
        <v>1.8192231701841</v>
      </c>
      <c r="Y521" s="77"/>
      <c r="Z521" s="77"/>
      <c r="AA521" s="77">
        <f t="shared" si="294"/>
        <v>1.8192231701841</v>
      </c>
      <c r="AB521" s="87">
        <v>7.26</v>
      </c>
      <c r="AC521" s="74">
        <f t="shared" si="315"/>
        <v>13.2075602155366</v>
      </c>
      <c r="AD521" s="74">
        <f t="shared" si="316"/>
        <v>150.029989492591</v>
      </c>
      <c r="AE521" s="74">
        <f t="shared" si="317"/>
        <v>50.9700105074091</v>
      </c>
    </row>
    <row r="522" customFormat="1" spans="1:31">
      <c r="A522" s="18"/>
      <c r="B522" s="19"/>
      <c r="C522" s="20">
        <v>240716000030</v>
      </c>
      <c r="D522" s="21">
        <v>45492</v>
      </c>
      <c r="E522" s="21" t="s">
        <v>40</v>
      </c>
      <c r="F522" s="19" t="s">
        <v>41</v>
      </c>
      <c r="G522" s="19" t="s">
        <v>91</v>
      </c>
      <c r="H522" s="19">
        <v>24</v>
      </c>
      <c r="I522" s="47"/>
      <c r="J522" s="48">
        <v>323400</v>
      </c>
      <c r="K522" s="43"/>
      <c r="L522" s="49">
        <f>SUM(J522/M522)</f>
        <v>1778.78004510203</v>
      </c>
      <c r="M522" s="50">
        <v>181.81</v>
      </c>
      <c r="N522" s="44">
        <v>7.26</v>
      </c>
      <c r="O522" s="45">
        <f>SUM(M522*N522)</f>
        <v>1319.9406</v>
      </c>
      <c r="P522" s="52"/>
      <c r="Q522" s="52"/>
      <c r="R522" s="74">
        <f t="shared" si="296"/>
        <v>1092.83628199371</v>
      </c>
      <c r="S522" s="74"/>
      <c r="T522" s="75">
        <f t="shared" si="297"/>
        <v>1.74315222272115</v>
      </c>
      <c r="U522" s="74"/>
      <c r="V522" s="74"/>
      <c r="W522" s="76">
        <f t="shared" ref="W522:W568" si="318">SUM(R522:V522)</f>
        <v>1094.57943421643</v>
      </c>
      <c r="X522" s="77">
        <f t="shared" si="298"/>
        <v>14.5537853614728</v>
      </c>
      <c r="Y522" s="77"/>
      <c r="Z522" s="77"/>
      <c r="AA522" s="77">
        <f t="shared" ref="AA522:AA568" si="319">SUM(X522:Z522)</f>
        <v>14.5537853614728</v>
      </c>
      <c r="AB522" s="87">
        <v>7.26</v>
      </c>
      <c r="AC522" s="74">
        <f t="shared" si="315"/>
        <v>105.660481724293</v>
      </c>
      <c r="AD522" s="74">
        <f t="shared" si="316"/>
        <v>1200.23991594073</v>
      </c>
      <c r="AE522" s="74">
        <f t="shared" si="317"/>
        <v>119.700684059272</v>
      </c>
    </row>
    <row r="523" customFormat="1" spans="1:31">
      <c r="A523" s="18" t="s">
        <v>405</v>
      </c>
      <c r="B523" s="19" t="s">
        <v>406</v>
      </c>
      <c r="C523" s="20">
        <v>240710000032</v>
      </c>
      <c r="D523" s="21">
        <v>45493</v>
      </c>
      <c r="E523" s="21" t="s">
        <v>44</v>
      </c>
      <c r="F523" s="19" t="s">
        <v>45</v>
      </c>
      <c r="G523" s="19" t="s">
        <v>334</v>
      </c>
      <c r="H523" s="19">
        <v>15.5</v>
      </c>
      <c r="I523" s="41">
        <v>1032</v>
      </c>
      <c r="J523" s="42"/>
      <c r="K523" s="43"/>
      <c r="L523" s="19"/>
      <c r="M523" s="43"/>
      <c r="N523" s="44"/>
      <c r="O523" s="45">
        <f t="shared" si="314"/>
        <v>1032</v>
      </c>
      <c r="P523" s="46">
        <f>SUM(O523:O568)</f>
        <v>166938.2896</v>
      </c>
      <c r="Q523" s="46" t="s">
        <v>130</v>
      </c>
      <c r="R523" s="74">
        <f>SUM(129315.2/2743)*H523</f>
        <v>730.727524608093</v>
      </c>
      <c r="S523" s="74"/>
      <c r="T523" s="75">
        <f>SUM(195.26/2743)*H523</f>
        <v>1.10336492890995</v>
      </c>
      <c r="U523" s="74">
        <v>40</v>
      </c>
      <c r="V523" s="74"/>
      <c r="W523" s="76">
        <f t="shared" si="318"/>
        <v>771.830889537003</v>
      </c>
      <c r="X523" s="77">
        <f>SUM(2158.3/2743)*H523</f>
        <v>12.1960080204156</v>
      </c>
      <c r="Y523" s="77"/>
      <c r="Z523" s="77"/>
      <c r="AA523" s="77">
        <f t="shared" si="319"/>
        <v>12.1960080204156</v>
      </c>
      <c r="AB523" s="87">
        <v>7.26</v>
      </c>
      <c r="AC523" s="74">
        <f t="shared" si="315"/>
        <v>88.5430182282173</v>
      </c>
      <c r="AD523" s="74">
        <f t="shared" si="316"/>
        <v>860.373907765221</v>
      </c>
      <c r="AE523" s="74">
        <f t="shared" si="317"/>
        <v>171.626092234779</v>
      </c>
    </row>
    <row r="524" customFormat="1" spans="1:31">
      <c r="A524" s="18"/>
      <c r="B524" s="19"/>
      <c r="C524" s="20">
        <v>240711000013</v>
      </c>
      <c r="D524" s="21">
        <v>45493</v>
      </c>
      <c r="E524" s="21" t="s">
        <v>44</v>
      </c>
      <c r="F524" s="19" t="s">
        <v>45</v>
      </c>
      <c r="G524" s="19" t="s">
        <v>287</v>
      </c>
      <c r="H524" s="19">
        <v>2.5</v>
      </c>
      <c r="I524" s="41">
        <v>184.8</v>
      </c>
      <c r="J524" s="42"/>
      <c r="K524" s="43"/>
      <c r="L524" s="19"/>
      <c r="M524" s="43"/>
      <c r="N524" s="44"/>
      <c r="O524" s="45">
        <f t="shared" si="314"/>
        <v>184.8</v>
      </c>
      <c r="P524" s="51"/>
      <c r="Q524" s="51"/>
      <c r="R524" s="74">
        <f t="shared" ref="R524:R568" si="320">SUM(129315.2/2743)*H524</f>
        <v>117.859278162596</v>
      </c>
      <c r="S524" s="74"/>
      <c r="T524" s="75">
        <f t="shared" ref="T524:T568" si="321">SUM(195.26/2743)*H524</f>
        <v>0.177962085308057</v>
      </c>
      <c r="U524" s="74"/>
      <c r="V524" s="74"/>
      <c r="W524" s="76">
        <f t="shared" si="318"/>
        <v>118.037240247904</v>
      </c>
      <c r="X524" s="77">
        <f t="shared" ref="X524:X568" si="322">SUM(2158.3/2743)*H524</f>
        <v>1.96709806780897</v>
      </c>
      <c r="Y524" s="77"/>
      <c r="Z524" s="77"/>
      <c r="AA524" s="77">
        <f t="shared" si="319"/>
        <v>1.96709806780897</v>
      </c>
      <c r="AB524" s="87">
        <v>7.26</v>
      </c>
      <c r="AC524" s="74">
        <f t="shared" si="315"/>
        <v>14.2811319722931</v>
      </c>
      <c r="AD524" s="74">
        <f t="shared" si="316"/>
        <v>132.318372220197</v>
      </c>
      <c r="AE524" s="74">
        <f t="shared" si="317"/>
        <v>52.4816277798031</v>
      </c>
    </row>
    <row r="525" customFormat="1" spans="1:31">
      <c r="A525" s="18"/>
      <c r="B525" s="19"/>
      <c r="C525" s="20">
        <v>240711000025</v>
      </c>
      <c r="D525" s="21">
        <v>45493</v>
      </c>
      <c r="E525" s="21" t="s">
        <v>44</v>
      </c>
      <c r="F525" s="19" t="s">
        <v>45</v>
      </c>
      <c r="G525" s="19" t="s">
        <v>121</v>
      </c>
      <c r="H525" s="19">
        <v>1.5</v>
      </c>
      <c r="I525" s="41">
        <v>102</v>
      </c>
      <c r="J525" s="42"/>
      <c r="K525" s="43"/>
      <c r="L525" s="19"/>
      <c r="M525" s="43"/>
      <c r="N525" s="44"/>
      <c r="O525" s="45">
        <f t="shared" si="314"/>
        <v>102</v>
      </c>
      <c r="P525" s="51"/>
      <c r="Q525" s="51"/>
      <c r="R525" s="74">
        <f t="shared" si="320"/>
        <v>70.7155668975574</v>
      </c>
      <c r="S525" s="74"/>
      <c r="T525" s="75">
        <f t="shared" si="321"/>
        <v>0.106777251184834</v>
      </c>
      <c r="U525" s="74"/>
      <c r="V525" s="74"/>
      <c r="W525" s="76">
        <f t="shared" si="318"/>
        <v>70.8223441487422</v>
      </c>
      <c r="X525" s="77">
        <f t="shared" si="322"/>
        <v>1.18025884068538</v>
      </c>
      <c r="Y525" s="77"/>
      <c r="Z525" s="77"/>
      <c r="AA525" s="77">
        <f t="shared" si="319"/>
        <v>1.18025884068538</v>
      </c>
      <c r="AB525" s="87">
        <v>7.26</v>
      </c>
      <c r="AC525" s="74">
        <f t="shared" si="315"/>
        <v>8.56867918337587</v>
      </c>
      <c r="AD525" s="74">
        <f t="shared" si="316"/>
        <v>79.3910233321181</v>
      </c>
      <c r="AE525" s="74">
        <f t="shared" si="317"/>
        <v>22.6089766678819</v>
      </c>
    </row>
    <row r="526" customFormat="1" spans="1:31">
      <c r="A526" s="18"/>
      <c r="B526" s="19"/>
      <c r="C526" s="20">
        <v>240712000008</v>
      </c>
      <c r="D526" s="21">
        <v>45493</v>
      </c>
      <c r="E526" s="21" t="s">
        <v>40</v>
      </c>
      <c r="F526" s="19" t="s">
        <v>41</v>
      </c>
      <c r="G526" s="19" t="s">
        <v>407</v>
      </c>
      <c r="H526" s="19">
        <v>6.5</v>
      </c>
      <c r="I526" s="41">
        <v>414.15</v>
      </c>
      <c r="J526" s="42"/>
      <c r="K526" s="43"/>
      <c r="L526" s="19"/>
      <c r="M526" s="43"/>
      <c r="N526" s="44"/>
      <c r="O526" s="45">
        <f t="shared" si="314"/>
        <v>414.15</v>
      </c>
      <c r="P526" s="51"/>
      <c r="Q526" s="51"/>
      <c r="R526" s="74">
        <f t="shared" si="320"/>
        <v>306.434123222749</v>
      </c>
      <c r="S526" s="74"/>
      <c r="T526" s="75">
        <f t="shared" si="321"/>
        <v>0.462701421800948</v>
      </c>
      <c r="U526" s="74"/>
      <c r="V526" s="74"/>
      <c r="W526" s="76">
        <f t="shared" si="318"/>
        <v>306.89682464455</v>
      </c>
      <c r="X526" s="77">
        <f t="shared" si="322"/>
        <v>5.11445497630332</v>
      </c>
      <c r="Y526" s="77"/>
      <c r="Z526" s="77"/>
      <c r="AA526" s="77">
        <f t="shared" si="319"/>
        <v>5.11445497630332</v>
      </c>
      <c r="AB526" s="87">
        <v>7.26</v>
      </c>
      <c r="AC526" s="74">
        <f t="shared" si="315"/>
        <v>37.1309431279621</v>
      </c>
      <c r="AD526" s="74">
        <f t="shared" si="316"/>
        <v>344.027767772512</v>
      </c>
      <c r="AE526" s="74">
        <f t="shared" si="317"/>
        <v>70.1222322274882</v>
      </c>
    </row>
    <row r="527" customFormat="1" spans="1:31">
      <c r="A527" s="18"/>
      <c r="B527" s="19"/>
      <c r="C527" s="20">
        <v>240712000018</v>
      </c>
      <c r="D527" s="21">
        <v>45493</v>
      </c>
      <c r="E527" s="21" t="s">
        <v>44</v>
      </c>
      <c r="F527" s="19" t="s">
        <v>45</v>
      </c>
      <c r="G527" s="19" t="s">
        <v>408</v>
      </c>
      <c r="H527" s="19">
        <v>1.5</v>
      </c>
      <c r="I527" s="41">
        <v>130.2</v>
      </c>
      <c r="J527" s="42"/>
      <c r="K527" s="43"/>
      <c r="L527" s="19"/>
      <c r="M527" s="43"/>
      <c r="N527" s="44"/>
      <c r="O527" s="45">
        <f t="shared" si="314"/>
        <v>130.2</v>
      </c>
      <c r="P527" s="51"/>
      <c r="Q527" s="51"/>
      <c r="R527" s="74">
        <f t="shared" si="320"/>
        <v>70.7155668975574</v>
      </c>
      <c r="S527" s="74"/>
      <c r="T527" s="75">
        <f t="shared" si="321"/>
        <v>0.106777251184834</v>
      </c>
      <c r="U527" s="74"/>
      <c r="V527" s="74"/>
      <c r="W527" s="76">
        <f t="shared" si="318"/>
        <v>70.8223441487422</v>
      </c>
      <c r="X527" s="77">
        <f t="shared" si="322"/>
        <v>1.18025884068538</v>
      </c>
      <c r="Y527" s="77"/>
      <c r="Z527" s="77"/>
      <c r="AA527" s="77">
        <f t="shared" si="319"/>
        <v>1.18025884068538</v>
      </c>
      <c r="AB527" s="87">
        <v>7.26</v>
      </c>
      <c r="AC527" s="74">
        <f t="shared" si="315"/>
        <v>8.56867918337587</v>
      </c>
      <c r="AD527" s="74">
        <f t="shared" si="316"/>
        <v>79.3910233321181</v>
      </c>
      <c r="AE527" s="74">
        <f t="shared" si="317"/>
        <v>50.8089766678819</v>
      </c>
    </row>
    <row r="528" customFormat="1" spans="1:31">
      <c r="A528" s="18"/>
      <c r="B528" s="19"/>
      <c r="C528" s="20">
        <v>240712000024</v>
      </c>
      <c r="D528" s="21">
        <v>45493</v>
      </c>
      <c r="E528" s="21" t="s">
        <v>44</v>
      </c>
      <c r="F528" s="19" t="s">
        <v>45</v>
      </c>
      <c r="G528" s="19" t="s">
        <v>409</v>
      </c>
      <c r="H528" s="19">
        <v>5.5</v>
      </c>
      <c r="I528" s="41">
        <v>532</v>
      </c>
      <c r="J528" s="42"/>
      <c r="K528" s="43"/>
      <c r="L528" s="19"/>
      <c r="M528" s="43"/>
      <c r="N528" s="44"/>
      <c r="O528" s="45">
        <f t="shared" si="314"/>
        <v>532</v>
      </c>
      <c r="P528" s="51"/>
      <c r="Q528" s="51"/>
      <c r="R528" s="74">
        <f t="shared" si="320"/>
        <v>259.290411957711</v>
      </c>
      <c r="S528" s="74"/>
      <c r="T528" s="75">
        <f t="shared" si="321"/>
        <v>0.391516587677725</v>
      </c>
      <c r="U528" s="74"/>
      <c r="V528" s="74"/>
      <c r="W528" s="76">
        <f t="shared" si="318"/>
        <v>259.681928545388</v>
      </c>
      <c r="X528" s="77">
        <f t="shared" si="322"/>
        <v>4.32761574917973</v>
      </c>
      <c r="Y528" s="77"/>
      <c r="Z528" s="77"/>
      <c r="AA528" s="77">
        <f t="shared" si="319"/>
        <v>4.32761574917973</v>
      </c>
      <c r="AB528" s="87">
        <v>7.26</v>
      </c>
      <c r="AC528" s="74">
        <f t="shared" si="315"/>
        <v>31.4184903390448</v>
      </c>
      <c r="AD528" s="74">
        <f t="shared" si="316"/>
        <v>291.100418884433</v>
      </c>
      <c r="AE528" s="74">
        <f t="shared" si="317"/>
        <v>240.899581115567</v>
      </c>
    </row>
    <row r="529" customFormat="1" spans="1:31">
      <c r="A529" s="18"/>
      <c r="B529" s="19"/>
      <c r="C529" s="20">
        <v>240712000027</v>
      </c>
      <c r="D529" s="21">
        <v>45493</v>
      </c>
      <c r="E529" s="21" t="s">
        <v>40</v>
      </c>
      <c r="F529" s="19" t="s">
        <v>41</v>
      </c>
      <c r="G529" s="19" t="s">
        <v>410</v>
      </c>
      <c r="H529" s="19">
        <v>4</v>
      </c>
      <c r="I529" s="41">
        <v>267.3</v>
      </c>
      <c r="J529" s="42"/>
      <c r="K529" s="43"/>
      <c r="L529" s="19"/>
      <c r="M529" s="43"/>
      <c r="N529" s="44"/>
      <c r="O529" s="45">
        <f t="shared" si="314"/>
        <v>267.3</v>
      </c>
      <c r="P529" s="51"/>
      <c r="Q529" s="51"/>
      <c r="R529" s="74">
        <f t="shared" si="320"/>
        <v>188.574845060153</v>
      </c>
      <c r="S529" s="74"/>
      <c r="T529" s="75">
        <f t="shared" si="321"/>
        <v>0.284739336492891</v>
      </c>
      <c r="U529" s="74"/>
      <c r="V529" s="74"/>
      <c r="W529" s="76">
        <f t="shared" si="318"/>
        <v>188.859584396646</v>
      </c>
      <c r="X529" s="77">
        <f t="shared" si="322"/>
        <v>3.14735690849435</v>
      </c>
      <c r="Y529" s="77"/>
      <c r="Z529" s="77"/>
      <c r="AA529" s="77">
        <f t="shared" si="319"/>
        <v>3.14735690849435</v>
      </c>
      <c r="AB529" s="87">
        <v>7.26</v>
      </c>
      <c r="AC529" s="74">
        <f t="shared" si="315"/>
        <v>22.849811155669</v>
      </c>
      <c r="AD529" s="74">
        <f t="shared" si="316"/>
        <v>211.709395552315</v>
      </c>
      <c r="AE529" s="74">
        <f t="shared" si="317"/>
        <v>55.590604447685</v>
      </c>
    </row>
    <row r="530" customFormat="1" spans="1:31">
      <c r="A530" s="18"/>
      <c r="B530" s="19"/>
      <c r="C530" s="20">
        <v>240712000028</v>
      </c>
      <c r="D530" s="21">
        <v>45493</v>
      </c>
      <c r="E530" s="21" t="s">
        <v>44</v>
      </c>
      <c r="F530" s="19" t="s">
        <v>45</v>
      </c>
      <c r="G530" s="19" t="s">
        <v>304</v>
      </c>
      <c r="H530" s="19">
        <v>4</v>
      </c>
      <c r="I530" s="41">
        <v>267.3</v>
      </c>
      <c r="J530" s="42"/>
      <c r="K530" s="43"/>
      <c r="L530" s="19"/>
      <c r="M530" s="43"/>
      <c r="N530" s="44"/>
      <c r="O530" s="45">
        <f t="shared" si="314"/>
        <v>267.3</v>
      </c>
      <c r="P530" s="51"/>
      <c r="Q530" s="51"/>
      <c r="R530" s="74">
        <f t="shared" si="320"/>
        <v>188.574845060153</v>
      </c>
      <c r="S530" s="74"/>
      <c r="T530" s="75">
        <f t="shared" si="321"/>
        <v>0.284739336492891</v>
      </c>
      <c r="U530" s="74"/>
      <c r="V530" s="74"/>
      <c r="W530" s="76">
        <f t="shared" si="318"/>
        <v>188.859584396646</v>
      </c>
      <c r="X530" s="77">
        <f t="shared" si="322"/>
        <v>3.14735690849435</v>
      </c>
      <c r="Y530" s="77"/>
      <c r="Z530" s="77"/>
      <c r="AA530" s="77">
        <f t="shared" si="319"/>
        <v>3.14735690849435</v>
      </c>
      <c r="AB530" s="87">
        <v>7.26</v>
      </c>
      <c r="AC530" s="74">
        <f t="shared" si="315"/>
        <v>22.849811155669</v>
      </c>
      <c r="AD530" s="74">
        <f t="shared" si="316"/>
        <v>211.709395552315</v>
      </c>
      <c r="AE530" s="74">
        <f t="shared" si="317"/>
        <v>55.590604447685</v>
      </c>
    </row>
    <row r="531" customFormat="1" spans="1:31">
      <c r="A531" s="18"/>
      <c r="B531" s="19"/>
      <c r="C531" s="20">
        <v>240712000039</v>
      </c>
      <c r="D531" s="21">
        <v>45493</v>
      </c>
      <c r="E531" s="21" t="s">
        <v>44</v>
      </c>
      <c r="F531" s="19" t="s">
        <v>45</v>
      </c>
      <c r="G531" s="19" t="s">
        <v>411</v>
      </c>
      <c r="H531" s="19">
        <v>5.5</v>
      </c>
      <c r="I531" s="41">
        <v>366.3</v>
      </c>
      <c r="J531" s="42"/>
      <c r="K531" s="43"/>
      <c r="L531" s="19"/>
      <c r="M531" s="43"/>
      <c r="N531" s="44"/>
      <c r="O531" s="45">
        <f t="shared" si="314"/>
        <v>366.3</v>
      </c>
      <c r="P531" s="51"/>
      <c r="Q531" s="51"/>
      <c r="R531" s="74">
        <f t="shared" si="320"/>
        <v>259.290411957711</v>
      </c>
      <c r="S531" s="74"/>
      <c r="T531" s="75">
        <f t="shared" si="321"/>
        <v>0.391516587677725</v>
      </c>
      <c r="U531" s="74"/>
      <c r="V531" s="74"/>
      <c r="W531" s="76">
        <f t="shared" si="318"/>
        <v>259.681928545388</v>
      </c>
      <c r="X531" s="77">
        <f t="shared" si="322"/>
        <v>4.32761574917973</v>
      </c>
      <c r="Y531" s="77"/>
      <c r="Z531" s="77"/>
      <c r="AA531" s="77">
        <f t="shared" si="319"/>
        <v>4.32761574917973</v>
      </c>
      <c r="AB531" s="87">
        <v>7.26</v>
      </c>
      <c r="AC531" s="74">
        <f t="shared" si="315"/>
        <v>31.4184903390448</v>
      </c>
      <c r="AD531" s="74">
        <f t="shared" si="316"/>
        <v>291.100418884433</v>
      </c>
      <c r="AE531" s="74">
        <f t="shared" si="317"/>
        <v>75.1995811155669</v>
      </c>
    </row>
    <row r="532" customFormat="1" spans="1:31">
      <c r="A532" s="18"/>
      <c r="B532" s="19"/>
      <c r="C532" s="20">
        <v>240712000042</v>
      </c>
      <c r="D532" s="21">
        <v>45493</v>
      </c>
      <c r="E532" s="21" t="s">
        <v>47</v>
      </c>
      <c r="F532" s="19" t="s">
        <v>48</v>
      </c>
      <c r="G532" s="19" t="s">
        <v>158</v>
      </c>
      <c r="H532" s="19">
        <v>6</v>
      </c>
      <c r="I532" s="41">
        <v>527</v>
      </c>
      <c r="J532" s="42"/>
      <c r="K532" s="43"/>
      <c r="L532" s="19"/>
      <c r="M532" s="43"/>
      <c r="N532" s="44"/>
      <c r="O532" s="45">
        <f t="shared" si="314"/>
        <v>527</v>
      </c>
      <c r="P532" s="51"/>
      <c r="Q532" s="51"/>
      <c r="R532" s="74">
        <f t="shared" si="320"/>
        <v>282.86226759023</v>
      </c>
      <c r="S532" s="74"/>
      <c r="T532" s="75">
        <f t="shared" si="321"/>
        <v>0.427109004739336</v>
      </c>
      <c r="U532" s="74"/>
      <c r="V532" s="74"/>
      <c r="W532" s="76">
        <f t="shared" si="318"/>
        <v>283.289376594969</v>
      </c>
      <c r="X532" s="77">
        <f t="shared" si="322"/>
        <v>4.72103536274152</v>
      </c>
      <c r="Y532" s="77"/>
      <c r="Z532" s="77"/>
      <c r="AA532" s="77">
        <f t="shared" si="319"/>
        <v>4.72103536274152</v>
      </c>
      <c r="AB532" s="87">
        <v>7.26</v>
      </c>
      <c r="AC532" s="74">
        <f t="shared" si="315"/>
        <v>34.2747167335035</v>
      </c>
      <c r="AD532" s="74">
        <f t="shared" si="316"/>
        <v>317.564093328472</v>
      </c>
      <c r="AE532" s="74">
        <f t="shared" si="317"/>
        <v>209.435906671528</v>
      </c>
    </row>
    <row r="533" customFormat="1" spans="1:31">
      <c r="A533" s="18"/>
      <c r="B533" s="19"/>
      <c r="C533" s="20">
        <v>240712000046</v>
      </c>
      <c r="D533" s="21">
        <v>45493</v>
      </c>
      <c r="E533" s="21" t="s">
        <v>55</v>
      </c>
      <c r="F533" s="19" t="s">
        <v>56</v>
      </c>
      <c r="G533" s="19" t="s">
        <v>412</v>
      </c>
      <c r="H533" s="19">
        <v>10</v>
      </c>
      <c r="I533" s="41">
        <v>841.4</v>
      </c>
      <c r="J533" s="42"/>
      <c r="K533" s="43"/>
      <c r="L533" s="19"/>
      <c r="M533" s="43"/>
      <c r="N533" s="44"/>
      <c r="O533" s="45">
        <f t="shared" si="314"/>
        <v>841.4</v>
      </c>
      <c r="P533" s="51"/>
      <c r="Q533" s="51"/>
      <c r="R533" s="74">
        <f t="shared" si="320"/>
        <v>471.437112650383</v>
      </c>
      <c r="S533" s="74"/>
      <c r="T533" s="75">
        <f t="shared" si="321"/>
        <v>0.711848341232227</v>
      </c>
      <c r="U533" s="74"/>
      <c r="V533" s="74"/>
      <c r="W533" s="76">
        <f t="shared" si="318"/>
        <v>472.148960991615</v>
      </c>
      <c r="X533" s="77">
        <f t="shared" si="322"/>
        <v>7.86839227123587</v>
      </c>
      <c r="Y533" s="77">
        <v>4.82</v>
      </c>
      <c r="Z533" s="77"/>
      <c r="AA533" s="77">
        <f t="shared" si="319"/>
        <v>12.6883922712359</v>
      </c>
      <c r="AB533" s="87">
        <v>7.26</v>
      </c>
      <c r="AC533" s="74">
        <f t="shared" si="315"/>
        <v>92.1177278891724</v>
      </c>
      <c r="AD533" s="74">
        <f t="shared" si="316"/>
        <v>564.266688880787</v>
      </c>
      <c r="AE533" s="74">
        <f t="shared" si="317"/>
        <v>277.133311119213</v>
      </c>
    </row>
    <row r="534" customFormat="1" spans="1:31">
      <c r="A534" s="18"/>
      <c r="B534" s="19"/>
      <c r="C534" s="20">
        <v>240713000004</v>
      </c>
      <c r="D534" s="21">
        <v>45493</v>
      </c>
      <c r="E534" s="21" t="s">
        <v>44</v>
      </c>
      <c r="F534" s="19" t="s">
        <v>45</v>
      </c>
      <c r="G534" s="19" t="s">
        <v>413</v>
      </c>
      <c r="H534" s="19">
        <v>4</v>
      </c>
      <c r="I534" s="41">
        <v>267</v>
      </c>
      <c r="J534" s="42"/>
      <c r="K534" s="43"/>
      <c r="L534" s="19"/>
      <c r="M534" s="43"/>
      <c r="N534" s="44"/>
      <c r="O534" s="45">
        <f t="shared" si="314"/>
        <v>267</v>
      </c>
      <c r="P534" s="51"/>
      <c r="Q534" s="51"/>
      <c r="R534" s="74">
        <f t="shared" si="320"/>
        <v>188.574845060153</v>
      </c>
      <c r="S534" s="74"/>
      <c r="T534" s="75">
        <f t="shared" si="321"/>
        <v>0.284739336492891</v>
      </c>
      <c r="U534" s="74"/>
      <c r="V534" s="74"/>
      <c r="W534" s="76">
        <f t="shared" si="318"/>
        <v>188.859584396646</v>
      </c>
      <c r="X534" s="77">
        <f t="shared" si="322"/>
        <v>3.14735690849435</v>
      </c>
      <c r="Y534" s="77"/>
      <c r="Z534" s="77"/>
      <c r="AA534" s="77">
        <f t="shared" si="319"/>
        <v>3.14735690849435</v>
      </c>
      <c r="AB534" s="87">
        <v>7.26</v>
      </c>
      <c r="AC534" s="74">
        <f t="shared" si="315"/>
        <v>22.849811155669</v>
      </c>
      <c r="AD534" s="74">
        <f t="shared" si="316"/>
        <v>211.709395552315</v>
      </c>
      <c r="AE534" s="74">
        <f t="shared" si="317"/>
        <v>55.290604447685</v>
      </c>
    </row>
    <row r="535" customFormat="1" spans="1:31">
      <c r="A535" s="18"/>
      <c r="B535" s="19"/>
      <c r="C535" s="20">
        <v>240713000007</v>
      </c>
      <c r="D535" s="21">
        <v>45493</v>
      </c>
      <c r="E535" s="21" t="s">
        <v>47</v>
      </c>
      <c r="F535" s="19" t="s">
        <v>48</v>
      </c>
      <c r="G535" s="19" t="s">
        <v>159</v>
      </c>
      <c r="H535" s="19">
        <v>0.96</v>
      </c>
      <c r="I535" s="41">
        <v>75.9</v>
      </c>
      <c r="J535" s="42"/>
      <c r="K535" s="43"/>
      <c r="L535" s="19"/>
      <c r="M535" s="43"/>
      <c r="N535" s="44"/>
      <c r="O535" s="45">
        <f t="shared" si="314"/>
        <v>75.9</v>
      </c>
      <c r="P535" s="51"/>
      <c r="Q535" s="51"/>
      <c r="R535" s="74">
        <f t="shared" si="320"/>
        <v>45.2579628144367</v>
      </c>
      <c r="S535" s="74"/>
      <c r="T535" s="75">
        <f t="shared" si="321"/>
        <v>0.0683374407582938</v>
      </c>
      <c r="U535" s="74"/>
      <c r="V535" s="74"/>
      <c r="W535" s="76">
        <f t="shared" si="318"/>
        <v>45.326300255195</v>
      </c>
      <c r="X535" s="77">
        <f t="shared" si="322"/>
        <v>0.755365658038644</v>
      </c>
      <c r="Y535" s="77"/>
      <c r="Z535" s="77"/>
      <c r="AA535" s="77">
        <f t="shared" si="319"/>
        <v>0.755365658038644</v>
      </c>
      <c r="AB535" s="87">
        <v>7.26</v>
      </c>
      <c r="AC535" s="74">
        <f t="shared" si="315"/>
        <v>5.48395467736055</v>
      </c>
      <c r="AD535" s="74">
        <f t="shared" si="316"/>
        <v>50.8102549325556</v>
      </c>
      <c r="AE535" s="74">
        <f t="shared" si="317"/>
        <v>25.0897450674444</v>
      </c>
    </row>
    <row r="536" customFormat="1" spans="1:31">
      <c r="A536" s="18"/>
      <c r="B536" s="19"/>
      <c r="C536" s="20">
        <v>240713000009</v>
      </c>
      <c r="D536" s="21">
        <v>45493</v>
      </c>
      <c r="E536" s="21" t="s">
        <v>40</v>
      </c>
      <c r="F536" s="19" t="s">
        <v>41</v>
      </c>
      <c r="G536" s="19" t="s">
        <v>414</v>
      </c>
      <c r="H536" s="19">
        <v>24.5</v>
      </c>
      <c r="I536" s="47"/>
      <c r="J536" s="48">
        <v>332504</v>
      </c>
      <c r="K536" s="43"/>
      <c r="L536" s="49">
        <f t="shared" ref="L536:L542" si="323">SUM(J536/M536)</f>
        <v>1619.04854652578</v>
      </c>
      <c r="M536" s="50">
        <v>205.37</v>
      </c>
      <c r="N536" s="44">
        <v>7.26</v>
      </c>
      <c r="O536" s="45">
        <f>SUM(M536*N536)</f>
        <v>1490.9862</v>
      </c>
      <c r="P536" s="51"/>
      <c r="Q536" s="51"/>
      <c r="R536" s="74">
        <f t="shared" si="320"/>
        <v>1155.02092599344</v>
      </c>
      <c r="S536" s="74"/>
      <c r="T536" s="75">
        <f t="shared" si="321"/>
        <v>1.74402843601896</v>
      </c>
      <c r="U536" s="74"/>
      <c r="V536" s="74"/>
      <c r="W536" s="76">
        <f t="shared" si="318"/>
        <v>1156.76495442946</v>
      </c>
      <c r="X536" s="77">
        <f t="shared" si="322"/>
        <v>19.2775610645279</v>
      </c>
      <c r="Y536" s="77"/>
      <c r="Z536" s="77"/>
      <c r="AA536" s="77">
        <f t="shared" si="319"/>
        <v>19.2775610645279</v>
      </c>
      <c r="AB536" s="87">
        <v>7.26</v>
      </c>
      <c r="AC536" s="74">
        <f t="shared" si="315"/>
        <v>139.955093328472</v>
      </c>
      <c r="AD536" s="74">
        <f t="shared" si="316"/>
        <v>1296.72004775793</v>
      </c>
      <c r="AE536" s="74">
        <f t="shared" si="317"/>
        <v>194.266152242071</v>
      </c>
    </row>
    <row r="537" customFormat="1" spans="1:31">
      <c r="A537" s="18"/>
      <c r="B537" s="19"/>
      <c r="C537" s="20">
        <v>240713000011</v>
      </c>
      <c r="D537" s="21">
        <v>45493</v>
      </c>
      <c r="E537" s="21" t="s">
        <v>40</v>
      </c>
      <c r="F537" s="19" t="s">
        <v>41</v>
      </c>
      <c r="G537" s="19" t="s">
        <v>94</v>
      </c>
      <c r="H537" s="19">
        <v>6</v>
      </c>
      <c r="I537" s="47"/>
      <c r="J537" s="48">
        <v>85364.4</v>
      </c>
      <c r="K537" s="43"/>
      <c r="L537" s="49">
        <f t="shared" si="323"/>
        <v>1619.2033383915</v>
      </c>
      <c r="M537" s="50">
        <v>52.72</v>
      </c>
      <c r="N537" s="44">
        <v>7.26</v>
      </c>
      <c r="O537" s="45">
        <f>SUM(M537*N537)</f>
        <v>382.7472</v>
      </c>
      <c r="P537" s="51"/>
      <c r="Q537" s="51"/>
      <c r="R537" s="74">
        <f t="shared" si="320"/>
        <v>282.86226759023</v>
      </c>
      <c r="S537" s="74"/>
      <c r="T537" s="75">
        <f t="shared" si="321"/>
        <v>0.427109004739336</v>
      </c>
      <c r="U537" s="74"/>
      <c r="V537" s="74"/>
      <c r="W537" s="76">
        <f t="shared" si="318"/>
        <v>283.289376594969</v>
      </c>
      <c r="X537" s="77">
        <f t="shared" si="322"/>
        <v>4.72103536274152</v>
      </c>
      <c r="Y537" s="77"/>
      <c r="Z537" s="77"/>
      <c r="AA537" s="77">
        <f t="shared" si="319"/>
        <v>4.72103536274152</v>
      </c>
      <c r="AB537" s="87">
        <v>7.26</v>
      </c>
      <c r="AC537" s="74">
        <f t="shared" si="315"/>
        <v>34.2747167335035</v>
      </c>
      <c r="AD537" s="74">
        <f t="shared" si="316"/>
        <v>317.564093328472</v>
      </c>
      <c r="AE537" s="74">
        <f t="shared" si="317"/>
        <v>65.1831066715276</v>
      </c>
    </row>
    <row r="538" customFormat="1" spans="1:31">
      <c r="A538" s="18"/>
      <c r="B538" s="19"/>
      <c r="C538" s="20">
        <v>240714000002</v>
      </c>
      <c r="D538" s="21">
        <v>45493</v>
      </c>
      <c r="E538" s="21" t="s">
        <v>40</v>
      </c>
      <c r="F538" s="19" t="s">
        <v>41</v>
      </c>
      <c r="G538" s="19" t="s">
        <v>409</v>
      </c>
      <c r="H538" s="19">
        <v>4.5</v>
      </c>
      <c r="I538" s="41">
        <v>270</v>
      </c>
      <c r="J538" s="42"/>
      <c r="K538" s="43"/>
      <c r="L538" s="19"/>
      <c r="M538" s="43"/>
      <c r="N538" s="44"/>
      <c r="O538" s="45">
        <f t="shared" ref="O538:O540" si="324">SUM(I538)</f>
        <v>270</v>
      </c>
      <c r="P538" s="51"/>
      <c r="Q538" s="51"/>
      <c r="R538" s="74">
        <f t="shared" si="320"/>
        <v>212.146700692672</v>
      </c>
      <c r="S538" s="74"/>
      <c r="T538" s="75">
        <f t="shared" si="321"/>
        <v>0.320331753554502</v>
      </c>
      <c r="U538" s="74"/>
      <c r="V538" s="74"/>
      <c r="W538" s="76">
        <f t="shared" si="318"/>
        <v>212.467032446227</v>
      </c>
      <c r="X538" s="77">
        <f t="shared" si="322"/>
        <v>3.54077652205614</v>
      </c>
      <c r="Y538" s="77"/>
      <c r="Z538" s="77"/>
      <c r="AA538" s="77">
        <f t="shared" si="319"/>
        <v>3.54077652205614</v>
      </c>
      <c r="AB538" s="87">
        <v>7.26</v>
      </c>
      <c r="AC538" s="74">
        <f t="shared" si="315"/>
        <v>25.7060375501276</v>
      </c>
      <c r="AD538" s="74">
        <f t="shared" si="316"/>
        <v>238.173069996354</v>
      </c>
      <c r="AE538" s="74">
        <f t="shared" si="317"/>
        <v>31.8269300036456</v>
      </c>
    </row>
    <row r="539" customFormat="1" spans="1:31">
      <c r="A539" s="18"/>
      <c r="B539" s="19"/>
      <c r="C539" s="20">
        <v>240714000003</v>
      </c>
      <c r="D539" s="21">
        <v>45493</v>
      </c>
      <c r="E539" s="21" t="s">
        <v>40</v>
      </c>
      <c r="F539" s="19" t="s">
        <v>41</v>
      </c>
      <c r="G539" s="19" t="s">
        <v>415</v>
      </c>
      <c r="H539" s="19">
        <v>13.5</v>
      </c>
      <c r="I539" s="41">
        <v>877.5</v>
      </c>
      <c r="J539" s="42"/>
      <c r="K539" s="43"/>
      <c r="L539" s="19"/>
      <c r="M539" s="43"/>
      <c r="N539" s="44"/>
      <c r="O539" s="45">
        <f t="shared" si="324"/>
        <v>877.5</v>
      </c>
      <c r="P539" s="51"/>
      <c r="Q539" s="51"/>
      <c r="R539" s="74">
        <f t="shared" si="320"/>
        <v>636.440102078017</v>
      </c>
      <c r="S539" s="74"/>
      <c r="T539" s="75">
        <f t="shared" si="321"/>
        <v>0.960995260663507</v>
      </c>
      <c r="U539" s="74"/>
      <c r="V539" s="74"/>
      <c r="W539" s="76">
        <f t="shared" si="318"/>
        <v>637.40109733868</v>
      </c>
      <c r="X539" s="77">
        <f t="shared" si="322"/>
        <v>10.6223295661684</v>
      </c>
      <c r="Y539" s="77"/>
      <c r="Z539" s="77"/>
      <c r="AA539" s="77">
        <f t="shared" si="319"/>
        <v>10.6223295661684</v>
      </c>
      <c r="AB539" s="87">
        <v>7.26</v>
      </c>
      <c r="AC539" s="74">
        <f t="shared" si="315"/>
        <v>77.1181126503828</v>
      </c>
      <c r="AD539" s="74">
        <f t="shared" si="316"/>
        <v>714.519209989063</v>
      </c>
      <c r="AE539" s="74">
        <f t="shared" si="317"/>
        <v>162.980790010937</v>
      </c>
    </row>
    <row r="540" customFormat="1" spans="1:31">
      <c r="A540" s="18"/>
      <c r="B540" s="19"/>
      <c r="C540" s="20">
        <v>240714000008</v>
      </c>
      <c r="D540" s="21">
        <v>45493</v>
      </c>
      <c r="E540" s="21" t="s">
        <v>40</v>
      </c>
      <c r="F540" s="19" t="s">
        <v>41</v>
      </c>
      <c r="G540" s="19" t="s">
        <v>416</v>
      </c>
      <c r="H540" s="19">
        <v>0.67</v>
      </c>
      <c r="I540" s="41">
        <v>75.9</v>
      </c>
      <c r="J540" s="42"/>
      <c r="K540" s="43"/>
      <c r="L540" s="19"/>
      <c r="M540" s="43"/>
      <c r="N540" s="44"/>
      <c r="O540" s="45">
        <f t="shared" si="324"/>
        <v>75.9</v>
      </c>
      <c r="P540" s="51"/>
      <c r="Q540" s="51"/>
      <c r="R540" s="74">
        <f t="shared" si="320"/>
        <v>31.5862865475756</v>
      </c>
      <c r="S540" s="74"/>
      <c r="T540" s="75">
        <f t="shared" si="321"/>
        <v>0.0476938388625592</v>
      </c>
      <c r="U540" s="74"/>
      <c r="V540" s="74"/>
      <c r="W540" s="76">
        <f t="shared" si="318"/>
        <v>31.6339803864382</v>
      </c>
      <c r="X540" s="77">
        <f t="shared" si="322"/>
        <v>0.527182282172803</v>
      </c>
      <c r="Y540" s="77"/>
      <c r="Z540" s="77"/>
      <c r="AA540" s="77">
        <f t="shared" si="319"/>
        <v>0.527182282172803</v>
      </c>
      <c r="AB540" s="87">
        <v>7.26</v>
      </c>
      <c r="AC540" s="74">
        <f t="shared" si="315"/>
        <v>3.82734336857455</v>
      </c>
      <c r="AD540" s="74">
        <f t="shared" si="316"/>
        <v>35.4613237550128</v>
      </c>
      <c r="AE540" s="74">
        <f t="shared" si="317"/>
        <v>40.4386762449872</v>
      </c>
    </row>
    <row r="541" customFormat="1" spans="1:31">
      <c r="A541" s="18"/>
      <c r="B541" s="19"/>
      <c r="C541" s="20">
        <v>240715000003</v>
      </c>
      <c r="D541" s="21">
        <v>45493</v>
      </c>
      <c r="E541" s="21" t="s">
        <v>58</v>
      </c>
      <c r="F541" s="19" t="s">
        <v>59</v>
      </c>
      <c r="G541" s="19" t="s">
        <v>417</v>
      </c>
      <c r="H541" s="19">
        <v>45.5</v>
      </c>
      <c r="I541" s="47">
        <v>-1287.5</v>
      </c>
      <c r="J541" s="48">
        <v>1176883</v>
      </c>
      <c r="K541" s="43"/>
      <c r="L541" s="49">
        <f t="shared" si="323"/>
        <v>1618.99933967974</v>
      </c>
      <c r="M541" s="50">
        <v>726.92</v>
      </c>
      <c r="N541" s="44">
        <v>7.26</v>
      </c>
      <c r="O541" s="45">
        <f>SUM(M541*N541+I541)</f>
        <v>3989.9392</v>
      </c>
      <c r="P541" s="51"/>
      <c r="Q541" s="51"/>
      <c r="R541" s="74">
        <f t="shared" si="320"/>
        <v>2145.03886255924</v>
      </c>
      <c r="S541" s="74"/>
      <c r="T541" s="75">
        <f t="shared" si="321"/>
        <v>3.23890995260663</v>
      </c>
      <c r="U541" s="74"/>
      <c r="V541" s="74"/>
      <c r="W541" s="76">
        <f t="shared" si="318"/>
        <v>2148.27777251185</v>
      </c>
      <c r="X541" s="77">
        <f t="shared" si="322"/>
        <v>35.8011848341232</v>
      </c>
      <c r="Y541" s="77"/>
      <c r="Z541" s="77"/>
      <c r="AA541" s="77">
        <f t="shared" si="319"/>
        <v>35.8011848341232</v>
      </c>
      <c r="AB541" s="87">
        <v>7.26</v>
      </c>
      <c r="AC541" s="74">
        <f t="shared" si="315"/>
        <v>259.916601895735</v>
      </c>
      <c r="AD541" s="74">
        <f t="shared" si="316"/>
        <v>2408.19437440758</v>
      </c>
      <c r="AE541" s="74">
        <f t="shared" si="317"/>
        <v>1581.74482559242</v>
      </c>
    </row>
    <row r="542" customFormat="1" spans="1:31">
      <c r="A542" s="18"/>
      <c r="B542" s="19"/>
      <c r="C542" s="20">
        <v>240715000004</v>
      </c>
      <c r="D542" s="21">
        <v>45493</v>
      </c>
      <c r="E542" s="21" t="s">
        <v>58</v>
      </c>
      <c r="F542" s="19" t="s">
        <v>59</v>
      </c>
      <c r="G542" s="19" t="s">
        <v>120</v>
      </c>
      <c r="H542" s="19">
        <v>0.44</v>
      </c>
      <c r="I542" s="47"/>
      <c r="J542" s="48">
        <v>15456</v>
      </c>
      <c r="K542" s="43"/>
      <c r="L542" s="49">
        <f t="shared" si="323"/>
        <v>1620.12578616352</v>
      </c>
      <c r="M542" s="50">
        <v>9.54</v>
      </c>
      <c r="N542" s="44">
        <v>7.26</v>
      </c>
      <c r="O542" s="45">
        <f>SUM(M542*N542+I542)</f>
        <v>69.2604</v>
      </c>
      <c r="P542" s="51"/>
      <c r="Q542" s="51"/>
      <c r="R542" s="74">
        <f t="shared" si="320"/>
        <v>20.7432329566168</v>
      </c>
      <c r="S542" s="74"/>
      <c r="T542" s="75">
        <f t="shared" si="321"/>
        <v>0.031321327014218</v>
      </c>
      <c r="U542" s="74"/>
      <c r="V542" s="74"/>
      <c r="W542" s="76">
        <f t="shared" si="318"/>
        <v>20.7745542836311</v>
      </c>
      <c r="X542" s="77">
        <f t="shared" si="322"/>
        <v>0.346209259934378</v>
      </c>
      <c r="Y542" s="77"/>
      <c r="Z542" s="77"/>
      <c r="AA542" s="77">
        <f t="shared" si="319"/>
        <v>0.346209259934378</v>
      </c>
      <c r="AB542" s="87">
        <v>7.26</v>
      </c>
      <c r="AC542" s="74">
        <f t="shared" si="315"/>
        <v>2.51347922712359</v>
      </c>
      <c r="AD542" s="74">
        <f t="shared" si="316"/>
        <v>23.2880335107546</v>
      </c>
      <c r="AE542" s="74">
        <f t="shared" si="317"/>
        <v>45.9723664892454</v>
      </c>
    </row>
    <row r="543" customFormat="1" spans="1:31">
      <c r="A543" s="18"/>
      <c r="B543" s="19"/>
      <c r="C543" s="20">
        <v>240715000009</v>
      </c>
      <c r="D543" s="21">
        <v>45493</v>
      </c>
      <c r="E543" s="21" t="s">
        <v>58</v>
      </c>
      <c r="F543" s="19" t="s">
        <v>59</v>
      </c>
      <c r="G543" s="19" t="s">
        <v>234</v>
      </c>
      <c r="H543" s="19">
        <v>11.5</v>
      </c>
      <c r="I543" s="41">
        <v>804</v>
      </c>
      <c r="J543" s="42"/>
      <c r="K543" s="43"/>
      <c r="L543" s="19"/>
      <c r="M543" s="43"/>
      <c r="N543" s="44"/>
      <c r="O543" s="45">
        <f t="shared" ref="O543:O550" si="325">SUM(I543)</f>
        <v>804</v>
      </c>
      <c r="P543" s="51"/>
      <c r="Q543" s="51"/>
      <c r="R543" s="74">
        <f t="shared" si="320"/>
        <v>542.15267954794</v>
      </c>
      <c r="S543" s="74"/>
      <c r="T543" s="75">
        <f t="shared" si="321"/>
        <v>0.818625592417062</v>
      </c>
      <c r="U543" s="74"/>
      <c r="V543" s="74"/>
      <c r="W543" s="76">
        <f t="shared" si="318"/>
        <v>542.971305140357</v>
      </c>
      <c r="X543" s="77">
        <f t="shared" si="322"/>
        <v>9.04865111192125</v>
      </c>
      <c r="Y543" s="77"/>
      <c r="Z543" s="77"/>
      <c r="AA543" s="77">
        <f t="shared" si="319"/>
        <v>9.04865111192125</v>
      </c>
      <c r="AB543" s="87">
        <v>7.26</v>
      </c>
      <c r="AC543" s="74">
        <f t="shared" si="315"/>
        <v>65.6932070725483</v>
      </c>
      <c r="AD543" s="74">
        <f t="shared" si="316"/>
        <v>608.664512212906</v>
      </c>
      <c r="AE543" s="74">
        <f t="shared" si="317"/>
        <v>195.335487787094</v>
      </c>
    </row>
    <row r="544" customFormat="1" spans="1:31">
      <c r="A544" s="18"/>
      <c r="B544" s="19"/>
      <c r="C544" s="22">
        <v>240715000013</v>
      </c>
      <c r="D544" s="23">
        <v>45493</v>
      </c>
      <c r="E544" s="21" t="s">
        <v>40</v>
      </c>
      <c r="F544" s="24" t="s">
        <v>41</v>
      </c>
      <c r="G544" s="24" t="s">
        <v>192</v>
      </c>
      <c r="H544" s="24">
        <v>12</v>
      </c>
      <c r="I544" s="41">
        <v>800</v>
      </c>
      <c r="J544" s="42"/>
      <c r="K544" s="43"/>
      <c r="L544" s="19"/>
      <c r="M544" s="43"/>
      <c r="N544" s="44"/>
      <c r="O544" s="45">
        <f t="shared" si="325"/>
        <v>800</v>
      </c>
      <c r="P544" s="51"/>
      <c r="Q544" s="51"/>
      <c r="R544" s="74">
        <f t="shared" si="320"/>
        <v>565.724535180459</v>
      </c>
      <c r="S544" s="74"/>
      <c r="T544" s="75">
        <f t="shared" si="321"/>
        <v>0.854218009478673</v>
      </c>
      <c r="U544" s="74"/>
      <c r="V544" s="74"/>
      <c r="W544" s="76">
        <f t="shared" si="318"/>
        <v>566.578753189938</v>
      </c>
      <c r="X544" s="77">
        <f t="shared" si="322"/>
        <v>9.44207072548305</v>
      </c>
      <c r="Y544" s="77"/>
      <c r="Z544" s="77"/>
      <c r="AA544" s="77">
        <f t="shared" si="319"/>
        <v>9.44207072548305</v>
      </c>
      <c r="AB544" s="87">
        <v>7.26</v>
      </c>
      <c r="AC544" s="74">
        <f t="shared" si="315"/>
        <v>68.5494334670069</v>
      </c>
      <c r="AD544" s="74">
        <f t="shared" si="316"/>
        <v>635.128186656945</v>
      </c>
      <c r="AE544" s="74">
        <f t="shared" si="317"/>
        <v>164.871813343055</v>
      </c>
    </row>
    <row r="545" customFormat="1" spans="1:31">
      <c r="A545" s="18"/>
      <c r="B545" s="19"/>
      <c r="C545" s="20">
        <v>240715000017</v>
      </c>
      <c r="D545" s="21">
        <v>45493</v>
      </c>
      <c r="E545" s="21" t="s">
        <v>58</v>
      </c>
      <c r="F545" s="19" t="s">
        <v>59</v>
      </c>
      <c r="G545" s="19" t="s">
        <v>146</v>
      </c>
      <c r="H545" s="19">
        <v>18</v>
      </c>
      <c r="I545" s="41">
        <v>1135</v>
      </c>
      <c r="J545" s="42"/>
      <c r="K545" s="43"/>
      <c r="L545" s="19"/>
      <c r="M545" s="43"/>
      <c r="N545" s="44"/>
      <c r="O545" s="45">
        <f t="shared" si="325"/>
        <v>1135</v>
      </c>
      <c r="P545" s="51"/>
      <c r="Q545" s="51"/>
      <c r="R545" s="74">
        <f t="shared" si="320"/>
        <v>848.586802770689</v>
      </c>
      <c r="S545" s="74"/>
      <c r="T545" s="75">
        <f t="shared" si="321"/>
        <v>1.28132701421801</v>
      </c>
      <c r="U545" s="74"/>
      <c r="V545" s="74"/>
      <c r="W545" s="76">
        <f t="shared" si="318"/>
        <v>849.868129784907</v>
      </c>
      <c r="X545" s="77">
        <f t="shared" si="322"/>
        <v>14.1631060882246</v>
      </c>
      <c r="Y545" s="77"/>
      <c r="Z545" s="77"/>
      <c r="AA545" s="77">
        <f t="shared" si="319"/>
        <v>14.1631060882246</v>
      </c>
      <c r="AB545" s="87">
        <v>7.26</v>
      </c>
      <c r="AC545" s="74">
        <f t="shared" si="315"/>
        <v>102.82415020051</v>
      </c>
      <c r="AD545" s="74">
        <f t="shared" si="316"/>
        <v>952.692279985417</v>
      </c>
      <c r="AE545" s="74">
        <f t="shared" si="317"/>
        <v>182.307720014583</v>
      </c>
    </row>
    <row r="546" customFormat="1" spans="1:31">
      <c r="A546" s="18"/>
      <c r="B546" s="19"/>
      <c r="C546" s="20">
        <v>240715000022</v>
      </c>
      <c r="D546" s="21">
        <v>45493</v>
      </c>
      <c r="E546" s="21" t="s">
        <v>58</v>
      </c>
      <c r="F546" s="19" t="s">
        <v>59</v>
      </c>
      <c r="G546" s="19" t="s">
        <v>418</v>
      </c>
      <c r="H546" s="19">
        <v>199</v>
      </c>
      <c r="I546" s="41">
        <v>11940</v>
      </c>
      <c r="J546" s="42"/>
      <c r="K546" s="43"/>
      <c r="L546" s="19"/>
      <c r="M546" s="43"/>
      <c r="N546" s="44"/>
      <c r="O546" s="45">
        <f t="shared" si="325"/>
        <v>11940</v>
      </c>
      <c r="P546" s="51"/>
      <c r="Q546" s="51"/>
      <c r="R546" s="74">
        <f t="shared" si="320"/>
        <v>9381.59854174262</v>
      </c>
      <c r="S546" s="74"/>
      <c r="T546" s="75">
        <f t="shared" si="321"/>
        <v>14.1657819905213</v>
      </c>
      <c r="U546" s="74"/>
      <c r="V546" s="74"/>
      <c r="W546" s="76">
        <f t="shared" si="318"/>
        <v>9395.76432373314</v>
      </c>
      <c r="X546" s="77">
        <f t="shared" si="322"/>
        <v>156.581006197594</v>
      </c>
      <c r="Y546" s="77"/>
      <c r="Z546" s="77"/>
      <c r="AA546" s="77">
        <f t="shared" si="319"/>
        <v>156.581006197594</v>
      </c>
      <c r="AB546" s="87">
        <v>7.26</v>
      </c>
      <c r="AC546" s="74">
        <f t="shared" si="315"/>
        <v>1136.77810499453</v>
      </c>
      <c r="AD546" s="74">
        <f t="shared" si="316"/>
        <v>10532.5424287277</v>
      </c>
      <c r="AE546" s="74">
        <f t="shared" si="317"/>
        <v>1407.45757127233</v>
      </c>
    </row>
    <row r="547" customFormat="1" spans="1:31">
      <c r="A547" s="18"/>
      <c r="B547" s="19"/>
      <c r="C547" s="20">
        <v>240715000030</v>
      </c>
      <c r="D547" s="21">
        <v>45493</v>
      </c>
      <c r="E547" s="21" t="s">
        <v>47</v>
      </c>
      <c r="F547" s="19" t="s">
        <v>48</v>
      </c>
      <c r="G547" s="19" t="s">
        <v>107</v>
      </c>
      <c r="H547" s="19">
        <v>16</v>
      </c>
      <c r="I547" s="41">
        <v>1115</v>
      </c>
      <c r="J547" s="42"/>
      <c r="K547" s="43"/>
      <c r="L547" s="19"/>
      <c r="M547" s="43"/>
      <c r="N547" s="44"/>
      <c r="O547" s="45">
        <f t="shared" si="325"/>
        <v>1115</v>
      </c>
      <c r="P547" s="51"/>
      <c r="Q547" s="51"/>
      <c r="R547" s="74">
        <f t="shared" si="320"/>
        <v>754.299380240612</v>
      </c>
      <c r="S547" s="74"/>
      <c r="T547" s="75">
        <f t="shared" si="321"/>
        <v>1.13895734597156</v>
      </c>
      <c r="U547" s="74"/>
      <c r="V547" s="74"/>
      <c r="W547" s="76">
        <f t="shared" si="318"/>
        <v>755.438337586584</v>
      </c>
      <c r="X547" s="77">
        <f t="shared" si="322"/>
        <v>12.5894276339774</v>
      </c>
      <c r="Y547" s="77"/>
      <c r="Z547" s="77"/>
      <c r="AA547" s="77">
        <f t="shared" si="319"/>
        <v>12.5894276339774</v>
      </c>
      <c r="AB547" s="87">
        <v>7.26</v>
      </c>
      <c r="AC547" s="74">
        <f t="shared" si="315"/>
        <v>91.3992446226759</v>
      </c>
      <c r="AD547" s="74">
        <f t="shared" si="316"/>
        <v>846.83758220926</v>
      </c>
      <c r="AE547" s="74">
        <f t="shared" si="317"/>
        <v>268.16241779074</v>
      </c>
    </row>
    <row r="548" customFormat="1" spans="1:31">
      <c r="A548" s="18"/>
      <c r="B548" s="19"/>
      <c r="C548" s="20">
        <v>240715000031</v>
      </c>
      <c r="D548" s="21">
        <v>45493</v>
      </c>
      <c r="E548" s="21" t="s">
        <v>58</v>
      </c>
      <c r="F548" s="19" t="s">
        <v>59</v>
      </c>
      <c r="G548" s="19" t="s">
        <v>419</v>
      </c>
      <c r="H548" s="19">
        <v>11</v>
      </c>
      <c r="I548" s="41">
        <v>693</v>
      </c>
      <c r="J548" s="42"/>
      <c r="K548" s="43"/>
      <c r="L548" s="19"/>
      <c r="M548" s="43"/>
      <c r="N548" s="44"/>
      <c r="O548" s="45">
        <f t="shared" si="325"/>
        <v>693</v>
      </c>
      <c r="P548" s="51"/>
      <c r="Q548" s="51"/>
      <c r="R548" s="74">
        <f t="shared" si="320"/>
        <v>518.580823915421</v>
      </c>
      <c r="S548" s="74"/>
      <c r="T548" s="75">
        <f t="shared" si="321"/>
        <v>0.78303317535545</v>
      </c>
      <c r="U548" s="74"/>
      <c r="V548" s="74"/>
      <c r="W548" s="76">
        <f t="shared" si="318"/>
        <v>519.363857090776</v>
      </c>
      <c r="X548" s="77">
        <f t="shared" si="322"/>
        <v>8.65523149835946</v>
      </c>
      <c r="Y548" s="77"/>
      <c r="Z548" s="77"/>
      <c r="AA548" s="77">
        <f t="shared" si="319"/>
        <v>8.65523149835946</v>
      </c>
      <c r="AB548" s="87">
        <v>7.26</v>
      </c>
      <c r="AC548" s="74">
        <f t="shared" si="315"/>
        <v>62.8369806780897</v>
      </c>
      <c r="AD548" s="74">
        <f t="shared" si="316"/>
        <v>582.200837768866</v>
      </c>
      <c r="AE548" s="74">
        <f t="shared" si="317"/>
        <v>110.799162231134</v>
      </c>
    </row>
    <row r="549" customFormat="1" spans="1:31">
      <c r="A549" s="18"/>
      <c r="B549" s="19"/>
      <c r="C549" s="20">
        <v>240715000034</v>
      </c>
      <c r="D549" s="21">
        <v>45493</v>
      </c>
      <c r="E549" s="21" t="s">
        <v>44</v>
      </c>
      <c r="F549" s="19" t="s">
        <v>45</v>
      </c>
      <c r="G549" s="19" t="s">
        <v>420</v>
      </c>
      <c r="H549" s="19">
        <v>8.5</v>
      </c>
      <c r="I549" s="41">
        <v>595.6</v>
      </c>
      <c r="J549" s="42"/>
      <c r="K549" s="43"/>
      <c r="L549" s="19"/>
      <c r="M549" s="43"/>
      <c r="N549" s="44"/>
      <c r="O549" s="45">
        <f t="shared" si="325"/>
        <v>595.6</v>
      </c>
      <c r="P549" s="51"/>
      <c r="Q549" s="51"/>
      <c r="R549" s="74">
        <f t="shared" si="320"/>
        <v>400.721545752825</v>
      </c>
      <c r="S549" s="74"/>
      <c r="T549" s="75">
        <f t="shared" si="321"/>
        <v>0.605071090047393</v>
      </c>
      <c r="U549" s="74"/>
      <c r="V549" s="74"/>
      <c r="W549" s="76">
        <f t="shared" si="318"/>
        <v>401.326616842873</v>
      </c>
      <c r="X549" s="77">
        <f t="shared" si="322"/>
        <v>6.68813343055049</v>
      </c>
      <c r="Y549" s="77"/>
      <c r="Z549" s="77"/>
      <c r="AA549" s="77">
        <f t="shared" si="319"/>
        <v>6.68813343055049</v>
      </c>
      <c r="AB549" s="87">
        <v>7.26</v>
      </c>
      <c r="AC549" s="74">
        <f t="shared" si="315"/>
        <v>48.5558487057966</v>
      </c>
      <c r="AD549" s="74">
        <f t="shared" si="316"/>
        <v>449.882465548669</v>
      </c>
      <c r="AE549" s="74">
        <f t="shared" si="317"/>
        <v>145.717534451331</v>
      </c>
    </row>
    <row r="550" customFormat="1" spans="1:31">
      <c r="A550" s="18"/>
      <c r="B550" s="19"/>
      <c r="C550" s="20">
        <v>240715000046</v>
      </c>
      <c r="D550" s="21">
        <v>45493</v>
      </c>
      <c r="E550" s="21" t="s">
        <v>47</v>
      </c>
      <c r="F550" s="19" t="s">
        <v>48</v>
      </c>
      <c r="G550" s="19" t="s">
        <v>50</v>
      </c>
      <c r="H550" s="19">
        <v>7</v>
      </c>
      <c r="I550" s="41">
        <v>491.7</v>
      </c>
      <c r="J550" s="42"/>
      <c r="K550" s="43"/>
      <c r="L550" s="19"/>
      <c r="M550" s="43"/>
      <c r="N550" s="44"/>
      <c r="O550" s="45">
        <f t="shared" si="325"/>
        <v>491.7</v>
      </c>
      <c r="P550" s="51"/>
      <c r="Q550" s="51"/>
      <c r="R550" s="74">
        <f t="shared" si="320"/>
        <v>330.005978855268</v>
      </c>
      <c r="S550" s="74"/>
      <c r="T550" s="75">
        <f t="shared" si="321"/>
        <v>0.498293838862559</v>
      </c>
      <c r="U550" s="74"/>
      <c r="V550" s="74"/>
      <c r="W550" s="76">
        <f t="shared" si="318"/>
        <v>330.50427269413</v>
      </c>
      <c r="X550" s="77">
        <f t="shared" si="322"/>
        <v>5.50787458986511</v>
      </c>
      <c r="Y550" s="77"/>
      <c r="Z550" s="77"/>
      <c r="AA550" s="77">
        <f t="shared" si="319"/>
        <v>5.50787458986511</v>
      </c>
      <c r="AB550" s="87">
        <v>7.26</v>
      </c>
      <c r="AC550" s="74">
        <f t="shared" si="315"/>
        <v>39.9871695224207</v>
      </c>
      <c r="AD550" s="74">
        <f t="shared" si="316"/>
        <v>370.491442216551</v>
      </c>
      <c r="AE550" s="74">
        <f t="shared" si="317"/>
        <v>121.208557783449</v>
      </c>
    </row>
    <row r="551" customFormat="1" spans="1:31">
      <c r="A551" s="18"/>
      <c r="B551" s="19"/>
      <c r="C551" s="20">
        <v>240716000002</v>
      </c>
      <c r="D551" s="21">
        <v>45493</v>
      </c>
      <c r="E551" s="21" t="s">
        <v>40</v>
      </c>
      <c r="F551" s="19" t="s">
        <v>41</v>
      </c>
      <c r="G551" s="19" t="s">
        <v>400</v>
      </c>
      <c r="H551" s="19">
        <v>6.5</v>
      </c>
      <c r="I551" s="47"/>
      <c r="J551" s="48">
        <v>110250</v>
      </c>
      <c r="K551" s="43"/>
      <c r="L551" s="49">
        <f>SUM(J551/M551)</f>
        <v>1633.57534449548</v>
      </c>
      <c r="M551" s="50">
        <v>67.49</v>
      </c>
      <c r="N551" s="44">
        <v>7.26</v>
      </c>
      <c r="O551" s="45">
        <f>SUM(M551*N551+I551)</f>
        <v>489.9774</v>
      </c>
      <c r="P551" s="51"/>
      <c r="Q551" s="51"/>
      <c r="R551" s="74">
        <f t="shared" si="320"/>
        <v>306.434123222749</v>
      </c>
      <c r="S551" s="74"/>
      <c r="T551" s="75">
        <f t="shared" si="321"/>
        <v>0.462701421800948</v>
      </c>
      <c r="U551" s="74"/>
      <c r="V551" s="74"/>
      <c r="W551" s="76">
        <f t="shared" si="318"/>
        <v>306.89682464455</v>
      </c>
      <c r="X551" s="77">
        <f t="shared" si="322"/>
        <v>5.11445497630332</v>
      </c>
      <c r="Y551" s="77">
        <v>13</v>
      </c>
      <c r="Z551" s="77"/>
      <c r="AA551" s="77">
        <f t="shared" si="319"/>
        <v>18.1144549763033</v>
      </c>
      <c r="AB551" s="87">
        <v>7.26</v>
      </c>
      <c r="AC551" s="74">
        <f t="shared" si="315"/>
        <v>131.510943127962</v>
      </c>
      <c r="AD551" s="74">
        <f t="shared" si="316"/>
        <v>438.407767772512</v>
      </c>
      <c r="AE551" s="74">
        <f t="shared" si="317"/>
        <v>51.5696322274882</v>
      </c>
    </row>
    <row r="552" customFormat="1" spans="1:31">
      <c r="A552" s="18"/>
      <c r="B552" s="19"/>
      <c r="C552" s="20">
        <v>240716000003</v>
      </c>
      <c r="D552" s="21">
        <v>45493</v>
      </c>
      <c r="E552" s="21" t="s">
        <v>40</v>
      </c>
      <c r="F552" s="19" t="s">
        <v>41</v>
      </c>
      <c r="G552" s="19" t="s">
        <v>277</v>
      </c>
      <c r="H552" s="19">
        <v>5</v>
      </c>
      <c r="I552" s="41">
        <v>300</v>
      </c>
      <c r="J552" s="42"/>
      <c r="K552" s="43"/>
      <c r="L552" s="19"/>
      <c r="M552" s="43"/>
      <c r="N552" s="44"/>
      <c r="O552" s="45">
        <f t="shared" ref="O552:O557" si="326">SUM(I552)</f>
        <v>300</v>
      </c>
      <c r="P552" s="51"/>
      <c r="Q552" s="51"/>
      <c r="R552" s="74">
        <f t="shared" si="320"/>
        <v>235.718556325191</v>
      </c>
      <c r="S552" s="74"/>
      <c r="T552" s="75">
        <f t="shared" si="321"/>
        <v>0.355924170616114</v>
      </c>
      <c r="U552" s="74"/>
      <c r="V552" s="74"/>
      <c r="W552" s="76">
        <f t="shared" si="318"/>
        <v>236.074480495808</v>
      </c>
      <c r="X552" s="77">
        <f t="shared" si="322"/>
        <v>3.93419613561794</v>
      </c>
      <c r="Y552" s="77"/>
      <c r="Z552" s="77"/>
      <c r="AA552" s="77">
        <f t="shared" si="319"/>
        <v>3.93419613561794</v>
      </c>
      <c r="AB552" s="87">
        <v>7.26</v>
      </c>
      <c r="AC552" s="74">
        <f t="shared" ref="AC552:AC568" si="327">SUM(AA552*AB552)</f>
        <v>28.5622639445862</v>
      </c>
      <c r="AD552" s="74">
        <f t="shared" ref="AD552:AD568" si="328">SUM(W552+AC552)</f>
        <v>264.636744440394</v>
      </c>
      <c r="AE552" s="74">
        <f t="shared" ref="AE552:AE568" si="329">SUM(O552-AD552)</f>
        <v>35.3632555596063</v>
      </c>
    </row>
    <row r="553" customFormat="1" spans="1:31">
      <c r="A553" s="18"/>
      <c r="B553" s="19"/>
      <c r="C553" s="20">
        <v>240716000004</v>
      </c>
      <c r="D553" s="21">
        <v>45493</v>
      </c>
      <c r="E553" s="21" t="s">
        <v>58</v>
      </c>
      <c r="F553" s="19" t="s">
        <v>59</v>
      </c>
      <c r="G553" s="19" t="s">
        <v>234</v>
      </c>
      <c r="H553" s="19">
        <v>0.7</v>
      </c>
      <c r="I553" s="41">
        <v>76</v>
      </c>
      <c r="J553" s="42"/>
      <c r="K553" s="43"/>
      <c r="L553" s="19"/>
      <c r="M553" s="43"/>
      <c r="N553" s="44"/>
      <c r="O553" s="45">
        <f t="shared" si="326"/>
        <v>76</v>
      </c>
      <c r="P553" s="51"/>
      <c r="Q553" s="51"/>
      <c r="R553" s="74">
        <f t="shared" si="320"/>
        <v>33.0005978855268</v>
      </c>
      <c r="S553" s="74"/>
      <c r="T553" s="75">
        <f t="shared" si="321"/>
        <v>0.0498293838862559</v>
      </c>
      <c r="U553" s="74"/>
      <c r="V553" s="74"/>
      <c r="W553" s="76">
        <f t="shared" si="318"/>
        <v>33.050427269413</v>
      </c>
      <c r="X553" s="77">
        <f t="shared" si="322"/>
        <v>0.550787458986511</v>
      </c>
      <c r="Y553" s="77"/>
      <c r="Z553" s="77"/>
      <c r="AA553" s="77">
        <f t="shared" si="319"/>
        <v>0.550787458986511</v>
      </c>
      <c r="AB553" s="87">
        <v>7.26</v>
      </c>
      <c r="AC553" s="74">
        <f t="shared" si="327"/>
        <v>3.99871695224207</v>
      </c>
      <c r="AD553" s="74">
        <f t="shared" si="328"/>
        <v>37.0491442216551</v>
      </c>
      <c r="AE553" s="74">
        <f t="shared" si="329"/>
        <v>38.9508557783449</v>
      </c>
    </row>
    <row r="554" customFormat="1" spans="1:31">
      <c r="A554" s="18"/>
      <c r="B554" s="19"/>
      <c r="C554" s="20">
        <v>240716000013</v>
      </c>
      <c r="D554" s="21">
        <v>45493</v>
      </c>
      <c r="E554" s="21" t="s">
        <v>40</v>
      </c>
      <c r="F554" s="19" t="s">
        <v>41</v>
      </c>
      <c r="G554" s="19" t="s">
        <v>139</v>
      </c>
      <c r="H554" s="19">
        <v>5</v>
      </c>
      <c r="I554" s="47"/>
      <c r="J554" s="48">
        <v>74750</v>
      </c>
      <c r="K554" s="43"/>
      <c r="L554" s="49">
        <f>SUM(J554/M554)</f>
        <v>1670.01787310098</v>
      </c>
      <c r="M554" s="50">
        <v>44.76</v>
      </c>
      <c r="N554" s="44">
        <v>7.26</v>
      </c>
      <c r="O554" s="45">
        <f>SUM(M554*N554+I554)</f>
        <v>324.9576</v>
      </c>
      <c r="P554" s="51"/>
      <c r="Q554" s="51"/>
      <c r="R554" s="74">
        <f t="shared" si="320"/>
        <v>235.718556325191</v>
      </c>
      <c r="S554" s="74"/>
      <c r="T554" s="75">
        <f t="shared" si="321"/>
        <v>0.355924170616114</v>
      </c>
      <c r="U554" s="74"/>
      <c r="V554" s="74"/>
      <c r="W554" s="76">
        <f t="shared" si="318"/>
        <v>236.074480495808</v>
      </c>
      <c r="X554" s="77">
        <f t="shared" si="322"/>
        <v>3.93419613561794</v>
      </c>
      <c r="Y554" s="77"/>
      <c r="Z554" s="77"/>
      <c r="AA554" s="77">
        <f t="shared" si="319"/>
        <v>3.93419613561794</v>
      </c>
      <c r="AB554" s="87">
        <v>7.26</v>
      </c>
      <c r="AC554" s="74">
        <f t="shared" si="327"/>
        <v>28.5622639445862</v>
      </c>
      <c r="AD554" s="74">
        <f t="shared" si="328"/>
        <v>264.636744440394</v>
      </c>
      <c r="AE554" s="74">
        <f t="shared" si="329"/>
        <v>60.3208555596063</v>
      </c>
    </row>
    <row r="555" customFormat="1" spans="1:31">
      <c r="A555" s="18"/>
      <c r="B555" s="19"/>
      <c r="C555" s="20">
        <v>240716000017</v>
      </c>
      <c r="D555" s="21">
        <v>45493</v>
      </c>
      <c r="E555" s="21" t="s">
        <v>47</v>
      </c>
      <c r="F555" s="19" t="s">
        <v>48</v>
      </c>
      <c r="G555" s="19" t="s">
        <v>421</v>
      </c>
      <c r="H555" s="19">
        <v>11</v>
      </c>
      <c r="I555" s="41">
        <v>769</v>
      </c>
      <c r="J555" s="42"/>
      <c r="K555" s="43"/>
      <c r="L555" s="19"/>
      <c r="M555" s="43"/>
      <c r="N555" s="44"/>
      <c r="O555" s="45">
        <f t="shared" si="326"/>
        <v>769</v>
      </c>
      <c r="P555" s="51"/>
      <c r="Q555" s="51"/>
      <c r="R555" s="74">
        <f t="shared" si="320"/>
        <v>518.580823915421</v>
      </c>
      <c r="S555" s="74"/>
      <c r="T555" s="75">
        <f t="shared" si="321"/>
        <v>0.78303317535545</v>
      </c>
      <c r="U555" s="74"/>
      <c r="V555" s="74"/>
      <c r="W555" s="76">
        <f t="shared" si="318"/>
        <v>519.363857090776</v>
      </c>
      <c r="X555" s="77">
        <f t="shared" si="322"/>
        <v>8.65523149835946</v>
      </c>
      <c r="Y555" s="77"/>
      <c r="Z555" s="77"/>
      <c r="AA555" s="77">
        <f t="shared" si="319"/>
        <v>8.65523149835946</v>
      </c>
      <c r="AB555" s="87">
        <v>7.26</v>
      </c>
      <c r="AC555" s="74">
        <f t="shared" si="327"/>
        <v>62.8369806780897</v>
      </c>
      <c r="AD555" s="74">
        <f t="shared" si="328"/>
        <v>582.200837768866</v>
      </c>
      <c r="AE555" s="74">
        <f t="shared" si="329"/>
        <v>186.799162231134</v>
      </c>
    </row>
    <row r="556" customFormat="1" spans="1:31">
      <c r="A556" s="18"/>
      <c r="B556" s="19"/>
      <c r="C556" s="20">
        <v>240716000027</v>
      </c>
      <c r="D556" s="21">
        <v>45493</v>
      </c>
      <c r="E556" s="21" t="s">
        <v>37</v>
      </c>
      <c r="F556" s="19" t="s">
        <v>37</v>
      </c>
      <c r="G556" s="19" t="s">
        <v>149</v>
      </c>
      <c r="H556" s="19">
        <v>686.5</v>
      </c>
      <c r="I556" s="41">
        <v>36910.5</v>
      </c>
      <c r="J556" s="42"/>
      <c r="K556" s="43"/>
      <c r="L556" s="19"/>
      <c r="M556" s="43"/>
      <c r="N556" s="44"/>
      <c r="O556" s="45">
        <f t="shared" si="326"/>
        <v>36910.5</v>
      </c>
      <c r="P556" s="51"/>
      <c r="Q556" s="51"/>
      <c r="R556" s="74">
        <f t="shared" si="320"/>
        <v>32364.1577834488</v>
      </c>
      <c r="S556" s="74"/>
      <c r="T556" s="75">
        <f t="shared" si="321"/>
        <v>48.8683886255924</v>
      </c>
      <c r="U556" s="74"/>
      <c r="V556" s="74"/>
      <c r="W556" s="76">
        <f t="shared" si="318"/>
        <v>32413.0261720744</v>
      </c>
      <c r="X556" s="77">
        <f t="shared" si="322"/>
        <v>540.165129420343</v>
      </c>
      <c r="Y556" s="77"/>
      <c r="Z556" s="77"/>
      <c r="AA556" s="77">
        <f t="shared" si="319"/>
        <v>540.165129420343</v>
      </c>
      <c r="AB556" s="87">
        <v>7.26</v>
      </c>
      <c r="AC556" s="74">
        <f t="shared" si="327"/>
        <v>3921.59883959169</v>
      </c>
      <c r="AD556" s="74">
        <f t="shared" si="328"/>
        <v>36334.6250116661</v>
      </c>
      <c r="AE556" s="74">
        <f t="shared" si="329"/>
        <v>575.874988333941</v>
      </c>
    </row>
    <row r="557" customFormat="1" spans="1:31">
      <c r="A557" s="18"/>
      <c r="B557" s="19"/>
      <c r="C557" s="20">
        <v>240716000028</v>
      </c>
      <c r="D557" s="21">
        <v>45493</v>
      </c>
      <c r="E557" s="21" t="s">
        <v>37</v>
      </c>
      <c r="F557" s="19" t="s">
        <v>37</v>
      </c>
      <c r="G557" s="19" t="s">
        <v>148</v>
      </c>
      <c r="H557" s="19">
        <v>1198</v>
      </c>
      <c r="I557" s="41">
        <v>62296</v>
      </c>
      <c r="J557" s="42"/>
      <c r="K557" s="43"/>
      <c r="L557" s="19"/>
      <c r="M557" s="43"/>
      <c r="N557" s="44"/>
      <c r="O557" s="45">
        <f t="shared" si="326"/>
        <v>62296</v>
      </c>
      <c r="P557" s="51"/>
      <c r="Q557" s="51"/>
      <c r="R557" s="74">
        <f t="shared" si="320"/>
        <v>56478.1660955159</v>
      </c>
      <c r="S557" s="74"/>
      <c r="T557" s="75">
        <f t="shared" si="321"/>
        <v>85.2794312796208</v>
      </c>
      <c r="U557" s="74"/>
      <c r="V557" s="74"/>
      <c r="W557" s="76">
        <f t="shared" si="318"/>
        <v>56563.4455267955</v>
      </c>
      <c r="X557" s="77">
        <f t="shared" si="322"/>
        <v>942.633394094058</v>
      </c>
      <c r="Y557" s="77"/>
      <c r="Z557" s="77"/>
      <c r="AA557" s="77">
        <f t="shared" si="319"/>
        <v>942.633394094058</v>
      </c>
      <c r="AB557" s="87">
        <v>7.26</v>
      </c>
      <c r="AC557" s="74">
        <f t="shared" si="327"/>
        <v>6843.51844112286</v>
      </c>
      <c r="AD557" s="74">
        <f t="shared" si="328"/>
        <v>63406.9639679183</v>
      </c>
      <c r="AE557" s="74">
        <f t="shared" si="329"/>
        <v>-1110.96396791833</v>
      </c>
    </row>
    <row r="558" customFormat="1" spans="1:31">
      <c r="A558" s="18"/>
      <c r="B558" s="19"/>
      <c r="C558" s="20">
        <v>240716000031</v>
      </c>
      <c r="D558" s="21">
        <v>45493</v>
      </c>
      <c r="E558" s="21" t="s">
        <v>40</v>
      </c>
      <c r="F558" s="19" t="s">
        <v>41</v>
      </c>
      <c r="G558" s="19" t="s">
        <v>392</v>
      </c>
      <c r="H558" s="19">
        <v>25.5</v>
      </c>
      <c r="I558" s="47"/>
      <c r="J558" s="48">
        <v>306240</v>
      </c>
      <c r="K558" s="43"/>
      <c r="L558" s="49">
        <f>SUM(J558/M558)</f>
        <v>1597.24612736661</v>
      </c>
      <c r="M558" s="50">
        <v>191.73</v>
      </c>
      <c r="N558" s="44">
        <v>7.26</v>
      </c>
      <c r="O558" s="45">
        <f>SUM(M558*N558)</f>
        <v>1391.9598</v>
      </c>
      <c r="P558" s="51"/>
      <c r="Q558" s="51"/>
      <c r="R558" s="74">
        <f t="shared" si="320"/>
        <v>1202.16463725848</v>
      </c>
      <c r="S558" s="74"/>
      <c r="T558" s="75">
        <f t="shared" si="321"/>
        <v>1.81521327014218</v>
      </c>
      <c r="U558" s="74"/>
      <c r="V558" s="74"/>
      <c r="W558" s="76">
        <f t="shared" si="318"/>
        <v>1203.97985052862</v>
      </c>
      <c r="X558" s="77">
        <f t="shared" si="322"/>
        <v>20.0644002916515</v>
      </c>
      <c r="Y558" s="77"/>
      <c r="Z558" s="77"/>
      <c r="AA558" s="77">
        <f t="shared" si="319"/>
        <v>20.0644002916515</v>
      </c>
      <c r="AB558" s="87">
        <v>7.26</v>
      </c>
      <c r="AC558" s="74">
        <f t="shared" si="327"/>
        <v>145.66754611739</v>
      </c>
      <c r="AD558" s="74">
        <f t="shared" si="328"/>
        <v>1349.64739664601</v>
      </c>
      <c r="AE558" s="74">
        <f t="shared" si="329"/>
        <v>42.3124033539923</v>
      </c>
    </row>
    <row r="559" customFormat="1" spans="1:31">
      <c r="A559" s="18"/>
      <c r="B559" s="19"/>
      <c r="C559" s="20">
        <v>240716000035</v>
      </c>
      <c r="D559" s="21">
        <v>45493</v>
      </c>
      <c r="E559" s="21" t="s">
        <v>44</v>
      </c>
      <c r="F559" s="19" t="s">
        <v>45</v>
      </c>
      <c r="G559" s="19" t="s">
        <v>263</v>
      </c>
      <c r="H559" s="19">
        <v>37</v>
      </c>
      <c r="I559" s="41">
        <v>2590</v>
      </c>
      <c r="J559" s="42"/>
      <c r="K559" s="43"/>
      <c r="L559" s="19"/>
      <c r="M559" s="43"/>
      <c r="N559" s="44"/>
      <c r="O559" s="45">
        <f t="shared" ref="O559:O563" si="330">SUM(I559)</f>
        <v>2590</v>
      </c>
      <c r="P559" s="51"/>
      <c r="Q559" s="51"/>
      <c r="R559" s="74">
        <f t="shared" si="320"/>
        <v>1744.31731680642</v>
      </c>
      <c r="S559" s="74"/>
      <c r="T559" s="75">
        <f t="shared" si="321"/>
        <v>2.63383886255924</v>
      </c>
      <c r="U559" s="74"/>
      <c r="V559" s="74"/>
      <c r="W559" s="76">
        <f t="shared" si="318"/>
        <v>1746.95115566898</v>
      </c>
      <c r="X559" s="77">
        <f t="shared" si="322"/>
        <v>29.1130514035727</v>
      </c>
      <c r="Y559" s="77"/>
      <c r="Z559" s="77"/>
      <c r="AA559" s="77">
        <f t="shared" si="319"/>
        <v>29.1130514035727</v>
      </c>
      <c r="AB559" s="87">
        <v>7.26</v>
      </c>
      <c r="AC559" s="74">
        <f t="shared" si="327"/>
        <v>211.360753189938</v>
      </c>
      <c r="AD559" s="74">
        <f t="shared" si="328"/>
        <v>1958.31190885891</v>
      </c>
      <c r="AE559" s="74">
        <f t="shared" si="329"/>
        <v>631.688091141086</v>
      </c>
    </row>
    <row r="560" customFormat="1" spans="1:31">
      <c r="A560" s="18"/>
      <c r="B560" s="19"/>
      <c r="C560" s="20">
        <v>240716000038</v>
      </c>
      <c r="D560" s="21">
        <v>45493</v>
      </c>
      <c r="E560" s="21" t="s">
        <v>44</v>
      </c>
      <c r="F560" s="19" t="s">
        <v>45</v>
      </c>
      <c r="G560" s="19" t="s">
        <v>422</v>
      </c>
      <c r="H560" s="19">
        <v>9</v>
      </c>
      <c r="I560" s="41">
        <v>570.9</v>
      </c>
      <c r="J560" s="42"/>
      <c r="K560" s="43"/>
      <c r="L560" s="19"/>
      <c r="M560" s="43"/>
      <c r="N560" s="44"/>
      <c r="O560" s="45">
        <f t="shared" si="330"/>
        <v>570.9</v>
      </c>
      <c r="P560" s="51"/>
      <c r="Q560" s="51"/>
      <c r="R560" s="74">
        <f t="shared" si="320"/>
        <v>424.293401385345</v>
      </c>
      <c r="S560" s="74"/>
      <c r="T560" s="75">
        <f t="shared" si="321"/>
        <v>0.640663507109005</v>
      </c>
      <c r="U560" s="74"/>
      <c r="V560" s="74"/>
      <c r="W560" s="76">
        <f t="shared" si="318"/>
        <v>424.934064892454</v>
      </c>
      <c r="X560" s="77">
        <f t="shared" si="322"/>
        <v>7.08155304411229</v>
      </c>
      <c r="Y560" s="77"/>
      <c r="Z560" s="77"/>
      <c r="AA560" s="77">
        <f t="shared" si="319"/>
        <v>7.08155304411229</v>
      </c>
      <c r="AB560" s="87">
        <v>7.26</v>
      </c>
      <c r="AC560" s="74">
        <f t="shared" si="327"/>
        <v>51.4120751002552</v>
      </c>
      <c r="AD560" s="74">
        <f t="shared" si="328"/>
        <v>476.346139992709</v>
      </c>
      <c r="AE560" s="74">
        <f t="shared" si="329"/>
        <v>94.5538600072912</v>
      </c>
    </row>
    <row r="561" customFormat="1" spans="1:31">
      <c r="A561" s="18"/>
      <c r="B561" s="19"/>
      <c r="C561" s="20">
        <v>240716000040</v>
      </c>
      <c r="D561" s="21">
        <v>45493</v>
      </c>
      <c r="E561" s="21" t="s">
        <v>58</v>
      </c>
      <c r="F561" s="19" t="s">
        <v>59</v>
      </c>
      <c r="G561" s="19" t="s">
        <v>254</v>
      </c>
      <c r="H561" s="19">
        <v>2</v>
      </c>
      <c r="I561" s="41">
        <v>172</v>
      </c>
      <c r="J561" s="42"/>
      <c r="K561" s="43"/>
      <c r="L561" s="19"/>
      <c r="M561" s="43"/>
      <c r="N561" s="44"/>
      <c r="O561" s="45">
        <f t="shared" si="330"/>
        <v>172</v>
      </c>
      <c r="P561" s="51"/>
      <c r="Q561" s="51"/>
      <c r="R561" s="74">
        <f t="shared" si="320"/>
        <v>94.2874225300766</v>
      </c>
      <c r="S561" s="74"/>
      <c r="T561" s="75">
        <f t="shared" si="321"/>
        <v>0.142369668246445</v>
      </c>
      <c r="U561" s="74"/>
      <c r="V561" s="74"/>
      <c r="W561" s="76">
        <f t="shared" si="318"/>
        <v>94.429792198323</v>
      </c>
      <c r="X561" s="77">
        <f t="shared" si="322"/>
        <v>1.57367845424717</v>
      </c>
      <c r="Y561" s="77"/>
      <c r="Z561" s="77"/>
      <c r="AA561" s="77">
        <f t="shared" si="319"/>
        <v>1.57367845424717</v>
      </c>
      <c r="AB561" s="87">
        <v>7.26</v>
      </c>
      <c r="AC561" s="74">
        <f t="shared" si="327"/>
        <v>11.4249055778345</v>
      </c>
      <c r="AD561" s="74">
        <f t="shared" si="328"/>
        <v>105.854697776157</v>
      </c>
      <c r="AE561" s="74">
        <f t="shared" si="329"/>
        <v>66.1453022238425</v>
      </c>
    </row>
    <row r="562" customFormat="1" spans="1:31">
      <c r="A562" s="18"/>
      <c r="B562" s="19"/>
      <c r="C562" s="20">
        <v>240717000004</v>
      </c>
      <c r="D562" s="21">
        <v>45493</v>
      </c>
      <c r="E562" s="21" t="s">
        <v>40</v>
      </c>
      <c r="F562" s="19" t="s">
        <v>41</v>
      </c>
      <c r="G562" s="19" t="s">
        <v>248</v>
      </c>
      <c r="H562" s="19">
        <v>0.48</v>
      </c>
      <c r="I562" s="41">
        <v>88.4</v>
      </c>
      <c r="J562" s="42"/>
      <c r="K562" s="43"/>
      <c r="L562" s="19"/>
      <c r="M562" s="43"/>
      <c r="N562" s="44"/>
      <c r="O562" s="45">
        <f t="shared" si="330"/>
        <v>88.4</v>
      </c>
      <c r="P562" s="51"/>
      <c r="Q562" s="51"/>
      <c r="R562" s="74">
        <f t="shared" si="320"/>
        <v>22.6289814072184</v>
      </c>
      <c r="S562" s="74"/>
      <c r="T562" s="75">
        <f t="shared" si="321"/>
        <v>0.0341687203791469</v>
      </c>
      <c r="U562" s="74"/>
      <c r="V562" s="74"/>
      <c r="W562" s="76">
        <f t="shared" si="318"/>
        <v>22.6631501275975</v>
      </c>
      <c r="X562" s="77">
        <f t="shared" si="322"/>
        <v>0.377682829019322</v>
      </c>
      <c r="Y562" s="77"/>
      <c r="Z562" s="77"/>
      <c r="AA562" s="77">
        <f t="shared" si="319"/>
        <v>0.377682829019322</v>
      </c>
      <c r="AB562" s="87">
        <v>7.26</v>
      </c>
      <c r="AC562" s="74">
        <f t="shared" si="327"/>
        <v>2.74197733868028</v>
      </c>
      <c r="AD562" s="74">
        <f t="shared" si="328"/>
        <v>25.4051274662778</v>
      </c>
      <c r="AE562" s="74">
        <f t="shared" si="329"/>
        <v>62.9948725337222</v>
      </c>
    </row>
    <row r="563" customFormat="1" spans="1:31">
      <c r="A563" s="18"/>
      <c r="B563" s="19"/>
      <c r="C563" s="20">
        <v>240717000014</v>
      </c>
      <c r="D563" s="21">
        <v>45493</v>
      </c>
      <c r="E563" s="21" t="s">
        <v>44</v>
      </c>
      <c r="F563" s="19" t="s">
        <v>45</v>
      </c>
      <c r="G563" s="19" t="s">
        <v>423</v>
      </c>
      <c r="H563" s="19">
        <v>1.5</v>
      </c>
      <c r="I563" s="41">
        <v>148.8</v>
      </c>
      <c r="J563" s="42"/>
      <c r="K563" s="43"/>
      <c r="L563" s="19"/>
      <c r="M563" s="43"/>
      <c r="N563" s="44"/>
      <c r="O563" s="45">
        <f t="shared" si="330"/>
        <v>148.8</v>
      </c>
      <c r="P563" s="51"/>
      <c r="Q563" s="51"/>
      <c r="R563" s="74">
        <f t="shared" si="320"/>
        <v>70.7155668975574</v>
      </c>
      <c r="S563" s="74"/>
      <c r="T563" s="75">
        <f t="shared" si="321"/>
        <v>0.106777251184834</v>
      </c>
      <c r="U563" s="74"/>
      <c r="V563" s="74"/>
      <c r="W563" s="76">
        <f t="shared" si="318"/>
        <v>70.8223441487422</v>
      </c>
      <c r="X563" s="77">
        <f t="shared" si="322"/>
        <v>1.18025884068538</v>
      </c>
      <c r="Y563" s="77"/>
      <c r="Z563" s="77"/>
      <c r="AA563" s="77">
        <f t="shared" si="319"/>
        <v>1.18025884068538</v>
      </c>
      <c r="AB563" s="87">
        <v>7.26</v>
      </c>
      <c r="AC563" s="74">
        <f t="shared" si="327"/>
        <v>8.56867918337587</v>
      </c>
      <c r="AD563" s="74">
        <f t="shared" si="328"/>
        <v>79.3910233321181</v>
      </c>
      <c r="AE563" s="74">
        <f t="shared" si="329"/>
        <v>69.4089766678819</v>
      </c>
    </row>
    <row r="564" customFormat="1" spans="1:31">
      <c r="A564" s="18"/>
      <c r="B564" s="19"/>
      <c r="C564" s="20">
        <v>240717000022</v>
      </c>
      <c r="D564" s="21">
        <v>45493</v>
      </c>
      <c r="E564" s="21" t="s">
        <v>40</v>
      </c>
      <c r="F564" s="19" t="s">
        <v>41</v>
      </c>
      <c r="G564" s="19" t="s">
        <v>424</v>
      </c>
      <c r="H564" s="19">
        <v>4.5</v>
      </c>
      <c r="I564" s="47"/>
      <c r="J564" s="48">
        <v>84848</v>
      </c>
      <c r="K564" s="43"/>
      <c r="L564" s="49">
        <f t="shared" ref="L564:L569" si="331">SUM(J564/M564)</f>
        <v>1611.85410334347</v>
      </c>
      <c r="M564" s="50">
        <v>52.64</v>
      </c>
      <c r="N564" s="44">
        <v>7.26</v>
      </c>
      <c r="O564" s="45">
        <f t="shared" ref="O564:O567" si="332">SUM(M564*N564)</f>
        <v>382.1664</v>
      </c>
      <c r="P564" s="51"/>
      <c r="Q564" s="51"/>
      <c r="R564" s="74">
        <f t="shared" si="320"/>
        <v>212.146700692672</v>
      </c>
      <c r="S564" s="74"/>
      <c r="T564" s="75">
        <f t="shared" si="321"/>
        <v>0.320331753554502</v>
      </c>
      <c r="U564" s="74"/>
      <c r="V564" s="74"/>
      <c r="W564" s="76">
        <f t="shared" si="318"/>
        <v>212.467032446227</v>
      </c>
      <c r="X564" s="77">
        <f t="shared" si="322"/>
        <v>3.54077652205614</v>
      </c>
      <c r="Y564" s="77"/>
      <c r="Z564" s="77"/>
      <c r="AA564" s="77">
        <f t="shared" si="319"/>
        <v>3.54077652205614</v>
      </c>
      <c r="AB564" s="87">
        <v>7.26</v>
      </c>
      <c r="AC564" s="74">
        <f t="shared" si="327"/>
        <v>25.7060375501276</v>
      </c>
      <c r="AD564" s="74">
        <f t="shared" si="328"/>
        <v>238.173069996354</v>
      </c>
      <c r="AE564" s="74">
        <f t="shared" si="329"/>
        <v>143.993330003646</v>
      </c>
    </row>
    <row r="565" customFormat="1" spans="1:31">
      <c r="A565" s="18"/>
      <c r="B565" s="19"/>
      <c r="C565" s="20">
        <v>240717000023</v>
      </c>
      <c r="D565" s="21">
        <v>45493</v>
      </c>
      <c r="E565" s="21" t="s">
        <v>37</v>
      </c>
      <c r="F565" s="19" t="s">
        <v>37</v>
      </c>
      <c r="G565" s="19" t="s">
        <v>425</v>
      </c>
      <c r="H565" s="19">
        <v>36</v>
      </c>
      <c r="I565" s="45"/>
      <c r="J565" s="48">
        <v>548694</v>
      </c>
      <c r="K565" s="43"/>
      <c r="L565" s="49">
        <f t="shared" si="331"/>
        <v>1750.94616587421</v>
      </c>
      <c r="M565" s="50">
        <v>313.37</v>
      </c>
      <c r="N565" s="44">
        <v>7.26</v>
      </c>
      <c r="O565" s="45">
        <f t="shared" si="332"/>
        <v>2275.0662</v>
      </c>
      <c r="P565" s="51"/>
      <c r="Q565" s="51"/>
      <c r="R565" s="74">
        <f t="shared" si="320"/>
        <v>1697.17360554138</v>
      </c>
      <c r="S565" s="74"/>
      <c r="T565" s="75">
        <f t="shared" si="321"/>
        <v>2.56265402843602</v>
      </c>
      <c r="U565" s="74">
        <v>80</v>
      </c>
      <c r="V565" s="74"/>
      <c r="W565" s="76">
        <f t="shared" si="318"/>
        <v>1779.73625956981</v>
      </c>
      <c r="X565" s="77">
        <f t="shared" si="322"/>
        <v>28.3262121764491</v>
      </c>
      <c r="Y565" s="77"/>
      <c r="Z565" s="77"/>
      <c r="AA565" s="77">
        <f t="shared" si="319"/>
        <v>28.3262121764491</v>
      </c>
      <c r="AB565" s="87">
        <v>7.26</v>
      </c>
      <c r="AC565" s="74">
        <f t="shared" si="327"/>
        <v>205.648300401021</v>
      </c>
      <c r="AD565" s="74">
        <f t="shared" si="328"/>
        <v>1985.38455997083</v>
      </c>
      <c r="AE565" s="74">
        <f t="shared" si="329"/>
        <v>289.681640029165</v>
      </c>
    </row>
    <row r="566" customFormat="1" spans="1:31">
      <c r="A566" s="18"/>
      <c r="B566" s="19"/>
      <c r="C566" s="20">
        <v>240717000030</v>
      </c>
      <c r="D566" s="21">
        <v>45493</v>
      </c>
      <c r="E566" s="21" t="s">
        <v>40</v>
      </c>
      <c r="F566" s="19" t="s">
        <v>41</v>
      </c>
      <c r="G566" s="19" t="s">
        <v>302</v>
      </c>
      <c r="H566" s="19">
        <v>269</v>
      </c>
      <c r="I566" s="41">
        <v>28200</v>
      </c>
      <c r="J566" s="42"/>
      <c r="K566" s="43"/>
      <c r="L566" s="19"/>
      <c r="M566" s="43"/>
      <c r="N566" s="44"/>
      <c r="O566" s="45">
        <f t="shared" ref="O566:O574" si="333">SUM(I566)</f>
        <v>28200</v>
      </c>
      <c r="P566" s="51"/>
      <c r="Q566" s="51"/>
      <c r="R566" s="74">
        <f t="shared" si="320"/>
        <v>12681.6583302953</v>
      </c>
      <c r="S566" s="74"/>
      <c r="T566" s="75">
        <f t="shared" si="321"/>
        <v>19.1487203791469</v>
      </c>
      <c r="U566" s="75">
        <v>750</v>
      </c>
      <c r="V566" s="74"/>
      <c r="W566" s="76">
        <f t="shared" si="318"/>
        <v>13450.8070506744</v>
      </c>
      <c r="X566" s="77">
        <f t="shared" si="322"/>
        <v>211.659752096245</v>
      </c>
      <c r="Y566" s="77"/>
      <c r="Z566" s="77"/>
      <c r="AA566" s="77">
        <f t="shared" si="319"/>
        <v>211.659752096245</v>
      </c>
      <c r="AB566" s="87">
        <v>7.26</v>
      </c>
      <c r="AC566" s="74">
        <f t="shared" si="327"/>
        <v>1536.64980021874</v>
      </c>
      <c r="AD566" s="74">
        <f t="shared" si="328"/>
        <v>14987.4568508932</v>
      </c>
      <c r="AE566" s="74">
        <f t="shared" si="329"/>
        <v>13212.5431491068</v>
      </c>
    </row>
    <row r="567" customFormat="1" spans="1:31">
      <c r="A567" s="18"/>
      <c r="B567" s="19"/>
      <c r="C567" s="20">
        <v>240717000033</v>
      </c>
      <c r="D567" s="21">
        <v>45493</v>
      </c>
      <c r="E567" s="21" t="s">
        <v>40</v>
      </c>
      <c r="F567" s="19" t="s">
        <v>41</v>
      </c>
      <c r="G567" s="19" t="s">
        <v>139</v>
      </c>
      <c r="H567" s="19">
        <v>1.5</v>
      </c>
      <c r="I567" s="47"/>
      <c r="J567" s="48">
        <v>22425</v>
      </c>
      <c r="K567" s="43"/>
      <c r="L567" s="49">
        <f t="shared" si="331"/>
        <v>1671.01341281669</v>
      </c>
      <c r="M567" s="50">
        <v>13.42</v>
      </c>
      <c r="N567" s="44">
        <v>7.26</v>
      </c>
      <c r="O567" s="45">
        <f t="shared" si="332"/>
        <v>97.4292</v>
      </c>
      <c r="P567" s="51"/>
      <c r="Q567" s="51"/>
      <c r="R567" s="74">
        <f t="shared" si="320"/>
        <v>70.7155668975574</v>
      </c>
      <c r="S567" s="74"/>
      <c r="T567" s="75">
        <f t="shared" si="321"/>
        <v>0.106777251184834</v>
      </c>
      <c r="U567" s="74"/>
      <c r="V567" s="74"/>
      <c r="W567" s="76">
        <f t="shared" ref="W567:W581" si="334">SUM(R567:V567)</f>
        <v>70.8223441487422</v>
      </c>
      <c r="X567" s="77">
        <f t="shared" si="322"/>
        <v>1.18025884068538</v>
      </c>
      <c r="Y567" s="77"/>
      <c r="Z567" s="77"/>
      <c r="AA567" s="77">
        <f t="shared" si="319"/>
        <v>1.18025884068538</v>
      </c>
      <c r="AB567" s="87">
        <v>7.26</v>
      </c>
      <c r="AC567" s="74">
        <f t="shared" si="327"/>
        <v>8.56867918337587</v>
      </c>
      <c r="AD567" s="74">
        <f t="shared" si="328"/>
        <v>79.3910233321181</v>
      </c>
      <c r="AE567" s="74">
        <f t="shared" si="329"/>
        <v>18.0381766678819</v>
      </c>
    </row>
    <row r="568" customFormat="1" spans="1:31">
      <c r="A568" s="18"/>
      <c r="B568" s="19"/>
      <c r="C568" s="20">
        <v>240718000042</v>
      </c>
      <c r="D568" s="21">
        <v>45493</v>
      </c>
      <c r="E568" s="21" t="s">
        <v>58</v>
      </c>
      <c r="F568" s="19" t="s">
        <v>59</v>
      </c>
      <c r="G568" s="19" t="s">
        <v>133</v>
      </c>
      <c r="H568" s="19">
        <v>1.5</v>
      </c>
      <c r="I568" s="41">
        <v>117.15</v>
      </c>
      <c r="J568" s="42"/>
      <c r="K568" s="43"/>
      <c r="L568" s="19"/>
      <c r="M568" s="43"/>
      <c r="N568" s="44"/>
      <c r="O568" s="45">
        <f t="shared" si="333"/>
        <v>117.15</v>
      </c>
      <c r="P568" s="52"/>
      <c r="Q568" s="52"/>
      <c r="R568" s="74">
        <f t="shared" si="320"/>
        <v>70.7155668975574</v>
      </c>
      <c r="S568" s="74"/>
      <c r="T568" s="75">
        <f t="shared" si="321"/>
        <v>0.106777251184834</v>
      </c>
      <c r="U568" s="74"/>
      <c r="V568" s="74"/>
      <c r="W568" s="76">
        <f t="shared" si="334"/>
        <v>70.8223441487422</v>
      </c>
      <c r="X568" s="77">
        <f t="shared" si="322"/>
        <v>1.18025884068538</v>
      </c>
      <c r="Y568" s="77"/>
      <c r="Z568" s="77"/>
      <c r="AA568" s="77">
        <f t="shared" ref="AA568:AA581" si="335">SUM(X568:Z568)</f>
        <v>1.18025884068538</v>
      </c>
      <c r="AB568" s="87">
        <v>7.26</v>
      </c>
      <c r="AC568" s="74">
        <f t="shared" ref="AC568:AC581" si="336">SUM(AA568*AB568)</f>
        <v>8.56867918337587</v>
      </c>
      <c r="AD568" s="74">
        <f t="shared" si="328"/>
        <v>79.3910233321181</v>
      </c>
      <c r="AE568" s="74">
        <f t="shared" ref="AE568:AE581" si="337">SUM(O568-AD568)</f>
        <v>37.7589766678819</v>
      </c>
    </row>
    <row r="569" customFormat="1" spans="1:31">
      <c r="A569" s="18" t="s">
        <v>426</v>
      </c>
      <c r="B569" s="19" t="s">
        <v>427</v>
      </c>
      <c r="C569" s="20">
        <v>240717000018</v>
      </c>
      <c r="D569" s="21">
        <v>45493</v>
      </c>
      <c r="E569" s="21" t="s">
        <v>37</v>
      </c>
      <c r="F569" s="19" t="s">
        <v>37</v>
      </c>
      <c r="G569" s="19" t="s">
        <v>179</v>
      </c>
      <c r="H569" s="19">
        <v>2.5</v>
      </c>
      <c r="I569" s="47"/>
      <c r="J569" s="48">
        <v>66600</v>
      </c>
      <c r="K569" s="43"/>
      <c r="L569" s="49">
        <f t="shared" si="331"/>
        <v>1611.81026137464</v>
      </c>
      <c r="M569" s="50">
        <v>41.32</v>
      </c>
      <c r="N569" s="44">
        <v>7.26</v>
      </c>
      <c r="O569" s="45">
        <f>SUM(M569*N569)</f>
        <v>299.9832</v>
      </c>
      <c r="P569" s="46">
        <f>SUM(O569:O581)</f>
        <v>4928.334</v>
      </c>
      <c r="Q569" s="46" t="s">
        <v>39</v>
      </c>
      <c r="R569" s="74">
        <f>SUM(2500/32)*H569</f>
        <v>195.3125</v>
      </c>
      <c r="S569" s="74"/>
      <c r="T569" s="75">
        <f>SUM(58.65/32)*H569</f>
        <v>4.58203125</v>
      </c>
      <c r="U569" s="74"/>
      <c r="V569" s="74"/>
      <c r="W569" s="76">
        <f t="shared" si="334"/>
        <v>199.89453125</v>
      </c>
      <c r="X569" s="77">
        <f>SUM(134.5/32)*H569</f>
        <v>10.5078125</v>
      </c>
      <c r="Y569" s="77"/>
      <c r="Z569" s="77"/>
      <c r="AA569" s="77">
        <f t="shared" si="335"/>
        <v>10.5078125</v>
      </c>
      <c r="AB569" s="87">
        <v>7.26</v>
      </c>
      <c r="AC569" s="74">
        <f t="shared" si="336"/>
        <v>76.28671875</v>
      </c>
      <c r="AD569" s="74">
        <f t="shared" ref="AD569:AD581" si="338">SUM(W569+AC569)</f>
        <v>276.18125</v>
      </c>
      <c r="AE569" s="74">
        <f t="shared" si="337"/>
        <v>23.80195</v>
      </c>
    </row>
    <row r="570" customFormat="1" spans="1:31">
      <c r="A570" s="18"/>
      <c r="B570" s="19"/>
      <c r="C570" s="20">
        <v>240717000019</v>
      </c>
      <c r="D570" s="21">
        <v>45493</v>
      </c>
      <c r="E570" s="21" t="s">
        <v>47</v>
      </c>
      <c r="F570" s="19" t="s">
        <v>48</v>
      </c>
      <c r="G570" s="19" t="s">
        <v>154</v>
      </c>
      <c r="H570" s="19">
        <v>0.58</v>
      </c>
      <c r="I570" s="41">
        <v>180</v>
      </c>
      <c r="J570" s="42"/>
      <c r="K570" s="43"/>
      <c r="L570" s="19"/>
      <c r="M570" s="43"/>
      <c r="N570" s="44"/>
      <c r="O570" s="45">
        <f t="shared" si="333"/>
        <v>180</v>
      </c>
      <c r="P570" s="51"/>
      <c r="Q570" s="51"/>
      <c r="R570" s="74">
        <f t="shared" ref="R570:R587" si="339">SUM(2500/32)*H570</f>
        <v>45.3125</v>
      </c>
      <c r="S570" s="74"/>
      <c r="T570" s="75">
        <f t="shared" ref="T570:T581" si="340">SUM(58.65/32)*H570</f>
        <v>1.06303125</v>
      </c>
      <c r="U570" s="74"/>
      <c r="V570" s="74"/>
      <c r="W570" s="76">
        <f t="shared" si="334"/>
        <v>46.37553125</v>
      </c>
      <c r="X570" s="77">
        <f t="shared" ref="X570:X581" si="341">SUM(134.5/32)*H570</f>
        <v>2.4378125</v>
      </c>
      <c r="Y570" s="77"/>
      <c r="Z570" s="77"/>
      <c r="AA570" s="77">
        <f t="shared" si="335"/>
        <v>2.4378125</v>
      </c>
      <c r="AB570" s="87">
        <v>7.26</v>
      </c>
      <c r="AC570" s="74">
        <f t="shared" si="336"/>
        <v>17.69851875</v>
      </c>
      <c r="AD570" s="74">
        <f t="shared" si="338"/>
        <v>64.07405</v>
      </c>
      <c r="AE570" s="74">
        <f t="shared" si="337"/>
        <v>115.92595</v>
      </c>
    </row>
    <row r="571" customFormat="1" spans="1:31">
      <c r="A571" s="18"/>
      <c r="B571" s="19"/>
      <c r="C571" s="20">
        <v>240717000027</v>
      </c>
      <c r="D571" s="21">
        <v>45493</v>
      </c>
      <c r="E571" s="21" t="s">
        <v>58</v>
      </c>
      <c r="F571" s="19" t="s">
        <v>59</v>
      </c>
      <c r="G571" s="19" t="s">
        <v>234</v>
      </c>
      <c r="H571" s="19">
        <v>2.5</v>
      </c>
      <c r="I571" s="41">
        <v>300</v>
      </c>
      <c r="J571" s="42"/>
      <c r="K571" s="43"/>
      <c r="L571" s="19"/>
      <c r="M571" s="43"/>
      <c r="N571" s="44"/>
      <c r="O571" s="45">
        <f t="shared" si="333"/>
        <v>300</v>
      </c>
      <c r="P571" s="51"/>
      <c r="Q571" s="51"/>
      <c r="R571" s="74">
        <f t="shared" si="339"/>
        <v>195.3125</v>
      </c>
      <c r="S571" s="74"/>
      <c r="T571" s="75">
        <f t="shared" si="340"/>
        <v>4.58203125</v>
      </c>
      <c r="U571" s="74"/>
      <c r="V571" s="74"/>
      <c r="W571" s="76">
        <f t="shared" si="334"/>
        <v>199.89453125</v>
      </c>
      <c r="X571" s="77">
        <f t="shared" si="341"/>
        <v>10.5078125</v>
      </c>
      <c r="Y571" s="77"/>
      <c r="Z571" s="77"/>
      <c r="AA571" s="77">
        <f t="shared" si="335"/>
        <v>10.5078125</v>
      </c>
      <c r="AB571" s="87">
        <v>7.26</v>
      </c>
      <c r="AC571" s="74">
        <f t="shared" si="336"/>
        <v>76.28671875</v>
      </c>
      <c r="AD571" s="74">
        <f t="shared" si="338"/>
        <v>276.18125</v>
      </c>
      <c r="AE571" s="74">
        <f t="shared" si="337"/>
        <v>23.81875</v>
      </c>
    </row>
    <row r="572" customFormat="1" spans="1:31">
      <c r="A572" s="18"/>
      <c r="B572" s="19"/>
      <c r="C572" s="20">
        <v>240717000036</v>
      </c>
      <c r="D572" s="21">
        <v>45493</v>
      </c>
      <c r="E572" s="21" t="s">
        <v>40</v>
      </c>
      <c r="F572" s="19" t="s">
        <v>41</v>
      </c>
      <c r="G572" s="19" t="s">
        <v>346</v>
      </c>
      <c r="H572" s="19">
        <v>3</v>
      </c>
      <c r="I572" s="41">
        <v>360</v>
      </c>
      <c r="J572" s="42"/>
      <c r="K572" s="43"/>
      <c r="L572" s="19"/>
      <c r="M572" s="43"/>
      <c r="N572" s="44"/>
      <c r="O572" s="45">
        <f t="shared" si="333"/>
        <v>360</v>
      </c>
      <c r="P572" s="51"/>
      <c r="Q572" s="51"/>
      <c r="R572" s="74">
        <f t="shared" si="339"/>
        <v>234.375</v>
      </c>
      <c r="S572" s="74"/>
      <c r="T572" s="75">
        <f t="shared" si="340"/>
        <v>5.4984375</v>
      </c>
      <c r="U572" s="74"/>
      <c r="V572" s="74"/>
      <c r="W572" s="76">
        <f t="shared" si="334"/>
        <v>239.8734375</v>
      </c>
      <c r="X572" s="77">
        <f t="shared" si="341"/>
        <v>12.609375</v>
      </c>
      <c r="Y572" s="77"/>
      <c r="Z572" s="77"/>
      <c r="AA572" s="77">
        <f t="shared" si="335"/>
        <v>12.609375</v>
      </c>
      <c r="AB572" s="87">
        <v>7.26</v>
      </c>
      <c r="AC572" s="74">
        <f t="shared" si="336"/>
        <v>91.5440625</v>
      </c>
      <c r="AD572" s="74">
        <f t="shared" si="338"/>
        <v>331.4175</v>
      </c>
      <c r="AE572" s="74">
        <f t="shared" si="337"/>
        <v>28.5825</v>
      </c>
    </row>
    <row r="573" customFormat="1" spans="1:31">
      <c r="A573" s="18"/>
      <c r="B573" s="19"/>
      <c r="C573" s="20">
        <v>240718000006</v>
      </c>
      <c r="D573" s="21">
        <v>45493</v>
      </c>
      <c r="E573" s="21" t="s">
        <v>55</v>
      </c>
      <c r="F573" s="19" t="s">
        <v>56</v>
      </c>
      <c r="G573" s="19" t="s">
        <v>223</v>
      </c>
      <c r="H573" s="19">
        <v>4.5</v>
      </c>
      <c r="I573" s="41">
        <v>549.5</v>
      </c>
      <c r="J573" s="42"/>
      <c r="K573" s="43"/>
      <c r="L573" s="19"/>
      <c r="M573" s="43"/>
      <c r="N573" s="44"/>
      <c r="O573" s="45">
        <f t="shared" si="333"/>
        <v>549.5</v>
      </c>
      <c r="P573" s="51"/>
      <c r="Q573" s="51"/>
      <c r="R573" s="74">
        <f t="shared" si="339"/>
        <v>351.5625</v>
      </c>
      <c r="S573" s="74"/>
      <c r="T573" s="75">
        <f t="shared" si="340"/>
        <v>8.24765625</v>
      </c>
      <c r="U573" s="74"/>
      <c r="V573" s="74"/>
      <c r="W573" s="76">
        <f t="shared" si="334"/>
        <v>359.81015625</v>
      </c>
      <c r="X573" s="77">
        <f t="shared" si="341"/>
        <v>18.9140625</v>
      </c>
      <c r="Y573" s="77">
        <v>4.4</v>
      </c>
      <c r="Z573" s="77"/>
      <c r="AA573" s="77">
        <f t="shared" si="335"/>
        <v>23.3140625</v>
      </c>
      <c r="AB573" s="87">
        <v>7.26</v>
      </c>
      <c r="AC573" s="74">
        <f t="shared" si="336"/>
        <v>169.26009375</v>
      </c>
      <c r="AD573" s="74">
        <f t="shared" si="338"/>
        <v>529.07025</v>
      </c>
      <c r="AE573" s="74">
        <f t="shared" si="337"/>
        <v>20.42975</v>
      </c>
    </row>
    <row r="574" customFormat="1" spans="1:31">
      <c r="A574" s="18"/>
      <c r="B574" s="19"/>
      <c r="C574" s="20">
        <v>240718000009</v>
      </c>
      <c r="D574" s="21">
        <v>45493</v>
      </c>
      <c r="E574" s="21" t="s">
        <v>58</v>
      </c>
      <c r="F574" s="19" t="s">
        <v>59</v>
      </c>
      <c r="G574" s="19" t="s">
        <v>186</v>
      </c>
      <c r="H574" s="19">
        <v>0.5</v>
      </c>
      <c r="I574" s="41">
        <v>145</v>
      </c>
      <c r="J574" s="42"/>
      <c r="K574" s="43"/>
      <c r="L574" s="19"/>
      <c r="M574" s="43"/>
      <c r="N574" s="44"/>
      <c r="O574" s="45">
        <f t="shared" si="333"/>
        <v>145</v>
      </c>
      <c r="P574" s="51"/>
      <c r="Q574" s="51"/>
      <c r="R574" s="74">
        <f t="shared" si="339"/>
        <v>39.0625</v>
      </c>
      <c r="S574" s="74"/>
      <c r="T574" s="75">
        <f t="shared" si="340"/>
        <v>0.91640625</v>
      </c>
      <c r="U574" s="74"/>
      <c r="V574" s="74"/>
      <c r="W574" s="76">
        <f t="shared" si="334"/>
        <v>39.97890625</v>
      </c>
      <c r="X574" s="77">
        <f t="shared" si="341"/>
        <v>2.1015625</v>
      </c>
      <c r="Y574" s="77"/>
      <c r="Z574" s="77"/>
      <c r="AA574" s="77">
        <f t="shared" si="335"/>
        <v>2.1015625</v>
      </c>
      <c r="AB574" s="87">
        <v>7.26</v>
      </c>
      <c r="AC574" s="74">
        <f t="shared" si="336"/>
        <v>15.25734375</v>
      </c>
      <c r="AD574" s="74">
        <f t="shared" si="338"/>
        <v>55.23625</v>
      </c>
      <c r="AE574" s="74">
        <f t="shared" si="337"/>
        <v>89.76375</v>
      </c>
    </row>
    <row r="575" customFormat="1" spans="1:31">
      <c r="A575" s="18"/>
      <c r="B575" s="19"/>
      <c r="C575" s="20">
        <v>240718000010</v>
      </c>
      <c r="D575" s="21">
        <v>45493</v>
      </c>
      <c r="E575" s="21" t="s">
        <v>47</v>
      </c>
      <c r="F575" s="19" t="s">
        <v>48</v>
      </c>
      <c r="G575" s="19" t="s">
        <v>303</v>
      </c>
      <c r="H575" s="19">
        <v>0.38</v>
      </c>
      <c r="I575" s="45"/>
      <c r="J575" s="48">
        <v>26773</v>
      </c>
      <c r="K575" s="43"/>
      <c r="L575" s="49">
        <f>SUM(J575/M575)</f>
        <v>1606.05878824235</v>
      </c>
      <c r="M575" s="50">
        <v>16.67</v>
      </c>
      <c r="N575" s="44">
        <v>7.26</v>
      </c>
      <c r="O575" s="45">
        <f>SUM(M575*N575)</f>
        <v>121.0242</v>
      </c>
      <c r="P575" s="51"/>
      <c r="Q575" s="51"/>
      <c r="R575" s="74">
        <f t="shared" si="339"/>
        <v>29.6875</v>
      </c>
      <c r="S575" s="74"/>
      <c r="T575" s="75">
        <f t="shared" si="340"/>
        <v>0.69646875</v>
      </c>
      <c r="U575" s="74"/>
      <c r="V575" s="74"/>
      <c r="W575" s="76">
        <f t="shared" si="334"/>
        <v>30.38396875</v>
      </c>
      <c r="X575" s="77">
        <f t="shared" si="341"/>
        <v>1.5971875</v>
      </c>
      <c r="Y575" s="77"/>
      <c r="Z575" s="77"/>
      <c r="AA575" s="77">
        <f t="shared" si="335"/>
        <v>1.5971875</v>
      </c>
      <c r="AB575" s="87">
        <v>7.26</v>
      </c>
      <c r="AC575" s="74">
        <f t="shared" si="336"/>
        <v>11.59558125</v>
      </c>
      <c r="AD575" s="74">
        <f t="shared" si="338"/>
        <v>41.97955</v>
      </c>
      <c r="AE575" s="74">
        <f t="shared" si="337"/>
        <v>79.04465</v>
      </c>
    </row>
    <row r="576" customFormat="1" spans="1:31">
      <c r="A576" s="18"/>
      <c r="B576" s="19"/>
      <c r="C576" s="20">
        <v>240718000017</v>
      </c>
      <c r="D576" s="21">
        <v>45493</v>
      </c>
      <c r="E576" s="21" t="s">
        <v>37</v>
      </c>
      <c r="F576" s="19" t="s">
        <v>37</v>
      </c>
      <c r="G576" s="19" t="s">
        <v>428</v>
      </c>
      <c r="H576" s="19">
        <v>6.5</v>
      </c>
      <c r="I576" s="41">
        <v>1235</v>
      </c>
      <c r="J576" s="42"/>
      <c r="K576" s="43"/>
      <c r="L576" s="19"/>
      <c r="M576" s="43"/>
      <c r="N576" s="44"/>
      <c r="O576" s="45">
        <f t="shared" ref="O576:O580" si="342">SUM(I576)</f>
        <v>1235</v>
      </c>
      <c r="P576" s="51"/>
      <c r="Q576" s="51"/>
      <c r="R576" s="74">
        <f t="shared" si="339"/>
        <v>507.8125</v>
      </c>
      <c r="S576" s="74"/>
      <c r="T576" s="75">
        <f t="shared" si="340"/>
        <v>11.91328125</v>
      </c>
      <c r="U576" s="74"/>
      <c r="V576" s="74"/>
      <c r="W576" s="76">
        <f t="shared" si="334"/>
        <v>519.72578125</v>
      </c>
      <c r="X576" s="77">
        <f t="shared" si="341"/>
        <v>27.3203125</v>
      </c>
      <c r="Y576" s="77"/>
      <c r="Z576" s="77"/>
      <c r="AA576" s="77">
        <f t="shared" si="335"/>
        <v>27.3203125</v>
      </c>
      <c r="AB576" s="87">
        <v>7.26</v>
      </c>
      <c r="AC576" s="74">
        <f t="shared" si="336"/>
        <v>198.34546875</v>
      </c>
      <c r="AD576" s="74">
        <f t="shared" si="338"/>
        <v>718.07125</v>
      </c>
      <c r="AE576" s="74">
        <f t="shared" si="337"/>
        <v>516.92875</v>
      </c>
    </row>
    <row r="577" customFormat="1" spans="1:31">
      <c r="A577" s="18"/>
      <c r="B577" s="19"/>
      <c r="C577" s="20">
        <v>240718000021</v>
      </c>
      <c r="D577" s="21">
        <v>45493</v>
      </c>
      <c r="E577" s="21" t="s">
        <v>58</v>
      </c>
      <c r="F577" s="19" t="s">
        <v>59</v>
      </c>
      <c r="G577" s="19" t="s">
        <v>234</v>
      </c>
      <c r="H577" s="19">
        <v>2</v>
      </c>
      <c r="I577" s="41">
        <v>240</v>
      </c>
      <c r="J577" s="42"/>
      <c r="K577" s="43"/>
      <c r="L577" s="19"/>
      <c r="M577" s="43"/>
      <c r="N577" s="44"/>
      <c r="O577" s="45">
        <f t="shared" si="342"/>
        <v>240</v>
      </c>
      <c r="P577" s="51"/>
      <c r="Q577" s="51"/>
      <c r="R577" s="74">
        <f t="shared" si="339"/>
        <v>156.25</v>
      </c>
      <c r="S577" s="74"/>
      <c r="T577" s="75">
        <f t="shared" si="340"/>
        <v>3.665625</v>
      </c>
      <c r="U577" s="74"/>
      <c r="V577" s="74"/>
      <c r="W577" s="76">
        <f t="shared" si="334"/>
        <v>159.915625</v>
      </c>
      <c r="X577" s="77">
        <f t="shared" si="341"/>
        <v>8.40625</v>
      </c>
      <c r="Y577" s="77"/>
      <c r="Z577" s="77"/>
      <c r="AA577" s="77">
        <f t="shared" si="335"/>
        <v>8.40625</v>
      </c>
      <c r="AB577" s="87">
        <v>7.26</v>
      </c>
      <c r="AC577" s="74">
        <f t="shared" si="336"/>
        <v>61.029375</v>
      </c>
      <c r="AD577" s="74">
        <f t="shared" si="338"/>
        <v>220.945</v>
      </c>
      <c r="AE577" s="74">
        <f t="shared" si="337"/>
        <v>19.055</v>
      </c>
    </row>
    <row r="578" customFormat="1" spans="1:31">
      <c r="A578" s="18"/>
      <c r="B578" s="19"/>
      <c r="C578" s="20">
        <v>240718000032</v>
      </c>
      <c r="D578" s="21">
        <v>45493</v>
      </c>
      <c r="E578" s="21" t="s">
        <v>44</v>
      </c>
      <c r="F578" s="19" t="s">
        <v>45</v>
      </c>
      <c r="G578" s="19" t="s">
        <v>103</v>
      </c>
      <c r="H578" s="19">
        <v>3.5</v>
      </c>
      <c r="I578" s="41">
        <v>345</v>
      </c>
      <c r="J578" s="42"/>
      <c r="K578" s="43"/>
      <c r="L578" s="19"/>
      <c r="M578" s="43"/>
      <c r="N578" s="44"/>
      <c r="O578" s="45">
        <f t="shared" si="342"/>
        <v>345</v>
      </c>
      <c r="P578" s="51"/>
      <c r="Q578" s="51"/>
      <c r="R578" s="74">
        <f t="shared" si="339"/>
        <v>273.4375</v>
      </c>
      <c r="S578" s="74"/>
      <c r="T578" s="75">
        <f t="shared" si="340"/>
        <v>6.41484375</v>
      </c>
      <c r="U578" s="74"/>
      <c r="V578" s="74"/>
      <c r="W578" s="76">
        <f t="shared" si="334"/>
        <v>279.85234375</v>
      </c>
      <c r="X578" s="77">
        <f t="shared" si="341"/>
        <v>14.7109375</v>
      </c>
      <c r="Y578" s="77"/>
      <c r="Z578" s="77"/>
      <c r="AA578" s="77">
        <f t="shared" si="335"/>
        <v>14.7109375</v>
      </c>
      <c r="AB578" s="87">
        <v>7.26</v>
      </c>
      <c r="AC578" s="74">
        <f t="shared" si="336"/>
        <v>106.80140625</v>
      </c>
      <c r="AD578" s="74">
        <f t="shared" si="338"/>
        <v>386.65375</v>
      </c>
      <c r="AE578" s="74">
        <f t="shared" ref="AE578:AE587" si="343">SUM(O578-AD578)</f>
        <v>-41.65375</v>
      </c>
    </row>
    <row r="579" customFormat="1" spans="1:31">
      <c r="A579" s="18"/>
      <c r="B579" s="19"/>
      <c r="C579" s="20">
        <v>240719000004</v>
      </c>
      <c r="D579" s="21">
        <v>45493</v>
      </c>
      <c r="E579" s="21" t="s">
        <v>37</v>
      </c>
      <c r="F579" s="19" t="s">
        <v>37</v>
      </c>
      <c r="G579" s="19" t="s">
        <v>149</v>
      </c>
      <c r="H579" s="19">
        <v>5</v>
      </c>
      <c r="I579" s="41">
        <v>575</v>
      </c>
      <c r="J579" s="42"/>
      <c r="K579" s="43"/>
      <c r="L579" s="19"/>
      <c r="M579" s="43"/>
      <c r="N579" s="44"/>
      <c r="O579" s="45">
        <f t="shared" si="342"/>
        <v>575</v>
      </c>
      <c r="P579" s="51"/>
      <c r="Q579" s="51"/>
      <c r="R579" s="74">
        <f t="shared" si="339"/>
        <v>390.625</v>
      </c>
      <c r="S579" s="74"/>
      <c r="T579" s="75">
        <f t="shared" si="340"/>
        <v>9.1640625</v>
      </c>
      <c r="U579" s="74"/>
      <c r="V579" s="74"/>
      <c r="W579" s="76">
        <f t="shared" si="334"/>
        <v>399.7890625</v>
      </c>
      <c r="X579" s="77">
        <f t="shared" si="341"/>
        <v>21.015625</v>
      </c>
      <c r="Y579" s="77"/>
      <c r="Z579" s="77"/>
      <c r="AA579" s="77">
        <f t="shared" si="335"/>
        <v>21.015625</v>
      </c>
      <c r="AB579" s="87">
        <v>7.26</v>
      </c>
      <c r="AC579" s="74">
        <f t="shared" si="336"/>
        <v>152.5734375</v>
      </c>
      <c r="AD579" s="74">
        <f t="shared" si="338"/>
        <v>552.3625</v>
      </c>
      <c r="AE579" s="74">
        <f t="shared" si="343"/>
        <v>22.6375</v>
      </c>
    </row>
    <row r="580" customFormat="1" spans="1:31">
      <c r="A580" s="18"/>
      <c r="B580" s="19"/>
      <c r="C580" s="20">
        <v>240719000030</v>
      </c>
      <c r="D580" s="21">
        <v>45493</v>
      </c>
      <c r="E580" s="21" t="s">
        <v>44</v>
      </c>
      <c r="F580" s="19" t="s">
        <v>45</v>
      </c>
      <c r="G580" s="19" t="s">
        <v>103</v>
      </c>
      <c r="H580" s="19">
        <v>2</v>
      </c>
      <c r="I580" s="41">
        <v>230</v>
      </c>
      <c r="J580" s="42"/>
      <c r="K580" s="43"/>
      <c r="L580" s="19"/>
      <c r="M580" s="43"/>
      <c r="N580" s="44"/>
      <c r="O580" s="45">
        <f t="shared" si="342"/>
        <v>230</v>
      </c>
      <c r="P580" s="51"/>
      <c r="Q580" s="51"/>
      <c r="R580" s="74">
        <f t="shared" si="339"/>
        <v>156.25</v>
      </c>
      <c r="S580" s="74"/>
      <c r="T580" s="75">
        <f t="shared" si="340"/>
        <v>3.665625</v>
      </c>
      <c r="U580" s="74"/>
      <c r="V580" s="74"/>
      <c r="W580" s="76">
        <f t="shared" si="334"/>
        <v>159.915625</v>
      </c>
      <c r="X580" s="77">
        <f t="shared" si="341"/>
        <v>8.40625</v>
      </c>
      <c r="Y580" s="77"/>
      <c r="Z580" s="77"/>
      <c r="AA580" s="77">
        <f t="shared" si="335"/>
        <v>8.40625</v>
      </c>
      <c r="AB580" s="87">
        <v>7.26</v>
      </c>
      <c r="AC580" s="74">
        <f t="shared" si="336"/>
        <v>61.029375</v>
      </c>
      <c r="AD580" s="74">
        <f t="shared" si="338"/>
        <v>220.945</v>
      </c>
      <c r="AE580" s="74">
        <f t="shared" si="343"/>
        <v>9.05500000000001</v>
      </c>
    </row>
    <row r="581" customFormat="1" spans="1:31">
      <c r="A581" s="18"/>
      <c r="B581" s="19"/>
      <c r="C581" s="20">
        <v>240719000031</v>
      </c>
      <c r="D581" s="21">
        <v>45493</v>
      </c>
      <c r="E581" s="21" t="s">
        <v>81</v>
      </c>
      <c r="F581" s="19"/>
      <c r="G581" s="19" t="s">
        <v>391</v>
      </c>
      <c r="H581" s="19">
        <v>3</v>
      </c>
      <c r="I581" s="45"/>
      <c r="J581" s="48">
        <v>76943</v>
      </c>
      <c r="K581" s="43"/>
      <c r="L581" s="49">
        <f>SUM(J581/M581)</f>
        <v>1605.99039866416</v>
      </c>
      <c r="M581" s="50">
        <v>47.91</v>
      </c>
      <c r="N581" s="44">
        <v>7.26</v>
      </c>
      <c r="O581" s="45">
        <f>SUM(M581*N581)</f>
        <v>347.8266</v>
      </c>
      <c r="P581" s="52"/>
      <c r="Q581" s="52"/>
      <c r="R581" s="74">
        <f t="shared" si="339"/>
        <v>234.375</v>
      </c>
      <c r="S581" s="74"/>
      <c r="T581" s="75">
        <f t="shared" si="340"/>
        <v>5.4984375</v>
      </c>
      <c r="U581" s="74"/>
      <c r="V581" s="74"/>
      <c r="W581" s="76">
        <f t="shared" ref="W581:W587" si="344">SUM(R581:V581)</f>
        <v>239.8734375</v>
      </c>
      <c r="X581" s="77">
        <f t="shared" si="341"/>
        <v>12.609375</v>
      </c>
      <c r="Y581" s="77"/>
      <c r="Z581" s="77"/>
      <c r="AA581" s="77">
        <f t="shared" ref="AA581:AA587" si="345">SUM(X581:Z581)</f>
        <v>12.609375</v>
      </c>
      <c r="AB581" s="87">
        <v>7.26</v>
      </c>
      <c r="AC581" s="74">
        <f t="shared" ref="AC581:AC587" si="346">SUM(AA581*AB581)</f>
        <v>91.5440625</v>
      </c>
      <c r="AD581" s="74">
        <f t="shared" ref="AD581:AD587" si="347">SUM(W581+AC581)</f>
        <v>331.4175</v>
      </c>
      <c r="AE581" s="74">
        <f t="shared" si="343"/>
        <v>16.4091</v>
      </c>
    </row>
    <row r="582" customFormat="1" spans="1:31">
      <c r="A582" s="18" t="s">
        <v>429</v>
      </c>
      <c r="B582" s="19" t="s">
        <v>430</v>
      </c>
      <c r="C582" s="20">
        <v>240718000003</v>
      </c>
      <c r="D582" s="21">
        <v>45495</v>
      </c>
      <c r="E582" s="21" t="s">
        <v>40</v>
      </c>
      <c r="F582" s="19" t="s">
        <v>41</v>
      </c>
      <c r="G582" s="19" t="s">
        <v>274</v>
      </c>
      <c r="H582" s="19">
        <v>8.5</v>
      </c>
      <c r="I582" s="47"/>
      <c r="J582" s="48">
        <v>221892.5</v>
      </c>
      <c r="K582" s="43"/>
      <c r="L582" s="49">
        <f>SUM(J582/M582)</f>
        <v>1648.04292929293</v>
      </c>
      <c r="M582" s="50">
        <v>134.64</v>
      </c>
      <c r="N582" s="44">
        <v>7.26</v>
      </c>
      <c r="O582" s="45">
        <f>SUM(M582*N582)</f>
        <v>977.4864</v>
      </c>
      <c r="P582" s="46">
        <f>SUM(O582:O587)</f>
        <v>3991.227</v>
      </c>
      <c r="Q582" s="46" t="s">
        <v>39</v>
      </c>
      <c r="R582" s="74">
        <f t="shared" si="339"/>
        <v>664.0625</v>
      </c>
      <c r="S582" s="74"/>
      <c r="T582" s="75">
        <f t="shared" ref="T582:T587" si="348">SUM(34.99/32)*H582</f>
        <v>9.29421875</v>
      </c>
      <c r="U582" s="74"/>
      <c r="V582" s="74"/>
      <c r="W582" s="76">
        <f t="shared" si="344"/>
        <v>673.35671875</v>
      </c>
      <c r="X582" s="77">
        <f t="shared" ref="X582:X587" si="349">SUM(51.06/32)*H582</f>
        <v>13.5628125</v>
      </c>
      <c r="Y582" s="77"/>
      <c r="Z582" s="77"/>
      <c r="AA582" s="77">
        <f t="shared" si="345"/>
        <v>13.5628125</v>
      </c>
      <c r="AB582" s="87">
        <v>7.26</v>
      </c>
      <c r="AC582" s="74">
        <f t="shared" si="346"/>
        <v>98.46601875</v>
      </c>
      <c r="AD582" s="74">
        <f t="shared" si="347"/>
        <v>771.8227375</v>
      </c>
      <c r="AE582" s="74">
        <f t="shared" si="343"/>
        <v>205.6636625</v>
      </c>
    </row>
    <row r="583" customFormat="1" spans="1:31">
      <c r="A583" s="18"/>
      <c r="B583" s="19"/>
      <c r="C583" s="20">
        <v>240719000012</v>
      </c>
      <c r="D583" s="21">
        <v>45495</v>
      </c>
      <c r="E583" s="21" t="s">
        <v>58</v>
      </c>
      <c r="F583" s="19" t="s">
        <v>59</v>
      </c>
      <c r="G583" s="19" t="s">
        <v>431</v>
      </c>
      <c r="H583" s="19">
        <v>2.5</v>
      </c>
      <c r="I583" s="41">
        <v>287</v>
      </c>
      <c r="J583" s="42"/>
      <c r="K583" s="43"/>
      <c r="L583" s="19"/>
      <c r="M583" s="43"/>
      <c r="N583" s="44"/>
      <c r="O583" s="45">
        <f t="shared" ref="O583:O586" si="350">SUM(I583)</f>
        <v>287</v>
      </c>
      <c r="P583" s="51"/>
      <c r="Q583" s="51"/>
      <c r="R583" s="74">
        <f t="shared" si="339"/>
        <v>195.3125</v>
      </c>
      <c r="S583" s="74"/>
      <c r="T583" s="75">
        <f t="shared" si="348"/>
        <v>2.73359375</v>
      </c>
      <c r="U583" s="74"/>
      <c r="V583" s="74"/>
      <c r="W583" s="76">
        <f t="shared" si="344"/>
        <v>198.04609375</v>
      </c>
      <c r="X583" s="77">
        <f t="shared" si="349"/>
        <v>3.9890625</v>
      </c>
      <c r="Y583" s="77"/>
      <c r="Z583" s="77"/>
      <c r="AA583" s="77">
        <f t="shared" si="345"/>
        <v>3.9890625</v>
      </c>
      <c r="AB583" s="87">
        <v>7.26</v>
      </c>
      <c r="AC583" s="74">
        <f t="shared" si="346"/>
        <v>28.96059375</v>
      </c>
      <c r="AD583" s="74">
        <f t="shared" si="347"/>
        <v>227.0066875</v>
      </c>
      <c r="AE583" s="74">
        <f t="shared" si="343"/>
        <v>59.9933125</v>
      </c>
    </row>
    <row r="584" customFormat="1" spans="1:31">
      <c r="A584" s="18"/>
      <c r="B584" s="19"/>
      <c r="C584" s="20">
        <v>240719000016</v>
      </c>
      <c r="D584" s="21">
        <v>45495</v>
      </c>
      <c r="E584" s="21" t="s">
        <v>37</v>
      </c>
      <c r="F584" s="19" t="s">
        <v>37</v>
      </c>
      <c r="G584" s="19" t="s">
        <v>85</v>
      </c>
      <c r="H584" s="19">
        <v>5</v>
      </c>
      <c r="I584" s="41">
        <v>600</v>
      </c>
      <c r="J584" s="42"/>
      <c r="K584" s="43"/>
      <c r="L584" s="19"/>
      <c r="M584" s="43"/>
      <c r="N584" s="44"/>
      <c r="O584" s="45">
        <f t="shared" si="350"/>
        <v>600</v>
      </c>
      <c r="P584" s="51"/>
      <c r="Q584" s="51"/>
      <c r="R584" s="74">
        <f t="shared" si="339"/>
        <v>390.625</v>
      </c>
      <c r="S584" s="74"/>
      <c r="T584" s="75">
        <f t="shared" si="348"/>
        <v>5.4671875</v>
      </c>
      <c r="U584" s="74"/>
      <c r="V584" s="74"/>
      <c r="W584" s="76">
        <f t="shared" si="344"/>
        <v>396.0921875</v>
      </c>
      <c r="X584" s="77">
        <f t="shared" si="349"/>
        <v>7.978125</v>
      </c>
      <c r="Y584" s="77"/>
      <c r="Z584" s="77"/>
      <c r="AA584" s="77">
        <f t="shared" si="345"/>
        <v>7.978125</v>
      </c>
      <c r="AB584" s="87">
        <v>7.26</v>
      </c>
      <c r="AC584" s="74">
        <f t="shared" si="346"/>
        <v>57.9211875</v>
      </c>
      <c r="AD584" s="74">
        <f t="shared" si="347"/>
        <v>454.013375</v>
      </c>
      <c r="AE584" s="74">
        <f t="shared" si="343"/>
        <v>145.986625</v>
      </c>
    </row>
    <row r="585" customFormat="1" spans="1:31">
      <c r="A585" s="18"/>
      <c r="B585" s="19"/>
      <c r="C585" s="20">
        <v>240719000027</v>
      </c>
      <c r="D585" s="21">
        <v>45495</v>
      </c>
      <c r="E585" s="21" t="s">
        <v>37</v>
      </c>
      <c r="F585" s="19" t="s">
        <v>37</v>
      </c>
      <c r="G585" s="19" t="s">
        <v>179</v>
      </c>
      <c r="H585" s="19">
        <v>10</v>
      </c>
      <c r="I585" s="41">
        <v>1200</v>
      </c>
      <c r="J585" s="42"/>
      <c r="K585" s="43"/>
      <c r="L585" s="19"/>
      <c r="M585" s="43"/>
      <c r="N585" s="44"/>
      <c r="O585" s="45">
        <f t="shared" si="350"/>
        <v>1200</v>
      </c>
      <c r="P585" s="51"/>
      <c r="Q585" s="51"/>
      <c r="R585" s="74">
        <f t="shared" si="339"/>
        <v>781.25</v>
      </c>
      <c r="S585" s="74"/>
      <c r="T585" s="75">
        <f t="shared" si="348"/>
        <v>10.934375</v>
      </c>
      <c r="U585" s="74"/>
      <c r="V585" s="74"/>
      <c r="W585" s="76">
        <f t="shared" si="344"/>
        <v>792.184375</v>
      </c>
      <c r="X585" s="77">
        <f t="shared" si="349"/>
        <v>15.95625</v>
      </c>
      <c r="Y585" s="77"/>
      <c r="Z585" s="77"/>
      <c r="AA585" s="77">
        <f t="shared" si="345"/>
        <v>15.95625</v>
      </c>
      <c r="AB585" s="87">
        <v>7.26</v>
      </c>
      <c r="AC585" s="74">
        <f t="shared" si="346"/>
        <v>115.842375</v>
      </c>
      <c r="AD585" s="74">
        <f t="shared" si="347"/>
        <v>908.02675</v>
      </c>
      <c r="AE585" s="74">
        <f t="shared" si="343"/>
        <v>291.97325</v>
      </c>
    </row>
    <row r="586" customFormat="1" spans="1:31">
      <c r="A586" s="18"/>
      <c r="B586" s="19"/>
      <c r="C586" s="20">
        <v>240720000013</v>
      </c>
      <c r="D586" s="21">
        <v>45495</v>
      </c>
      <c r="E586" s="21" t="s">
        <v>47</v>
      </c>
      <c r="F586" s="19" t="s">
        <v>48</v>
      </c>
      <c r="G586" s="19" t="s">
        <v>160</v>
      </c>
      <c r="H586" s="19">
        <v>0.88</v>
      </c>
      <c r="I586" s="41">
        <v>115</v>
      </c>
      <c r="J586" s="42"/>
      <c r="K586" s="43"/>
      <c r="L586" s="19"/>
      <c r="M586" s="43"/>
      <c r="N586" s="44"/>
      <c r="O586" s="45">
        <f t="shared" si="350"/>
        <v>115</v>
      </c>
      <c r="P586" s="51"/>
      <c r="Q586" s="51"/>
      <c r="R586" s="74">
        <f t="shared" si="339"/>
        <v>68.75</v>
      </c>
      <c r="S586" s="74"/>
      <c r="T586" s="75">
        <f t="shared" si="348"/>
        <v>0.962225</v>
      </c>
      <c r="U586" s="74"/>
      <c r="V586" s="74"/>
      <c r="W586" s="76">
        <f t="shared" si="344"/>
        <v>69.712225</v>
      </c>
      <c r="X586" s="77">
        <f t="shared" si="349"/>
        <v>1.40415</v>
      </c>
      <c r="Y586" s="77"/>
      <c r="Z586" s="77"/>
      <c r="AA586" s="77">
        <f t="shared" si="345"/>
        <v>1.40415</v>
      </c>
      <c r="AB586" s="87">
        <v>7.26</v>
      </c>
      <c r="AC586" s="74">
        <f t="shared" si="346"/>
        <v>10.194129</v>
      </c>
      <c r="AD586" s="74">
        <f t="shared" si="347"/>
        <v>79.906354</v>
      </c>
      <c r="AE586" s="74">
        <f t="shared" ref="AE586:AE594" si="351">SUM(O586-AD586)</f>
        <v>35.093646</v>
      </c>
    </row>
    <row r="587" customFormat="1" spans="1:31">
      <c r="A587" s="18"/>
      <c r="B587" s="19"/>
      <c r="C587" s="20">
        <v>240721000003</v>
      </c>
      <c r="D587" s="21">
        <v>45495</v>
      </c>
      <c r="E587" s="21" t="s">
        <v>37</v>
      </c>
      <c r="F587" s="19" t="s">
        <v>37</v>
      </c>
      <c r="G587" s="19" t="s">
        <v>432</v>
      </c>
      <c r="H587" s="19">
        <v>7</v>
      </c>
      <c r="I587" s="45"/>
      <c r="J587" s="48">
        <v>179566</v>
      </c>
      <c r="K587" s="43"/>
      <c r="L587" s="49">
        <f>SUM(J587/M587)</f>
        <v>1605.99230838029</v>
      </c>
      <c r="M587" s="50">
        <v>111.81</v>
      </c>
      <c r="N587" s="44">
        <v>7.26</v>
      </c>
      <c r="O587" s="45">
        <f>SUM(M587*N587)</f>
        <v>811.7406</v>
      </c>
      <c r="P587" s="52"/>
      <c r="Q587" s="52"/>
      <c r="R587" s="74">
        <f t="shared" si="339"/>
        <v>546.875</v>
      </c>
      <c r="S587" s="74"/>
      <c r="T587" s="75">
        <f t="shared" si="348"/>
        <v>7.6540625</v>
      </c>
      <c r="U587" s="74"/>
      <c r="V587" s="74"/>
      <c r="W587" s="76">
        <f t="shared" si="344"/>
        <v>554.5290625</v>
      </c>
      <c r="X587" s="77">
        <f t="shared" si="349"/>
        <v>11.169375</v>
      </c>
      <c r="Y587" s="77"/>
      <c r="Z587" s="77"/>
      <c r="AA587" s="77">
        <f t="shared" ref="AA587:AA594" si="352">SUM(X587:Z587)</f>
        <v>11.169375</v>
      </c>
      <c r="AB587" s="87">
        <v>7.26</v>
      </c>
      <c r="AC587" s="74">
        <f t="shared" ref="AC587:AC594" si="353">SUM(AA587*AB587)</f>
        <v>81.0896625</v>
      </c>
      <c r="AD587" s="74">
        <f t="shared" ref="AD587:AD594" si="354">SUM(W587+AC587)</f>
        <v>635.618725</v>
      </c>
      <c r="AE587" s="74">
        <f t="shared" si="351"/>
        <v>176.121875</v>
      </c>
    </row>
    <row r="588" customFormat="1" spans="1:31">
      <c r="A588" s="18" t="s">
        <v>433</v>
      </c>
      <c r="B588" s="19" t="s">
        <v>434</v>
      </c>
      <c r="C588" s="20">
        <v>240719000022</v>
      </c>
      <c r="D588" s="21">
        <v>45496</v>
      </c>
      <c r="E588" s="21" t="s">
        <v>44</v>
      </c>
      <c r="F588" s="19" t="s">
        <v>51</v>
      </c>
      <c r="G588" s="19" t="s">
        <v>52</v>
      </c>
      <c r="H588" s="19">
        <v>0.84</v>
      </c>
      <c r="I588" s="45"/>
      <c r="J588" s="48">
        <v>21681</v>
      </c>
      <c r="K588" s="43"/>
      <c r="L588" s="49">
        <f>SUM(J588/M588)</f>
        <v>1357.60801502818</v>
      </c>
      <c r="M588" s="50">
        <v>15.97</v>
      </c>
      <c r="N588" s="44">
        <v>7.26</v>
      </c>
      <c r="O588" s="45">
        <f>SUM(M588*N588)</f>
        <v>115.9422</v>
      </c>
      <c r="P588" s="46">
        <f>SUM(O588:O594)</f>
        <v>7683.1677096</v>
      </c>
      <c r="Q588" s="46" t="s">
        <v>39</v>
      </c>
      <c r="R588" s="74">
        <f>SUM(5000/64)*H588</f>
        <v>65.625</v>
      </c>
      <c r="S588" s="74"/>
      <c r="T588" s="75">
        <f>SUM(54.99/64)*H588</f>
        <v>0.72174375</v>
      </c>
      <c r="U588" s="74"/>
      <c r="V588" s="74"/>
      <c r="W588" s="76">
        <f t="shared" ref="W588:W594" si="355">SUM(R588:V588)</f>
        <v>66.34674375</v>
      </c>
      <c r="X588" s="77">
        <f>SUM(81.04/64)*H588</f>
        <v>1.06365</v>
      </c>
      <c r="Y588" s="77"/>
      <c r="Z588" s="77"/>
      <c r="AA588" s="77">
        <f t="shared" si="352"/>
        <v>1.06365</v>
      </c>
      <c r="AB588" s="87">
        <v>7.26</v>
      </c>
      <c r="AC588" s="74">
        <f t="shared" si="353"/>
        <v>7.722099</v>
      </c>
      <c r="AD588" s="74">
        <f t="shared" si="354"/>
        <v>74.06884275</v>
      </c>
      <c r="AE588" s="74">
        <f t="shared" si="351"/>
        <v>41.87335725</v>
      </c>
    </row>
    <row r="589" customFormat="1" spans="1:31">
      <c r="A589" s="18"/>
      <c r="B589" s="19"/>
      <c r="C589" s="20">
        <v>240719000023</v>
      </c>
      <c r="D589" s="21">
        <v>45496</v>
      </c>
      <c r="E589" s="21" t="s">
        <v>40</v>
      </c>
      <c r="F589" s="19" t="s">
        <v>41</v>
      </c>
      <c r="G589" s="19" t="s">
        <v>277</v>
      </c>
      <c r="H589" s="19">
        <v>1.5</v>
      </c>
      <c r="I589" s="41">
        <v>172.5</v>
      </c>
      <c r="J589" s="42"/>
      <c r="K589" s="43"/>
      <c r="L589" s="19"/>
      <c r="M589" s="43"/>
      <c r="N589" s="44"/>
      <c r="O589" s="45">
        <f t="shared" ref="O589:O593" si="356">SUM(I589)</f>
        <v>172.5</v>
      </c>
      <c r="P589" s="51"/>
      <c r="Q589" s="51"/>
      <c r="R589" s="74">
        <f t="shared" ref="R589:R594" si="357">SUM(5000/64)*H589</f>
        <v>117.1875</v>
      </c>
      <c r="S589" s="74"/>
      <c r="T589" s="75">
        <f t="shared" ref="T589:T594" si="358">SUM(54.99/64)*H589</f>
        <v>1.288828125</v>
      </c>
      <c r="U589" s="74"/>
      <c r="V589" s="74"/>
      <c r="W589" s="76">
        <f t="shared" si="355"/>
        <v>118.476328125</v>
      </c>
      <c r="X589" s="77">
        <f t="shared" ref="X589:X594" si="359">SUM(81.04/64)*H589</f>
        <v>1.899375</v>
      </c>
      <c r="Y589" s="77"/>
      <c r="Z589" s="77"/>
      <c r="AA589" s="77">
        <f t="shared" si="352"/>
        <v>1.899375</v>
      </c>
      <c r="AB589" s="87">
        <v>7.26</v>
      </c>
      <c r="AC589" s="74">
        <f t="shared" si="353"/>
        <v>13.7894625</v>
      </c>
      <c r="AD589" s="74">
        <f t="shared" si="354"/>
        <v>132.265790625</v>
      </c>
      <c r="AE589" s="74">
        <f t="shared" si="351"/>
        <v>40.234209375</v>
      </c>
    </row>
    <row r="590" customFormat="1" spans="1:31">
      <c r="A590" s="18"/>
      <c r="B590" s="19"/>
      <c r="C590" s="20">
        <v>240719000033</v>
      </c>
      <c r="D590" s="21">
        <v>45496</v>
      </c>
      <c r="E590" s="21" t="s">
        <v>55</v>
      </c>
      <c r="F590" s="19" t="s">
        <v>56</v>
      </c>
      <c r="G590" s="19" t="s">
        <v>343</v>
      </c>
      <c r="H590" s="19">
        <v>5.5</v>
      </c>
      <c r="I590" s="41">
        <v>664.5</v>
      </c>
      <c r="J590" s="42"/>
      <c r="K590" s="43"/>
      <c r="L590" s="19"/>
      <c r="M590" s="43"/>
      <c r="N590" s="44"/>
      <c r="O590" s="45">
        <f t="shared" si="356"/>
        <v>664.5</v>
      </c>
      <c r="P590" s="51"/>
      <c r="Q590" s="51"/>
      <c r="R590" s="74">
        <f t="shared" si="357"/>
        <v>429.6875</v>
      </c>
      <c r="S590" s="74"/>
      <c r="T590" s="75">
        <f t="shared" si="358"/>
        <v>4.725703125</v>
      </c>
      <c r="U590" s="74"/>
      <c r="V590" s="74"/>
      <c r="W590" s="76">
        <f t="shared" si="355"/>
        <v>434.413203125</v>
      </c>
      <c r="X590" s="77">
        <f t="shared" si="359"/>
        <v>6.964375</v>
      </c>
      <c r="Y590" s="77"/>
      <c r="Z590" s="77"/>
      <c r="AA590" s="77">
        <f t="shared" si="352"/>
        <v>6.964375</v>
      </c>
      <c r="AB590" s="87">
        <v>7.26</v>
      </c>
      <c r="AC590" s="74">
        <f t="shared" si="353"/>
        <v>50.5613625</v>
      </c>
      <c r="AD590" s="74">
        <f t="shared" si="354"/>
        <v>484.974565625</v>
      </c>
      <c r="AE590" s="74">
        <f t="shared" si="351"/>
        <v>179.525434375</v>
      </c>
    </row>
    <row r="591" customFormat="1" spans="1:31">
      <c r="A591" s="18"/>
      <c r="B591" s="19"/>
      <c r="C591" s="20">
        <v>240720000016</v>
      </c>
      <c r="D591" s="21">
        <v>45496</v>
      </c>
      <c r="E591" s="21" t="s">
        <v>37</v>
      </c>
      <c r="F591" s="19" t="s">
        <v>37</v>
      </c>
      <c r="G591" s="19" t="s">
        <v>85</v>
      </c>
      <c r="H591" s="19">
        <v>1.5</v>
      </c>
      <c r="I591" s="41">
        <v>180</v>
      </c>
      <c r="J591" s="42"/>
      <c r="K591" s="43"/>
      <c r="L591" s="19"/>
      <c r="M591" s="43"/>
      <c r="N591" s="44"/>
      <c r="O591" s="45">
        <f t="shared" si="356"/>
        <v>180</v>
      </c>
      <c r="P591" s="51"/>
      <c r="Q591" s="51"/>
      <c r="R591" s="74">
        <f t="shared" si="357"/>
        <v>117.1875</v>
      </c>
      <c r="S591" s="74"/>
      <c r="T591" s="75">
        <f t="shared" si="358"/>
        <v>1.288828125</v>
      </c>
      <c r="U591" s="74"/>
      <c r="V591" s="74"/>
      <c r="W591" s="76">
        <f t="shared" si="355"/>
        <v>118.476328125</v>
      </c>
      <c r="X591" s="77">
        <f t="shared" si="359"/>
        <v>1.899375</v>
      </c>
      <c r="Y591" s="77"/>
      <c r="Z591" s="77"/>
      <c r="AA591" s="77">
        <f t="shared" si="352"/>
        <v>1.899375</v>
      </c>
      <c r="AB591" s="87">
        <v>7.26</v>
      </c>
      <c r="AC591" s="74">
        <f t="shared" si="353"/>
        <v>13.7894625</v>
      </c>
      <c r="AD591" s="74">
        <f t="shared" si="354"/>
        <v>132.265790625</v>
      </c>
      <c r="AE591" s="74">
        <f t="shared" si="351"/>
        <v>47.734209375</v>
      </c>
    </row>
    <row r="592" customFormat="1" spans="1:31">
      <c r="A592" s="18"/>
      <c r="B592" s="19"/>
      <c r="C592" s="20">
        <v>240722000009</v>
      </c>
      <c r="D592" s="21">
        <v>45496</v>
      </c>
      <c r="E592" s="21" t="s">
        <v>58</v>
      </c>
      <c r="F592" s="19" t="s">
        <v>59</v>
      </c>
      <c r="G592" s="19" t="s">
        <v>60</v>
      </c>
      <c r="H592" s="19">
        <v>5.5</v>
      </c>
      <c r="I592" s="41">
        <v>660</v>
      </c>
      <c r="J592" s="42"/>
      <c r="K592" s="43"/>
      <c r="L592" s="19"/>
      <c r="M592" s="43"/>
      <c r="N592" s="44"/>
      <c r="O592" s="45">
        <f t="shared" si="356"/>
        <v>660</v>
      </c>
      <c r="P592" s="51"/>
      <c r="Q592" s="51"/>
      <c r="R592" s="74">
        <f t="shared" si="357"/>
        <v>429.6875</v>
      </c>
      <c r="S592" s="74"/>
      <c r="T592" s="75">
        <f t="shared" si="358"/>
        <v>4.725703125</v>
      </c>
      <c r="U592" s="74"/>
      <c r="V592" s="74"/>
      <c r="W592" s="76">
        <f t="shared" si="355"/>
        <v>434.413203125</v>
      </c>
      <c r="X592" s="77">
        <f t="shared" si="359"/>
        <v>6.964375</v>
      </c>
      <c r="Y592" s="77"/>
      <c r="Z592" s="77"/>
      <c r="AA592" s="77">
        <f t="shared" si="352"/>
        <v>6.964375</v>
      </c>
      <c r="AB592" s="87">
        <v>7.26</v>
      </c>
      <c r="AC592" s="74">
        <f t="shared" si="353"/>
        <v>50.5613625</v>
      </c>
      <c r="AD592" s="74">
        <f t="shared" si="354"/>
        <v>484.974565625</v>
      </c>
      <c r="AE592" s="74">
        <f t="shared" si="351"/>
        <v>175.025434375</v>
      </c>
    </row>
    <row r="593" customFormat="1" spans="1:31">
      <c r="A593" s="18"/>
      <c r="B593" s="19"/>
      <c r="C593" s="20">
        <v>240722000010</v>
      </c>
      <c r="D593" s="21">
        <v>45496</v>
      </c>
      <c r="E593" s="21" t="s">
        <v>58</v>
      </c>
      <c r="F593" s="19" t="s">
        <v>59</v>
      </c>
      <c r="G593" s="19" t="s">
        <v>60</v>
      </c>
      <c r="H593" s="19">
        <v>8.5</v>
      </c>
      <c r="I593" s="41">
        <v>1020</v>
      </c>
      <c r="J593" s="42"/>
      <c r="K593" s="43"/>
      <c r="L593" s="19"/>
      <c r="M593" s="43"/>
      <c r="N593" s="44"/>
      <c r="O593" s="45">
        <f t="shared" si="356"/>
        <v>1020</v>
      </c>
      <c r="P593" s="51"/>
      <c r="Q593" s="51"/>
      <c r="R593" s="74">
        <f t="shared" si="357"/>
        <v>664.0625</v>
      </c>
      <c r="S593" s="74"/>
      <c r="T593" s="75">
        <f t="shared" si="358"/>
        <v>7.303359375</v>
      </c>
      <c r="U593" s="74"/>
      <c r="V593" s="74"/>
      <c r="W593" s="76">
        <f t="shared" ref="W593:W624" si="360">SUM(R593:V593)</f>
        <v>671.365859375</v>
      </c>
      <c r="X593" s="77">
        <f t="shared" si="359"/>
        <v>10.763125</v>
      </c>
      <c r="Y593" s="77"/>
      <c r="Z593" s="77"/>
      <c r="AA593" s="77">
        <f t="shared" si="352"/>
        <v>10.763125</v>
      </c>
      <c r="AB593" s="87">
        <v>7.26</v>
      </c>
      <c r="AC593" s="74">
        <f t="shared" si="353"/>
        <v>78.1402875</v>
      </c>
      <c r="AD593" s="74">
        <f t="shared" si="354"/>
        <v>749.506146875</v>
      </c>
      <c r="AE593" s="74">
        <f t="shared" si="351"/>
        <v>270.493853125</v>
      </c>
    </row>
    <row r="594" customFormat="1" spans="1:31">
      <c r="A594" s="18"/>
      <c r="B594" s="19"/>
      <c r="C594" s="20">
        <v>240722000030</v>
      </c>
      <c r="D594" s="21">
        <v>45496</v>
      </c>
      <c r="E594" s="21" t="s">
        <v>37</v>
      </c>
      <c r="F594" s="19" t="s">
        <v>53</v>
      </c>
      <c r="G594" s="19" t="s">
        <v>115</v>
      </c>
      <c r="H594" s="19">
        <v>42</v>
      </c>
      <c r="I594" s="45"/>
      <c r="J594" s="48">
        <v>1077352.91</v>
      </c>
      <c r="K594" s="43"/>
      <c r="L594" s="49">
        <f>SUM(J594/M594)</f>
        <v>1605.99999141362</v>
      </c>
      <c r="M594" s="50">
        <v>670.82996</v>
      </c>
      <c r="N594" s="44">
        <v>7.26</v>
      </c>
      <c r="O594" s="45">
        <f>SUM(M594*N594)</f>
        <v>4870.2255096</v>
      </c>
      <c r="P594" s="52"/>
      <c r="Q594" s="52"/>
      <c r="R594" s="74">
        <f t="shared" si="357"/>
        <v>3281.25</v>
      </c>
      <c r="S594" s="74"/>
      <c r="T594" s="75">
        <f t="shared" si="358"/>
        <v>36.0871875</v>
      </c>
      <c r="U594" s="74"/>
      <c r="V594" s="74"/>
      <c r="W594" s="76">
        <f t="shared" si="360"/>
        <v>3317.3371875</v>
      </c>
      <c r="X594" s="77">
        <f t="shared" si="359"/>
        <v>53.1825</v>
      </c>
      <c r="Y594" s="77"/>
      <c r="Z594" s="77"/>
      <c r="AA594" s="77">
        <f t="shared" ref="AA594:AA625" si="361">SUM(X594:Z594)</f>
        <v>53.1825</v>
      </c>
      <c r="AB594" s="87">
        <v>7.26</v>
      </c>
      <c r="AC594" s="74">
        <f t="shared" ref="AC594:AC625" si="362">SUM(AA594*AB594)</f>
        <v>386.10495</v>
      </c>
      <c r="AD594" s="74">
        <f t="shared" si="354"/>
        <v>3703.4421375</v>
      </c>
      <c r="AE594" s="74">
        <f t="shared" si="351"/>
        <v>1166.7833721</v>
      </c>
    </row>
    <row r="595" customFormat="1" spans="1:31">
      <c r="A595" s="18" t="s">
        <v>435</v>
      </c>
      <c r="B595" s="19" t="s">
        <v>436</v>
      </c>
      <c r="C595" s="107">
        <v>240713000002</v>
      </c>
      <c r="D595" s="21">
        <v>45497</v>
      </c>
      <c r="E595" s="21" t="s">
        <v>44</v>
      </c>
      <c r="F595" s="19" t="s">
        <v>45</v>
      </c>
      <c r="G595" s="19" t="s">
        <v>437</v>
      </c>
      <c r="H595" s="19">
        <v>557.5</v>
      </c>
      <c r="I595" s="41">
        <v>30662.5</v>
      </c>
      <c r="J595" s="42"/>
      <c r="K595" s="43"/>
      <c r="L595" s="19"/>
      <c r="M595" s="43"/>
      <c r="N595" s="44"/>
      <c r="O595" s="45">
        <f t="shared" ref="O595:O597" si="363">SUM(I595)</f>
        <v>30662.5</v>
      </c>
      <c r="P595" s="46">
        <f>SUM(O595:O649)</f>
        <v>245381.811</v>
      </c>
      <c r="Q595" s="46" t="s">
        <v>130</v>
      </c>
      <c r="R595" s="74">
        <f>SUM(179076/4274)*H595</f>
        <v>23358.6499766027</v>
      </c>
      <c r="S595" s="74"/>
      <c r="T595" s="75">
        <f>SUM(299.59/4274)*H595</f>
        <v>39.0784803462798</v>
      </c>
      <c r="U595" s="74"/>
      <c r="V595" s="74"/>
      <c r="W595" s="76">
        <f t="shared" si="360"/>
        <v>23397.728456949</v>
      </c>
      <c r="X595" s="77">
        <f>SUM(2730.17/4274)*H595</f>
        <v>356.123017080019</v>
      </c>
      <c r="Y595" s="77"/>
      <c r="Z595" s="77"/>
      <c r="AA595" s="77">
        <f t="shared" si="361"/>
        <v>356.123017080019</v>
      </c>
      <c r="AB595" s="87">
        <v>7.26</v>
      </c>
      <c r="AC595" s="74">
        <f t="shared" si="362"/>
        <v>2585.45310400094</v>
      </c>
      <c r="AD595" s="74">
        <f t="shared" ref="AD595:AD626" si="364">SUM(W595+AC595)</f>
        <v>25983.1815609499</v>
      </c>
      <c r="AE595" s="74">
        <f t="shared" ref="AE595:AE626" si="365">SUM(O595-AD595)</f>
        <v>4679.31843905007</v>
      </c>
    </row>
    <row r="596" customFormat="1" spans="1:31">
      <c r="A596" s="18"/>
      <c r="B596" s="19"/>
      <c r="C596" s="107">
        <v>240713000003</v>
      </c>
      <c r="D596" s="21">
        <v>45497</v>
      </c>
      <c r="E596" s="21" t="s">
        <v>44</v>
      </c>
      <c r="F596" s="19" t="s">
        <v>45</v>
      </c>
      <c r="G596" s="19" t="s">
        <v>437</v>
      </c>
      <c r="H596" s="19">
        <v>351</v>
      </c>
      <c r="I596" s="41">
        <v>19305</v>
      </c>
      <c r="J596" s="42"/>
      <c r="K596" s="43"/>
      <c r="L596" s="19"/>
      <c r="M596" s="43"/>
      <c r="N596" s="44"/>
      <c r="O596" s="45">
        <f t="shared" si="363"/>
        <v>19305</v>
      </c>
      <c r="P596" s="51"/>
      <c r="Q596" s="51"/>
      <c r="R596" s="74">
        <f t="shared" ref="R596:R627" si="366">SUM(179076/4274)*H596</f>
        <v>14706.5222274216</v>
      </c>
      <c r="S596" s="74"/>
      <c r="T596" s="75">
        <f t="shared" ref="T596:T627" si="367">SUM(299.59/4274)*H596</f>
        <v>24.60367103416</v>
      </c>
      <c r="U596" s="74"/>
      <c r="V596" s="74"/>
      <c r="W596" s="76">
        <f t="shared" si="360"/>
        <v>14731.1258984558</v>
      </c>
      <c r="X596" s="77">
        <f t="shared" ref="X596:X627" si="368">SUM(2730.17/4274)*H596</f>
        <v>224.213773982218</v>
      </c>
      <c r="Y596" s="77"/>
      <c r="Z596" s="77"/>
      <c r="AA596" s="77">
        <f t="shared" si="361"/>
        <v>224.213773982218</v>
      </c>
      <c r="AB596" s="87">
        <v>7.26</v>
      </c>
      <c r="AC596" s="74">
        <f t="shared" si="362"/>
        <v>1627.7919991109</v>
      </c>
      <c r="AD596" s="74">
        <f t="shared" si="364"/>
        <v>16358.9178975667</v>
      </c>
      <c r="AE596" s="74">
        <f t="shared" si="365"/>
        <v>2946.08210243332</v>
      </c>
    </row>
    <row r="597" customFormat="1" spans="1:31">
      <c r="A597" s="18"/>
      <c r="B597" s="19"/>
      <c r="C597" s="107">
        <v>240713000015</v>
      </c>
      <c r="D597" s="21">
        <v>45497</v>
      </c>
      <c r="E597" s="21" t="s">
        <v>37</v>
      </c>
      <c r="F597" s="19" t="s">
        <v>37</v>
      </c>
      <c r="G597" s="19" t="s">
        <v>71</v>
      </c>
      <c r="H597" s="19">
        <v>8</v>
      </c>
      <c r="I597" s="41">
        <v>462</v>
      </c>
      <c r="J597" s="42"/>
      <c r="K597" s="43"/>
      <c r="L597" s="19"/>
      <c r="M597" s="43"/>
      <c r="N597" s="44"/>
      <c r="O597" s="45">
        <f t="shared" si="363"/>
        <v>462</v>
      </c>
      <c r="P597" s="51"/>
      <c r="Q597" s="51"/>
      <c r="R597" s="74">
        <f t="shared" si="366"/>
        <v>335.191389798783</v>
      </c>
      <c r="S597" s="74"/>
      <c r="T597" s="75">
        <f t="shared" si="367"/>
        <v>0.560767430978007</v>
      </c>
      <c r="U597" s="74"/>
      <c r="V597" s="74"/>
      <c r="W597" s="76">
        <f t="shared" si="360"/>
        <v>335.752157229761</v>
      </c>
      <c r="X597" s="77">
        <f t="shared" si="368"/>
        <v>5.11028544688816</v>
      </c>
      <c r="Y597" s="77"/>
      <c r="Z597" s="77"/>
      <c r="AA597" s="77">
        <f t="shared" si="361"/>
        <v>5.11028544688816</v>
      </c>
      <c r="AB597" s="87">
        <v>7.26</v>
      </c>
      <c r="AC597" s="74">
        <f t="shared" si="362"/>
        <v>37.1006723444081</v>
      </c>
      <c r="AD597" s="74">
        <f t="shared" si="364"/>
        <v>372.852829574169</v>
      </c>
      <c r="AE597" s="74">
        <f t="shared" si="365"/>
        <v>89.1471704258306</v>
      </c>
    </row>
    <row r="598" customFormat="1" spans="1:31">
      <c r="A598" s="18"/>
      <c r="B598" s="19"/>
      <c r="C598" s="107">
        <v>240714000007</v>
      </c>
      <c r="D598" s="21">
        <v>45497</v>
      </c>
      <c r="E598" s="21" t="s">
        <v>40</v>
      </c>
      <c r="F598" s="19" t="s">
        <v>41</v>
      </c>
      <c r="G598" s="19" t="s">
        <v>86</v>
      </c>
      <c r="H598" s="19">
        <v>166</v>
      </c>
      <c r="I598" s="41">
        <v>406</v>
      </c>
      <c r="J598" s="48">
        <v>1950988</v>
      </c>
      <c r="K598" s="43"/>
      <c r="L598" s="49">
        <f t="shared" ref="L598:L603" si="369">SUM(J598/M598)</f>
        <v>1604.47050502891</v>
      </c>
      <c r="M598" s="50">
        <v>1215.97</v>
      </c>
      <c r="N598" s="44">
        <v>7.26</v>
      </c>
      <c r="O598" s="45">
        <f>SUM(M598*N598+I598)</f>
        <v>9233.9422</v>
      </c>
      <c r="P598" s="51"/>
      <c r="Q598" s="51"/>
      <c r="R598" s="74">
        <f t="shared" si="366"/>
        <v>6955.22133832475</v>
      </c>
      <c r="S598" s="74"/>
      <c r="T598" s="75">
        <f t="shared" si="367"/>
        <v>11.6359241927936</v>
      </c>
      <c r="U598" s="74">
        <v>30</v>
      </c>
      <c r="V598" s="75">
        <v>406</v>
      </c>
      <c r="W598" s="76">
        <f t="shared" si="360"/>
        <v>7402.85726251755</v>
      </c>
      <c r="X598" s="77">
        <f t="shared" si="368"/>
        <v>106.038423022929</v>
      </c>
      <c r="Y598" s="77"/>
      <c r="Z598" s="77"/>
      <c r="AA598" s="77">
        <f t="shared" si="361"/>
        <v>106.038423022929</v>
      </c>
      <c r="AB598" s="87">
        <v>7.26</v>
      </c>
      <c r="AC598" s="74">
        <f t="shared" si="362"/>
        <v>769.838951146467</v>
      </c>
      <c r="AD598" s="74">
        <f t="shared" si="364"/>
        <v>8172.69621366402</v>
      </c>
      <c r="AE598" s="74">
        <f t="shared" si="365"/>
        <v>1061.24598633598</v>
      </c>
    </row>
    <row r="599" customFormat="1" spans="1:31">
      <c r="A599" s="18"/>
      <c r="B599" s="19"/>
      <c r="C599" s="107">
        <v>240715000024</v>
      </c>
      <c r="D599" s="21">
        <v>45497</v>
      </c>
      <c r="E599" s="21" t="s">
        <v>47</v>
      </c>
      <c r="F599" s="19" t="s">
        <v>48</v>
      </c>
      <c r="G599" s="19" t="s">
        <v>158</v>
      </c>
      <c r="H599" s="19">
        <v>3.5</v>
      </c>
      <c r="I599" s="41">
        <v>234</v>
      </c>
      <c r="J599" s="42"/>
      <c r="K599" s="43"/>
      <c r="L599" s="19"/>
      <c r="M599" s="43"/>
      <c r="N599" s="44"/>
      <c r="O599" s="45">
        <f t="shared" ref="O599:O605" si="370">SUM(I599)</f>
        <v>234</v>
      </c>
      <c r="P599" s="51"/>
      <c r="Q599" s="51"/>
      <c r="R599" s="74">
        <f t="shared" si="366"/>
        <v>146.646233036968</v>
      </c>
      <c r="S599" s="74"/>
      <c r="T599" s="75">
        <f t="shared" si="367"/>
        <v>0.245335751052878</v>
      </c>
      <c r="U599" s="74"/>
      <c r="V599" s="74"/>
      <c r="W599" s="76">
        <f t="shared" si="360"/>
        <v>146.891568788021</v>
      </c>
      <c r="X599" s="77">
        <f t="shared" si="368"/>
        <v>2.23574988301357</v>
      </c>
      <c r="Y599" s="77"/>
      <c r="Z599" s="77"/>
      <c r="AA599" s="77">
        <f t="shared" si="361"/>
        <v>2.23574988301357</v>
      </c>
      <c r="AB599" s="87">
        <v>7.26</v>
      </c>
      <c r="AC599" s="74">
        <f t="shared" si="362"/>
        <v>16.2315441506785</v>
      </c>
      <c r="AD599" s="74">
        <f t="shared" si="364"/>
        <v>163.123112938699</v>
      </c>
      <c r="AE599" s="74">
        <f t="shared" si="365"/>
        <v>70.8768870613009</v>
      </c>
    </row>
    <row r="600" customFormat="1" spans="1:31">
      <c r="A600" s="18"/>
      <c r="B600" s="19"/>
      <c r="C600" s="107">
        <v>240715000037</v>
      </c>
      <c r="D600" s="21">
        <v>45497</v>
      </c>
      <c r="E600" s="21" t="s">
        <v>44</v>
      </c>
      <c r="F600" s="19" t="s">
        <v>45</v>
      </c>
      <c r="G600" s="19" t="s">
        <v>325</v>
      </c>
      <c r="H600" s="19">
        <v>0.84</v>
      </c>
      <c r="I600" s="47"/>
      <c r="J600" s="48">
        <v>14112</v>
      </c>
      <c r="K600" s="43"/>
      <c r="L600" s="49">
        <f t="shared" si="369"/>
        <v>1627.68166089965</v>
      </c>
      <c r="M600" s="50">
        <v>8.67</v>
      </c>
      <c r="N600" s="44">
        <v>7.26</v>
      </c>
      <c r="O600" s="45">
        <f t="shared" ref="O600:O603" si="371">SUM(M600*N600)</f>
        <v>62.9442</v>
      </c>
      <c r="P600" s="51"/>
      <c r="Q600" s="51"/>
      <c r="R600" s="74">
        <f t="shared" si="366"/>
        <v>35.1950959288722</v>
      </c>
      <c r="S600" s="74"/>
      <c r="T600" s="75">
        <f t="shared" si="367"/>
        <v>0.0588805802526907</v>
      </c>
      <c r="U600" s="74"/>
      <c r="V600" s="74"/>
      <c r="W600" s="76">
        <f t="shared" si="360"/>
        <v>35.2539765091249</v>
      </c>
      <c r="X600" s="77">
        <f t="shared" si="368"/>
        <v>0.536579971923257</v>
      </c>
      <c r="Y600" s="77"/>
      <c r="Z600" s="77"/>
      <c r="AA600" s="77">
        <f t="shared" si="361"/>
        <v>0.536579971923257</v>
      </c>
      <c r="AB600" s="87">
        <v>7.26</v>
      </c>
      <c r="AC600" s="74">
        <f t="shared" si="362"/>
        <v>3.89557059616284</v>
      </c>
      <c r="AD600" s="74">
        <f t="shared" si="364"/>
        <v>39.1495471052878</v>
      </c>
      <c r="AE600" s="74">
        <f t="shared" si="365"/>
        <v>23.7946528947122</v>
      </c>
    </row>
    <row r="601" customFormat="1" spans="1:31">
      <c r="A601" s="18"/>
      <c r="B601" s="19"/>
      <c r="C601" s="107">
        <v>240715000044</v>
      </c>
      <c r="D601" s="21">
        <v>45497</v>
      </c>
      <c r="E601" s="21" t="s">
        <v>44</v>
      </c>
      <c r="F601" s="19" t="s">
        <v>45</v>
      </c>
      <c r="G601" s="19" t="s">
        <v>438</v>
      </c>
      <c r="H601" s="19">
        <v>22</v>
      </c>
      <c r="I601" s="41">
        <v>1218</v>
      </c>
      <c r="J601" s="42"/>
      <c r="K601" s="43"/>
      <c r="L601" s="19"/>
      <c r="M601" s="43"/>
      <c r="N601" s="44"/>
      <c r="O601" s="45">
        <f t="shared" si="370"/>
        <v>1218</v>
      </c>
      <c r="P601" s="51"/>
      <c r="Q601" s="51"/>
      <c r="R601" s="74">
        <f t="shared" si="366"/>
        <v>921.776321946654</v>
      </c>
      <c r="S601" s="74"/>
      <c r="T601" s="75">
        <f t="shared" si="367"/>
        <v>1.54211043518952</v>
      </c>
      <c r="U601" s="74"/>
      <c r="V601" s="74"/>
      <c r="W601" s="76">
        <f t="shared" si="360"/>
        <v>923.318432381844</v>
      </c>
      <c r="X601" s="77">
        <f t="shared" si="368"/>
        <v>14.0532849789424</v>
      </c>
      <c r="Y601" s="77"/>
      <c r="Z601" s="77"/>
      <c r="AA601" s="77">
        <f t="shared" si="361"/>
        <v>14.0532849789424</v>
      </c>
      <c r="AB601" s="87">
        <v>7.26</v>
      </c>
      <c r="AC601" s="74">
        <f t="shared" si="362"/>
        <v>102.026848947122</v>
      </c>
      <c r="AD601" s="74">
        <f t="shared" si="364"/>
        <v>1025.34528132897</v>
      </c>
      <c r="AE601" s="74">
        <f t="shared" si="365"/>
        <v>192.654718671034</v>
      </c>
    </row>
    <row r="602" customFormat="1" spans="1:31">
      <c r="A602" s="18"/>
      <c r="B602" s="19"/>
      <c r="C602" s="107">
        <v>240716000006</v>
      </c>
      <c r="D602" s="21">
        <v>45497</v>
      </c>
      <c r="E602" s="21" t="s">
        <v>47</v>
      </c>
      <c r="F602" s="19" t="s">
        <v>48</v>
      </c>
      <c r="G602" s="19" t="s">
        <v>439</v>
      </c>
      <c r="H602" s="19">
        <v>42</v>
      </c>
      <c r="I602" s="45"/>
      <c r="J602" s="48">
        <v>520329</v>
      </c>
      <c r="K602" s="43"/>
      <c r="L602" s="49">
        <f t="shared" si="369"/>
        <v>1623.99812734082</v>
      </c>
      <c r="M602" s="50">
        <v>320.4</v>
      </c>
      <c r="N602" s="44">
        <v>7.26</v>
      </c>
      <c r="O602" s="45">
        <f t="shared" si="371"/>
        <v>2326.104</v>
      </c>
      <c r="P602" s="51"/>
      <c r="Q602" s="51"/>
      <c r="R602" s="74">
        <f t="shared" si="366"/>
        <v>1759.75479644361</v>
      </c>
      <c r="S602" s="74"/>
      <c r="T602" s="75">
        <f t="shared" si="367"/>
        <v>2.94402901263453</v>
      </c>
      <c r="U602" s="74"/>
      <c r="V602" s="74"/>
      <c r="W602" s="76">
        <f t="shared" si="360"/>
        <v>1762.69882545625</v>
      </c>
      <c r="X602" s="77">
        <f t="shared" si="368"/>
        <v>26.8289985961628</v>
      </c>
      <c r="Y602" s="77"/>
      <c r="Z602" s="77"/>
      <c r="AA602" s="77">
        <f t="shared" si="361"/>
        <v>26.8289985961628</v>
      </c>
      <c r="AB602" s="87">
        <v>7.26</v>
      </c>
      <c r="AC602" s="74">
        <f t="shared" si="362"/>
        <v>194.778529808142</v>
      </c>
      <c r="AD602" s="74">
        <f t="shared" si="364"/>
        <v>1957.47735526439</v>
      </c>
      <c r="AE602" s="74">
        <f t="shared" si="365"/>
        <v>368.626644735611</v>
      </c>
    </row>
    <row r="603" customFormat="1" spans="1:31">
      <c r="A603" s="18"/>
      <c r="B603" s="19"/>
      <c r="C603" s="107">
        <v>240716000009</v>
      </c>
      <c r="D603" s="21">
        <v>45497</v>
      </c>
      <c r="E603" s="21" t="s">
        <v>44</v>
      </c>
      <c r="F603" s="19" t="s">
        <v>45</v>
      </c>
      <c r="G603" s="19" t="s">
        <v>214</v>
      </c>
      <c r="H603" s="19">
        <v>4.5</v>
      </c>
      <c r="I603" s="47"/>
      <c r="J603" s="48">
        <v>61152</v>
      </c>
      <c r="K603" s="43"/>
      <c r="L603" s="49">
        <f t="shared" si="369"/>
        <v>1626.3829787234</v>
      </c>
      <c r="M603" s="50">
        <v>37.6</v>
      </c>
      <c r="N603" s="44">
        <v>7.26</v>
      </c>
      <c r="O603" s="45">
        <f t="shared" si="371"/>
        <v>272.976</v>
      </c>
      <c r="P603" s="51"/>
      <c r="Q603" s="51"/>
      <c r="R603" s="74">
        <f t="shared" si="366"/>
        <v>188.545156761816</v>
      </c>
      <c r="S603" s="74"/>
      <c r="T603" s="75">
        <f t="shared" si="367"/>
        <v>0.315431679925129</v>
      </c>
      <c r="U603" s="74"/>
      <c r="V603" s="74"/>
      <c r="W603" s="76">
        <f t="shared" si="360"/>
        <v>188.860588441741</v>
      </c>
      <c r="X603" s="77">
        <f t="shared" si="368"/>
        <v>2.87453556387459</v>
      </c>
      <c r="Y603" s="77"/>
      <c r="Z603" s="77"/>
      <c r="AA603" s="77">
        <f t="shared" si="361"/>
        <v>2.87453556387459</v>
      </c>
      <c r="AB603" s="87">
        <v>7.26</v>
      </c>
      <c r="AC603" s="74">
        <f t="shared" si="362"/>
        <v>20.8691281937295</v>
      </c>
      <c r="AD603" s="74">
        <f t="shared" si="364"/>
        <v>209.72971663547</v>
      </c>
      <c r="AE603" s="74">
        <f t="shared" si="365"/>
        <v>63.2462833645297</v>
      </c>
    </row>
    <row r="604" customFormat="1" spans="1:31">
      <c r="A604" s="18"/>
      <c r="B604" s="19"/>
      <c r="C604" s="107">
        <v>240716000010</v>
      </c>
      <c r="D604" s="21">
        <v>45497</v>
      </c>
      <c r="E604" s="21" t="s">
        <v>40</v>
      </c>
      <c r="F604" s="19" t="s">
        <v>41</v>
      </c>
      <c r="G604" s="19" t="s">
        <v>440</v>
      </c>
      <c r="H604" s="19">
        <v>9.5</v>
      </c>
      <c r="I604" s="41">
        <v>982.5</v>
      </c>
      <c r="J604" s="42"/>
      <c r="K604" s="43"/>
      <c r="L604" s="19"/>
      <c r="M604" s="43"/>
      <c r="N604" s="44"/>
      <c r="O604" s="45">
        <f t="shared" si="370"/>
        <v>982.5</v>
      </c>
      <c r="P604" s="51"/>
      <c r="Q604" s="51"/>
      <c r="R604" s="74">
        <f t="shared" si="366"/>
        <v>398.039775386055</v>
      </c>
      <c r="S604" s="74"/>
      <c r="T604" s="75">
        <f t="shared" si="367"/>
        <v>0.665911324286383</v>
      </c>
      <c r="U604" s="74"/>
      <c r="V604" s="74"/>
      <c r="W604" s="76">
        <f t="shared" si="360"/>
        <v>398.705686710342</v>
      </c>
      <c r="X604" s="77">
        <f t="shared" si="368"/>
        <v>6.06846396817969</v>
      </c>
      <c r="Y604" s="77">
        <v>11.7</v>
      </c>
      <c r="Z604" s="77"/>
      <c r="AA604" s="77">
        <f t="shared" si="361"/>
        <v>17.7684639681797</v>
      </c>
      <c r="AB604" s="87">
        <v>7.26</v>
      </c>
      <c r="AC604" s="74">
        <f t="shared" si="362"/>
        <v>128.999048408985</v>
      </c>
      <c r="AD604" s="74">
        <f t="shared" si="364"/>
        <v>527.704735119326</v>
      </c>
      <c r="AE604" s="74">
        <f t="shared" si="365"/>
        <v>454.795264880674</v>
      </c>
    </row>
    <row r="605" customFormat="1" spans="1:31">
      <c r="A605" s="18"/>
      <c r="B605" s="19"/>
      <c r="C605" s="107">
        <v>240716000020</v>
      </c>
      <c r="D605" s="21">
        <v>45497</v>
      </c>
      <c r="E605" s="21" t="s">
        <v>44</v>
      </c>
      <c r="F605" s="19" t="s">
        <v>45</v>
      </c>
      <c r="G605" s="19" t="s">
        <v>441</v>
      </c>
      <c r="H605" s="19">
        <v>5</v>
      </c>
      <c r="I605" s="41">
        <v>323</v>
      </c>
      <c r="J605" s="42"/>
      <c r="K605" s="43"/>
      <c r="L605" s="19"/>
      <c r="M605" s="43"/>
      <c r="N605" s="44"/>
      <c r="O605" s="45">
        <f t="shared" si="370"/>
        <v>323</v>
      </c>
      <c r="P605" s="51"/>
      <c r="Q605" s="51"/>
      <c r="R605" s="74">
        <f t="shared" si="366"/>
        <v>209.49461862424</v>
      </c>
      <c r="S605" s="74"/>
      <c r="T605" s="75">
        <f t="shared" si="367"/>
        <v>0.350479644361254</v>
      </c>
      <c r="U605" s="74"/>
      <c r="V605" s="74"/>
      <c r="W605" s="76">
        <f t="shared" si="360"/>
        <v>209.845098268601</v>
      </c>
      <c r="X605" s="77">
        <f t="shared" si="368"/>
        <v>3.1939284043051</v>
      </c>
      <c r="Y605" s="77"/>
      <c r="Z605" s="77"/>
      <c r="AA605" s="77">
        <f t="shared" si="361"/>
        <v>3.1939284043051</v>
      </c>
      <c r="AB605" s="87">
        <v>7.26</v>
      </c>
      <c r="AC605" s="74">
        <f t="shared" si="362"/>
        <v>23.187920215255</v>
      </c>
      <c r="AD605" s="74">
        <f t="shared" si="364"/>
        <v>233.033018483856</v>
      </c>
      <c r="AE605" s="74">
        <f t="shared" si="365"/>
        <v>89.9669815161441</v>
      </c>
    </row>
    <row r="606" customFormat="1" spans="1:31">
      <c r="A606" s="18"/>
      <c r="B606" s="19"/>
      <c r="C606" s="107">
        <v>240716000023</v>
      </c>
      <c r="D606" s="21">
        <v>45497</v>
      </c>
      <c r="E606" s="21" t="s">
        <v>40</v>
      </c>
      <c r="F606" s="19" t="s">
        <v>41</v>
      </c>
      <c r="G606" s="19" t="s">
        <v>87</v>
      </c>
      <c r="H606" s="19">
        <v>43.5</v>
      </c>
      <c r="I606" s="47"/>
      <c r="J606" s="48">
        <v>572721</v>
      </c>
      <c r="K606" s="43"/>
      <c r="L606" s="49">
        <f t="shared" ref="L606:L609" si="372">SUM(J606/M606)</f>
        <v>1648.02313535912</v>
      </c>
      <c r="M606" s="50">
        <v>347.52</v>
      </c>
      <c r="N606" s="44">
        <v>7.26</v>
      </c>
      <c r="O606" s="45">
        <f t="shared" ref="O606:O609" si="373">SUM(M606*N606)</f>
        <v>2522.9952</v>
      </c>
      <c r="P606" s="51"/>
      <c r="Q606" s="51"/>
      <c r="R606" s="74">
        <f t="shared" si="366"/>
        <v>1822.60318203088</v>
      </c>
      <c r="S606" s="74"/>
      <c r="T606" s="75">
        <f t="shared" si="367"/>
        <v>3.04917290594291</v>
      </c>
      <c r="U606" s="74"/>
      <c r="V606" s="74"/>
      <c r="W606" s="76">
        <f t="shared" si="360"/>
        <v>1825.65235493683</v>
      </c>
      <c r="X606" s="77">
        <f t="shared" si="368"/>
        <v>27.7871771174544</v>
      </c>
      <c r="Y606" s="77"/>
      <c r="Z606" s="77"/>
      <c r="AA606" s="77">
        <f t="shared" si="361"/>
        <v>27.7871771174544</v>
      </c>
      <c r="AB606" s="87">
        <v>7.26</v>
      </c>
      <c r="AC606" s="74">
        <f t="shared" si="362"/>
        <v>201.734905872719</v>
      </c>
      <c r="AD606" s="74">
        <f t="shared" si="364"/>
        <v>2027.38726080955</v>
      </c>
      <c r="AE606" s="74">
        <f t="shared" si="365"/>
        <v>495.607939190454</v>
      </c>
    </row>
    <row r="607" customFormat="1" spans="1:31">
      <c r="A607" s="18"/>
      <c r="B607" s="19"/>
      <c r="C607" s="107">
        <v>240716000024</v>
      </c>
      <c r="D607" s="21">
        <v>45497</v>
      </c>
      <c r="E607" s="21" t="s">
        <v>40</v>
      </c>
      <c r="F607" s="19" t="s">
        <v>41</v>
      </c>
      <c r="G607" s="19" t="s">
        <v>87</v>
      </c>
      <c r="H607" s="19">
        <v>32.5</v>
      </c>
      <c r="I607" s="47"/>
      <c r="J607" s="48">
        <v>427895</v>
      </c>
      <c r="K607" s="43"/>
      <c r="L607" s="49">
        <f t="shared" si="372"/>
        <v>1648.03189030966</v>
      </c>
      <c r="M607" s="50">
        <v>259.64</v>
      </c>
      <c r="N607" s="44">
        <v>7.26</v>
      </c>
      <c r="O607" s="45">
        <f t="shared" si="373"/>
        <v>1884.9864</v>
      </c>
      <c r="P607" s="51"/>
      <c r="Q607" s="51"/>
      <c r="R607" s="74">
        <f t="shared" si="366"/>
        <v>1361.71502105756</v>
      </c>
      <c r="S607" s="74"/>
      <c r="T607" s="75">
        <f t="shared" si="367"/>
        <v>2.27811768834815</v>
      </c>
      <c r="U607" s="74"/>
      <c r="V607" s="74"/>
      <c r="W607" s="76">
        <f t="shared" si="360"/>
        <v>1363.99313874591</v>
      </c>
      <c r="X607" s="77">
        <f t="shared" si="368"/>
        <v>20.7605346279832</v>
      </c>
      <c r="Y607" s="77"/>
      <c r="Z607" s="77"/>
      <c r="AA607" s="77">
        <f t="shared" si="361"/>
        <v>20.7605346279832</v>
      </c>
      <c r="AB607" s="87">
        <v>7.26</v>
      </c>
      <c r="AC607" s="74">
        <f t="shared" si="362"/>
        <v>150.721481399158</v>
      </c>
      <c r="AD607" s="74">
        <f t="shared" si="364"/>
        <v>1514.71462014506</v>
      </c>
      <c r="AE607" s="74">
        <f t="shared" si="365"/>
        <v>370.271779854937</v>
      </c>
    </row>
    <row r="608" customFormat="1" spans="1:31">
      <c r="A608" s="18"/>
      <c r="B608" s="19"/>
      <c r="C608" s="107">
        <v>240716000032</v>
      </c>
      <c r="D608" s="21">
        <v>45497</v>
      </c>
      <c r="E608" s="21" t="s">
        <v>44</v>
      </c>
      <c r="F608" s="19" t="s">
        <v>45</v>
      </c>
      <c r="G608" s="19" t="s">
        <v>442</v>
      </c>
      <c r="H608" s="19">
        <v>1.5</v>
      </c>
      <c r="I608" s="41">
        <v>102</v>
      </c>
      <c r="J608" s="42"/>
      <c r="K608" s="43"/>
      <c r="L608" s="49"/>
      <c r="M608" s="43"/>
      <c r="N608" s="44"/>
      <c r="O608" s="45">
        <f t="shared" ref="O608:O613" si="374">SUM(I608)</f>
        <v>102</v>
      </c>
      <c r="P608" s="51"/>
      <c r="Q608" s="51"/>
      <c r="R608" s="74">
        <f t="shared" si="366"/>
        <v>62.8483855872719</v>
      </c>
      <c r="S608" s="74"/>
      <c r="T608" s="75">
        <f t="shared" si="367"/>
        <v>0.105143893308376</v>
      </c>
      <c r="U608" s="74"/>
      <c r="V608" s="74"/>
      <c r="W608" s="76">
        <f t="shared" si="360"/>
        <v>62.9535294805803</v>
      </c>
      <c r="X608" s="77">
        <f t="shared" si="368"/>
        <v>0.95817852129153</v>
      </c>
      <c r="Y608" s="77"/>
      <c r="Z608" s="77"/>
      <c r="AA608" s="77">
        <f t="shared" si="361"/>
        <v>0.95817852129153</v>
      </c>
      <c r="AB608" s="87">
        <v>7.26</v>
      </c>
      <c r="AC608" s="74">
        <f t="shared" si="362"/>
        <v>6.95637606457651</v>
      </c>
      <c r="AD608" s="74">
        <f t="shared" si="364"/>
        <v>69.9099055451568</v>
      </c>
      <c r="AE608" s="74">
        <f t="shared" si="365"/>
        <v>32.0900944548432</v>
      </c>
    </row>
    <row r="609" customFormat="1" spans="1:31">
      <c r="A609" s="18"/>
      <c r="B609" s="19"/>
      <c r="C609" s="107">
        <v>240716000039</v>
      </c>
      <c r="D609" s="21">
        <v>45497</v>
      </c>
      <c r="E609" s="21" t="s">
        <v>47</v>
      </c>
      <c r="F609" s="19" t="s">
        <v>48</v>
      </c>
      <c r="G609" s="19" t="s">
        <v>123</v>
      </c>
      <c r="H609" s="19">
        <v>23.5</v>
      </c>
      <c r="I609" s="47"/>
      <c r="J609" s="48">
        <v>289408</v>
      </c>
      <c r="K609" s="43"/>
      <c r="L609" s="49">
        <f t="shared" si="372"/>
        <v>1568.60704607046</v>
      </c>
      <c r="M609" s="50">
        <v>184.5</v>
      </c>
      <c r="N609" s="44">
        <v>7.26</v>
      </c>
      <c r="O609" s="45">
        <f t="shared" si="373"/>
        <v>1339.47</v>
      </c>
      <c r="P609" s="51"/>
      <c r="Q609" s="51"/>
      <c r="R609" s="74">
        <f t="shared" si="366"/>
        <v>984.624707533926</v>
      </c>
      <c r="S609" s="74"/>
      <c r="T609" s="75">
        <f t="shared" si="367"/>
        <v>1.64725432849789</v>
      </c>
      <c r="U609" s="74"/>
      <c r="V609" s="74"/>
      <c r="W609" s="76">
        <f t="shared" si="360"/>
        <v>986.271961862424</v>
      </c>
      <c r="X609" s="77">
        <f t="shared" si="368"/>
        <v>15.011463500234</v>
      </c>
      <c r="Y609" s="77"/>
      <c r="Z609" s="77"/>
      <c r="AA609" s="77">
        <f t="shared" si="361"/>
        <v>15.011463500234</v>
      </c>
      <c r="AB609" s="87">
        <v>7.26</v>
      </c>
      <c r="AC609" s="74">
        <f t="shared" si="362"/>
        <v>108.983225011699</v>
      </c>
      <c r="AD609" s="74">
        <f t="shared" si="364"/>
        <v>1095.25518687412</v>
      </c>
      <c r="AE609" s="74">
        <f t="shared" si="365"/>
        <v>244.214813125878</v>
      </c>
    </row>
    <row r="610" customFormat="1" spans="1:31">
      <c r="A610" s="18"/>
      <c r="B610" s="19"/>
      <c r="C610" s="107">
        <v>240716000041</v>
      </c>
      <c r="D610" s="21">
        <v>45497</v>
      </c>
      <c r="E610" s="21" t="s">
        <v>58</v>
      </c>
      <c r="F610" s="19" t="s">
        <v>59</v>
      </c>
      <c r="G610" s="19" t="s">
        <v>443</v>
      </c>
      <c r="H610" s="19">
        <v>7</v>
      </c>
      <c r="I610" s="41">
        <v>399</v>
      </c>
      <c r="J610" s="42"/>
      <c r="K610" s="43"/>
      <c r="L610" s="19"/>
      <c r="M610" s="43"/>
      <c r="N610" s="44"/>
      <c r="O610" s="45">
        <f t="shared" si="374"/>
        <v>399</v>
      </c>
      <c r="P610" s="51"/>
      <c r="Q610" s="51"/>
      <c r="R610" s="74">
        <f t="shared" si="366"/>
        <v>293.292466073935</v>
      </c>
      <c r="S610" s="74"/>
      <c r="T610" s="75">
        <f t="shared" si="367"/>
        <v>0.490671502105756</v>
      </c>
      <c r="U610" s="74"/>
      <c r="V610" s="74"/>
      <c r="W610" s="76">
        <f t="shared" si="360"/>
        <v>293.783137576041</v>
      </c>
      <c r="X610" s="77">
        <f t="shared" si="368"/>
        <v>4.47149976602714</v>
      </c>
      <c r="Y610" s="77"/>
      <c r="Z610" s="77"/>
      <c r="AA610" s="77">
        <f t="shared" si="361"/>
        <v>4.47149976602714</v>
      </c>
      <c r="AB610" s="87">
        <v>7.26</v>
      </c>
      <c r="AC610" s="74">
        <f t="shared" si="362"/>
        <v>32.463088301357</v>
      </c>
      <c r="AD610" s="74">
        <f t="shared" si="364"/>
        <v>326.246225877398</v>
      </c>
      <c r="AE610" s="74">
        <f t="shared" si="365"/>
        <v>72.7537741226017</v>
      </c>
    </row>
    <row r="611" customFormat="1" spans="1:31">
      <c r="A611" s="18"/>
      <c r="B611" s="19"/>
      <c r="C611" s="107">
        <v>240716000043</v>
      </c>
      <c r="D611" s="21">
        <v>45497</v>
      </c>
      <c r="E611" s="21" t="s">
        <v>81</v>
      </c>
      <c r="F611" s="19" t="s">
        <v>84</v>
      </c>
      <c r="G611" s="19" t="s">
        <v>85</v>
      </c>
      <c r="H611" s="19">
        <v>2.5</v>
      </c>
      <c r="I611" s="41">
        <v>168</v>
      </c>
      <c r="J611" s="42"/>
      <c r="K611" s="43"/>
      <c r="L611" s="19"/>
      <c r="M611" s="43"/>
      <c r="N611" s="44"/>
      <c r="O611" s="45">
        <f t="shared" si="374"/>
        <v>168</v>
      </c>
      <c r="P611" s="51"/>
      <c r="Q611" s="51"/>
      <c r="R611" s="74">
        <f t="shared" si="366"/>
        <v>104.74730931212</v>
      </c>
      <c r="S611" s="74"/>
      <c r="T611" s="75">
        <f t="shared" si="367"/>
        <v>0.175239822180627</v>
      </c>
      <c r="U611" s="74"/>
      <c r="V611" s="74"/>
      <c r="W611" s="76">
        <f t="shared" si="360"/>
        <v>104.9225491343</v>
      </c>
      <c r="X611" s="77">
        <f t="shared" si="368"/>
        <v>1.59696420215255</v>
      </c>
      <c r="Y611" s="77"/>
      <c r="Z611" s="77"/>
      <c r="AA611" s="77">
        <f t="shared" si="361"/>
        <v>1.59696420215255</v>
      </c>
      <c r="AB611" s="87">
        <v>7.26</v>
      </c>
      <c r="AC611" s="74">
        <f t="shared" si="362"/>
        <v>11.5939601076275</v>
      </c>
      <c r="AD611" s="74">
        <f t="shared" si="364"/>
        <v>116.516509241928</v>
      </c>
      <c r="AE611" s="74">
        <f t="shared" si="365"/>
        <v>51.4834907580721</v>
      </c>
    </row>
    <row r="612" customFormat="1" spans="1:31">
      <c r="A612" s="18"/>
      <c r="B612" s="19"/>
      <c r="C612" s="107">
        <v>240716000044</v>
      </c>
      <c r="D612" s="21">
        <v>45497</v>
      </c>
      <c r="E612" s="21" t="s">
        <v>81</v>
      </c>
      <c r="F612" s="19" t="s">
        <v>84</v>
      </c>
      <c r="G612" s="19" t="s">
        <v>85</v>
      </c>
      <c r="H612" s="19">
        <v>2</v>
      </c>
      <c r="I612" s="41">
        <v>135</v>
      </c>
      <c r="J612" s="42"/>
      <c r="K612" s="43"/>
      <c r="L612" s="19"/>
      <c r="M612" s="43"/>
      <c r="N612" s="44"/>
      <c r="O612" s="45">
        <f t="shared" si="374"/>
        <v>135</v>
      </c>
      <c r="P612" s="51"/>
      <c r="Q612" s="51"/>
      <c r="R612" s="74">
        <f t="shared" si="366"/>
        <v>83.7978474496958</v>
      </c>
      <c r="S612" s="74"/>
      <c r="T612" s="75">
        <f t="shared" si="367"/>
        <v>0.140191857744502</v>
      </c>
      <c r="U612" s="74"/>
      <c r="V612" s="74"/>
      <c r="W612" s="76">
        <f t="shared" si="360"/>
        <v>83.9380393074403</v>
      </c>
      <c r="X612" s="77">
        <f t="shared" si="368"/>
        <v>1.27757136172204</v>
      </c>
      <c r="Y612" s="77"/>
      <c r="Z612" s="77"/>
      <c r="AA612" s="77">
        <f t="shared" si="361"/>
        <v>1.27757136172204</v>
      </c>
      <c r="AB612" s="87">
        <v>7.26</v>
      </c>
      <c r="AC612" s="74">
        <f t="shared" si="362"/>
        <v>9.27516808610201</v>
      </c>
      <c r="AD612" s="74">
        <f t="shared" si="364"/>
        <v>93.2132073935423</v>
      </c>
      <c r="AE612" s="74">
        <f t="shared" si="365"/>
        <v>41.7867926064577</v>
      </c>
    </row>
    <row r="613" customFormat="1" spans="1:31">
      <c r="A613" s="18"/>
      <c r="B613" s="19"/>
      <c r="C613" s="107">
        <v>240717000001</v>
      </c>
      <c r="D613" s="21">
        <v>45497</v>
      </c>
      <c r="E613" s="21" t="s">
        <v>127</v>
      </c>
      <c r="F613" s="19" t="s">
        <v>128</v>
      </c>
      <c r="G613" s="19" t="s">
        <v>375</v>
      </c>
      <c r="H613" s="19">
        <v>3.5</v>
      </c>
      <c r="I613" s="41">
        <v>257.4</v>
      </c>
      <c r="J613" s="42"/>
      <c r="K613" s="43"/>
      <c r="L613" s="19"/>
      <c r="M613" s="43"/>
      <c r="N613" s="44"/>
      <c r="O613" s="45">
        <f t="shared" si="374"/>
        <v>257.4</v>
      </c>
      <c r="P613" s="51"/>
      <c r="Q613" s="51"/>
      <c r="R613" s="74">
        <f t="shared" si="366"/>
        <v>146.646233036968</v>
      </c>
      <c r="S613" s="74"/>
      <c r="T613" s="75">
        <f t="shared" si="367"/>
        <v>0.245335751052878</v>
      </c>
      <c r="U613" s="74"/>
      <c r="V613" s="74"/>
      <c r="W613" s="76">
        <f t="shared" si="360"/>
        <v>146.891568788021</v>
      </c>
      <c r="X613" s="77">
        <f t="shared" si="368"/>
        <v>2.23574988301357</v>
      </c>
      <c r="Y613" s="77"/>
      <c r="Z613" s="77"/>
      <c r="AA613" s="77">
        <f t="shared" si="361"/>
        <v>2.23574988301357</v>
      </c>
      <c r="AB613" s="87">
        <v>7.26</v>
      </c>
      <c r="AC613" s="74">
        <f t="shared" si="362"/>
        <v>16.2315441506785</v>
      </c>
      <c r="AD613" s="74">
        <f t="shared" si="364"/>
        <v>163.123112938699</v>
      </c>
      <c r="AE613" s="74">
        <f t="shared" si="365"/>
        <v>94.2768870613008</v>
      </c>
    </row>
    <row r="614" customFormat="1" spans="1:31">
      <c r="A614" s="18"/>
      <c r="B614" s="19"/>
      <c r="C614" s="107">
        <v>240717000003</v>
      </c>
      <c r="D614" s="21">
        <v>45497</v>
      </c>
      <c r="E614" s="21" t="s">
        <v>40</v>
      </c>
      <c r="F614" s="19" t="s">
        <v>41</v>
      </c>
      <c r="G614" s="19" t="s">
        <v>87</v>
      </c>
      <c r="H614" s="19">
        <v>42.5</v>
      </c>
      <c r="I614" s="47"/>
      <c r="J614" s="48">
        <v>559555</v>
      </c>
      <c r="K614" s="43"/>
      <c r="L614" s="49">
        <f t="shared" ref="L614:L619" si="375">SUM(J614/M614)</f>
        <v>1648.02815656938</v>
      </c>
      <c r="M614" s="50">
        <v>339.53</v>
      </c>
      <c r="N614" s="44">
        <v>7.26</v>
      </c>
      <c r="O614" s="45">
        <f t="shared" ref="O614:O620" si="376">SUM(M614*N614)</f>
        <v>2464.9878</v>
      </c>
      <c r="P614" s="51"/>
      <c r="Q614" s="51"/>
      <c r="R614" s="74">
        <f t="shared" si="366"/>
        <v>1780.70425830604</v>
      </c>
      <c r="S614" s="74"/>
      <c r="T614" s="75">
        <f t="shared" si="367"/>
        <v>2.97907697707066</v>
      </c>
      <c r="U614" s="74"/>
      <c r="V614" s="74"/>
      <c r="W614" s="76">
        <f t="shared" si="360"/>
        <v>1783.68333528311</v>
      </c>
      <c r="X614" s="77">
        <f t="shared" si="368"/>
        <v>27.1483914365934</v>
      </c>
      <c r="Y614" s="77"/>
      <c r="Z614" s="77"/>
      <c r="AA614" s="77">
        <f t="shared" si="361"/>
        <v>27.1483914365934</v>
      </c>
      <c r="AB614" s="87">
        <v>7.26</v>
      </c>
      <c r="AC614" s="74">
        <f t="shared" si="362"/>
        <v>197.097321829668</v>
      </c>
      <c r="AD614" s="74">
        <f t="shared" si="364"/>
        <v>1980.78065711278</v>
      </c>
      <c r="AE614" s="74">
        <f t="shared" si="365"/>
        <v>484.207142887225</v>
      </c>
    </row>
    <row r="615" customFormat="1" spans="1:31">
      <c r="A615" s="18"/>
      <c r="B615" s="19"/>
      <c r="C615" s="107">
        <v>240717000008</v>
      </c>
      <c r="D615" s="21">
        <v>45497</v>
      </c>
      <c r="E615" s="21" t="s">
        <v>58</v>
      </c>
      <c r="F615" s="19" t="s">
        <v>59</v>
      </c>
      <c r="G615" s="19" t="s">
        <v>263</v>
      </c>
      <c r="H615" s="19">
        <v>230</v>
      </c>
      <c r="I615" s="41">
        <v>13150</v>
      </c>
      <c r="J615" s="42"/>
      <c r="K615" s="43"/>
      <c r="L615" s="19"/>
      <c r="M615" s="43"/>
      <c r="N615" s="44"/>
      <c r="O615" s="45">
        <f>SUM(I615)</f>
        <v>13150</v>
      </c>
      <c r="P615" s="51"/>
      <c r="Q615" s="51"/>
      <c r="R615" s="74">
        <f t="shared" si="366"/>
        <v>9636.75245671502</v>
      </c>
      <c r="S615" s="74"/>
      <c r="T615" s="75">
        <f t="shared" si="367"/>
        <v>16.1220636406177</v>
      </c>
      <c r="U615" s="74"/>
      <c r="V615" s="74"/>
      <c r="W615" s="76">
        <f t="shared" si="360"/>
        <v>9652.87452035564</v>
      </c>
      <c r="X615" s="77">
        <f t="shared" si="368"/>
        <v>146.920706598035</v>
      </c>
      <c r="Y615" s="77">
        <v>68.87</v>
      </c>
      <c r="Z615" s="77"/>
      <c r="AA615" s="77">
        <f t="shared" si="361"/>
        <v>215.790706598035</v>
      </c>
      <c r="AB615" s="87">
        <v>7.26</v>
      </c>
      <c r="AC615" s="74">
        <f t="shared" si="362"/>
        <v>1566.64052990173</v>
      </c>
      <c r="AD615" s="74">
        <f t="shared" si="364"/>
        <v>11219.5150502574</v>
      </c>
      <c r="AE615" s="74">
        <f t="shared" si="365"/>
        <v>1930.48494974263</v>
      </c>
    </row>
    <row r="616" customFormat="1" spans="1:31">
      <c r="A616" s="18"/>
      <c r="B616" s="19"/>
      <c r="C616" s="107">
        <v>240717000010</v>
      </c>
      <c r="D616" s="23">
        <v>45497</v>
      </c>
      <c r="E616" s="21" t="s">
        <v>40</v>
      </c>
      <c r="F616" s="24" t="s">
        <v>41</v>
      </c>
      <c r="G616" s="24" t="s">
        <v>86</v>
      </c>
      <c r="H616" s="24">
        <v>12</v>
      </c>
      <c r="I616" s="47"/>
      <c r="J616" s="48">
        <v>140556</v>
      </c>
      <c r="K616" s="43"/>
      <c r="L616" s="49">
        <f t="shared" si="375"/>
        <v>1604.52054794521</v>
      </c>
      <c r="M616" s="50">
        <v>87.6</v>
      </c>
      <c r="N616" s="44">
        <v>7.26</v>
      </c>
      <c r="O616" s="45">
        <f t="shared" si="376"/>
        <v>635.976</v>
      </c>
      <c r="P616" s="51"/>
      <c r="Q616" s="51"/>
      <c r="R616" s="74">
        <f t="shared" si="366"/>
        <v>502.787084698175</v>
      </c>
      <c r="S616" s="74"/>
      <c r="T616" s="75">
        <f t="shared" si="367"/>
        <v>0.84115114646701</v>
      </c>
      <c r="U616" s="74"/>
      <c r="V616" s="74"/>
      <c r="W616" s="76">
        <f t="shared" si="360"/>
        <v>503.628235844642</v>
      </c>
      <c r="X616" s="77">
        <f t="shared" si="368"/>
        <v>7.66542817033224</v>
      </c>
      <c r="Y616" s="77"/>
      <c r="Z616" s="77"/>
      <c r="AA616" s="77">
        <f t="shared" si="361"/>
        <v>7.66542817033224</v>
      </c>
      <c r="AB616" s="87">
        <v>7.26</v>
      </c>
      <c r="AC616" s="74">
        <f t="shared" si="362"/>
        <v>55.6510085166121</v>
      </c>
      <c r="AD616" s="74">
        <f t="shared" si="364"/>
        <v>559.279244361254</v>
      </c>
      <c r="AE616" s="74">
        <f t="shared" si="365"/>
        <v>76.6967556387459</v>
      </c>
    </row>
    <row r="617" customFormat="1" spans="1:31">
      <c r="A617" s="18"/>
      <c r="B617" s="19"/>
      <c r="C617" s="107">
        <v>240717000013</v>
      </c>
      <c r="D617" s="21">
        <v>45497</v>
      </c>
      <c r="E617" s="21" t="s">
        <v>40</v>
      </c>
      <c r="F617" s="19" t="s">
        <v>41</v>
      </c>
      <c r="G617" s="19" t="s">
        <v>277</v>
      </c>
      <c r="H617" s="19">
        <v>53.5</v>
      </c>
      <c r="I617" s="41">
        <v>2768.5</v>
      </c>
      <c r="J617" s="42"/>
      <c r="K617" s="43"/>
      <c r="L617" s="19"/>
      <c r="M617" s="43"/>
      <c r="N617" s="44"/>
      <c r="O617" s="45">
        <f>SUM(I617)</f>
        <v>2768.5</v>
      </c>
      <c r="P617" s="51"/>
      <c r="Q617" s="51"/>
      <c r="R617" s="74">
        <f t="shared" si="366"/>
        <v>2241.59241927936</v>
      </c>
      <c r="S617" s="74"/>
      <c r="T617" s="75">
        <f t="shared" si="367"/>
        <v>3.75013219466542</v>
      </c>
      <c r="U617" s="74">
        <v>40</v>
      </c>
      <c r="V617" s="74"/>
      <c r="W617" s="76">
        <f t="shared" si="360"/>
        <v>2285.34255147403</v>
      </c>
      <c r="X617" s="77">
        <f t="shared" si="368"/>
        <v>34.1750339260646</v>
      </c>
      <c r="Y617" s="77"/>
      <c r="Z617" s="77"/>
      <c r="AA617" s="77">
        <f t="shared" si="361"/>
        <v>34.1750339260646</v>
      </c>
      <c r="AB617" s="87">
        <v>7.26</v>
      </c>
      <c r="AC617" s="74">
        <f t="shared" si="362"/>
        <v>248.110746303229</v>
      </c>
      <c r="AD617" s="74">
        <f t="shared" si="364"/>
        <v>2533.45329777726</v>
      </c>
      <c r="AE617" s="74">
        <f t="shared" si="365"/>
        <v>235.046702222742</v>
      </c>
    </row>
    <row r="618" customFormat="1" spans="1:31">
      <c r="A618" s="18"/>
      <c r="B618" s="19"/>
      <c r="C618" s="107">
        <v>240717000016</v>
      </c>
      <c r="D618" s="21">
        <v>45497</v>
      </c>
      <c r="E618" s="21" t="s">
        <v>44</v>
      </c>
      <c r="F618" s="19" t="s">
        <v>45</v>
      </c>
      <c r="G618" s="19" t="s">
        <v>214</v>
      </c>
      <c r="H618" s="19">
        <v>0.52</v>
      </c>
      <c r="I618" s="47"/>
      <c r="J618" s="48">
        <v>14112</v>
      </c>
      <c r="K618" s="43"/>
      <c r="L618" s="49">
        <f t="shared" si="375"/>
        <v>1627.68166089965</v>
      </c>
      <c r="M618" s="50">
        <v>8.67</v>
      </c>
      <c r="N618" s="44">
        <v>7.26</v>
      </c>
      <c r="O618" s="45">
        <f t="shared" si="376"/>
        <v>62.9442</v>
      </c>
      <c r="P618" s="51"/>
      <c r="Q618" s="51"/>
      <c r="R618" s="74">
        <f t="shared" si="366"/>
        <v>21.7874403369209</v>
      </c>
      <c r="S618" s="74"/>
      <c r="T618" s="75">
        <f t="shared" si="367"/>
        <v>0.0364498830135704</v>
      </c>
      <c r="U618" s="74"/>
      <c r="V618" s="74"/>
      <c r="W618" s="76">
        <f t="shared" si="360"/>
        <v>21.8238902199345</v>
      </c>
      <c r="X618" s="77">
        <f t="shared" si="368"/>
        <v>0.33216855404773</v>
      </c>
      <c r="Y618" s="77"/>
      <c r="Z618" s="77"/>
      <c r="AA618" s="77">
        <f t="shared" si="361"/>
        <v>0.33216855404773</v>
      </c>
      <c r="AB618" s="87">
        <v>7.26</v>
      </c>
      <c r="AC618" s="74">
        <f t="shared" si="362"/>
        <v>2.41154370238652</v>
      </c>
      <c r="AD618" s="74">
        <f t="shared" si="364"/>
        <v>24.235433922321</v>
      </c>
      <c r="AE618" s="74">
        <f t="shared" si="365"/>
        <v>38.708766077679</v>
      </c>
    </row>
    <row r="619" customFormat="1" spans="1:31">
      <c r="A619" s="18"/>
      <c r="B619" s="19"/>
      <c r="C619" s="107">
        <v>240717000024</v>
      </c>
      <c r="D619" s="21">
        <v>45497</v>
      </c>
      <c r="E619" s="21" t="s">
        <v>37</v>
      </c>
      <c r="F619" s="19" t="s">
        <v>37</v>
      </c>
      <c r="G619" s="19" t="s">
        <v>425</v>
      </c>
      <c r="H619" s="19">
        <v>30.5</v>
      </c>
      <c r="I619" s="88"/>
      <c r="J619" s="48">
        <v>407632.5</v>
      </c>
      <c r="K619" s="43"/>
      <c r="L619" s="49">
        <f t="shared" si="375"/>
        <v>1749.49570815451</v>
      </c>
      <c r="M619" s="50">
        <v>233</v>
      </c>
      <c r="N619" s="44">
        <v>7.26</v>
      </c>
      <c r="O619" s="45">
        <f t="shared" si="376"/>
        <v>1691.58</v>
      </c>
      <c r="P619" s="51"/>
      <c r="Q619" s="51"/>
      <c r="R619" s="74">
        <f t="shared" si="366"/>
        <v>1277.91717360786</v>
      </c>
      <c r="S619" s="74"/>
      <c r="T619" s="75">
        <f t="shared" si="367"/>
        <v>2.13792583060365</v>
      </c>
      <c r="U619" s="74"/>
      <c r="V619" s="74"/>
      <c r="W619" s="76">
        <f t="shared" si="360"/>
        <v>1280.05509943847</v>
      </c>
      <c r="X619" s="77">
        <f t="shared" si="368"/>
        <v>19.4829632662611</v>
      </c>
      <c r="Y619" s="77"/>
      <c r="Z619" s="77"/>
      <c r="AA619" s="77">
        <f t="shared" si="361"/>
        <v>19.4829632662611</v>
      </c>
      <c r="AB619" s="87">
        <v>7.26</v>
      </c>
      <c r="AC619" s="74">
        <f t="shared" si="362"/>
        <v>141.446313313056</v>
      </c>
      <c r="AD619" s="74">
        <f t="shared" si="364"/>
        <v>1421.50141275152</v>
      </c>
      <c r="AE619" s="74">
        <f t="shared" si="365"/>
        <v>270.078587248479</v>
      </c>
    </row>
    <row r="620" customFormat="1" spans="1:31">
      <c r="A620" s="18"/>
      <c r="B620" s="19"/>
      <c r="C620" s="107">
        <v>240717000029</v>
      </c>
      <c r="D620" s="21">
        <v>45497</v>
      </c>
      <c r="E620" s="21" t="s">
        <v>44</v>
      </c>
      <c r="F620" s="19" t="s">
        <v>45</v>
      </c>
      <c r="G620" s="19" t="s">
        <v>444</v>
      </c>
      <c r="H620" s="19">
        <v>2.5</v>
      </c>
      <c r="I620" s="47"/>
      <c r="J620" s="48">
        <v>34272</v>
      </c>
      <c r="K620" s="43"/>
      <c r="L620" s="49">
        <f t="shared" ref="L620:L625" si="377">SUM(J620/M620)</f>
        <v>1626.5780730897</v>
      </c>
      <c r="M620" s="50">
        <v>21.07</v>
      </c>
      <c r="N620" s="44">
        <v>7.26</v>
      </c>
      <c r="O620" s="45">
        <f t="shared" si="376"/>
        <v>152.9682</v>
      </c>
      <c r="P620" s="51"/>
      <c r="Q620" s="51"/>
      <c r="R620" s="74">
        <f t="shared" si="366"/>
        <v>104.74730931212</v>
      </c>
      <c r="S620" s="74"/>
      <c r="T620" s="75">
        <f t="shared" si="367"/>
        <v>0.175239822180627</v>
      </c>
      <c r="U620" s="74"/>
      <c r="V620" s="74"/>
      <c r="W620" s="76">
        <f t="shared" si="360"/>
        <v>104.9225491343</v>
      </c>
      <c r="X620" s="77">
        <f t="shared" si="368"/>
        <v>1.59696420215255</v>
      </c>
      <c r="Y620" s="77"/>
      <c r="Z620" s="77"/>
      <c r="AA620" s="77">
        <f t="shared" si="361"/>
        <v>1.59696420215255</v>
      </c>
      <c r="AB620" s="87">
        <v>7.26</v>
      </c>
      <c r="AC620" s="74">
        <f t="shared" si="362"/>
        <v>11.5939601076275</v>
      </c>
      <c r="AD620" s="74">
        <f t="shared" si="364"/>
        <v>116.516509241928</v>
      </c>
      <c r="AE620" s="74">
        <f t="shared" si="365"/>
        <v>36.4516907580721</v>
      </c>
    </row>
    <row r="621" customFormat="1" spans="1:31">
      <c r="A621" s="18"/>
      <c r="B621" s="19"/>
      <c r="C621" s="107">
        <v>240717000031</v>
      </c>
      <c r="D621" s="21">
        <v>45497</v>
      </c>
      <c r="E621" s="21" t="s">
        <v>40</v>
      </c>
      <c r="F621" s="19" t="s">
        <v>41</v>
      </c>
      <c r="G621" s="19" t="s">
        <v>100</v>
      </c>
      <c r="H621" s="19">
        <v>288</v>
      </c>
      <c r="I621" s="41">
        <v>16190</v>
      </c>
      <c r="J621" s="42"/>
      <c r="K621" s="43"/>
      <c r="L621" s="19"/>
      <c r="M621" s="43"/>
      <c r="N621" s="44"/>
      <c r="O621" s="45">
        <f t="shared" ref="O621:O630" si="378">SUM(I621)</f>
        <v>16190</v>
      </c>
      <c r="P621" s="51"/>
      <c r="Q621" s="51"/>
      <c r="R621" s="74">
        <f t="shared" si="366"/>
        <v>12066.8900327562</v>
      </c>
      <c r="S621" s="74"/>
      <c r="T621" s="75">
        <f t="shared" si="367"/>
        <v>20.1876275152082</v>
      </c>
      <c r="U621" s="75">
        <v>350</v>
      </c>
      <c r="V621" s="75">
        <v>72.12</v>
      </c>
      <c r="W621" s="76">
        <f t="shared" si="360"/>
        <v>12509.1976602714</v>
      </c>
      <c r="X621" s="77">
        <f t="shared" si="368"/>
        <v>183.970276087974</v>
      </c>
      <c r="Y621" s="77"/>
      <c r="Z621" s="77"/>
      <c r="AA621" s="77">
        <f t="shared" si="361"/>
        <v>183.970276087974</v>
      </c>
      <c r="AB621" s="87">
        <v>7.26</v>
      </c>
      <c r="AC621" s="74">
        <f t="shared" si="362"/>
        <v>1335.62420439869</v>
      </c>
      <c r="AD621" s="74">
        <f t="shared" si="364"/>
        <v>13844.8218646701</v>
      </c>
      <c r="AE621" s="74">
        <f t="shared" si="365"/>
        <v>2345.1781353299</v>
      </c>
    </row>
    <row r="622" customFormat="1" spans="1:31">
      <c r="A622" s="18"/>
      <c r="B622" s="19"/>
      <c r="C622" s="107">
        <v>240717000034</v>
      </c>
      <c r="D622" s="21">
        <v>45497</v>
      </c>
      <c r="E622" s="21" t="s">
        <v>40</v>
      </c>
      <c r="F622" s="19" t="s">
        <v>41</v>
      </c>
      <c r="G622" s="19" t="s">
        <v>445</v>
      </c>
      <c r="H622" s="19">
        <v>47</v>
      </c>
      <c r="I622" s="47"/>
      <c r="J622" s="48">
        <v>609975</v>
      </c>
      <c r="K622" s="43"/>
      <c r="L622" s="49">
        <f t="shared" si="377"/>
        <v>1633.52615087973</v>
      </c>
      <c r="M622" s="50">
        <v>373.41</v>
      </c>
      <c r="N622" s="44">
        <v>7.26</v>
      </c>
      <c r="O622" s="45">
        <f t="shared" ref="O622:O625" si="379">SUM(M622*N622)</f>
        <v>2710.9566</v>
      </c>
      <c r="P622" s="51"/>
      <c r="Q622" s="51"/>
      <c r="R622" s="74">
        <f t="shared" si="366"/>
        <v>1969.24941506785</v>
      </c>
      <c r="S622" s="74"/>
      <c r="T622" s="75">
        <f t="shared" si="367"/>
        <v>3.29450865699579</v>
      </c>
      <c r="U622" s="74"/>
      <c r="V622" s="74"/>
      <c r="W622" s="76">
        <f t="shared" si="360"/>
        <v>1972.54392372485</v>
      </c>
      <c r="X622" s="77">
        <f t="shared" si="368"/>
        <v>30.0229270004679</v>
      </c>
      <c r="Y622" s="77"/>
      <c r="Z622" s="77"/>
      <c r="AA622" s="77">
        <f t="shared" si="361"/>
        <v>30.0229270004679</v>
      </c>
      <c r="AB622" s="87">
        <v>7.26</v>
      </c>
      <c r="AC622" s="74">
        <f t="shared" si="362"/>
        <v>217.966450023397</v>
      </c>
      <c r="AD622" s="74">
        <f t="shared" si="364"/>
        <v>2190.51037374825</v>
      </c>
      <c r="AE622" s="74">
        <f t="shared" si="365"/>
        <v>520.446226251755</v>
      </c>
    </row>
    <row r="623" customFormat="1" spans="1:31">
      <c r="A623" s="18"/>
      <c r="B623" s="19"/>
      <c r="C623" s="107">
        <v>240717000042</v>
      </c>
      <c r="D623" s="21">
        <v>45497</v>
      </c>
      <c r="E623" s="21" t="s">
        <v>58</v>
      </c>
      <c r="F623" s="19" t="s">
        <v>59</v>
      </c>
      <c r="G623" s="19" t="s">
        <v>446</v>
      </c>
      <c r="H623" s="19">
        <v>4.5</v>
      </c>
      <c r="I623" s="41">
        <v>300</v>
      </c>
      <c r="J623" s="42"/>
      <c r="K623" s="43"/>
      <c r="L623" s="19"/>
      <c r="M623" s="43"/>
      <c r="N623" s="44"/>
      <c r="O623" s="45">
        <f t="shared" si="378"/>
        <v>300</v>
      </c>
      <c r="P623" s="51"/>
      <c r="Q623" s="51"/>
      <c r="R623" s="74">
        <f t="shared" si="366"/>
        <v>188.545156761816</v>
      </c>
      <c r="S623" s="74"/>
      <c r="T623" s="75">
        <f t="shared" si="367"/>
        <v>0.315431679925129</v>
      </c>
      <c r="U623" s="74"/>
      <c r="V623" s="74"/>
      <c r="W623" s="76">
        <f t="shared" si="360"/>
        <v>188.860588441741</v>
      </c>
      <c r="X623" s="77">
        <f t="shared" si="368"/>
        <v>2.87453556387459</v>
      </c>
      <c r="Y623" s="77"/>
      <c r="Z623" s="77"/>
      <c r="AA623" s="77">
        <f t="shared" si="361"/>
        <v>2.87453556387459</v>
      </c>
      <c r="AB623" s="87">
        <v>7.26</v>
      </c>
      <c r="AC623" s="74">
        <f t="shared" si="362"/>
        <v>20.8691281937295</v>
      </c>
      <c r="AD623" s="74">
        <f t="shared" si="364"/>
        <v>209.72971663547</v>
      </c>
      <c r="AE623" s="74">
        <f t="shared" si="365"/>
        <v>90.2702833645297</v>
      </c>
    </row>
    <row r="624" customFormat="1" spans="1:31">
      <c r="A624" s="18"/>
      <c r="B624" s="19"/>
      <c r="C624" s="107">
        <v>240717000043</v>
      </c>
      <c r="D624" s="21">
        <v>45497</v>
      </c>
      <c r="E624" s="21" t="s">
        <v>58</v>
      </c>
      <c r="F624" s="19" t="s">
        <v>59</v>
      </c>
      <c r="G624" s="19" t="s">
        <v>120</v>
      </c>
      <c r="H624" s="19">
        <v>0.26</v>
      </c>
      <c r="I624" s="47"/>
      <c r="J624" s="48">
        <v>14112</v>
      </c>
      <c r="K624" s="43"/>
      <c r="L624" s="49">
        <f t="shared" si="377"/>
        <v>1627.68166089965</v>
      </c>
      <c r="M624" s="50">
        <v>8.67</v>
      </c>
      <c r="N624" s="44">
        <v>7.26</v>
      </c>
      <c r="O624" s="45">
        <f t="shared" si="379"/>
        <v>62.9442</v>
      </c>
      <c r="P624" s="51"/>
      <c r="Q624" s="51"/>
      <c r="R624" s="74">
        <f t="shared" si="366"/>
        <v>10.8937201684605</v>
      </c>
      <c r="S624" s="74"/>
      <c r="T624" s="75">
        <f t="shared" si="367"/>
        <v>0.0182249415067852</v>
      </c>
      <c r="U624" s="74"/>
      <c r="V624" s="74"/>
      <c r="W624" s="76">
        <f t="shared" si="360"/>
        <v>10.9119451099672</v>
      </c>
      <c r="X624" s="77">
        <f t="shared" si="368"/>
        <v>0.166084277023865</v>
      </c>
      <c r="Y624" s="77"/>
      <c r="Z624" s="77"/>
      <c r="AA624" s="77">
        <f t="shared" si="361"/>
        <v>0.166084277023865</v>
      </c>
      <c r="AB624" s="87">
        <v>7.26</v>
      </c>
      <c r="AC624" s="74">
        <f t="shared" si="362"/>
        <v>1.20577185119326</v>
      </c>
      <c r="AD624" s="74">
        <f t="shared" si="364"/>
        <v>12.1177169611605</v>
      </c>
      <c r="AE624" s="74">
        <f t="shared" si="365"/>
        <v>50.8264830388395</v>
      </c>
    </row>
    <row r="625" customFormat="1" spans="1:31">
      <c r="A625" s="18"/>
      <c r="B625" s="19"/>
      <c r="C625" s="107">
        <v>240717000045</v>
      </c>
      <c r="D625" s="21">
        <v>45497</v>
      </c>
      <c r="E625" s="21" t="s">
        <v>40</v>
      </c>
      <c r="F625" s="19" t="s">
        <v>41</v>
      </c>
      <c r="G625" s="19" t="s">
        <v>87</v>
      </c>
      <c r="H625" s="19">
        <v>1.5</v>
      </c>
      <c r="I625" s="47"/>
      <c r="J625" s="48">
        <v>19749</v>
      </c>
      <c r="K625" s="43"/>
      <c r="L625" s="49">
        <f t="shared" si="377"/>
        <v>1648.49749582638</v>
      </c>
      <c r="M625" s="50">
        <v>11.98</v>
      </c>
      <c r="N625" s="44">
        <v>7.26</v>
      </c>
      <c r="O625" s="45">
        <f t="shared" si="379"/>
        <v>86.9748</v>
      </c>
      <c r="P625" s="51"/>
      <c r="Q625" s="51"/>
      <c r="R625" s="74">
        <f t="shared" si="366"/>
        <v>62.8483855872719</v>
      </c>
      <c r="S625" s="74"/>
      <c r="T625" s="75">
        <f t="shared" si="367"/>
        <v>0.105143893308376</v>
      </c>
      <c r="U625" s="74"/>
      <c r="V625" s="74"/>
      <c r="W625" s="76">
        <f t="shared" ref="W625:W649" si="380">SUM(R625:V625)</f>
        <v>62.9535294805803</v>
      </c>
      <c r="X625" s="77">
        <f t="shared" si="368"/>
        <v>0.95817852129153</v>
      </c>
      <c r="Y625" s="77"/>
      <c r="Z625" s="77"/>
      <c r="AA625" s="77">
        <f t="shared" si="361"/>
        <v>0.95817852129153</v>
      </c>
      <c r="AB625" s="87">
        <v>7.26</v>
      </c>
      <c r="AC625" s="74">
        <f t="shared" si="362"/>
        <v>6.95637606457651</v>
      </c>
      <c r="AD625" s="74">
        <f t="shared" si="364"/>
        <v>69.9099055451568</v>
      </c>
      <c r="AE625" s="74">
        <f t="shared" si="365"/>
        <v>17.0648944548432</v>
      </c>
    </row>
    <row r="626" customFormat="1" spans="1:31">
      <c r="A626" s="18"/>
      <c r="B626" s="19"/>
      <c r="C626" s="107">
        <v>240718000004</v>
      </c>
      <c r="D626" s="21">
        <v>45497</v>
      </c>
      <c r="E626" s="21" t="s">
        <v>37</v>
      </c>
      <c r="F626" s="19" t="s">
        <v>37</v>
      </c>
      <c r="G626" s="19" t="s">
        <v>380</v>
      </c>
      <c r="H626" s="19">
        <v>31.5</v>
      </c>
      <c r="I626" s="41">
        <v>2325.5</v>
      </c>
      <c r="J626" s="42"/>
      <c r="K626" s="43"/>
      <c r="L626" s="19"/>
      <c r="M626" s="43"/>
      <c r="N626" s="44"/>
      <c r="O626" s="45">
        <f t="shared" si="378"/>
        <v>2325.5</v>
      </c>
      <c r="P626" s="51"/>
      <c r="Q626" s="51"/>
      <c r="R626" s="74">
        <f t="shared" si="366"/>
        <v>1319.81609733271</v>
      </c>
      <c r="S626" s="74"/>
      <c r="T626" s="75">
        <f t="shared" si="367"/>
        <v>2.2080217594759</v>
      </c>
      <c r="U626" s="74"/>
      <c r="V626" s="75">
        <v>243</v>
      </c>
      <c r="W626" s="76">
        <f t="shared" si="380"/>
        <v>1565.02411909219</v>
      </c>
      <c r="X626" s="77">
        <f t="shared" si="368"/>
        <v>20.1217489471221</v>
      </c>
      <c r="Y626" s="77"/>
      <c r="Z626" s="77"/>
      <c r="AA626" s="77">
        <f t="shared" ref="AA626:AA649" si="381">SUM(X626:Z626)</f>
        <v>20.1217489471221</v>
      </c>
      <c r="AB626" s="87">
        <v>7.26</v>
      </c>
      <c r="AC626" s="74">
        <f t="shared" ref="AC626:AC649" si="382">SUM(AA626*AB626)</f>
        <v>146.083897356107</v>
      </c>
      <c r="AD626" s="74">
        <f t="shared" si="364"/>
        <v>1711.10801644829</v>
      </c>
      <c r="AE626" s="74">
        <f t="shared" si="365"/>
        <v>614.391983551708</v>
      </c>
    </row>
    <row r="627" customFormat="1" spans="1:31">
      <c r="A627" s="18"/>
      <c r="B627" s="19"/>
      <c r="C627" s="107">
        <v>240718000005</v>
      </c>
      <c r="D627" s="21">
        <v>45497</v>
      </c>
      <c r="E627" s="21" t="s">
        <v>58</v>
      </c>
      <c r="F627" s="19" t="s">
        <v>59</v>
      </c>
      <c r="G627" s="19" t="s">
        <v>447</v>
      </c>
      <c r="H627" s="19">
        <v>1.5</v>
      </c>
      <c r="I627" s="41">
        <v>135</v>
      </c>
      <c r="J627" s="42"/>
      <c r="K627" s="43"/>
      <c r="L627" s="19"/>
      <c r="M627" s="43"/>
      <c r="N627" s="44"/>
      <c r="O627" s="45">
        <f t="shared" si="378"/>
        <v>135</v>
      </c>
      <c r="P627" s="51"/>
      <c r="Q627" s="51"/>
      <c r="R627" s="74">
        <f t="shared" si="366"/>
        <v>62.8483855872719</v>
      </c>
      <c r="S627" s="74"/>
      <c r="T627" s="75">
        <f t="shared" si="367"/>
        <v>0.105143893308376</v>
      </c>
      <c r="U627" s="74"/>
      <c r="V627" s="74"/>
      <c r="W627" s="76">
        <f t="shared" si="380"/>
        <v>62.9535294805803</v>
      </c>
      <c r="X627" s="77">
        <f t="shared" si="368"/>
        <v>0.95817852129153</v>
      </c>
      <c r="Y627" s="77"/>
      <c r="Z627" s="77"/>
      <c r="AA627" s="77">
        <f t="shared" si="381"/>
        <v>0.95817852129153</v>
      </c>
      <c r="AB627" s="87">
        <v>7.26</v>
      </c>
      <c r="AC627" s="74">
        <f t="shared" si="382"/>
        <v>6.95637606457651</v>
      </c>
      <c r="AD627" s="74">
        <f t="shared" ref="AD627:AD649" si="383">SUM(W627+AC627)</f>
        <v>69.9099055451568</v>
      </c>
      <c r="AE627" s="74">
        <f t="shared" ref="AE627:AE649" si="384">SUM(O627-AD627)</f>
        <v>65.0900944548432</v>
      </c>
    </row>
    <row r="628" customFormat="1" spans="1:31">
      <c r="A628" s="18"/>
      <c r="B628" s="19"/>
      <c r="C628" s="107">
        <v>240718000008</v>
      </c>
      <c r="D628" s="21">
        <v>45497</v>
      </c>
      <c r="E628" s="21" t="s">
        <v>58</v>
      </c>
      <c r="F628" s="19" t="s">
        <v>59</v>
      </c>
      <c r="G628" s="19" t="s">
        <v>133</v>
      </c>
      <c r="H628" s="19">
        <v>13.5</v>
      </c>
      <c r="I628" s="41">
        <v>927.45</v>
      </c>
      <c r="J628" s="42"/>
      <c r="K628" s="43"/>
      <c r="L628" s="19"/>
      <c r="M628" s="43"/>
      <c r="N628" s="44"/>
      <c r="O628" s="45">
        <f t="shared" si="378"/>
        <v>927.45</v>
      </c>
      <c r="P628" s="51"/>
      <c r="Q628" s="51"/>
      <c r="R628" s="74">
        <f t="shared" ref="R628:R649" si="385">SUM(179076/4274)*H628</f>
        <v>565.635470285447</v>
      </c>
      <c r="S628" s="74"/>
      <c r="T628" s="75">
        <f t="shared" ref="T628:T649" si="386">SUM(299.59/4274)*H628</f>
        <v>0.946295039775386</v>
      </c>
      <c r="U628" s="74"/>
      <c r="V628" s="74"/>
      <c r="W628" s="76">
        <f t="shared" si="380"/>
        <v>566.581765325222</v>
      </c>
      <c r="X628" s="77">
        <f t="shared" ref="X628:X649" si="387">SUM(2730.17/4274)*H628</f>
        <v>8.62360669162377</v>
      </c>
      <c r="Y628" s="77"/>
      <c r="Z628" s="77"/>
      <c r="AA628" s="77">
        <f t="shared" si="381"/>
        <v>8.62360669162377</v>
      </c>
      <c r="AB628" s="87">
        <v>7.26</v>
      </c>
      <c r="AC628" s="74">
        <f t="shared" si="382"/>
        <v>62.6073845811886</v>
      </c>
      <c r="AD628" s="74">
        <f t="shared" si="383"/>
        <v>629.189149906411</v>
      </c>
      <c r="AE628" s="74">
        <f t="shared" si="384"/>
        <v>298.260850093589</v>
      </c>
    </row>
    <row r="629" customFormat="1" spans="1:31">
      <c r="A629" s="18"/>
      <c r="B629" s="19"/>
      <c r="C629" s="107">
        <v>240718000016</v>
      </c>
      <c r="D629" s="21">
        <v>45497</v>
      </c>
      <c r="E629" s="21" t="s">
        <v>37</v>
      </c>
      <c r="F629" s="19" t="s">
        <v>37</v>
      </c>
      <c r="G629" s="19" t="s">
        <v>448</v>
      </c>
      <c r="H629" s="19">
        <v>3.5</v>
      </c>
      <c r="I629" s="41">
        <v>273.5</v>
      </c>
      <c r="J629" s="42"/>
      <c r="K629" s="43"/>
      <c r="L629" s="19"/>
      <c r="M629" s="43"/>
      <c r="N629" s="44"/>
      <c r="O629" s="45">
        <f t="shared" si="378"/>
        <v>273.5</v>
      </c>
      <c r="P629" s="51"/>
      <c r="Q629" s="51"/>
      <c r="R629" s="74">
        <f t="shared" si="385"/>
        <v>146.646233036968</v>
      </c>
      <c r="S629" s="74"/>
      <c r="T629" s="75">
        <f t="shared" si="386"/>
        <v>0.245335751052878</v>
      </c>
      <c r="U629" s="74">
        <v>30</v>
      </c>
      <c r="V629" s="74"/>
      <c r="W629" s="76">
        <f t="shared" si="380"/>
        <v>176.891568788021</v>
      </c>
      <c r="X629" s="77">
        <f t="shared" si="387"/>
        <v>2.23574988301357</v>
      </c>
      <c r="Y629" s="77"/>
      <c r="Z629" s="77"/>
      <c r="AA629" s="77">
        <f t="shared" si="381"/>
        <v>2.23574988301357</v>
      </c>
      <c r="AB629" s="87">
        <v>7.26</v>
      </c>
      <c r="AC629" s="74">
        <f t="shared" si="382"/>
        <v>16.2315441506785</v>
      </c>
      <c r="AD629" s="74">
        <f t="shared" si="383"/>
        <v>193.123112938699</v>
      </c>
      <c r="AE629" s="74">
        <f t="shared" si="384"/>
        <v>80.3768870613009</v>
      </c>
    </row>
    <row r="630" customFormat="1" spans="1:31">
      <c r="A630" s="18"/>
      <c r="B630" s="19"/>
      <c r="C630" s="107">
        <v>240718000018</v>
      </c>
      <c r="D630" s="21">
        <v>45497</v>
      </c>
      <c r="E630" s="21" t="s">
        <v>47</v>
      </c>
      <c r="F630" s="19" t="s">
        <v>48</v>
      </c>
      <c r="G630" s="19" t="s">
        <v>449</v>
      </c>
      <c r="H630" s="19">
        <v>130</v>
      </c>
      <c r="I630" s="41">
        <v>7150</v>
      </c>
      <c r="J630" s="42"/>
      <c r="K630" s="43"/>
      <c r="L630" s="19"/>
      <c r="M630" s="43"/>
      <c r="N630" s="44"/>
      <c r="O630" s="45">
        <f t="shared" si="378"/>
        <v>7150</v>
      </c>
      <c r="P630" s="51"/>
      <c r="Q630" s="51"/>
      <c r="R630" s="74">
        <f t="shared" si="385"/>
        <v>5446.86008423023</v>
      </c>
      <c r="S630" s="74"/>
      <c r="T630" s="75">
        <f t="shared" si="386"/>
        <v>9.11247075339261</v>
      </c>
      <c r="U630" s="74"/>
      <c r="V630" s="74"/>
      <c r="W630" s="76">
        <f t="shared" si="380"/>
        <v>5455.97255498362</v>
      </c>
      <c r="X630" s="77">
        <f t="shared" si="387"/>
        <v>83.0421385119326</v>
      </c>
      <c r="Y630" s="77"/>
      <c r="Z630" s="77"/>
      <c r="AA630" s="77">
        <f t="shared" si="381"/>
        <v>83.0421385119326</v>
      </c>
      <c r="AB630" s="87">
        <v>7.26</v>
      </c>
      <c r="AC630" s="74">
        <f t="shared" si="382"/>
        <v>602.885925596631</v>
      </c>
      <c r="AD630" s="74">
        <f t="shared" si="383"/>
        <v>6058.85848058025</v>
      </c>
      <c r="AE630" s="74">
        <f t="shared" si="384"/>
        <v>1091.14151941975</v>
      </c>
    </row>
    <row r="631" customFormat="1" spans="1:31">
      <c r="A631" s="18"/>
      <c r="B631" s="19"/>
      <c r="C631" s="107">
        <v>240718000019</v>
      </c>
      <c r="D631" s="21">
        <v>45497</v>
      </c>
      <c r="E631" s="21" t="s">
        <v>40</v>
      </c>
      <c r="F631" s="19" t="s">
        <v>41</v>
      </c>
      <c r="G631" s="19" t="s">
        <v>165</v>
      </c>
      <c r="H631" s="19">
        <v>0.42</v>
      </c>
      <c r="I631" s="47"/>
      <c r="J631" s="48">
        <v>11978</v>
      </c>
      <c r="K631" s="43"/>
      <c r="L631" s="49">
        <f t="shared" ref="L631:L638" si="388">SUM(J631/M631)</f>
        <v>1640.82191780822</v>
      </c>
      <c r="M631" s="50">
        <v>7.3</v>
      </c>
      <c r="N631" s="44">
        <v>7.26</v>
      </c>
      <c r="O631" s="45">
        <f t="shared" ref="O631:O638" si="389">SUM(M631*N631)</f>
        <v>52.998</v>
      </c>
      <c r="P631" s="51"/>
      <c r="Q631" s="51"/>
      <c r="R631" s="74">
        <f t="shared" si="385"/>
        <v>17.5975479644361</v>
      </c>
      <c r="S631" s="74"/>
      <c r="T631" s="75">
        <f t="shared" si="386"/>
        <v>0.0294402901263453</v>
      </c>
      <c r="U631" s="74"/>
      <c r="V631" s="74"/>
      <c r="W631" s="76">
        <f t="shared" si="380"/>
        <v>17.6269882545625</v>
      </c>
      <c r="X631" s="77">
        <f t="shared" si="387"/>
        <v>0.268289985961628</v>
      </c>
      <c r="Y631" s="77"/>
      <c r="Z631" s="77"/>
      <c r="AA631" s="77">
        <f t="shared" si="381"/>
        <v>0.268289985961628</v>
      </c>
      <c r="AB631" s="87">
        <v>7.26</v>
      </c>
      <c r="AC631" s="74">
        <f t="shared" si="382"/>
        <v>1.94778529808142</v>
      </c>
      <c r="AD631" s="74">
        <f t="shared" si="383"/>
        <v>19.5747735526439</v>
      </c>
      <c r="AE631" s="74">
        <f t="shared" si="384"/>
        <v>33.4232264473561</v>
      </c>
    </row>
    <row r="632" customFormat="1" spans="1:31">
      <c r="A632" s="18"/>
      <c r="B632" s="19"/>
      <c r="C632" s="107">
        <v>240718000020</v>
      </c>
      <c r="D632" s="21">
        <v>45497</v>
      </c>
      <c r="E632" s="21" t="s">
        <v>37</v>
      </c>
      <c r="F632" s="19" t="s">
        <v>37</v>
      </c>
      <c r="G632" s="19" t="s">
        <v>163</v>
      </c>
      <c r="H632" s="19">
        <v>135.5</v>
      </c>
      <c r="I632" s="41">
        <v>7460.5</v>
      </c>
      <c r="J632" s="42"/>
      <c r="K632" s="43"/>
      <c r="L632" s="19"/>
      <c r="M632" s="43"/>
      <c r="N632" s="44"/>
      <c r="O632" s="45">
        <f t="shared" ref="O632:O634" si="390">SUM(I632)</f>
        <v>7460.5</v>
      </c>
      <c r="P632" s="51"/>
      <c r="Q632" s="51"/>
      <c r="R632" s="74">
        <f t="shared" si="385"/>
        <v>5677.30416471689</v>
      </c>
      <c r="S632" s="74"/>
      <c r="T632" s="75">
        <f t="shared" si="386"/>
        <v>9.49799836218999</v>
      </c>
      <c r="U632" s="74"/>
      <c r="V632" s="74"/>
      <c r="W632" s="76">
        <f t="shared" si="380"/>
        <v>5686.80216307908</v>
      </c>
      <c r="X632" s="77">
        <f t="shared" si="387"/>
        <v>86.5554597566682</v>
      </c>
      <c r="Y632" s="77"/>
      <c r="Z632" s="77"/>
      <c r="AA632" s="77">
        <f t="shared" si="381"/>
        <v>86.5554597566682</v>
      </c>
      <c r="AB632" s="87">
        <v>7.26</v>
      </c>
      <c r="AC632" s="74">
        <f t="shared" si="382"/>
        <v>628.392637833411</v>
      </c>
      <c r="AD632" s="74">
        <f t="shared" si="383"/>
        <v>6315.19480091249</v>
      </c>
      <c r="AE632" s="74">
        <f t="shared" si="384"/>
        <v>1145.30519908751</v>
      </c>
    </row>
    <row r="633" customFormat="1" spans="1:31">
      <c r="A633" s="18"/>
      <c r="B633" s="19"/>
      <c r="C633" s="107">
        <v>240718000023</v>
      </c>
      <c r="D633" s="21">
        <v>45497</v>
      </c>
      <c r="E633" s="21" t="s">
        <v>44</v>
      </c>
      <c r="F633" s="19" t="s">
        <v>45</v>
      </c>
      <c r="G633" s="19" t="s">
        <v>92</v>
      </c>
      <c r="H633" s="19">
        <v>496</v>
      </c>
      <c r="I633" s="41">
        <v>24200</v>
      </c>
      <c r="J633" s="42"/>
      <c r="K633" s="43"/>
      <c r="L633" s="19"/>
      <c r="M633" s="43"/>
      <c r="N633" s="44"/>
      <c r="O633" s="45">
        <f t="shared" si="390"/>
        <v>24200</v>
      </c>
      <c r="P633" s="51"/>
      <c r="Q633" s="51"/>
      <c r="R633" s="74">
        <f t="shared" si="385"/>
        <v>20781.8661675246</v>
      </c>
      <c r="S633" s="74"/>
      <c r="T633" s="75">
        <f t="shared" si="386"/>
        <v>34.7675807206364</v>
      </c>
      <c r="U633" s="74"/>
      <c r="V633" s="74"/>
      <c r="W633" s="76">
        <f t="shared" si="380"/>
        <v>20816.6337482452</v>
      </c>
      <c r="X633" s="77">
        <f t="shared" si="387"/>
        <v>316.837697707066</v>
      </c>
      <c r="Y633" s="77"/>
      <c r="Z633" s="77"/>
      <c r="AA633" s="77">
        <f t="shared" si="381"/>
        <v>316.837697707066</v>
      </c>
      <c r="AB633" s="87">
        <v>7.26</v>
      </c>
      <c r="AC633" s="74">
        <f t="shared" si="382"/>
        <v>2300.2416853533</v>
      </c>
      <c r="AD633" s="74">
        <f t="shared" si="383"/>
        <v>23116.8754335985</v>
      </c>
      <c r="AE633" s="74">
        <f t="shared" si="384"/>
        <v>1083.1245664015</v>
      </c>
    </row>
    <row r="634" customFormat="1" spans="1:31">
      <c r="A634" s="18"/>
      <c r="B634" s="19"/>
      <c r="C634" s="107">
        <v>240718000027</v>
      </c>
      <c r="D634" s="21">
        <v>45497</v>
      </c>
      <c r="E634" s="21" t="s">
        <v>44</v>
      </c>
      <c r="F634" s="19" t="s">
        <v>45</v>
      </c>
      <c r="G634" s="19" t="s">
        <v>184</v>
      </c>
      <c r="H634" s="19">
        <v>22.5</v>
      </c>
      <c r="I634" s="41">
        <v>1245.5</v>
      </c>
      <c r="J634" s="42"/>
      <c r="K634" s="43"/>
      <c r="L634" s="19"/>
      <c r="M634" s="43"/>
      <c r="N634" s="44"/>
      <c r="O634" s="45">
        <f t="shared" si="390"/>
        <v>1245.5</v>
      </c>
      <c r="P634" s="51"/>
      <c r="Q634" s="51"/>
      <c r="R634" s="74">
        <f t="shared" si="385"/>
        <v>942.725783809078</v>
      </c>
      <c r="S634" s="74"/>
      <c r="T634" s="75">
        <f t="shared" si="386"/>
        <v>1.57715839962564</v>
      </c>
      <c r="U634" s="74"/>
      <c r="V634" s="74"/>
      <c r="W634" s="76">
        <f t="shared" si="380"/>
        <v>944.302942208704</v>
      </c>
      <c r="X634" s="77">
        <f t="shared" si="387"/>
        <v>14.372677819373</v>
      </c>
      <c r="Y634" s="77"/>
      <c r="Z634" s="77"/>
      <c r="AA634" s="77">
        <f t="shared" si="381"/>
        <v>14.372677819373</v>
      </c>
      <c r="AB634" s="87">
        <v>7.26</v>
      </c>
      <c r="AC634" s="74">
        <f t="shared" si="382"/>
        <v>104.345640968648</v>
      </c>
      <c r="AD634" s="74">
        <f t="shared" si="383"/>
        <v>1048.64858317735</v>
      </c>
      <c r="AE634" s="74">
        <f t="shared" si="384"/>
        <v>196.851416822649</v>
      </c>
    </row>
    <row r="635" customFormat="1" spans="1:31">
      <c r="A635" s="18"/>
      <c r="B635" s="19"/>
      <c r="C635" s="107">
        <v>240718000028</v>
      </c>
      <c r="D635" s="21">
        <v>45497</v>
      </c>
      <c r="E635" s="21" t="s">
        <v>44</v>
      </c>
      <c r="F635" s="19" t="s">
        <v>45</v>
      </c>
      <c r="G635" s="19" t="s">
        <v>72</v>
      </c>
      <c r="H635" s="19">
        <v>22</v>
      </c>
      <c r="I635" s="47"/>
      <c r="J635" s="48">
        <v>269178</v>
      </c>
      <c r="K635" s="43"/>
      <c r="L635" s="49">
        <f t="shared" si="388"/>
        <v>1604.54220314735</v>
      </c>
      <c r="M635" s="50">
        <v>167.76</v>
      </c>
      <c r="N635" s="44">
        <v>7.26</v>
      </c>
      <c r="O635" s="45">
        <f t="shared" si="389"/>
        <v>1217.9376</v>
      </c>
      <c r="P635" s="51"/>
      <c r="Q635" s="51"/>
      <c r="R635" s="74">
        <f t="shared" si="385"/>
        <v>921.776321946654</v>
      </c>
      <c r="S635" s="74"/>
      <c r="T635" s="75">
        <f t="shared" si="386"/>
        <v>1.54211043518952</v>
      </c>
      <c r="U635" s="74"/>
      <c r="V635" s="74"/>
      <c r="W635" s="76">
        <f t="shared" si="380"/>
        <v>923.318432381844</v>
      </c>
      <c r="X635" s="77">
        <f t="shared" si="387"/>
        <v>14.0532849789424</v>
      </c>
      <c r="Y635" s="77"/>
      <c r="Z635" s="77"/>
      <c r="AA635" s="77">
        <f t="shared" si="381"/>
        <v>14.0532849789424</v>
      </c>
      <c r="AB635" s="87">
        <v>7.26</v>
      </c>
      <c r="AC635" s="74">
        <f t="shared" si="382"/>
        <v>102.026848947122</v>
      </c>
      <c r="AD635" s="74">
        <f t="shared" si="383"/>
        <v>1025.34528132897</v>
      </c>
      <c r="AE635" s="74">
        <f t="shared" si="384"/>
        <v>192.592318671034</v>
      </c>
    </row>
    <row r="636" customFormat="1" spans="1:31">
      <c r="A636" s="18"/>
      <c r="B636" s="19"/>
      <c r="C636" s="107">
        <v>240718000031</v>
      </c>
      <c r="D636" s="21">
        <v>45497</v>
      </c>
      <c r="E636" s="21" t="s">
        <v>40</v>
      </c>
      <c r="F636" s="19" t="s">
        <v>41</v>
      </c>
      <c r="G636" s="19" t="s">
        <v>87</v>
      </c>
      <c r="H636" s="19">
        <v>6</v>
      </c>
      <c r="I636" s="47"/>
      <c r="J636" s="48">
        <v>78996</v>
      </c>
      <c r="K636" s="43"/>
      <c r="L636" s="49">
        <f t="shared" si="388"/>
        <v>1648.15355727102</v>
      </c>
      <c r="M636" s="50">
        <v>47.93</v>
      </c>
      <c r="N636" s="44">
        <v>7.26</v>
      </c>
      <c r="O636" s="45">
        <f t="shared" si="389"/>
        <v>347.9718</v>
      </c>
      <c r="P636" s="51"/>
      <c r="Q636" s="51"/>
      <c r="R636" s="74">
        <f t="shared" si="385"/>
        <v>251.393542349088</v>
      </c>
      <c r="S636" s="74"/>
      <c r="T636" s="75">
        <f t="shared" si="386"/>
        <v>0.420575573233505</v>
      </c>
      <c r="U636" s="74"/>
      <c r="V636" s="74"/>
      <c r="W636" s="76">
        <f t="shared" si="380"/>
        <v>251.814117922321</v>
      </c>
      <c r="X636" s="77">
        <f t="shared" si="387"/>
        <v>3.83271408516612</v>
      </c>
      <c r="Y636" s="77"/>
      <c r="Z636" s="77"/>
      <c r="AA636" s="77">
        <f t="shared" si="381"/>
        <v>3.83271408516612</v>
      </c>
      <c r="AB636" s="87">
        <v>7.26</v>
      </c>
      <c r="AC636" s="74">
        <f t="shared" si="382"/>
        <v>27.825504258306</v>
      </c>
      <c r="AD636" s="74">
        <f t="shared" si="383"/>
        <v>279.639622180627</v>
      </c>
      <c r="AE636" s="74">
        <f t="shared" si="384"/>
        <v>68.3321778193729</v>
      </c>
    </row>
    <row r="637" customFormat="1" spans="1:31">
      <c r="A637" s="18"/>
      <c r="B637" s="19"/>
      <c r="C637" s="107">
        <v>240718000033</v>
      </c>
      <c r="D637" s="21">
        <v>45497</v>
      </c>
      <c r="E637" s="21" t="s">
        <v>40</v>
      </c>
      <c r="F637" s="19" t="s">
        <v>41</v>
      </c>
      <c r="G637" s="19" t="s">
        <v>165</v>
      </c>
      <c r="H637" s="19">
        <v>10</v>
      </c>
      <c r="I637" s="47"/>
      <c r="J637" s="48">
        <v>119780</v>
      </c>
      <c r="K637" s="43"/>
      <c r="L637" s="49">
        <f t="shared" si="388"/>
        <v>1640.82191780822</v>
      </c>
      <c r="M637" s="50">
        <v>73</v>
      </c>
      <c r="N637" s="44">
        <v>7.26</v>
      </c>
      <c r="O637" s="45">
        <f t="shared" si="389"/>
        <v>529.98</v>
      </c>
      <c r="P637" s="51"/>
      <c r="Q637" s="51"/>
      <c r="R637" s="74">
        <f t="shared" si="385"/>
        <v>418.989237248479</v>
      </c>
      <c r="S637" s="74"/>
      <c r="T637" s="75">
        <f t="shared" si="386"/>
        <v>0.700959288722508</v>
      </c>
      <c r="U637" s="74"/>
      <c r="V637" s="74"/>
      <c r="W637" s="76">
        <f t="shared" si="380"/>
        <v>419.690196537202</v>
      </c>
      <c r="X637" s="77">
        <f t="shared" si="387"/>
        <v>6.3878568086102</v>
      </c>
      <c r="Y637" s="77"/>
      <c r="Z637" s="77"/>
      <c r="AA637" s="77">
        <f t="shared" si="381"/>
        <v>6.3878568086102</v>
      </c>
      <c r="AB637" s="87">
        <v>7.26</v>
      </c>
      <c r="AC637" s="74">
        <f t="shared" si="382"/>
        <v>46.3758404305101</v>
      </c>
      <c r="AD637" s="74">
        <f t="shared" si="383"/>
        <v>466.066036967712</v>
      </c>
      <c r="AE637" s="74">
        <f t="shared" si="384"/>
        <v>63.9139630322883</v>
      </c>
    </row>
    <row r="638" customFormat="1" spans="1:31">
      <c r="A638" s="18"/>
      <c r="B638" s="19"/>
      <c r="C638" s="107">
        <v>240718000044</v>
      </c>
      <c r="D638" s="23">
        <v>45497</v>
      </c>
      <c r="E638" s="21" t="s">
        <v>44</v>
      </c>
      <c r="F638" s="24" t="s">
        <v>51</v>
      </c>
      <c r="G638" s="24" t="s">
        <v>52</v>
      </c>
      <c r="H638" s="24">
        <v>14</v>
      </c>
      <c r="I638" s="47"/>
      <c r="J638" s="49">
        <v>181000</v>
      </c>
      <c r="K638" s="54"/>
      <c r="L638" s="49">
        <f t="shared" si="388"/>
        <v>1623.31838565022</v>
      </c>
      <c r="M638" s="55">
        <v>111.5</v>
      </c>
      <c r="N638" s="44">
        <v>7.26</v>
      </c>
      <c r="O638" s="45">
        <f t="shared" si="389"/>
        <v>809.49</v>
      </c>
      <c r="P638" s="51"/>
      <c r="Q638" s="51"/>
      <c r="R638" s="74">
        <f t="shared" si="385"/>
        <v>586.584932147871</v>
      </c>
      <c r="S638" s="74"/>
      <c r="T638" s="75">
        <f t="shared" si="386"/>
        <v>0.981343004211511</v>
      </c>
      <c r="U638" s="74"/>
      <c r="V638" s="74"/>
      <c r="W638" s="76">
        <f t="shared" si="380"/>
        <v>587.566275152082</v>
      </c>
      <c r="X638" s="77">
        <f t="shared" si="387"/>
        <v>8.94299953205428</v>
      </c>
      <c r="Y638" s="77"/>
      <c r="Z638" s="77"/>
      <c r="AA638" s="77">
        <f t="shared" si="381"/>
        <v>8.94299953205428</v>
      </c>
      <c r="AB638" s="87">
        <v>7.26</v>
      </c>
      <c r="AC638" s="74">
        <f t="shared" si="382"/>
        <v>64.9261766027141</v>
      </c>
      <c r="AD638" s="74">
        <f t="shared" si="383"/>
        <v>652.492451754797</v>
      </c>
      <c r="AE638" s="74">
        <f t="shared" si="384"/>
        <v>156.997548245203</v>
      </c>
    </row>
    <row r="639" customFormat="1" spans="1:31">
      <c r="A639" s="18"/>
      <c r="B639" s="19"/>
      <c r="C639" s="107">
        <v>240719000001</v>
      </c>
      <c r="D639" s="21">
        <v>45497</v>
      </c>
      <c r="E639" s="21" t="s">
        <v>44</v>
      </c>
      <c r="F639" s="19" t="s">
        <v>209</v>
      </c>
      <c r="G639" s="19" t="s">
        <v>210</v>
      </c>
      <c r="H639" s="19">
        <v>33.5</v>
      </c>
      <c r="I639" s="41">
        <v>2086</v>
      </c>
      <c r="J639" s="42"/>
      <c r="K639" s="43"/>
      <c r="L639" s="19"/>
      <c r="M639" s="43"/>
      <c r="N639" s="44"/>
      <c r="O639" s="45">
        <f t="shared" ref="O639:O641" si="391">SUM(I639)</f>
        <v>2086</v>
      </c>
      <c r="P639" s="51"/>
      <c r="Q639" s="51"/>
      <c r="R639" s="74">
        <f t="shared" si="385"/>
        <v>1403.61394478241</v>
      </c>
      <c r="S639" s="74"/>
      <c r="T639" s="75">
        <f t="shared" si="386"/>
        <v>2.3482136172204</v>
      </c>
      <c r="U639" s="74"/>
      <c r="V639" s="74"/>
      <c r="W639" s="76">
        <f t="shared" si="380"/>
        <v>1405.96215839963</v>
      </c>
      <c r="X639" s="77">
        <f t="shared" si="387"/>
        <v>21.3993203088442</v>
      </c>
      <c r="Y639" s="77"/>
      <c r="Z639" s="77"/>
      <c r="AA639" s="77">
        <f t="shared" si="381"/>
        <v>21.3993203088442</v>
      </c>
      <c r="AB639" s="87">
        <v>7.26</v>
      </c>
      <c r="AC639" s="74">
        <f t="shared" si="382"/>
        <v>155.359065442209</v>
      </c>
      <c r="AD639" s="74">
        <f t="shared" si="383"/>
        <v>1561.32122384183</v>
      </c>
      <c r="AE639" s="74">
        <f t="shared" si="384"/>
        <v>524.678776158166</v>
      </c>
    </row>
    <row r="640" customFormat="1" spans="1:31">
      <c r="A640" s="18"/>
      <c r="B640" s="19"/>
      <c r="C640" s="107">
        <v>240719000005</v>
      </c>
      <c r="D640" s="21">
        <v>45497</v>
      </c>
      <c r="E640" s="21" t="s">
        <v>58</v>
      </c>
      <c r="F640" s="19" t="s">
        <v>59</v>
      </c>
      <c r="G640" s="19" t="s">
        <v>133</v>
      </c>
      <c r="H640" s="19">
        <v>3</v>
      </c>
      <c r="I640" s="41">
        <v>206.1</v>
      </c>
      <c r="J640" s="42"/>
      <c r="K640" s="43"/>
      <c r="L640" s="19"/>
      <c r="M640" s="43"/>
      <c r="N640" s="44"/>
      <c r="O640" s="45">
        <f t="shared" si="391"/>
        <v>206.1</v>
      </c>
      <c r="P640" s="51"/>
      <c r="Q640" s="51"/>
      <c r="R640" s="74">
        <f t="shared" si="385"/>
        <v>125.696771174544</v>
      </c>
      <c r="S640" s="74"/>
      <c r="T640" s="75">
        <f t="shared" si="386"/>
        <v>0.210287786616752</v>
      </c>
      <c r="U640" s="74"/>
      <c r="V640" s="74"/>
      <c r="W640" s="76">
        <f t="shared" si="380"/>
        <v>125.907058961161</v>
      </c>
      <c r="X640" s="77">
        <f t="shared" si="387"/>
        <v>1.91635704258306</v>
      </c>
      <c r="Y640" s="77"/>
      <c r="Z640" s="77"/>
      <c r="AA640" s="77">
        <f t="shared" si="381"/>
        <v>1.91635704258306</v>
      </c>
      <c r="AB640" s="87">
        <v>7.26</v>
      </c>
      <c r="AC640" s="74">
        <f t="shared" si="382"/>
        <v>13.912752129153</v>
      </c>
      <c r="AD640" s="74">
        <f t="shared" si="383"/>
        <v>139.819811090314</v>
      </c>
      <c r="AE640" s="74">
        <f t="shared" si="384"/>
        <v>66.2801889096865</v>
      </c>
    </row>
    <row r="641" customFormat="1" spans="1:31">
      <c r="A641" s="18"/>
      <c r="B641" s="19"/>
      <c r="C641" s="107">
        <v>240719000008</v>
      </c>
      <c r="D641" s="21">
        <v>45497</v>
      </c>
      <c r="E641" s="21" t="s">
        <v>44</v>
      </c>
      <c r="F641" s="19" t="s">
        <v>45</v>
      </c>
      <c r="G641" s="19" t="s">
        <v>304</v>
      </c>
      <c r="H641" s="19">
        <v>0.47</v>
      </c>
      <c r="I641" s="41">
        <v>63</v>
      </c>
      <c r="J641" s="42"/>
      <c r="K641" s="43"/>
      <c r="L641" s="19"/>
      <c r="M641" s="43"/>
      <c r="N641" s="44"/>
      <c r="O641" s="45">
        <f t="shared" si="391"/>
        <v>63</v>
      </c>
      <c r="P641" s="51"/>
      <c r="Q641" s="51"/>
      <c r="R641" s="74">
        <f t="shared" si="385"/>
        <v>19.6924941506785</v>
      </c>
      <c r="S641" s="74"/>
      <c r="T641" s="75">
        <f t="shared" si="386"/>
        <v>0.0329450865699579</v>
      </c>
      <c r="U641" s="74"/>
      <c r="V641" s="74"/>
      <c r="W641" s="76">
        <f t="shared" si="380"/>
        <v>19.7254392372485</v>
      </c>
      <c r="X641" s="77">
        <f t="shared" si="387"/>
        <v>0.300229270004679</v>
      </c>
      <c r="Y641" s="77"/>
      <c r="Z641" s="77"/>
      <c r="AA641" s="77">
        <f t="shared" si="381"/>
        <v>0.300229270004679</v>
      </c>
      <c r="AB641" s="87">
        <v>7.26</v>
      </c>
      <c r="AC641" s="74">
        <f t="shared" si="382"/>
        <v>2.17966450023397</v>
      </c>
      <c r="AD641" s="74">
        <f t="shared" si="383"/>
        <v>21.9051037374824</v>
      </c>
      <c r="AE641" s="74">
        <f t="shared" si="384"/>
        <v>41.0948962625176</v>
      </c>
    </row>
    <row r="642" customFormat="1" spans="1:31">
      <c r="A642" s="18"/>
      <c r="B642" s="19"/>
      <c r="C642" s="107">
        <v>240719000011</v>
      </c>
      <c r="D642" s="21">
        <v>45497</v>
      </c>
      <c r="E642" s="21" t="s">
        <v>58</v>
      </c>
      <c r="F642" s="19" t="s">
        <v>59</v>
      </c>
      <c r="G642" s="19" t="s">
        <v>116</v>
      </c>
      <c r="H642" s="19">
        <v>37.5</v>
      </c>
      <c r="I642" s="45"/>
      <c r="J642" s="48">
        <v>456750</v>
      </c>
      <c r="K642" s="43"/>
      <c r="L642" s="49">
        <f t="shared" ref="L642:L645" si="392">SUM(J642/M642)</f>
        <v>1624</v>
      </c>
      <c r="M642" s="50">
        <v>281.25</v>
      </c>
      <c r="N642" s="44">
        <v>7.26</v>
      </c>
      <c r="O642" s="45">
        <f t="shared" ref="O642:O645" si="393">SUM(M642*N642)</f>
        <v>2041.875</v>
      </c>
      <c r="P642" s="51"/>
      <c r="Q642" s="51"/>
      <c r="R642" s="74">
        <f t="shared" si="385"/>
        <v>1571.2096396818</v>
      </c>
      <c r="S642" s="74"/>
      <c r="T642" s="75">
        <f t="shared" si="386"/>
        <v>2.62859733270941</v>
      </c>
      <c r="U642" s="74"/>
      <c r="V642" s="74"/>
      <c r="W642" s="76">
        <f t="shared" si="380"/>
        <v>1573.83823701451</v>
      </c>
      <c r="X642" s="77">
        <f t="shared" si="387"/>
        <v>23.9544630322883</v>
      </c>
      <c r="Y642" s="77"/>
      <c r="Z642" s="77"/>
      <c r="AA642" s="77">
        <f t="shared" si="381"/>
        <v>23.9544630322883</v>
      </c>
      <c r="AB642" s="87">
        <v>7.26</v>
      </c>
      <c r="AC642" s="74">
        <f t="shared" si="382"/>
        <v>173.909401614413</v>
      </c>
      <c r="AD642" s="74">
        <f t="shared" si="383"/>
        <v>1747.74763862892</v>
      </c>
      <c r="AE642" s="74">
        <f t="shared" si="384"/>
        <v>294.127361371081</v>
      </c>
    </row>
    <row r="643" customFormat="1" spans="1:31">
      <c r="A643" s="18"/>
      <c r="B643" s="19"/>
      <c r="C643" s="107">
        <v>240719000013</v>
      </c>
      <c r="D643" s="21">
        <v>45497</v>
      </c>
      <c r="E643" s="21" t="s">
        <v>40</v>
      </c>
      <c r="F643" s="19" t="s">
        <v>41</v>
      </c>
      <c r="G643" s="19" t="s">
        <v>450</v>
      </c>
      <c r="H643" s="19">
        <v>145</v>
      </c>
      <c r="I643" s="41">
        <v>7319</v>
      </c>
      <c r="J643" s="42"/>
      <c r="K643" s="43"/>
      <c r="L643" s="19"/>
      <c r="M643" s="43"/>
      <c r="N643" s="44"/>
      <c r="O643" s="45">
        <f>SUM(I643)</f>
        <v>7319</v>
      </c>
      <c r="P643" s="51"/>
      <c r="Q643" s="51"/>
      <c r="R643" s="74">
        <f t="shared" si="385"/>
        <v>6075.34394010295</v>
      </c>
      <c r="S643" s="74"/>
      <c r="T643" s="75">
        <f t="shared" si="386"/>
        <v>10.1639096864764</v>
      </c>
      <c r="U643" s="74"/>
      <c r="V643" s="74"/>
      <c r="W643" s="76">
        <f t="shared" si="380"/>
        <v>6085.50784978942</v>
      </c>
      <c r="X643" s="77">
        <f t="shared" si="387"/>
        <v>92.6239237248479</v>
      </c>
      <c r="Y643" s="77"/>
      <c r="Z643" s="77"/>
      <c r="AA643" s="77">
        <f t="shared" si="381"/>
        <v>92.6239237248479</v>
      </c>
      <c r="AB643" s="87">
        <v>7.26</v>
      </c>
      <c r="AC643" s="74">
        <f t="shared" si="382"/>
        <v>672.449686242396</v>
      </c>
      <c r="AD643" s="74">
        <f t="shared" si="383"/>
        <v>6757.95753603182</v>
      </c>
      <c r="AE643" s="74">
        <f t="shared" si="384"/>
        <v>561.04246396818</v>
      </c>
    </row>
    <row r="644" customFormat="1" spans="1:31">
      <c r="A644" s="18"/>
      <c r="B644" s="19"/>
      <c r="C644" s="107">
        <v>240719000015</v>
      </c>
      <c r="D644" s="21">
        <v>45497</v>
      </c>
      <c r="E644" s="21" t="s">
        <v>47</v>
      </c>
      <c r="F644" s="19" t="s">
        <v>48</v>
      </c>
      <c r="G644" s="19" t="s">
        <v>208</v>
      </c>
      <c r="H644" s="19">
        <v>159.5</v>
      </c>
      <c r="I644" s="45"/>
      <c r="J644" s="48">
        <v>1925524</v>
      </c>
      <c r="K644" s="43"/>
      <c r="L644" s="49">
        <f t="shared" si="392"/>
        <v>1640</v>
      </c>
      <c r="M644" s="50">
        <v>1174.1</v>
      </c>
      <c r="N644" s="44">
        <v>7.26</v>
      </c>
      <c r="O644" s="45">
        <f t="shared" si="393"/>
        <v>8523.966</v>
      </c>
      <c r="P644" s="51"/>
      <c r="Q644" s="51"/>
      <c r="R644" s="74">
        <f t="shared" si="385"/>
        <v>6682.87833411324</v>
      </c>
      <c r="S644" s="74"/>
      <c r="T644" s="75">
        <f t="shared" si="386"/>
        <v>11.180300655124</v>
      </c>
      <c r="U644" s="74"/>
      <c r="V644" s="74"/>
      <c r="W644" s="76">
        <f t="shared" si="380"/>
        <v>6694.05863476837</v>
      </c>
      <c r="X644" s="77">
        <f t="shared" si="387"/>
        <v>101.886316097333</v>
      </c>
      <c r="Y644" s="77"/>
      <c r="Z644" s="77"/>
      <c r="AA644" s="77">
        <f t="shared" si="381"/>
        <v>101.886316097333</v>
      </c>
      <c r="AB644" s="87">
        <v>7.26</v>
      </c>
      <c r="AC644" s="74">
        <f t="shared" si="382"/>
        <v>739.694654866635</v>
      </c>
      <c r="AD644" s="74">
        <f t="shared" si="383"/>
        <v>7433.753289635</v>
      </c>
      <c r="AE644" s="74">
        <f t="shared" si="384"/>
        <v>1090.212710365</v>
      </c>
    </row>
    <row r="645" customFormat="1" spans="1:31">
      <c r="A645" s="18"/>
      <c r="B645" s="19"/>
      <c r="C645" s="107">
        <v>240719000017</v>
      </c>
      <c r="D645" s="21">
        <v>45497</v>
      </c>
      <c r="E645" s="21" t="s">
        <v>40</v>
      </c>
      <c r="F645" s="19" t="s">
        <v>41</v>
      </c>
      <c r="G645" s="19" t="s">
        <v>165</v>
      </c>
      <c r="H645" s="19">
        <v>189</v>
      </c>
      <c r="I645" s="47"/>
      <c r="J645" s="48">
        <v>2257853</v>
      </c>
      <c r="K645" s="43"/>
      <c r="L645" s="49">
        <f t="shared" si="392"/>
        <v>1640.76229925151</v>
      </c>
      <c r="M645" s="50">
        <v>1376.1</v>
      </c>
      <c r="N645" s="44">
        <v>7.26</v>
      </c>
      <c r="O645" s="45">
        <f t="shared" si="393"/>
        <v>9990.486</v>
      </c>
      <c r="P645" s="51"/>
      <c r="Q645" s="51"/>
      <c r="R645" s="74">
        <f t="shared" si="385"/>
        <v>7918.89658399626</v>
      </c>
      <c r="S645" s="74"/>
      <c r="T645" s="75">
        <f t="shared" si="386"/>
        <v>13.2481305568554</v>
      </c>
      <c r="U645" s="74"/>
      <c r="V645" s="74"/>
      <c r="W645" s="76">
        <f t="shared" si="380"/>
        <v>7932.14471455311</v>
      </c>
      <c r="X645" s="77">
        <f t="shared" si="387"/>
        <v>120.730493682733</v>
      </c>
      <c r="Y645" s="77"/>
      <c r="Z645" s="77"/>
      <c r="AA645" s="77">
        <f t="shared" si="381"/>
        <v>120.730493682733</v>
      </c>
      <c r="AB645" s="87">
        <v>7.26</v>
      </c>
      <c r="AC645" s="74">
        <f t="shared" si="382"/>
        <v>876.50338413664</v>
      </c>
      <c r="AD645" s="74">
        <f t="shared" si="383"/>
        <v>8808.64809868975</v>
      </c>
      <c r="AE645" s="74">
        <f t="shared" si="384"/>
        <v>1181.83790131025</v>
      </c>
    </row>
    <row r="646" customFormat="1" spans="1:31">
      <c r="A646" s="18"/>
      <c r="B646" s="19"/>
      <c r="C646" s="107">
        <v>240719000019</v>
      </c>
      <c r="D646" s="21">
        <v>45497</v>
      </c>
      <c r="E646" s="21" t="s">
        <v>44</v>
      </c>
      <c r="F646" s="19" t="s">
        <v>45</v>
      </c>
      <c r="G646" s="19" t="s">
        <v>451</v>
      </c>
      <c r="H646" s="19">
        <v>533.5</v>
      </c>
      <c r="I646" s="41">
        <v>32510</v>
      </c>
      <c r="J646" s="42"/>
      <c r="K646" s="43"/>
      <c r="L646" s="19"/>
      <c r="M646" s="43"/>
      <c r="N646" s="44"/>
      <c r="O646" s="45">
        <f t="shared" ref="O646:O654" si="394">SUM(I646)</f>
        <v>32510</v>
      </c>
      <c r="P646" s="51"/>
      <c r="Q646" s="51"/>
      <c r="R646" s="74">
        <f t="shared" si="385"/>
        <v>22353.0758072064</v>
      </c>
      <c r="S646" s="74"/>
      <c r="T646" s="75">
        <f t="shared" si="386"/>
        <v>37.3961780533458</v>
      </c>
      <c r="U646" s="75">
        <v>500</v>
      </c>
      <c r="V646" s="74"/>
      <c r="W646" s="76">
        <f t="shared" si="380"/>
        <v>22890.4719852597</v>
      </c>
      <c r="X646" s="77">
        <f t="shared" si="387"/>
        <v>340.792160739354</v>
      </c>
      <c r="Y646" s="77"/>
      <c r="Z646" s="77"/>
      <c r="AA646" s="77">
        <f t="shared" si="381"/>
        <v>340.792160739354</v>
      </c>
      <c r="AB646" s="87">
        <v>7.26</v>
      </c>
      <c r="AC646" s="74">
        <f t="shared" si="382"/>
        <v>2474.15108696771</v>
      </c>
      <c r="AD646" s="74">
        <f t="shared" ref="AD646:AD677" si="395">SUM(W646+AC646)</f>
        <v>25364.6230722274</v>
      </c>
      <c r="AE646" s="74">
        <f t="shared" ref="AE646:AE677" si="396">SUM(O646-AD646)</f>
        <v>7145.37692777258</v>
      </c>
    </row>
    <row r="647" customFormat="1" spans="1:31">
      <c r="A647" s="18"/>
      <c r="B647" s="19"/>
      <c r="C647" s="107">
        <v>240719000021</v>
      </c>
      <c r="D647" s="21">
        <v>45497</v>
      </c>
      <c r="E647" s="21" t="s">
        <v>40</v>
      </c>
      <c r="F647" s="19" t="s">
        <v>41</v>
      </c>
      <c r="G647" s="19" t="s">
        <v>165</v>
      </c>
      <c r="H647" s="19">
        <v>13</v>
      </c>
      <c r="I647" s="47"/>
      <c r="J647" s="48">
        <v>155714</v>
      </c>
      <c r="K647" s="43"/>
      <c r="L647" s="49">
        <f t="shared" ref="L647:L650" si="397">SUM(J647/M647)</f>
        <v>1640.82191780822</v>
      </c>
      <c r="M647" s="50">
        <v>94.9</v>
      </c>
      <c r="N647" s="44">
        <v>7.26</v>
      </c>
      <c r="O647" s="45">
        <f t="shared" ref="O647:O650" si="398">SUM(M647*N647)</f>
        <v>688.974</v>
      </c>
      <c r="P647" s="51"/>
      <c r="Q647" s="51"/>
      <c r="R647" s="74">
        <f t="shared" si="385"/>
        <v>544.686008423023</v>
      </c>
      <c r="S647" s="74"/>
      <c r="T647" s="75">
        <f t="shared" si="386"/>
        <v>0.911247075339261</v>
      </c>
      <c r="U647" s="74"/>
      <c r="V647" s="74"/>
      <c r="W647" s="76">
        <f t="shared" si="380"/>
        <v>545.597255498362</v>
      </c>
      <c r="X647" s="77">
        <f t="shared" si="387"/>
        <v>8.30421385119326</v>
      </c>
      <c r="Y647" s="77"/>
      <c r="Z647" s="77"/>
      <c r="AA647" s="77">
        <f t="shared" si="381"/>
        <v>8.30421385119326</v>
      </c>
      <c r="AB647" s="87">
        <v>7.26</v>
      </c>
      <c r="AC647" s="74">
        <f t="shared" si="382"/>
        <v>60.2885925596631</v>
      </c>
      <c r="AD647" s="74">
        <f t="shared" si="395"/>
        <v>605.885848058025</v>
      </c>
      <c r="AE647" s="74">
        <f t="shared" si="396"/>
        <v>83.0881519419747</v>
      </c>
    </row>
    <row r="648" customFormat="1" spans="1:31">
      <c r="A648" s="18"/>
      <c r="B648" s="19"/>
      <c r="C648" s="107">
        <v>240719000028</v>
      </c>
      <c r="D648" s="21">
        <v>45497</v>
      </c>
      <c r="E648" s="21" t="s">
        <v>40</v>
      </c>
      <c r="F648" s="19" t="s">
        <v>41</v>
      </c>
      <c r="G648" s="19" t="s">
        <v>392</v>
      </c>
      <c r="H648" s="19">
        <v>181</v>
      </c>
      <c r="I648" s="47"/>
      <c r="J648" s="48">
        <v>2220288</v>
      </c>
      <c r="K648" s="43"/>
      <c r="L648" s="49">
        <f t="shared" si="397"/>
        <v>1626.25102543068</v>
      </c>
      <c r="M648" s="50">
        <v>1365.28</v>
      </c>
      <c r="N648" s="44">
        <v>7.26</v>
      </c>
      <c r="O648" s="45">
        <f t="shared" si="398"/>
        <v>9911.9328</v>
      </c>
      <c r="P648" s="51"/>
      <c r="Q648" s="51"/>
      <c r="R648" s="74">
        <f t="shared" si="385"/>
        <v>7583.70519419747</v>
      </c>
      <c r="S648" s="74"/>
      <c r="T648" s="75">
        <f t="shared" si="386"/>
        <v>12.6873631258774</v>
      </c>
      <c r="U648" s="74"/>
      <c r="V648" s="74"/>
      <c r="W648" s="76">
        <f t="shared" ref="W648:W661" si="399">SUM(R648:V648)</f>
        <v>7596.39255732335</v>
      </c>
      <c r="X648" s="77">
        <f t="shared" si="387"/>
        <v>115.620208235845</v>
      </c>
      <c r="Y648" s="77"/>
      <c r="Z648" s="77"/>
      <c r="AA648" s="77">
        <f t="shared" ref="AA648:AA679" si="400">SUM(X648:Z648)</f>
        <v>115.620208235845</v>
      </c>
      <c r="AB648" s="87">
        <v>7.26</v>
      </c>
      <c r="AC648" s="74">
        <f t="shared" ref="AC648:AC679" si="401">SUM(AA648*AB648)</f>
        <v>839.402711792232</v>
      </c>
      <c r="AD648" s="74">
        <f t="shared" si="395"/>
        <v>8435.79526911558</v>
      </c>
      <c r="AE648" s="74">
        <f t="shared" si="396"/>
        <v>1476.13753088442</v>
      </c>
    </row>
    <row r="649" customFormat="1" spans="1:31">
      <c r="A649" s="18"/>
      <c r="B649" s="19"/>
      <c r="C649" s="107">
        <v>240719000029</v>
      </c>
      <c r="D649" s="21">
        <v>45497</v>
      </c>
      <c r="E649" s="21" t="s">
        <v>37</v>
      </c>
      <c r="F649" s="19" t="s">
        <v>37</v>
      </c>
      <c r="G649" s="19" t="s">
        <v>452</v>
      </c>
      <c r="H649" s="19">
        <v>227.5</v>
      </c>
      <c r="I649" s="41">
        <v>13195</v>
      </c>
      <c r="J649" s="42"/>
      <c r="K649" s="43"/>
      <c r="L649" s="19"/>
      <c r="M649" s="43"/>
      <c r="N649" s="44"/>
      <c r="O649" s="45">
        <f t="shared" si="394"/>
        <v>13195</v>
      </c>
      <c r="P649" s="52"/>
      <c r="Q649" s="52"/>
      <c r="R649" s="74">
        <f t="shared" si="385"/>
        <v>9532.0051474029</v>
      </c>
      <c r="S649" s="74"/>
      <c r="T649" s="75">
        <f t="shared" si="386"/>
        <v>15.9468238184371</v>
      </c>
      <c r="U649" s="74"/>
      <c r="V649" s="74"/>
      <c r="W649" s="76">
        <f t="shared" si="399"/>
        <v>9547.95197122134</v>
      </c>
      <c r="X649" s="77">
        <f t="shared" si="387"/>
        <v>145.323742395882</v>
      </c>
      <c r="Y649" s="77"/>
      <c r="Z649" s="77"/>
      <c r="AA649" s="77">
        <f t="shared" si="400"/>
        <v>145.323742395882</v>
      </c>
      <c r="AB649" s="87">
        <v>7.26</v>
      </c>
      <c r="AC649" s="74">
        <f t="shared" si="401"/>
        <v>1055.0503697941</v>
      </c>
      <c r="AD649" s="74">
        <f t="shared" si="395"/>
        <v>10603.0023410154</v>
      </c>
      <c r="AE649" s="74">
        <f t="shared" si="396"/>
        <v>2591.99765898456</v>
      </c>
    </row>
    <row r="650" customFormat="1" spans="1:31">
      <c r="A650" s="18" t="s">
        <v>453</v>
      </c>
      <c r="B650" s="19" t="s">
        <v>454</v>
      </c>
      <c r="C650" s="107">
        <v>240721000005</v>
      </c>
      <c r="D650" s="21">
        <v>45498</v>
      </c>
      <c r="E650" s="21" t="s">
        <v>44</v>
      </c>
      <c r="F650" s="19" t="s">
        <v>51</v>
      </c>
      <c r="G650" s="19" t="s">
        <v>52</v>
      </c>
      <c r="H650" s="19">
        <v>0.52</v>
      </c>
      <c r="I650" s="45"/>
      <c r="J650" s="48">
        <v>25648</v>
      </c>
      <c r="K650" s="43"/>
      <c r="L650" s="49">
        <f t="shared" si="397"/>
        <v>1606.01127113337</v>
      </c>
      <c r="M650" s="50">
        <v>15.97</v>
      </c>
      <c r="N650" s="44">
        <v>7.26</v>
      </c>
      <c r="O650" s="45">
        <f t="shared" si="398"/>
        <v>115.9422</v>
      </c>
      <c r="P650" s="46">
        <f>SUM(O650:O661)</f>
        <v>10457.29</v>
      </c>
      <c r="Q650" s="46" t="s">
        <v>39</v>
      </c>
      <c r="R650" s="74">
        <f>SUM(5000/64)*H650</f>
        <v>40.625</v>
      </c>
      <c r="S650" s="74"/>
      <c r="T650" s="75">
        <f>SUM(54.99/64)*H650</f>
        <v>0.44679375</v>
      </c>
      <c r="U650" s="74"/>
      <c r="V650" s="74"/>
      <c r="W650" s="76">
        <f t="shared" si="399"/>
        <v>41.07179375</v>
      </c>
      <c r="X650" s="77">
        <f>SUM(557.16/64)*H650</f>
        <v>4.526925</v>
      </c>
      <c r="Y650" s="77"/>
      <c r="Z650" s="77"/>
      <c r="AA650" s="77">
        <f t="shared" si="400"/>
        <v>4.526925</v>
      </c>
      <c r="AB650" s="87">
        <v>7.26</v>
      </c>
      <c r="AC650" s="74">
        <f t="shared" si="401"/>
        <v>32.8654755</v>
      </c>
      <c r="AD650" s="74">
        <f t="shared" si="395"/>
        <v>73.93726925</v>
      </c>
      <c r="AE650" s="74">
        <f t="shared" si="396"/>
        <v>42.00493075</v>
      </c>
    </row>
    <row r="651" customFormat="1" spans="1:31">
      <c r="A651" s="18"/>
      <c r="B651" s="19"/>
      <c r="C651" s="107">
        <v>240722000017</v>
      </c>
      <c r="D651" s="21">
        <v>45498</v>
      </c>
      <c r="E651" s="21" t="s">
        <v>44</v>
      </c>
      <c r="F651" s="19" t="s">
        <v>45</v>
      </c>
      <c r="G651" s="19" t="s">
        <v>455</v>
      </c>
      <c r="H651" s="19">
        <v>0.13</v>
      </c>
      <c r="I651" s="41">
        <v>138</v>
      </c>
      <c r="J651" s="42"/>
      <c r="K651" s="43"/>
      <c r="L651" s="19"/>
      <c r="M651" s="43"/>
      <c r="N651" s="44"/>
      <c r="O651" s="45">
        <f t="shared" si="394"/>
        <v>138</v>
      </c>
      <c r="P651" s="51"/>
      <c r="Q651" s="51"/>
      <c r="R651" s="74">
        <f t="shared" ref="R651:R661" si="402">SUM(5000/64)*H651</f>
        <v>10.15625</v>
      </c>
      <c r="S651" s="74"/>
      <c r="T651" s="75">
        <f t="shared" ref="T651:T661" si="403">SUM(54.99/64)*H651</f>
        <v>0.1116984375</v>
      </c>
      <c r="U651" s="74"/>
      <c r="V651" s="74"/>
      <c r="W651" s="76">
        <f t="shared" si="399"/>
        <v>10.2679484375</v>
      </c>
      <c r="X651" s="77">
        <f t="shared" ref="X651:X661" si="404">SUM(557.16/64)*H651</f>
        <v>1.13173125</v>
      </c>
      <c r="Y651" s="77">
        <v>10.33</v>
      </c>
      <c r="Z651" s="77"/>
      <c r="AA651" s="77">
        <f t="shared" si="400"/>
        <v>11.46173125</v>
      </c>
      <c r="AB651" s="87">
        <v>7.26</v>
      </c>
      <c r="AC651" s="74">
        <f t="shared" si="401"/>
        <v>83.212168875</v>
      </c>
      <c r="AD651" s="74">
        <f t="shared" si="395"/>
        <v>93.4801173125</v>
      </c>
      <c r="AE651" s="74">
        <f t="shared" si="396"/>
        <v>44.5198826875</v>
      </c>
    </row>
    <row r="652" customFormat="1" spans="1:31">
      <c r="A652" s="18"/>
      <c r="B652" s="19"/>
      <c r="C652" s="107">
        <v>240722000019</v>
      </c>
      <c r="D652" s="21">
        <v>45498</v>
      </c>
      <c r="E652" s="21" t="s">
        <v>58</v>
      </c>
      <c r="F652" s="19" t="s">
        <v>59</v>
      </c>
      <c r="G652" s="19" t="s">
        <v>238</v>
      </c>
      <c r="H652" s="19">
        <v>1</v>
      </c>
      <c r="I652" s="41">
        <v>115</v>
      </c>
      <c r="J652" s="42"/>
      <c r="K652" s="43"/>
      <c r="L652" s="19"/>
      <c r="M652" s="43"/>
      <c r="N652" s="44"/>
      <c r="O652" s="45">
        <f t="shared" si="394"/>
        <v>115</v>
      </c>
      <c r="P652" s="51"/>
      <c r="Q652" s="51"/>
      <c r="R652" s="74">
        <f t="shared" si="402"/>
        <v>78.125</v>
      </c>
      <c r="S652" s="74"/>
      <c r="T652" s="75">
        <f t="shared" si="403"/>
        <v>0.85921875</v>
      </c>
      <c r="U652" s="74"/>
      <c r="V652" s="74"/>
      <c r="W652" s="76">
        <f t="shared" si="399"/>
        <v>78.98421875</v>
      </c>
      <c r="X652" s="77">
        <f t="shared" si="404"/>
        <v>8.705625</v>
      </c>
      <c r="Y652" s="77"/>
      <c r="Z652" s="77"/>
      <c r="AA652" s="77">
        <f t="shared" si="400"/>
        <v>8.705625</v>
      </c>
      <c r="AB652" s="87">
        <v>7.26</v>
      </c>
      <c r="AC652" s="74">
        <f t="shared" si="401"/>
        <v>63.2028375</v>
      </c>
      <c r="AD652" s="74">
        <f t="shared" si="395"/>
        <v>142.18705625</v>
      </c>
      <c r="AE652" s="74">
        <f t="shared" si="396"/>
        <v>-27.18705625</v>
      </c>
    </row>
    <row r="653" customFormat="1" spans="1:31">
      <c r="A653" s="18"/>
      <c r="B653" s="19"/>
      <c r="C653" s="107">
        <v>240722000031</v>
      </c>
      <c r="D653" s="21">
        <v>45498</v>
      </c>
      <c r="E653" s="21" t="s">
        <v>47</v>
      </c>
      <c r="F653" s="19" t="s">
        <v>48</v>
      </c>
      <c r="G653" s="19" t="s">
        <v>159</v>
      </c>
      <c r="H653" s="19">
        <v>13</v>
      </c>
      <c r="I653" s="41">
        <v>1980</v>
      </c>
      <c r="J653" s="42"/>
      <c r="K653" s="43"/>
      <c r="L653" s="19"/>
      <c r="M653" s="43"/>
      <c r="N653" s="44"/>
      <c r="O653" s="45">
        <f t="shared" si="394"/>
        <v>1980</v>
      </c>
      <c r="P653" s="51"/>
      <c r="Q653" s="51"/>
      <c r="R653" s="74">
        <f t="shared" si="402"/>
        <v>1015.625</v>
      </c>
      <c r="S653" s="74"/>
      <c r="T653" s="75">
        <f t="shared" si="403"/>
        <v>11.16984375</v>
      </c>
      <c r="U653" s="74"/>
      <c r="V653" s="74"/>
      <c r="W653" s="76">
        <f t="shared" si="399"/>
        <v>1026.79484375</v>
      </c>
      <c r="X653" s="77">
        <f t="shared" si="404"/>
        <v>113.173125</v>
      </c>
      <c r="Y653" s="77"/>
      <c r="Z653" s="77"/>
      <c r="AA653" s="77">
        <f t="shared" si="400"/>
        <v>113.173125</v>
      </c>
      <c r="AB653" s="87">
        <v>7.26</v>
      </c>
      <c r="AC653" s="74">
        <f t="shared" si="401"/>
        <v>821.6368875</v>
      </c>
      <c r="AD653" s="74">
        <f t="shared" si="395"/>
        <v>1848.43173125</v>
      </c>
      <c r="AE653" s="74">
        <f t="shared" si="396"/>
        <v>131.56826875</v>
      </c>
    </row>
    <row r="654" customFormat="1" spans="1:31">
      <c r="A654" s="18"/>
      <c r="B654" s="19"/>
      <c r="C654" s="107">
        <v>240722000032</v>
      </c>
      <c r="D654" s="21">
        <v>45498</v>
      </c>
      <c r="E654" s="21" t="s">
        <v>47</v>
      </c>
      <c r="F654" s="19" t="s">
        <v>48</v>
      </c>
      <c r="G654" s="19" t="s">
        <v>159</v>
      </c>
      <c r="H654" s="19">
        <v>1.5</v>
      </c>
      <c r="I654" s="41">
        <v>240</v>
      </c>
      <c r="J654" s="42"/>
      <c r="K654" s="43"/>
      <c r="L654" s="19"/>
      <c r="M654" s="43"/>
      <c r="N654" s="44"/>
      <c r="O654" s="45">
        <f t="shared" si="394"/>
        <v>240</v>
      </c>
      <c r="P654" s="51"/>
      <c r="Q654" s="51"/>
      <c r="R654" s="74">
        <f t="shared" si="402"/>
        <v>117.1875</v>
      </c>
      <c r="S654" s="74"/>
      <c r="T654" s="75">
        <f t="shared" si="403"/>
        <v>1.288828125</v>
      </c>
      <c r="U654" s="74"/>
      <c r="V654" s="74"/>
      <c r="W654" s="76">
        <f t="shared" si="399"/>
        <v>118.476328125</v>
      </c>
      <c r="X654" s="77">
        <f t="shared" si="404"/>
        <v>13.0584375</v>
      </c>
      <c r="Y654" s="77"/>
      <c r="Z654" s="77"/>
      <c r="AA654" s="77">
        <f t="shared" si="400"/>
        <v>13.0584375</v>
      </c>
      <c r="AB654" s="87">
        <v>7.26</v>
      </c>
      <c r="AC654" s="74">
        <f t="shared" si="401"/>
        <v>94.80425625</v>
      </c>
      <c r="AD654" s="74">
        <f t="shared" si="395"/>
        <v>213.280584375</v>
      </c>
      <c r="AE654" s="74">
        <f t="shared" si="396"/>
        <v>26.719415625</v>
      </c>
    </row>
    <row r="655" customFormat="1" spans="1:31">
      <c r="A655" s="18"/>
      <c r="B655" s="19"/>
      <c r="C655" s="107">
        <v>240722000047</v>
      </c>
      <c r="D655" s="21">
        <v>45498</v>
      </c>
      <c r="E655" s="21" t="s">
        <v>40</v>
      </c>
      <c r="F655" s="19" t="s">
        <v>41</v>
      </c>
      <c r="G655" s="19" t="s">
        <v>296</v>
      </c>
      <c r="H655" s="19">
        <v>2.5</v>
      </c>
      <c r="I655" s="47"/>
      <c r="J655" s="48">
        <v>66600</v>
      </c>
      <c r="K655" s="43"/>
      <c r="L655" s="49">
        <f t="shared" ref="L655:L658" si="405">SUM(J655/M655)</f>
        <v>1611.81026137464</v>
      </c>
      <c r="M655" s="50">
        <v>41.32</v>
      </c>
      <c r="N655" s="44">
        <v>7.26</v>
      </c>
      <c r="O655" s="45">
        <f t="shared" ref="O655:O658" si="406">SUM(M655*N655)+I655</f>
        <v>299.9832</v>
      </c>
      <c r="P655" s="51"/>
      <c r="Q655" s="51"/>
      <c r="R655" s="74">
        <f t="shared" si="402"/>
        <v>195.3125</v>
      </c>
      <c r="S655" s="74"/>
      <c r="T655" s="75">
        <f t="shared" si="403"/>
        <v>2.148046875</v>
      </c>
      <c r="U655" s="74"/>
      <c r="V655" s="74"/>
      <c r="W655" s="76">
        <f t="shared" si="399"/>
        <v>197.460546875</v>
      </c>
      <c r="X655" s="77">
        <f t="shared" si="404"/>
        <v>21.7640625</v>
      </c>
      <c r="Y655" s="77"/>
      <c r="Z655" s="77"/>
      <c r="AA655" s="77">
        <f t="shared" si="400"/>
        <v>21.7640625</v>
      </c>
      <c r="AB655" s="87">
        <v>7.26</v>
      </c>
      <c r="AC655" s="74">
        <f t="shared" si="401"/>
        <v>158.00709375</v>
      </c>
      <c r="AD655" s="74">
        <f t="shared" si="395"/>
        <v>355.467640625</v>
      </c>
      <c r="AE655" s="74">
        <f t="shared" si="396"/>
        <v>-55.4844406249999</v>
      </c>
    </row>
    <row r="656" customFormat="1" spans="1:31">
      <c r="A656" s="18"/>
      <c r="B656" s="19"/>
      <c r="C656" s="107">
        <v>240722000052</v>
      </c>
      <c r="D656" s="21">
        <v>45498</v>
      </c>
      <c r="E656" s="21" t="s">
        <v>58</v>
      </c>
      <c r="F656" s="19" t="s">
        <v>59</v>
      </c>
      <c r="G656" s="19" t="s">
        <v>110</v>
      </c>
      <c r="H656" s="19">
        <v>3</v>
      </c>
      <c r="I656" s="41">
        <v>345</v>
      </c>
      <c r="J656" s="42"/>
      <c r="K656" s="43"/>
      <c r="L656" s="19"/>
      <c r="M656" s="43"/>
      <c r="N656" s="44"/>
      <c r="O656" s="45">
        <f t="shared" ref="O656:O662" si="407">SUM(I656)</f>
        <v>345</v>
      </c>
      <c r="P656" s="51"/>
      <c r="Q656" s="51"/>
      <c r="R656" s="74">
        <f t="shared" si="402"/>
        <v>234.375</v>
      </c>
      <c r="S656" s="74"/>
      <c r="T656" s="75">
        <f t="shared" si="403"/>
        <v>2.57765625</v>
      </c>
      <c r="U656" s="74"/>
      <c r="V656" s="74"/>
      <c r="W656" s="76">
        <f t="shared" si="399"/>
        <v>236.95265625</v>
      </c>
      <c r="X656" s="77">
        <f t="shared" si="404"/>
        <v>26.116875</v>
      </c>
      <c r="Y656" s="77"/>
      <c r="Z656" s="77"/>
      <c r="AA656" s="77">
        <f t="shared" si="400"/>
        <v>26.116875</v>
      </c>
      <c r="AB656" s="87">
        <v>7.26</v>
      </c>
      <c r="AC656" s="74">
        <f t="shared" si="401"/>
        <v>189.6085125</v>
      </c>
      <c r="AD656" s="74">
        <f t="shared" si="395"/>
        <v>426.56116875</v>
      </c>
      <c r="AE656" s="74">
        <f t="shared" si="396"/>
        <v>-81.56116875</v>
      </c>
    </row>
    <row r="657" customFormat="1" spans="1:31">
      <c r="A657" s="18"/>
      <c r="B657" s="19"/>
      <c r="C657" s="107">
        <v>240722000053</v>
      </c>
      <c r="D657" s="21">
        <v>45498</v>
      </c>
      <c r="E657" s="21" t="s">
        <v>37</v>
      </c>
      <c r="F657" s="19" t="s">
        <v>37</v>
      </c>
      <c r="G657" s="19" t="s">
        <v>456</v>
      </c>
      <c r="H657" s="19">
        <v>30.5</v>
      </c>
      <c r="I657" s="41">
        <v>3660</v>
      </c>
      <c r="J657" s="48">
        <v>450000</v>
      </c>
      <c r="K657" s="43"/>
      <c r="L657" s="49">
        <f t="shared" si="405"/>
        <v>1596.82055285476</v>
      </c>
      <c r="M657" s="50">
        <v>281.81</v>
      </c>
      <c r="N657" s="44">
        <v>7.26</v>
      </c>
      <c r="O657" s="45">
        <f t="shared" si="406"/>
        <v>5705.9406</v>
      </c>
      <c r="P657" s="51"/>
      <c r="Q657" s="51"/>
      <c r="R657" s="74">
        <f t="shared" si="402"/>
        <v>2382.8125</v>
      </c>
      <c r="S657" s="74"/>
      <c r="T657" s="75">
        <f t="shared" si="403"/>
        <v>26.206171875</v>
      </c>
      <c r="U657" s="74"/>
      <c r="V657" s="74"/>
      <c r="W657" s="76">
        <f t="shared" si="399"/>
        <v>2409.018671875</v>
      </c>
      <c r="X657" s="77">
        <f t="shared" si="404"/>
        <v>265.5215625</v>
      </c>
      <c r="Y657" s="77"/>
      <c r="Z657" s="77"/>
      <c r="AA657" s="77">
        <f t="shared" si="400"/>
        <v>265.5215625</v>
      </c>
      <c r="AB657" s="87">
        <v>7.26</v>
      </c>
      <c r="AC657" s="74">
        <f t="shared" si="401"/>
        <v>1927.68654375</v>
      </c>
      <c r="AD657" s="74">
        <f t="shared" si="395"/>
        <v>4336.705215625</v>
      </c>
      <c r="AE657" s="74">
        <f t="shared" si="396"/>
        <v>1369.235384375</v>
      </c>
    </row>
    <row r="658" customFormat="1" spans="1:31">
      <c r="A658" s="18"/>
      <c r="B658" s="19"/>
      <c r="C658" s="107">
        <v>240723000004</v>
      </c>
      <c r="D658" s="21">
        <v>45498</v>
      </c>
      <c r="E658" s="21" t="s">
        <v>47</v>
      </c>
      <c r="F658" s="19" t="s">
        <v>48</v>
      </c>
      <c r="G658" s="19" t="s">
        <v>331</v>
      </c>
      <c r="H658" s="19">
        <v>3</v>
      </c>
      <c r="I658" s="47"/>
      <c r="J658" s="48">
        <v>102120</v>
      </c>
      <c r="K658" s="43"/>
      <c r="L658" s="49">
        <f t="shared" si="405"/>
        <v>1611.74242424242</v>
      </c>
      <c r="M658" s="50">
        <v>63.36</v>
      </c>
      <c r="N658" s="44">
        <v>7.26</v>
      </c>
      <c r="O658" s="45">
        <f t="shared" si="406"/>
        <v>459.9936</v>
      </c>
      <c r="P658" s="51"/>
      <c r="Q658" s="51"/>
      <c r="R658" s="74">
        <f t="shared" si="402"/>
        <v>234.375</v>
      </c>
      <c r="S658" s="74"/>
      <c r="T658" s="75">
        <f t="shared" si="403"/>
        <v>2.57765625</v>
      </c>
      <c r="U658" s="74"/>
      <c r="V658" s="74"/>
      <c r="W658" s="76">
        <f t="shared" si="399"/>
        <v>236.95265625</v>
      </c>
      <c r="X658" s="77">
        <f t="shared" si="404"/>
        <v>26.116875</v>
      </c>
      <c r="Y658" s="77"/>
      <c r="Z658" s="77"/>
      <c r="AA658" s="77">
        <f t="shared" si="400"/>
        <v>26.116875</v>
      </c>
      <c r="AB658" s="87">
        <v>7.26</v>
      </c>
      <c r="AC658" s="74">
        <f t="shared" si="401"/>
        <v>189.6085125</v>
      </c>
      <c r="AD658" s="74">
        <f t="shared" si="395"/>
        <v>426.56116875</v>
      </c>
      <c r="AE658" s="74">
        <f t="shared" si="396"/>
        <v>33.43243125</v>
      </c>
    </row>
    <row r="659" customFormat="1" spans="1:31">
      <c r="A659" s="18"/>
      <c r="B659" s="19"/>
      <c r="C659" s="107">
        <v>240723000041</v>
      </c>
      <c r="D659" s="21">
        <v>45498</v>
      </c>
      <c r="E659" s="21" t="s">
        <v>44</v>
      </c>
      <c r="F659" s="19" t="s">
        <v>45</v>
      </c>
      <c r="G659" s="19" t="s">
        <v>153</v>
      </c>
      <c r="H659" s="19">
        <v>1.5</v>
      </c>
      <c r="I659" s="41">
        <v>172.5</v>
      </c>
      <c r="J659" s="42"/>
      <c r="K659" s="43"/>
      <c r="L659" s="19"/>
      <c r="M659" s="43"/>
      <c r="N659" s="44"/>
      <c r="O659" s="45">
        <f t="shared" si="407"/>
        <v>172.5</v>
      </c>
      <c r="P659" s="51"/>
      <c r="Q659" s="51"/>
      <c r="R659" s="74">
        <f t="shared" si="402"/>
        <v>117.1875</v>
      </c>
      <c r="S659" s="74"/>
      <c r="T659" s="75">
        <f t="shared" si="403"/>
        <v>1.288828125</v>
      </c>
      <c r="U659" s="74"/>
      <c r="V659" s="74"/>
      <c r="W659" s="76">
        <f t="shared" si="399"/>
        <v>118.476328125</v>
      </c>
      <c r="X659" s="77">
        <f t="shared" si="404"/>
        <v>13.0584375</v>
      </c>
      <c r="Y659" s="77"/>
      <c r="Z659" s="77"/>
      <c r="AA659" s="77">
        <f t="shared" si="400"/>
        <v>13.0584375</v>
      </c>
      <c r="AB659" s="87">
        <v>7.26</v>
      </c>
      <c r="AC659" s="74">
        <f t="shared" si="401"/>
        <v>94.80425625</v>
      </c>
      <c r="AD659" s="74">
        <f t="shared" si="395"/>
        <v>213.280584375</v>
      </c>
      <c r="AE659" s="74">
        <f t="shared" si="396"/>
        <v>-40.780584375</v>
      </c>
    </row>
    <row r="660" customFormat="1" spans="1:31">
      <c r="A660" s="18"/>
      <c r="B660" s="19"/>
      <c r="C660" s="107">
        <v>240724000011</v>
      </c>
      <c r="D660" s="21">
        <v>45498</v>
      </c>
      <c r="E660" s="21" t="s">
        <v>40</v>
      </c>
      <c r="F660" s="19" t="s">
        <v>41</v>
      </c>
      <c r="G660" s="19" t="s">
        <v>227</v>
      </c>
      <c r="H660" s="19">
        <v>3</v>
      </c>
      <c r="I660" s="47"/>
      <c r="J660" s="48">
        <v>104625</v>
      </c>
      <c r="K660" s="43"/>
      <c r="L660" s="49">
        <f t="shared" ref="L660:L667" si="408">SUM(J660/M660)</f>
        <v>1633.74453466583</v>
      </c>
      <c r="M660" s="50">
        <v>64.04</v>
      </c>
      <c r="N660" s="44">
        <v>7.26</v>
      </c>
      <c r="O660" s="45">
        <f t="shared" ref="O660:O667" si="409">SUM(M660*N660)</f>
        <v>464.9304</v>
      </c>
      <c r="P660" s="51"/>
      <c r="Q660" s="51"/>
      <c r="R660" s="74">
        <f t="shared" si="402"/>
        <v>234.375</v>
      </c>
      <c r="S660" s="74"/>
      <c r="T660" s="75">
        <f t="shared" si="403"/>
        <v>2.57765625</v>
      </c>
      <c r="U660" s="74"/>
      <c r="V660" s="75">
        <v>16</v>
      </c>
      <c r="W660" s="76">
        <f t="shared" si="399"/>
        <v>252.95265625</v>
      </c>
      <c r="X660" s="77">
        <f t="shared" si="404"/>
        <v>26.116875</v>
      </c>
      <c r="Y660" s="77">
        <v>16.5</v>
      </c>
      <c r="Z660" s="77"/>
      <c r="AA660" s="77">
        <f t="shared" si="400"/>
        <v>42.616875</v>
      </c>
      <c r="AB660" s="87">
        <v>7.26</v>
      </c>
      <c r="AC660" s="74">
        <f t="shared" si="401"/>
        <v>309.3985125</v>
      </c>
      <c r="AD660" s="74">
        <f t="shared" si="395"/>
        <v>562.35116875</v>
      </c>
      <c r="AE660" s="74">
        <f t="shared" si="396"/>
        <v>-97.4207687499999</v>
      </c>
    </row>
    <row r="661" customFormat="1" spans="1:31">
      <c r="A661" s="18"/>
      <c r="B661" s="19"/>
      <c r="C661" s="107">
        <v>240724000035</v>
      </c>
      <c r="D661" s="21">
        <v>45498</v>
      </c>
      <c r="E661" s="21" t="s">
        <v>37</v>
      </c>
      <c r="F661" s="19" t="s">
        <v>37</v>
      </c>
      <c r="G661" s="19" t="s">
        <v>457</v>
      </c>
      <c r="H661" s="19">
        <v>8</v>
      </c>
      <c r="I661" s="41">
        <v>420</v>
      </c>
      <c r="J661" s="42"/>
      <c r="K661" s="43"/>
      <c r="L661" s="19"/>
      <c r="M661" s="43"/>
      <c r="N661" s="44"/>
      <c r="O661" s="45">
        <f t="shared" si="407"/>
        <v>420</v>
      </c>
      <c r="P661" s="52"/>
      <c r="Q661" s="52"/>
      <c r="R661" s="74">
        <f t="shared" si="402"/>
        <v>625</v>
      </c>
      <c r="S661" s="74"/>
      <c r="T661" s="75">
        <f t="shared" si="403"/>
        <v>6.87375</v>
      </c>
      <c r="U661" s="74"/>
      <c r="V661" s="74"/>
      <c r="W661" s="76">
        <f t="shared" ref="W661:W692" si="410">SUM(R661:V661)</f>
        <v>631.87375</v>
      </c>
      <c r="X661" s="77">
        <f t="shared" si="404"/>
        <v>69.645</v>
      </c>
      <c r="Y661" s="77"/>
      <c r="Z661" s="77"/>
      <c r="AA661" s="77">
        <f t="shared" si="400"/>
        <v>69.645</v>
      </c>
      <c r="AB661" s="87">
        <v>7.26</v>
      </c>
      <c r="AC661" s="74">
        <f t="shared" si="401"/>
        <v>505.6227</v>
      </c>
      <c r="AD661" s="74">
        <f t="shared" si="395"/>
        <v>1137.49645</v>
      </c>
      <c r="AE661" s="74">
        <f t="shared" si="396"/>
        <v>-717.49645</v>
      </c>
    </row>
    <row r="662" customFormat="1" spans="1:31">
      <c r="A662" s="18" t="s">
        <v>458</v>
      </c>
      <c r="B662" s="19" t="s">
        <v>459</v>
      </c>
      <c r="C662" s="107">
        <v>240715000008</v>
      </c>
      <c r="D662" s="21">
        <v>45498</v>
      </c>
      <c r="E662" s="21" t="s">
        <v>44</v>
      </c>
      <c r="F662" s="19" t="s">
        <v>45</v>
      </c>
      <c r="G662" s="19" t="s">
        <v>460</v>
      </c>
      <c r="H662" s="19">
        <v>3</v>
      </c>
      <c r="I662" s="41">
        <v>201.3</v>
      </c>
      <c r="J662" s="42"/>
      <c r="K662" s="43"/>
      <c r="L662" s="19"/>
      <c r="M662" s="43"/>
      <c r="N662" s="44"/>
      <c r="O662" s="45">
        <f t="shared" si="407"/>
        <v>201.3</v>
      </c>
      <c r="P662" s="46">
        <f>SUM(O662:O716)</f>
        <v>119286.78001452</v>
      </c>
      <c r="Q662" s="46" t="s">
        <v>130</v>
      </c>
      <c r="R662" s="74">
        <f>SUM(96767.4/1981)*H662</f>
        <v>146.543260979303</v>
      </c>
      <c r="S662" s="74"/>
      <c r="T662" s="75">
        <f>SUM(125/1981)*H662</f>
        <v>0.189298334174659</v>
      </c>
      <c r="U662" s="74"/>
      <c r="V662" s="74"/>
      <c r="W662" s="76">
        <f t="shared" si="410"/>
        <v>146.732559313478</v>
      </c>
      <c r="X662" s="77">
        <f>SUM(1325.18/1981)*H662</f>
        <v>2.0068349318526</v>
      </c>
      <c r="Y662" s="77"/>
      <c r="Z662" s="77"/>
      <c r="AA662" s="77">
        <f t="shared" si="400"/>
        <v>2.0068349318526</v>
      </c>
      <c r="AB662" s="87">
        <v>7.26</v>
      </c>
      <c r="AC662" s="74">
        <f t="shared" si="401"/>
        <v>14.5696216052499</v>
      </c>
      <c r="AD662" s="74">
        <f t="shared" si="395"/>
        <v>161.302180918728</v>
      </c>
      <c r="AE662" s="74">
        <f t="shared" si="396"/>
        <v>39.9978190812721</v>
      </c>
    </row>
    <row r="663" customFormat="1" spans="1:31">
      <c r="A663" s="18"/>
      <c r="B663" s="19"/>
      <c r="C663" s="107">
        <v>240716000025</v>
      </c>
      <c r="D663" s="21">
        <v>45498</v>
      </c>
      <c r="E663" s="21" t="s">
        <v>44</v>
      </c>
      <c r="F663" s="19" t="s">
        <v>45</v>
      </c>
      <c r="G663" s="19" t="s">
        <v>111</v>
      </c>
      <c r="H663" s="19">
        <v>0.85</v>
      </c>
      <c r="I663" s="47"/>
      <c r="J663" s="48">
        <v>16733.9</v>
      </c>
      <c r="K663" s="43"/>
      <c r="L663" s="49">
        <f t="shared" si="408"/>
        <v>1601.33014354067</v>
      </c>
      <c r="M663" s="50">
        <v>10.45</v>
      </c>
      <c r="N663" s="44">
        <v>7.26</v>
      </c>
      <c r="O663" s="45">
        <f t="shared" si="409"/>
        <v>75.867</v>
      </c>
      <c r="P663" s="51"/>
      <c r="Q663" s="51"/>
      <c r="R663" s="74">
        <f t="shared" ref="R663:R694" si="411">SUM(96767.4/1981)*H663</f>
        <v>41.5205906108026</v>
      </c>
      <c r="S663" s="74"/>
      <c r="T663" s="75">
        <f t="shared" ref="T663:T694" si="412">SUM(125/1981)*H663</f>
        <v>0.0536345280161535</v>
      </c>
      <c r="U663" s="74"/>
      <c r="V663" s="74"/>
      <c r="W663" s="76">
        <f t="shared" si="410"/>
        <v>41.5742251388188</v>
      </c>
      <c r="X663" s="77">
        <f t="shared" ref="X663:X694" si="413">SUM(1325.18/1981)*H663</f>
        <v>0.56860323069157</v>
      </c>
      <c r="Y663" s="77"/>
      <c r="Z663" s="77"/>
      <c r="AA663" s="77">
        <f t="shared" si="400"/>
        <v>0.56860323069157</v>
      </c>
      <c r="AB663" s="87">
        <v>7.26</v>
      </c>
      <c r="AC663" s="74">
        <f t="shared" si="401"/>
        <v>4.1280594548208</v>
      </c>
      <c r="AD663" s="74">
        <f t="shared" si="395"/>
        <v>45.7022845936396</v>
      </c>
      <c r="AE663" s="74">
        <f t="shared" si="396"/>
        <v>30.1647154063604</v>
      </c>
    </row>
    <row r="664" customFormat="1" spans="1:31">
      <c r="A664" s="18"/>
      <c r="B664" s="19"/>
      <c r="C664" s="107">
        <v>240717000012</v>
      </c>
      <c r="D664" s="21">
        <v>45498</v>
      </c>
      <c r="E664" s="21" t="s">
        <v>40</v>
      </c>
      <c r="F664" s="19" t="s">
        <v>41</v>
      </c>
      <c r="G664" s="19" t="s">
        <v>400</v>
      </c>
      <c r="H664" s="19">
        <v>77.5</v>
      </c>
      <c r="I664" s="47"/>
      <c r="J664" s="48">
        <v>1490062.5</v>
      </c>
      <c r="K664" s="43"/>
      <c r="L664" s="49">
        <f t="shared" si="408"/>
        <v>1633.50014799548</v>
      </c>
      <c r="M664" s="50">
        <v>912.19</v>
      </c>
      <c r="N664" s="44">
        <v>7.26</v>
      </c>
      <c r="O664" s="45">
        <f t="shared" si="409"/>
        <v>6622.4994</v>
      </c>
      <c r="P664" s="51"/>
      <c r="Q664" s="51"/>
      <c r="R664" s="74">
        <f t="shared" si="411"/>
        <v>3785.700908632</v>
      </c>
      <c r="S664" s="74"/>
      <c r="T664" s="75">
        <f t="shared" si="412"/>
        <v>4.8902069661787</v>
      </c>
      <c r="U664" s="74">
        <v>60</v>
      </c>
      <c r="V664" s="74"/>
      <c r="W664" s="76">
        <f t="shared" si="410"/>
        <v>3850.59111559818</v>
      </c>
      <c r="X664" s="77">
        <f t="shared" si="413"/>
        <v>51.8432357395255</v>
      </c>
      <c r="Y664" s="77"/>
      <c r="Z664" s="77"/>
      <c r="AA664" s="77">
        <f t="shared" si="400"/>
        <v>51.8432357395255</v>
      </c>
      <c r="AB664" s="87">
        <v>7.26</v>
      </c>
      <c r="AC664" s="74">
        <f t="shared" si="401"/>
        <v>376.381891468955</v>
      </c>
      <c r="AD664" s="74">
        <f t="shared" si="395"/>
        <v>4226.97300706714</v>
      </c>
      <c r="AE664" s="74">
        <f t="shared" si="396"/>
        <v>2395.52639293286</v>
      </c>
    </row>
    <row r="665" customFormat="1" spans="1:31">
      <c r="A665" s="18"/>
      <c r="B665" s="19"/>
      <c r="C665" s="107">
        <v>240717000015</v>
      </c>
      <c r="D665" s="21">
        <v>45498</v>
      </c>
      <c r="E665" s="21" t="s">
        <v>44</v>
      </c>
      <c r="F665" s="19" t="s">
        <v>45</v>
      </c>
      <c r="G665" s="19" t="s">
        <v>174</v>
      </c>
      <c r="H665" s="19">
        <v>8</v>
      </c>
      <c r="I665" s="47"/>
      <c r="J665" s="48">
        <v>198458</v>
      </c>
      <c r="K665" s="43"/>
      <c r="L665" s="49">
        <f t="shared" si="408"/>
        <v>1604.47893928369</v>
      </c>
      <c r="M665" s="50">
        <v>123.69</v>
      </c>
      <c r="N665" s="44">
        <v>7.26</v>
      </c>
      <c r="O665" s="45">
        <f t="shared" si="409"/>
        <v>897.9894</v>
      </c>
      <c r="P665" s="51"/>
      <c r="Q665" s="51"/>
      <c r="R665" s="74">
        <f t="shared" si="411"/>
        <v>390.782029278142</v>
      </c>
      <c r="S665" s="74"/>
      <c r="T665" s="75">
        <f t="shared" si="412"/>
        <v>0.504795557799091</v>
      </c>
      <c r="U665" s="74">
        <v>40</v>
      </c>
      <c r="V665" s="74"/>
      <c r="W665" s="76">
        <f t="shared" si="410"/>
        <v>431.286824835941</v>
      </c>
      <c r="X665" s="77">
        <f t="shared" si="413"/>
        <v>5.3515598182736</v>
      </c>
      <c r="Y665" s="77"/>
      <c r="Z665" s="77"/>
      <c r="AA665" s="77">
        <f t="shared" si="400"/>
        <v>5.3515598182736</v>
      </c>
      <c r="AB665" s="87">
        <v>7.26</v>
      </c>
      <c r="AC665" s="74">
        <f t="shared" si="401"/>
        <v>38.8523242806663</v>
      </c>
      <c r="AD665" s="74">
        <f t="shared" si="395"/>
        <v>470.139149116608</v>
      </c>
      <c r="AE665" s="74">
        <f t="shared" si="396"/>
        <v>427.850250883392</v>
      </c>
    </row>
    <row r="666" customFormat="1" spans="1:31">
      <c r="A666" s="18"/>
      <c r="B666" s="19"/>
      <c r="C666" s="107">
        <v>240717000020</v>
      </c>
      <c r="D666" s="21">
        <v>45498</v>
      </c>
      <c r="E666" s="21" t="s">
        <v>37</v>
      </c>
      <c r="F666" s="19" t="s">
        <v>37</v>
      </c>
      <c r="G666" s="19" t="s">
        <v>461</v>
      </c>
      <c r="H666" s="19">
        <v>22</v>
      </c>
      <c r="I666" s="47"/>
      <c r="J666" s="48">
        <v>296095.8</v>
      </c>
      <c r="K666" s="43"/>
      <c r="L666" s="49">
        <f t="shared" si="408"/>
        <v>1604.50742386474</v>
      </c>
      <c r="M666" s="50">
        <v>184.54</v>
      </c>
      <c r="N666" s="44">
        <v>7.26</v>
      </c>
      <c r="O666" s="45">
        <f t="shared" si="409"/>
        <v>1339.7604</v>
      </c>
      <c r="P666" s="51"/>
      <c r="Q666" s="51"/>
      <c r="R666" s="74">
        <f t="shared" si="411"/>
        <v>1074.65058051489</v>
      </c>
      <c r="S666" s="74"/>
      <c r="T666" s="75">
        <f t="shared" si="412"/>
        <v>1.3881877839475</v>
      </c>
      <c r="U666" s="74"/>
      <c r="V666" s="74"/>
      <c r="W666" s="76">
        <f t="shared" si="410"/>
        <v>1076.03876829884</v>
      </c>
      <c r="X666" s="77">
        <f t="shared" si="413"/>
        <v>14.7167895002524</v>
      </c>
      <c r="Y666" s="77"/>
      <c r="Z666" s="77"/>
      <c r="AA666" s="77">
        <f t="shared" si="400"/>
        <v>14.7167895002524</v>
      </c>
      <c r="AB666" s="87">
        <v>7.26</v>
      </c>
      <c r="AC666" s="74">
        <f t="shared" si="401"/>
        <v>106.843891771832</v>
      </c>
      <c r="AD666" s="74">
        <f t="shared" si="395"/>
        <v>1182.88266007067</v>
      </c>
      <c r="AE666" s="74">
        <f t="shared" si="396"/>
        <v>156.877739929329</v>
      </c>
    </row>
    <row r="667" customFormat="1" spans="1:31">
      <c r="A667" s="18"/>
      <c r="B667" s="19"/>
      <c r="C667" s="107">
        <v>240717000021</v>
      </c>
      <c r="D667" s="21">
        <v>45498</v>
      </c>
      <c r="E667" s="21" t="s">
        <v>44</v>
      </c>
      <c r="F667" s="19" t="s">
        <v>45</v>
      </c>
      <c r="G667" s="19" t="s">
        <v>462</v>
      </c>
      <c r="H667" s="19">
        <v>84</v>
      </c>
      <c r="I667" s="47"/>
      <c r="J667" s="48">
        <v>1299480</v>
      </c>
      <c r="K667" s="43"/>
      <c r="L667" s="49">
        <f t="shared" si="408"/>
        <v>1604.47457124866</v>
      </c>
      <c r="M667" s="50">
        <v>809.91</v>
      </c>
      <c r="N667" s="44">
        <v>7.26</v>
      </c>
      <c r="O667" s="45">
        <f t="shared" si="409"/>
        <v>5879.9466</v>
      </c>
      <c r="P667" s="51"/>
      <c r="Q667" s="51"/>
      <c r="R667" s="74">
        <f t="shared" si="411"/>
        <v>4103.21130742049</v>
      </c>
      <c r="S667" s="74"/>
      <c r="T667" s="75">
        <f t="shared" si="412"/>
        <v>5.30035335689046</v>
      </c>
      <c r="U667" s="74"/>
      <c r="V667" s="74"/>
      <c r="W667" s="76">
        <f t="shared" si="410"/>
        <v>4108.51166077739</v>
      </c>
      <c r="X667" s="77">
        <f t="shared" si="413"/>
        <v>56.1913780918728</v>
      </c>
      <c r="Y667" s="77"/>
      <c r="Z667" s="77"/>
      <c r="AA667" s="77">
        <f t="shared" si="400"/>
        <v>56.1913780918728</v>
      </c>
      <c r="AB667" s="87">
        <v>7.26</v>
      </c>
      <c r="AC667" s="74">
        <f t="shared" si="401"/>
        <v>407.949404946996</v>
      </c>
      <c r="AD667" s="74">
        <f t="shared" si="395"/>
        <v>4516.46106572438</v>
      </c>
      <c r="AE667" s="74">
        <f t="shared" si="396"/>
        <v>1363.48553427562</v>
      </c>
    </row>
    <row r="668" customFormat="1" spans="1:31">
      <c r="A668" s="18"/>
      <c r="B668" s="19"/>
      <c r="C668" s="107">
        <v>240717000025</v>
      </c>
      <c r="D668" s="21">
        <v>45498</v>
      </c>
      <c r="E668" s="21" t="s">
        <v>40</v>
      </c>
      <c r="F668" s="19" t="s">
        <v>41</v>
      </c>
      <c r="G668" s="19" t="s">
        <v>463</v>
      </c>
      <c r="H668" s="19">
        <v>0.68</v>
      </c>
      <c r="I668" s="41">
        <v>110.4</v>
      </c>
      <c r="J668" s="42"/>
      <c r="K668" s="43"/>
      <c r="L668" s="19"/>
      <c r="M668" s="43"/>
      <c r="N668" s="44"/>
      <c r="O668" s="45">
        <f t="shared" ref="O668:O674" si="414">SUM(I668)</f>
        <v>110.4</v>
      </c>
      <c r="P668" s="51"/>
      <c r="Q668" s="51"/>
      <c r="R668" s="74">
        <f t="shared" si="411"/>
        <v>33.2164724886421</v>
      </c>
      <c r="S668" s="74"/>
      <c r="T668" s="75">
        <f t="shared" si="412"/>
        <v>0.0429076224129228</v>
      </c>
      <c r="U668" s="74"/>
      <c r="V668" s="74"/>
      <c r="W668" s="76">
        <f t="shared" si="410"/>
        <v>33.259380111055</v>
      </c>
      <c r="X668" s="77">
        <f t="shared" si="413"/>
        <v>0.454882584553256</v>
      </c>
      <c r="Y668" s="77"/>
      <c r="Z668" s="77"/>
      <c r="AA668" s="77">
        <f t="shared" si="400"/>
        <v>0.454882584553256</v>
      </c>
      <c r="AB668" s="87">
        <v>7.26</v>
      </c>
      <c r="AC668" s="74">
        <f t="shared" si="401"/>
        <v>3.30244756385664</v>
      </c>
      <c r="AD668" s="74">
        <f t="shared" si="395"/>
        <v>36.5618276749117</v>
      </c>
      <c r="AE668" s="74">
        <f t="shared" si="396"/>
        <v>73.8381723250884</v>
      </c>
    </row>
    <row r="669" customFormat="1" spans="1:31">
      <c r="A669" s="18"/>
      <c r="B669" s="19"/>
      <c r="C669" s="107">
        <v>240717000026</v>
      </c>
      <c r="D669" s="21">
        <v>45498</v>
      </c>
      <c r="E669" s="21" t="s">
        <v>37</v>
      </c>
      <c r="F669" s="19" t="s">
        <v>37</v>
      </c>
      <c r="G669" s="19" t="s">
        <v>179</v>
      </c>
      <c r="H669" s="19">
        <v>17</v>
      </c>
      <c r="I669" s="41">
        <v>1400.1</v>
      </c>
      <c r="J669" s="42"/>
      <c r="K669" s="43"/>
      <c r="L669" s="19"/>
      <c r="M669" s="43"/>
      <c r="N669" s="44"/>
      <c r="O669" s="45">
        <f t="shared" si="414"/>
        <v>1400.1</v>
      </c>
      <c r="P669" s="51"/>
      <c r="Q669" s="51"/>
      <c r="R669" s="74">
        <f t="shared" si="411"/>
        <v>830.411812216052</v>
      </c>
      <c r="S669" s="74"/>
      <c r="T669" s="75">
        <f t="shared" si="412"/>
        <v>1.07269056032307</v>
      </c>
      <c r="U669" s="74"/>
      <c r="V669" s="74"/>
      <c r="W669" s="76">
        <f t="shared" si="410"/>
        <v>831.484502776376</v>
      </c>
      <c r="X669" s="77">
        <f t="shared" si="413"/>
        <v>11.3720646138314</v>
      </c>
      <c r="Y669" s="77"/>
      <c r="Z669" s="77"/>
      <c r="AA669" s="77">
        <f t="shared" si="400"/>
        <v>11.3720646138314</v>
      </c>
      <c r="AB669" s="87">
        <v>7.26</v>
      </c>
      <c r="AC669" s="74">
        <f t="shared" si="401"/>
        <v>82.5611890964159</v>
      </c>
      <c r="AD669" s="74">
        <f t="shared" si="395"/>
        <v>914.045691872791</v>
      </c>
      <c r="AE669" s="74">
        <f t="shared" si="396"/>
        <v>486.054308127209</v>
      </c>
    </row>
    <row r="670" customFormat="1" spans="1:31">
      <c r="A670" s="18"/>
      <c r="B670" s="19"/>
      <c r="C670" s="107">
        <v>240717000035</v>
      </c>
      <c r="D670" s="21">
        <v>45498</v>
      </c>
      <c r="E670" s="21" t="s">
        <v>40</v>
      </c>
      <c r="F670" s="19" t="s">
        <v>41</v>
      </c>
      <c r="G670" s="19" t="s">
        <v>165</v>
      </c>
      <c r="H670" s="19">
        <v>4</v>
      </c>
      <c r="I670" s="47"/>
      <c r="J670" s="48">
        <v>54240</v>
      </c>
      <c r="K670" s="43"/>
      <c r="L670" s="49">
        <f t="shared" ref="L670:L675" si="415">SUM(J670/M670)</f>
        <v>1641.1497730711</v>
      </c>
      <c r="M670" s="50">
        <v>33.05</v>
      </c>
      <c r="N670" s="44">
        <v>7.26</v>
      </c>
      <c r="O670" s="45">
        <f t="shared" ref="O670:O675" si="416">SUM(M670*N670)</f>
        <v>239.943</v>
      </c>
      <c r="P670" s="51"/>
      <c r="Q670" s="51"/>
      <c r="R670" s="74">
        <f t="shared" si="411"/>
        <v>195.391014639071</v>
      </c>
      <c r="S670" s="74"/>
      <c r="T670" s="75">
        <f t="shared" si="412"/>
        <v>0.252397778899546</v>
      </c>
      <c r="U670" s="74"/>
      <c r="V670" s="74"/>
      <c r="W670" s="76">
        <f t="shared" si="410"/>
        <v>195.643412417971</v>
      </c>
      <c r="X670" s="77">
        <f t="shared" si="413"/>
        <v>2.6757799091368</v>
      </c>
      <c r="Y670" s="77"/>
      <c r="Z670" s="77"/>
      <c r="AA670" s="77">
        <f t="shared" si="400"/>
        <v>2.6757799091368</v>
      </c>
      <c r="AB670" s="87">
        <v>7.26</v>
      </c>
      <c r="AC670" s="74">
        <f t="shared" si="401"/>
        <v>19.4261621403332</v>
      </c>
      <c r="AD670" s="74">
        <f t="shared" si="395"/>
        <v>215.069574558304</v>
      </c>
      <c r="AE670" s="74">
        <f t="shared" si="396"/>
        <v>24.8734254416962</v>
      </c>
    </row>
    <row r="671" customFormat="1" spans="1:31">
      <c r="A671" s="18"/>
      <c r="B671" s="19"/>
      <c r="C671" s="107">
        <v>240717000038</v>
      </c>
      <c r="D671" s="21">
        <v>45498</v>
      </c>
      <c r="E671" s="21" t="s">
        <v>40</v>
      </c>
      <c r="F671" s="19" t="s">
        <v>147</v>
      </c>
      <c r="G671" s="19" t="s">
        <v>147</v>
      </c>
      <c r="H671" s="19">
        <v>1.5</v>
      </c>
      <c r="I671" s="45"/>
      <c r="J671" s="48">
        <v>25366.88</v>
      </c>
      <c r="K671" s="43"/>
      <c r="L671" s="49">
        <f t="shared" si="415"/>
        <v>1623.99989603074</v>
      </c>
      <c r="M671" s="50">
        <v>15.620001</v>
      </c>
      <c r="N671" s="44">
        <v>7.26</v>
      </c>
      <c r="O671" s="45">
        <f t="shared" si="416"/>
        <v>113.40120726</v>
      </c>
      <c r="P671" s="51"/>
      <c r="Q671" s="51"/>
      <c r="R671" s="74">
        <f t="shared" si="411"/>
        <v>73.2716304896517</v>
      </c>
      <c r="S671" s="74"/>
      <c r="T671" s="75">
        <f t="shared" si="412"/>
        <v>0.0946491670873296</v>
      </c>
      <c r="U671" s="74"/>
      <c r="V671" s="74"/>
      <c r="W671" s="76">
        <f t="shared" si="410"/>
        <v>73.366279656739</v>
      </c>
      <c r="X671" s="77">
        <f t="shared" si="413"/>
        <v>1.0034174659263</v>
      </c>
      <c r="Y671" s="77"/>
      <c r="Z671" s="77"/>
      <c r="AA671" s="77">
        <f t="shared" si="400"/>
        <v>1.0034174659263</v>
      </c>
      <c r="AB671" s="87">
        <v>7.26</v>
      </c>
      <c r="AC671" s="74">
        <f t="shared" si="401"/>
        <v>7.28481080262494</v>
      </c>
      <c r="AD671" s="74">
        <f t="shared" si="395"/>
        <v>80.6510904593639</v>
      </c>
      <c r="AE671" s="74">
        <f t="shared" si="396"/>
        <v>32.7501168006361</v>
      </c>
    </row>
    <row r="672" customFormat="1" spans="1:31">
      <c r="A672" s="18"/>
      <c r="B672" s="19"/>
      <c r="C672" s="107">
        <v>240717000040</v>
      </c>
      <c r="D672" s="21">
        <v>45498</v>
      </c>
      <c r="E672" s="21" t="s">
        <v>55</v>
      </c>
      <c r="F672" s="19" t="s">
        <v>56</v>
      </c>
      <c r="G672" s="19" t="s">
        <v>464</v>
      </c>
      <c r="H672" s="19">
        <v>19.5</v>
      </c>
      <c r="I672" s="41">
        <v>1244.1</v>
      </c>
      <c r="J672" s="42"/>
      <c r="K672" s="43"/>
      <c r="L672" s="19"/>
      <c r="M672" s="43"/>
      <c r="N672" s="44"/>
      <c r="O672" s="45">
        <f t="shared" si="414"/>
        <v>1244.1</v>
      </c>
      <c r="P672" s="51"/>
      <c r="Q672" s="51"/>
      <c r="R672" s="74">
        <f t="shared" si="411"/>
        <v>952.531196365472</v>
      </c>
      <c r="S672" s="74"/>
      <c r="T672" s="75">
        <f t="shared" si="412"/>
        <v>1.23043917213529</v>
      </c>
      <c r="U672" s="74"/>
      <c r="V672" s="74"/>
      <c r="W672" s="76">
        <f t="shared" si="410"/>
        <v>953.761635537607</v>
      </c>
      <c r="X672" s="77">
        <f t="shared" si="413"/>
        <v>13.0444270570419</v>
      </c>
      <c r="Y672" s="77"/>
      <c r="Z672" s="77"/>
      <c r="AA672" s="77">
        <f t="shared" si="400"/>
        <v>13.0444270570419</v>
      </c>
      <c r="AB672" s="87">
        <v>7.26</v>
      </c>
      <c r="AC672" s="74">
        <f t="shared" si="401"/>
        <v>94.7025404341242</v>
      </c>
      <c r="AD672" s="74">
        <f t="shared" si="395"/>
        <v>1048.46417597173</v>
      </c>
      <c r="AE672" s="74">
        <f t="shared" si="396"/>
        <v>195.635824028268</v>
      </c>
    </row>
    <row r="673" customFormat="1" spans="1:31">
      <c r="A673" s="18"/>
      <c r="B673" s="19"/>
      <c r="C673" s="107">
        <v>240717000041</v>
      </c>
      <c r="D673" s="21">
        <v>45498</v>
      </c>
      <c r="E673" s="21" t="s">
        <v>58</v>
      </c>
      <c r="F673" s="19" t="s">
        <v>59</v>
      </c>
      <c r="G673" s="19" t="s">
        <v>465</v>
      </c>
      <c r="H673" s="19">
        <v>11.5</v>
      </c>
      <c r="I673" s="41">
        <v>802</v>
      </c>
      <c r="J673" s="42"/>
      <c r="K673" s="43"/>
      <c r="L673" s="19"/>
      <c r="M673" s="43"/>
      <c r="N673" s="44"/>
      <c r="O673" s="45">
        <f t="shared" si="414"/>
        <v>802</v>
      </c>
      <c r="P673" s="51"/>
      <c r="Q673" s="51"/>
      <c r="R673" s="74">
        <f t="shared" si="411"/>
        <v>561.74916708733</v>
      </c>
      <c r="S673" s="74"/>
      <c r="T673" s="75">
        <f t="shared" si="412"/>
        <v>0.725643614336194</v>
      </c>
      <c r="U673" s="74"/>
      <c r="V673" s="74"/>
      <c r="W673" s="76">
        <f t="shared" si="410"/>
        <v>562.474810701666</v>
      </c>
      <c r="X673" s="77">
        <f t="shared" si="413"/>
        <v>7.6928672387683</v>
      </c>
      <c r="Y673" s="77"/>
      <c r="Z673" s="77"/>
      <c r="AA673" s="77">
        <f t="shared" si="400"/>
        <v>7.6928672387683</v>
      </c>
      <c r="AB673" s="87">
        <v>7.26</v>
      </c>
      <c r="AC673" s="74">
        <f t="shared" si="401"/>
        <v>55.8502161534579</v>
      </c>
      <c r="AD673" s="74">
        <f t="shared" si="395"/>
        <v>618.325026855124</v>
      </c>
      <c r="AE673" s="74">
        <f t="shared" si="396"/>
        <v>183.674973144876</v>
      </c>
    </row>
    <row r="674" customFormat="1" spans="1:31">
      <c r="A674" s="18"/>
      <c r="B674" s="19"/>
      <c r="C674" s="107">
        <v>240717000044</v>
      </c>
      <c r="D674" s="21">
        <v>45498</v>
      </c>
      <c r="E674" s="21" t="s">
        <v>47</v>
      </c>
      <c r="F674" s="19" t="s">
        <v>48</v>
      </c>
      <c r="G674" s="19" t="s">
        <v>107</v>
      </c>
      <c r="H674" s="19">
        <v>1.5</v>
      </c>
      <c r="I674" s="41">
        <v>112</v>
      </c>
      <c r="J674" s="42"/>
      <c r="K674" s="43"/>
      <c r="L674" s="19"/>
      <c r="M674" s="43"/>
      <c r="N674" s="44"/>
      <c r="O674" s="45">
        <f t="shared" si="414"/>
        <v>112</v>
      </c>
      <c r="P674" s="51"/>
      <c r="Q674" s="51"/>
      <c r="R674" s="74">
        <f t="shared" si="411"/>
        <v>73.2716304896517</v>
      </c>
      <c r="S674" s="74"/>
      <c r="T674" s="75">
        <f t="shared" si="412"/>
        <v>0.0946491670873296</v>
      </c>
      <c r="U674" s="74"/>
      <c r="V674" s="74"/>
      <c r="W674" s="76">
        <f t="shared" si="410"/>
        <v>73.366279656739</v>
      </c>
      <c r="X674" s="77">
        <f t="shared" si="413"/>
        <v>1.0034174659263</v>
      </c>
      <c r="Y674" s="77"/>
      <c r="Z674" s="77"/>
      <c r="AA674" s="77">
        <f t="shared" si="400"/>
        <v>1.0034174659263</v>
      </c>
      <c r="AB674" s="87">
        <v>7.26</v>
      </c>
      <c r="AC674" s="74">
        <f t="shared" si="401"/>
        <v>7.28481080262494</v>
      </c>
      <c r="AD674" s="74">
        <f t="shared" si="395"/>
        <v>80.6510904593639</v>
      </c>
      <c r="AE674" s="74">
        <f t="shared" si="396"/>
        <v>31.3489095406361</v>
      </c>
    </row>
    <row r="675" customFormat="1" spans="1:31">
      <c r="A675" s="18"/>
      <c r="B675" s="19"/>
      <c r="C675" s="107">
        <v>240718000011</v>
      </c>
      <c r="D675" s="21">
        <v>45498</v>
      </c>
      <c r="E675" s="21" t="s">
        <v>40</v>
      </c>
      <c r="F675" s="19" t="s">
        <v>41</v>
      </c>
      <c r="G675" s="19" t="s">
        <v>165</v>
      </c>
      <c r="H675" s="19">
        <v>3</v>
      </c>
      <c r="I675" s="47"/>
      <c r="J675" s="48">
        <v>47460</v>
      </c>
      <c r="K675" s="43"/>
      <c r="L675" s="49">
        <f t="shared" si="415"/>
        <v>1641.07883817427</v>
      </c>
      <c r="M675" s="50">
        <v>28.92</v>
      </c>
      <c r="N675" s="44">
        <v>7.26</v>
      </c>
      <c r="O675" s="45">
        <f t="shared" si="416"/>
        <v>209.9592</v>
      </c>
      <c r="P675" s="51"/>
      <c r="Q675" s="51"/>
      <c r="R675" s="74">
        <f t="shared" si="411"/>
        <v>146.543260979303</v>
      </c>
      <c r="S675" s="74"/>
      <c r="T675" s="75">
        <f t="shared" si="412"/>
        <v>0.189298334174659</v>
      </c>
      <c r="U675" s="74"/>
      <c r="V675" s="75">
        <v>15</v>
      </c>
      <c r="W675" s="76">
        <f t="shared" si="410"/>
        <v>161.732559313478</v>
      </c>
      <c r="X675" s="77">
        <f t="shared" si="413"/>
        <v>2.0068349318526</v>
      </c>
      <c r="Y675" s="77"/>
      <c r="Z675" s="77"/>
      <c r="AA675" s="77">
        <f t="shared" si="400"/>
        <v>2.0068349318526</v>
      </c>
      <c r="AB675" s="87">
        <v>7.26</v>
      </c>
      <c r="AC675" s="74">
        <f t="shared" si="401"/>
        <v>14.5696216052499</v>
      </c>
      <c r="AD675" s="74">
        <f t="shared" si="395"/>
        <v>176.302180918728</v>
      </c>
      <c r="AE675" s="74">
        <f t="shared" si="396"/>
        <v>33.6570190812721</v>
      </c>
    </row>
    <row r="676" customFormat="1" spans="1:31">
      <c r="A676" s="18"/>
      <c r="B676" s="19"/>
      <c r="C676" s="107">
        <v>240718000013</v>
      </c>
      <c r="D676" s="21">
        <v>45498</v>
      </c>
      <c r="E676" s="21" t="s">
        <v>40</v>
      </c>
      <c r="F676" s="19" t="s">
        <v>41</v>
      </c>
      <c r="G676" s="19" t="s">
        <v>255</v>
      </c>
      <c r="H676" s="19">
        <v>3.5</v>
      </c>
      <c r="I676" s="41">
        <v>292.5</v>
      </c>
      <c r="J676" s="42"/>
      <c r="K676" s="43"/>
      <c r="L676" s="19"/>
      <c r="M676" s="43"/>
      <c r="N676" s="44"/>
      <c r="O676" s="45">
        <f t="shared" ref="O676:O680" si="417">SUM(I676)</f>
        <v>292.5</v>
      </c>
      <c r="P676" s="51"/>
      <c r="Q676" s="51"/>
      <c r="R676" s="74">
        <f t="shared" si="411"/>
        <v>170.967137809187</v>
      </c>
      <c r="S676" s="74"/>
      <c r="T676" s="75">
        <f t="shared" si="412"/>
        <v>0.220848056537102</v>
      </c>
      <c r="U676" s="74">
        <v>19.5</v>
      </c>
      <c r="V676" s="74"/>
      <c r="W676" s="76">
        <f t="shared" si="410"/>
        <v>190.687985865724</v>
      </c>
      <c r="X676" s="77">
        <f t="shared" si="413"/>
        <v>2.3413074204947</v>
      </c>
      <c r="Y676" s="77"/>
      <c r="Z676" s="77"/>
      <c r="AA676" s="77">
        <f t="shared" si="400"/>
        <v>2.3413074204947</v>
      </c>
      <c r="AB676" s="87">
        <v>7.26</v>
      </c>
      <c r="AC676" s="74">
        <f t="shared" si="401"/>
        <v>16.9978918727915</v>
      </c>
      <c r="AD676" s="74">
        <f t="shared" si="395"/>
        <v>207.685877738516</v>
      </c>
      <c r="AE676" s="74">
        <f t="shared" si="396"/>
        <v>84.8141222614841</v>
      </c>
    </row>
    <row r="677" customFormat="1" spans="1:31">
      <c r="A677" s="18"/>
      <c r="B677" s="19"/>
      <c r="C677" s="107">
        <v>240718000014</v>
      </c>
      <c r="D677" s="21">
        <v>45498</v>
      </c>
      <c r="E677" s="21" t="s">
        <v>37</v>
      </c>
      <c r="F677" s="19" t="s">
        <v>37</v>
      </c>
      <c r="G677" s="19" t="s">
        <v>369</v>
      </c>
      <c r="H677" s="19">
        <v>3.5</v>
      </c>
      <c r="I677" s="41">
        <v>234.3</v>
      </c>
      <c r="J677" s="42"/>
      <c r="K677" s="43"/>
      <c r="L677" s="19"/>
      <c r="M677" s="43"/>
      <c r="N677" s="44"/>
      <c r="O677" s="45">
        <f t="shared" si="417"/>
        <v>234.3</v>
      </c>
      <c r="P677" s="51"/>
      <c r="Q677" s="51"/>
      <c r="R677" s="74">
        <f t="shared" si="411"/>
        <v>170.967137809187</v>
      </c>
      <c r="S677" s="74"/>
      <c r="T677" s="75">
        <f t="shared" si="412"/>
        <v>0.220848056537102</v>
      </c>
      <c r="U677" s="74"/>
      <c r="V677" s="74"/>
      <c r="W677" s="76">
        <f t="shared" si="410"/>
        <v>171.187985865724</v>
      </c>
      <c r="X677" s="77">
        <f t="shared" si="413"/>
        <v>2.3413074204947</v>
      </c>
      <c r="Y677" s="77"/>
      <c r="Z677" s="77"/>
      <c r="AA677" s="77">
        <f t="shared" si="400"/>
        <v>2.3413074204947</v>
      </c>
      <c r="AB677" s="87">
        <v>7.26</v>
      </c>
      <c r="AC677" s="74">
        <f t="shared" si="401"/>
        <v>16.9978918727915</v>
      </c>
      <c r="AD677" s="74">
        <f t="shared" si="395"/>
        <v>188.185877738516</v>
      </c>
      <c r="AE677" s="74">
        <f t="shared" si="396"/>
        <v>46.1141222614841</v>
      </c>
    </row>
    <row r="678" customFormat="1" spans="1:31">
      <c r="A678" s="18"/>
      <c r="B678" s="19"/>
      <c r="C678" s="107">
        <v>240718000015</v>
      </c>
      <c r="D678" s="21">
        <v>45498</v>
      </c>
      <c r="E678" s="21" t="s">
        <v>37</v>
      </c>
      <c r="F678" s="19" t="s">
        <v>37</v>
      </c>
      <c r="G678" s="19" t="s">
        <v>466</v>
      </c>
      <c r="H678" s="19">
        <v>9</v>
      </c>
      <c r="I678" s="47">
        <v>803</v>
      </c>
      <c r="J678" s="42"/>
      <c r="K678" s="43"/>
      <c r="L678" s="19"/>
      <c r="M678" s="43"/>
      <c r="N678" s="44"/>
      <c r="O678" s="45">
        <f t="shared" si="417"/>
        <v>803</v>
      </c>
      <c r="P678" s="51"/>
      <c r="Q678" s="51"/>
      <c r="R678" s="74">
        <f t="shared" si="411"/>
        <v>439.62978293791</v>
      </c>
      <c r="S678" s="74"/>
      <c r="T678" s="75">
        <f t="shared" si="412"/>
        <v>0.567895002523978</v>
      </c>
      <c r="U678" s="74"/>
      <c r="V678" s="74"/>
      <c r="W678" s="76">
        <f t="shared" si="410"/>
        <v>440.197677940434</v>
      </c>
      <c r="X678" s="77">
        <f t="shared" si="413"/>
        <v>6.0205047955578</v>
      </c>
      <c r="Y678" s="77"/>
      <c r="Z678" s="77"/>
      <c r="AA678" s="77">
        <f t="shared" si="400"/>
        <v>6.0205047955578</v>
      </c>
      <c r="AB678" s="87">
        <v>7.26</v>
      </c>
      <c r="AC678" s="74">
        <f t="shared" si="401"/>
        <v>43.7088648157496</v>
      </c>
      <c r="AD678" s="74">
        <f t="shared" ref="AD678:AD713" si="418">SUM(W678+AC678)</f>
        <v>483.906542756184</v>
      </c>
      <c r="AE678" s="74">
        <f t="shared" ref="AE678:AE715" si="419">SUM(O678-AD678)</f>
        <v>319.093457243816</v>
      </c>
    </row>
    <row r="679" customFormat="1" spans="1:31">
      <c r="A679" s="18"/>
      <c r="B679" s="19"/>
      <c r="C679" s="107">
        <v>240718000022</v>
      </c>
      <c r="D679" s="21">
        <v>45498</v>
      </c>
      <c r="E679" s="21" t="s">
        <v>40</v>
      </c>
      <c r="F679" s="19" t="s">
        <v>41</v>
      </c>
      <c r="G679" s="19" t="s">
        <v>467</v>
      </c>
      <c r="H679" s="19">
        <v>9.5</v>
      </c>
      <c r="I679" s="41">
        <v>551</v>
      </c>
      <c r="J679" s="42"/>
      <c r="K679" s="43"/>
      <c r="L679" s="19"/>
      <c r="M679" s="43"/>
      <c r="N679" s="44"/>
      <c r="O679" s="45">
        <f t="shared" si="417"/>
        <v>551</v>
      </c>
      <c r="P679" s="51"/>
      <c r="Q679" s="51"/>
      <c r="R679" s="74">
        <f t="shared" si="411"/>
        <v>464.053659767794</v>
      </c>
      <c r="S679" s="74"/>
      <c r="T679" s="75">
        <f t="shared" si="412"/>
        <v>0.599444724886421</v>
      </c>
      <c r="U679" s="74"/>
      <c r="V679" s="74"/>
      <c r="W679" s="76">
        <f t="shared" si="410"/>
        <v>464.65310449268</v>
      </c>
      <c r="X679" s="77">
        <f t="shared" si="413"/>
        <v>6.3549772841999</v>
      </c>
      <c r="Y679" s="77"/>
      <c r="Z679" s="77"/>
      <c r="AA679" s="77">
        <f t="shared" si="400"/>
        <v>6.3549772841999</v>
      </c>
      <c r="AB679" s="87">
        <v>7.26</v>
      </c>
      <c r="AC679" s="74">
        <f t="shared" si="401"/>
        <v>46.1371350832913</v>
      </c>
      <c r="AD679" s="74">
        <f t="shared" si="418"/>
        <v>510.790239575972</v>
      </c>
      <c r="AE679" s="74">
        <f t="shared" si="419"/>
        <v>40.2097604240283</v>
      </c>
    </row>
    <row r="680" customFormat="1" spans="1:31">
      <c r="A680" s="18"/>
      <c r="B680" s="19"/>
      <c r="C680" s="107">
        <v>240718000024</v>
      </c>
      <c r="D680" s="21">
        <v>45498</v>
      </c>
      <c r="E680" s="21" t="s">
        <v>40</v>
      </c>
      <c r="F680" s="19" t="s">
        <v>41</v>
      </c>
      <c r="G680" s="19" t="s">
        <v>468</v>
      </c>
      <c r="H680" s="19">
        <v>5</v>
      </c>
      <c r="I680" s="41">
        <v>366.3</v>
      </c>
      <c r="J680" s="42"/>
      <c r="K680" s="43"/>
      <c r="L680" s="19"/>
      <c r="M680" s="43"/>
      <c r="N680" s="44"/>
      <c r="O680" s="45">
        <f t="shared" si="417"/>
        <v>366.3</v>
      </c>
      <c r="P680" s="51"/>
      <c r="Q680" s="51"/>
      <c r="R680" s="74">
        <f t="shared" si="411"/>
        <v>244.238768298839</v>
      </c>
      <c r="S680" s="74"/>
      <c r="T680" s="75">
        <f t="shared" si="412"/>
        <v>0.315497223624432</v>
      </c>
      <c r="U680" s="74"/>
      <c r="V680" s="74"/>
      <c r="W680" s="76">
        <f t="shared" si="410"/>
        <v>244.554265522463</v>
      </c>
      <c r="X680" s="77">
        <f t="shared" si="413"/>
        <v>3.344724886421</v>
      </c>
      <c r="Y680" s="77"/>
      <c r="Z680" s="77"/>
      <c r="AA680" s="77">
        <f t="shared" ref="AA680:AA715" si="420">SUM(X680:Z680)</f>
        <v>3.344724886421</v>
      </c>
      <c r="AB680" s="87">
        <v>7.26</v>
      </c>
      <c r="AC680" s="74">
        <f t="shared" ref="AC680:AC715" si="421">SUM(AA680*AB680)</f>
        <v>24.2827026754165</v>
      </c>
      <c r="AD680" s="74">
        <f t="shared" si="418"/>
        <v>268.83696819788</v>
      </c>
      <c r="AE680" s="74">
        <f t="shared" si="419"/>
        <v>97.4630318021202</v>
      </c>
    </row>
    <row r="681" customFormat="1" spans="1:31">
      <c r="A681" s="18"/>
      <c r="B681" s="19"/>
      <c r="C681" s="107">
        <v>240718000029</v>
      </c>
      <c r="D681" s="21">
        <v>45498</v>
      </c>
      <c r="E681" s="21" t="s">
        <v>40</v>
      </c>
      <c r="F681" s="19" t="s">
        <v>147</v>
      </c>
      <c r="G681" s="19" t="s">
        <v>147</v>
      </c>
      <c r="H681" s="19">
        <v>13</v>
      </c>
      <c r="I681" s="45"/>
      <c r="J681" s="48">
        <v>205793.28</v>
      </c>
      <c r="K681" s="43"/>
      <c r="L681" s="49">
        <f>SUM(J681/M681)</f>
        <v>1624</v>
      </c>
      <c r="M681" s="50">
        <v>126.72</v>
      </c>
      <c r="N681" s="44">
        <v>7.26</v>
      </c>
      <c r="O681" s="45">
        <f>SUM(M681*N681)</f>
        <v>919.9872</v>
      </c>
      <c r="P681" s="51"/>
      <c r="Q681" s="51"/>
      <c r="R681" s="74">
        <f t="shared" si="411"/>
        <v>635.020797576981</v>
      </c>
      <c r="S681" s="74"/>
      <c r="T681" s="75">
        <f t="shared" si="412"/>
        <v>0.820292781423523</v>
      </c>
      <c r="U681" s="74"/>
      <c r="V681" s="74"/>
      <c r="W681" s="76">
        <f t="shared" si="410"/>
        <v>635.841090358405</v>
      </c>
      <c r="X681" s="77">
        <f t="shared" si="413"/>
        <v>8.6962847046946</v>
      </c>
      <c r="Y681" s="77"/>
      <c r="Z681" s="77"/>
      <c r="AA681" s="77">
        <f t="shared" si="420"/>
        <v>8.6962847046946</v>
      </c>
      <c r="AB681" s="87">
        <v>7.26</v>
      </c>
      <c r="AC681" s="74">
        <f t="shared" si="421"/>
        <v>63.1350269560828</v>
      </c>
      <c r="AD681" s="74">
        <f t="shared" si="418"/>
        <v>698.976117314488</v>
      </c>
      <c r="AE681" s="74">
        <f t="shared" si="419"/>
        <v>221.011082685512</v>
      </c>
    </row>
    <row r="682" customFormat="1" spans="1:31">
      <c r="A682" s="18"/>
      <c r="B682" s="19"/>
      <c r="C682" s="107">
        <v>240718000037</v>
      </c>
      <c r="D682" s="21">
        <v>45498</v>
      </c>
      <c r="E682" s="21" t="s">
        <v>40</v>
      </c>
      <c r="F682" s="19" t="s">
        <v>147</v>
      </c>
      <c r="G682" s="19" t="s">
        <v>147</v>
      </c>
      <c r="H682" s="19">
        <v>2.5</v>
      </c>
      <c r="I682" s="45"/>
      <c r="J682" s="48">
        <v>41801</v>
      </c>
      <c r="K682" s="43"/>
      <c r="L682" s="49">
        <f>SUM(J682/M682)</f>
        <v>1623.97047397047</v>
      </c>
      <c r="M682" s="50">
        <v>25.74</v>
      </c>
      <c r="N682" s="44">
        <v>7.26</v>
      </c>
      <c r="O682" s="45">
        <f>SUM(M682*N682)</f>
        <v>186.8724</v>
      </c>
      <c r="P682" s="51"/>
      <c r="Q682" s="51"/>
      <c r="R682" s="74">
        <f t="shared" si="411"/>
        <v>122.119384149419</v>
      </c>
      <c r="S682" s="74"/>
      <c r="T682" s="75">
        <f t="shared" si="412"/>
        <v>0.157748611812216</v>
      </c>
      <c r="U682" s="74"/>
      <c r="V682" s="74"/>
      <c r="W682" s="76">
        <f t="shared" si="410"/>
        <v>122.277132761232</v>
      </c>
      <c r="X682" s="77">
        <f t="shared" si="413"/>
        <v>1.6723624432105</v>
      </c>
      <c r="Y682" s="77"/>
      <c r="Z682" s="77"/>
      <c r="AA682" s="77">
        <f t="shared" si="420"/>
        <v>1.6723624432105</v>
      </c>
      <c r="AB682" s="87">
        <v>7.26</v>
      </c>
      <c r="AC682" s="74">
        <f t="shared" si="421"/>
        <v>12.1413513377082</v>
      </c>
      <c r="AD682" s="74">
        <f t="shared" si="418"/>
        <v>134.41848409894</v>
      </c>
      <c r="AE682" s="74">
        <f t="shared" si="419"/>
        <v>52.4539159010601</v>
      </c>
    </row>
    <row r="683" customFormat="1" spans="1:31">
      <c r="A683" s="18"/>
      <c r="B683" s="19"/>
      <c r="C683" s="107">
        <v>240719000003</v>
      </c>
      <c r="D683" s="23">
        <v>45498</v>
      </c>
      <c r="E683" s="21" t="s">
        <v>37</v>
      </c>
      <c r="F683" s="24" t="s">
        <v>37</v>
      </c>
      <c r="G683" s="24" t="s">
        <v>149</v>
      </c>
      <c r="H683" s="24">
        <v>81.5</v>
      </c>
      <c r="I683" s="41">
        <v>4969.5</v>
      </c>
      <c r="J683" s="42"/>
      <c r="K683" s="43"/>
      <c r="L683" s="19"/>
      <c r="M683" s="43"/>
      <c r="N683" s="44"/>
      <c r="O683" s="45">
        <f t="shared" ref="O683:O691" si="422">SUM(I683)</f>
        <v>4969.5</v>
      </c>
      <c r="P683" s="51"/>
      <c r="Q683" s="51"/>
      <c r="R683" s="74">
        <f t="shared" si="411"/>
        <v>3981.09192327107</v>
      </c>
      <c r="S683" s="74"/>
      <c r="T683" s="75">
        <f t="shared" si="412"/>
        <v>5.14260474507824</v>
      </c>
      <c r="U683" s="74"/>
      <c r="V683" s="74"/>
      <c r="W683" s="76">
        <f t="shared" si="410"/>
        <v>3986.23452801615</v>
      </c>
      <c r="X683" s="77">
        <f t="shared" si="413"/>
        <v>54.5190156486623</v>
      </c>
      <c r="Y683" s="77"/>
      <c r="Z683" s="77"/>
      <c r="AA683" s="77">
        <f t="shared" si="420"/>
        <v>54.5190156486623</v>
      </c>
      <c r="AB683" s="87">
        <v>7.26</v>
      </c>
      <c r="AC683" s="74">
        <f t="shared" si="421"/>
        <v>395.808053609288</v>
      </c>
      <c r="AD683" s="74">
        <f t="shared" si="418"/>
        <v>4382.04258162544</v>
      </c>
      <c r="AE683" s="74">
        <f t="shared" si="419"/>
        <v>587.457418374559</v>
      </c>
    </row>
    <row r="684" customFormat="1" spans="1:31">
      <c r="A684" s="18"/>
      <c r="B684" s="19"/>
      <c r="C684" s="107">
        <v>240719000007</v>
      </c>
      <c r="D684" s="21">
        <v>45498</v>
      </c>
      <c r="E684" s="21" t="s">
        <v>40</v>
      </c>
      <c r="F684" s="19" t="s">
        <v>41</v>
      </c>
      <c r="G684" s="19" t="s">
        <v>346</v>
      </c>
      <c r="H684" s="19">
        <v>2</v>
      </c>
      <c r="I684" s="41">
        <v>148.5</v>
      </c>
      <c r="J684" s="42"/>
      <c r="K684" s="43"/>
      <c r="L684" s="19"/>
      <c r="M684" s="43"/>
      <c r="N684" s="44"/>
      <c r="O684" s="45">
        <f t="shared" si="422"/>
        <v>148.5</v>
      </c>
      <c r="P684" s="51"/>
      <c r="Q684" s="51"/>
      <c r="R684" s="74">
        <f t="shared" si="411"/>
        <v>97.6955073195356</v>
      </c>
      <c r="S684" s="74"/>
      <c r="T684" s="75">
        <f t="shared" si="412"/>
        <v>0.126198889449773</v>
      </c>
      <c r="U684" s="74"/>
      <c r="V684" s="74"/>
      <c r="W684" s="76">
        <f t="shared" si="410"/>
        <v>97.8217062089853</v>
      </c>
      <c r="X684" s="77">
        <f t="shared" si="413"/>
        <v>1.3378899545684</v>
      </c>
      <c r="Y684" s="77"/>
      <c r="Z684" s="77"/>
      <c r="AA684" s="77">
        <f t="shared" si="420"/>
        <v>1.3378899545684</v>
      </c>
      <c r="AB684" s="87">
        <v>7.26</v>
      </c>
      <c r="AC684" s="74">
        <f t="shared" si="421"/>
        <v>9.71308107016658</v>
      </c>
      <c r="AD684" s="74">
        <f t="shared" si="418"/>
        <v>107.534787279152</v>
      </c>
      <c r="AE684" s="74">
        <f t="shared" si="419"/>
        <v>40.9652127208481</v>
      </c>
    </row>
    <row r="685" customFormat="1" spans="1:31">
      <c r="A685" s="18"/>
      <c r="B685" s="19"/>
      <c r="C685" s="107">
        <v>240719000010</v>
      </c>
      <c r="D685" s="21">
        <v>45498</v>
      </c>
      <c r="E685" s="21" t="s">
        <v>40</v>
      </c>
      <c r="F685" s="19" t="s">
        <v>41</v>
      </c>
      <c r="G685" s="19" t="s">
        <v>469</v>
      </c>
      <c r="H685" s="19">
        <v>1.5</v>
      </c>
      <c r="I685" s="41">
        <v>142.8</v>
      </c>
      <c r="J685" s="42"/>
      <c r="K685" s="43"/>
      <c r="L685" s="19"/>
      <c r="M685" s="43"/>
      <c r="N685" s="44"/>
      <c r="O685" s="45">
        <f t="shared" si="422"/>
        <v>142.8</v>
      </c>
      <c r="P685" s="51"/>
      <c r="Q685" s="51"/>
      <c r="R685" s="74">
        <f t="shared" si="411"/>
        <v>73.2716304896517</v>
      </c>
      <c r="S685" s="74"/>
      <c r="T685" s="75">
        <f t="shared" si="412"/>
        <v>0.0946491670873296</v>
      </c>
      <c r="U685" s="74"/>
      <c r="V685" s="74"/>
      <c r="W685" s="76">
        <f t="shared" si="410"/>
        <v>73.366279656739</v>
      </c>
      <c r="X685" s="77">
        <f t="shared" si="413"/>
        <v>1.0034174659263</v>
      </c>
      <c r="Y685" s="77"/>
      <c r="Z685" s="77"/>
      <c r="AA685" s="77">
        <f t="shared" si="420"/>
        <v>1.0034174659263</v>
      </c>
      <c r="AB685" s="87">
        <v>7.26</v>
      </c>
      <c r="AC685" s="74">
        <f t="shared" si="421"/>
        <v>7.28481080262494</v>
      </c>
      <c r="AD685" s="74">
        <f t="shared" si="418"/>
        <v>80.6510904593639</v>
      </c>
      <c r="AE685" s="74">
        <f t="shared" si="419"/>
        <v>62.1489095406361</v>
      </c>
    </row>
    <row r="686" customFormat="1" spans="1:31">
      <c r="A686" s="18"/>
      <c r="B686" s="19"/>
      <c r="C686" s="107">
        <v>240719000026</v>
      </c>
      <c r="D686" s="21">
        <v>45498</v>
      </c>
      <c r="E686" s="21" t="s">
        <v>37</v>
      </c>
      <c r="F686" s="19" t="s">
        <v>37</v>
      </c>
      <c r="G686" s="19" t="s">
        <v>466</v>
      </c>
      <c r="H686" s="19">
        <v>11.5</v>
      </c>
      <c r="I686" s="47">
        <v>1023</v>
      </c>
      <c r="J686" s="42"/>
      <c r="K686" s="43"/>
      <c r="L686" s="19"/>
      <c r="M686" s="43"/>
      <c r="N686" s="44"/>
      <c r="O686" s="45">
        <f t="shared" si="422"/>
        <v>1023</v>
      </c>
      <c r="P686" s="51"/>
      <c r="Q686" s="51"/>
      <c r="R686" s="74">
        <f t="shared" si="411"/>
        <v>561.74916708733</v>
      </c>
      <c r="S686" s="74"/>
      <c r="T686" s="75">
        <f t="shared" si="412"/>
        <v>0.725643614336194</v>
      </c>
      <c r="U686" s="74"/>
      <c r="V686" s="74"/>
      <c r="W686" s="76">
        <f t="shared" si="410"/>
        <v>562.474810701666</v>
      </c>
      <c r="X686" s="77">
        <f t="shared" si="413"/>
        <v>7.6928672387683</v>
      </c>
      <c r="Y686" s="77"/>
      <c r="Z686" s="77"/>
      <c r="AA686" s="77">
        <f t="shared" si="420"/>
        <v>7.6928672387683</v>
      </c>
      <c r="AB686" s="87">
        <v>7.26</v>
      </c>
      <c r="AC686" s="74">
        <f t="shared" si="421"/>
        <v>55.8502161534579</v>
      </c>
      <c r="AD686" s="74">
        <f t="shared" si="418"/>
        <v>618.325026855124</v>
      </c>
      <c r="AE686" s="74">
        <f t="shared" si="419"/>
        <v>404.674973144876</v>
      </c>
    </row>
    <row r="687" customFormat="1" spans="1:31">
      <c r="A687" s="18"/>
      <c r="B687" s="19"/>
      <c r="C687" s="107">
        <v>240720000003</v>
      </c>
      <c r="D687" s="21">
        <v>45498</v>
      </c>
      <c r="E687" s="21" t="s">
        <v>40</v>
      </c>
      <c r="F687" s="19" t="s">
        <v>41</v>
      </c>
      <c r="G687" s="19" t="s">
        <v>277</v>
      </c>
      <c r="H687" s="19">
        <v>0.3</v>
      </c>
      <c r="I687" s="41">
        <v>60</v>
      </c>
      <c r="J687" s="42"/>
      <c r="K687" s="43"/>
      <c r="L687" s="19"/>
      <c r="M687" s="43"/>
      <c r="N687" s="44"/>
      <c r="O687" s="45">
        <f t="shared" si="422"/>
        <v>60</v>
      </c>
      <c r="P687" s="51"/>
      <c r="Q687" s="51"/>
      <c r="R687" s="74">
        <f t="shared" si="411"/>
        <v>14.6543260979303</v>
      </c>
      <c r="S687" s="74"/>
      <c r="T687" s="75">
        <f t="shared" si="412"/>
        <v>0.0189298334174659</v>
      </c>
      <c r="U687" s="74"/>
      <c r="V687" s="74"/>
      <c r="W687" s="76">
        <f t="shared" si="410"/>
        <v>14.6732559313478</v>
      </c>
      <c r="X687" s="77">
        <f t="shared" si="413"/>
        <v>0.20068349318526</v>
      </c>
      <c r="Y687" s="77"/>
      <c r="Z687" s="77"/>
      <c r="AA687" s="77">
        <f t="shared" si="420"/>
        <v>0.20068349318526</v>
      </c>
      <c r="AB687" s="87">
        <v>7.26</v>
      </c>
      <c r="AC687" s="74">
        <f t="shared" si="421"/>
        <v>1.45696216052499</v>
      </c>
      <c r="AD687" s="74">
        <f t="shared" si="418"/>
        <v>16.1302180918728</v>
      </c>
      <c r="AE687" s="74">
        <f t="shared" si="419"/>
        <v>43.8697819081272</v>
      </c>
    </row>
    <row r="688" customFormat="1" spans="1:31">
      <c r="A688" s="18"/>
      <c r="B688" s="19"/>
      <c r="C688" s="107">
        <v>240720000004</v>
      </c>
      <c r="D688" s="21">
        <v>45498</v>
      </c>
      <c r="E688" s="21" t="s">
        <v>40</v>
      </c>
      <c r="F688" s="19" t="s">
        <v>41</v>
      </c>
      <c r="G688" s="19" t="s">
        <v>470</v>
      </c>
      <c r="H688" s="19">
        <v>1</v>
      </c>
      <c r="I688" s="41">
        <v>80</v>
      </c>
      <c r="J688" s="42"/>
      <c r="K688" s="43"/>
      <c r="L688" s="19"/>
      <c r="M688" s="43"/>
      <c r="N688" s="44"/>
      <c r="O688" s="45">
        <f t="shared" si="422"/>
        <v>80</v>
      </c>
      <c r="P688" s="51"/>
      <c r="Q688" s="51"/>
      <c r="R688" s="74">
        <f t="shared" si="411"/>
        <v>48.8477536597678</v>
      </c>
      <c r="S688" s="74"/>
      <c r="T688" s="75">
        <f t="shared" si="412"/>
        <v>0.0630994447248864</v>
      </c>
      <c r="U688" s="74"/>
      <c r="V688" s="74"/>
      <c r="W688" s="76">
        <f t="shared" si="410"/>
        <v>48.9108531044927</v>
      </c>
      <c r="X688" s="77">
        <f t="shared" si="413"/>
        <v>0.6689449772842</v>
      </c>
      <c r="Y688" s="77"/>
      <c r="Z688" s="77"/>
      <c r="AA688" s="77">
        <f t="shared" si="420"/>
        <v>0.6689449772842</v>
      </c>
      <c r="AB688" s="87">
        <v>7.26</v>
      </c>
      <c r="AC688" s="74">
        <f t="shared" si="421"/>
        <v>4.85654053508329</v>
      </c>
      <c r="AD688" s="74">
        <f t="shared" si="418"/>
        <v>53.767393639576</v>
      </c>
      <c r="AE688" s="74">
        <f t="shared" si="419"/>
        <v>26.232606360424</v>
      </c>
    </row>
    <row r="689" customFormat="1" spans="1:31">
      <c r="A689" s="18"/>
      <c r="B689" s="19"/>
      <c r="C689" s="107">
        <v>240720000014</v>
      </c>
      <c r="D689" s="21">
        <v>45498</v>
      </c>
      <c r="E689" s="21" t="s">
        <v>58</v>
      </c>
      <c r="F689" s="19" t="s">
        <v>59</v>
      </c>
      <c r="G689" s="19" t="s">
        <v>471</v>
      </c>
      <c r="H689" s="19">
        <v>8.5</v>
      </c>
      <c r="I689" s="41">
        <v>595</v>
      </c>
      <c r="J689" s="42"/>
      <c r="K689" s="43"/>
      <c r="L689" s="19"/>
      <c r="M689" s="43"/>
      <c r="N689" s="44"/>
      <c r="O689" s="45">
        <f t="shared" si="422"/>
        <v>595</v>
      </c>
      <c r="P689" s="51"/>
      <c r="Q689" s="51"/>
      <c r="R689" s="74">
        <f t="shared" si="411"/>
        <v>415.205906108026</v>
      </c>
      <c r="S689" s="74"/>
      <c r="T689" s="75">
        <f t="shared" si="412"/>
        <v>0.536345280161535</v>
      </c>
      <c r="U689" s="74"/>
      <c r="V689" s="74"/>
      <c r="W689" s="76">
        <f t="shared" si="410"/>
        <v>415.742251388188</v>
      </c>
      <c r="X689" s="77">
        <f t="shared" si="413"/>
        <v>5.6860323069157</v>
      </c>
      <c r="Y689" s="77"/>
      <c r="Z689" s="77"/>
      <c r="AA689" s="77">
        <f t="shared" si="420"/>
        <v>5.6860323069157</v>
      </c>
      <c r="AB689" s="87">
        <v>7.26</v>
      </c>
      <c r="AC689" s="74">
        <f t="shared" si="421"/>
        <v>41.280594548208</v>
      </c>
      <c r="AD689" s="74">
        <f t="shared" si="418"/>
        <v>457.022845936396</v>
      </c>
      <c r="AE689" s="74">
        <f t="shared" si="419"/>
        <v>137.977154063604</v>
      </c>
    </row>
    <row r="690" customFormat="1" spans="1:31">
      <c r="A690" s="18"/>
      <c r="B690" s="19"/>
      <c r="C690" s="107">
        <v>240720000017</v>
      </c>
      <c r="D690" s="21">
        <v>45498</v>
      </c>
      <c r="E690" s="21" t="s">
        <v>37</v>
      </c>
      <c r="F690" s="19" t="s">
        <v>37</v>
      </c>
      <c r="G690" s="19" t="s">
        <v>148</v>
      </c>
      <c r="H690" s="19">
        <v>408.5</v>
      </c>
      <c r="I690" s="41">
        <v>21242</v>
      </c>
      <c r="J690" s="42"/>
      <c r="K690" s="43"/>
      <c r="L690" s="19"/>
      <c r="M690" s="43"/>
      <c r="N690" s="44"/>
      <c r="O690" s="45">
        <f t="shared" si="422"/>
        <v>21242</v>
      </c>
      <c r="P690" s="51"/>
      <c r="Q690" s="51"/>
      <c r="R690" s="74">
        <f t="shared" si="411"/>
        <v>19954.3073700151</v>
      </c>
      <c r="S690" s="74"/>
      <c r="T690" s="75">
        <f t="shared" si="412"/>
        <v>25.7761231701161</v>
      </c>
      <c r="U690" s="74"/>
      <c r="V690" s="74"/>
      <c r="W690" s="76">
        <f t="shared" si="410"/>
        <v>19980.0834931853</v>
      </c>
      <c r="X690" s="77">
        <f t="shared" si="413"/>
        <v>273.264023220596</v>
      </c>
      <c r="Y690" s="77"/>
      <c r="Z690" s="77"/>
      <c r="AA690" s="77">
        <f t="shared" si="420"/>
        <v>273.264023220596</v>
      </c>
      <c r="AB690" s="87">
        <v>7.26</v>
      </c>
      <c r="AC690" s="74">
        <f t="shared" si="421"/>
        <v>1983.89680858152</v>
      </c>
      <c r="AD690" s="74">
        <f t="shared" si="418"/>
        <v>21963.9803017668</v>
      </c>
      <c r="AE690" s="74">
        <f t="shared" si="419"/>
        <v>-721.980301766784</v>
      </c>
    </row>
    <row r="691" customFormat="1" spans="1:31">
      <c r="A691" s="18"/>
      <c r="B691" s="19"/>
      <c r="C691" s="107">
        <v>240720000018</v>
      </c>
      <c r="D691" s="21">
        <v>45498</v>
      </c>
      <c r="E691" s="21" t="s">
        <v>58</v>
      </c>
      <c r="F691" s="19" t="s">
        <v>59</v>
      </c>
      <c r="G691" s="19" t="s">
        <v>238</v>
      </c>
      <c r="H691" s="19">
        <v>2.5</v>
      </c>
      <c r="I691" s="41">
        <v>168</v>
      </c>
      <c r="J691" s="42"/>
      <c r="K691" s="43"/>
      <c r="L691" s="19"/>
      <c r="M691" s="43"/>
      <c r="N691" s="44"/>
      <c r="O691" s="45">
        <f t="shared" si="422"/>
        <v>168</v>
      </c>
      <c r="P691" s="51"/>
      <c r="Q691" s="51"/>
      <c r="R691" s="74">
        <f t="shared" si="411"/>
        <v>122.119384149419</v>
      </c>
      <c r="S691" s="74"/>
      <c r="T691" s="75">
        <f t="shared" si="412"/>
        <v>0.157748611812216</v>
      </c>
      <c r="U691" s="74"/>
      <c r="V691" s="74"/>
      <c r="W691" s="76">
        <f t="shared" si="410"/>
        <v>122.277132761232</v>
      </c>
      <c r="X691" s="77">
        <f t="shared" si="413"/>
        <v>1.6723624432105</v>
      </c>
      <c r="Y691" s="77"/>
      <c r="Z691" s="77"/>
      <c r="AA691" s="77">
        <f t="shared" si="420"/>
        <v>1.6723624432105</v>
      </c>
      <c r="AB691" s="87">
        <v>7.26</v>
      </c>
      <c r="AC691" s="74">
        <f t="shared" si="421"/>
        <v>12.1413513377082</v>
      </c>
      <c r="AD691" s="74">
        <f t="shared" si="418"/>
        <v>134.41848409894</v>
      </c>
      <c r="AE691" s="74">
        <f t="shared" si="419"/>
        <v>33.5815159010601</v>
      </c>
    </row>
    <row r="692" customFormat="1" spans="1:31">
      <c r="A692" s="18"/>
      <c r="B692" s="19"/>
      <c r="C692" s="107">
        <v>240720000019</v>
      </c>
      <c r="D692" s="21">
        <v>45498</v>
      </c>
      <c r="E692" s="21" t="s">
        <v>58</v>
      </c>
      <c r="F692" s="19" t="s">
        <v>59</v>
      </c>
      <c r="G692" s="19" t="s">
        <v>191</v>
      </c>
      <c r="H692" s="19">
        <v>3</v>
      </c>
      <c r="I692" s="47"/>
      <c r="J692" s="48">
        <v>44400</v>
      </c>
      <c r="K692" s="43"/>
      <c r="L692" s="49">
        <f t="shared" ref="L692:L694" si="423">SUM(J692/M692)</f>
        <v>1604.04624277457</v>
      </c>
      <c r="M692" s="50">
        <v>27.68</v>
      </c>
      <c r="N692" s="44">
        <v>7.26</v>
      </c>
      <c r="O692" s="45">
        <f t="shared" ref="O692:O694" si="424">SUM(M692*N692)</f>
        <v>200.9568</v>
      </c>
      <c r="P692" s="51"/>
      <c r="Q692" s="51"/>
      <c r="R692" s="74">
        <f t="shared" si="411"/>
        <v>146.543260979303</v>
      </c>
      <c r="S692" s="74"/>
      <c r="T692" s="75">
        <f t="shared" si="412"/>
        <v>0.189298334174659</v>
      </c>
      <c r="U692" s="74"/>
      <c r="V692" s="74"/>
      <c r="W692" s="76">
        <f t="shared" si="410"/>
        <v>146.732559313478</v>
      </c>
      <c r="X692" s="77">
        <f t="shared" si="413"/>
        <v>2.0068349318526</v>
      </c>
      <c r="Y692" s="77"/>
      <c r="Z692" s="77"/>
      <c r="AA692" s="77">
        <f t="shared" si="420"/>
        <v>2.0068349318526</v>
      </c>
      <c r="AB692" s="87">
        <v>7.26</v>
      </c>
      <c r="AC692" s="74">
        <f t="shared" si="421"/>
        <v>14.5696216052499</v>
      </c>
      <c r="AD692" s="74">
        <f t="shared" si="418"/>
        <v>161.302180918728</v>
      </c>
      <c r="AE692" s="74">
        <f t="shared" si="419"/>
        <v>39.6546190812721</v>
      </c>
    </row>
    <row r="693" customFormat="1" spans="1:31">
      <c r="A693" s="18"/>
      <c r="B693" s="19"/>
      <c r="C693" s="107">
        <v>240720000022</v>
      </c>
      <c r="D693" s="21">
        <v>45498</v>
      </c>
      <c r="E693" s="21" t="s">
        <v>40</v>
      </c>
      <c r="F693" s="19" t="s">
        <v>147</v>
      </c>
      <c r="G693" s="19" t="s">
        <v>147</v>
      </c>
      <c r="H693" s="19">
        <v>1.5</v>
      </c>
      <c r="I693" s="45"/>
      <c r="J693" s="48">
        <v>25366.88</v>
      </c>
      <c r="K693" s="43"/>
      <c r="L693" s="49">
        <f t="shared" si="423"/>
        <v>1623.99989603074</v>
      </c>
      <c r="M693" s="50">
        <v>15.620001</v>
      </c>
      <c r="N693" s="44">
        <v>7.26</v>
      </c>
      <c r="O693" s="45">
        <f t="shared" si="424"/>
        <v>113.40120726</v>
      </c>
      <c r="P693" s="51"/>
      <c r="Q693" s="51"/>
      <c r="R693" s="74">
        <f t="shared" si="411"/>
        <v>73.2716304896517</v>
      </c>
      <c r="S693" s="74"/>
      <c r="T693" s="75">
        <f t="shared" si="412"/>
        <v>0.0946491670873296</v>
      </c>
      <c r="U693" s="74"/>
      <c r="V693" s="74"/>
      <c r="W693" s="76">
        <f t="shared" ref="W693:W716" si="425">SUM(R693:V693)</f>
        <v>73.366279656739</v>
      </c>
      <c r="X693" s="77">
        <f t="shared" si="413"/>
        <v>1.0034174659263</v>
      </c>
      <c r="Y693" s="77"/>
      <c r="Z693" s="77"/>
      <c r="AA693" s="77">
        <f t="shared" si="420"/>
        <v>1.0034174659263</v>
      </c>
      <c r="AB693" s="87">
        <v>7.26</v>
      </c>
      <c r="AC693" s="74">
        <f t="shared" si="421"/>
        <v>7.28481080262494</v>
      </c>
      <c r="AD693" s="74">
        <f t="shared" si="418"/>
        <v>80.6510904593639</v>
      </c>
      <c r="AE693" s="74">
        <f t="shared" si="419"/>
        <v>32.7501168006361</v>
      </c>
    </row>
    <row r="694" customFormat="1" spans="1:31">
      <c r="A694" s="18"/>
      <c r="B694" s="19"/>
      <c r="C694" s="107">
        <v>240722000002</v>
      </c>
      <c r="D694" s="21">
        <v>45498</v>
      </c>
      <c r="E694" s="21" t="s">
        <v>58</v>
      </c>
      <c r="F694" s="19" t="s">
        <v>59</v>
      </c>
      <c r="G694" s="19" t="s">
        <v>97</v>
      </c>
      <c r="H694" s="19">
        <v>5.5</v>
      </c>
      <c r="I694" s="45"/>
      <c r="J694" s="48">
        <v>89320</v>
      </c>
      <c r="K694" s="43"/>
      <c r="L694" s="49">
        <f t="shared" si="423"/>
        <v>1624</v>
      </c>
      <c r="M694" s="50">
        <v>55</v>
      </c>
      <c r="N694" s="44">
        <v>7.26</v>
      </c>
      <c r="O694" s="45">
        <f t="shared" si="424"/>
        <v>399.3</v>
      </c>
      <c r="P694" s="51"/>
      <c r="Q694" s="51"/>
      <c r="R694" s="74">
        <f t="shared" si="411"/>
        <v>268.662645128723</v>
      </c>
      <c r="S694" s="74"/>
      <c r="T694" s="75">
        <f t="shared" si="412"/>
        <v>0.347046945986875</v>
      </c>
      <c r="U694" s="74"/>
      <c r="V694" s="74"/>
      <c r="W694" s="76">
        <f t="shared" si="425"/>
        <v>269.00969207471</v>
      </c>
      <c r="X694" s="77">
        <f t="shared" si="413"/>
        <v>3.6791973750631</v>
      </c>
      <c r="Y694" s="77"/>
      <c r="Z694" s="77"/>
      <c r="AA694" s="77">
        <f t="shared" si="420"/>
        <v>3.6791973750631</v>
      </c>
      <c r="AB694" s="87">
        <v>7.26</v>
      </c>
      <c r="AC694" s="74">
        <f t="shared" si="421"/>
        <v>26.7109729429581</v>
      </c>
      <c r="AD694" s="74">
        <f t="shared" si="418"/>
        <v>295.720665017668</v>
      </c>
      <c r="AE694" s="74">
        <f t="shared" si="419"/>
        <v>103.579334982332</v>
      </c>
    </row>
    <row r="695" customFormat="1" spans="1:31">
      <c r="A695" s="18"/>
      <c r="B695" s="19"/>
      <c r="C695" s="107">
        <v>240722000003</v>
      </c>
      <c r="D695" s="21">
        <v>45498</v>
      </c>
      <c r="E695" s="21" t="s">
        <v>40</v>
      </c>
      <c r="F695" s="19" t="s">
        <v>41</v>
      </c>
      <c r="G695" s="19" t="s">
        <v>472</v>
      </c>
      <c r="H695" s="19">
        <v>1.5</v>
      </c>
      <c r="I695" s="41">
        <v>102.3</v>
      </c>
      <c r="J695" s="42"/>
      <c r="K695" s="43"/>
      <c r="L695" s="19"/>
      <c r="M695" s="43"/>
      <c r="N695" s="44"/>
      <c r="O695" s="45">
        <f t="shared" ref="O695:O711" si="426">SUM(I695)</f>
        <v>102.3</v>
      </c>
      <c r="P695" s="51"/>
      <c r="Q695" s="51"/>
      <c r="R695" s="74">
        <f t="shared" ref="R695:R716" si="427">SUM(96767.4/1981)*H695</f>
        <v>73.2716304896517</v>
      </c>
      <c r="S695" s="74"/>
      <c r="T695" s="75">
        <f t="shared" ref="T695:T716" si="428">SUM(125/1981)*H695</f>
        <v>0.0946491670873296</v>
      </c>
      <c r="U695" s="74"/>
      <c r="V695" s="74"/>
      <c r="W695" s="76">
        <f t="shared" si="425"/>
        <v>73.366279656739</v>
      </c>
      <c r="X695" s="77">
        <f t="shared" ref="X695:X716" si="429">SUM(1325.18/1981)*H695</f>
        <v>1.0034174659263</v>
      </c>
      <c r="Y695" s="77"/>
      <c r="Z695" s="77"/>
      <c r="AA695" s="77">
        <f t="shared" si="420"/>
        <v>1.0034174659263</v>
      </c>
      <c r="AB695" s="87">
        <v>7.26</v>
      </c>
      <c r="AC695" s="74">
        <f t="shared" si="421"/>
        <v>7.28481080262494</v>
      </c>
      <c r="AD695" s="74">
        <f t="shared" si="418"/>
        <v>80.6510904593639</v>
      </c>
      <c r="AE695" s="74">
        <f t="shared" si="419"/>
        <v>21.6489095406361</v>
      </c>
    </row>
    <row r="696" customFormat="1" spans="1:31">
      <c r="A696" s="18"/>
      <c r="B696" s="19"/>
      <c r="C696" s="107">
        <v>240722000008</v>
      </c>
      <c r="D696" s="21">
        <v>45498</v>
      </c>
      <c r="E696" s="21" t="s">
        <v>40</v>
      </c>
      <c r="F696" s="19" t="s">
        <v>41</v>
      </c>
      <c r="G696" s="19" t="s">
        <v>473</v>
      </c>
      <c r="H696" s="19">
        <v>2</v>
      </c>
      <c r="I696" s="41">
        <v>148.5</v>
      </c>
      <c r="J696" s="42"/>
      <c r="K696" s="43"/>
      <c r="L696" s="19"/>
      <c r="M696" s="43"/>
      <c r="N696" s="44"/>
      <c r="O696" s="45">
        <f t="shared" si="426"/>
        <v>148.5</v>
      </c>
      <c r="P696" s="51"/>
      <c r="Q696" s="51"/>
      <c r="R696" s="74">
        <f t="shared" si="427"/>
        <v>97.6955073195356</v>
      </c>
      <c r="S696" s="74"/>
      <c r="T696" s="75">
        <f t="shared" si="428"/>
        <v>0.126198889449773</v>
      </c>
      <c r="U696" s="74"/>
      <c r="V696" s="74"/>
      <c r="W696" s="76">
        <f t="shared" si="425"/>
        <v>97.8217062089853</v>
      </c>
      <c r="X696" s="77">
        <f t="shared" si="429"/>
        <v>1.3378899545684</v>
      </c>
      <c r="Y696" s="77"/>
      <c r="Z696" s="77"/>
      <c r="AA696" s="77">
        <f t="shared" si="420"/>
        <v>1.3378899545684</v>
      </c>
      <c r="AB696" s="87">
        <v>7.26</v>
      </c>
      <c r="AC696" s="74">
        <f t="shared" si="421"/>
        <v>9.71308107016658</v>
      </c>
      <c r="AD696" s="74">
        <f t="shared" si="418"/>
        <v>107.534787279152</v>
      </c>
      <c r="AE696" s="74">
        <f t="shared" si="419"/>
        <v>40.9652127208481</v>
      </c>
    </row>
    <row r="697" customFormat="1" spans="1:31">
      <c r="A697" s="18"/>
      <c r="B697" s="19"/>
      <c r="C697" s="107">
        <v>240722000011</v>
      </c>
      <c r="D697" s="21">
        <v>45498</v>
      </c>
      <c r="E697" s="21" t="s">
        <v>40</v>
      </c>
      <c r="F697" s="19" t="s">
        <v>41</v>
      </c>
      <c r="G697" s="19" t="s">
        <v>474</v>
      </c>
      <c r="H697" s="19">
        <v>1.5</v>
      </c>
      <c r="I697" s="41">
        <v>102.3</v>
      </c>
      <c r="J697" s="42"/>
      <c r="K697" s="43"/>
      <c r="L697" s="19"/>
      <c r="M697" s="43"/>
      <c r="N697" s="44"/>
      <c r="O697" s="45">
        <f t="shared" si="426"/>
        <v>102.3</v>
      </c>
      <c r="P697" s="51"/>
      <c r="Q697" s="51"/>
      <c r="R697" s="74">
        <f t="shared" si="427"/>
        <v>73.2716304896517</v>
      </c>
      <c r="S697" s="74"/>
      <c r="T697" s="75">
        <f t="shared" si="428"/>
        <v>0.0946491670873296</v>
      </c>
      <c r="U697" s="74"/>
      <c r="V697" s="74"/>
      <c r="W697" s="76">
        <f t="shared" si="425"/>
        <v>73.366279656739</v>
      </c>
      <c r="X697" s="77">
        <f t="shared" si="429"/>
        <v>1.0034174659263</v>
      </c>
      <c r="Y697" s="77"/>
      <c r="Z697" s="77"/>
      <c r="AA697" s="77">
        <f t="shared" si="420"/>
        <v>1.0034174659263</v>
      </c>
      <c r="AB697" s="87">
        <v>7.26</v>
      </c>
      <c r="AC697" s="74">
        <f t="shared" si="421"/>
        <v>7.28481080262494</v>
      </c>
      <c r="AD697" s="74">
        <f t="shared" si="418"/>
        <v>80.6510904593639</v>
      </c>
      <c r="AE697" s="74">
        <f t="shared" si="419"/>
        <v>21.6489095406361</v>
      </c>
    </row>
    <row r="698" customFormat="1" spans="1:31">
      <c r="A698" s="18"/>
      <c r="B698" s="19"/>
      <c r="C698" s="107">
        <v>240722000013</v>
      </c>
      <c r="D698" s="21">
        <v>45498</v>
      </c>
      <c r="E698" s="21" t="s">
        <v>40</v>
      </c>
      <c r="F698" s="19" t="s">
        <v>41</v>
      </c>
      <c r="G698" s="19" t="s">
        <v>350</v>
      </c>
      <c r="H698" s="19">
        <v>4.5</v>
      </c>
      <c r="I698" s="41">
        <v>330</v>
      </c>
      <c r="J698" s="42"/>
      <c r="K698" s="43"/>
      <c r="L698" s="19"/>
      <c r="M698" s="43"/>
      <c r="N698" s="44"/>
      <c r="O698" s="45">
        <f t="shared" si="426"/>
        <v>330</v>
      </c>
      <c r="P698" s="51"/>
      <c r="Q698" s="51"/>
      <c r="R698" s="74">
        <f t="shared" si="427"/>
        <v>219.814891468955</v>
      </c>
      <c r="S698" s="74"/>
      <c r="T698" s="75">
        <f t="shared" si="428"/>
        <v>0.283947501261989</v>
      </c>
      <c r="U698" s="74"/>
      <c r="V698" s="74"/>
      <c r="W698" s="76">
        <f t="shared" si="425"/>
        <v>220.098838970217</v>
      </c>
      <c r="X698" s="77">
        <f t="shared" si="429"/>
        <v>3.0102523977789</v>
      </c>
      <c r="Y698" s="77"/>
      <c r="Z698" s="77"/>
      <c r="AA698" s="77">
        <f t="shared" si="420"/>
        <v>3.0102523977789</v>
      </c>
      <c r="AB698" s="87">
        <v>7.26</v>
      </c>
      <c r="AC698" s="74">
        <f t="shared" si="421"/>
        <v>21.8544324078748</v>
      </c>
      <c r="AD698" s="74">
        <f t="shared" si="418"/>
        <v>241.953271378092</v>
      </c>
      <c r="AE698" s="74">
        <f t="shared" si="419"/>
        <v>88.0467286219081</v>
      </c>
    </row>
    <row r="699" customFormat="1" spans="1:31">
      <c r="A699" s="18"/>
      <c r="B699" s="19"/>
      <c r="C699" s="107">
        <v>240722000020</v>
      </c>
      <c r="D699" s="21">
        <v>45498</v>
      </c>
      <c r="E699" s="21" t="s">
        <v>44</v>
      </c>
      <c r="F699" s="19" t="s">
        <v>45</v>
      </c>
      <c r="G699" s="19" t="s">
        <v>475</v>
      </c>
      <c r="H699" s="19">
        <v>5</v>
      </c>
      <c r="I699" s="41">
        <v>333.3</v>
      </c>
      <c r="J699" s="42"/>
      <c r="K699" s="43"/>
      <c r="L699" s="19"/>
      <c r="M699" s="43"/>
      <c r="N699" s="44"/>
      <c r="O699" s="45">
        <f t="shared" si="426"/>
        <v>333.3</v>
      </c>
      <c r="P699" s="51"/>
      <c r="Q699" s="51"/>
      <c r="R699" s="74">
        <f t="shared" si="427"/>
        <v>244.238768298839</v>
      </c>
      <c r="S699" s="74"/>
      <c r="T699" s="75">
        <f t="shared" si="428"/>
        <v>0.315497223624432</v>
      </c>
      <c r="U699" s="74"/>
      <c r="V699" s="74"/>
      <c r="W699" s="76">
        <f t="shared" si="425"/>
        <v>244.554265522463</v>
      </c>
      <c r="X699" s="77">
        <f t="shared" si="429"/>
        <v>3.344724886421</v>
      </c>
      <c r="Y699" s="77"/>
      <c r="Z699" s="77"/>
      <c r="AA699" s="77">
        <f t="shared" si="420"/>
        <v>3.344724886421</v>
      </c>
      <c r="AB699" s="87">
        <v>7.26</v>
      </c>
      <c r="AC699" s="74">
        <f t="shared" si="421"/>
        <v>24.2827026754165</v>
      </c>
      <c r="AD699" s="74">
        <f t="shared" si="418"/>
        <v>268.83696819788</v>
      </c>
      <c r="AE699" s="74">
        <f t="shared" si="419"/>
        <v>64.4630318021202</v>
      </c>
    </row>
    <row r="700" customFormat="1" spans="1:31">
      <c r="A700" s="18"/>
      <c r="B700" s="19"/>
      <c r="C700" s="107">
        <v>240722000025</v>
      </c>
      <c r="D700" s="21">
        <v>45498</v>
      </c>
      <c r="E700" s="21" t="s">
        <v>58</v>
      </c>
      <c r="F700" s="19" t="s">
        <v>59</v>
      </c>
      <c r="G700" s="19" t="s">
        <v>133</v>
      </c>
      <c r="H700" s="19">
        <v>21</v>
      </c>
      <c r="I700" s="41">
        <v>1251.6</v>
      </c>
      <c r="J700" s="42"/>
      <c r="K700" s="43"/>
      <c r="L700" s="19"/>
      <c r="M700" s="43"/>
      <c r="N700" s="44"/>
      <c r="O700" s="45">
        <f t="shared" si="426"/>
        <v>1251.6</v>
      </c>
      <c r="P700" s="51"/>
      <c r="Q700" s="51"/>
      <c r="R700" s="74">
        <f t="shared" si="427"/>
        <v>1025.80282685512</v>
      </c>
      <c r="S700" s="74"/>
      <c r="T700" s="75">
        <f t="shared" si="428"/>
        <v>1.32508833922261</v>
      </c>
      <c r="U700" s="74"/>
      <c r="V700" s="74"/>
      <c r="W700" s="76">
        <f t="shared" si="425"/>
        <v>1027.12791519435</v>
      </c>
      <c r="X700" s="77">
        <f t="shared" si="429"/>
        <v>14.0478445229682</v>
      </c>
      <c r="Y700" s="77"/>
      <c r="Z700" s="77"/>
      <c r="AA700" s="77">
        <f t="shared" si="420"/>
        <v>14.0478445229682</v>
      </c>
      <c r="AB700" s="87">
        <v>7.26</v>
      </c>
      <c r="AC700" s="74">
        <f t="shared" si="421"/>
        <v>101.987351236749</v>
      </c>
      <c r="AD700" s="74">
        <f t="shared" si="418"/>
        <v>1129.1152664311</v>
      </c>
      <c r="AE700" s="74">
        <f t="shared" si="419"/>
        <v>122.484733568904</v>
      </c>
    </row>
    <row r="701" customFormat="1" spans="1:31">
      <c r="A701" s="18"/>
      <c r="B701" s="19"/>
      <c r="C701" s="107">
        <v>240722000026</v>
      </c>
      <c r="D701" s="21">
        <v>45498</v>
      </c>
      <c r="E701" s="21" t="s">
        <v>44</v>
      </c>
      <c r="F701" s="19" t="s">
        <v>45</v>
      </c>
      <c r="G701" s="19" t="s">
        <v>121</v>
      </c>
      <c r="H701" s="19">
        <v>2.5</v>
      </c>
      <c r="I701" s="41">
        <v>167.5</v>
      </c>
      <c r="J701" s="42"/>
      <c r="K701" s="43"/>
      <c r="L701" s="19"/>
      <c r="M701" s="43"/>
      <c r="N701" s="44"/>
      <c r="O701" s="45">
        <f t="shared" si="426"/>
        <v>167.5</v>
      </c>
      <c r="P701" s="51"/>
      <c r="Q701" s="51"/>
      <c r="R701" s="74">
        <f t="shared" si="427"/>
        <v>122.119384149419</v>
      </c>
      <c r="S701" s="74"/>
      <c r="T701" s="75">
        <f t="shared" si="428"/>
        <v>0.157748611812216</v>
      </c>
      <c r="U701" s="74"/>
      <c r="V701" s="74"/>
      <c r="W701" s="76">
        <f t="shared" si="425"/>
        <v>122.277132761232</v>
      </c>
      <c r="X701" s="77">
        <f t="shared" si="429"/>
        <v>1.6723624432105</v>
      </c>
      <c r="Y701" s="77"/>
      <c r="Z701" s="77"/>
      <c r="AA701" s="77">
        <f t="shared" si="420"/>
        <v>1.6723624432105</v>
      </c>
      <c r="AB701" s="87">
        <v>7.26</v>
      </c>
      <c r="AC701" s="74">
        <f t="shared" si="421"/>
        <v>12.1413513377082</v>
      </c>
      <c r="AD701" s="74">
        <f t="shared" si="418"/>
        <v>134.41848409894</v>
      </c>
      <c r="AE701" s="74">
        <f t="shared" si="419"/>
        <v>33.0815159010601</v>
      </c>
    </row>
    <row r="702" customFormat="1" spans="1:31">
      <c r="A702" s="18"/>
      <c r="B702" s="19"/>
      <c r="C702" s="107">
        <v>240722000029</v>
      </c>
      <c r="D702" s="21">
        <v>45498</v>
      </c>
      <c r="E702" s="21" t="s">
        <v>47</v>
      </c>
      <c r="F702" s="19" t="s">
        <v>48</v>
      </c>
      <c r="G702" s="19" t="s">
        <v>365</v>
      </c>
      <c r="H702" s="19">
        <v>0.84</v>
      </c>
      <c r="I702" s="41">
        <v>69</v>
      </c>
      <c r="J702" s="42"/>
      <c r="K702" s="43"/>
      <c r="L702" s="19"/>
      <c r="M702" s="43"/>
      <c r="N702" s="44"/>
      <c r="O702" s="45">
        <f t="shared" si="426"/>
        <v>69</v>
      </c>
      <c r="P702" s="51"/>
      <c r="Q702" s="51"/>
      <c r="R702" s="74">
        <f t="shared" si="427"/>
        <v>41.0321130742049</v>
      </c>
      <c r="S702" s="74"/>
      <c r="T702" s="75">
        <f t="shared" si="428"/>
        <v>0.0530035335689046</v>
      </c>
      <c r="U702" s="74"/>
      <c r="V702" s="74"/>
      <c r="W702" s="76">
        <f t="shared" si="425"/>
        <v>41.0851166077738</v>
      </c>
      <c r="X702" s="77">
        <f t="shared" si="429"/>
        <v>0.561913780918728</v>
      </c>
      <c r="Y702" s="77"/>
      <c r="Z702" s="77"/>
      <c r="AA702" s="77">
        <f t="shared" si="420"/>
        <v>0.561913780918728</v>
      </c>
      <c r="AB702" s="87">
        <v>7.26</v>
      </c>
      <c r="AC702" s="74">
        <f t="shared" si="421"/>
        <v>4.07949404946996</v>
      </c>
      <c r="AD702" s="74">
        <f t="shared" si="418"/>
        <v>45.1646106572438</v>
      </c>
      <c r="AE702" s="74">
        <f t="shared" si="419"/>
        <v>23.8353893427562</v>
      </c>
    </row>
    <row r="703" customFormat="1" spans="1:31">
      <c r="A703" s="18"/>
      <c r="B703" s="19"/>
      <c r="C703" s="107">
        <v>240722000034</v>
      </c>
      <c r="D703" s="21">
        <v>45498</v>
      </c>
      <c r="E703" s="21" t="s">
        <v>47</v>
      </c>
      <c r="F703" s="19" t="s">
        <v>48</v>
      </c>
      <c r="G703" s="19" t="s">
        <v>476</v>
      </c>
      <c r="H703" s="19">
        <v>6.5</v>
      </c>
      <c r="I703" s="41">
        <v>414</v>
      </c>
      <c r="J703" s="42"/>
      <c r="K703" s="43"/>
      <c r="L703" s="19"/>
      <c r="M703" s="43"/>
      <c r="N703" s="44"/>
      <c r="O703" s="45">
        <f t="shared" si="426"/>
        <v>414</v>
      </c>
      <c r="P703" s="51"/>
      <c r="Q703" s="51"/>
      <c r="R703" s="74">
        <f t="shared" si="427"/>
        <v>317.510398788491</v>
      </c>
      <c r="S703" s="74"/>
      <c r="T703" s="75">
        <f t="shared" si="428"/>
        <v>0.410146390711762</v>
      </c>
      <c r="U703" s="74"/>
      <c r="V703" s="74"/>
      <c r="W703" s="76">
        <f t="shared" si="425"/>
        <v>317.920545179202</v>
      </c>
      <c r="X703" s="77">
        <f t="shared" si="429"/>
        <v>4.3481423523473</v>
      </c>
      <c r="Y703" s="77"/>
      <c r="Z703" s="77"/>
      <c r="AA703" s="77">
        <f t="shared" si="420"/>
        <v>4.3481423523473</v>
      </c>
      <c r="AB703" s="87">
        <v>7.26</v>
      </c>
      <c r="AC703" s="74">
        <f t="shared" si="421"/>
        <v>31.5675134780414</v>
      </c>
      <c r="AD703" s="74">
        <f t="shared" si="418"/>
        <v>349.488058657244</v>
      </c>
      <c r="AE703" s="74">
        <f t="shared" si="419"/>
        <v>64.5119413427562</v>
      </c>
    </row>
    <row r="704" customFormat="1" spans="1:31">
      <c r="A704" s="18"/>
      <c r="B704" s="19"/>
      <c r="C704" s="107">
        <v>240722000035</v>
      </c>
      <c r="D704" s="21">
        <v>45498</v>
      </c>
      <c r="E704" s="21" t="s">
        <v>47</v>
      </c>
      <c r="F704" s="19" t="s">
        <v>48</v>
      </c>
      <c r="G704" s="19" t="s">
        <v>477</v>
      </c>
      <c r="H704" s="19">
        <v>12.5</v>
      </c>
      <c r="I704" s="41">
        <v>872</v>
      </c>
      <c r="J704" s="42"/>
      <c r="K704" s="43"/>
      <c r="L704" s="19"/>
      <c r="M704" s="43"/>
      <c r="N704" s="44"/>
      <c r="O704" s="45">
        <f t="shared" si="426"/>
        <v>872</v>
      </c>
      <c r="P704" s="51"/>
      <c r="Q704" s="51"/>
      <c r="R704" s="74">
        <f t="shared" si="427"/>
        <v>610.596920747097</v>
      </c>
      <c r="S704" s="74"/>
      <c r="T704" s="75">
        <f t="shared" si="428"/>
        <v>0.78874305906108</v>
      </c>
      <c r="U704" s="74"/>
      <c r="V704" s="74"/>
      <c r="W704" s="76">
        <f t="shared" si="425"/>
        <v>611.385663806158</v>
      </c>
      <c r="X704" s="77">
        <f t="shared" si="429"/>
        <v>8.3618122160525</v>
      </c>
      <c r="Y704" s="77"/>
      <c r="Z704" s="77"/>
      <c r="AA704" s="77">
        <f t="shared" si="420"/>
        <v>8.3618122160525</v>
      </c>
      <c r="AB704" s="87">
        <v>7.26</v>
      </c>
      <c r="AC704" s="74">
        <f t="shared" si="421"/>
        <v>60.7067566885411</v>
      </c>
      <c r="AD704" s="74">
        <f t="shared" si="418"/>
        <v>672.0924204947</v>
      </c>
      <c r="AE704" s="74">
        <f t="shared" si="419"/>
        <v>199.9075795053</v>
      </c>
    </row>
    <row r="705" customFormat="1" spans="1:31">
      <c r="A705" s="18"/>
      <c r="B705" s="19"/>
      <c r="C705" s="107">
        <v>240722000039</v>
      </c>
      <c r="D705" s="23">
        <v>45498</v>
      </c>
      <c r="E705" s="21" t="s">
        <v>40</v>
      </c>
      <c r="F705" s="24" t="s">
        <v>41</v>
      </c>
      <c r="G705" s="24" t="s">
        <v>478</v>
      </c>
      <c r="H705" s="24">
        <v>6.5</v>
      </c>
      <c r="I705" s="41">
        <v>429</v>
      </c>
      <c r="J705" s="42"/>
      <c r="K705" s="43"/>
      <c r="L705" s="19"/>
      <c r="M705" s="43"/>
      <c r="N705" s="44"/>
      <c r="O705" s="45">
        <f t="shared" si="426"/>
        <v>429</v>
      </c>
      <c r="P705" s="51"/>
      <c r="Q705" s="51"/>
      <c r="R705" s="74">
        <f t="shared" si="427"/>
        <v>317.510398788491</v>
      </c>
      <c r="S705" s="74"/>
      <c r="T705" s="75">
        <f t="shared" si="428"/>
        <v>0.410146390711762</v>
      </c>
      <c r="U705" s="74"/>
      <c r="V705" s="74"/>
      <c r="W705" s="76">
        <f t="shared" si="425"/>
        <v>317.920545179202</v>
      </c>
      <c r="X705" s="77">
        <f t="shared" si="429"/>
        <v>4.3481423523473</v>
      </c>
      <c r="Y705" s="77"/>
      <c r="Z705" s="77"/>
      <c r="AA705" s="77">
        <f t="shared" si="420"/>
        <v>4.3481423523473</v>
      </c>
      <c r="AB705" s="87">
        <v>7.26</v>
      </c>
      <c r="AC705" s="74">
        <f t="shared" si="421"/>
        <v>31.5675134780414</v>
      </c>
      <c r="AD705" s="74">
        <f t="shared" si="418"/>
        <v>349.488058657244</v>
      </c>
      <c r="AE705" s="74">
        <f t="shared" si="419"/>
        <v>79.5119413427562</v>
      </c>
    </row>
    <row r="706" customFormat="1" spans="1:31">
      <c r="A706" s="18"/>
      <c r="B706" s="19"/>
      <c r="C706" s="107">
        <v>240722000041</v>
      </c>
      <c r="D706" s="21">
        <v>45498</v>
      </c>
      <c r="E706" s="21" t="s">
        <v>37</v>
      </c>
      <c r="F706" s="19" t="s">
        <v>37</v>
      </c>
      <c r="G706" s="19" t="s">
        <v>466</v>
      </c>
      <c r="H706" s="19">
        <v>48.5</v>
      </c>
      <c r="I706" s="47">
        <v>4234.5</v>
      </c>
      <c r="J706" s="42"/>
      <c r="K706" s="43"/>
      <c r="L706" s="19"/>
      <c r="M706" s="43"/>
      <c r="N706" s="44"/>
      <c r="O706" s="45">
        <f t="shared" si="426"/>
        <v>4234.5</v>
      </c>
      <c r="P706" s="51"/>
      <c r="Q706" s="51"/>
      <c r="R706" s="74">
        <f t="shared" si="427"/>
        <v>2369.11605249874</v>
      </c>
      <c r="S706" s="74"/>
      <c r="T706" s="75">
        <f t="shared" si="428"/>
        <v>3.06032306915699</v>
      </c>
      <c r="U706" s="74"/>
      <c r="V706" s="74">
        <v>60</v>
      </c>
      <c r="W706" s="76">
        <f t="shared" si="425"/>
        <v>2432.17637556789</v>
      </c>
      <c r="X706" s="77">
        <f t="shared" si="429"/>
        <v>32.4438313982837</v>
      </c>
      <c r="Y706" s="77"/>
      <c r="Z706" s="77"/>
      <c r="AA706" s="77">
        <f t="shared" si="420"/>
        <v>32.4438313982837</v>
      </c>
      <c r="AB706" s="87">
        <v>7.26</v>
      </c>
      <c r="AC706" s="74">
        <f t="shared" si="421"/>
        <v>235.54221595154</v>
      </c>
      <c r="AD706" s="74">
        <f t="shared" si="418"/>
        <v>2667.71859151943</v>
      </c>
      <c r="AE706" s="74">
        <f t="shared" si="419"/>
        <v>1566.78140848057</v>
      </c>
    </row>
    <row r="707" customFormat="1" spans="1:31">
      <c r="A707" s="18"/>
      <c r="B707" s="19"/>
      <c r="C707" s="107">
        <v>240722000042</v>
      </c>
      <c r="D707" s="21">
        <v>45498</v>
      </c>
      <c r="E707" s="21" t="s">
        <v>58</v>
      </c>
      <c r="F707" s="19" t="s">
        <v>59</v>
      </c>
      <c r="G707" s="19" t="s">
        <v>479</v>
      </c>
      <c r="H707" s="19">
        <v>6</v>
      </c>
      <c r="I707" s="41">
        <v>422</v>
      </c>
      <c r="J707" s="42"/>
      <c r="K707" s="43"/>
      <c r="L707" s="19"/>
      <c r="M707" s="43"/>
      <c r="N707" s="44"/>
      <c r="O707" s="45">
        <f t="shared" si="426"/>
        <v>422</v>
      </c>
      <c r="P707" s="51"/>
      <c r="Q707" s="51"/>
      <c r="R707" s="74">
        <f t="shared" si="427"/>
        <v>293.086521958607</v>
      </c>
      <c r="S707" s="74"/>
      <c r="T707" s="75">
        <f t="shared" si="428"/>
        <v>0.378596668349318</v>
      </c>
      <c r="U707" s="74"/>
      <c r="V707" s="74"/>
      <c r="W707" s="76">
        <f t="shared" si="425"/>
        <v>293.465118626956</v>
      </c>
      <c r="X707" s="77">
        <f t="shared" si="429"/>
        <v>4.0136698637052</v>
      </c>
      <c r="Y707" s="77"/>
      <c r="Z707" s="77"/>
      <c r="AA707" s="77">
        <f t="shared" si="420"/>
        <v>4.0136698637052</v>
      </c>
      <c r="AB707" s="87">
        <v>7.26</v>
      </c>
      <c r="AC707" s="74">
        <f t="shared" si="421"/>
        <v>29.1392432104997</v>
      </c>
      <c r="AD707" s="74">
        <f t="shared" si="418"/>
        <v>322.604361837456</v>
      </c>
      <c r="AE707" s="74">
        <f t="shared" si="419"/>
        <v>99.3956381625442</v>
      </c>
    </row>
    <row r="708" customFormat="1" spans="1:31">
      <c r="A708" s="18"/>
      <c r="B708" s="19"/>
      <c r="C708" s="107">
        <v>240722000046</v>
      </c>
      <c r="D708" s="21">
        <v>45498</v>
      </c>
      <c r="E708" s="21" t="s">
        <v>127</v>
      </c>
      <c r="F708" s="19" t="s">
        <v>128</v>
      </c>
      <c r="G708" s="19" t="s">
        <v>480</v>
      </c>
      <c r="H708" s="19">
        <v>2</v>
      </c>
      <c r="I708" s="41">
        <v>210</v>
      </c>
      <c r="J708" s="42"/>
      <c r="K708" s="43"/>
      <c r="L708" s="19"/>
      <c r="M708" s="43"/>
      <c r="N708" s="44"/>
      <c r="O708" s="45">
        <f t="shared" si="426"/>
        <v>210</v>
      </c>
      <c r="P708" s="51"/>
      <c r="Q708" s="51"/>
      <c r="R708" s="74">
        <f t="shared" si="427"/>
        <v>97.6955073195356</v>
      </c>
      <c r="S708" s="74"/>
      <c r="T708" s="75">
        <f t="shared" si="428"/>
        <v>0.126198889449773</v>
      </c>
      <c r="U708" s="74"/>
      <c r="V708" s="74"/>
      <c r="W708" s="76">
        <f t="shared" si="425"/>
        <v>97.8217062089853</v>
      </c>
      <c r="X708" s="77">
        <f t="shared" si="429"/>
        <v>1.3378899545684</v>
      </c>
      <c r="Y708" s="77"/>
      <c r="Z708" s="77"/>
      <c r="AA708" s="77">
        <f t="shared" si="420"/>
        <v>1.3378899545684</v>
      </c>
      <c r="AB708" s="87">
        <v>7.26</v>
      </c>
      <c r="AC708" s="74">
        <f t="shared" si="421"/>
        <v>9.71308107016658</v>
      </c>
      <c r="AD708" s="74">
        <f t="shared" si="418"/>
        <v>107.534787279152</v>
      </c>
      <c r="AE708" s="74">
        <f t="shared" si="419"/>
        <v>102.465212720848</v>
      </c>
    </row>
    <row r="709" customFormat="1" spans="1:31">
      <c r="A709" s="18"/>
      <c r="B709" s="19"/>
      <c r="C709" s="107">
        <v>240723000003</v>
      </c>
      <c r="D709" s="21">
        <v>45498</v>
      </c>
      <c r="E709" s="21" t="s">
        <v>37</v>
      </c>
      <c r="F709" s="19" t="s">
        <v>37</v>
      </c>
      <c r="G709" s="19" t="s">
        <v>149</v>
      </c>
      <c r="H709" s="19">
        <v>289</v>
      </c>
      <c r="I709" s="41">
        <v>17701.5</v>
      </c>
      <c r="J709" s="42"/>
      <c r="K709" s="43"/>
      <c r="L709" s="19"/>
      <c r="M709" s="43"/>
      <c r="N709" s="44"/>
      <c r="O709" s="45">
        <f t="shared" si="426"/>
        <v>17701.5</v>
      </c>
      <c r="P709" s="51"/>
      <c r="Q709" s="51"/>
      <c r="R709" s="74">
        <f t="shared" si="427"/>
        <v>14117.0008076729</v>
      </c>
      <c r="S709" s="74"/>
      <c r="T709" s="75">
        <f t="shared" si="428"/>
        <v>18.2357395254922</v>
      </c>
      <c r="U709" s="74"/>
      <c r="V709" s="74"/>
      <c r="W709" s="76">
        <f t="shared" si="425"/>
        <v>14135.2365471984</v>
      </c>
      <c r="X709" s="77">
        <f t="shared" si="429"/>
        <v>193.325098435134</v>
      </c>
      <c r="Y709" s="77"/>
      <c r="Z709" s="77"/>
      <c r="AA709" s="77">
        <f t="shared" si="420"/>
        <v>193.325098435134</v>
      </c>
      <c r="AB709" s="87">
        <v>7.26</v>
      </c>
      <c r="AC709" s="74">
        <f t="shared" si="421"/>
        <v>1403.54021463907</v>
      </c>
      <c r="AD709" s="74">
        <f t="shared" si="418"/>
        <v>15538.7767618375</v>
      </c>
      <c r="AE709" s="74">
        <f t="shared" si="419"/>
        <v>2162.72323816254</v>
      </c>
    </row>
    <row r="710" customFormat="1" spans="1:31">
      <c r="A710" s="18"/>
      <c r="B710" s="19"/>
      <c r="C710" s="107">
        <v>240723000009</v>
      </c>
      <c r="D710" s="21">
        <v>45498</v>
      </c>
      <c r="E710" s="21" t="s">
        <v>47</v>
      </c>
      <c r="F710" s="19" t="s">
        <v>48</v>
      </c>
      <c r="G710" s="19" t="s">
        <v>481</v>
      </c>
      <c r="H710" s="19">
        <v>8.5</v>
      </c>
      <c r="I710" s="41">
        <v>539</v>
      </c>
      <c r="J710" s="42"/>
      <c r="K710" s="43"/>
      <c r="L710" s="19"/>
      <c r="M710" s="43"/>
      <c r="N710" s="44"/>
      <c r="O710" s="45">
        <f t="shared" si="426"/>
        <v>539</v>
      </c>
      <c r="P710" s="51"/>
      <c r="Q710" s="51"/>
      <c r="R710" s="74">
        <f t="shared" si="427"/>
        <v>415.205906108026</v>
      </c>
      <c r="S710" s="74"/>
      <c r="T710" s="75">
        <f t="shared" si="428"/>
        <v>0.536345280161535</v>
      </c>
      <c r="U710" s="74"/>
      <c r="V710" s="74"/>
      <c r="W710" s="76">
        <f t="shared" si="425"/>
        <v>415.742251388188</v>
      </c>
      <c r="X710" s="77">
        <f t="shared" si="429"/>
        <v>5.6860323069157</v>
      </c>
      <c r="Y710" s="77"/>
      <c r="Z710" s="77"/>
      <c r="AA710" s="77">
        <f t="shared" si="420"/>
        <v>5.6860323069157</v>
      </c>
      <c r="AB710" s="87">
        <v>7.26</v>
      </c>
      <c r="AC710" s="74">
        <f t="shared" si="421"/>
        <v>41.280594548208</v>
      </c>
      <c r="AD710" s="74">
        <f t="shared" si="418"/>
        <v>457.022845936396</v>
      </c>
      <c r="AE710" s="74">
        <f t="shared" si="419"/>
        <v>81.9771540636043</v>
      </c>
    </row>
    <row r="711" customFormat="1" spans="1:31">
      <c r="A711" s="18"/>
      <c r="B711" s="19"/>
      <c r="C711" s="107">
        <v>240723000016</v>
      </c>
      <c r="D711" s="21">
        <v>45498</v>
      </c>
      <c r="E711" s="21" t="s">
        <v>40</v>
      </c>
      <c r="F711" s="19" t="s">
        <v>41</v>
      </c>
      <c r="G711" s="19" t="s">
        <v>482</v>
      </c>
      <c r="H711" s="19">
        <v>10.5</v>
      </c>
      <c r="I711" s="41">
        <v>609</v>
      </c>
      <c r="J711" s="42"/>
      <c r="K711" s="43"/>
      <c r="L711" s="19"/>
      <c r="M711" s="43"/>
      <c r="N711" s="44"/>
      <c r="O711" s="45">
        <f t="shared" si="426"/>
        <v>609</v>
      </c>
      <c r="P711" s="51"/>
      <c r="Q711" s="51"/>
      <c r="R711" s="74">
        <f t="shared" si="427"/>
        <v>512.901413427562</v>
      </c>
      <c r="S711" s="74"/>
      <c r="T711" s="75">
        <f t="shared" si="428"/>
        <v>0.662544169611307</v>
      </c>
      <c r="U711" s="74"/>
      <c r="V711" s="74"/>
      <c r="W711" s="76">
        <f t="shared" si="425"/>
        <v>513.563957597173</v>
      </c>
      <c r="X711" s="77">
        <f t="shared" si="429"/>
        <v>7.0239222614841</v>
      </c>
      <c r="Y711" s="77"/>
      <c r="Z711" s="77"/>
      <c r="AA711" s="77">
        <f t="shared" si="420"/>
        <v>7.0239222614841</v>
      </c>
      <c r="AB711" s="87">
        <v>7.26</v>
      </c>
      <c r="AC711" s="74">
        <f t="shared" si="421"/>
        <v>50.9936756183746</v>
      </c>
      <c r="AD711" s="74">
        <f t="shared" si="418"/>
        <v>564.557633215548</v>
      </c>
      <c r="AE711" s="74">
        <f t="shared" si="419"/>
        <v>44.4423667844522</v>
      </c>
    </row>
    <row r="712" customFormat="1" spans="1:31">
      <c r="A712" s="18"/>
      <c r="B712" s="19"/>
      <c r="C712" s="107">
        <v>240723000046</v>
      </c>
      <c r="D712" s="21">
        <v>45498</v>
      </c>
      <c r="E712" s="21" t="s">
        <v>47</v>
      </c>
      <c r="F712" s="19" t="s">
        <v>48</v>
      </c>
      <c r="G712" s="19" t="s">
        <v>483</v>
      </c>
      <c r="H712" s="19">
        <v>0.48</v>
      </c>
      <c r="I712" s="47"/>
      <c r="J712" s="48">
        <v>16796</v>
      </c>
      <c r="K712" s="43"/>
      <c r="L712" s="49">
        <f>SUM(J712/M712)</f>
        <v>1607.27272727273</v>
      </c>
      <c r="M712" s="50">
        <v>10.45</v>
      </c>
      <c r="N712" s="44">
        <v>7.26</v>
      </c>
      <c r="O712" s="45">
        <f>SUM(M712*N712)</f>
        <v>75.867</v>
      </c>
      <c r="P712" s="51"/>
      <c r="Q712" s="51"/>
      <c r="R712" s="74">
        <f t="shared" si="427"/>
        <v>23.4469217566885</v>
      </c>
      <c r="S712" s="74"/>
      <c r="T712" s="75">
        <f t="shared" si="428"/>
        <v>0.0302877334679455</v>
      </c>
      <c r="U712" s="74"/>
      <c r="V712" s="74"/>
      <c r="W712" s="76">
        <f t="shared" si="425"/>
        <v>23.4772094901565</v>
      </c>
      <c r="X712" s="77">
        <f t="shared" si="429"/>
        <v>0.321093589096416</v>
      </c>
      <c r="Y712" s="77"/>
      <c r="Z712" s="77"/>
      <c r="AA712" s="77">
        <f t="shared" si="420"/>
        <v>0.321093589096416</v>
      </c>
      <c r="AB712" s="87">
        <v>7.26</v>
      </c>
      <c r="AC712" s="74">
        <f t="shared" si="421"/>
        <v>2.33113945683998</v>
      </c>
      <c r="AD712" s="74">
        <f t="shared" si="418"/>
        <v>25.8083489469965</v>
      </c>
      <c r="AE712" s="74">
        <f t="shared" si="419"/>
        <v>50.0586510530035</v>
      </c>
    </row>
    <row r="713" customFormat="1" spans="1:31">
      <c r="A713" s="18"/>
      <c r="B713" s="19"/>
      <c r="C713" s="107">
        <v>240723000054</v>
      </c>
      <c r="D713" s="21">
        <v>45498</v>
      </c>
      <c r="E713" s="21" t="s">
        <v>40</v>
      </c>
      <c r="F713" s="19" t="s">
        <v>41</v>
      </c>
      <c r="G713" s="19" t="s">
        <v>484</v>
      </c>
      <c r="H713" s="19">
        <v>23</v>
      </c>
      <c r="I713" s="47"/>
      <c r="J713" s="48">
        <v>336375</v>
      </c>
      <c r="K713" s="43"/>
      <c r="L713" s="49">
        <f>SUM(J713/M713)</f>
        <v>1633.52272727273</v>
      </c>
      <c r="M713" s="50">
        <v>205.92</v>
      </c>
      <c r="N713" s="44">
        <v>7.26</v>
      </c>
      <c r="O713" s="45">
        <f>SUM(M713*N713)</f>
        <v>1494.9792</v>
      </c>
      <c r="P713" s="51"/>
      <c r="Q713" s="51"/>
      <c r="R713" s="74">
        <f t="shared" si="427"/>
        <v>1123.49833417466</v>
      </c>
      <c r="S713" s="74"/>
      <c r="T713" s="75">
        <f t="shared" si="428"/>
        <v>1.45128722867239</v>
      </c>
      <c r="U713" s="74"/>
      <c r="V713" s="74"/>
      <c r="W713" s="76">
        <f t="shared" si="425"/>
        <v>1124.94962140333</v>
      </c>
      <c r="X713" s="77">
        <f t="shared" si="429"/>
        <v>15.3857344775366</v>
      </c>
      <c r="Y713" s="77"/>
      <c r="Z713" s="77"/>
      <c r="AA713" s="77">
        <f t="shared" si="420"/>
        <v>15.3857344775366</v>
      </c>
      <c r="AB713" s="87">
        <v>7.26</v>
      </c>
      <c r="AC713" s="74">
        <f t="shared" si="421"/>
        <v>111.700432306916</v>
      </c>
      <c r="AD713" s="74">
        <f t="shared" si="418"/>
        <v>1236.65005371025</v>
      </c>
      <c r="AE713" s="74">
        <f t="shared" si="419"/>
        <v>258.329146289753</v>
      </c>
    </row>
    <row r="714" customFormat="1" spans="1:31">
      <c r="A714" s="18"/>
      <c r="B714" s="19"/>
      <c r="C714" s="107">
        <v>240723000055</v>
      </c>
      <c r="D714" s="21">
        <v>45498</v>
      </c>
      <c r="E714" s="21" t="s">
        <v>127</v>
      </c>
      <c r="F714" s="19" t="s">
        <v>128</v>
      </c>
      <c r="G714" s="19" t="s">
        <v>485</v>
      </c>
      <c r="H714" s="19">
        <v>4</v>
      </c>
      <c r="I714" s="41">
        <v>293.7</v>
      </c>
      <c r="J714" s="42"/>
      <c r="K714" s="43"/>
      <c r="L714" s="19"/>
      <c r="M714" s="43"/>
      <c r="N714" s="44"/>
      <c r="O714" s="45">
        <f t="shared" ref="O714:O718" si="430">SUM(I714)</f>
        <v>293.7</v>
      </c>
      <c r="P714" s="51"/>
      <c r="Q714" s="51"/>
      <c r="R714" s="74">
        <f t="shared" si="427"/>
        <v>195.391014639071</v>
      </c>
      <c r="S714" s="74"/>
      <c r="T714" s="75">
        <f t="shared" si="428"/>
        <v>0.252397778899546</v>
      </c>
      <c r="U714" s="74"/>
      <c r="V714" s="74"/>
      <c r="W714" s="76">
        <f t="shared" si="425"/>
        <v>195.643412417971</v>
      </c>
      <c r="X714" s="77">
        <f t="shared" si="429"/>
        <v>2.6757799091368</v>
      </c>
      <c r="Y714" s="77"/>
      <c r="Z714" s="77"/>
      <c r="AA714" s="77">
        <f t="shared" si="420"/>
        <v>2.6757799091368</v>
      </c>
      <c r="AB714" s="87">
        <v>7.26</v>
      </c>
      <c r="AC714" s="74">
        <f t="shared" si="421"/>
        <v>19.4261621403332</v>
      </c>
      <c r="AD714" s="74">
        <f t="shared" ref="AD714:AD745" si="431">SUM(W714+AC714)</f>
        <v>215.069574558304</v>
      </c>
      <c r="AE714" s="74">
        <f t="shared" si="419"/>
        <v>78.6304254416961</v>
      </c>
    </row>
    <row r="715" customFormat="1" spans="1:31">
      <c r="A715" s="18"/>
      <c r="B715" s="19"/>
      <c r="C715" s="107">
        <v>240723000059</v>
      </c>
      <c r="D715" s="21">
        <v>45498</v>
      </c>
      <c r="E715" s="21" t="s">
        <v>169</v>
      </c>
      <c r="F715" s="19" t="s">
        <v>37</v>
      </c>
      <c r="G715" s="19" t="s">
        <v>170</v>
      </c>
      <c r="H715" s="19">
        <v>62.5</v>
      </c>
      <c r="I715" s="41">
        <v>3915.05</v>
      </c>
      <c r="J715" s="42"/>
      <c r="K715" s="43"/>
      <c r="L715" s="19"/>
      <c r="M715" s="43"/>
      <c r="N715" s="44"/>
      <c r="O715" s="45">
        <f t="shared" si="430"/>
        <v>3915.05</v>
      </c>
      <c r="P715" s="51"/>
      <c r="Q715" s="51"/>
      <c r="R715" s="74">
        <f t="shared" si="427"/>
        <v>3052.98460373549</v>
      </c>
      <c r="S715" s="74"/>
      <c r="T715" s="75">
        <f t="shared" si="428"/>
        <v>3.9437152953054</v>
      </c>
      <c r="U715" s="74"/>
      <c r="V715" s="74"/>
      <c r="W715" s="76">
        <f t="shared" si="425"/>
        <v>3056.92831903079</v>
      </c>
      <c r="X715" s="77">
        <f t="shared" si="429"/>
        <v>41.8090610802625</v>
      </c>
      <c r="Y715" s="77"/>
      <c r="Z715" s="77"/>
      <c r="AA715" s="77">
        <f t="shared" si="420"/>
        <v>41.8090610802625</v>
      </c>
      <c r="AB715" s="87">
        <v>7.26</v>
      </c>
      <c r="AC715" s="74">
        <f t="shared" si="421"/>
        <v>303.533783442706</v>
      </c>
      <c r="AD715" s="74">
        <f t="shared" si="431"/>
        <v>3360.4621024735</v>
      </c>
      <c r="AE715" s="74">
        <f t="shared" si="419"/>
        <v>554.587897526502</v>
      </c>
    </row>
    <row r="716" customFormat="1" spans="1:31">
      <c r="A716" s="18"/>
      <c r="B716" s="19"/>
      <c r="C716" s="107">
        <v>240723000063</v>
      </c>
      <c r="D716" s="21">
        <v>45498</v>
      </c>
      <c r="E716" s="21" t="s">
        <v>37</v>
      </c>
      <c r="F716" s="19" t="s">
        <v>37</v>
      </c>
      <c r="G716" s="19" t="s">
        <v>148</v>
      </c>
      <c r="H716" s="19">
        <v>650.5</v>
      </c>
      <c r="I716" s="41">
        <v>33826</v>
      </c>
      <c r="J716" s="42"/>
      <c r="K716" s="43"/>
      <c r="L716" s="19"/>
      <c r="M716" s="43"/>
      <c r="N716" s="44"/>
      <c r="O716" s="45">
        <f t="shared" si="430"/>
        <v>33826</v>
      </c>
      <c r="P716" s="52"/>
      <c r="Q716" s="52"/>
      <c r="R716" s="74">
        <f t="shared" si="427"/>
        <v>31775.4637556789</v>
      </c>
      <c r="S716" s="74"/>
      <c r="T716" s="75">
        <f t="shared" si="428"/>
        <v>41.0461887935386</v>
      </c>
      <c r="U716" s="74"/>
      <c r="V716" s="74"/>
      <c r="W716" s="76">
        <f t="shared" ref="W716:W747" si="432">SUM(R716:V716)</f>
        <v>31816.5099444725</v>
      </c>
      <c r="X716" s="77">
        <f t="shared" si="429"/>
        <v>435.148707723372</v>
      </c>
      <c r="Y716" s="77"/>
      <c r="Z716" s="77"/>
      <c r="AA716" s="77">
        <f t="shared" ref="AA716:AA747" si="433">SUM(X716:Z716)</f>
        <v>435.148707723372</v>
      </c>
      <c r="AB716" s="87">
        <v>7.26</v>
      </c>
      <c r="AC716" s="74">
        <f t="shared" ref="AC716:AC747" si="434">SUM(AA716*AB716)</f>
        <v>3159.17961807168</v>
      </c>
      <c r="AD716" s="74">
        <f t="shared" si="431"/>
        <v>34975.6895625442</v>
      </c>
      <c r="AE716" s="74">
        <f t="shared" ref="AE716:AE747" si="435">SUM(O716-AD716)</f>
        <v>-1149.68956254416</v>
      </c>
    </row>
    <row r="717" customFormat="1" spans="1:31">
      <c r="A717" s="18" t="s">
        <v>486</v>
      </c>
      <c r="B717" s="19" t="s">
        <v>487</v>
      </c>
      <c r="C717" s="107">
        <v>240717000006</v>
      </c>
      <c r="D717" s="21">
        <v>45499</v>
      </c>
      <c r="E717" s="21" t="s">
        <v>40</v>
      </c>
      <c r="F717" s="19" t="s">
        <v>41</v>
      </c>
      <c r="G717" s="19" t="s">
        <v>488</v>
      </c>
      <c r="H717" s="19">
        <v>2.5</v>
      </c>
      <c r="I717" s="41">
        <v>135</v>
      </c>
      <c r="J717" s="42"/>
      <c r="K717" s="43"/>
      <c r="L717" s="19"/>
      <c r="M717" s="43"/>
      <c r="N717" s="44"/>
      <c r="O717" s="45">
        <f t="shared" si="430"/>
        <v>135</v>
      </c>
      <c r="P717" s="46">
        <f>SUM(O717:O781)</f>
        <v>112695.9786</v>
      </c>
      <c r="Q717" s="46" t="s">
        <v>130</v>
      </c>
      <c r="R717" s="74">
        <f>SUM(80362/1920)*H717</f>
        <v>104.638020833333</v>
      </c>
      <c r="S717" s="74"/>
      <c r="T717" s="75">
        <f>SUM(149.95/1920)*H717</f>
        <v>0.195247395833333</v>
      </c>
      <c r="U717" s="74"/>
      <c r="V717" s="74"/>
      <c r="W717" s="76">
        <f t="shared" si="432"/>
        <v>104.833268229167</v>
      </c>
      <c r="X717" s="77">
        <f>SUM(1330.8/1920)*H717</f>
        <v>1.7328125</v>
      </c>
      <c r="Y717" s="77"/>
      <c r="Z717" s="77"/>
      <c r="AA717" s="77">
        <f t="shared" si="433"/>
        <v>1.7328125</v>
      </c>
      <c r="AB717" s="87">
        <v>7.26</v>
      </c>
      <c r="AC717" s="74">
        <f t="shared" si="434"/>
        <v>12.58021875</v>
      </c>
      <c r="AD717" s="74">
        <f t="shared" si="431"/>
        <v>117.413486979167</v>
      </c>
      <c r="AE717" s="74">
        <f t="shared" si="435"/>
        <v>17.5865130208333</v>
      </c>
    </row>
    <row r="718" customFormat="1" spans="1:31">
      <c r="A718" s="18"/>
      <c r="B718" s="19"/>
      <c r="C718" s="107">
        <v>240717000039</v>
      </c>
      <c r="D718" s="21">
        <v>45499</v>
      </c>
      <c r="E718" s="21" t="s">
        <v>55</v>
      </c>
      <c r="F718" s="19" t="s">
        <v>56</v>
      </c>
      <c r="G718" s="19" t="s">
        <v>237</v>
      </c>
      <c r="H718" s="19">
        <v>9.5</v>
      </c>
      <c r="I718" s="41">
        <v>617.5</v>
      </c>
      <c r="J718" s="42"/>
      <c r="K718" s="43"/>
      <c r="L718" s="19"/>
      <c r="M718" s="43"/>
      <c r="N718" s="44"/>
      <c r="O718" s="45">
        <f t="shared" si="430"/>
        <v>617.5</v>
      </c>
      <c r="P718" s="51"/>
      <c r="Q718" s="51"/>
      <c r="R718" s="74">
        <f t="shared" ref="R718:R749" si="436">SUM(80362/1920)*H718</f>
        <v>397.624479166667</v>
      </c>
      <c r="S718" s="74"/>
      <c r="T718" s="75">
        <f t="shared" ref="T718:T749" si="437">SUM(149.95/1920)*H718</f>
        <v>0.741940104166667</v>
      </c>
      <c r="U718" s="74"/>
      <c r="V718" s="74"/>
      <c r="W718" s="76">
        <f t="shared" si="432"/>
        <v>398.366419270833</v>
      </c>
      <c r="X718" s="77">
        <f t="shared" ref="X718:X749" si="438">SUM(1330.8/1920)*H718</f>
        <v>6.5846875</v>
      </c>
      <c r="Y718" s="77">
        <v>9.64</v>
      </c>
      <c r="Z718" s="77"/>
      <c r="AA718" s="77">
        <f t="shared" si="433"/>
        <v>16.2246875</v>
      </c>
      <c r="AB718" s="87">
        <v>7.26</v>
      </c>
      <c r="AC718" s="74">
        <f t="shared" si="434"/>
        <v>117.79123125</v>
      </c>
      <c r="AD718" s="74">
        <f t="shared" si="431"/>
        <v>516.157650520833</v>
      </c>
      <c r="AE718" s="74">
        <f t="shared" si="435"/>
        <v>101.342349479167</v>
      </c>
    </row>
    <row r="719" customFormat="1" spans="1:31">
      <c r="A719" s="18"/>
      <c r="B719" s="19"/>
      <c r="C719" s="107">
        <v>240718000001</v>
      </c>
      <c r="D719" s="21">
        <v>45499</v>
      </c>
      <c r="E719" s="21" t="s">
        <v>40</v>
      </c>
      <c r="F719" s="19" t="s">
        <v>41</v>
      </c>
      <c r="G719" s="19" t="s">
        <v>274</v>
      </c>
      <c r="H719" s="19">
        <v>56</v>
      </c>
      <c r="I719" s="47"/>
      <c r="J719" s="48">
        <v>699160</v>
      </c>
      <c r="K719" s="43"/>
      <c r="L719" s="49">
        <f t="shared" ref="L719:L722" si="439">SUM(J719/M719)</f>
        <v>1648.02941731096</v>
      </c>
      <c r="M719" s="50">
        <v>424.24</v>
      </c>
      <c r="N719" s="44">
        <v>7.26</v>
      </c>
      <c r="O719" s="45">
        <f>SUM(M719*N719)+I719</f>
        <v>3079.9824</v>
      </c>
      <c r="P719" s="51"/>
      <c r="Q719" s="51"/>
      <c r="R719" s="74">
        <f t="shared" si="436"/>
        <v>2343.89166666667</v>
      </c>
      <c r="S719" s="74"/>
      <c r="T719" s="75">
        <f t="shared" si="437"/>
        <v>4.37354166666667</v>
      </c>
      <c r="U719" s="74"/>
      <c r="V719" s="74"/>
      <c r="W719" s="76">
        <f t="shared" si="432"/>
        <v>2348.26520833333</v>
      </c>
      <c r="X719" s="77">
        <f t="shared" si="438"/>
        <v>38.815</v>
      </c>
      <c r="Y719" s="77"/>
      <c r="Z719" s="77"/>
      <c r="AA719" s="77">
        <f t="shared" si="433"/>
        <v>38.815</v>
      </c>
      <c r="AB719" s="87">
        <v>7.26</v>
      </c>
      <c r="AC719" s="74">
        <f t="shared" si="434"/>
        <v>281.7969</v>
      </c>
      <c r="AD719" s="74">
        <f t="shared" si="431"/>
        <v>2630.06210833333</v>
      </c>
      <c r="AE719" s="74">
        <f t="shared" si="435"/>
        <v>449.920291666667</v>
      </c>
    </row>
    <row r="720" customFormat="1" spans="1:31">
      <c r="A720" s="18"/>
      <c r="B720" s="19"/>
      <c r="C720" s="107">
        <v>240718000012</v>
      </c>
      <c r="D720" s="21">
        <v>45499</v>
      </c>
      <c r="E720" s="21" t="s">
        <v>47</v>
      </c>
      <c r="F720" s="19" t="s">
        <v>48</v>
      </c>
      <c r="G720" s="19" t="s">
        <v>483</v>
      </c>
      <c r="H720" s="19">
        <v>4.5</v>
      </c>
      <c r="I720" s="45"/>
      <c r="J720" s="48">
        <v>67883</v>
      </c>
      <c r="K720" s="43"/>
      <c r="L720" s="49">
        <f t="shared" si="439"/>
        <v>1623.995215311</v>
      </c>
      <c r="M720" s="50">
        <v>41.8</v>
      </c>
      <c r="N720" s="44">
        <v>7.26</v>
      </c>
      <c r="O720" s="45">
        <f t="shared" ref="O720:O722" si="440">SUM(M720*N720)</f>
        <v>303.468</v>
      </c>
      <c r="P720" s="51"/>
      <c r="Q720" s="51"/>
      <c r="R720" s="74">
        <f t="shared" si="436"/>
        <v>188.3484375</v>
      </c>
      <c r="S720" s="74"/>
      <c r="T720" s="75">
        <f t="shared" si="437"/>
        <v>0.3514453125</v>
      </c>
      <c r="U720" s="74"/>
      <c r="V720" s="74"/>
      <c r="W720" s="76">
        <f t="shared" si="432"/>
        <v>188.6998828125</v>
      </c>
      <c r="X720" s="77">
        <f t="shared" si="438"/>
        <v>3.1190625</v>
      </c>
      <c r="Y720" s="77"/>
      <c r="Z720" s="77"/>
      <c r="AA720" s="77">
        <f t="shared" si="433"/>
        <v>3.1190625</v>
      </c>
      <c r="AB720" s="87">
        <v>7.26</v>
      </c>
      <c r="AC720" s="74">
        <f t="shared" si="434"/>
        <v>22.64439375</v>
      </c>
      <c r="AD720" s="74">
        <f t="shared" si="431"/>
        <v>211.3442765625</v>
      </c>
      <c r="AE720" s="74">
        <f t="shared" si="435"/>
        <v>92.1237234375</v>
      </c>
    </row>
    <row r="721" customFormat="1" spans="1:31">
      <c r="A721" s="18"/>
      <c r="B721" s="19"/>
      <c r="C721" s="107">
        <v>240718000025</v>
      </c>
      <c r="D721" s="21">
        <v>45499</v>
      </c>
      <c r="E721" s="21" t="s">
        <v>44</v>
      </c>
      <c r="F721" s="19" t="s">
        <v>45</v>
      </c>
      <c r="G721" s="19" t="s">
        <v>444</v>
      </c>
      <c r="H721" s="19">
        <v>4</v>
      </c>
      <c r="I721" s="47"/>
      <c r="J721" s="48">
        <v>54432</v>
      </c>
      <c r="K721" s="43"/>
      <c r="L721" s="49">
        <f t="shared" si="439"/>
        <v>1626.29220197192</v>
      </c>
      <c r="M721" s="50">
        <v>33.47</v>
      </c>
      <c r="N721" s="44">
        <v>7.26</v>
      </c>
      <c r="O721" s="45">
        <f t="shared" si="440"/>
        <v>242.9922</v>
      </c>
      <c r="P721" s="51"/>
      <c r="Q721" s="51"/>
      <c r="R721" s="74">
        <f t="shared" si="436"/>
        <v>167.420833333333</v>
      </c>
      <c r="S721" s="74"/>
      <c r="T721" s="75">
        <f t="shared" si="437"/>
        <v>0.312395833333333</v>
      </c>
      <c r="U721" s="74"/>
      <c r="V721" s="74"/>
      <c r="W721" s="76">
        <f t="shared" si="432"/>
        <v>167.733229166667</v>
      </c>
      <c r="X721" s="77">
        <f t="shared" si="438"/>
        <v>2.7725</v>
      </c>
      <c r="Y721" s="77"/>
      <c r="Z721" s="77"/>
      <c r="AA721" s="77">
        <f t="shared" si="433"/>
        <v>2.7725</v>
      </c>
      <c r="AB721" s="87">
        <v>7.26</v>
      </c>
      <c r="AC721" s="74">
        <f t="shared" si="434"/>
        <v>20.12835</v>
      </c>
      <c r="AD721" s="74">
        <f t="shared" si="431"/>
        <v>187.861579166667</v>
      </c>
      <c r="AE721" s="74">
        <f t="shared" si="435"/>
        <v>55.1306208333333</v>
      </c>
    </row>
    <row r="722" customFormat="1" spans="1:31">
      <c r="A722" s="18"/>
      <c r="B722" s="19"/>
      <c r="C722" s="107">
        <v>240718000036</v>
      </c>
      <c r="D722" s="21">
        <v>45499</v>
      </c>
      <c r="E722" s="21" t="s">
        <v>44</v>
      </c>
      <c r="F722" s="19" t="s">
        <v>45</v>
      </c>
      <c r="G722" s="19" t="s">
        <v>444</v>
      </c>
      <c r="H722" s="19">
        <v>0.36</v>
      </c>
      <c r="I722" s="47"/>
      <c r="J722" s="48">
        <v>14112</v>
      </c>
      <c r="K722" s="43"/>
      <c r="L722" s="49">
        <f t="shared" si="439"/>
        <v>1627.68166089965</v>
      </c>
      <c r="M722" s="50">
        <v>8.67</v>
      </c>
      <c r="N722" s="44">
        <v>7.26</v>
      </c>
      <c r="O722" s="45">
        <f t="shared" si="440"/>
        <v>62.9442</v>
      </c>
      <c r="P722" s="51"/>
      <c r="Q722" s="51"/>
      <c r="R722" s="74">
        <f t="shared" si="436"/>
        <v>15.067875</v>
      </c>
      <c r="S722" s="74"/>
      <c r="T722" s="75">
        <f t="shared" si="437"/>
        <v>0.028115625</v>
      </c>
      <c r="U722" s="74"/>
      <c r="V722" s="74"/>
      <c r="W722" s="76">
        <f t="shared" si="432"/>
        <v>15.095990625</v>
      </c>
      <c r="X722" s="77">
        <f t="shared" si="438"/>
        <v>0.249525</v>
      </c>
      <c r="Y722" s="77"/>
      <c r="Z722" s="77"/>
      <c r="AA722" s="77">
        <f t="shared" si="433"/>
        <v>0.249525</v>
      </c>
      <c r="AB722" s="87">
        <v>7.26</v>
      </c>
      <c r="AC722" s="74">
        <f t="shared" si="434"/>
        <v>1.8115515</v>
      </c>
      <c r="AD722" s="74">
        <f t="shared" si="431"/>
        <v>16.907542125</v>
      </c>
      <c r="AE722" s="74">
        <f t="shared" si="435"/>
        <v>46.036657875</v>
      </c>
    </row>
    <row r="723" customFormat="1" spans="1:31">
      <c r="A723" s="18"/>
      <c r="B723" s="19"/>
      <c r="C723" s="107">
        <v>240718000038</v>
      </c>
      <c r="D723" s="21">
        <v>45499</v>
      </c>
      <c r="E723" s="21" t="s">
        <v>47</v>
      </c>
      <c r="F723" s="19" t="s">
        <v>48</v>
      </c>
      <c r="G723" s="19" t="s">
        <v>280</v>
      </c>
      <c r="H723" s="19">
        <v>5</v>
      </c>
      <c r="I723" s="41">
        <v>303</v>
      </c>
      <c r="J723" s="42"/>
      <c r="K723" s="43"/>
      <c r="L723" s="19"/>
      <c r="M723" s="43"/>
      <c r="N723" s="44"/>
      <c r="O723" s="45">
        <f t="shared" ref="O723:O730" si="441">SUM(I723)</f>
        <v>303</v>
      </c>
      <c r="P723" s="51"/>
      <c r="Q723" s="51"/>
      <c r="R723" s="74">
        <f t="shared" si="436"/>
        <v>209.276041666667</v>
      </c>
      <c r="S723" s="74"/>
      <c r="T723" s="75">
        <f t="shared" si="437"/>
        <v>0.390494791666667</v>
      </c>
      <c r="U723" s="74"/>
      <c r="V723" s="74"/>
      <c r="W723" s="76">
        <f t="shared" si="432"/>
        <v>209.666536458333</v>
      </c>
      <c r="X723" s="77">
        <f t="shared" si="438"/>
        <v>3.465625</v>
      </c>
      <c r="Y723" s="77"/>
      <c r="Z723" s="77"/>
      <c r="AA723" s="77">
        <f t="shared" si="433"/>
        <v>3.465625</v>
      </c>
      <c r="AB723" s="87">
        <v>7.26</v>
      </c>
      <c r="AC723" s="74">
        <f t="shared" si="434"/>
        <v>25.1604375</v>
      </c>
      <c r="AD723" s="74">
        <f t="shared" si="431"/>
        <v>234.826973958333</v>
      </c>
      <c r="AE723" s="74">
        <f t="shared" si="435"/>
        <v>68.1730260416667</v>
      </c>
    </row>
    <row r="724" customFormat="1" spans="1:31">
      <c r="A724" s="18"/>
      <c r="B724" s="19"/>
      <c r="C724" s="107">
        <v>240718000040</v>
      </c>
      <c r="D724" s="21">
        <v>45499</v>
      </c>
      <c r="E724" s="21" t="s">
        <v>37</v>
      </c>
      <c r="F724" s="19" t="s">
        <v>37</v>
      </c>
      <c r="G724" s="19" t="s">
        <v>489</v>
      </c>
      <c r="H724" s="19">
        <v>93.5</v>
      </c>
      <c r="I724" s="45"/>
      <c r="J724" s="48">
        <v>1626416</v>
      </c>
      <c r="K724" s="43"/>
      <c r="L724" s="49">
        <f>SUM(J724/M724)</f>
        <v>2092.25702707918</v>
      </c>
      <c r="M724" s="50">
        <v>777.35</v>
      </c>
      <c r="N724" s="44">
        <v>7.26</v>
      </c>
      <c r="O724" s="45">
        <f>SUM(M724*N724)</f>
        <v>5643.561</v>
      </c>
      <c r="P724" s="51"/>
      <c r="Q724" s="51"/>
      <c r="R724" s="74">
        <f t="shared" si="436"/>
        <v>3913.46197916667</v>
      </c>
      <c r="S724" s="74"/>
      <c r="T724" s="75">
        <f t="shared" si="437"/>
        <v>7.30225260416667</v>
      </c>
      <c r="U724" s="74"/>
      <c r="V724" s="74"/>
      <c r="W724" s="76">
        <f t="shared" si="432"/>
        <v>3920.76423177083</v>
      </c>
      <c r="X724" s="77">
        <f t="shared" si="438"/>
        <v>64.8071875</v>
      </c>
      <c r="Y724" s="77"/>
      <c r="Z724" s="77"/>
      <c r="AA724" s="77">
        <f t="shared" si="433"/>
        <v>64.8071875</v>
      </c>
      <c r="AB724" s="87">
        <v>7.26</v>
      </c>
      <c r="AC724" s="74">
        <f t="shared" si="434"/>
        <v>470.50018125</v>
      </c>
      <c r="AD724" s="74">
        <f t="shared" si="431"/>
        <v>4391.26441302083</v>
      </c>
      <c r="AE724" s="74">
        <f t="shared" si="435"/>
        <v>1252.29658697917</v>
      </c>
    </row>
    <row r="725" customFormat="1" spans="1:31">
      <c r="A725" s="18"/>
      <c r="B725" s="19"/>
      <c r="C725" s="107">
        <v>240718000041</v>
      </c>
      <c r="D725" s="21">
        <v>45499</v>
      </c>
      <c r="E725" s="21" t="s">
        <v>58</v>
      </c>
      <c r="F725" s="19" t="s">
        <v>59</v>
      </c>
      <c r="G725" s="19" t="s">
        <v>490</v>
      </c>
      <c r="H725" s="19">
        <v>0.64</v>
      </c>
      <c r="I725" s="41">
        <v>63</v>
      </c>
      <c r="J725" s="42"/>
      <c r="K725" s="43"/>
      <c r="L725" s="19"/>
      <c r="M725" s="43"/>
      <c r="N725" s="44"/>
      <c r="O725" s="45">
        <f t="shared" si="441"/>
        <v>63</v>
      </c>
      <c r="P725" s="51"/>
      <c r="Q725" s="51"/>
      <c r="R725" s="74">
        <f t="shared" si="436"/>
        <v>26.7873333333333</v>
      </c>
      <c r="S725" s="74"/>
      <c r="T725" s="75">
        <f t="shared" si="437"/>
        <v>0.0499833333333333</v>
      </c>
      <c r="U725" s="74"/>
      <c r="V725" s="74"/>
      <c r="W725" s="76">
        <f t="shared" si="432"/>
        <v>26.8373166666667</v>
      </c>
      <c r="X725" s="77">
        <f t="shared" si="438"/>
        <v>0.4436</v>
      </c>
      <c r="Y725" s="77"/>
      <c r="Z725" s="77"/>
      <c r="AA725" s="77">
        <f t="shared" si="433"/>
        <v>0.4436</v>
      </c>
      <c r="AB725" s="87">
        <v>7.26</v>
      </c>
      <c r="AC725" s="74">
        <f t="shared" si="434"/>
        <v>3.220536</v>
      </c>
      <c r="AD725" s="74">
        <f t="shared" si="431"/>
        <v>30.0578526666667</v>
      </c>
      <c r="AE725" s="74">
        <f t="shared" si="435"/>
        <v>32.9421473333333</v>
      </c>
    </row>
    <row r="726" customFormat="1" spans="1:31">
      <c r="A726" s="18"/>
      <c r="B726" s="19"/>
      <c r="C726" s="107">
        <v>240718000043</v>
      </c>
      <c r="D726" s="21">
        <v>45499</v>
      </c>
      <c r="E726" s="21" t="s">
        <v>40</v>
      </c>
      <c r="F726" s="19" t="s">
        <v>41</v>
      </c>
      <c r="G726" s="19" t="s">
        <v>88</v>
      </c>
      <c r="H726" s="19">
        <v>6</v>
      </c>
      <c r="I726" s="41">
        <v>348</v>
      </c>
      <c r="J726" s="42"/>
      <c r="K726" s="43"/>
      <c r="L726" s="19"/>
      <c r="M726" s="43"/>
      <c r="N726" s="44"/>
      <c r="O726" s="45">
        <f t="shared" si="441"/>
        <v>348</v>
      </c>
      <c r="P726" s="51"/>
      <c r="Q726" s="51"/>
      <c r="R726" s="74">
        <f t="shared" si="436"/>
        <v>251.13125</v>
      </c>
      <c r="S726" s="74"/>
      <c r="T726" s="75">
        <f t="shared" si="437"/>
        <v>0.46859375</v>
      </c>
      <c r="U726" s="74"/>
      <c r="V726" s="74"/>
      <c r="W726" s="76">
        <f t="shared" si="432"/>
        <v>251.59984375</v>
      </c>
      <c r="X726" s="77">
        <f t="shared" si="438"/>
        <v>4.15875</v>
      </c>
      <c r="Y726" s="77"/>
      <c r="Z726" s="77"/>
      <c r="AA726" s="77">
        <f t="shared" si="433"/>
        <v>4.15875</v>
      </c>
      <c r="AB726" s="87">
        <v>7.26</v>
      </c>
      <c r="AC726" s="74">
        <f t="shared" si="434"/>
        <v>30.192525</v>
      </c>
      <c r="AD726" s="74">
        <f t="shared" si="431"/>
        <v>281.79236875</v>
      </c>
      <c r="AE726" s="74">
        <f t="shared" si="435"/>
        <v>66.20763125</v>
      </c>
    </row>
    <row r="727" customFormat="1" spans="1:31">
      <c r="A727" s="18"/>
      <c r="B727" s="19"/>
      <c r="C727" s="107">
        <v>240719000006</v>
      </c>
      <c r="D727" s="21">
        <v>45499</v>
      </c>
      <c r="E727" s="21" t="s">
        <v>40</v>
      </c>
      <c r="F727" s="19" t="s">
        <v>41</v>
      </c>
      <c r="G727" s="19" t="s">
        <v>478</v>
      </c>
      <c r="H727" s="19">
        <v>4.5</v>
      </c>
      <c r="I727" s="41">
        <v>273</v>
      </c>
      <c r="J727" s="42"/>
      <c r="K727" s="43"/>
      <c r="L727" s="19"/>
      <c r="M727" s="43"/>
      <c r="N727" s="44"/>
      <c r="O727" s="45">
        <f t="shared" si="441"/>
        <v>273</v>
      </c>
      <c r="P727" s="51"/>
      <c r="Q727" s="51"/>
      <c r="R727" s="74">
        <f t="shared" si="436"/>
        <v>188.3484375</v>
      </c>
      <c r="S727" s="74"/>
      <c r="T727" s="75">
        <f t="shared" si="437"/>
        <v>0.3514453125</v>
      </c>
      <c r="U727" s="74"/>
      <c r="V727" s="74"/>
      <c r="W727" s="76">
        <f t="shared" si="432"/>
        <v>188.6998828125</v>
      </c>
      <c r="X727" s="77">
        <f t="shared" si="438"/>
        <v>3.1190625</v>
      </c>
      <c r="Y727" s="77"/>
      <c r="Z727" s="77"/>
      <c r="AA727" s="77">
        <f t="shared" si="433"/>
        <v>3.1190625</v>
      </c>
      <c r="AB727" s="87">
        <v>7.26</v>
      </c>
      <c r="AC727" s="74">
        <f t="shared" si="434"/>
        <v>22.64439375</v>
      </c>
      <c r="AD727" s="74">
        <f t="shared" si="431"/>
        <v>211.3442765625</v>
      </c>
      <c r="AE727" s="74">
        <f t="shared" si="435"/>
        <v>61.6557234375</v>
      </c>
    </row>
    <row r="728" customFormat="1" spans="1:31">
      <c r="A728" s="18"/>
      <c r="B728" s="19"/>
      <c r="C728" s="107">
        <v>240719000009</v>
      </c>
      <c r="D728" s="21">
        <v>45499</v>
      </c>
      <c r="E728" s="21" t="s">
        <v>40</v>
      </c>
      <c r="F728" s="19" t="s">
        <v>41</v>
      </c>
      <c r="G728" s="19" t="s">
        <v>491</v>
      </c>
      <c r="H728" s="19">
        <v>2</v>
      </c>
      <c r="I728" s="41">
        <v>135</v>
      </c>
      <c r="J728" s="42"/>
      <c r="K728" s="43"/>
      <c r="L728" s="19"/>
      <c r="M728" s="43"/>
      <c r="N728" s="44"/>
      <c r="O728" s="45">
        <f t="shared" si="441"/>
        <v>135</v>
      </c>
      <c r="P728" s="51"/>
      <c r="Q728" s="51"/>
      <c r="R728" s="74">
        <f t="shared" si="436"/>
        <v>83.7104166666667</v>
      </c>
      <c r="S728" s="74"/>
      <c r="T728" s="75">
        <f t="shared" si="437"/>
        <v>0.156197916666667</v>
      </c>
      <c r="U728" s="74"/>
      <c r="V728" s="74"/>
      <c r="W728" s="76">
        <f t="shared" si="432"/>
        <v>83.8666145833333</v>
      </c>
      <c r="X728" s="77">
        <f t="shared" si="438"/>
        <v>1.38625</v>
      </c>
      <c r="Y728" s="77"/>
      <c r="Z728" s="77"/>
      <c r="AA728" s="77">
        <f t="shared" si="433"/>
        <v>1.38625</v>
      </c>
      <c r="AB728" s="87">
        <v>7.26</v>
      </c>
      <c r="AC728" s="74">
        <f t="shared" si="434"/>
        <v>10.064175</v>
      </c>
      <c r="AD728" s="74">
        <f t="shared" si="431"/>
        <v>93.9307895833333</v>
      </c>
      <c r="AE728" s="74">
        <f t="shared" si="435"/>
        <v>41.0692104166667</v>
      </c>
    </row>
    <row r="729" customFormat="1" spans="1:31">
      <c r="A729" s="18"/>
      <c r="B729" s="19"/>
      <c r="C729" s="107">
        <v>240719000014</v>
      </c>
      <c r="D729" s="21">
        <v>45499</v>
      </c>
      <c r="E729" s="21" t="s">
        <v>47</v>
      </c>
      <c r="F729" s="19" t="s">
        <v>48</v>
      </c>
      <c r="G729" s="19" t="s">
        <v>96</v>
      </c>
      <c r="H729" s="19">
        <v>17.5</v>
      </c>
      <c r="I729" s="41">
        <v>1003.5</v>
      </c>
      <c r="J729" s="42"/>
      <c r="K729" s="43"/>
      <c r="L729" s="19"/>
      <c r="M729" s="43"/>
      <c r="N729" s="44"/>
      <c r="O729" s="45">
        <f t="shared" si="441"/>
        <v>1003.5</v>
      </c>
      <c r="P729" s="51"/>
      <c r="Q729" s="51"/>
      <c r="R729" s="74">
        <f t="shared" si="436"/>
        <v>732.466145833333</v>
      </c>
      <c r="S729" s="74"/>
      <c r="T729" s="75">
        <f t="shared" si="437"/>
        <v>1.36673177083333</v>
      </c>
      <c r="U729" s="74"/>
      <c r="V729" s="74"/>
      <c r="W729" s="76">
        <f t="shared" si="432"/>
        <v>733.832877604167</v>
      </c>
      <c r="X729" s="77">
        <f t="shared" si="438"/>
        <v>12.1296875</v>
      </c>
      <c r="Y729" s="77"/>
      <c r="Z729" s="77"/>
      <c r="AA729" s="77">
        <f t="shared" si="433"/>
        <v>12.1296875</v>
      </c>
      <c r="AB729" s="87">
        <v>7.26</v>
      </c>
      <c r="AC729" s="74">
        <f t="shared" si="434"/>
        <v>88.06153125</v>
      </c>
      <c r="AD729" s="74">
        <f t="shared" si="431"/>
        <v>821.894408854167</v>
      </c>
      <c r="AE729" s="74">
        <f t="shared" si="435"/>
        <v>181.605591145833</v>
      </c>
    </row>
    <row r="730" customFormat="1" spans="1:31">
      <c r="A730" s="18"/>
      <c r="B730" s="19"/>
      <c r="C730" s="107">
        <v>240719000018</v>
      </c>
      <c r="D730" s="21">
        <v>45499</v>
      </c>
      <c r="E730" s="21" t="s">
        <v>44</v>
      </c>
      <c r="F730" s="19" t="s">
        <v>45</v>
      </c>
      <c r="G730" s="19" t="s">
        <v>492</v>
      </c>
      <c r="H730" s="19">
        <v>7.5</v>
      </c>
      <c r="I730" s="41">
        <v>433.5</v>
      </c>
      <c r="J730" s="42"/>
      <c r="K730" s="43"/>
      <c r="L730" s="19"/>
      <c r="M730" s="43"/>
      <c r="N730" s="44"/>
      <c r="O730" s="45">
        <f t="shared" si="441"/>
        <v>433.5</v>
      </c>
      <c r="P730" s="51"/>
      <c r="Q730" s="51"/>
      <c r="R730" s="74">
        <f t="shared" si="436"/>
        <v>313.9140625</v>
      </c>
      <c r="S730" s="74"/>
      <c r="T730" s="75">
        <f t="shared" si="437"/>
        <v>0.5857421875</v>
      </c>
      <c r="U730" s="74"/>
      <c r="V730" s="74"/>
      <c r="W730" s="76">
        <f t="shared" si="432"/>
        <v>314.4998046875</v>
      </c>
      <c r="X730" s="77">
        <f t="shared" si="438"/>
        <v>5.1984375</v>
      </c>
      <c r="Y730" s="77"/>
      <c r="Z730" s="77"/>
      <c r="AA730" s="77">
        <f t="shared" si="433"/>
        <v>5.1984375</v>
      </c>
      <c r="AB730" s="87">
        <v>7.26</v>
      </c>
      <c r="AC730" s="74">
        <f t="shared" si="434"/>
        <v>37.74065625</v>
      </c>
      <c r="AD730" s="74">
        <f t="shared" si="431"/>
        <v>352.2404609375</v>
      </c>
      <c r="AE730" s="74">
        <f t="shared" si="435"/>
        <v>81.2595390625</v>
      </c>
    </row>
    <row r="731" customFormat="1" spans="1:31">
      <c r="A731" s="18"/>
      <c r="B731" s="19"/>
      <c r="C731" s="107">
        <v>240719000025</v>
      </c>
      <c r="D731" s="21">
        <v>45499</v>
      </c>
      <c r="E731" s="21" t="s">
        <v>58</v>
      </c>
      <c r="F731" s="19" t="s">
        <v>59</v>
      </c>
      <c r="G731" s="19" t="s">
        <v>120</v>
      </c>
      <c r="H731" s="19">
        <v>0.36</v>
      </c>
      <c r="I731" s="47"/>
      <c r="J731" s="48">
        <v>14112</v>
      </c>
      <c r="K731" s="43"/>
      <c r="L731" s="49">
        <f t="shared" ref="L731:L736" si="442">SUM(J731/M731)</f>
        <v>1627.68166089965</v>
      </c>
      <c r="M731" s="50">
        <v>8.67</v>
      </c>
      <c r="N731" s="44">
        <v>7.26</v>
      </c>
      <c r="O731" s="45">
        <f>SUM(M731*N731)</f>
        <v>62.9442</v>
      </c>
      <c r="P731" s="51"/>
      <c r="Q731" s="51"/>
      <c r="R731" s="74">
        <f t="shared" si="436"/>
        <v>15.067875</v>
      </c>
      <c r="S731" s="74"/>
      <c r="T731" s="75">
        <f t="shared" si="437"/>
        <v>0.028115625</v>
      </c>
      <c r="U731" s="74"/>
      <c r="V731" s="74"/>
      <c r="W731" s="76">
        <f t="shared" si="432"/>
        <v>15.095990625</v>
      </c>
      <c r="X731" s="77">
        <f t="shared" si="438"/>
        <v>0.249525</v>
      </c>
      <c r="Y731" s="77"/>
      <c r="Z731" s="77"/>
      <c r="AA731" s="77">
        <f t="shared" si="433"/>
        <v>0.249525</v>
      </c>
      <c r="AB731" s="87">
        <v>7.26</v>
      </c>
      <c r="AC731" s="74">
        <f t="shared" si="434"/>
        <v>1.8115515</v>
      </c>
      <c r="AD731" s="74">
        <f t="shared" si="431"/>
        <v>16.907542125</v>
      </c>
      <c r="AE731" s="74">
        <f t="shared" si="435"/>
        <v>46.036657875</v>
      </c>
    </row>
    <row r="732" customFormat="1" spans="1:31">
      <c r="A732" s="18"/>
      <c r="B732" s="19"/>
      <c r="C732" s="107">
        <v>240719000032</v>
      </c>
      <c r="D732" s="21">
        <v>45499</v>
      </c>
      <c r="E732" s="21" t="s">
        <v>44</v>
      </c>
      <c r="F732" s="19" t="s">
        <v>493</v>
      </c>
      <c r="G732" s="19" t="s">
        <v>494</v>
      </c>
      <c r="H732" s="19">
        <v>2.5</v>
      </c>
      <c r="I732" s="41">
        <v>153</v>
      </c>
      <c r="J732" s="42"/>
      <c r="K732" s="43"/>
      <c r="L732" s="19"/>
      <c r="M732" s="43"/>
      <c r="N732" s="44"/>
      <c r="O732" s="45">
        <f t="shared" ref="O732:O734" si="443">SUM(I732)</f>
        <v>153</v>
      </c>
      <c r="P732" s="51"/>
      <c r="Q732" s="51"/>
      <c r="R732" s="74">
        <f t="shared" si="436"/>
        <v>104.638020833333</v>
      </c>
      <c r="S732" s="74"/>
      <c r="T732" s="75">
        <f t="shared" si="437"/>
        <v>0.195247395833333</v>
      </c>
      <c r="U732" s="74"/>
      <c r="V732" s="74"/>
      <c r="W732" s="76">
        <f t="shared" si="432"/>
        <v>104.833268229167</v>
      </c>
      <c r="X732" s="77">
        <f t="shared" si="438"/>
        <v>1.7328125</v>
      </c>
      <c r="Y732" s="77"/>
      <c r="Z732" s="77"/>
      <c r="AA732" s="77">
        <f t="shared" si="433"/>
        <v>1.7328125</v>
      </c>
      <c r="AB732" s="87">
        <v>7.26</v>
      </c>
      <c r="AC732" s="74">
        <f t="shared" si="434"/>
        <v>12.58021875</v>
      </c>
      <c r="AD732" s="74">
        <f t="shared" si="431"/>
        <v>117.413486979167</v>
      </c>
      <c r="AE732" s="74">
        <f t="shared" si="435"/>
        <v>35.5865130208333</v>
      </c>
    </row>
    <row r="733" customFormat="1" spans="1:31">
      <c r="A733" s="18"/>
      <c r="B733" s="19"/>
      <c r="C733" s="107">
        <v>240719000035</v>
      </c>
      <c r="D733" s="21">
        <v>45499</v>
      </c>
      <c r="E733" s="21" t="s">
        <v>58</v>
      </c>
      <c r="F733" s="19" t="s">
        <v>59</v>
      </c>
      <c r="G733" s="19" t="s">
        <v>490</v>
      </c>
      <c r="H733" s="19">
        <v>20.5</v>
      </c>
      <c r="I733" s="41">
        <v>1204.5</v>
      </c>
      <c r="J733" s="42"/>
      <c r="K733" s="43"/>
      <c r="L733" s="19"/>
      <c r="M733" s="43"/>
      <c r="N733" s="44"/>
      <c r="O733" s="45">
        <f t="shared" si="443"/>
        <v>1204.5</v>
      </c>
      <c r="P733" s="51"/>
      <c r="Q733" s="51"/>
      <c r="R733" s="74">
        <f t="shared" si="436"/>
        <v>858.031770833333</v>
      </c>
      <c r="S733" s="74"/>
      <c r="T733" s="75">
        <f t="shared" si="437"/>
        <v>1.60102864583333</v>
      </c>
      <c r="U733" s="74">
        <v>30</v>
      </c>
      <c r="V733" s="74"/>
      <c r="W733" s="76">
        <f t="shared" si="432"/>
        <v>889.632799479167</v>
      </c>
      <c r="X733" s="77">
        <f t="shared" si="438"/>
        <v>14.2090625</v>
      </c>
      <c r="Y733" s="77"/>
      <c r="Z733" s="77"/>
      <c r="AA733" s="77">
        <f t="shared" si="433"/>
        <v>14.2090625</v>
      </c>
      <c r="AB733" s="87">
        <v>7.26</v>
      </c>
      <c r="AC733" s="74">
        <f t="shared" si="434"/>
        <v>103.15779375</v>
      </c>
      <c r="AD733" s="74">
        <f t="shared" si="431"/>
        <v>992.790593229167</v>
      </c>
      <c r="AE733" s="74">
        <f t="shared" si="435"/>
        <v>211.709406770833</v>
      </c>
    </row>
    <row r="734" customFormat="1" spans="1:31">
      <c r="A734" s="18"/>
      <c r="B734" s="19"/>
      <c r="C734" s="107">
        <v>240720000001</v>
      </c>
      <c r="D734" s="21">
        <v>45499</v>
      </c>
      <c r="E734" s="21" t="s">
        <v>40</v>
      </c>
      <c r="F734" s="19" t="s">
        <v>41</v>
      </c>
      <c r="G734" s="19" t="s">
        <v>450</v>
      </c>
      <c r="H734" s="19">
        <v>31</v>
      </c>
      <c r="I734" s="41">
        <v>1581</v>
      </c>
      <c r="J734" s="42"/>
      <c r="K734" s="43"/>
      <c r="L734" s="19"/>
      <c r="M734" s="43"/>
      <c r="N734" s="44"/>
      <c r="O734" s="45">
        <f t="shared" si="443"/>
        <v>1581</v>
      </c>
      <c r="P734" s="51"/>
      <c r="Q734" s="51"/>
      <c r="R734" s="74">
        <f t="shared" si="436"/>
        <v>1297.51145833333</v>
      </c>
      <c r="S734" s="74"/>
      <c r="T734" s="75">
        <f t="shared" si="437"/>
        <v>2.42106770833333</v>
      </c>
      <c r="U734" s="74"/>
      <c r="V734" s="74"/>
      <c r="W734" s="76">
        <f t="shared" si="432"/>
        <v>1299.93252604167</v>
      </c>
      <c r="X734" s="77">
        <f t="shared" si="438"/>
        <v>21.486875</v>
      </c>
      <c r="Y734" s="77"/>
      <c r="Z734" s="77"/>
      <c r="AA734" s="77">
        <f t="shared" si="433"/>
        <v>21.486875</v>
      </c>
      <c r="AB734" s="87">
        <v>7.26</v>
      </c>
      <c r="AC734" s="74">
        <f t="shared" si="434"/>
        <v>155.9947125</v>
      </c>
      <c r="AD734" s="74">
        <f t="shared" si="431"/>
        <v>1455.92723854167</v>
      </c>
      <c r="AE734" s="74">
        <f t="shared" si="435"/>
        <v>125.072761458333</v>
      </c>
    </row>
    <row r="735" customFormat="1" spans="1:31">
      <c r="A735" s="18"/>
      <c r="B735" s="19"/>
      <c r="C735" s="107">
        <v>240720000002</v>
      </c>
      <c r="D735" s="21">
        <v>45499</v>
      </c>
      <c r="E735" s="21" t="s">
        <v>40</v>
      </c>
      <c r="F735" s="19" t="s">
        <v>41</v>
      </c>
      <c r="G735" s="19" t="s">
        <v>87</v>
      </c>
      <c r="H735" s="19">
        <v>116</v>
      </c>
      <c r="I735" s="47"/>
      <c r="J735" s="48">
        <v>1527256</v>
      </c>
      <c r="K735" s="43"/>
      <c r="L735" s="49">
        <f t="shared" si="442"/>
        <v>1648.02313535912</v>
      </c>
      <c r="M735" s="50">
        <v>926.72</v>
      </c>
      <c r="N735" s="44">
        <v>7.26</v>
      </c>
      <c r="O735" s="45">
        <f>SUM(M735*N735)</f>
        <v>6727.9872</v>
      </c>
      <c r="P735" s="51"/>
      <c r="Q735" s="51"/>
      <c r="R735" s="74">
        <f t="shared" si="436"/>
        <v>4855.20416666667</v>
      </c>
      <c r="S735" s="74"/>
      <c r="T735" s="75">
        <f t="shared" si="437"/>
        <v>9.05947916666667</v>
      </c>
      <c r="U735" s="74"/>
      <c r="V735" s="74"/>
      <c r="W735" s="76">
        <f t="shared" si="432"/>
        <v>4864.26364583333</v>
      </c>
      <c r="X735" s="77">
        <f t="shared" si="438"/>
        <v>80.4025</v>
      </c>
      <c r="Y735" s="77"/>
      <c r="Z735" s="77"/>
      <c r="AA735" s="77">
        <f t="shared" si="433"/>
        <v>80.4025</v>
      </c>
      <c r="AB735" s="87">
        <v>7.26</v>
      </c>
      <c r="AC735" s="74">
        <f t="shared" si="434"/>
        <v>583.72215</v>
      </c>
      <c r="AD735" s="74">
        <f t="shared" si="431"/>
        <v>5447.98579583333</v>
      </c>
      <c r="AE735" s="74">
        <f t="shared" si="435"/>
        <v>1280.00140416667</v>
      </c>
    </row>
    <row r="736" customFormat="1" spans="1:31">
      <c r="A736" s="18"/>
      <c r="B736" s="19"/>
      <c r="C736" s="107">
        <v>240720000005</v>
      </c>
      <c r="D736" s="21">
        <v>45499</v>
      </c>
      <c r="E736" s="21" t="s">
        <v>44</v>
      </c>
      <c r="F736" s="19" t="s">
        <v>45</v>
      </c>
      <c r="G736" s="19" t="s">
        <v>72</v>
      </c>
      <c r="H736" s="19">
        <v>37</v>
      </c>
      <c r="I736" s="47"/>
      <c r="J736" s="48">
        <v>469846</v>
      </c>
      <c r="K736" s="43"/>
      <c r="L736" s="49">
        <f t="shared" si="442"/>
        <v>1669.67306325515</v>
      </c>
      <c r="M736" s="50">
        <v>281.4</v>
      </c>
      <c r="N736" s="44">
        <v>7.26</v>
      </c>
      <c r="O736" s="45">
        <f>SUM(M736*N736)+I736</f>
        <v>2042.964</v>
      </c>
      <c r="P736" s="51"/>
      <c r="Q736" s="51"/>
      <c r="R736" s="74">
        <f t="shared" si="436"/>
        <v>1548.64270833333</v>
      </c>
      <c r="S736" s="74"/>
      <c r="T736" s="75">
        <f t="shared" si="437"/>
        <v>2.88966145833333</v>
      </c>
      <c r="U736" s="74"/>
      <c r="V736" s="74"/>
      <c r="W736" s="76">
        <f t="shared" si="432"/>
        <v>1551.53236979167</v>
      </c>
      <c r="X736" s="77">
        <f t="shared" si="438"/>
        <v>25.645625</v>
      </c>
      <c r="Y736" s="77"/>
      <c r="Z736" s="77"/>
      <c r="AA736" s="77">
        <f t="shared" si="433"/>
        <v>25.645625</v>
      </c>
      <c r="AB736" s="87">
        <v>7.26</v>
      </c>
      <c r="AC736" s="74">
        <f t="shared" si="434"/>
        <v>186.1872375</v>
      </c>
      <c r="AD736" s="74">
        <f t="shared" si="431"/>
        <v>1737.71960729167</v>
      </c>
      <c r="AE736" s="74">
        <f t="shared" si="435"/>
        <v>305.244392708333</v>
      </c>
    </row>
    <row r="737" customFormat="1" spans="1:31">
      <c r="A737" s="18"/>
      <c r="B737" s="19"/>
      <c r="C737" s="107">
        <v>240720000006</v>
      </c>
      <c r="D737" s="21">
        <v>45499</v>
      </c>
      <c r="E737" s="21" t="s">
        <v>40</v>
      </c>
      <c r="F737" s="19" t="s">
        <v>41</v>
      </c>
      <c r="G737" s="19" t="s">
        <v>277</v>
      </c>
      <c r="H737" s="19">
        <v>8</v>
      </c>
      <c r="I737" s="41">
        <v>544.5</v>
      </c>
      <c r="J737" s="42"/>
      <c r="K737" s="43"/>
      <c r="L737" s="19"/>
      <c r="M737" s="43"/>
      <c r="N737" s="44"/>
      <c r="O737" s="45">
        <f>SUM(I737)</f>
        <v>544.5</v>
      </c>
      <c r="P737" s="51"/>
      <c r="Q737" s="51"/>
      <c r="R737" s="74">
        <f t="shared" si="436"/>
        <v>334.841666666667</v>
      </c>
      <c r="S737" s="74"/>
      <c r="T737" s="75">
        <f t="shared" si="437"/>
        <v>0.624791666666667</v>
      </c>
      <c r="U737" s="108">
        <v>60</v>
      </c>
      <c r="V737" s="74"/>
      <c r="W737" s="76">
        <f t="shared" si="432"/>
        <v>395.466458333333</v>
      </c>
      <c r="X737" s="77">
        <f t="shared" si="438"/>
        <v>5.545</v>
      </c>
      <c r="Y737" s="77"/>
      <c r="Z737" s="77"/>
      <c r="AA737" s="77">
        <f t="shared" si="433"/>
        <v>5.545</v>
      </c>
      <c r="AB737" s="87">
        <v>7.26</v>
      </c>
      <c r="AC737" s="74">
        <f t="shared" si="434"/>
        <v>40.2567</v>
      </c>
      <c r="AD737" s="74">
        <f t="shared" si="431"/>
        <v>435.723158333333</v>
      </c>
      <c r="AE737" s="74">
        <f t="shared" si="435"/>
        <v>108.776841666667</v>
      </c>
    </row>
    <row r="738" customFormat="1" spans="1:31">
      <c r="A738" s="18"/>
      <c r="B738" s="19"/>
      <c r="C738" s="107">
        <v>240720000007</v>
      </c>
      <c r="D738" s="23">
        <v>45499</v>
      </c>
      <c r="E738" s="21" t="s">
        <v>44</v>
      </c>
      <c r="F738" s="24" t="s">
        <v>45</v>
      </c>
      <c r="G738" s="24" t="s">
        <v>194</v>
      </c>
      <c r="H738" s="24">
        <v>1.5</v>
      </c>
      <c r="I738" s="47"/>
      <c r="J738" s="48">
        <v>22542</v>
      </c>
      <c r="K738" s="43"/>
      <c r="L738" s="49">
        <f t="shared" ref="L738:L741" si="444">SUM(J738/M738)</f>
        <v>1605.55555555556</v>
      </c>
      <c r="M738" s="50">
        <v>14.04</v>
      </c>
      <c r="N738" s="44">
        <v>7.26</v>
      </c>
      <c r="O738" s="45">
        <f>SUM(M738*N738)+I738</f>
        <v>101.9304</v>
      </c>
      <c r="P738" s="51"/>
      <c r="Q738" s="51"/>
      <c r="R738" s="74">
        <f t="shared" si="436"/>
        <v>62.7828125</v>
      </c>
      <c r="S738" s="74"/>
      <c r="T738" s="75">
        <f t="shared" si="437"/>
        <v>0.1171484375</v>
      </c>
      <c r="U738" s="74"/>
      <c r="V738" s="74"/>
      <c r="W738" s="76">
        <f t="shared" si="432"/>
        <v>62.8999609375</v>
      </c>
      <c r="X738" s="77">
        <f t="shared" si="438"/>
        <v>1.0396875</v>
      </c>
      <c r="Y738" s="77"/>
      <c r="Z738" s="77"/>
      <c r="AA738" s="77">
        <f t="shared" si="433"/>
        <v>1.0396875</v>
      </c>
      <c r="AB738" s="87">
        <v>7.26</v>
      </c>
      <c r="AC738" s="74">
        <f t="shared" si="434"/>
        <v>7.54813125</v>
      </c>
      <c r="AD738" s="74">
        <f t="shared" si="431"/>
        <v>70.4480921875</v>
      </c>
      <c r="AE738" s="74">
        <f t="shared" si="435"/>
        <v>31.4823078125</v>
      </c>
    </row>
    <row r="739" customFormat="1" spans="1:31">
      <c r="A739" s="18"/>
      <c r="B739" s="19"/>
      <c r="C739" s="107">
        <v>240720000008</v>
      </c>
      <c r="D739" s="21">
        <v>45499</v>
      </c>
      <c r="E739" s="21" t="s">
        <v>40</v>
      </c>
      <c r="F739" s="19" t="s">
        <v>41</v>
      </c>
      <c r="G739" s="19" t="s">
        <v>86</v>
      </c>
      <c r="H739" s="19">
        <v>59.5</v>
      </c>
      <c r="I739" s="41">
        <v>141</v>
      </c>
      <c r="J739" s="48">
        <v>696923.5</v>
      </c>
      <c r="K739" s="43"/>
      <c r="L739" s="49">
        <f t="shared" si="444"/>
        <v>1604.48360806704</v>
      </c>
      <c r="M739" s="50">
        <v>434.36</v>
      </c>
      <c r="N739" s="44">
        <v>7.26</v>
      </c>
      <c r="O739" s="45">
        <f t="shared" ref="O739:O742" si="445">SUM(M739*N739+I739)</f>
        <v>3294.4536</v>
      </c>
      <c r="P739" s="51"/>
      <c r="Q739" s="51"/>
      <c r="R739" s="74">
        <f t="shared" si="436"/>
        <v>2490.38489583333</v>
      </c>
      <c r="S739" s="74"/>
      <c r="T739" s="75">
        <f t="shared" si="437"/>
        <v>4.64688802083333</v>
      </c>
      <c r="U739" s="74"/>
      <c r="V739" s="75">
        <v>141</v>
      </c>
      <c r="W739" s="76">
        <f t="shared" si="432"/>
        <v>2636.03178385417</v>
      </c>
      <c r="X739" s="77">
        <f t="shared" si="438"/>
        <v>41.2409375</v>
      </c>
      <c r="Y739" s="77"/>
      <c r="Z739" s="77"/>
      <c r="AA739" s="77">
        <f t="shared" si="433"/>
        <v>41.2409375</v>
      </c>
      <c r="AB739" s="87">
        <v>7.26</v>
      </c>
      <c r="AC739" s="74">
        <f t="shared" si="434"/>
        <v>299.40920625</v>
      </c>
      <c r="AD739" s="74">
        <f t="shared" si="431"/>
        <v>2935.44099010417</v>
      </c>
      <c r="AE739" s="74">
        <f t="shared" si="435"/>
        <v>359.012609895833</v>
      </c>
    </row>
    <row r="740" customFormat="1" spans="1:31">
      <c r="A740" s="18"/>
      <c r="B740" s="19"/>
      <c r="C740" s="107">
        <v>240720000009</v>
      </c>
      <c r="D740" s="21">
        <v>45499</v>
      </c>
      <c r="E740" s="21" t="s">
        <v>40</v>
      </c>
      <c r="F740" s="19" t="s">
        <v>41</v>
      </c>
      <c r="G740" s="19" t="s">
        <v>86</v>
      </c>
      <c r="H740" s="19">
        <v>0.594</v>
      </c>
      <c r="I740" s="47"/>
      <c r="J740" s="48">
        <v>11713</v>
      </c>
      <c r="K740" s="43"/>
      <c r="L740" s="49">
        <f t="shared" si="444"/>
        <v>1604.52054794521</v>
      </c>
      <c r="M740" s="50">
        <v>7.3</v>
      </c>
      <c r="N740" s="44">
        <v>7.26</v>
      </c>
      <c r="O740" s="45">
        <f t="shared" si="445"/>
        <v>52.998</v>
      </c>
      <c r="P740" s="51"/>
      <c r="Q740" s="51"/>
      <c r="R740" s="74">
        <f t="shared" si="436"/>
        <v>24.86199375</v>
      </c>
      <c r="S740" s="74"/>
      <c r="T740" s="75">
        <f t="shared" si="437"/>
        <v>0.04639078125</v>
      </c>
      <c r="U740" s="74"/>
      <c r="V740" s="74"/>
      <c r="W740" s="76">
        <f t="shared" si="432"/>
        <v>24.90838453125</v>
      </c>
      <c r="X740" s="77">
        <f t="shared" si="438"/>
        <v>0.41171625</v>
      </c>
      <c r="Y740" s="77"/>
      <c r="Z740" s="77"/>
      <c r="AA740" s="77">
        <f t="shared" si="433"/>
        <v>0.41171625</v>
      </c>
      <c r="AB740" s="87">
        <v>7.26</v>
      </c>
      <c r="AC740" s="74">
        <f t="shared" si="434"/>
        <v>2.989059975</v>
      </c>
      <c r="AD740" s="74">
        <f t="shared" si="431"/>
        <v>27.89744450625</v>
      </c>
      <c r="AE740" s="74">
        <f t="shared" si="435"/>
        <v>25.10055549375</v>
      </c>
    </row>
    <row r="741" customFormat="1" spans="1:31">
      <c r="A741" s="18"/>
      <c r="B741" s="19"/>
      <c r="C741" s="107">
        <v>240720000010</v>
      </c>
      <c r="D741" s="21">
        <v>45499</v>
      </c>
      <c r="E741" s="21" t="s">
        <v>58</v>
      </c>
      <c r="F741" s="19" t="s">
        <v>59</v>
      </c>
      <c r="G741" s="19" t="s">
        <v>76</v>
      </c>
      <c r="H741" s="19">
        <v>17</v>
      </c>
      <c r="I741" s="45"/>
      <c r="J741" s="48">
        <v>220000</v>
      </c>
      <c r="K741" s="43"/>
      <c r="L741" s="49">
        <f t="shared" si="444"/>
        <v>1627.21893491124</v>
      </c>
      <c r="M741" s="50">
        <v>135.2</v>
      </c>
      <c r="N741" s="44">
        <v>7.26</v>
      </c>
      <c r="O741" s="45">
        <f t="shared" ref="O741:O750" si="446">SUM(M741*N741)</f>
        <v>981.552</v>
      </c>
      <c r="P741" s="51"/>
      <c r="Q741" s="51"/>
      <c r="R741" s="74">
        <f t="shared" si="436"/>
        <v>711.538541666667</v>
      </c>
      <c r="S741" s="74"/>
      <c r="T741" s="75">
        <f t="shared" si="437"/>
        <v>1.32768229166667</v>
      </c>
      <c r="U741" s="74"/>
      <c r="V741" s="74"/>
      <c r="W741" s="76">
        <f t="shared" si="432"/>
        <v>712.866223958333</v>
      </c>
      <c r="X741" s="77">
        <f t="shared" si="438"/>
        <v>11.783125</v>
      </c>
      <c r="Y741" s="77"/>
      <c r="Z741" s="77"/>
      <c r="AA741" s="77">
        <f t="shared" si="433"/>
        <v>11.783125</v>
      </c>
      <c r="AB741" s="87">
        <v>7.26</v>
      </c>
      <c r="AC741" s="74">
        <f t="shared" si="434"/>
        <v>85.5454875</v>
      </c>
      <c r="AD741" s="74">
        <f t="shared" si="431"/>
        <v>798.411711458333</v>
      </c>
      <c r="AE741" s="74">
        <f t="shared" si="435"/>
        <v>183.140288541667</v>
      </c>
    </row>
    <row r="742" customFormat="1" spans="1:31">
      <c r="A742" s="18"/>
      <c r="B742" s="19"/>
      <c r="C742" s="107">
        <v>240720000012</v>
      </c>
      <c r="D742" s="21">
        <v>45499</v>
      </c>
      <c r="E742" s="21" t="s">
        <v>40</v>
      </c>
      <c r="F742" s="19" t="s">
        <v>41</v>
      </c>
      <c r="G742" s="19" t="s">
        <v>139</v>
      </c>
      <c r="H742" s="19">
        <v>32.5</v>
      </c>
      <c r="I742" s="47"/>
      <c r="J742" s="48">
        <v>433550</v>
      </c>
      <c r="K742" s="43"/>
      <c r="L742" s="49">
        <f t="shared" ref="L742:L750" si="447">SUM(J742/M742)</f>
        <v>1669.81204745032</v>
      </c>
      <c r="M742" s="50">
        <v>259.64</v>
      </c>
      <c r="N742" s="44">
        <v>7.26</v>
      </c>
      <c r="O742" s="45">
        <f t="shared" si="445"/>
        <v>1884.9864</v>
      </c>
      <c r="P742" s="51"/>
      <c r="Q742" s="51"/>
      <c r="R742" s="74">
        <f t="shared" si="436"/>
        <v>1360.29427083333</v>
      </c>
      <c r="S742" s="74"/>
      <c r="T742" s="75">
        <f t="shared" si="437"/>
        <v>2.53821614583333</v>
      </c>
      <c r="U742" s="74"/>
      <c r="V742" s="74"/>
      <c r="W742" s="76">
        <f t="shared" si="432"/>
        <v>1362.83248697917</v>
      </c>
      <c r="X742" s="77">
        <f t="shared" si="438"/>
        <v>22.5265625</v>
      </c>
      <c r="Y742" s="77"/>
      <c r="Z742" s="77"/>
      <c r="AA742" s="77">
        <f t="shared" si="433"/>
        <v>22.5265625</v>
      </c>
      <c r="AB742" s="87">
        <v>7.26</v>
      </c>
      <c r="AC742" s="74">
        <f t="shared" si="434"/>
        <v>163.54284375</v>
      </c>
      <c r="AD742" s="74">
        <f t="shared" si="431"/>
        <v>1526.37533072917</v>
      </c>
      <c r="AE742" s="74">
        <f t="shared" si="435"/>
        <v>358.611069270833</v>
      </c>
    </row>
    <row r="743" customFormat="1" spans="1:31">
      <c r="A743" s="18"/>
      <c r="B743" s="19"/>
      <c r="C743" s="107">
        <v>240720000020</v>
      </c>
      <c r="D743" s="21">
        <v>45499</v>
      </c>
      <c r="E743" s="21" t="s">
        <v>37</v>
      </c>
      <c r="F743" s="19" t="s">
        <v>37</v>
      </c>
      <c r="G743" s="19" t="s">
        <v>495</v>
      </c>
      <c r="H743" s="19">
        <v>6</v>
      </c>
      <c r="I743" s="41">
        <v>348</v>
      </c>
      <c r="J743" s="42"/>
      <c r="K743" s="43"/>
      <c r="L743" s="19"/>
      <c r="M743" s="43"/>
      <c r="N743" s="44"/>
      <c r="O743" s="45">
        <f>SUM(I743)</f>
        <v>348</v>
      </c>
      <c r="P743" s="51"/>
      <c r="Q743" s="51"/>
      <c r="R743" s="74">
        <f t="shared" si="436"/>
        <v>251.13125</v>
      </c>
      <c r="S743" s="74"/>
      <c r="T743" s="75">
        <f t="shared" si="437"/>
        <v>0.46859375</v>
      </c>
      <c r="U743" s="74"/>
      <c r="V743" s="74"/>
      <c r="W743" s="76">
        <f t="shared" si="432"/>
        <v>251.59984375</v>
      </c>
      <c r="X743" s="77">
        <f t="shared" si="438"/>
        <v>4.15875</v>
      </c>
      <c r="Y743" s="77"/>
      <c r="Z743" s="77"/>
      <c r="AA743" s="77">
        <f t="shared" si="433"/>
        <v>4.15875</v>
      </c>
      <c r="AB743" s="87">
        <v>7.26</v>
      </c>
      <c r="AC743" s="74">
        <f t="shared" si="434"/>
        <v>30.192525</v>
      </c>
      <c r="AD743" s="74">
        <f t="shared" si="431"/>
        <v>281.79236875</v>
      </c>
      <c r="AE743" s="74">
        <f t="shared" si="435"/>
        <v>66.20763125</v>
      </c>
    </row>
    <row r="744" customFormat="1" spans="1:31">
      <c r="A744" s="18"/>
      <c r="B744" s="19"/>
      <c r="C744" s="107">
        <v>240720000021</v>
      </c>
      <c r="D744" s="21">
        <v>45499</v>
      </c>
      <c r="E744" s="21" t="s">
        <v>47</v>
      </c>
      <c r="F744" s="19" t="s">
        <v>48</v>
      </c>
      <c r="G744" s="19" t="s">
        <v>50</v>
      </c>
      <c r="H744" s="19">
        <v>0.64</v>
      </c>
      <c r="I744" s="41">
        <v>69</v>
      </c>
      <c r="J744" s="42"/>
      <c r="K744" s="43"/>
      <c r="L744" s="19"/>
      <c r="M744" s="43"/>
      <c r="N744" s="44"/>
      <c r="O744" s="45">
        <f>SUM(I744)</f>
        <v>69</v>
      </c>
      <c r="P744" s="51"/>
      <c r="Q744" s="51"/>
      <c r="R744" s="74">
        <f t="shared" si="436"/>
        <v>26.7873333333333</v>
      </c>
      <c r="S744" s="74"/>
      <c r="T744" s="75">
        <f t="shared" si="437"/>
        <v>0.0499833333333333</v>
      </c>
      <c r="U744" s="74"/>
      <c r="V744" s="74"/>
      <c r="W744" s="76">
        <f t="shared" si="432"/>
        <v>26.8373166666667</v>
      </c>
      <c r="X744" s="77">
        <f t="shared" si="438"/>
        <v>0.4436</v>
      </c>
      <c r="Y744" s="77"/>
      <c r="Z744" s="77"/>
      <c r="AA744" s="77">
        <f t="shared" si="433"/>
        <v>0.4436</v>
      </c>
      <c r="AB744" s="87">
        <v>7.26</v>
      </c>
      <c r="AC744" s="74">
        <f t="shared" si="434"/>
        <v>3.220536</v>
      </c>
      <c r="AD744" s="74">
        <f t="shared" si="431"/>
        <v>30.0578526666667</v>
      </c>
      <c r="AE744" s="74">
        <f t="shared" si="435"/>
        <v>38.9421473333333</v>
      </c>
    </row>
    <row r="745" customFormat="1" spans="1:31">
      <c r="A745" s="18"/>
      <c r="B745" s="19"/>
      <c r="C745" s="107">
        <v>240721000001</v>
      </c>
      <c r="D745" s="21">
        <v>45499</v>
      </c>
      <c r="E745" s="21" t="s">
        <v>81</v>
      </c>
      <c r="F745" s="19"/>
      <c r="G745" s="19" t="s">
        <v>177</v>
      </c>
      <c r="H745" s="19">
        <v>20.5</v>
      </c>
      <c r="I745" s="45"/>
      <c r="J745" s="48">
        <v>264468</v>
      </c>
      <c r="K745" s="43"/>
      <c r="L745" s="49">
        <f t="shared" si="447"/>
        <v>1623.99754375192</v>
      </c>
      <c r="M745" s="50">
        <v>162.85</v>
      </c>
      <c r="N745" s="44">
        <v>7.26</v>
      </c>
      <c r="O745" s="45">
        <f t="shared" si="446"/>
        <v>1182.291</v>
      </c>
      <c r="P745" s="51"/>
      <c r="Q745" s="51"/>
      <c r="R745" s="74">
        <f t="shared" si="436"/>
        <v>858.031770833333</v>
      </c>
      <c r="S745" s="74"/>
      <c r="T745" s="75">
        <f t="shared" si="437"/>
        <v>1.60102864583333</v>
      </c>
      <c r="U745" s="74"/>
      <c r="V745" s="74"/>
      <c r="W745" s="76">
        <f t="shared" si="432"/>
        <v>859.632799479167</v>
      </c>
      <c r="X745" s="77">
        <f t="shared" si="438"/>
        <v>14.2090625</v>
      </c>
      <c r="Y745" s="77"/>
      <c r="Z745" s="77"/>
      <c r="AA745" s="77">
        <f t="shared" si="433"/>
        <v>14.2090625</v>
      </c>
      <c r="AB745" s="87">
        <v>7.26</v>
      </c>
      <c r="AC745" s="74">
        <f t="shared" si="434"/>
        <v>103.15779375</v>
      </c>
      <c r="AD745" s="74">
        <f t="shared" si="431"/>
        <v>962.790593229167</v>
      </c>
      <c r="AE745" s="74">
        <f t="shared" si="435"/>
        <v>219.500406770833</v>
      </c>
    </row>
    <row r="746" customFormat="1" spans="1:31">
      <c r="A746" s="18"/>
      <c r="B746" s="19"/>
      <c r="C746" s="107">
        <v>240721000002</v>
      </c>
      <c r="D746" s="21">
        <v>45499</v>
      </c>
      <c r="E746" s="21" t="s">
        <v>47</v>
      </c>
      <c r="F746" s="19" t="s">
        <v>48</v>
      </c>
      <c r="G746" s="19" t="s">
        <v>483</v>
      </c>
      <c r="H746" s="19">
        <v>183.5</v>
      </c>
      <c r="I746" s="47"/>
      <c r="J746" s="48">
        <v>2548448</v>
      </c>
      <c r="K746" s="43"/>
      <c r="L746" s="49">
        <f t="shared" si="447"/>
        <v>1626.2502632301</v>
      </c>
      <c r="M746" s="50">
        <v>1567.07</v>
      </c>
      <c r="N746" s="44">
        <v>7.26</v>
      </c>
      <c r="O746" s="45">
        <f t="shared" si="446"/>
        <v>11376.9282</v>
      </c>
      <c r="P746" s="51"/>
      <c r="Q746" s="51"/>
      <c r="R746" s="74">
        <f t="shared" si="436"/>
        <v>7680.43072916667</v>
      </c>
      <c r="S746" s="74"/>
      <c r="T746" s="75">
        <f t="shared" si="437"/>
        <v>14.3311588541667</v>
      </c>
      <c r="U746" s="74"/>
      <c r="V746" s="74"/>
      <c r="W746" s="76">
        <f t="shared" si="432"/>
        <v>7694.76188802083</v>
      </c>
      <c r="X746" s="77">
        <f t="shared" si="438"/>
        <v>127.1884375</v>
      </c>
      <c r="Y746" s="77"/>
      <c r="Z746" s="77"/>
      <c r="AA746" s="77">
        <f t="shared" si="433"/>
        <v>127.1884375</v>
      </c>
      <c r="AB746" s="87">
        <v>7.26</v>
      </c>
      <c r="AC746" s="74">
        <f t="shared" si="434"/>
        <v>923.38805625</v>
      </c>
      <c r="AD746" s="74">
        <f t="shared" ref="AD746:AD779" si="448">SUM(W746+AC746)</f>
        <v>8618.14994427083</v>
      </c>
      <c r="AE746" s="74">
        <f t="shared" si="435"/>
        <v>2758.77825572917</v>
      </c>
    </row>
    <row r="747" customFormat="1" spans="1:31">
      <c r="A747" s="18"/>
      <c r="B747" s="19"/>
      <c r="C747" s="107">
        <v>240722000001</v>
      </c>
      <c r="D747" s="21">
        <v>45499</v>
      </c>
      <c r="E747" s="21" t="s">
        <v>40</v>
      </c>
      <c r="F747" s="19" t="s">
        <v>41</v>
      </c>
      <c r="G747" s="19" t="s">
        <v>139</v>
      </c>
      <c r="H747" s="19">
        <v>6.5</v>
      </c>
      <c r="I747" s="47"/>
      <c r="J747" s="48">
        <v>95438.5</v>
      </c>
      <c r="K747" s="43"/>
      <c r="L747" s="49">
        <f t="shared" si="447"/>
        <v>1669.96500437445</v>
      </c>
      <c r="M747" s="50">
        <v>57.15</v>
      </c>
      <c r="N747" s="44">
        <v>7.26</v>
      </c>
      <c r="O747" s="45">
        <f t="shared" si="446"/>
        <v>414.909</v>
      </c>
      <c r="P747" s="51"/>
      <c r="Q747" s="51"/>
      <c r="R747" s="74">
        <f t="shared" si="436"/>
        <v>272.058854166667</v>
      </c>
      <c r="S747" s="74"/>
      <c r="T747" s="75">
        <f t="shared" si="437"/>
        <v>0.507643229166667</v>
      </c>
      <c r="U747" s="74"/>
      <c r="V747" s="74"/>
      <c r="W747" s="76">
        <f t="shared" si="432"/>
        <v>272.566497395833</v>
      </c>
      <c r="X747" s="77">
        <f t="shared" si="438"/>
        <v>4.5053125</v>
      </c>
      <c r="Y747" s="77"/>
      <c r="Z747" s="77"/>
      <c r="AA747" s="77">
        <f t="shared" si="433"/>
        <v>4.5053125</v>
      </c>
      <c r="AB747" s="87">
        <v>7.26</v>
      </c>
      <c r="AC747" s="74">
        <f t="shared" si="434"/>
        <v>32.70856875</v>
      </c>
      <c r="AD747" s="74">
        <f t="shared" si="448"/>
        <v>305.275066145833</v>
      </c>
      <c r="AE747" s="74">
        <f t="shared" si="435"/>
        <v>109.633933854167</v>
      </c>
    </row>
    <row r="748" customFormat="1" spans="1:31">
      <c r="A748" s="18"/>
      <c r="B748" s="19"/>
      <c r="C748" s="107">
        <v>240722000004</v>
      </c>
      <c r="D748" s="21">
        <v>45499</v>
      </c>
      <c r="E748" s="21" t="s">
        <v>40</v>
      </c>
      <c r="F748" s="19" t="s">
        <v>41</v>
      </c>
      <c r="G748" s="19" t="s">
        <v>89</v>
      </c>
      <c r="H748" s="19">
        <v>4</v>
      </c>
      <c r="I748" s="47"/>
      <c r="J748" s="48">
        <v>56700</v>
      </c>
      <c r="K748" s="43"/>
      <c r="L748" s="49">
        <f t="shared" si="447"/>
        <v>1633.53500432152</v>
      </c>
      <c r="M748" s="50">
        <v>34.71</v>
      </c>
      <c r="N748" s="44">
        <v>7.26</v>
      </c>
      <c r="O748" s="45">
        <f t="shared" si="446"/>
        <v>251.9946</v>
      </c>
      <c r="P748" s="51"/>
      <c r="Q748" s="51"/>
      <c r="R748" s="74">
        <f t="shared" si="436"/>
        <v>167.420833333333</v>
      </c>
      <c r="S748" s="74"/>
      <c r="T748" s="75">
        <f t="shared" si="437"/>
        <v>0.312395833333333</v>
      </c>
      <c r="U748" s="74"/>
      <c r="V748" s="74"/>
      <c r="W748" s="76">
        <f t="shared" ref="W748:W779" si="449">SUM(R748:V748)</f>
        <v>167.733229166667</v>
      </c>
      <c r="X748" s="77">
        <f t="shared" si="438"/>
        <v>2.7725</v>
      </c>
      <c r="Y748" s="77"/>
      <c r="Z748" s="77"/>
      <c r="AA748" s="77">
        <f t="shared" ref="AA748:AA779" si="450">SUM(X748:Z748)</f>
        <v>2.7725</v>
      </c>
      <c r="AB748" s="87">
        <v>7.26</v>
      </c>
      <c r="AC748" s="74">
        <f t="shared" ref="AC748:AC781" si="451">SUM(AA748*AB748)</f>
        <v>20.12835</v>
      </c>
      <c r="AD748" s="74">
        <f t="shared" si="448"/>
        <v>187.861579166667</v>
      </c>
      <c r="AE748" s="74">
        <f t="shared" ref="AE748:AE779" si="452">SUM(O748-AD748)</f>
        <v>64.1330208333333</v>
      </c>
    </row>
    <row r="749" customFormat="1" spans="1:31">
      <c r="A749" s="18"/>
      <c r="B749" s="19"/>
      <c r="C749" s="107">
        <v>240722000006</v>
      </c>
      <c r="D749" s="21">
        <v>45499</v>
      </c>
      <c r="E749" s="21" t="s">
        <v>40</v>
      </c>
      <c r="F749" s="19" t="s">
        <v>41</v>
      </c>
      <c r="G749" s="19" t="s">
        <v>86</v>
      </c>
      <c r="H749" s="19">
        <v>1</v>
      </c>
      <c r="I749" s="47"/>
      <c r="J749" s="48">
        <v>11713</v>
      </c>
      <c r="K749" s="43"/>
      <c r="L749" s="49">
        <f t="shared" si="447"/>
        <v>1604.52054794521</v>
      </c>
      <c r="M749" s="50">
        <v>7.3</v>
      </c>
      <c r="N749" s="44">
        <v>7.26</v>
      </c>
      <c r="O749" s="45">
        <f t="shared" si="446"/>
        <v>52.998</v>
      </c>
      <c r="P749" s="51"/>
      <c r="Q749" s="51"/>
      <c r="R749" s="74">
        <f t="shared" si="436"/>
        <v>41.8552083333333</v>
      </c>
      <c r="S749" s="74"/>
      <c r="T749" s="75">
        <f t="shared" si="437"/>
        <v>0.0780989583333333</v>
      </c>
      <c r="U749" s="74"/>
      <c r="V749" s="74"/>
      <c r="W749" s="76">
        <f t="shared" si="449"/>
        <v>41.9333072916667</v>
      </c>
      <c r="X749" s="77">
        <f t="shared" si="438"/>
        <v>0.693125</v>
      </c>
      <c r="Y749" s="77"/>
      <c r="Z749" s="77"/>
      <c r="AA749" s="77">
        <f t="shared" si="450"/>
        <v>0.693125</v>
      </c>
      <c r="AB749" s="87">
        <v>7.26</v>
      </c>
      <c r="AC749" s="74">
        <f t="shared" si="451"/>
        <v>5.0320875</v>
      </c>
      <c r="AD749" s="74">
        <f t="shared" si="448"/>
        <v>46.9653947916667</v>
      </c>
      <c r="AE749" s="74">
        <f t="shared" si="452"/>
        <v>6.03260520833333</v>
      </c>
    </row>
    <row r="750" customFormat="1" spans="1:31">
      <c r="A750" s="18"/>
      <c r="B750" s="19"/>
      <c r="C750" s="107">
        <v>240722000012</v>
      </c>
      <c r="D750" s="21">
        <v>45499</v>
      </c>
      <c r="E750" s="21" t="s">
        <v>40</v>
      </c>
      <c r="F750" s="19" t="s">
        <v>41</v>
      </c>
      <c r="G750" s="19" t="s">
        <v>215</v>
      </c>
      <c r="H750" s="19">
        <v>22.5</v>
      </c>
      <c r="I750" s="45"/>
      <c r="J750" s="48">
        <v>279652</v>
      </c>
      <c r="K750" s="43"/>
      <c r="L750" s="49">
        <f t="shared" si="447"/>
        <v>1623.99535423926</v>
      </c>
      <c r="M750" s="50">
        <v>172.2</v>
      </c>
      <c r="N750" s="44">
        <v>7.26</v>
      </c>
      <c r="O750" s="45">
        <f t="shared" si="446"/>
        <v>1250.172</v>
      </c>
      <c r="P750" s="51"/>
      <c r="Q750" s="51"/>
      <c r="R750" s="74">
        <f t="shared" ref="R750:R781" si="453">SUM(80362/1920)*H750</f>
        <v>941.7421875</v>
      </c>
      <c r="S750" s="74"/>
      <c r="T750" s="75">
        <f t="shared" ref="T750:T781" si="454">SUM(149.95/1920)*H750</f>
        <v>1.7572265625</v>
      </c>
      <c r="U750" s="74"/>
      <c r="V750" s="74"/>
      <c r="W750" s="76">
        <f t="shared" si="449"/>
        <v>943.4994140625</v>
      </c>
      <c r="X750" s="77">
        <f t="shared" ref="X750:X781" si="455">SUM(1330.8/1920)*H750</f>
        <v>15.5953125</v>
      </c>
      <c r="Y750" s="77"/>
      <c r="Z750" s="77"/>
      <c r="AA750" s="77">
        <f t="shared" si="450"/>
        <v>15.5953125</v>
      </c>
      <c r="AB750" s="87">
        <v>7.26</v>
      </c>
      <c r="AC750" s="74">
        <f t="shared" si="451"/>
        <v>113.22196875</v>
      </c>
      <c r="AD750" s="74">
        <f t="shared" si="448"/>
        <v>1056.7213828125</v>
      </c>
      <c r="AE750" s="74">
        <f t="shared" si="452"/>
        <v>193.4506171875</v>
      </c>
    </row>
    <row r="751" customFormat="1" spans="1:31">
      <c r="A751" s="18"/>
      <c r="B751" s="19"/>
      <c r="C751" s="107">
        <v>240722000014</v>
      </c>
      <c r="D751" s="21">
        <v>45499</v>
      </c>
      <c r="E751" s="21" t="s">
        <v>44</v>
      </c>
      <c r="F751" s="19" t="s">
        <v>45</v>
      </c>
      <c r="G751" s="19" t="s">
        <v>496</v>
      </c>
      <c r="H751" s="19">
        <v>18.5</v>
      </c>
      <c r="I751" s="41">
        <v>1211.5</v>
      </c>
      <c r="J751" s="42"/>
      <c r="K751" s="43"/>
      <c r="L751" s="19"/>
      <c r="M751" s="43"/>
      <c r="N751" s="44"/>
      <c r="O751" s="45">
        <f t="shared" ref="O751:O754" si="456">SUM(I751)</f>
        <v>1211.5</v>
      </c>
      <c r="P751" s="51"/>
      <c r="Q751" s="51"/>
      <c r="R751" s="74">
        <f t="shared" si="453"/>
        <v>774.321354166667</v>
      </c>
      <c r="S751" s="74"/>
      <c r="T751" s="75">
        <f t="shared" si="454"/>
        <v>1.44483072916667</v>
      </c>
      <c r="U751" s="74"/>
      <c r="V751" s="74"/>
      <c r="W751" s="76">
        <f t="shared" si="449"/>
        <v>775.766184895833</v>
      </c>
      <c r="X751" s="77">
        <f t="shared" si="455"/>
        <v>12.8228125</v>
      </c>
      <c r="Y751" s="77"/>
      <c r="Z751" s="77"/>
      <c r="AA751" s="77">
        <f t="shared" si="450"/>
        <v>12.8228125</v>
      </c>
      <c r="AB751" s="87">
        <v>7.26</v>
      </c>
      <c r="AC751" s="74">
        <f t="shared" si="451"/>
        <v>93.09361875</v>
      </c>
      <c r="AD751" s="74">
        <f t="shared" si="448"/>
        <v>868.859803645833</v>
      </c>
      <c r="AE751" s="74">
        <f t="shared" si="452"/>
        <v>342.640196354167</v>
      </c>
    </row>
    <row r="752" customFormat="1" spans="1:31">
      <c r="A752" s="18"/>
      <c r="B752" s="19"/>
      <c r="C752" s="107">
        <v>240722000015</v>
      </c>
      <c r="D752" s="21">
        <v>45499</v>
      </c>
      <c r="E752" s="21" t="s">
        <v>40</v>
      </c>
      <c r="F752" s="19" t="s">
        <v>41</v>
      </c>
      <c r="G752" s="19" t="s">
        <v>497</v>
      </c>
      <c r="H752" s="19">
        <v>11</v>
      </c>
      <c r="I752" s="41">
        <v>633</v>
      </c>
      <c r="J752" s="42"/>
      <c r="K752" s="43"/>
      <c r="L752" s="19"/>
      <c r="M752" s="43"/>
      <c r="N752" s="44"/>
      <c r="O752" s="45">
        <f t="shared" si="456"/>
        <v>633</v>
      </c>
      <c r="P752" s="51"/>
      <c r="Q752" s="51"/>
      <c r="R752" s="74">
        <f t="shared" si="453"/>
        <v>460.407291666667</v>
      </c>
      <c r="S752" s="74"/>
      <c r="T752" s="75">
        <f t="shared" si="454"/>
        <v>0.859088541666667</v>
      </c>
      <c r="U752" s="74"/>
      <c r="V752" s="74"/>
      <c r="W752" s="76">
        <f t="shared" si="449"/>
        <v>461.266380208333</v>
      </c>
      <c r="X752" s="77">
        <f t="shared" si="455"/>
        <v>7.624375</v>
      </c>
      <c r="Y752" s="77"/>
      <c r="Z752" s="77"/>
      <c r="AA752" s="77">
        <f t="shared" si="450"/>
        <v>7.624375</v>
      </c>
      <c r="AB752" s="87">
        <v>7.26</v>
      </c>
      <c r="AC752" s="74">
        <f t="shared" si="451"/>
        <v>55.3529625</v>
      </c>
      <c r="AD752" s="74">
        <f t="shared" si="448"/>
        <v>516.619342708333</v>
      </c>
      <c r="AE752" s="74">
        <f t="shared" si="452"/>
        <v>116.380657291667</v>
      </c>
    </row>
    <row r="753" customFormat="1" spans="1:31">
      <c r="A753" s="18"/>
      <c r="B753" s="19"/>
      <c r="C753" s="107">
        <v>240722000016</v>
      </c>
      <c r="D753" s="21">
        <v>45499</v>
      </c>
      <c r="E753" s="21" t="s">
        <v>44</v>
      </c>
      <c r="F753" s="19" t="s">
        <v>45</v>
      </c>
      <c r="G753" s="19" t="s">
        <v>498</v>
      </c>
      <c r="H753" s="19">
        <v>0.24</v>
      </c>
      <c r="I753" s="41">
        <v>63</v>
      </c>
      <c r="J753" s="42"/>
      <c r="K753" s="43"/>
      <c r="L753" s="19"/>
      <c r="M753" s="43"/>
      <c r="N753" s="44"/>
      <c r="O753" s="45">
        <f t="shared" si="456"/>
        <v>63</v>
      </c>
      <c r="P753" s="51"/>
      <c r="Q753" s="51"/>
      <c r="R753" s="74">
        <f t="shared" si="453"/>
        <v>10.04525</v>
      </c>
      <c r="S753" s="74"/>
      <c r="T753" s="75">
        <f t="shared" si="454"/>
        <v>0.01874375</v>
      </c>
      <c r="U753" s="74"/>
      <c r="V753" s="74"/>
      <c r="W753" s="76">
        <f t="shared" si="449"/>
        <v>10.06399375</v>
      </c>
      <c r="X753" s="77">
        <f t="shared" si="455"/>
        <v>0.16635</v>
      </c>
      <c r="Y753" s="77"/>
      <c r="Z753" s="77"/>
      <c r="AA753" s="77">
        <f t="shared" si="450"/>
        <v>0.16635</v>
      </c>
      <c r="AB753" s="87">
        <v>7.26</v>
      </c>
      <c r="AC753" s="74">
        <f t="shared" si="451"/>
        <v>1.207701</v>
      </c>
      <c r="AD753" s="74">
        <f t="shared" si="448"/>
        <v>11.27169475</v>
      </c>
      <c r="AE753" s="74">
        <f t="shared" si="452"/>
        <v>51.72830525</v>
      </c>
    </row>
    <row r="754" customFormat="1" spans="1:31">
      <c r="A754" s="18"/>
      <c r="B754" s="19"/>
      <c r="C754" s="107">
        <v>240722000018</v>
      </c>
      <c r="D754" s="21">
        <v>45499</v>
      </c>
      <c r="E754" s="21" t="s">
        <v>44</v>
      </c>
      <c r="F754" s="19" t="s">
        <v>45</v>
      </c>
      <c r="G754" s="19" t="s">
        <v>442</v>
      </c>
      <c r="H754" s="19">
        <v>0.82</v>
      </c>
      <c r="I754" s="41">
        <v>69</v>
      </c>
      <c r="J754" s="42"/>
      <c r="K754" s="43"/>
      <c r="L754" s="19"/>
      <c r="M754" s="43"/>
      <c r="N754" s="44"/>
      <c r="O754" s="45">
        <f t="shared" si="456"/>
        <v>69</v>
      </c>
      <c r="P754" s="51"/>
      <c r="Q754" s="51"/>
      <c r="R754" s="74">
        <f t="shared" si="453"/>
        <v>34.3212708333333</v>
      </c>
      <c r="S754" s="74"/>
      <c r="T754" s="75">
        <f t="shared" si="454"/>
        <v>0.0640411458333333</v>
      </c>
      <c r="U754" s="74"/>
      <c r="V754" s="74"/>
      <c r="W754" s="76">
        <f t="shared" si="449"/>
        <v>34.3853119791667</v>
      </c>
      <c r="X754" s="77">
        <f t="shared" si="455"/>
        <v>0.5683625</v>
      </c>
      <c r="Y754" s="77"/>
      <c r="Z754" s="77"/>
      <c r="AA754" s="77">
        <f t="shared" si="450"/>
        <v>0.5683625</v>
      </c>
      <c r="AB754" s="87">
        <v>7.26</v>
      </c>
      <c r="AC754" s="74">
        <f t="shared" si="451"/>
        <v>4.12631175</v>
      </c>
      <c r="AD754" s="74">
        <f t="shared" si="448"/>
        <v>38.5116237291667</v>
      </c>
      <c r="AE754" s="74">
        <f t="shared" si="452"/>
        <v>30.4883762708333</v>
      </c>
    </row>
    <row r="755" customFormat="1" spans="1:31">
      <c r="A755" s="18"/>
      <c r="B755" s="19"/>
      <c r="C755" s="107">
        <v>240722000022</v>
      </c>
      <c r="D755" s="21">
        <v>45499</v>
      </c>
      <c r="E755" s="21" t="s">
        <v>44</v>
      </c>
      <c r="F755" s="19" t="s">
        <v>45</v>
      </c>
      <c r="G755" s="19" t="s">
        <v>288</v>
      </c>
      <c r="H755" s="19">
        <v>20.5</v>
      </c>
      <c r="I755" s="47"/>
      <c r="J755" s="48">
        <v>237178</v>
      </c>
      <c r="K755" s="43"/>
      <c r="L755" s="49">
        <f t="shared" ref="L755:L757" si="457">SUM(J755/M755)</f>
        <v>1615.32384390111</v>
      </c>
      <c r="M755" s="50">
        <v>146.83</v>
      </c>
      <c r="N755" s="44">
        <v>7.26</v>
      </c>
      <c r="O755" s="45">
        <f t="shared" ref="O755:O757" si="458">SUM(M755*N755)</f>
        <v>1065.9858</v>
      </c>
      <c r="P755" s="51"/>
      <c r="Q755" s="51"/>
      <c r="R755" s="74">
        <f t="shared" si="453"/>
        <v>858.031770833333</v>
      </c>
      <c r="S755" s="74"/>
      <c r="T755" s="75">
        <f t="shared" si="454"/>
        <v>1.60102864583333</v>
      </c>
      <c r="U755" s="74"/>
      <c r="V755" s="74"/>
      <c r="W755" s="76">
        <f t="shared" si="449"/>
        <v>859.632799479167</v>
      </c>
      <c r="X755" s="77">
        <f t="shared" si="455"/>
        <v>14.2090625</v>
      </c>
      <c r="Y755" s="77"/>
      <c r="Z755" s="77"/>
      <c r="AA755" s="77">
        <f t="shared" si="450"/>
        <v>14.2090625</v>
      </c>
      <c r="AB755" s="87">
        <v>7.26</v>
      </c>
      <c r="AC755" s="74">
        <f t="shared" si="451"/>
        <v>103.15779375</v>
      </c>
      <c r="AD755" s="74">
        <f t="shared" si="448"/>
        <v>962.790593229167</v>
      </c>
      <c r="AE755" s="74">
        <f t="shared" si="452"/>
        <v>103.195206770833</v>
      </c>
    </row>
    <row r="756" customFormat="1" spans="1:31">
      <c r="A756" s="18"/>
      <c r="B756" s="19"/>
      <c r="C756" s="107">
        <v>240722000023</v>
      </c>
      <c r="D756" s="21">
        <v>45499</v>
      </c>
      <c r="E756" s="21" t="s">
        <v>44</v>
      </c>
      <c r="F756" s="19" t="s">
        <v>45</v>
      </c>
      <c r="G756" s="19" t="s">
        <v>72</v>
      </c>
      <c r="H756" s="19">
        <v>0.55</v>
      </c>
      <c r="I756" s="47"/>
      <c r="J756" s="48">
        <v>13923</v>
      </c>
      <c r="K756" s="43"/>
      <c r="L756" s="49">
        <f t="shared" si="457"/>
        <v>1605.88235294118</v>
      </c>
      <c r="M756" s="50">
        <v>8.67</v>
      </c>
      <c r="N756" s="44">
        <v>7.26</v>
      </c>
      <c r="O756" s="45">
        <f t="shared" si="458"/>
        <v>62.9442</v>
      </c>
      <c r="P756" s="51"/>
      <c r="Q756" s="51"/>
      <c r="R756" s="74">
        <f t="shared" si="453"/>
        <v>23.0203645833333</v>
      </c>
      <c r="S756" s="74"/>
      <c r="T756" s="75">
        <f t="shared" si="454"/>
        <v>0.0429544270833333</v>
      </c>
      <c r="U756" s="74"/>
      <c r="V756" s="74"/>
      <c r="W756" s="76">
        <f t="shared" si="449"/>
        <v>23.0633190104167</v>
      </c>
      <c r="X756" s="77">
        <f t="shared" si="455"/>
        <v>0.38121875</v>
      </c>
      <c r="Y756" s="77"/>
      <c r="Z756" s="77"/>
      <c r="AA756" s="77">
        <f t="shared" si="450"/>
        <v>0.38121875</v>
      </c>
      <c r="AB756" s="87">
        <v>7.26</v>
      </c>
      <c r="AC756" s="74">
        <f t="shared" si="451"/>
        <v>2.767648125</v>
      </c>
      <c r="AD756" s="74">
        <f t="shared" si="448"/>
        <v>25.8309671354167</v>
      </c>
      <c r="AE756" s="74">
        <f t="shared" si="452"/>
        <v>37.1132328645833</v>
      </c>
    </row>
    <row r="757" customFormat="1" spans="1:31">
      <c r="A757" s="18"/>
      <c r="B757" s="19"/>
      <c r="C757" s="107">
        <v>240722000024</v>
      </c>
      <c r="D757" s="21">
        <v>45499</v>
      </c>
      <c r="E757" s="21" t="s">
        <v>58</v>
      </c>
      <c r="F757" s="19" t="s">
        <v>59</v>
      </c>
      <c r="G757" s="19" t="s">
        <v>120</v>
      </c>
      <c r="H757" s="19">
        <v>0.7</v>
      </c>
      <c r="I757" s="47"/>
      <c r="J757" s="48">
        <v>14112</v>
      </c>
      <c r="K757" s="43"/>
      <c r="L757" s="49">
        <f t="shared" si="457"/>
        <v>1627.68166089965</v>
      </c>
      <c r="M757" s="50">
        <v>8.67</v>
      </c>
      <c r="N757" s="44">
        <v>7.26</v>
      </c>
      <c r="O757" s="45">
        <f t="shared" si="458"/>
        <v>62.9442</v>
      </c>
      <c r="P757" s="51"/>
      <c r="Q757" s="51"/>
      <c r="R757" s="74">
        <f t="shared" si="453"/>
        <v>29.2986458333333</v>
      </c>
      <c r="S757" s="74"/>
      <c r="T757" s="75">
        <f t="shared" si="454"/>
        <v>0.0546692708333333</v>
      </c>
      <c r="U757" s="74"/>
      <c r="V757" s="74"/>
      <c r="W757" s="76">
        <f t="shared" si="449"/>
        <v>29.3533151041667</v>
      </c>
      <c r="X757" s="77">
        <f t="shared" si="455"/>
        <v>0.4851875</v>
      </c>
      <c r="Y757" s="77"/>
      <c r="Z757" s="77"/>
      <c r="AA757" s="77">
        <f t="shared" si="450"/>
        <v>0.4851875</v>
      </c>
      <c r="AB757" s="87">
        <v>7.26</v>
      </c>
      <c r="AC757" s="74">
        <f t="shared" si="451"/>
        <v>3.52246125</v>
      </c>
      <c r="AD757" s="74">
        <f t="shared" si="448"/>
        <v>32.8757763541667</v>
      </c>
      <c r="AE757" s="74">
        <f t="shared" si="452"/>
        <v>30.0684236458333</v>
      </c>
    </row>
    <row r="758" customFormat="1" spans="1:31">
      <c r="A758" s="18"/>
      <c r="B758" s="19"/>
      <c r="C758" s="107">
        <v>240722000027</v>
      </c>
      <c r="D758" s="21">
        <v>45499</v>
      </c>
      <c r="E758" s="21" t="s">
        <v>37</v>
      </c>
      <c r="F758" s="19" t="s">
        <v>37</v>
      </c>
      <c r="G758" s="19" t="s">
        <v>499</v>
      </c>
      <c r="H758" s="19">
        <v>10</v>
      </c>
      <c r="I758" s="41">
        <v>665</v>
      </c>
      <c r="J758" s="42"/>
      <c r="K758" s="43"/>
      <c r="L758" s="19"/>
      <c r="M758" s="43"/>
      <c r="N758" s="44"/>
      <c r="O758" s="45">
        <f t="shared" ref="O758:O761" si="459">SUM(I758)</f>
        <v>665</v>
      </c>
      <c r="P758" s="51"/>
      <c r="Q758" s="51"/>
      <c r="R758" s="74">
        <f t="shared" si="453"/>
        <v>418.552083333333</v>
      </c>
      <c r="S758" s="74"/>
      <c r="T758" s="75">
        <f t="shared" si="454"/>
        <v>0.780989583333333</v>
      </c>
      <c r="U758" s="74"/>
      <c r="V758" s="74"/>
      <c r="W758" s="76">
        <f t="shared" si="449"/>
        <v>419.333072916667</v>
      </c>
      <c r="X758" s="77">
        <f t="shared" si="455"/>
        <v>6.93125</v>
      </c>
      <c r="Y758" s="77"/>
      <c r="Z758" s="77"/>
      <c r="AA758" s="77">
        <f t="shared" si="450"/>
        <v>6.93125</v>
      </c>
      <c r="AB758" s="87">
        <v>7.26</v>
      </c>
      <c r="AC758" s="74">
        <f t="shared" si="451"/>
        <v>50.320875</v>
      </c>
      <c r="AD758" s="74">
        <f t="shared" si="448"/>
        <v>469.653947916667</v>
      </c>
      <c r="AE758" s="74">
        <f t="shared" si="452"/>
        <v>195.346052083333</v>
      </c>
    </row>
    <row r="759" customFormat="1" spans="1:31">
      <c r="A759" s="18"/>
      <c r="B759" s="19"/>
      <c r="C759" s="107">
        <v>240722000036</v>
      </c>
      <c r="D759" s="21">
        <v>45499</v>
      </c>
      <c r="E759" s="21" t="s">
        <v>47</v>
      </c>
      <c r="F759" s="19" t="s">
        <v>48</v>
      </c>
      <c r="G759" s="19" t="s">
        <v>96</v>
      </c>
      <c r="H759" s="19">
        <v>4</v>
      </c>
      <c r="I759" s="41">
        <v>243</v>
      </c>
      <c r="J759" s="42"/>
      <c r="K759" s="43"/>
      <c r="L759" s="19"/>
      <c r="M759" s="43"/>
      <c r="N759" s="44"/>
      <c r="O759" s="45">
        <f t="shared" si="459"/>
        <v>243</v>
      </c>
      <c r="P759" s="51"/>
      <c r="Q759" s="51"/>
      <c r="R759" s="74">
        <f t="shared" si="453"/>
        <v>167.420833333333</v>
      </c>
      <c r="S759" s="74"/>
      <c r="T759" s="75">
        <f t="shared" si="454"/>
        <v>0.312395833333333</v>
      </c>
      <c r="U759" s="74"/>
      <c r="V759" s="74"/>
      <c r="W759" s="76">
        <f t="shared" si="449"/>
        <v>167.733229166667</v>
      </c>
      <c r="X759" s="77">
        <f t="shared" si="455"/>
        <v>2.7725</v>
      </c>
      <c r="Y759" s="77"/>
      <c r="Z759" s="77"/>
      <c r="AA759" s="77">
        <f t="shared" si="450"/>
        <v>2.7725</v>
      </c>
      <c r="AB759" s="87">
        <v>7.26</v>
      </c>
      <c r="AC759" s="74">
        <f t="shared" si="451"/>
        <v>20.12835</v>
      </c>
      <c r="AD759" s="74">
        <f t="shared" si="448"/>
        <v>187.861579166667</v>
      </c>
      <c r="AE759" s="74">
        <f t="shared" si="452"/>
        <v>55.1384208333333</v>
      </c>
    </row>
    <row r="760" customFormat="1" spans="1:31">
      <c r="A760" s="18"/>
      <c r="B760" s="19"/>
      <c r="C760" s="107">
        <v>240722000037</v>
      </c>
      <c r="D760" s="23">
        <v>45499</v>
      </c>
      <c r="E760" s="21" t="s">
        <v>55</v>
      </c>
      <c r="F760" s="24" t="s">
        <v>56</v>
      </c>
      <c r="G760" s="24" t="s">
        <v>500</v>
      </c>
      <c r="H760" s="24">
        <v>4</v>
      </c>
      <c r="I760" s="41">
        <v>268</v>
      </c>
      <c r="J760" s="42"/>
      <c r="K760" s="43"/>
      <c r="L760" s="19"/>
      <c r="M760" s="43"/>
      <c r="N760" s="44"/>
      <c r="O760" s="45">
        <f t="shared" si="459"/>
        <v>268</v>
      </c>
      <c r="P760" s="51"/>
      <c r="Q760" s="51"/>
      <c r="R760" s="74">
        <f t="shared" si="453"/>
        <v>167.420833333333</v>
      </c>
      <c r="S760" s="74"/>
      <c r="T760" s="75">
        <f t="shared" si="454"/>
        <v>0.312395833333333</v>
      </c>
      <c r="U760" s="74"/>
      <c r="V760" s="74"/>
      <c r="W760" s="76">
        <f t="shared" si="449"/>
        <v>167.733229166667</v>
      </c>
      <c r="X760" s="77">
        <f t="shared" si="455"/>
        <v>2.7725</v>
      </c>
      <c r="Y760" s="77"/>
      <c r="Z760" s="77"/>
      <c r="AA760" s="77">
        <f t="shared" si="450"/>
        <v>2.7725</v>
      </c>
      <c r="AB760" s="87">
        <v>7.26</v>
      </c>
      <c r="AC760" s="74">
        <f t="shared" si="451"/>
        <v>20.12835</v>
      </c>
      <c r="AD760" s="74">
        <f t="shared" si="448"/>
        <v>187.861579166667</v>
      </c>
      <c r="AE760" s="74">
        <f t="shared" si="452"/>
        <v>80.1384208333333</v>
      </c>
    </row>
    <row r="761" customFormat="1" spans="1:31">
      <c r="A761" s="18"/>
      <c r="B761" s="19"/>
      <c r="C761" s="107">
        <v>240722000043</v>
      </c>
      <c r="D761" s="21">
        <v>45499</v>
      </c>
      <c r="E761" s="21" t="s">
        <v>47</v>
      </c>
      <c r="F761" s="19" t="s">
        <v>48</v>
      </c>
      <c r="G761" s="19" t="s">
        <v>501</v>
      </c>
      <c r="H761" s="19">
        <v>29.5</v>
      </c>
      <c r="I761" s="41">
        <v>1770</v>
      </c>
      <c r="J761" s="42"/>
      <c r="K761" s="43"/>
      <c r="L761" s="19"/>
      <c r="M761" s="43"/>
      <c r="N761" s="44"/>
      <c r="O761" s="45">
        <f t="shared" si="459"/>
        <v>1770</v>
      </c>
      <c r="P761" s="51"/>
      <c r="Q761" s="51"/>
      <c r="R761" s="74">
        <f t="shared" si="453"/>
        <v>1234.72864583333</v>
      </c>
      <c r="S761" s="74"/>
      <c r="T761" s="75">
        <f t="shared" si="454"/>
        <v>2.30391927083333</v>
      </c>
      <c r="U761" s="74"/>
      <c r="V761" s="74"/>
      <c r="W761" s="76">
        <f t="shared" si="449"/>
        <v>1237.03256510417</v>
      </c>
      <c r="X761" s="77">
        <f t="shared" si="455"/>
        <v>20.4471875</v>
      </c>
      <c r="Y761" s="77"/>
      <c r="Z761" s="77"/>
      <c r="AA761" s="77">
        <f t="shared" si="450"/>
        <v>20.4471875</v>
      </c>
      <c r="AB761" s="87">
        <v>7.26</v>
      </c>
      <c r="AC761" s="74">
        <f t="shared" si="451"/>
        <v>148.44658125</v>
      </c>
      <c r="AD761" s="74">
        <f t="shared" si="448"/>
        <v>1385.47914635417</v>
      </c>
      <c r="AE761" s="74">
        <f t="shared" si="452"/>
        <v>384.520853645833</v>
      </c>
    </row>
    <row r="762" customFormat="1" spans="1:31">
      <c r="A762" s="18"/>
      <c r="B762" s="19"/>
      <c r="C762" s="107">
        <v>240722000044</v>
      </c>
      <c r="D762" s="21">
        <v>45499</v>
      </c>
      <c r="E762" s="21" t="s">
        <v>40</v>
      </c>
      <c r="F762" s="19" t="s">
        <v>41</v>
      </c>
      <c r="G762" s="19" t="s">
        <v>165</v>
      </c>
      <c r="H762" s="19">
        <v>9.5</v>
      </c>
      <c r="I762" s="47"/>
      <c r="J762" s="48">
        <v>113791</v>
      </c>
      <c r="K762" s="43"/>
      <c r="L762" s="49">
        <f>SUM(J762/M762)</f>
        <v>1640.82191780822</v>
      </c>
      <c r="M762" s="50">
        <v>69.35</v>
      </c>
      <c r="N762" s="44">
        <v>7.26</v>
      </c>
      <c r="O762" s="45">
        <f>SUM(M762*N762)</f>
        <v>503.481</v>
      </c>
      <c r="P762" s="51"/>
      <c r="Q762" s="51"/>
      <c r="R762" s="74">
        <f t="shared" si="453"/>
        <v>397.624479166667</v>
      </c>
      <c r="S762" s="74"/>
      <c r="T762" s="75">
        <f t="shared" si="454"/>
        <v>0.741940104166667</v>
      </c>
      <c r="U762" s="74"/>
      <c r="V762" s="74"/>
      <c r="W762" s="76">
        <f t="shared" si="449"/>
        <v>398.366419270833</v>
      </c>
      <c r="X762" s="77">
        <f t="shared" si="455"/>
        <v>6.5846875</v>
      </c>
      <c r="Y762" s="77"/>
      <c r="Z762" s="77"/>
      <c r="AA762" s="77">
        <f t="shared" si="450"/>
        <v>6.5846875</v>
      </c>
      <c r="AB762" s="87">
        <v>7.26</v>
      </c>
      <c r="AC762" s="74">
        <f t="shared" si="451"/>
        <v>47.80483125</v>
      </c>
      <c r="AD762" s="74">
        <f t="shared" si="448"/>
        <v>446.171250520833</v>
      </c>
      <c r="AE762" s="74">
        <f t="shared" si="452"/>
        <v>57.3097494791667</v>
      </c>
    </row>
    <row r="763" customFormat="1" spans="1:31">
      <c r="A763" s="18"/>
      <c r="B763" s="19"/>
      <c r="C763" s="107">
        <v>240722000049</v>
      </c>
      <c r="D763" s="21">
        <v>45499</v>
      </c>
      <c r="E763" s="21" t="s">
        <v>47</v>
      </c>
      <c r="F763" s="19" t="s">
        <v>48</v>
      </c>
      <c r="G763" s="19" t="s">
        <v>483</v>
      </c>
      <c r="H763" s="19">
        <v>3.5</v>
      </c>
      <c r="I763" s="47"/>
      <c r="J763" s="48">
        <v>48608</v>
      </c>
      <c r="K763" s="43"/>
      <c r="L763" s="49">
        <f>SUM(J763/M763)</f>
        <v>1626.77376171352</v>
      </c>
      <c r="M763" s="50">
        <v>29.88</v>
      </c>
      <c r="N763" s="44">
        <v>7.26</v>
      </c>
      <c r="O763" s="45">
        <f>SUM(M763*N763)</f>
        <v>216.9288</v>
      </c>
      <c r="P763" s="51"/>
      <c r="Q763" s="51"/>
      <c r="R763" s="74">
        <f t="shared" si="453"/>
        <v>146.493229166667</v>
      </c>
      <c r="S763" s="74"/>
      <c r="T763" s="75">
        <f t="shared" si="454"/>
        <v>0.273346354166667</v>
      </c>
      <c r="U763" s="74"/>
      <c r="V763" s="74"/>
      <c r="W763" s="76">
        <f t="shared" si="449"/>
        <v>146.766575520833</v>
      </c>
      <c r="X763" s="77">
        <f t="shared" si="455"/>
        <v>2.4259375</v>
      </c>
      <c r="Y763" s="77"/>
      <c r="Z763" s="77"/>
      <c r="AA763" s="77">
        <f t="shared" si="450"/>
        <v>2.4259375</v>
      </c>
      <c r="AB763" s="87">
        <v>7.26</v>
      </c>
      <c r="AC763" s="74">
        <f t="shared" si="451"/>
        <v>17.61230625</v>
      </c>
      <c r="AD763" s="74">
        <f t="shared" si="448"/>
        <v>164.378881770833</v>
      </c>
      <c r="AE763" s="74">
        <f t="shared" si="452"/>
        <v>52.5499182291667</v>
      </c>
    </row>
    <row r="764" customFormat="1" spans="1:31">
      <c r="A764" s="18"/>
      <c r="B764" s="19"/>
      <c r="C764" s="107">
        <v>240722000054</v>
      </c>
      <c r="D764" s="21">
        <v>45499</v>
      </c>
      <c r="E764" s="21" t="s">
        <v>37</v>
      </c>
      <c r="F764" s="19" t="s">
        <v>37</v>
      </c>
      <c r="G764" s="19" t="s">
        <v>163</v>
      </c>
      <c r="H764" s="19">
        <v>248</v>
      </c>
      <c r="I764" s="41">
        <v>13708</v>
      </c>
      <c r="J764" s="42"/>
      <c r="K764" s="43"/>
      <c r="L764" s="19"/>
      <c r="M764" s="43"/>
      <c r="N764" s="44"/>
      <c r="O764" s="45">
        <f t="shared" ref="O764:O767" si="460">SUM(I764)</f>
        <v>13708</v>
      </c>
      <c r="P764" s="51"/>
      <c r="Q764" s="51"/>
      <c r="R764" s="74">
        <f t="shared" si="453"/>
        <v>10380.0916666667</v>
      </c>
      <c r="S764" s="74"/>
      <c r="T764" s="75">
        <f t="shared" si="454"/>
        <v>19.3685416666667</v>
      </c>
      <c r="U764" s="75">
        <v>60</v>
      </c>
      <c r="V764" s="74"/>
      <c r="W764" s="76">
        <f t="shared" si="449"/>
        <v>10459.4602083333</v>
      </c>
      <c r="X764" s="77">
        <f t="shared" si="455"/>
        <v>171.895</v>
      </c>
      <c r="Y764" s="77"/>
      <c r="Z764" s="77"/>
      <c r="AA764" s="77">
        <f t="shared" si="450"/>
        <v>171.895</v>
      </c>
      <c r="AB764" s="87">
        <v>7.26</v>
      </c>
      <c r="AC764" s="74">
        <f t="shared" si="451"/>
        <v>1247.9577</v>
      </c>
      <c r="AD764" s="74">
        <f t="shared" si="448"/>
        <v>11707.4179083333</v>
      </c>
      <c r="AE764" s="74">
        <f t="shared" si="452"/>
        <v>2000.58209166667</v>
      </c>
    </row>
    <row r="765" customFormat="1" spans="1:31">
      <c r="A765" s="18"/>
      <c r="B765" s="19"/>
      <c r="C765" s="107">
        <v>240722000056</v>
      </c>
      <c r="D765" s="21">
        <v>45499</v>
      </c>
      <c r="E765" s="21" t="s">
        <v>37</v>
      </c>
      <c r="F765" s="19" t="s">
        <v>37</v>
      </c>
      <c r="G765" s="19" t="s">
        <v>367</v>
      </c>
      <c r="H765" s="19">
        <v>0.64</v>
      </c>
      <c r="I765" s="41">
        <v>63</v>
      </c>
      <c r="J765" s="42"/>
      <c r="K765" s="43"/>
      <c r="L765" s="19"/>
      <c r="M765" s="43"/>
      <c r="N765" s="44"/>
      <c r="O765" s="45">
        <f t="shared" si="460"/>
        <v>63</v>
      </c>
      <c r="P765" s="51"/>
      <c r="Q765" s="51"/>
      <c r="R765" s="74">
        <f t="shared" si="453"/>
        <v>26.7873333333333</v>
      </c>
      <c r="S765" s="74"/>
      <c r="T765" s="75">
        <f t="shared" si="454"/>
        <v>0.0499833333333333</v>
      </c>
      <c r="U765" s="74"/>
      <c r="V765" s="74"/>
      <c r="W765" s="76">
        <f t="shared" si="449"/>
        <v>26.8373166666667</v>
      </c>
      <c r="X765" s="77">
        <f t="shared" si="455"/>
        <v>0.4436</v>
      </c>
      <c r="Y765" s="77"/>
      <c r="Z765" s="77"/>
      <c r="AA765" s="77">
        <f t="shared" si="450"/>
        <v>0.4436</v>
      </c>
      <c r="AB765" s="87">
        <v>7.26</v>
      </c>
      <c r="AC765" s="74">
        <f t="shared" si="451"/>
        <v>3.220536</v>
      </c>
      <c r="AD765" s="74">
        <f t="shared" si="448"/>
        <v>30.0578526666667</v>
      </c>
      <c r="AE765" s="74">
        <f t="shared" si="452"/>
        <v>32.9421473333333</v>
      </c>
    </row>
    <row r="766" customFormat="1" spans="1:31">
      <c r="A766" s="18"/>
      <c r="B766" s="19"/>
      <c r="C766" s="107">
        <v>240723000006</v>
      </c>
      <c r="D766" s="21">
        <v>45499</v>
      </c>
      <c r="E766" s="21" t="s">
        <v>40</v>
      </c>
      <c r="F766" s="19" t="s">
        <v>41</v>
      </c>
      <c r="G766" s="19" t="s">
        <v>502</v>
      </c>
      <c r="H766" s="19">
        <v>4</v>
      </c>
      <c r="I766" s="41">
        <v>267</v>
      </c>
      <c r="J766" s="42"/>
      <c r="K766" s="43"/>
      <c r="L766" s="19"/>
      <c r="M766" s="43"/>
      <c r="N766" s="44"/>
      <c r="O766" s="45">
        <f t="shared" si="460"/>
        <v>267</v>
      </c>
      <c r="P766" s="51"/>
      <c r="Q766" s="51"/>
      <c r="R766" s="74">
        <f t="shared" si="453"/>
        <v>167.420833333333</v>
      </c>
      <c r="S766" s="74"/>
      <c r="T766" s="75">
        <f t="shared" si="454"/>
        <v>0.312395833333333</v>
      </c>
      <c r="U766" s="74"/>
      <c r="V766" s="74"/>
      <c r="W766" s="76">
        <f t="shared" si="449"/>
        <v>167.733229166667</v>
      </c>
      <c r="X766" s="77">
        <f t="shared" si="455"/>
        <v>2.7725</v>
      </c>
      <c r="Y766" s="77"/>
      <c r="Z766" s="77"/>
      <c r="AA766" s="77">
        <f t="shared" si="450"/>
        <v>2.7725</v>
      </c>
      <c r="AB766" s="87">
        <v>7.26</v>
      </c>
      <c r="AC766" s="74">
        <f t="shared" si="451"/>
        <v>20.12835</v>
      </c>
      <c r="AD766" s="74">
        <f t="shared" si="448"/>
        <v>187.861579166667</v>
      </c>
      <c r="AE766" s="74">
        <f t="shared" si="452"/>
        <v>79.1384208333333</v>
      </c>
    </row>
    <row r="767" customFormat="1" spans="1:31">
      <c r="A767" s="18"/>
      <c r="B767" s="19"/>
      <c r="C767" s="107">
        <v>240723000010</v>
      </c>
      <c r="D767" s="21">
        <v>45499</v>
      </c>
      <c r="E767" s="21" t="s">
        <v>44</v>
      </c>
      <c r="F767" s="19" t="s">
        <v>45</v>
      </c>
      <c r="G767" s="19" t="s">
        <v>290</v>
      </c>
      <c r="H767" s="19">
        <v>5</v>
      </c>
      <c r="I767" s="41">
        <v>333</v>
      </c>
      <c r="J767" s="42"/>
      <c r="K767" s="43"/>
      <c r="L767" s="19"/>
      <c r="M767" s="43"/>
      <c r="N767" s="44"/>
      <c r="O767" s="45">
        <f t="shared" si="460"/>
        <v>333</v>
      </c>
      <c r="P767" s="51"/>
      <c r="Q767" s="51"/>
      <c r="R767" s="74">
        <f t="shared" si="453"/>
        <v>209.276041666667</v>
      </c>
      <c r="S767" s="74"/>
      <c r="T767" s="75">
        <f t="shared" si="454"/>
        <v>0.390494791666667</v>
      </c>
      <c r="U767" s="74"/>
      <c r="V767" s="74"/>
      <c r="W767" s="76">
        <f t="shared" si="449"/>
        <v>209.666536458333</v>
      </c>
      <c r="X767" s="77">
        <f t="shared" si="455"/>
        <v>3.465625</v>
      </c>
      <c r="Y767" s="77"/>
      <c r="Z767" s="77"/>
      <c r="AA767" s="77">
        <f t="shared" si="450"/>
        <v>3.465625</v>
      </c>
      <c r="AB767" s="87">
        <v>7.26</v>
      </c>
      <c r="AC767" s="74">
        <f t="shared" si="451"/>
        <v>25.1604375</v>
      </c>
      <c r="AD767" s="74">
        <f t="shared" si="448"/>
        <v>234.826973958333</v>
      </c>
      <c r="AE767" s="74">
        <f t="shared" si="452"/>
        <v>98.1730260416667</v>
      </c>
    </row>
    <row r="768" customFormat="1" spans="1:31">
      <c r="A768" s="18"/>
      <c r="B768" s="19"/>
      <c r="C768" s="107">
        <v>240723000014</v>
      </c>
      <c r="D768" s="21">
        <v>45499</v>
      </c>
      <c r="E768" s="21" t="s">
        <v>40</v>
      </c>
      <c r="F768" s="19" t="s">
        <v>41</v>
      </c>
      <c r="G768" s="19" t="s">
        <v>328</v>
      </c>
      <c r="H768" s="19">
        <v>11.5</v>
      </c>
      <c r="I768" s="47"/>
      <c r="J768" s="48">
        <v>135919</v>
      </c>
      <c r="K768" s="43"/>
      <c r="L768" s="49">
        <f t="shared" ref="L768:L773" si="461">SUM(J768/M768)</f>
        <v>1619.04705181656</v>
      </c>
      <c r="M768" s="50">
        <v>83.95</v>
      </c>
      <c r="N768" s="44">
        <v>7.26</v>
      </c>
      <c r="O768" s="45">
        <f t="shared" ref="O768:O773" si="462">SUM(M768*N768)</f>
        <v>609.477</v>
      </c>
      <c r="P768" s="51"/>
      <c r="Q768" s="51"/>
      <c r="R768" s="74">
        <f t="shared" si="453"/>
        <v>481.334895833333</v>
      </c>
      <c r="S768" s="74"/>
      <c r="T768" s="75">
        <f t="shared" si="454"/>
        <v>0.898138020833333</v>
      </c>
      <c r="U768" s="74"/>
      <c r="V768" s="74"/>
      <c r="W768" s="76">
        <f t="shared" si="449"/>
        <v>482.233033854167</v>
      </c>
      <c r="X768" s="77">
        <f t="shared" si="455"/>
        <v>7.9709375</v>
      </c>
      <c r="Y768" s="77"/>
      <c r="Z768" s="77"/>
      <c r="AA768" s="77">
        <f t="shared" si="450"/>
        <v>7.9709375</v>
      </c>
      <c r="AB768" s="87">
        <v>7.26</v>
      </c>
      <c r="AC768" s="74">
        <f t="shared" si="451"/>
        <v>57.86900625</v>
      </c>
      <c r="AD768" s="74">
        <f t="shared" si="448"/>
        <v>540.102040104167</v>
      </c>
      <c r="AE768" s="74">
        <f t="shared" si="452"/>
        <v>69.3749598958333</v>
      </c>
    </row>
    <row r="769" customFormat="1" spans="1:31">
      <c r="A769" s="18"/>
      <c r="B769" s="19"/>
      <c r="C769" s="107">
        <v>240723000018</v>
      </c>
      <c r="D769" s="21">
        <v>45499</v>
      </c>
      <c r="E769" s="21" t="s">
        <v>58</v>
      </c>
      <c r="F769" s="19" t="s">
        <v>59</v>
      </c>
      <c r="G769" s="19" t="s">
        <v>120</v>
      </c>
      <c r="H769" s="19">
        <v>0.93</v>
      </c>
      <c r="I769" s="47"/>
      <c r="J769" s="48">
        <v>14112</v>
      </c>
      <c r="K769" s="43"/>
      <c r="L769" s="49">
        <f t="shared" si="461"/>
        <v>1627.68166089965</v>
      </c>
      <c r="M769" s="50">
        <v>8.67</v>
      </c>
      <c r="N769" s="44">
        <v>7.26</v>
      </c>
      <c r="O769" s="45">
        <f t="shared" si="462"/>
        <v>62.9442</v>
      </c>
      <c r="P769" s="51"/>
      <c r="Q769" s="51"/>
      <c r="R769" s="74">
        <f t="shared" si="453"/>
        <v>38.92534375</v>
      </c>
      <c r="S769" s="74"/>
      <c r="T769" s="75">
        <f t="shared" si="454"/>
        <v>0.07263203125</v>
      </c>
      <c r="U769" s="74"/>
      <c r="V769" s="74"/>
      <c r="W769" s="76">
        <f t="shared" si="449"/>
        <v>38.99797578125</v>
      </c>
      <c r="X769" s="77">
        <f t="shared" si="455"/>
        <v>0.64460625</v>
      </c>
      <c r="Y769" s="77"/>
      <c r="Z769" s="77"/>
      <c r="AA769" s="77">
        <f t="shared" si="450"/>
        <v>0.64460625</v>
      </c>
      <c r="AB769" s="87">
        <v>7.26</v>
      </c>
      <c r="AC769" s="74">
        <f t="shared" si="451"/>
        <v>4.679841375</v>
      </c>
      <c r="AD769" s="74">
        <f t="shared" si="448"/>
        <v>43.67781715625</v>
      </c>
      <c r="AE769" s="74">
        <f t="shared" si="452"/>
        <v>19.26638284375</v>
      </c>
    </row>
    <row r="770" customFormat="1" spans="1:31">
      <c r="A770" s="18"/>
      <c r="B770" s="19"/>
      <c r="C770" s="107">
        <v>240723000020</v>
      </c>
      <c r="D770" s="21">
        <v>45499</v>
      </c>
      <c r="E770" s="21" t="s">
        <v>44</v>
      </c>
      <c r="F770" s="19" t="s">
        <v>45</v>
      </c>
      <c r="G770" s="19" t="s">
        <v>503</v>
      </c>
      <c r="H770" s="19">
        <v>0.14</v>
      </c>
      <c r="I770" s="41">
        <v>63</v>
      </c>
      <c r="J770" s="42"/>
      <c r="K770" s="43"/>
      <c r="L770" s="19"/>
      <c r="M770" s="43"/>
      <c r="N770" s="44"/>
      <c r="O770" s="45">
        <f t="shared" ref="O770:O775" si="463">SUM(I770)</f>
        <v>63</v>
      </c>
      <c r="P770" s="51"/>
      <c r="Q770" s="51"/>
      <c r="R770" s="74">
        <f t="shared" si="453"/>
        <v>5.85972916666667</v>
      </c>
      <c r="S770" s="74"/>
      <c r="T770" s="75">
        <f t="shared" si="454"/>
        <v>0.0109338541666667</v>
      </c>
      <c r="U770" s="74"/>
      <c r="V770" s="74"/>
      <c r="W770" s="76">
        <f t="shared" si="449"/>
        <v>5.87066302083333</v>
      </c>
      <c r="X770" s="77">
        <f t="shared" si="455"/>
        <v>0.0970375</v>
      </c>
      <c r="Y770" s="77"/>
      <c r="Z770" s="77"/>
      <c r="AA770" s="77">
        <f t="shared" si="450"/>
        <v>0.0970375</v>
      </c>
      <c r="AB770" s="87">
        <v>7.26</v>
      </c>
      <c r="AC770" s="74">
        <f t="shared" si="451"/>
        <v>0.70449225</v>
      </c>
      <c r="AD770" s="74">
        <f t="shared" si="448"/>
        <v>6.57515527083333</v>
      </c>
      <c r="AE770" s="74">
        <f t="shared" si="452"/>
        <v>56.4248447291667</v>
      </c>
    </row>
    <row r="771" customFormat="1" spans="1:31">
      <c r="A771" s="18"/>
      <c r="B771" s="19"/>
      <c r="C771" s="107">
        <v>240723000024</v>
      </c>
      <c r="D771" s="21">
        <v>45499</v>
      </c>
      <c r="E771" s="21" t="s">
        <v>40</v>
      </c>
      <c r="F771" s="19" t="s">
        <v>41</v>
      </c>
      <c r="G771" s="19" t="s">
        <v>165</v>
      </c>
      <c r="H771" s="19">
        <v>5</v>
      </c>
      <c r="I771" s="47"/>
      <c r="J771" s="48">
        <v>59890</v>
      </c>
      <c r="K771" s="43"/>
      <c r="L771" s="49">
        <f t="shared" si="461"/>
        <v>1640.82191780822</v>
      </c>
      <c r="M771" s="50">
        <v>36.5</v>
      </c>
      <c r="N771" s="44">
        <v>7.26</v>
      </c>
      <c r="O771" s="45">
        <f t="shared" si="462"/>
        <v>264.99</v>
      </c>
      <c r="P771" s="51"/>
      <c r="Q771" s="51"/>
      <c r="R771" s="74">
        <f t="shared" si="453"/>
        <v>209.276041666667</v>
      </c>
      <c r="S771" s="74"/>
      <c r="T771" s="75">
        <f t="shared" si="454"/>
        <v>0.390494791666667</v>
      </c>
      <c r="U771" s="74"/>
      <c r="V771" s="74"/>
      <c r="W771" s="76">
        <f t="shared" si="449"/>
        <v>209.666536458333</v>
      </c>
      <c r="X771" s="77">
        <f t="shared" si="455"/>
        <v>3.465625</v>
      </c>
      <c r="Y771" s="77"/>
      <c r="Z771" s="77"/>
      <c r="AA771" s="77">
        <f t="shared" si="450"/>
        <v>3.465625</v>
      </c>
      <c r="AB771" s="87">
        <v>7.26</v>
      </c>
      <c r="AC771" s="74">
        <f t="shared" si="451"/>
        <v>25.1604375</v>
      </c>
      <c r="AD771" s="74">
        <f t="shared" si="448"/>
        <v>234.826973958333</v>
      </c>
      <c r="AE771" s="74">
        <f t="shared" si="452"/>
        <v>30.1630260416667</v>
      </c>
    </row>
    <row r="772" customFormat="1" spans="1:31">
      <c r="A772" s="18"/>
      <c r="B772" s="19"/>
      <c r="C772" s="107">
        <v>240723000025</v>
      </c>
      <c r="D772" s="21">
        <v>45499</v>
      </c>
      <c r="E772" s="21" t="s">
        <v>37</v>
      </c>
      <c r="F772" s="19" t="s">
        <v>53</v>
      </c>
      <c r="G772" s="19" t="s">
        <v>115</v>
      </c>
      <c r="H772" s="19">
        <v>427</v>
      </c>
      <c r="I772" s="45"/>
      <c r="J772" s="48">
        <v>5272153.6</v>
      </c>
      <c r="K772" s="43"/>
      <c r="L772" s="49">
        <f t="shared" si="461"/>
        <v>1624</v>
      </c>
      <c r="M772" s="50">
        <v>3246.4</v>
      </c>
      <c r="N772" s="44">
        <v>7.26</v>
      </c>
      <c r="O772" s="45">
        <f t="shared" si="462"/>
        <v>23568.864</v>
      </c>
      <c r="P772" s="51"/>
      <c r="Q772" s="51"/>
      <c r="R772" s="74">
        <f t="shared" si="453"/>
        <v>17872.1739583333</v>
      </c>
      <c r="S772" s="74"/>
      <c r="T772" s="75">
        <f t="shared" si="454"/>
        <v>33.3482552083333</v>
      </c>
      <c r="U772" s="74"/>
      <c r="V772" s="74"/>
      <c r="W772" s="76">
        <f t="shared" si="449"/>
        <v>17905.5222135417</v>
      </c>
      <c r="X772" s="77">
        <f t="shared" si="455"/>
        <v>295.964375</v>
      </c>
      <c r="Y772" s="77"/>
      <c r="Z772" s="77"/>
      <c r="AA772" s="77">
        <f t="shared" si="450"/>
        <v>295.964375</v>
      </c>
      <c r="AB772" s="87">
        <v>7.26</v>
      </c>
      <c r="AC772" s="74">
        <f t="shared" si="451"/>
        <v>2148.7013625</v>
      </c>
      <c r="AD772" s="74">
        <f t="shared" si="448"/>
        <v>20054.2235760417</v>
      </c>
      <c r="AE772" s="74">
        <f t="shared" si="452"/>
        <v>3514.64042395834</v>
      </c>
    </row>
    <row r="773" customFormat="1" spans="1:31">
      <c r="A773" s="18"/>
      <c r="B773" s="19"/>
      <c r="C773" s="107">
        <v>240723000026</v>
      </c>
      <c r="D773" s="21">
        <v>45499</v>
      </c>
      <c r="E773" s="21" t="s">
        <v>37</v>
      </c>
      <c r="F773" s="19" t="s">
        <v>53</v>
      </c>
      <c r="G773" s="19" t="s">
        <v>54</v>
      </c>
      <c r="H773" s="19">
        <v>24.5</v>
      </c>
      <c r="I773" s="45"/>
      <c r="J773" s="48">
        <v>304337.6</v>
      </c>
      <c r="K773" s="43"/>
      <c r="L773" s="49">
        <f t="shared" si="461"/>
        <v>1624</v>
      </c>
      <c r="M773" s="50">
        <v>187.4</v>
      </c>
      <c r="N773" s="44">
        <v>7.26</v>
      </c>
      <c r="O773" s="45">
        <f t="shared" si="462"/>
        <v>1360.524</v>
      </c>
      <c r="P773" s="51"/>
      <c r="Q773" s="51"/>
      <c r="R773" s="74">
        <f t="shared" si="453"/>
        <v>1025.45260416667</v>
      </c>
      <c r="S773" s="74"/>
      <c r="T773" s="75">
        <f t="shared" si="454"/>
        <v>1.91342447916667</v>
      </c>
      <c r="U773" s="74"/>
      <c r="V773" s="74"/>
      <c r="W773" s="76">
        <f t="shared" si="449"/>
        <v>1027.36602864583</v>
      </c>
      <c r="X773" s="77">
        <f t="shared" si="455"/>
        <v>16.9815625</v>
      </c>
      <c r="Y773" s="77"/>
      <c r="Z773" s="77"/>
      <c r="AA773" s="77">
        <f t="shared" si="450"/>
        <v>16.9815625</v>
      </c>
      <c r="AB773" s="87">
        <v>7.26</v>
      </c>
      <c r="AC773" s="74">
        <f t="shared" si="451"/>
        <v>123.28614375</v>
      </c>
      <c r="AD773" s="74">
        <f t="shared" si="448"/>
        <v>1150.65217239583</v>
      </c>
      <c r="AE773" s="74">
        <f t="shared" si="452"/>
        <v>209.871827604167</v>
      </c>
    </row>
    <row r="774" customFormat="1" spans="1:31">
      <c r="A774" s="18"/>
      <c r="B774" s="19"/>
      <c r="C774" s="107">
        <v>240723000037</v>
      </c>
      <c r="D774" s="21">
        <v>45499</v>
      </c>
      <c r="E774" s="21" t="s">
        <v>40</v>
      </c>
      <c r="F774" s="19" t="s">
        <v>41</v>
      </c>
      <c r="G774" s="19" t="s">
        <v>118</v>
      </c>
      <c r="H774" s="19">
        <v>103.5</v>
      </c>
      <c r="I774" s="41">
        <v>6562</v>
      </c>
      <c r="J774" s="42"/>
      <c r="K774" s="43"/>
      <c r="L774" s="19"/>
      <c r="M774" s="43"/>
      <c r="N774" s="44"/>
      <c r="O774" s="45">
        <f t="shared" si="463"/>
        <v>6562</v>
      </c>
      <c r="P774" s="51"/>
      <c r="Q774" s="51"/>
      <c r="R774" s="74">
        <f t="shared" si="453"/>
        <v>4332.0140625</v>
      </c>
      <c r="S774" s="74"/>
      <c r="T774" s="75">
        <f t="shared" si="454"/>
        <v>8.0832421875</v>
      </c>
      <c r="U774" s="75">
        <v>240</v>
      </c>
      <c r="V774" s="74"/>
      <c r="W774" s="76">
        <f t="shared" si="449"/>
        <v>4580.0973046875</v>
      </c>
      <c r="X774" s="77">
        <f t="shared" si="455"/>
        <v>71.7384375</v>
      </c>
      <c r="Y774" s="77"/>
      <c r="Z774" s="77"/>
      <c r="AA774" s="77">
        <f t="shared" si="450"/>
        <v>71.7384375</v>
      </c>
      <c r="AB774" s="87">
        <v>7.26</v>
      </c>
      <c r="AC774" s="74">
        <f t="shared" si="451"/>
        <v>520.82105625</v>
      </c>
      <c r="AD774" s="74">
        <f t="shared" si="448"/>
        <v>5100.9183609375</v>
      </c>
      <c r="AE774" s="74">
        <f t="shared" si="452"/>
        <v>1461.0816390625</v>
      </c>
    </row>
    <row r="775" customFormat="1" spans="1:31">
      <c r="A775" s="18"/>
      <c r="B775" s="19"/>
      <c r="C775" s="107">
        <v>240723000042</v>
      </c>
      <c r="D775" s="21">
        <v>45499</v>
      </c>
      <c r="E775" s="21" t="s">
        <v>37</v>
      </c>
      <c r="F775" s="19" t="s">
        <v>37</v>
      </c>
      <c r="G775" s="19" t="s">
        <v>71</v>
      </c>
      <c r="H775" s="19">
        <v>17.5</v>
      </c>
      <c r="I775" s="41">
        <v>1038.5</v>
      </c>
      <c r="J775" s="42"/>
      <c r="K775" s="43"/>
      <c r="L775" s="19"/>
      <c r="M775" s="43"/>
      <c r="N775" s="44"/>
      <c r="O775" s="45">
        <f t="shared" si="463"/>
        <v>1038.5</v>
      </c>
      <c r="P775" s="51"/>
      <c r="Q775" s="51"/>
      <c r="R775" s="74">
        <f t="shared" si="453"/>
        <v>732.466145833333</v>
      </c>
      <c r="S775" s="74"/>
      <c r="T775" s="75">
        <f t="shared" si="454"/>
        <v>1.36673177083333</v>
      </c>
      <c r="U775" s="74"/>
      <c r="V775" s="74"/>
      <c r="W775" s="76">
        <f t="shared" si="449"/>
        <v>733.832877604167</v>
      </c>
      <c r="X775" s="77">
        <f t="shared" si="455"/>
        <v>12.1296875</v>
      </c>
      <c r="Y775" s="77"/>
      <c r="Z775" s="77"/>
      <c r="AA775" s="77">
        <f t="shared" si="450"/>
        <v>12.1296875</v>
      </c>
      <c r="AB775" s="87">
        <v>7.26</v>
      </c>
      <c r="AC775" s="74">
        <f t="shared" si="451"/>
        <v>88.06153125</v>
      </c>
      <c r="AD775" s="74">
        <f t="shared" si="448"/>
        <v>821.894408854167</v>
      </c>
      <c r="AE775" s="74">
        <f t="shared" si="452"/>
        <v>216.605591145833</v>
      </c>
    </row>
    <row r="776" customFormat="1" spans="1:31">
      <c r="A776" s="18"/>
      <c r="B776" s="19"/>
      <c r="C776" s="107">
        <v>240723000044</v>
      </c>
      <c r="D776" s="21">
        <v>45499</v>
      </c>
      <c r="E776" s="21" t="s">
        <v>40</v>
      </c>
      <c r="F776" s="19" t="s">
        <v>41</v>
      </c>
      <c r="G776" s="19" t="s">
        <v>317</v>
      </c>
      <c r="H776" s="19">
        <v>28.5</v>
      </c>
      <c r="I776" s="47"/>
      <c r="J776" s="48">
        <v>336841.5</v>
      </c>
      <c r="K776" s="43"/>
      <c r="L776" s="49">
        <f>SUM(J776/M776)</f>
        <v>1619.04109589041</v>
      </c>
      <c r="M776" s="50">
        <v>208.05</v>
      </c>
      <c r="N776" s="44">
        <v>7.26</v>
      </c>
      <c r="O776" s="45">
        <f>SUM(M776*N776)</f>
        <v>1510.443</v>
      </c>
      <c r="P776" s="51"/>
      <c r="Q776" s="51"/>
      <c r="R776" s="74">
        <f t="shared" si="453"/>
        <v>1192.8734375</v>
      </c>
      <c r="S776" s="74"/>
      <c r="T776" s="75">
        <f t="shared" si="454"/>
        <v>2.2258203125</v>
      </c>
      <c r="U776" s="74"/>
      <c r="V776" s="74">
        <v>15.5</v>
      </c>
      <c r="W776" s="76">
        <f t="shared" si="449"/>
        <v>1210.5992578125</v>
      </c>
      <c r="X776" s="77">
        <f t="shared" si="455"/>
        <v>19.7540625</v>
      </c>
      <c r="Y776" s="77"/>
      <c r="Z776" s="77"/>
      <c r="AA776" s="77">
        <f t="shared" si="450"/>
        <v>19.7540625</v>
      </c>
      <c r="AB776" s="87">
        <v>7.26</v>
      </c>
      <c r="AC776" s="74">
        <f t="shared" si="451"/>
        <v>143.41449375</v>
      </c>
      <c r="AD776" s="74">
        <f t="shared" si="448"/>
        <v>1354.0137515625</v>
      </c>
      <c r="AE776" s="74">
        <f t="shared" si="452"/>
        <v>156.4292484375</v>
      </c>
    </row>
    <row r="777" customFormat="1" spans="1:31">
      <c r="A777" s="18"/>
      <c r="B777" s="19"/>
      <c r="C777" s="107">
        <v>240723000047</v>
      </c>
      <c r="D777" s="21">
        <v>45499</v>
      </c>
      <c r="E777" s="21" t="s">
        <v>58</v>
      </c>
      <c r="F777" s="19" t="s">
        <v>59</v>
      </c>
      <c r="G777" s="19" t="s">
        <v>490</v>
      </c>
      <c r="H777" s="19">
        <v>4</v>
      </c>
      <c r="I777" s="41">
        <v>258.5</v>
      </c>
      <c r="J777" s="42"/>
      <c r="K777" s="43"/>
      <c r="L777" s="19"/>
      <c r="M777" s="43"/>
      <c r="N777" s="44"/>
      <c r="O777" s="45">
        <f t="shared" ref="O777:O781" si="464">SUM(I777)</f>
        <v>258.5</v>
      </c>
      <c r="P777" s="51"/>
      <c r="Q777" s="51"/>
      <c r="R777" s="74">
        <f t="shared" si="453"/>
        <v>167.420833333333</v>
      </c>
      <c r="S777" s="74"/>
      <c r="T777" s="75">
        <f t="shared" si="454"/>
        <v>0.312395833333333</v>
      </c>
      <c r="U777" s="74"/>
      <c r="V777" s="74"/>
      <c r="W777" s="76">
        <f t="shared" si="449"/>
        <v>167.733229166667</v>
      </c>
      <c r="X777" s="77">
        <f t="shared" si="455"/>
        <v>2.7725</v>
      </c>
      <c r="Y777" s="77"/>
      <c r="Z777" s="77"/>
      <c r="AA777" s="77">
        <f t="shared" si="450"/>
        <v>2.7725</v>
      </c>
      <c r="AB777" s="87">
        <v>7.26</v>
      </c>
      <c r="AC777" s="74">
        <f t="shared" si="451"/>
        <v>20.12835</v>
      </c>
      <c r="AD777" s="74">
        <f t="shared" si="448"/>
        <v>187.861579166667</v>
      </c>
      <c r="AE777" s="74">
        <f t="shared" si="452"/>
        <v>70.6384208333333</v>
      </c>
    </row>
    <row r="778" customFormat="1" spans="1:31">
      <c r="A778" s="18"/>
      <c r="B778" s="19"/>
      <c r="C778" s="107">
        <v>240723000048</v>
      </c>
      <c r="D778" s="21">
        <v>45499</v>
      </c>
      <c r="E778" s="21" t="s">
        <v>58</v>
      </c>
      <c r="F778" s="19" t="s">
        <v>59</v>
      </c>
      <c r="G778" s="19" t="s">
        <v>133</v>
      </c>
      <c r="H778" s="19">
        <v>18.5</v>
      </c>
      <c r="I778" s="41">
        <v>1270.95</v>
      </c>
      <c r="J778" s="42"/>
      <c r="K778" s="43"/>
      <c r="L778" s="19"/>
      <c r="M778" s="43"/>
      <c r="N778" s="44"/>
      <c r="O778" s="45">
        <f t="shared" si="464"/>
        <v>1270.95</v>
      </c>
      <c r="P778" s="51"/>
      <c r="Q778" s="51"/>
      <c r="R778" s="74">
        <f t="shared" si="453"/>
        <v>774.321354166667</v>
      </c>
      <c r="S778" s="74"/>
      <c r="T778" s="75">
        <f t="shared" si="454"/>
        <v>1.44483072916667</v>
      </c>
      <c r="U778" s="74"/>
      <c r="V778" s="74"/>
      <c r="W778" s="76">
        <f t="shared" si="449"/>
        <v>775.766184895833</v>
      </c>
      <c r="X778" s="77">
        <f t="shared" si="455"/>
        <v>12.8228125</v>
      </c>
      <c r="Y778" s="77"/>
      <c r="Z778" s="77"/>
      <c r="AA778" s="77">
        <f t="shared" si="450"/>
        <v>12.8228125</v>
      </c>
      <c r="AB778" s="87">
        <v>7.26</v>
      </c>
      <c r="AC778" s="74">
        <f t="shared" si="451"/>
        <v>93.09361875</v>
      </c>
      <c r="AD778" s="74">
        <f t="shared" si="448"/>
        <v>868.859803645833</v>
      </c>
      <c r="AE778" s="74">
        <f t="shared" si="452"/>
        <v>402.090196354167</v>
      </c>
    </row>
    <row r="779" customFormat="1" spans="1:31">
      <c r="A779" s="18"/>
      <c r="B779" s="19"/>
      <c r="C779" s="107">
        <v>240723000053</v>
      </c>
      <c r="D779" s="21">
        <v>45499</v>
      </c>
      <c r="E779" s="21" t="s">
        <v>40</v>
      </c>
      <c r="F779" s="19" t="s">
        <v>41</v>
      </c>
      <c r="G779" s="19" t="s">
        <v>242</v>
      </c>
      <c r="H779" s="19">
        <v>46.5</v>
      </c>
      <c r="I779" s="47"/>
      <c r="J779" s="48">
        <v>648675</v>
      </c>
      <c r="K779" s="43"/>
      <c r="L779" s="49">
        <f t="shared" ref="L779:L783" si="465">SUM(J779/M779)</f>
        <v>1633.530596827</v>
      </c>
      <c r="M779" s="50">
        <v>397.1</v>
      </c>
      <c r="N779" s="44">
        <v>7.26</v>
      </c>
      <c r="O779" s="45">
        <f t="shared" ref="O779:O783" si="466">SUM(M779*N779)</f>
        <v>2882.946</v>
      </c>
      <c r="P779" s="51"/>
      <c r="Q779" s="51"/>
      <c r="R779" s="74">
        <f t="shared" si="453"/>
        <v>1946.2671875</v>
      </c>
      <c r="S779" s="74"/>
      <c r="T779" s="75">
        <f t="shared" si="454"/>
        <v>3.6316015625</v>
      </c>
      <c r="U779" s="74"/>
      <c r="V779" s="74"/>
      <c r="W779" s="76">
        <f t="shared" si="449"/>
        <v>1949.8987890625</v>
      </c>
      <c r="X779" s="77">
        <f t="shared" si="455"/>
        <v>32.2303125</v>
      </c>
      <c r="Y779" s="77"/>
      <c r="Z779" s="77"/>
      <c r="AA779" s="77">
        <f t="shared" si="450"/>
        <v>32.2303125</v>
      </c>
      <c r="AB779" s="87">
        <v>7.26</v>
      </c>
      <c r="AC779" s="74">
        <f t="shared" si="451"/>
        <v>233.99206875</v>
      </c>
      <c r="AD779" s="74">
        <f t="shared" si="448"/>
        <v>2183.8908578125</v>
      </c>
      <c r="AE779" s="74">
        <f t="shared" si="452"/>
        <v>699.0551421875</v>
      </c>
    </row>
    <row r="780" customFormat="1" spans="1:31">
      <c r="A780" s="18"/>
      <c r="B780" s="19"/>
      <c r="C780" s="107">
        <v>240723000056</v>
      </c>
      <c r="D780" s="21">
        <v>45499</v>
      </c>
      <c r="E780" s="21" t="s">
        <v>40</v>
      </c>
      <c r="F780" s="19" t="s">
        <v>41</v>
      </c>
      <c r="G780" s="19" t="s">
        <v>218</v>
      </c>
      <c r="H780" s="19">
        <v>5</v>
      </c>
      <c r="I780" s="41">
        <v>333</v>
      </c>
      <c r="J780" s="42"/>
      <c r="K780" s="43"/>
      <c r="L780" s="19"/>
      <c r="M780" s="43"/>
      <c r="N780" s="44"/>
      <c r="O780" s="45">
        <f t="shared" si="464"/>
        <v>333</v>
      </c>
      <c r="P780" s="51"/>
      <c r="Q780" s="51"/>
      <c r="R780" s="74">
        <f t="shared" si="453"/>
        <v>209.276041666667</v>
      </c>
      <c r="S780" s="74"/>
      <c r="T780" s="75">
        <f t="shared" si="454"/>
        <v>0.390494791666667</v>
      </c>
      <c r="U780" s="74"/>
      <c r="V780" s="74"/>
      <c r="W780" s="76">
        <f t="shared" ref="W780:W797" si="467">SUM(R780:V780)</f>
        <v>209.666536458333</v>
      </c>
      <c r="X780" s="77">
        <f t="shared" si="455"/>
        <v>3.465625</v>
      </c>
      <c r="Y780" s="77"/>
      <c r="Z780" s="77"/>
      <c r="AA780" s="77">
        <f t="shared" ref="AA780:AA797" si="468">SUM(X780:Z780)</f>
        <v>3.465625</v>
      </c>
      <c r="AB780" s="87">
        <v>7.26</v>
      </c>
      <c r="AC780" s="74">
        <f t="shared" si="451"/>
        <v>25.1604375</v>
      </c>
      <c r="AD780" s="74">
        <f t="shared" ref="AD780:AD797" si="469">SUM(W780+AC780)</f>
        <v>234.826973958333</v>
      </c>
      <c r="AE780" s="74">
        <f t="shared" ref="AE780:AE797" si="470">SUM(O780-AD780)</f>
        <v>98.1730260416667</v>
      </c>
    </row>
    <row r="781" customFormat="1" spans="1:31">
      <c r="A781" s="18"/>
      <c r="B781" s="19"/>
      <c r="C781" s="107">
        <v>240723000060</v>
      </c>
      <c r="D781" s="21">
        <v>45499</v>
      </c>
      <c r="E781" s="21" t="s">
        <v>37</v>
      </c>
      <c r="F781" s="19" t="s">
        <v>37</v>
      </c>
      <c r="G781" s="19" t="s">
        <v>172</v>
      </c>
      <c r="H781" s="19">
        <v>99.5</v>
      </c>
      <c r="I781" s="41">
        <v>5480.5</v>
      </c>
      <c r="J781" s="42"/>
      <c r="K781" s="43"/>
      <c r="L781" s="19"/>
      <c r="M781" s="43"/>
      <c r="N781" s="44"/>
      <c r="O781" s="45">
        <f t="shared" si="464"/>
        <v>5480.5</v>
      </c>
      <c r="P781" s="52"/>
      <c r="Q781" s="52"/>
      <c r="R781" s="74">
        <f t="shared" si="453"/>
        <v>4164.59322916667</v>
      </c>
      <c r="S781" s="74"/>
      <c r="T781" s="75">
        <f t="shared" si="454"/>
        <v>7.77084635416667</v>
      </c>
      <c r="U781" s="74"/>
      <c r="V781" s="74"/>
      <c r="W781" s="76">
        <f t="shared" si="467"/>
        <v>4172.36407552083</v>
      </c>
      <c r="X781" s="77">
        <f t="shared" si="455"/>
        <v>68.9659375</v>
      </c>
      <c r="Y781" s="77"/>
      <c r="Z781" s="77"/>
      <c r="AA781" s="77">
        <f t="shared" si="468"/>
        <v>68.9659375</v>
      </c>
      <c r="AB781" s="87">
        <v>7.26</v>
      </c>
      <c r="AC781" s="74">
        <f t="shared" si="451"/>
        <v>500.69270625</v>
      </c>
      <c r="AD781" s="74">
        <f t="shared" si="469"/>
        <v>4673.05678177083</v>
      </c>
      <c r="AE781" s="74">
        <f t="shared" si="470"/>
        <v>807.443218229167</v>
      </c>
    </row>
    <row r="782" customFormat="1" spans="1:31">
      <c r="A782" s="18" t="s">
        <v>504</v>
      </c>
      <c r="B782" s="19" t="s">
        <v>505</v>
      </c>
      <c r="C782" s="107">
        <v>240721000004</v>
      </c>
      <c r="D782" s="21">
        <v>45500</v>
      </c>
      <c r="E782" s="21" t="s">
        <v>37</v>
      </c>
      <c r="F782" s="19" t="s">
        <v>37</v>
      </c>
      <c r="G782" s="19" t="s">
        <v>506</v>
      </c>
      <c r="H782" s="19">
        <v>13.5</v>
      </c>
      <c r="I782" s="45"/>
      <c r="J782" s="48">
        <v>365400</v>
      </c>
      <c r="K782" s="43"/>
      <c r="L782" s="49">
        <f t="shared" si="465"/>
        <v>1624</v>
      </c>
      <c r="M782" s="50">
        <v>225</v>
      </c>
      <c r="N782" s="44">
        <v>7.26</v>
      </c>
      <c r="O782" s="45">
        <f t="shared" si="466"/>
        <v>1633.5</v>
      </c>
      <c r="P782" s="46">
        <f>SUM(O782:O797)</f>
        <v>10273.8313452</v>
      </c>
      <c r="Q782" s="46" t="s">
        <v>39</v>
      </c>
      <c r="R782" s="74">
        <f>SUM(5000/64)*H782</f>
        <v>1054.6875</v>
      </c>
      <c r="S782" s="74"/>
      <c r="T782" s="75">
        <f>SUM(54.99/64)*H782</f>
        <v>11.599453125</v>
      </c>
      <c r="U782" s="74"/>
      <c r="V782" s="74"/>
      <c r="W782" s="76">
        <f t="shared" si="467"/>
        <v>1066.286953125</v>
      </c>
      <c r="X782" s="77">
        <f>SUM(108.32/64)*H782</f>
        <v>22.84875</v>
      </c>
      <c r="Y782" s="77"/>
      <c r="Z782" s="77"/>
      <c r="AA782" s="77">
        <f t="shared" si="468"/>
        <v>22.84875</v>
      </c>
      <c r="AB782" s="87">
        <v>7.26</v>
      </c>
      <c r="AC782" s="74">
        <f t="shared" ref="AC782:AC797" si="471">SUM(AA782*AB782)</f>
        <v>165.881925</v>
      </c>
      <c r="AD782" s="74">
        <f t="shared" si="469"/>
        <v>1232.168878125</v>
      </c>
      <c r="AE782" s="74">
        <f t="shared" si="470"/>
        <v>401.331121875</v>
      </c>
    </row>
    <row r="783" customFormat="1" spans="1:31">
      <c r="A783" s="18"/>
      <c r="B783" s="19"/>
      <c r="C783" s="107">
        <v>240723000029</v>
      </c>
      <c r="D783" s="21">
        <v>45500</v>
      </c>
      <c r="E783" s="21" t="s">
        <v>44</v>
      </c>
      <c r="F783" s="19" t="s">
        <v>51</v>
      </c>
      <c r="G783" s="19" t="s">
        <v>52</v>
      </c>
      <c r="H783" s="19">
        <v>0.93</v>
      </c>
      <c r="I783" s="45"/>
      <c r="J783" s="48">
        <v>25648</v>
      </c>
      <c r="K783" s="43"/>
      <c r="L783" s="49">
        <f t="shared" si="465"/>
        <v>1606.01127113337</v>
      </c>
      <c r="M783" s="50">
        <v>15.97</v>
      </c>
      <c r="N783" s="44">
        <v>7.26</v>
      </c>
      <c r="O783" s="45">
        <f t="shared" si="466"/>
        <v>115.9422</v>
      </c>
      <c r="P783" s="51"/>
      <c r="Q783" s="51"/>
      <c r="R783" s="74">
        <f t="shared" ref="R783:R797" si="472">SUM(5000/64)*H783</f>
        <v>72.65625</v>
      </c>
      <c r="S783" s="74"/>
      <c r="T783" s="75">
        <f t="shared" ref="T783:T797" si="473">SUM(54.99/64)*H783</f>
        <v>0.7990734375</v>
      </c>
      <c r="U783" s="74"/>
      <c r="V783" s="74"/>
      <c r="W783" s="76">
        <f t="shared" si="467"/>
        <v>73.4553234375</v>
      </c>
      <c r="X783" s="77">
        <f t="shared" ref="X783:X797" si="474">SUM(108.32/64)*H783</f>
        <v>1.574025</v>
      </c>
      <c r="Y783" s="77"/>
      <c r="Z783" s="77"/>
      <c r="AA783" s="77">
        <f t="shared" si="468"/>
        <v>1.574025</v>
      </c>
      <c r="AB783" s="87">
        <v>7.26</v>
      </c>
      <c r="AC783" s="74">
        <f t="shared" si="471"/>
        <v>11.4274215</v>
      </c>
      <c r="AD783" s="74">
        <f t="shared" si="469"/>
        <v>84.8827449375</v>
      </c>
      <c r="AE783" s="74">
        <f t="shared" si="470"/>
        <v>31.0594550625</v>
      </c>
    </row>
    <row r="784" customFormat="1" spans="1:31">
      <c r="A784" s="18"/>
      <c r="B784" s="19"/>
      <c r="C784" s="107">
        <v>240723000030</v>
      </c>
      <c r="D784" s="21">
        <v>45500</v>
      </c>
      <c r="E784" s="21" t="s">
        <v>58</v>
      </c>
      <c r="F784" s="19" t="s">
        <v>59</v>
      </c>
      <c r="G784" s="19" t="s">
        <v>431</v>
      </c>
      <c r="H784" s="19">
        <v>0.43</v>
      </c>
      <c r="I784" s="41">
        <v>115</v>
      </c>
      <c r="J784" s="42"/>
      <c r="K784" s="43"/>
      <c r="L784" s="19"/>
      <c r="M784" s="43"/>
      <c r="N784" s="44"/>
      <c r="O784" s="45">
        <f>SUM(I784)</f>
        <v>115</v>
      </c>
      <c r="P784" s="51"/>
      <c r="Q784" s="51"/>
      <c r="R784" s="74">
        <f t="shared" si="472"/>
        <v>33.59375</v>
      </c>
      <c r="S784" s="74"/>
      <c r="T784" s="75">
        <f t="shared" si="473"/>
        <v>0.3694640625</v>
      </c>
      <c r="U784" s="74"/>
      <c r="V784" s="74"/>
      <c r="W784" s="76">
        <f t="shared" si="467"/>
        <v>33.9632140625</v>
      </c>
      <c r="X784" s="77">
        <f t="shared" si="474"/>
        <v>0.727775</v>
      </c>
      <c r="Y784" s="77"/>
      <c r="Z784" s="77"/>
      <c r="AA784" s="77">
        <f t="shared" si="468"/>
        <v>0.727775</v>
      </c>
      <c r="AB784" s="87">
        <v>7.26</v>
      </c>
      <c r="AC784" s="74">
        <f t="shared" si="471"/>
        <v>5.2836465</v>
      </c>
      <c r="AD784" s="74">
        <f t="shared" si="469"/>
        <v>39.2468605625</v>
      </c>
      <c r="AE784" s="74">
        <f t="shared" si="470"/>
        <v>75.7531394375</v>
      </c>
    </row>
    <row r="785" customFormat="1" spans="1:31">
      <c r="A785" s="18"/>
      <c r="B785" s="19"/>
      <c r="C785" s="107">
        <v>240723000040</v>
      </c>
      <c r="D785" s="21">
        <v>45500</v>
      </c>
      <c r="E785" s="21" t="s">
        <v>40</v>
      </c>
      <c r="F785" s="19" t="s">
        <v>41</v>
      </c>
      <c r="G785" s="19" t="s">
        <v>139</v>
      </c>
      <c r="H785" s="19">
        <v>3</v>
      </c>
      <c r="I785" s="47"/>
      <c r="J785" s="48">
        <v>82800</v>
      </c>
      <c r="K785" s="43"/>
      <c r="L785" s="49">
        <f t="shared" ref="L785:L790" si="475">SUM(J785/M785)</f>
        <v>1670.02823719242</v>
      </c>
      <c r="M785" s="50">
        <v>49.58</v>
      </c>
      <c r="N785" s="44">
        <v>7.26</v>
      </c>
      <c r="O785" s="45">
        <f t="shared" ref="O785:O790" si="476">SUM(M785*N785)</f>
        <v>359.9508</v>
      </c>
      <c r="P785" s="51"/>
      <c r="Q785" s="51"/>
      <c r="R785" s="74">
        <f t="shared" si="472"/>
        <v>234.375</v>
      </c>
      <c r="S785" s="74"/>
      <c r="T785" s="75">
        <f t="shared" si="473"/>
        <v>2.57765625</v>
      </c>
      <c r="U785" s="74"/>
      <c r="V785" s="74"/>
      <c r="W785" s="76">
        <f t="shared" si="467"/>
        <v>236.95265625</v>
      </c>
      <c r="X785" s="77">
        <f t="shared" si="474"/>
        <v>5.0775</v>
      </c>
      <c r="Y785" s="77"/>
      <c r="Z785" s="77"/>
      <c r="AA785" s="77">
        <f t="shared" si="468"/>
        <v>5.0775</v>
      </c>
      <c r="AB785" s="87">
        <v>7.26</v>
      </c>
      <c r="AC785" s="74">
        <f t="shared" si="471"/>
        <v>36.86265</v>
      </c>
      <c r="AD785" s="74">
        <f t="shared" si="469"/>
        <v>273.81530625</v>
      </c>
      <c r="AE785" s="74">
        <f t="shared" si="470"/>
        <v>86.13549375</v>
      </c>
    </row>
    <row r="786" customFormat="1" spans="1:31">
      <c r="A786" s="18"/>
      <c r="B786" s="19"/>
      <c r="C786" s="107">
        <v>240723000045</v>
      </c>
      <c r="D786" s="21">
        <v>45500</v>
      </c>
      <c r="E786" s="21" t="s">
        <v>44</v>
      </c>
      <c r="F786" s="19" t="s">
        <v>51</v>
      </c>
      <c r="G786" s="19" t="s">
        <v>52</v>
      </c>
      <c r="H786" s="19">
        <v>0.58933336</v>
      </c>
      <c r="I786" s="45"/>
      <c r="J786" s="48">
        <v>25648</v>
      </c>
      <c r="K786" s="43"/>
      <c r="L786" s="49">
        <f t="shared" si="475"/>
        <v>1606.01127113337</v>
      </c>
      <c r="M786" s="50">
        <v>15.97</v>
      </c>
      <c r="N786" s="44">
        <v>7.26</v>
      </c>
      <c r="O786" s="45">
        <f t="shared" si="476"/>
        <v>115.9422</v>
      </c>
      <c r="P786" s="51"/>
      <c r="Q786" s="51"/>
      <c r="R786" s="74">
        <f t="shared" si="472"/>
        <v>46.04166875</v>
      </c>
      <c r="S786" s="74"/>
      <c r="T786" s="75">
        <f t="shared" si="473"/>
        <v>0.5063662729125</v>
      </c>
      <c r="U786" s="74"/>
      <c r="V786" s="74"/>
      <c r="W786" s="76">
        <f t="shared" si="467"/>
        <v>46.5480350229125</v>
      </c>
      <c r="X786" s="77">
        <f t="shared" si="474"/>
        <v>0.9974467118</v>
      </c>
      <c r="Y786" s="77"/>
      <c r="Z786" s="77"/>
      <c r="AA786" s="77">
        <f t="shared" si="468"/>
        <v>0.9974467118</v>
      </c>
      <c r="AB786" s="87">
        <v>7.26</v>
      </c>
      <c r="AC786" s="74">
        <f t="shared" si="471"/>
        <v>7.241463127668</v>
      </c>
      <c r="AD786" s="74">
        <f t="shared" si="469"/>
        <v>53.7894981505805</v>
      </c>
      <c r="AE786" s="74">
        <f t="shared" si="470"/>
        <v>62.1527018494195</v>
      </c>
    </row>
    <row r="787" customFormat="1" spans="1:31">
      <c r="A787" s="18"/>
      <c r="B787" s="19"/>
      <c r="C787" s="107">
        <v>240724000034</v>
      </c>
      <c r="D787" s="21">
        <v>45500</v>
      </c>
      <c r="E787" s="21" t="s">
        <v>37</v>
      </c>
      <c r="F787" s="19" t="s">
        <v>37</v>
      </c>
      <c r="G787" s="19" t="s">
        <v>71</v>
      </c>
      <c r="H787" s="19">
        <v>7</v>
      </c>
      <c r="I787" s="41">
        <v>805</v>
      </c>
      <c r="J787" s="42"/>
      <c r="K787" s="43"/>
      <c r="L787" s="19"/>
      <c r="M787" s="43"/>
      <c r="N787" s="44"/>
      <c r="O787" s="45">
        <f t="shared" ref="O787:O797" si="477">SUM(I787)</f>
        <v>805</v>
      </c>
      <c r="P787" s="51"/>
      <c r="Q787" s="51"/>
      <c r="R787" s="74">
        <f t="shared" si="472"/>
        <v>546.875</v>
      </c>
      <c r="S787" s="74"/>
      <c r="T787" s="75">
        <f t="shared" si="473"/>
        <v>6.01453125</v>
      </c>
      <c r="U787" s="74"/>
      <c r="V787" s="74"/>
      <c r="W787" s="76">
        <f t="shared" si="467"/>
        <v>552.88953125</v>
      </c>
      <c r="X787" s="77">
        <f t="shared" si="474"/>
        <v>11.8475</v>
      </c>
      <c r="Y787" s="77"/>
      <c r="Z787" s="77"/>
      <c r="AA787" s="77">
        <f t="shared" si="468"/>
        <v>11.8475</v>
      </c>
      <c r="AB787" s="87">
        <v>7.26</v>
      </c>
      <c r="AC787" s="74">
        <f t="shared" si="471"/>
        <v>86.01285</v>
      </c>
      <c r="AD787" s="74">
        <f t="shared" si="469"/>
        <v>638.90238125</v>
      </c>
      <c r="AE787" s="74">
        <f t="shared" si="470"/>
        <v>166.09761875</v>
      </c>
    </row>
    <row r="788" customFormat="1" spans="1:31">
      <c r="A788" s="18"/>
      <c r="B788" s="19"/>
      <c r="C788" s="107">
        <v>240724000042</v>
      </c>
      <c r="D788" s="21">
        <v>45500</v>
      </c>
      <c r="E788" s="21" t="s">
        <v>58</v>
      </c>
      <c r="F788" s="19" t="s">
        <v>59</v>
      </c>
      <c r="G788" s="19" t="s">
        <v>507</v>
      </c>
      <c r="H788" s="19">
        <v>2.5</v>
      </c>
      <c r="I788" s="47"/>
      <c r="J788" s="48">
        <v>63538</v>
      </c>
      <c r="K788" s="43"/>
      <c r="L788" s="49">
        <f t="shared" si="475"/>
        <v>1604.49494949495</v>
      </c>
      <c r="M788" s="50">
        <v>39.6</v>
      </c>
      <c r="N788" s="44">
        <v>7.26</v>
      </c>
      <c r="O788" s="45">
        <f t="shared" si="476"/>
        <v>287.496</v>
      </c>
      <c r="P788" s="51"/>
      <c r="Q788" s="51"/>
      <c r="R788" s="74">
        <f t="shared" si="472"/>
        <v>195.3125</v>
      </c>
      <c r="S788" s="74"/>
      <c r="T788" s="75">
        <f t="shared" si="473"/>
        <v>2.148046875</v>
      </c>
      <c r="U788" s="74"/>
      <c r="V788" s="74"/>
      <c r="W788" s="76">
        <f t="shared" si="467"/>
        <v>197.460546875</v>
      </c>
      <c r="X788" s="77">
        <f t="shared" si="474"/>
        <v>4.23125</v>
      </c>
      <c r="Y788" s="77"/>
      <c r="Z788" s="77"/>
      <c r="AA788" s="77">
        <f t="shared" si="468"/>
        <v>4.23125</v>
      </c>
      <c r="AB788" s="87">
        <v>7.26</v>
      </c>
      <c r="AC788" s="74">
        <f t="shared" si="471"/>
        <v>30.718875</v>
      </c>
      <c r="AD788" s="74">
        <f t="shared" si="469"/>
        <v>228.179421875</v>
      </c>
      <c r="AE788" s="74">
        <f t="shared" si="470"/>
        <v>59.316578125</v>
      </c>
    </row>
    <row r="789" customFormat="1" spans="1:31">
      <c r="A789" s="18"/>
      <c r="B789" s="19"/>
      <c r="C789" s="107">
        <v>240724000043</v>
      </c>
      <c r="D789" s="21">
        <v>45500</v>
      </c>
      <c r="E789" s="21" t="s">
        <v>37</v>
      </c>
      <c r="F789" s="19" t="s">
        <v>37</v>
      </c>
      <c r="G789" s="19" t="s">
        <v>506</v>
      </c>
      <c r="H789" s="19">
        <v>27.5</v>
      </c>
      <c r="I789" s="45"/>
      <c r="J789" s="48">
        <v>744328</v>
      </c>
      <c r="K789" s="43"/>
      <c r="L789" s="49">
        <f t="shared" si="475"/>
        <v>1624.00010368075</v>
      </c>
      <c r="M789" s="50">
        <v>458.33002</v>
      </c>
      <c r="N789" s="44">
        <v>7.26</v>
      </c>
      <c r="O789" s="45">
        <f t="shared" si="476"/>
        <v>3327.4759452</v>
      </c>
      <c r="P789" s="51"/>
      <c r="Q789" s="51"/>
      <c r="R789" s="74">
        <f t="shared" si="472"/>
        <v>2148.4375</v>
      </c>
      <c r="S789" s="74"/>
      <c r="T789" s="75">
        <f t="shared" si="473"/>
        <v>23.628515625</v>
      </c>
      <c r="U789" s="74"/>
      <c r="V789" s="74"/>
      <c r="W789" s="76">
        <f t="shared" si="467"/>
        <v>2172.066015625</v>
      </c>
      <c r="X789" s="77">
        <f t="shared" si="474"/>
        <v>46.54375</v>
      </c>
      <c r="Y789" s="77"/>
      <c r="Z789" s="77"/>
      <c r="AA789" s="77">
        <f t="shared" si="468"/>
        <v>46.54375</v>
      </c>
      <c r="AB789" s="87">
        <v>7.26</v>
      </c>
      <c r="AC789" s="74">
        <f t="shared" si="471"/>
        <v>337.907625</v>
      </c>
      <c r="AD789" s="74">
        <f t="shared" si="469"/>
        <v>2509.973640625</v>
      </c>
      <c r="AE789" s="74">
        <f t="shared" si="470"/>
        <v>817.502304575</v>
      </c>
    </row>
    <row r="790" customFormat="1" spans="1:31">
      <c r="A790" s="18"/>
      <c r="B790" s="19"/>
      <c r="C790" s="107">
        <v>240724000053</v>
      </c>
      <c r="D790" s="21">
        <v>45500</v>
      </c>
      <c r="E790" s="21" t="s">
        <v>81</v>
      </c>
      <c r="F790" s="19" t="s">
        <v>187</v>
      </c>
      <c r="G790" s="19" t="s">
        <v>144</v>
      </c>
      <c r="H790" s="19">
        <v>0.4</v>
      </c>
      <c r="I790" s="45"/>
      <c r="J790" s="48">
        <v>27105</v>
      </c>
      <c r="K790" s="43"/>
      <c r="L790" s="49">
        <f t="shared" si="475"/>
        <v>1625.97480503899</v>
      </c>
      <c r="M790" s="50">
        <v>16.67</v>
      </c>
      <c r="N790" s="44">
        <v>7.26</v>
      </c>
      <c r="O790" s="45">
        <f t="shared" si="476"/>
        <v>121.0242</v>
      </c>
      <c r="P790" s="51"/>
      <c r="Q790" s="51"/>
      <c r="R790" s="74">
        <f t="shared" si="472"/>
        <v>31.25</v>
      </c>
      <c r="S790" s="74"/>
      <c r="T790" s="75">
        <f t="shared" si="473"/>
        <v>0.3436875</v>
      </c>
      <c r="U790" s="74"/>
      <c r="V790" s="74"/>
      <c r="W790" s="76">
        <f t="shared" si="467"/>
        <v>31.5936875</v>
      </c>
      <c r="X790" s="77">
        <f t="shared" si="474"/>
        <v>0.677</v>
      </c>
      <c r="Y790" s="77"/>
      <c r="Z790" s="77"/>
      <c r="AA790" s="77">
        <f t="shared" si="468"/>
        <v>0.677</v>
      </c>
      <c r="AB790" s="87">
        <v>7.26</v>
      </c>
      <c r="AC790" s="74">
        <f t="shared" si="471"/>
        <v>4.91502</v>
      </c>
      <c r="AD790" s="74">
        <f t="shared" si="469"/>
        <v>36.5087075</v>
      </c>
      <c r="AE790" s="74">
        <f t="shared" si="470"/>
        <v>84.5154925</v>
      </c>
    </row>
    <row r="791" customFormat="1" spans="1:31">
      <c r="A791" s="18"/>
      <c r="B791" s="19"/>
      <c r="C791" s="107">
        <v>240725000002</v>
      </c>
      <c r="D791" s="21">
        <v>45500</v>
      </c>
      <c r="E791" s="21" t="s">
        <v>58</v>
      </c>
      <c r="F791" s="19" t="s">
        <v>59</v>
      </c>
      <c r="G791" s="19" t="s">
        <v>65</v>
      </c>
      <c r="H791" s="19">
        <v>7</v>
      </c>
      <c r="I791" s="41">
        <v>840</v>
      </c>
      <c r="J791" s="42"/>
      <c r="K791" s="43"/>
      <c r="L791" s="19"/>
      <c r="M791" s="43"/>
      <c r="N791" s="44"/>
      <c r="O791" s="45">
        <f t="shared" si="477"/>
        <v>840</v>
      </c>
      <c r="P791" s="51"/>
      <c r="Q791" s="51"/>
      <c r="R791" s="74">
        <f t="shared" si="472"/>
        <v>546.875</v>
      </c>
      <c r="S791" s="74"/>
      <c r="T791" s="75">
        <f t="shared" si="473"/>
        <v>6.01453125</v>
      </c>
      <c r="U791" s="74"/>
      <c r="V791" s="74"/>
      <c r="W791" s="76">
        <f t="shared" si="467"/>
        <v>552.88953125</v>
      </c>
      <c r="X791" s="77">
        <f t="shared" si="474"/>
        <v>11.8475</v>
      </c>
      <c r="Y791" s="77"/>
      <c r="Z791" s="77"/>
      <c r="AA791" s="77">
        <f t="shared" si="468"/>
        <v>11.8475</v>
      </c>
      <c r="AB791" s="87">
        <v>7.26</v>
      </c>
      <c r="AC791" s="74">
        <f t="shared" si="471"/>
        <v>86.01285</v>
      </c>
      <c r="AD791" s="74">
        <f t="shared" si="469"/>
        <v>638.90238125</v>
      </c>
      <c r="AE791" s="74">
        <f t="shared" si="470"/>
        <v>201.09761875</v>
      </c>
    </row>
    <row r="792" customFormat="1" spans="1:31">
      <c r="A792" s="18"/>
      <c r="B792" s="19"/>
      <c r="C792" s="107">
        <v>240725000006</v>
      </c>
      <c r="D792" s="21">
        <v>45500</v>
      </c>
      <c r="E792" s="21" t="s">
        <v>40</v>
      </c>
      <c r="F792" s="19" t="s">
        <v>41</v>
      </c>
      <c r="G792" s="19" t="s">
        <v>508</v>
      </c>
      <c r="H792" s="19">
        <v>4.5</v>
      </c>
      <c r="I792" s="41">
        <v>517.5</v>
      </c>
      <c r="J792" s="42"/>
      <c r="K792" s="43"/>
      <c r="L792" s="19"/>
      <c r="M792" s="43"/>
      <c r="N792" s="44"/>
      <c r="O792" s="45">
        <f t="shared" si="477"/>
        <v>517.5</v>
      </c>
      <c r="P792" s="51"/>
      <c r="Q792" s="51"/>
      <c r="R792" s="74">
        <f t="shared" si="472"/>
        <v>351.5625</v>
      </c>
      <c r="S792" s="74"/>
      <c r="T792" s="75">
        <f t="shared" si="473"/>
        <v>3.866484375</v>
      </c>
      <c r="U792" s="74"/>
      <c r="V792" s="74"/>
      <c r="W792" s="76">
        <f t="shared" si="467"/>
        <v>355.428984375</v>
      </c>
      <c r="X792" s="77">
        <f t="shared" si="474"/>
        <v>7.61625</v>
      </c>
      <c r="Y792" s="77"/>
      <c r="Z792" s="77"/>
      <c r="AA792" s="77">
        <f t="shared" si="468"/>
        <v>7.61625</v>
      </c>
      <c r="AB792" s="87">
        <v>7.26</v>
      </c>
      <c r="AC792" s="74">
        <f t="shared" si="471"/>
        <v>55.293975</v>
      </c>
      <c r="AD792" s="74">
        <f t="shared" si="469"/>
        <v>410.722959375</v>
      </c>
      <c r="AE792" s="74">
        <f t="shared" si="470"/>
        <v>106.777040625</v>
      </c>
    </row>
    <row r="793" customFormat="1" spans="1:31">
      <c r="A793" s="18"/>
      <c r="B793" s="19"/>
      <c r="C793" s="107">
        <v>240725000022</v>
      </c>
      <c r="D793" s="21">
        <v>45500</v>
      </c>
      <c r="E793" s="21" t="s">
        <v>58</v>
      </c>
      <c r="F793" s="19" t="s">
        <v>59</v>
      </c>
      <c r="G793" s="19" t="s">
        <v>60</v>
      </c>
      <c r="H793" s="19">
        <v>4.5</v>
      </c>
      <c r="I793" s="41">
        <v>540</v>
      </c>
      <c r="J793" s="42"/>
      <c r="K793" s="43"/>
      <c r="L793" s="19"/>
      <c r="M793" s="43"/>
      <c r="N793" s="44"/>
      <c r="O793" s="45">
        <f t="shared" si="477"/>
        <v>540</v>
      </c>
      <c r="P793" s="51"/>
      <c r="Q793" s="51"/>
      <c r="R793" s="74">
        <f t="shared" si="472"/>
        <v>351.5625</v>
      </c>
      <c r="S793" s="74"/>
      <c r="T793" s="75">
        <f t="shared" si="473"/>
        <v>3.866484375</v>
      </c>
      <c r="U793" s="74"/>
      <c r="V793" s="74"/>
      <c r="W793" s="76">
        <f t="shared" si="467"/>
        <v>355.428984375</v>
      </c>
      <c r="X793" s="77">
        <f t="shared" si="474"/>
        <v>7.61625</v>
      </c>
      <c r="Y793" s="77"/>
      <c r="Z793" s="77"/>
      <c r="AA793" s="77">
        <f t="shared" si="468"/>
        <v>7.61625</v>
      </c>
      <c r="AB793" s="87">
        <v>7.26</v>
      </c>
      <c r="AC793" s="74">
        <f t="shared" si="471"/>
        <v>55.293975</v>
      </c>
      <c r="AD793" s="74">
        <f t="shared" si="469"/>
        <v>410.722959375</v>
      </c>
      <c r="AE793" s="74">
        <f t="shared" si="470"/>
        <v>129.277040625</v>
      </c>
    </row>
    <row r="794" customFormat="1" spans="1:31">
      <c r="A794" s="18"/>
      <c r="B794" s="19"/>
      <c r="C794" s="107">
        <v>240726000004</v>
      </c>
      <c r="D794" s="21">
        <v>45500</v>
      </c>
      <c r="E794" s="21" t="s">
        <v>58</v>
      </c>
      <c r="F794" s="19" t="s">
        <v>59</v>
      </c>
      <c r="G794" s="19" t="s">
        <v>234</v>
      </c>
      <c r="H794" s="19">
        <v>3</v>
      </c>
      <c r="I794" s="41">
        <v>360</v>
      </c>
      <c r="J794" s="42"/>
      <c r="K794" s="43"/>
      <c r="L794" s="19"/>
      <c r="M794" s="43"/>
      <c r="N794" s="44"/>
      <c r="O794" s="45">
        <f t="shared" si="477"/>
        <v>360</v>
      </c>
      <c r="P794" s="51"/>
      <c r="Q794" s="51"/>
      <c r="R794" s="74">
        <f t="shared" si="472"/>
        <v>234.375</v>
      </c>
      <c r="S794" s="74"/>
      <c r="T794" s="75">
        <f t="shared" si="473"/>
        <v>2.57765625</v>
      </c>
      <c r="U794" s="74"/>
      <c r="V794" s="74"/>
      <c r="W794" s="76">
        <f t="shared" si="467"/>
        <v>236.95265625</v>
      </c>
      <c r="X794" s="77">
        <f t="shared" si="474"/>
        <v>5.0775</v>
      </c>
      <c r="Y794" s="77"/>
      <c r="Z794" s="77"/>
      <c r="AA794" s="77">
        <f t="shared" si="468"/>
        <v>5.0775</v>
      </c>
      <c r="AB794" s="87">
        <v>7.26</v>
      </c>
      <c r="AC794" s="74">
        <f t="shared" si="471"/>
        <v>36.86265</v>
      </c>
      <c r="AD794" s="74">
        <f t="shared" si="469"/>
        <v>273.81530625</v>
      </c>
      <c r="AE794" s="74">
        <f t="shared" si="470"/>
        <v>86.18469375</v>
      </c>
    </row>
    <row r="795" customFormat="1" spans="1:31">
      <c r="A795" s="18"/>
      <c r="B795" s="19"/>
      <c r="C795" s="107">
        <v>240726000009</v>
      </c>
      <c r="D795" s="21">
        <v>45500</v>
      </c>
      <c r="E795" s="21" t="s">
        <v>40</v>
      </c>
      <c r="F795" s="19" t="s">
        <v>41</v>
      </c>
      <c r="G795" s="19" t="s">
        <v>416</v>
      </c>
      <c r="H795" s="19">
        <v>0.66</v>
      </c>
      <c r="I795" s="41">
        <v>120</v>
      </c>
      <c r="J795" s="42"/>
      <c r="K795" s="43"/>
      <c r="L795" s="19"/>
      <c r="M795" s="43"/>
      <c r="N795" s="44"/>
      <c r="O795" s="45">
        <f t="shared" si="477"/>
        <v>120</v>
      </c>
      <c r="P795" s="51"/>
      <c r="Q795" s="51"/>
      <c r="R795" s="74">
        <f t="shared" si="472"/>
        <v>51.5625</v>
      </c>
      <c r="S795" s="74"/>
      <c r="T795" s="75">
        <f t="shared" si="473"/>
        <v>0.567084375</v>
      </c>
      <c r="U795" s="74"/>
      <c r="V795" s="74"/>
      <c r="W795" s="76">
        <f t="shared" si="467"/>
        <v>52.129584375</v>
      </c>
      <c r="X795" s="77">
        <f t="shared" si="474"/>
        <v>1.11705</v>
      </c>
      <c r="Y795" s="77"/>
      <c r="Z795" s="77"/>
      <c r="AA795" s="77">
        <f t="shared" si="468"/>
        <v>1.11705</v>
      </c>
      <c r="AB795" s="87">
        <v>7.26</v>
      </c>
      <c r="AC795" s="74">
        <f t="shared" si="471"/>
        <v>8.109783</v>
      </c>
      <c r="AD795" s="74">
        <f t="shared" si="469"/>
        <v>60.239367375</v>
      </c>
      <c r="AE795" s="74">
        <f t="shared" si="470"/>
        <v>59.760632625</v>
      </c>
    </row>
    <row r="796" customFormat="1" spans="1:31">
      <c r="A796" s="18"/>
      <c r="B796" s="19"/>
      <c r="C796" s="107">
        <v>240726000010</v>
      </c>
      <c r="D796" s="21">
        <v>45500</v>
      </c>
      <c r="E796" s="21" t="s">
        <v>47</v>
      </c>
      <c r="F796" s="19" t="s">
        <v>48</v>
      </c>
      <c r="G796" s="19" t="s">
        <v>509</v>
      </c>
      <c r="H796" s="19">
        <v>0.73</v>
      </c>
      <c r="I796" s="41">
        <v>115</v>
      </c>
      <c r="J796" s="42"/>
      <c r="K796" s="43"/>
      <c r="L796" s="19"/>
      <c r="M796" s="43"/>
      <c r="N796" s="44"/>
      <c r="O796" s="45">
        <f t="shared" si="477"/>
        <v>115</v>
      </c>
      <c r="P796" s="51"/>
      <c r="Q796" s="51"/>
      <c r="R796" s="74">
        <f t="shared" si="472"/>
        <v>57.03125</v>
      </c>
      <c r="S796" s="74"/>
      <c r="T796" s="75">
        <f t="shared" si="473"/>
        <v>0.6272296875</v>
      </c>
      <c r="U796" s="74"/>
      <c r="V796" s="74"/>
      <c r="W796" s="76">
        <f t="shared" ref="W796:W812" si="478">SUM(R796:V796)</f>
        <v>57.6584796875</v>
      </c>
      <c r="X796" s="77">
        <f t="shared" si="474"/>
        <v>1.235525</v>
      </c>
      <c r="Y796" s="77"/>
      <c r="Z796" s="77"/>
      <c r="AA796" s="77">
        <f t="shared" si="468"/>
        <v>1.235525</v>
      </c>
      <c r="AB796" s="87">
        <v>7.26</v>
      </c>
      <c r="AC796" s="74">
        <f t="shared" si="471"/>
        <v>8.9699115</v>
      </c>
      <c r="AD796" s="74">
        <f t="shared" si="469"/>
        <v>66.6283911875</v>
      </c>
      <c r="AE796" s="74">
        <f t="shared" ref="AE796:AE807" si="479">SUM(O796-AD796)</f>
        <v>48.3716088125</v>
      </c>
    </row>
    <row r="797" customFormat="1" spans="1:31">
      <c r="A797" s="18"/>
      <c r="B797" s="19"/>
      <c r="C797" s="107">
        <v>240726000016</v>
      </c>
      <c r="D797" s="21">
        <v>45500</v>
      </c>
      <c r="E797" s="21" t="s">
        <v>44</v>
      </c>
      <c r="F797" s="19" t="s">
        <v>45</v>
      </c>
      <c r="G797" s="19" t="s">
        <v>510</v>
      </c>
      <c r="H797" s="19">
        <v>7.5</v>
      </c>
      <c r="I797" s="41">
        <v>900</v>
      </c>
      <c r="J797" s="42"/>
      <c r="K797" s="43"/>
      <c r="L797" s="19"/>
      <c r="M797" s="43"/>
      <c r="N797" s="44"/>
      <c r="O797" s="45">
        <f t="shared" si="477"/>
        <v>900</v>
      </c>
      <c r="P797" s="52"/>
      <c r="Q797" s="52"/>
      <c r="R797" s="74">
        <f t="shared" si="472"/>
        <v>585.9375</v>
      </c>
      <c r="S797" s="74"/>
      <c r="T797" s="75">
        <f t="shared" si="473"/>
        <v>6.444140625</v>
      </c>
      <c r="U797" s="74"/>
      <c r="V797" s="74"/>
      <c r="W797" s="76">
        <f t="shared" si="478"/>
        <v>592.381640625</v>
      </c>
      <c r="X797" s="77">
        <f t="shared" si="474"/>
        <v>12.69375</v>
      </c>
      <c r="Y797" s="77"/>
      <c r="Z797" s="77"/>
      <c r="AA797" s="77">
        <f t="shared" si="468"/>
        <v>12.69375</v>
      </c>
      <c r="AB797" s="87">
        <v>7.26</v>
      </c>
      <c r="AC797" s="74">
        <f t="shared" si="471"/>
        <v>92.156625</v>
      </c>
      <c r="AD797" s="74">
        <f t="shared" ref="AD797:AD813" si="480">SUM(W797+AC797)</f>
        <v>684.538265625</v>
      </c>
      <c r="AE797" s="74">
        <f t="shared" si="479"/>
        <v>215.461734375</v>
      </c>
    </row>
    <row r="798" customFormat="1" spans="1:31">
      <c r="A798" s="18" t="s">
        <v>511</v>
      </c>
      <c r="B798" s="19" t="s">
        <v>512</v>
      </c>
      <c r="C798" s="107">
        <v>240716000019</v>
      </c>
      <c r="D798" s="21">
        <v>45502</v>
      </c>
      <c r="E798" s="21" t="s">
        <v>37</v>
      </c>
      <c r="F798" s="19" t="s">
        <v>37</v>
      </c>
      <c r="G798" s="19" t="s">
        <v>85</v>
      </c>
      <c r="H798" s="19">
        <v>15</v>
      </c>
      <c r="I798" s="45"/>
      <c r="J798" s="42"/>
      <c r="K798" s="43"/>
      <c r="L798" s="19"/>
      <c r="M798" s="43">
        <v>258.33</v>
      </c>
      <c r="N798" s="44">
        <v>7.26</v>
      </c>
      <c r="O798" s="45">
        <f>SUM(M798*N798)</f>
        <v>1875.4758</v>
      </c>
      <c r="P798" s="46">
        <f>SUM(O798:O807)</f>
        <v>10037.4758</v>
      </c>
      <c r="Q798" s="46" t="s">
        <v>39</v>
      </c>
      <c r="R798" s="74">
        <f>SUM(5000/87)*H798</f>
        <v>862.068965517241</v>
      </c>
      <c r="S798" s="74"/>
      <c r="T798" s="75">
        <f>SUM(117.64/87)*H798</f>
        <v>20.2827586206897</v>
      </c>
      <c r="U798" s="74"/>
      <c r="V798" s="74"/>
      <c r="W798" s="76">
        <f t="shared" si="478"/>
        <v>882.351724137931</v>
      </c>
      <c r="X798" s="77">
        <f>SUM(198.85/87)*H798</f>
        <v>34.2844827586207</v>
      </c>
      <c r="Y798" s="77"/>
      <c r="Z798" s="77"/>
      <c r="AA798" s="77">
        <f t="shared" ref="AA798:AA813" si="481">SUM(X798:Z798)</f>
        <v>34.2844827586207</v>
      </c>
      <c r="AB798" s="87">
        <v>7.26</v>
      </c>
      <c r="AC798" s="74">
        <f t="shared" ref="AC798:AC809" si="482">SUM(AA798*AB798)</f>
        <v>248.905344827586</v>
      </c>
      <c r="AD798" s="74">
        <f t="shared" si="480"/>
        <v>1131.25706896552</v>
      </c>
      <c r="AE798" s="74">
        <f t="shared" si="479"/>
        <v>744.218731034483</v>
      </c>
    </row>
    <row r="799" customFormat="1" spans="1:31">
      <c r="A799" s="18"/>
      <c r="B799" s="19"/>
      <c r="C799" s="107">
        <v>240717000002</v>
      </c>
      <c r="D799" s="21">
        <v>45502</v>
      </c>
      <c r="E799" s="21" t="s">
        <v>44</v>
      </c>
      <c r="F799" s="19" t="s">
        <v>45</v>
      </c>
      <c r="G799" s="19" t="s">
        <v>307</v>
      </c>
      <c r="H799" s="19">
        <v>0.16</v>
      </c>
      <c r="I799" s="41">
        <v>69</v>
      </c>
      <c r="J799" s="42"/>
      <c r="K799" s="43"/>
      <c r="L799" s="19"/>
      <c r="M799" s="43"/>
      <c r="N799" s="44"/>
      <c r="O799" s="45">
        <f t="shared" ref="O799:O825" si="483">SUM(I799)</f>
        <v>69</v>
      </c>
      <c r="P799" s="51"/>
      <c r="Q799" s="51"/>
      <c r="R799" s="74">
        <f t="shared" ref="R799:R807" si="484">SUM(5000/87)*H799</f>
        <v>9.19540229885057</v>
      </c>
      <c r="S799" s="74"/>
      <c r="T799" s="75">
        <f t="shared" ref="T799:T807" si="485">SUM(117.64/87)*H799</f>
        <v>0.216349425287356</v>
      </c>
      <c r="U799" s="74"/>
      <c r="V799" s="74"/>
      <c r="W799" s="76">
        <f t="shared" si="478"/>
        <v>9.41175172413793</v>
      </c>
      <c r="X799" s="77">
        <f t="shared" ref="X799:X807" si="486">SUM(198.85/87)*H799</f>
        <v>0.365701149425287</v>
      </c>
      <c r="Y799" s="77"/>
      <c r="Z799" s="77"/>
      <c r="AA799" s="77">
        <f t="shared" si="481"/>
        <v>0.365701149425287</v>
      </c>
      <c r="AB799" s="87">
        <v>7.26</v>
      </c>
      <c r="AC799" s="74">
        <f t="shared" si="482"/>
        <v>2.65499034482759</v>
      </c>
      <c r="AD799" s="74">
        <f t="shared" si="480"/>
        <v>12.0667420689655</v>
      </c>
      <c r="AE799" s="74">
        <f t="shared" si="479"/>
        <v>56.9332579310345</v>
      </c>
    </row>
    <row r="800" customFormat="1" spans="1:31">
      <c r="A800" s="18"/>
      <c r="B800" s="19"/>
      <c r="C800" s="107">
        <v>240717000028</v>
      </c>
      <c r="D800" s="21">
        <v>45502</v>
      </c>
      <c r="E800" s="21" t="s">
        <v>40</v>
      </c>
      <c r="F800" s="19" t="s">
        <v>41</v>
      </c>
      <c r="G800" s="19" t="s">
        <v>302</v>
      </c>
      <c r="H800" s="19">
        <v>14</v>
      </c>
      <c r="I800" s="41">
        <v>1300</v>
      </c>
      <c r="J800" s="42"/>
      <c r="K800" s="43"/>
      <c r="L800" s="19"/>
      <c r="M800" s="43"/>
      <c r="N800" s="44"/>
      <c r="O800" s="45">
        <f t="shared" si="483"/>
        <v>1300</v>
      </c>
      <c r="P800" s="51"/>
      <c r="Q800" s="51"/>
      <c r="R800" s="74">
        <f t="shared" si="484"/>
        <v>804.597701149425</v>
      </c>
      <c r="S800" s="74"/>
      <c r="T800" s="75">
        <f t="shared" si="485"/>
        <v>18.9305747126437</v>
      </c>
      <c r="U800" s="75">
        <v>100</v>
      </c>
      <c r="V800" s="74"/>
      <c r="W800" s="76">
        <f t="shared" si="478"/>
        <v>923.528275862069</v>
      </c>
      <c r="X800" s="77">
        <f t="shared" si="486"/>
        <v>31.9988505747126</v>
      </c>
      <c r="Y800" s="77"/>
      <c r="Z800" s="77"/>
      <c r="AA800" s="77">
        <f t="shared" si="481"/>
        <v>31.9988505747126</v>
      </c>
      <c r="AB800" s="87">
        <v>7.26</v>
      </c>
      <c r="AC800" s="74">
        <f t="shared" si="482"/>
        <v>232.311655172414</v>
      </c>
      <c r="AD800" s="74">
        <f t="shared" si="480"/>
        <v>1155.83993103448</v>
      </c>
      <c r="AE800" s="74">
        <f t="shared" si="479"/>
        <v>144.160068965517</v>
      </c>
    </row>
    <row r="801" customFormat="1" spans="1:31">
      <c r="A801" s="18"/>
      <c r="B801" s="19"/>
      <c r="C801" s="107">
        <v>240723000061</v>
      </c>
      <c r="D801" s="21">
        <v>45502</v>
      </c>
      <c r="E801" s="21" t="s">
        <v>47</v>
      </c>
      <c r="F801" s="19" t="s">
        <v>48</v>
      </c>
      <c r="G801" s="19" t="s">
        <v>373</v>
      </c>
      <c r="H801" s="19">
        <v>6.5</v>
      </c>
      <c r="I801" s="41">
        <v>1170</v>
      </c>
      <c r="J801" s="42"/>
      <c r="K801" s="43"/>
      <c r="L801" s="19"/>
      <c r="M801" s="43"/>
      <c r="N801" s="44"/>
      <c r="O801" s="45">
        <f t="shared" si="483"/>
        <v>1170</v>
      </c>
      <c r="P801" s="51"/>
      <c r="Q801" s="51"/>
      <c r="R801" s="74">
        <f t="shared" si="484"/>
        <v>373.563218390805</v>
      </c>
      <c r="S801" s="74"/>
      <c r="T801" s="75">
        <f t="shared" si="485"/>
        <v>8.78919540229885</v>
      </c>
      <c r="U801" s="74"/>
      <c r="V801" s="74"/>
      <c r="W801" s="76">
        <f t="shared" si="478"/>
        <v>382.352413793103</v>
      </c>
      <c r="X801" s="77">
        <f t="shared" si="486"/>
        <v>14.8566091954023</v>
      </c>
      <c r="Y801" s="77"/>
      <c r="Z801" s="77"/>
      <c r="AA801" s="77">
        <f t="shared" si="481"/>
        <v>14.8566091954023</v>
      </c>
      <c r="AB801" s="87">
        <v>7.26</v>
      </c>
      <c r="AC801" s="74">
        <f t="shared" si="482"/>
        <v>107.858982758621</v>
      </c>
      <c r="AD801" s="74">
        <f t="shared" si="480"/>
        <v>490.211396551724</v>
      </c>
      <c r="AE801" s="74">
        <f t="shared" si="479"/>
        <v>679.788603448276</v>
      </c>
    </row>
    <row r="802" customFormat="1" spans="1:31">
      <c r="A802" s="18"/>
      <c r="B802" s="19"/>
      <c r="C802" s="107">
        <v>240725000017</v>
      </c>
      <c r="D802" s="21">
        <v>45502</v>
      </c>
      <c r="E802" s="21" t="s">
        <v>47</v>
      </c>
      <c r="F802" s="19" t="s">
        <v>48</v>
      </c>
      <c r="G802" s="19" t="s">
        <v>513</v>
      </c>
      <c r="H802" s="19">
        <v>2</v>
      </c>
      <c r="I802" s="41">
        <v>360</v>
      </c>
      <c r="J802" s="42"/>
      <c r="K802" s="43"/>
      <c r="L802" s="19"/>
      <c r="M802" s="43"/>
      <c r="N802" s="44"/>
      <c r="O802" s="45">
        <f t="shared" si="483"/>
        <v>360</v>
      </c>
      <c r="P802" s="51"/>
      <c r="Q802" s="51"/>
      <c r="R802" s="74">
        <f t="shared" si="484"/>
        <v>114.942528735632</v>
      </c>
      <c r="S802" s="74"/>
      <c r="T802" s="75">
        <f t="shared" si="485"/>
        <v>2.70436781609195</v>
      </c>
      <c r="U802" s="74"/>
      <c r="V802" s="74"/>
      <c r="W802" s="76">
        <f t="shared" si="478"/>
        <v>117.646896551724</v>
      </c>
      <c r="X802" s="77">
        <f t="shared" si="486"/>
        <v>4.57126436781609</v>
      </c>
      <c r="Y802" s="77"/>
      <c r="Z802" s="77"/>
      <c r="AA802" s="77">
        <f t="shared" si="481"/>
        <v>4.57126436781609</v>
      </c>
      <c r="AB802" s="87">
        <v>7.26</v>
      </c>
      <c r="AC802" s="74">
        <f t="shared" si="482"/>
        <v>33.1873793103448</v>
      </c>
      <c r="AD802" s="74">
        <f t="shared" si="480"/>
        <v>150.834275862069</v>
      </c>
      <c r="AE802" s="74">
        <f t="shared" si="479"/>
        <v>209.165724137931</v>
      </c>
    </row>
    <row r="803" customFormat="1" spans="1:31">
      <c r="A803" s="18"/>
      <c r="B803" s="19"/>
      <c r="C803" s="107">
        <v>240726000022</v>
      </c>
      <c r="D803" s="21">
        <v>45502</v>
      </c>
      <c r="E803" s="21" t="s">
        <v>40</v>
      </c>
      <c r="F803" s="19" t="s">
        <v>41</v>
      </c>
      <c r="G803" s="19" t="s">
        <v>349</v>
      </c>
      <c r="H803" s="19">
        <v>0.42</v>
      </c>
      <c r="I803" s="41">
        <v>160</v>
      </c>
      <c r="J803" s="42"/>
      <c r="K803" s="43"/>
      <c r="L803" s="19"/>
      <c r="M803" s="43"/>
      <c r="N803" s="44"/>
      <c r="O803" s="45">
        <f t="shared" si="483"/>
        <v>160</v>
      </c>
      <c r="P803" s="51"/>
      <c r="Q803" s="51"/>
      <c r="R803" s="74">
        <f t="shared" si="484"/>
        <v>24.1379310344828</v>
      </c>
      <c r="S803" s="74"/>
      <c r="T803" s="75">
        <f t="shared" si="485"/>
        <v>0.56791724137931</v>
      </c>
      <c r="U803" s="74"/>
      <c r="V803" s="74"/>
      <c r="W803" s="76">
        <f t="shared" si="478"/>
        <v>24.7058482758621</v>
      </c>
      <c r="X803" s="77">
        <f t="shared" si="486"/>
        <v>0.959965517241379</v>
      </c>
      <c r="Y803" s="77"/>
      <c r="Z803" s="77"/>
      <c r="AA803" s="77">
        <f t="shared" si="481"/>
        <v>0.959965517241379</v>
      </c>
      <c r="AB803" s="87">
        <v>7.26</v>
      </c>
      <c r="AC803" s="74">
        <f t="shared" si="482"/>
        <v>6.96934965517241</v>
      </c>
      <c r="AD803" s="74">
        <f t="shared" si="480"/>
        <v>31.6751979310345</v>
      </c>
      <c r="AE803" s="74">
        <f t="shared" si="479"/>
        <v>128.324802068966</v>
      </c>
    </row>
    <row r="804" customFormat="1" spans="1:31">
      <c r="A804" s="18"/>
      <c r="B804" s="19"/>
      <c r="C804" s="107">
        <v>240726000032</v>
      </c>
      <c r="D804" s="21">
        <v>45502</v>
      </c>
      <c r="E804" s="21" t="s">
        <v>37</v>
      </c>
      <c r="F804" s="19" t="s">
        <v>37</v>
      </c>
      <c r="G804" s="19" t="s">
        <v>149</v>
      </c>
      <c r="H804" s="19">
        <v>24</v>
      </c>
      <c r="I804" s="41">
        <v>2760</v>
      </c>
      <c r="J804" s="42"/>
      <c r="K804" s="43"/>
      <c r="L804" s="19"/>
      <c r="M804" s="43"/>
      <c r="N804" s="44"/>
      <c r="O804" s="45">
        <f t="shared" si="483"/>
        <v>2760</v>
      </c>
      <c r="P804" s="51"/>
      <c r="Q804" s="51"/>
      <c r="R804" s="74">
        <f t="shared" si="484"/>
        <v>1379.31034482759</v>
      </c>
      <c r="S804" s="74"/>
      <c r="T804" s="75">
        <f t="shared" si="485"/>
        <v>32.4524137931034</v>
      </c>
      <c r="U804" s="74"/>
      <c r="V804" s="74"/>
      <c r="W804" s="76">
        <f t="shared" si="478"/>
        <v>1411.76275862069</v>
      </c>
      <c r="X804" s="77">
        <f t="shared" si="486"/>
        <v>54.8551724137931</v>
      </c>
      <c r="Y804" s="77"/>
      <c r="Z804" s="77"/>
      <c r="AA804" s="77">
        <f t="shared" si="481"/>
        <v>54.8551724137931</v>
      </c>
      <c r="AB804" s="87">
        <v>7.26</v>
      </c>
      <c r="AC804" s="74">
        <f t="shared" si="482"/>
        <v>398.248551724138</v>
      </c>
      <c r="AD804" s="74">
        <f t="shared" si="480"/>
        <v>1810.01131034483</v>
      </c>
      <c r="AE804" s="74">
        <f t="shared" si="479"/>
        <v>949.988689655172</v>
      </c>
    </row>
    <row r="805" customFormat="1" spans="1:31">
      <c r="A805" s="18"/>
      <c r="B805" s="19"/>
      <c r="C805" s="107">
        <v>240726000036</v>
      </c>
      <c r="D805" s="21">
        <v>45502</v>
      </c>
      <c r="E805" s="21" t="s">
        <v>37</v>
      </c>
      <c r="F805" s="19" t="s">
        <v>37</v>
      </c>
      <c r="G805" s="19" t="s">
        <v>457</v>
      </c>
      <c r="H805" s="19">
        <v>0.82</v>
      </c>
      <c r="I805" s="41">
        <v>63</v>
      </c>
      <c r="J805" s="42"/>
      <c r="K805" s="43"/>
      <c r="L805" s="19"/>
      <c r="M805" s="43"/>
      <c r="N805" s="44"/>
      <c r="O805" s="45">
        <f t="shared" si="483"/>
        <v>63</v>
      </c>
      <c r="P805" s="51"/>
      <c r="Q805" s="51"/>
      <c r="R805" s="74">
        <f t="shared" si="484"/>
        <v>47.1264367816092</v>
      </c>
      <c r="S805" s="74"/>
      <c r="T805" s="75">
        <f t="shared" si="485"/>
        <v>1.1087908045977</v>
      </c>
      <c r="U805" s="74"/>
      <c r="V805" s="74"/>
      <c r="W805" s="76">
        <f t="shared" si="478"/>
        <v>48.2352275862069</v>
      </c>
      <c r="X805" s="77">
        <f t="shared" si="486"/>
        <v>1.8742183908046</v>
      </c>
      <c r="Y805" s="77"/>
      <c r="Z805" s="77"/>
      <c r="AA805" s="77">
        <f t="shared" si="481"/>
        <v>1.8742183908046</v>
      </c>
      <c r="AB805" s="87">
        <v>7.26</v>
      </c>
      <c r="AC805" s="74">
        <f t="shared" si="482"/>
        <v>13.6068255172414</v>
      </c>
      <c r="AD805" s="74">
        <f t="shared" si="480"/>
        <v>61.8420531034483</v>
      </c>
      <c r="AE805" s="74">
        <f t="shared" si="479"/>
        <v>1.15794689655173</v>
      </c>
    </row>
    <row r="806" customFormat="1" spans="1:31">
      <c r="A806" s="18"/>
      <c r="B806" s="19"/>
      <c r="C806" s="107">
        <v>240726000054</v>
      </c>
      <c r="D806" s="21">
        <v>45502</v>
      </c>
      <c r="E806" s="21" t="s">
        <v>37</v>
      </c>
      <c r="F806" s="19" t="s">
        <v>37</v>
      </c>
      <c r="G806" s="19" t="s">
        <v>85</v>
      </c>
      <c r="H806" s="19">
        <v>0.58</v>
      </c>
      <c r="I806" s="47">
        <v>120</v>
      </c>
      <c r="J806" s="42"/>
      <c r="K806" s="43"/>
      <c r="L806" s="19"/>
      <c r="M806" s="43"/>
      <c r="N806" s="44"/>
      <c r="O806" s="45">
        <f t="shared" si="483"/>
        <v>120</v>
      </c>
      <c r="P806" s="51"/>
      <c r="Q806" s="51"/>
      <c r="R806" s="74">
        <f t="shared" si="484"/>
        <v>33.3333333333333</v>
      </c>
      <c r="S806" s="74"/>
      <c r="T806" s="75">
        <f t="shared" si="485"/>
        <v>0.784266666666667</v>
      </c>
      <c r="U806" s="74"/>
      <c r="V806" s="74"/>
      <c r="W806" s="76">
        <f t="shared" si="478"/>
        <v>34.1176</v>
      </c>
      <c r="X806" s="77">
        <f t="shared" si="486"/>
        <v>1.32566666666667</v>
      </c>
      <c r="Y806" s="77"/>
      <c r="Z806" s="77"/>
      <c r="AA806" s="77">
        <f t="shared" si="481"/>
        <v>1.32566666666667</v>
      </c>
      <c r="AB806" s="87">
        <v>7.26</v>
      </c>
      <c r="AC806" s="74">
        <f t="shared" si="482"/>
        <v>9.62434</v>
      </c>
      <c r="AD806" s="74">
        <f t="shared" si="480"/>
        <v>43.74194</v>
      </c>
      <c r="AE806" s="74">
        <f t="shared" ref="AE806:AE811" si="487">SUM(O806-AD806)</f>
        <v>76.25806</v>
      </c>
    </row>
    <row r="807" customFormat="1" spans="1:31">
      <c r="A807" s="18"/>
      <c r="B807" s="19"/>
      <c r="C807" s="107">
        <v>240727000001</v>
      </c>
      <c r="D807" s="21">
        <v>45502</v>
      </c>
      <c r="E807" s="21" t="s">
        <v>47</v>
      </c>
      <c r="F807" s="19" t="s">
        <v>48</v>
      </c>
      <c r="G807" s="19" t="s">
        <v>158</v>
      </c>
      <c r="H807" s="19">
        <v>18</v>
      </c>
      <c r="I807" s="41">
        <v>2160</v>
      </c>
      <c r="J807" s="42"/>
      <c r="K807" s="43"/>
      <c r="L807" s="19"/>
      <c r="M807" s="43"/>
      <c r="N807" s="44"/>
      <c r="O807" s="45">
        <f t="shared" si="483"/>
        <v>2160</v>
      </c>
      <c r="P807" s="52"/>
      <c r="Q807" s="52"/>
      <c r="R807" s="74">
        <f t="shared" si="484"/>
        <v>1034.48275862069</v>
      </c>
      <c r="S807" s="74"/>
      <c r="T807" s="75">
        <f t="shared" si="485"/>
        <v>24.3393103448276</v>
      </c>
      <c r="U807" s="74"/>
      <c r="V807" s="74"/>
      <c r="W807" s="76">
        <f t="shared" si="478"/>
        <v>1058.82206896552</v>
      </c>
      <c r="X807" s="77">
        <f t="shared" si="486"/>
        <v>41.1413793103448</v>
      </c>
      <c r="Y807" s="77"/>
      <c r="Z807" s="77"/>
      <c r="AA807" s="77">
        <f t="shared" si="481"/>
        <v>41.1413793103448</v>
      </c>
      <c r="AB807" s="87">
        <v>7.26</v>
      </c>
      <c r="AC807" s="74">
        <f t="shared" si="482"/>
        <v>298.686413793103</v>
      </c>
      <c r="AD807" s="74">
        <f t="shared" si="480"/>
        <v>1357.50848275862</v>
      </c>
      <c r="AE807" s="74">
        <f t="shared" si="487"/>
        <v>802.49151724138</v>
      </c>
    </row>
    <row r="808" customFormat="1" spans="1:31">
      <c r="A808" s="18" t="s">
        <v>514</v>
      </c>
      <c r="B808" s="19" t="s">
        <v>515</v>
      </c>
      <c r="C808" s="107">
        <v>240726000049</v>
      </c>
      <c r="D808" s="21">
        <v>45503</v>
      </c>
      <c r="E808" s="21" t="s">
        <v>58</v>
      </c>
      <c r="F808" s="19" t="s">
        <v>59</v>
      </c>
      <c r="G808" s="19" t="s">
        <v>60</v>
      </c>
      <c r="H808" s="19">
        <v>3.5</v>
      </c>
      <c r="I808" s="41">
        <v>420</v>
      </c>
      <c r="J808" s="89"/>
      <c r="K808" s="43"/>
      <c r="L808" s="45"/>
      <c r="M808" s="43"/>
      <c r="N808" s="44"/>
      <c r="O808" s="45">
        <f t="shared" si="483"/>
        <v>420</v>
      </c>
      <c r="P808" s="46">
        <f>SUM(O808:O811)</f>
        <v>2632</v>
      </c>
      <c r="Q808" s="46" t="s">
        <v>39</v>
      </c>
      <c r="R808" s="74">
        <f>SUM(2500/32)*H808</f>
        <v>273.4375</v>
      </c>
      <c r="S808" s="74"/>
      <c r="T808" s="75">
        <f>SUM(54.99/32)*H808</f>
        <v>6.01453125</v>
      </c>
      <c r="U808" s="74"/>
      <c r="V808" s="74"/>
      <c r="W808" s="76">
        <f t="shared" si="478"/>
        <v>279.45203125</v>
      </c>
      <c r="X808" s="77">
        <f>SUM(45.41/32)*H808</f>
        <v>4.96671875</v>
      </c>
      <c r="Y808" s="77"/>
      <c r="Z808" s="77"/>
      <c r="AA808" s="77">
        <f t="shared" si="481"/>
        <v>4.96671875</v>
      </c>
      <c r="AB808" s="87">
        <v>7.26</v>
      </c>
      <c r="AC808" s="74">
        <f t="shared" si="482"/>
        <v>36.058378125</v>
      </c>
      <c r="AD808" s="74">
        <f t="shared" si="480"/>
        <v>315.510409375</v>
      </c>
      <c r="AE808" s="74">
        <f t="shared" si="487"/>
        <v>104.489590625</v>
      </c>
    </row>
    <row r="809" customFormat="1" spans="1:31">
      <c r="A809" s="18"/>
      <c r="B809" s="19"/>
      <c r="C809" s="107">
        <v>240727000012</v>
      </c>
      <c r="D809" s="21">
        <v>45503</v>
      </c>
      <c r="E809" s="21" t="s">
        <v>47</v>
      </c>
      <c r="F809" s="19" t="s">
        <v>48</v>
      </c>
      <c r="G809" s="19" t="s">
        <v>160</v>
      </c>
      <c r="H809" s="19">
        <v>1.5</v>
      </c>
      <c r="I809" s="41">
        <v>172</v>
      </c>
      <c r="J809" s="89"/>
      <c r="K809" s="43"/>
      <c r="L809" s="45"/>
      <c r="M809" s="43"/>
      <c r="N809" s="44"/>
      <c r="O809" s="45">
        <f t="shared" si="483"/>
        <v>172</v>
      </c>
      <c r="P809" s="51"/>
      <c r="Q809" s="51"/>
      <c r="R809" s="74">
        <f>SUM(2500/32)*H809</f>
        <v>117.1875</v>
      </c>
      <c r="S809" s="74"/>
      <c r="T809" s="75">
        <f>SUM(54.99/32)*H809</f>
        <v>2.57765625</v>
      </c>
      <c r="U809" s="74"/>
      <c r="V809" s="74"/>
      <c r="W809" s="76">
        <f t="shared" si="478"/>
        <v>119.76515625</v>
      </c>
      <c r="X809" s="77">
        <f>SUM(45.41/32)*H809</f>
        <v>2.12859375</v>
      </c>
      <c r="Y809" s="77"/>
      <c r="Z809" s="77"/>
      <c r="AA809" s="77">
        <f t="shared" si="481"/>
        <v>2.12859375</v>
      </c>
      <c r="AB809" s="87">
        <v>7.26</v>
      </c>
      <c r="AC809" s="74">
        <f t="shared" si="482"/>
        <v>15.453590625</v>
      </c>
      <c r="AD809" s="74">
        <f t="shared" si="480"/>
        <v>135.218746875</v>
      </c>
      <c r="AE809" s="74">
        <f t="shared" ref="AE809:AE815" si="488">SUM(O809-AD809)</f>
        <v>36.781253125</v>
      </c>
    </row>
    <row r="810" customFormat="1" spans="1:31">
      <c r="A810" s="18"/>
      <c r="B810" s="19"/>
      <c r="C810" s="107">
        <v>240727000016</v>
      </c>
      <c r="D810" s="21">
        <v>45503</v>
      </c>
      <c r="E810" s="21" t="s">
        <v>47</v>
      </c>
      <c r="F810" s="19" t="s">
        <v>48</v>
      </c>
      <c r="G810" s="19" t="s">
        <v>159</v>
      </c>
      <c r="H810" s="19">
        <v>6.5</v>
      </c>
      <c r="I810" s="41">
        <v>780</v>
      </c>
      <c r="J810" s="89"/>
      <c r="K810" s="43"/>
      <c r="L810" s="45"/>
      <c r="M810" s="43"/>
      <c r="N810" s="44"/>
      <c r="O810" s="45">
        <f t="shared" si="483"/>
        <v>780</v>
      </c>
      <c r="P810" s="51"/>
      <c r="Q810" s="51"/>
      <c r="R810" s="74">
        <f>SUM(2500/32)*H810</f>
        <v>507.8125</v>
      </c>
      <c r="S810" s="74"/>
      <c r="T810" s="75">
        <f>SUM(54.99/32)*H810</f>
        <v>11.16984375</v>
      </c>
      <c r="U810" s="74"/>
      <c r="V810" s="74"/>
      <c r="W810" s="76">
        <f t="shared" si="478"/>
        <v>518.98234375</v>
      </c>
      <c r="X810" s="77">
        <f>SUM(45.41/32)*H810</f>
        <v>9.22390625</v>
      </c>
      <c r="Y810" s="77"/>
      <c r="Z810" s="77"/>
      <c r="AA810" s="77">
        <f t="shared" si="481"/>
        <v>9.22390625</v>
      </c>
      <c r="AB810" s="87">
        <v>7.26</v>
      </c>
      <c r="AC810" s="74">
        <f t="shared" ref="AC810:AC815" si="489">SUM(AA810*AB810)</f>
        <v>66.965559375</v>
      </c>
      <c r="AD810" s="74">
        <f t="shared" si="480"/>
        <v>585.947903125</v>
      </c>
      <c r="AE810" s="74">
        <f t="shared" si="488"/>
        <v>194.052096875</v>
      </c>
    </row>
    <row r="811" customFormat="1" spans="1:31">
      <c r="A811" s="18"/>
      <c r="B811" s="19"/>
      <c r="C811" s="107">
        <v>240728000001</v>
      </c>
      <c r="D811" s="21">
        <v>45503</v>
      </c>
      <c r="E811" s="21" t="s">
        <v>37</v>
      </c>
      <c r="F811" s="19" t="s">
        <v>37</v>
      </c>
      <c r="G811" s="19" t="s">
        <v>63</v>
      </c>
      <c r="H811" s="19">
        <v>10.5</v>
      </c>
      <c r="I811" s="47">
        <v>1260</v>
      </c>
      <c r="J811" s="89"/>
      <c r="K811" s="43"/>
      <c r="L811" s="45"/>
      <c r="M811" s="43"/>
      <c r="N811" s="44"/>
      <c r="O811" s="45">
        <f t="shared" si="483"/>
        <v>1260</v>
      </c>
      <c r="P811" s="52"/>
      <c r="Q811" s="52"/>
      <c r="R811" s="74">
        <f>SUM(2500/32)*H811</f>
        <v>820.3125</v>
      </c>
      <c r="S811" s="74"/>
      <c r="T811" s="75">
        <f>SUM(54.99/32)*H811</f>
        <v>18.04359375</v>
      </c>
      <c r="U811" s="74"/>
      <c r="V811" s="74"/>
      <c r="W811" s="76">
        <f t="shared" si="478"/>
        <v>838.35609375</v>
      </c>
      <c r="X811" s="77">
        <f>SUM(45.41/32)*H811</f>
        <v>14.90015625</v>
      </c>
      <c r="Y811" s="77"/>
      <c r="Z811" s="77"/>
      <c r="AA811" s="77">
        <f t="shared" si="481"/>
        <v>14.90015625</v>
      </c>
      <c r="AB811" s="87">
        <v>7.26</v>
      </c>
      <c r="AC811" s="74">
        <f t="shared" si="489"/>
        <v>108.175134375</v>
      </c>
      <c r="AD811" s="74">
        <f t="shared" si="480"/>
        <v>946.531228125</v>
      </c>
      <c r="AE811" s="74">
        <f t="shared" si="488"/>
        <v>313.468771875</v>
      </c>
    </row>
    <row r="812" customFormat="1" spans="1:31">
      <c r="A812" s="18" t="s">
        <v>516</v>
      </c>
      <c r="B812" s="19" t="s">
        <v>517</v>
      </c>
      <c r="C812" s="107">
        <v>240723000043</v>
      </c>
      <c r="D812" s="21">
        <v>45504</v>
      </c>
      <c r="E812" s="21" t="s">
        <v>37</v>
      </c>
      <c r="F812" s="19" t="s">
        <v>37</v>
      </c>
      <c r="G812" s="19" t="s">
        <v>163</v>
      </c>
      <c r="H812" s="19">
        <v>209</v>
      </c>
      <c r="I812" s="47">
        <v>11503</v>
      </c>
      <c r="J812" s="89"/>
      <c r="K812" s="43"/>
      <c r="L812" s="45"/>
      <c r="M812" s="43"/>
      <c r="N812" s="44"/>
      <c r="O812" s="45">
        <f t="shared" si="483"/>
        <v>11503</v>
      </c>
      <c r="P812" s="46">
        <f>SUM(O812:O815)</f>
        <v>55281.5</v>
      </c>
      <c r="Q812" s="46" t="s">
        <v>205</v>
      </c>
      <c r="R812" s="74">
        <f>SUM(43440.4/1012)*H812</f>
        <v>8971.38695652174</v>
      </c>
      <c r="S812" s="74"/>
      <c r="T812" s="75">
        <f>SUM(31.68/1012)*H808</f>
        <v>0.109565217391304</v>
      </c>
      <c r="U812" s="74"/>
      <c r="V812" s="74"/>
      <c r="W812" s="76">
        <f t="shared" si="478"/>
        <v>8971.49652173913</v>
      </c>
      <c r="X812" s="77">
        <f>SUM(557.88/1012)*H812</f>
        <v>115.214347826087</v>
      </c>
      <c r="Y812" s="77"/>
      <c r="Z812" s="77"/>
      <c r="AA812" s="77">
        <f t="shared" si="481"/>
        <v>115.214347826087</v>
      </c>
      <c r="AB812" s="87">
        <v>7.26</v>
      </c>
      <c r="AC812" s="74">
        <f t="shared" si="489"/>
        <v>836.456165217391</v>
      </c>
      <c r="AD812" s="74">
        <f t="shared" si="480"/>
        <v>9807.95268695652</v>
      </c>
      <c r="AE812" s="74">
        <f t="shared" ref="AE812:AE825" si="490">SUM(O812-AD812)</f>
        <v>1695.04731304348</v>
      </c>
    </row>
    <row r="813" customFormat="1" spans="1:31">
      <c r="A813" s="18"/>
      <c r="B813" s="19"/>
      <c r="C813" s="107">
        <v>240724000050</v>
      </c>
      <c r="D813" s="21">
        <v>45504</v>
      </c>
      <c r="E813" s="21" t="s">
        <v>44</v>
      </c>
      <c r="F813" s="19" t="s">
        <v>45</v>
      </c>
      <c r="G813" s="19" t="s">
        <v>518</v>
      </c>
      <c r="H813" s="19">
        <v>709</v>
      </c>
      <c r="I813" s="41">
        <v>39225</v>
      </c>
      <c r="J813" s="89"/>
      <c r="K813" s="43"/>
      <c r="L813" s="45"/>
      <c r="M813" s="43"/>
      <c r="N813" s="44"/>
      <c r="O813" s="45">
        <f t="shared" si="483"/>
        <v>39225</v>
      </c>
      <c r="P813" s="51"/>
      <c r="Q813" s="51"/>
      <c r="R813" s="74">
        <f>SUM(43440.4/1012)*H813</f>
        <v>30434.0351778656</v>
      </c>
      <c r="S813" s="74"/>
      <c r="T813" s="75">
        <f>SUM(31.68/1012)*H809</f>
        <v>0.0469565217391304</v>
      </c>
      <c r="U813" s="74"/>
      <c r="V813" s="74"/>
      <c r="W813" s="76">
        <f t="shared" ref="W813:W825" si="491">SUM(R813:V813)</f>
        <v>30434.0821343874</v>
      </c>
      <c r="X813" s="77">
        <f>SUM(557.88/1012)*H813</f>
        <v>390.846758893281</v>
      </c>
      <c r="Y813" s="77">
        <v>30.3</v>
      </c>
      <c r="Z813" s="77"/>
      <c r="AA813" s="77">
        <f t="shared" si="481"/>
        <v>421.146758893281</v>
      </c>
      <c r="AB813" s="87">
        <v>7.26</v>
      </c>
      <c r="AC813" s="74">
        <f t="shared" si="489"/>
        <v>3057.52546956522</v>
      </c>
      <c r="AD813" s="74">
        <f t="shared" si="480"/>
        <v>33491.6076039526</v>
      </c>
      <c r="AE813" s="74">
        <f t="shared" si="490"/>
        <v>5733.39239604743</v>
      </c>
    </row>
    <row r="814" customFormat="1" spans="1:31">
      <c r="A814" s="18"/>
      <c r="B814" s="19"/>
      <c r="C814" s="107">
        <v>240725000028</v>
      </c>
      <c r="D814" s="21">
        <v>45504</v>
      </c>
      <c r="E814" s="21" t="s">
        <v>40</v>
      </c>
      <c r="F814" s="19" t="s">
        <v>41</v>
      </c>
      <c r="G814" s="19" t="s">
        <v>508</v>
      </c>
      <c r="H814" s="19">
        <v>11.5</v>
      </c>
      <c r="I814" s="41">
        <v>881.5</v>
      </c>
      <c r="J814" s="89"/>
      <c r="K814" s="43"/>
      <c r="L814" s="45"/>
      <c r="M814" s="43"/>
      <c r="N814" s="44"/>
      <c r="O814" s="45">
        <f t="shared" si="483"/>
        <v>881.5</v>
      </c>
      <c r="P814" s="51"/>
      <c r="Q814" s="51"/>
      <c r="R814" s="74">
        <f>SUM(43440.4/1012)*H814</f>
        <v>493.640909090909</v>
      </c>
      <c r="S814" s="74"/>
      <c r="T814" s="75">
        <f>SUM(31.68/1012)*H810</f>
        <v>0.203478260869565</v>
      </c>
      <c r="U814" s="74">
        <v>60</v>
      </c>
      <c r="V814" s="74"/>
      <c r="W814" s="76">
        <f t="shared" si="491"/>
        <v>553.844387351779</v>
      </c>
      <c r="X814" s="77">
        <f>SUM(557.88/1012)*H814</f>
        <v>6.33954545454545</v>
      </c>
      <c r="Y814" s="77"/>
      <c r="Z814" s="77"/>
      <c r="AA814" s="77">
        <f t="shared" ref="AA814:AA825" si="492">SUM(X814:Z814)</f>
        <v>6.33954545454545</v>
      </c>
      <c r="AB814" s="87">
        <v>7.26</v>
      </c>
      <c r="AC814" s="74">
        <f t="shared" ref="AC814:AC825" si="493">SUM(AA814*AB814)</f>
        <v>46.0251</v>
      </c>
      <c r="AD814" s="74">
        <f t="shared" ref="AD814:AD825" si="494">SUM(W814+AC814)</f>
        <v>599.869487351779</v>
      </c>
      <c r="AE814" s="74">
        <f t="shared" si="490"/>
        <v>281.630512648221</v>
      </c>
    </row>
    <row r="815" customFormat="1" spans="1:31">
      <c r="A815" s="18"/>
      <c r="B815" s="19"/>
      <c r="C815" s="107">
        <v>240726000046</v>
      </c>
      <c r="D815" s="21">
        <v>45504</v>
      </c>
      <c r="E815" s="21" t="s">
        <v>40</v>
      </c>
      <c r="F815" s="19" t="s">
        <v>41</v>
      </c>
      <c r="G815" s="19" t="s">
        <v>277</v>
      </c>
      <c r="H815" s="19">
        <v>72</v>
      </c>
      <c r="I815" s="41">
        <v>3672</v>
      </c>
      <c r="J815" s="89"/>
      <c r="K815" s="43"/>
      <c r="L815" s="45"/>
      <c r="M815" s="43"/>
      <c r="N815" s="44"/>
      <c r="O815" s="45">
        <f t="shared" si="483"/>
        <v>3672</v>
      </c>
      <c r="P815" s="52"/>
      <c r="Q815" s="52"/>
      <c r="R815" s="74">
        <f>SUM(43440.4/1012)*H815</f>
        <v>3090.62134387352</v>
      </c>
      <c r="S815" s="74"/>
      <c r="T815" s="75">
        <f>SUM(31.68/1012)*H811</f>
        <v>0.328695652173913</v>
      </c>
      <c r="U815" s="74"/>
      <c r="V815" s="74"/>
      <c r="W815" s="76">
        <f t="shared" si="491"/>
        <v>3090.95003952569</v>
      </c>
      <c r="X815" s="77">
        <f>SUM(557.88/1012)*H815</f>
        <v>39.6910671936759</v>
      </c>
      <c r="Y815" s="77"/>
      <c r="Z815" s="77"/>
      <c r="AA815" s="77">
        <f t="shared" si="492"/>
        <v>39.6910671936759</v>
      </c>
      <c r="AB815" s="87">
        <v>7.26</v>
      </c>
      <c r="AC815" s="74">
        <f t="shared" si="493"/>
        <v>288.157147826087</v>
      </c>
      <c r="AD815" s="74">
        <f t="shared" si="494"/>
        <v>3379.10718735178</v>
      </c>
      <c r="AE815" s="74">
        <f t="shared" si="490"/>
        <v>292.892812648221</v>
      </c>
    </row>
    <row r="816" customFormat="1" spans="1:31">
      <c r="A816" s="18" t="s">
        <v>519</v>
      </c>
      <c r="B816" s="19" t="s">
        <v>520</v>
      </c>
      <c r="C816" s="107">
        <v>240727000010</v>
      </c>
      <c r="D816" s="21">
        <v>45504</v>
      </c>
      <c r="E816" s="21" t="s">
        <v>44</v>
      </c>
      <c r="F816" s="19" t="s">
        <v>45</v>
      </c>
      <c r="G816" s="19" t="s">
        <v>304</v>
      </c>
      <c r="H816" s="19">
        <v>0.78</v>
      </c>
      <c r="I816" s="41">
        <v>115</v>
      </c>
      <c r="J816" s="89"/>
      <c r="K816" s="43"/>
      <c r="L816" s="45"/>
      <c r="M816" s="43"/>
      <c r="N816" s="44"/>
      <c r="O816" s="45">
        <f t="shared" si="483"/>
        <v>115</v>
      </c>
      <c r="P816" s="46">
        <f>SUM(O816:O825)</f>
        <v>5549.5</v>
      </c>
      <c r="Q816" s="46" t="s">
        <v>39</v>
      </c>
      <c r="R816" s="74">
        <f>SUM(2500/32)*H816</f>
        <v>60.9375</v>
      </c>
      <c r="S816" s="74"/>
      <c r="T816" s="75">
        <f>SUM(54.99/32)*H816</f>
        <v>1.34038125</v>
      </c>
      <c r="U816" s="74"/>
      <c r="V816" s="74"/>
      <c r="W816" s="76">
        <f t="shared" si="491"/>
        <v>62.27788125</v>
      </c>
      <c r="X816" s="77">
        <f>SUM(122.31/32)*H816</f>
        <v>2.98130625</v>
      </c>
      <c r="Y816" s="77"/>
      <c r="Z816" s="77"/>
      <c r="AA816" s="77">
        <f t="shared" si="492"/>
        <v>2.98130625</v>
      </c>
      <c r="AB816" s="87">
        <v>7.26</v>
      </c>
      <c r="AC816" s="74">
        <f t="shared" si="493"/>
        <v>21.644283375</v>
      </c>
      <c r="AD816" s="74">
        <f t="shared" si="494"/>
        <v>83.922164625</v>
      </c>
      <c r="AE816" s="74">
        <f t="shared" si="490"/>
        <v>31.077835375</v>
      </c>
    </row>
    <row r="817" customFormat="1" spans="1:31">
      <c r="A817" s="18"/>
      <c r="B817" s="19"/>
      <c r="C817" s="107">
        <v>240729000004</v>
      </c>
      <c r="D817" s="21">
        <v>45504</v>
      </c>
      <c r="E817" s="21" t="s">
        <v>40</v>
      </c>
      <c r="F817" s="19" t="s">
        <v>41</v>
      </c>
      <c r="G817" s="19" t="s">
        <v>416</v>
      </c>
      <c r="H817" s="19">
        <v>2</v>
      </c>
      <c r="I817" s="41">
        <v>240</v>
      </c>
      <c r="J817" s="89"/>
      <c r="K817" s="43"/>
      <c r="L817" s="45"/>
      <c r="M817" s="43"/>
      <c r="N817" s="44"/>
      <c r="O817" s="45">
        <f t="shared" si="483"/>
        <v>240</v>
      </c>
      <c r="P817" s="51"/>
      <c r="Q817" s="51"/>
      <c r="R817" s="74">
        <f t="shared" ref="R817:R825" si="495">SUM(2500/32)*H817</f>
        <v>156.25</v>
      </c>
      <c r="S817" s="74"/>
      <c r="T817" s="75">
        <f t="shared" ref="T817:T825" si="496">SUM(54.99/32)*H817</f>
        <v>3.436875</v>
      </c>
      <c r="U817" s="74"/>
      <c r="V817" s="74"/>
      <c r="W817" s="76">
        <f t="shared" si="491"/>
        <v>159.686875</v>
      </c>
      <c r="X817" s="77">
        <f t="shared" ref="X817:X825" si="497">SUM(122.31/32)*H817</f>
        <v>7.644375</v>
      </c>
      <c r="Y817" s="77"/>
      <c r="Z817" s="77"/>
      <c r="AA817" s="77">
        <f t="shared" si="492"/>
        <v>7.644375</v>
      </c>
      <c r="AB817" s="87">
        <v>7.26</v>
      </c>
      <c r="AC817" s="74">
        <f t="shared" si="493"/>
        <v>55.4981625</v>
      </c>
      <c r="AD817" s="74">
        <f t="shared" si="494"/>
        <v>215.1850375</v>
      </c>
      <c r="AE817" s="74">
        <f t="shared" si="490"/>
        <v>24.8149625</v>
      </c>
    </row>
    <row r="818" customFormat="1" spans="1:31">
      <c r="A818" s="18"/>
      <c r="B818" s="19"/>
      <c r="C818" s="107">
        <v>240729000006</v>
      </c>
      <c r="D818" s="21">
        <v>45504</v>
      </c>
      <c r="E818" s="21" t="s">
        <v>40</v>
      </c>
      <c r="F818" s="19" t="s">
        <v>41</v>
      </c>
      <c r="G818" s="19" t="s">
        <v>346</v>
      </c>
      <c r="H818" s="19">
        <v>2</v>
      </c>
      <c r="I818" s="41">
        <v>240</v>
      </c>
      <c r="J818" s="89"/>
      <c r="K818" s="43"/>
      <c r="L818" s="45"/>
      <c r="M818" s="43"/>
      <c r="N818" s="44"/>
      <c r="O818" s="45">
        <f t="shared" si="483"/>
        <v>240</v>
      </c>
      <c r="P818" s="51"/>
      <c r="Q818" s="51"/>
      <c r="R818" s="74">
        <f t="shared" si="495"/>
        <v>156.25</v>
      </c>
      <c r="S818" s="74"/>
      <c r="T818" s="75">
        <f t="shared" si="496"/>
        <v>3.436875</v>
      </c>
      <c r="U818" s="74"/>
      <c r="V818" s="74"/>
      <c r="W818" s="76">
        <f t="shared" si="491"/>
        <v>159.686875</v>
      </c>
      <c r="X818" s="77">
        <f t="shared" si="497"/>
        <v>7.644375</v>
      </c>
      <c r="Y818" s="77"/>
      <c r="Z818" s="77"/>
      <c r="AA818" s="77">
        <f t="shared" si="492"/>
        <v>7.644375</v>
      </c>
      <c r="AB818" s="87">
        <v>7.26</v>
      </c>
      <c r="AC818" s="74">
        <f t="shared" si="493"/>
        <v>55.4981625</v>
      </c>
      <c r="AD818" s="74">
        <f t="shared" si="494"/>
        <v>215.1850375</v>
      </c>
      <c r="AE818" s="74">
        <f t="shared" si="490"/>
        <v>24.8149625</v>
      </c>
    </row>
    <row r="819" customFormat="1" spans="1:31">
      <c r="A819" s="18"/>
      <c r="B819" s="19"/>
      <c r="C819" s="107">
        <v>240729000007</v>
      </c>
      <c r="D819" s="21">
        <v>45504</v>
      </c>
      <c r="E819" s="21" t="s">
        <v>58</v>
      </c>
      <c r="F819" s="19" t="s">
        <v>59</v>
      </c>
      <c r="G819" s="19" t="s">
        <v>521</v>
      </c>
      <c r="H819" s="19">
        <v>0.9</v>
      </c>
      <c r="I819" s="41">
        <v>150</v>
      </c>
      <c r="J819" s="89"/>
      <c r="K819" s="43"/>
      <c r="L819" s="45"/>
      <c r="M819" s="43"/>
      <c r="N819" s="44"/>
      <c r="O819" s="45">
        <f t="shared" si="483"/>
        <v>150</v>
      </c>
      <c r="P819" s="51"/>
      <c r="Q819" s="51"/>
      <c r="R819" s="74">
        <f t="shared" si="495"/>
        <v>70.3125</v>
      </c>
      <c r="S819" s="74"/>
      <c r="T819" s="75">
        <f t="shared" si="496"/>
        <v>1.54659375</v>
      </c>
      <c r="U819" s="74"/>
      <c r="V819" s="74"/>
      <c r="W819" s="76">
        <f t="shared" si="491"/>
        <v>71.85909375</v>
      </c>
      <c r="X819" s="77">
        <f t="shared" si="497"/>
        <v>3.43996875</v>
      </c>
      <c r="Y819" s="77"/>
      <c r="Z819" s="77"/>
      <c r="AA819" s="77">
        <f t="shared" si="492"/>
        <v>3.43996875</v>
      </c>
      <c r="AB819" s="87">
        <v>7.26</v>
      </c>
      <c r="AC819" s="74">
        <f t="shared" si="493"/>
        <v>24.974173125</v>
      </c>
      <c r="AD819" s="74">
        <f t="shared" si="494"/>
        <v>96.833266875</v>
      </c>
      <c r="AE819" s="74">
        <f t="shared" si="490"/>
        <v>53.166733125</v>
      </c>
    </row>
    <row r="820" customFormat="1" spans="1:31">
      <c r="A820" s="18"/>
      <c r="B820" s="19"/>
      <c r="C820" s="107">
        <v>240729000023</v>
      </c>
      <c r="D820" s="21">
        <v>45504</v>
      </c>
      <c r="E820" s="21" t="s">
        <v>44</v>
      </c>
      <c r="F820" s="19" t="s">
        <v>45</v>
      </c>
      <c r="G820" s="19" t="s">
        <v>304</v>
      </c>
      <c r="H820" s="19">
        <v>3.5</v>
      </c>
      <c r="I820" s="41">
        <v>402.5</v>
      </c>
      <c r="J820" s="89"/>
      <c r="K820" s="43"/>
      <c r="L820" s="45"/>
      <c r="M820" s="43"/>
      <c r="N820" s="44"/>
      <c r="O820" s="45">
        <f t="shared" si="483"/>
        <v>402.5</v>
      </c>
      <c r="P820" s="51"/>
      <c r="Q820" s="51"/>
      <c r="R820" s="74">
        <f t="shared" si="495"/>
        <v>273.4375</v>
      </c>
      <c r="S820" s="74"/>
      <c r="T820" s="75">
        <f t="shared" si="496"/>
        <v>6.01453125</v>
      </c>
      <c r="U820" s="74"/>
      <c r="V820" s="74"/>
      <c r="W820" s="76">
        <f t="shared" si="491"/>
        <v>279.45203125</v>
      </c>
      <c r="X820" s="77">
        <f t="shared" si="497"/>
        <v>13.37765625</v>
      </c>
      <c r="Y820" s="77"/>
      <c r="Z820" s="77"/>
      <c r="AA820" s="77">
        <f t="shared" si="492"/>
        <v>13.37765625</v>
      </c>
      <c r="AB820" s="87">
        <v>7.26</v>
      </c>
      <c r="AC820" s="74">
        <f t="shared" si="493"/>
        <v>97.121784375</v>
      </c>
      <c r="AD820" s="74">
        <f t="shared" si="494"/>
        <v>376.573815625</v>
      </c>
      <c r="AE820" s="74">
        <f t="shared" si="490"/>
        <v>25.926184375</v>
      </c>
    </row>
    <row r="821" customFormat="1" spans="1:31">
      <c r="A821" s="18"/>
      <c r="B821" s="19"/>
      <c r="C821" s="107">
        <v>240729000028</v>
      </c>
      <c r="D821" s="21">
        <v>45504</v>
      </c>
      <c r="E821" s="21" t="s">
        <v>47</v>
      </c>
      <c r="F821" s="19" t="s">
        <v>48</v>
      </c>
      <c r="G821" s="19" t="s">
        <v>73</v>
      </c>
      <c r="H821" s="19">
        <v>1.5</v>
      </c>
      <c r="I821" s="41">
        <v>172</v>
      </c>
      <c r="J821" s="89"/>
      <c r="K821" s="43"/>
      <c r="L821" s="45"/>
      <c r="M821" s="43"/>
      <c r="N821" s="44"/>
      <c r="O821" s="45">
        <f t="shared" si="483"/>
        <v>172</v>
      </c>
      <c r="P821" s="51"/>
      <c r="Q821" s="51"/>
      <c r="R821" s="74">
        <f t="shared" si="495"/>
        <v>117.1875</v>
      </c>
      <c r="S821" s="74"/>
      <c r="T821" s="75">
        <f t="shared" si="496"/>
        <v>2.57765625</v>
      </c>
      <c r="U821" s="74"/>
      <c r="V821" s="74"/>
      <c r="W821" s="76">
        <f t="shared" si="491"/>
        <v>119.76515625</v>
      </c>
      <c r="X821" s="77">
        <f t="shared" si="497"/>
        <v>5.73328125</v>
      </c>
      <c r="Y821" s="77"/>
      <c r="Z821" s="77"/>
      <c r="AA821" s="77">
        <f t="shared" si="492"/>
        <v>5.73328125</v>
      </c>
      <c r="AB821" s="87">
        <v>7.26</v>
      </c>
      <c r="AC821" s="74">
        <f t="shared" si="493"/>
        <v>41.623621875</v>
      </c>
      <c r="AD821" s="74">
        <f t="shared" ref="AD821:AD852" si="498">SUM(W821+AC821)</f>
        <v>161.388778125</v>
      </c>
      <c r="AE821" s="74">
        <f t="shared" si="490"/>
        <v>10.611221875</v>
      </c>
    </row>
    <row r="822" customFormat="1" spans="1:31">
      <c r="A822" s="18"/>
      <c r="B822" s="19"/>
      <c r="C822" s="107">
        <v>240729000045</v>
      </c>
      <c r="D822" s="21">
        <v>45504</v>
      </c>
      <c r="E822" s="21" t="s">
        <v>44</v>
      </c>
      <c r="F822" s="19" t="s">
        <v>45</v>
      </c>
      <c r="G822" s="19" t="s">
        <v>224</v>
      </c>
      <c r="H822" s="19">
        <v>0.8</v>
      </c>
      <c r="I822" s="41">
        <v>115</v>
      </c>
      <c r="J822" s="89"/>
      <c r="K822" s="43"/>
      <c r="L822" s="45"/>
      <c r="M822" s="43"/>
      <c r="N822" s="44"/>
      <c r="O822" s="45">
        <f t="shared" si="483"/>
        <v>115</v>
      </c>
      <c r="P822" s="51"/>
      <c r="Q822" s="51"/>
      <c r="R822" s="74">
        <f t="shared" si="495"/>
        <v>62.5</v>
      </c>
      <c r="S822" s="74"/>
      <c r="T822" s="75">
        <f t="shared" si="496"/>
        <v>1.37475</v>
      </c>
      <c r="U822" s="74"/>
      <c r="V822" s="74"/>
      <c r="W822" s="76">
        <f t="shared" si="491"/>
        <v>63.87475</v>
      </c>
      <c r="X822" s="77">
        <f t="shared" si="497"/>
        <v>3.05775</v>
      </c>
      <c r="Y822" s="77"/>
      <c r="Z822" s="77"/>
      <c r="AA822" s="77">
        <f t="shared" si="492"/>
        <v>3.05775</v>
      </c>
      <c r="AB822" s="87">
        <v>7.26</v>
      </c>
      <c r="AC822" s="74">
        <f t="shared" si="493"/>
        <v>22.199265</v>
      </c>
      <c r="AD822" s="74">
        <f t="shared" si="498"/>
        <v>86.074015</v>
      </c>
      <c r="AE822" s="74">
        <f t="shared" si="490"/>
        <v>28.925985</v>
      </c>
    </row>
    <row r="823" customFormat="1" spans="1:31">
      <c r="A823" s="18"/>
      <c r="B823" s="19"/>
      <c r="C823" s="107">
        <v>240729000048</v>
      </c>
      <c r="D823" s="21">
        <v>45504</v>
      </c>
      <c r="E823" s="21" t="s">
        <v>44</v>
      </c>
      <c r="F823" s="19" t="s">
        <v>45</v>
      </c>
      <c r="G823" s="19" t="s">
        <v>451</v>
      </c>
      <c r="H823" s="19">
        <v>29</v>
      </c>
      <c r="I823" s="41">
        <v>3480</v>
      </c>
      <c r="J823" s="89"/>
      <c r="K823" s="43"/>
      <c r="L823" s="45"/>
      <c r="M823" s="43"/>
      <c r="N823" s="44"/>
      <c r="O823" s="45">
        <f t="shared" si="483"/>
        <v>3480</v>
      </c>
      <c r="P823" s="51"/>
      <c r="Q823" s="51"/>
      <c r="R823" s="74">
        <f t="shared" si="495"/>
        <v>2265.625</v>
      </c>
      <c r="S823" s="74"/>
      <c r="T823" s="75">
        <f t="shared" si="496"/>
        <v>49.8346875</v>
      </c>
      <c r="U823" s="74"/>
      <c r="V823" s="74"/>
      <c r="W823" s="76">
        <f t="shared" si="491"/>
        <v>2315.4596875</v>
      </c>
      <c r="X823" s="77">
        <f t="shared" si="497"/>
        <v>110.8434375</v>
      </c>
      <c r="Y823" s="77"/>
      <c r="Z823" s="77"/>
      <c r="AA823" s="77">
        <f t="shared" si="492"/>
        <v>110.8434375</v>
      </c>
      <c r="AB823" s="87">
        <v>7.26</v>
      </c>
      <c r="AC823" s="74">
        <f t="shared" ref="AC823:AC854" si="499">SUM(AA823*AB823)</f>
        <v>804.72335625</v>
      </c>
      <c r="AD823" s="74">
        <f t="shared" si="498"/>
        <v>3120.18304375</v>
      </c>
      <c r="AE823" s="74">
        <f t="shared" si="490"/>
        <v>359.81695625</v>
      </c>
    </row>
    <row r="824" customFormat="1" spans="1:31">
      <c r="A824" s="18"/>
      <c r="B824" s="19"/>
      <c r="C824" s="107">
        <v>240729000054</v>
      </c>
      <c r="D824" s="21">
        <v>45504</v>
      </c>
      <c r="E824" s="21" t="s">
        <v>37</v>
      </c>
      <c r="F824" s="19" t="s">
        <v>37</v>
      </c>
      <c r="G824" s="19" t="s">
        <v>428</v>
      </c>
      <c r="H824" s="19">
        <v>2.5</v>
      </c>
      <c r="I824" s="41">
        <v>515</v>
      </c>
      <c r="J824" s="89"/>
      <c r="K824" s="43"/>
      <c r="L824" s="45"/>
      <c r="M824" s="43"/>
      <c r="N824" s="44"/>
      <c r="O824" s="45">
        <f t="shared" si="483"/>
        <v>515</v>
      </c>
      <c r="P824" s="51"/>
      <c r="Q824" s="51"/>
      <c r="R824" s="74">
        <f t="shared" si="495"/>
        <v>195.3125</v>
      </c>
      <c r="S824" s="74"/>
      <c r="T824" s="75">
        <f t="shared" si="496"/>
        <v>4.29609375</v>
      </c>
      <c r="U824" s="74"/>
      <c r="V824" s="74"/>
      <c r="W824" s="76">
        <f t="shared" si="491"/>
        <v>199.60859375</v>
      </c>
      <c r="X824" s="77">
        <f t="shared" si="497"/>
        <v>9.55546875</v>
      </c>
      <c r="Y824" s="77"/>
      <c r="Z824" s="77"/>
      <c r="AA824" s="77">
        <f t="shared" ref="AA824:AA855" si="500">SUM(X824:Z824)</f>
        <v>9.55546875</v>
      </c>
      <c r="AB824" s="87">
        <v>7.26</v>
      </c>
      <c r="AC824" s="74">
        <f t="shared" si="499"/>
        <v>69.372703125</v>
      </c>
      <c r="AD824" s="74">
        <f t="shared" si="498"/>
        <v>268.981296875</v>
      </c>
      <c r="AE824" s="74">
        <f t="shared" ref="AE824:AE855" si="501">SUM(O824-AD824)</f>
        <v>246.018703125</v>
      </c>
    </row>
    <row r="825" customFormat="1" spans="1:31">
      <c r="A825" s="18"/>
      <c r="B825" s="19"/>
      <c r="C825" s="107">
        <v>240730000004</v>
      </c>
      <c r="D825" s="21">
        <v>45504</v>
      </c>
      <c r="E825" s="21" t="s">
        <v>47</v>
      </c>
      <c r="F825" s="19" t="s">
        <v>48</v>
      </c>
      <c r="G825" s="19" t="s">
        <v>159</v>
      </c>
      <c r="H825" s="19">
        <v>0.48</v>
      </c>
      <c r="I825" s="41">
        <v>120</v>
      </c>
      <c r="J825" s="89"/>
      <c r="K825" s="43"/>
      <c r="L825" s="45"/>
      <c r="M825" s="43"/>
      <c r="N825" s="44"/>
      <c r="O825" s="45">
        <f t="shared" si="483"/>
        <v>120</v>
      </c>
      <c r="P825" s="52"/>
      <c r="Q825" s="52"/>
      <c r="R825" s="74">
        <f t="shared" si="495"/>
        <v>37.5</v>
      </c>
      <c r="S825" s="74"/>
      <c r="T825" s="75">
        <f t="shared" si="496"/>
        <v>0.82485</v>
      </c>
      <c r="U825" s="74"/>
      <c r="V825" s="74"/>
      <c r="W825" s="76">
        <f t="shared" ref="W825:W856" si="502">SUM(R825:V825)</f>
        <v>38.32485</v>
      </c>
      <c r="X825" s="77">
        <f t="shared" si="497"/>
        <v>1.83465</v>
      </c>
      <c r="Y825" s="77"/>
      <c r="Z825" s="77"/>
      <c r="AA825" s="77">
        <f t="shared" si="500"/>
        <v>1.83465</v>
      </c>
      <c r="AB825" s="87">
        <v>7.26</v>
      </c>
      <c r="AC825" s="74">
        <f t="shared" si="499"/>
        <v>13.319559</v>
      </c>
      <c r="AD825" s="74">
        <f t="shared" si="498"/>
        <v>51.644409</v>
      </c>
      <c r="AE825" s="74">
        <f t="shared" si="501"/>
        <v>68.355591</v>
      </c>
    </row>
    <row r="826" customFormat="1" spans="1:31">
      <c r="A826" s="18" t="s">
        <v>522</v>
      </c>
      <c r="B826" s="19" t="s">
        <v>523</v>
      </c>
      <c r="C826" s="107">
        <v>240722000007</v>
      </c>
      <c r="D826" s="21">
        <v>45504</v>
      </c>
      <c r="E826" s="21" t="s">
        <v>40</v>
      </c>
      <c r="F826" s="19" t="s">
        <v>41</v>
      </c>
      <c r="G826" s="19" t="s">
        <v>86</v>
      </c>
      <c r="H826" s="19">
        <v>27.5</v>
      </c>
      <c r="I826" s="47"/>
      <c r="J826" s="48">
        <v>322107.5</v>
      </c>
      <c r="K826" s="43"/>
      <c r="L826" s="49">
        <f>SUM(J826/M826)</f>
        <v>1604.52054794521</v>
      </c>
      <c r="M826" s="50">
        <v>200.75</v>
      </c>
      <c r="N826" s="44">
        <v>7.26</v>
      </c>
      <c r="O826" s="45">
        <f>SUM(M826*N826)</f>
        <v>1457.445</v>
      </c>
      <c r="P826" s="46">
        <f>SUM(O826:O884)</f>
        <v>98274.4596</v>
      </c>
      <c r="Q826" s="46" t="s">
        <v>130</v>
      </c>
      <c r="R826" s="74">
        <f>SUM(65982/1540)*H826</f>
        <v>1178.25</v>
      </c>
      <c r="S826" s="74"/>
      <c r="T826" s="75">
        <f>SUM(202/1540)*H826</f>
        <v>3.60714285714286</v>
      </c>
      <c r="U826" s="74"/>
      <c r="V826" s="74"/>
      <c r="W826" s="76">
        <f t="shared" si="502"/>
        <v>1181.85714285714</v>
      </c>
      <c r="X826" s="77">
        <f>SUM(961.16/1540)*H826</f>
        <v>17.1635714285714</v>
      </c>
      <c r="Y826" s="77"/>
      <c r="Z826" s="77"/>
      <c r="AA826" s="77">
        <f t="shared" si="500"/>
        <v>17.1635714285714</v>
      </c>
      <c r="AB826" s="87">
        <v>7.26</v>
      </c>
      <c r="AC826" s="74">
        <f t="shared" si="499"/>
        <v>124.607528571429</v>
      </c>
      <c r="AD826" s="74">
        <f t="shared" si="498"/>
        <v>1306.46467142857</v>
      </c>
      <c r="AE826" s="74">
        <f t="shared" si="501"/>
        <v>150.98032857143</v>
      </c>
    </row>
    <row r="827" customFormat="1" spans="1:31">
      <c r="A827" s="18"/>
      <c r="B827" s="19"/>
      <c r="C827" s="107">
        <v>240722000038</v>
      </c>
      <c r="D827" s="21">
        <v>45504</v>
      </c>
      <c r="E827" s="21" t="s">
        <v>44</v>
      </c>
      <c r="F827" s="19" t="s">
        <v>45</v>
      </c>
      <c r="G827" s="19" t="s">
        <v>524</v>
      </c>
      <c r="H827" s="19">
        <v>82</v>
      </c>
      <c r="I827" s="41">
        <v>8235</v>
      </c>
      <c r="J827" s="42"/>
      <c r="K827" s="43"/>
      <c r="L827" s="19"/>
      <c r="M827" s="43"/>
      <c r="N827" s="44"/>
      <c r="O827" s="45">
        <f t="shared" ref="O827:O831" si="503">SUM(I827)</f>
        <v>8235</v>
      </c>
      <c r="P827" s="51"/>
      <c r="Q827" s="51"/>
      <c r="R827" s="74">
        <f t="shared" ref="R827:R858" si="504">SUM(65982/1540)*H827</f>
        <v>3513.32727272727</v>
      </c>
      <c r="S827" s="74"/>
      <c r="T827" s="75">
        <f t="shared" ref="T827:T858" si="505">SUM(202/1540)*H827</f>
        <v>10.7558441558442</v>
      </c>
      <c r="U827" s="74">
        <v>160</v>
      </c>
      <c r="V827" s="74"/>
      <c r="W827" s="76">
        <f t="shared" si="502"/>
        <v>3684.08311688312</v>
      </c>
      <c r="X827" s="77">
        <f t="shared" ref="X827:X858" si="506">SUM(961.16/1540)*H827</f>
        <v>51.1786493506493</v>
      </c>
      <c r="Y827" s="77"/>
      <c r="Z827" s="77"/>
      <c r="AA827" s="77">
        <f t="shared" si="500"/>
        <v>51.1786493506493</v>
      </c>
      <c r="AB827" s="87">
        <v>7.26</v>
      </c>
      <c r="AC827" s="74">
        <f t="shared" si="499"/>
        <v>371.556994285714</v>
      </c>
      <c r="AD827" s="74">
        <f t="shared" si="498"/>
        <v>4055.64011116883</v>
      </c>
      <c r="AE827" s="74">
        <f t="shared" si="501"/>
        <v>4179.35988883117</v>
      </c>
    </row>
    <row r="828" customFormat="1" spans="1:31">
      <c r="A828" s="18"/>
      <c r="B828" s="19"/>
      <c r="C828" s="107">
        <v>240722000040</v>
      </c>
      <c r="D828" s="21">
        <v>45504</v>
      </c>
      <c r="E828" s="21" t="s">
        <v>47</v>
      </c>
      <c r="F828" s="19" t="s">
        <v>48</v>
      </c>
      <c r="G828" s="19" t="s">
        <v>501</v>
      </c>
      <c r="H828" s="19">
        <v>4</v>
      </c>
      <c r="I828" s="41">
        <v>240</v>
      </c>
      <c r="J828" s="42"/>
      <c r="K828" s="43"/>
      <c r="L828" s="19"/>
      <c r="M828" s="43"/>
      <c r="N828" s="44"/>
      <c r="O828" s="45">
        <f t="shared" si="503"/>
        <v>240</v>
      </c>
      <c r="P828" s="51"/>
      <c r="Q828" s="51"/>
      <c r="R828" s="74">
        <f t="shared" si="504"/>
        <v>171.381818181818</v>
      </c>
      <c r="S828" s="74"/>
      <c r="T828" s="75">
        <f t="shared" si="505"/>
        <v>0.524675324675325</v>
      </c>
      <c r="U828" s="74"/>
      <c r="V828" s="74"/>
      <c r="W828" s="76">
        <f t="shared" si="502"/>
        <v>171.906493506493</v>
      </c>
      <c r="X828" s="77">
        <f t="shared" si="506"/>
        <v>2.49651948051948</v>
      </c>
      <c r="Y828" s="77"/>
      <c r="Z828" s="77"/>
      <c r="AA828" s="77">
        <f t="shared" si="500"/>
        <v>2.49651948051948</v>
      </c>
      <c r="AB828" s="87">
        <v>7.26</v>
      </c>
      <c r="AC828" s="74">
        <f t="shared" si="499"/>
        <v>18.1247314285714</v>
      </c>
      <c r="AD828" s="74">
        <f t="shared" si="498"/>
        <v>190.031224935065</v>
      </c>
      <c r="AE828" s="74">
        <f t="shared" si="501"/>
        <v>49.968775064935</v>
      </c>
    </row>
    <row r="829" customFormat="1" spans="1:31">
      <c r="A829" s="18"/>
      <c r="B829" s="19"/>
      <c r="C829" s="107">
        <v>240722000055</v>
      </c>
      <c r="D829" s="21">
        <v>45504</v>
      </c>
      <c r="E829" s="21" t="s">
        <v>37</v>
      </c>
      <c r="F829" s="19" t="s">
        <v>37</v>
      </c>
      <c r="G829" s="19" t="s">
        <v>457</v>
      </c>
      <c r="H829" s="19">
        <v>0.48</v>
      </c>
      <c r="I829" s="41">
        <v>63</v>
      </c>
      <c r="J829" s="42"/>
      <c r="K829" s="43"/>
      <c r="L829" s="19"/>
      <c r="M829" s="43"/>
      <c r="N829" s="44"/>
      <c r="O829" s="45">
        <f t="shared" si="503"/>
        <v>63</v>
      </c>
      <c r="P829" s="51"/>
      <c r="Q829" s="51"/>
      <c r="R829" s="74">
        <f t="shared" si="504"/>
        <v>20.5658181818182</v>
      </c>
      <c r="S829" s="74"/>
      <c r="T829" s="75">
        <f t="shared" si="505"/>
        <v>0.062961038961039</v>
      </c>
      <c r="U829" s="74"/>
      <c r="V829" s="74"/>
      <c r="W829" s="76">
        <f t="shared" si="502"/>
        <v>20.6287792207792</v>
      </c>
      <c r="X829" s="77">
        <f t="shared" si="506"/>
        <v>0.299582337662338</v>
      </c>
      <c r="Y829" s="77"/>
      <c r="Z829" s="77"/>
      <c r="AA829" s="77">
        <f t="shared" si="500"/>
        <v>0.299582337662338</v>
      </c>
      <c r="AB829" s="87">
        <v>7.26</v>
      </c>
      <c r="AC829" s="74">
        <f t="shared" si="499"/>
        <v>2.17496777142857</v>
      </c>
      <c r="AD829" s="74">
        <f t="shared" si="498"/>
        <v>22.8037469922078</v>
      </c>
      <c r="AE829" s="74">
        <f t="shared" si="501"/>
        <v>40.1962530077922</v>
      </c>
    </row>
    <row r="830" customFormat="1" spans="1:31">
      <c r="A830" s="18"/>
      <c r="B830" s="19"/>
      <c r="C830" s="107">
        <v>240723000002</v>
      </c>
      <c r="D830" s="21">
        <v>45504</v>
      </c>
      <c r="E830" s="21" t="s">
        <v>44</v>
      </c>
      <c r="F830" s="19" t="s">
        <v>45</v>
      </c>
      <c r="G830" s="19" t="s">
        <v>92</v>
      </c>
      <c r="H830" s="19">
        <v>23</v>
      </c>
      <c r="I830" s="41">
        <v>1410</v>
      </c>
      <c r="J830" s="42"/>
      <c r="K830" s="43"/>
      <c r="L830" s="19"/>
      <c r="M830" s="43"/>
      <c r="N830" s="44"/>
      <c r="O830" s="45">
        <f t="shared" si="503"/>
        <v>1410</v>
      </c>
      <c r="P830" s="51"/>
      <c r="Q830" s="51"/>
      <c r="R830" s="74">
        <f t="shared" si="504"/>
        <v>985.445454545454</v>
      </c>
      <c r="S830" s="74"/>
      <c r="T830" s="75">
        <f t="shared" si="505"/>
        <v>3.01688311688312</v>
      </c>
      <c r="U830" s="74"/>
      <c r="V830" s="74"/>
      <c r="W830" s="76">
        <f t="shared" si="502"/>
        <v>988.462337662338</v>
      </c>
      <c r="X830" s="77">
        <f t="shared" si="506"/>
        <v>14.354987012987</v>
      </c>
      <c r="Y830" s="77"/>
      <c r="Z830" s="77"/>
      <c r="AA830" s="77">
        <f t="shared" si="500"/>
        <v>14.354987012987</v>
      </c>
      <c r="AB830" s="87">
        <v>7.26</v>
      </c>
      <c r="AC830" s="74">
        <f t="shared" si="499"/>
        <v>104.217205714286</v>
      </c>
      <c r="AD830" s="74">
        <f t="shared" si="498"/>
        <v>1092.67954337662</v>
      </c>
      <c r="AE830" s="74">
        <f t="shared" si="501"/>
        <v>317.32045662338</v>
      </c>
    </row>
    <row r="831" customFormat="1" spans="1:31">
      <c r="A831" s="18"/>
      <c r="B831" s="19"/>
      <c r="C831" s="107">
        <v>240723000005</v>
      </c>
      <c r="D831" s="21">
        <v>45504</v>
      </c>
      <c r="E831" s="21" t="s">
        <v>40</v>
      </c>
      <c r="F831" s="19" t="s">
        <v>41</v>
      </c>
      <c r="G831" s="19" t="s">
        <v>525</v>
      </c>
      <c r="H831" s="19">
        <v>55</v>
      </c>
      <c r="I831" s="41">
        <v>3480</v>
      </c>
      <c r="J831" s="42"/>
      <c r="K831" s="43"/>
      <c r="L831" s="19"/>
      <c r="M831" s="43"/>
      <c r="N831" s="44"/>
      <c r="O831" s="45">
        <f t="shared" si="503"/>
        <v>3480</v>
      </c>
      <c r="P831" s="51"/>
      <c r="Q831" s="51"/>
      <c r="R831" s="74">
        <f t="shared" si="504"/>
        <v>2356.5</v>
      </c>
      <c r="S831" s="74"/>
      <c r="T831" s="75">
        <f t="shared" si="505"/>
        <v>7.21428571428571</v>
      </c>
      <c r="U831" s="74"/>
      <c r="V831" s="74"/>
      <c r="W831" s="76">
        <f t="shared" si="502"/>
        <v>2363.71428571429</v>
      </c>
      <c r="X831" s="77">
        <f t="shared" si="506"/>
        <v>34.3271428571429</v>
      </c>
      <c r="Y831" s="77"/>
      <c r="Z831" s="77"/>
      <c r="AA831" s="77">
        <f t="shared" si="500"/>
        <v>34.3271428571429</v>
      </c>
      <c r="AB831" s="87">
        <v>7.26</v>
      </c>
      <c r="AC831" s="74">
        <f t="shared" si="499"/>
        <v>249.215057142857</v>
      </c>
      <c r="AD831" s="74">
        <f t="shared" si="498"/>
        <v>2612.92934285714</v>
      </c>
      <c r="AE831" s="74">
        <f t="shared" si="501"/>
        <v>867.07065714286</v>
      </c>
    </row>
    <row r="832" customFormat="1" spans="1:31">
      <c r="A832" s="18"/>
      <c r="B832" s="19"/>
      <c r="C832" s="107">
        <v>240723000008</v>
      </c>
      <c r="D832" s="21">
        <v>45504</v>
      </c>
      <c r="E832" s="21" t="s">
        <v>40</v>
      </c>
      <c r="F832" s="19" t="s">
        <v>41</v>
      </c>
      <c r="G832" s="19" t="s">
        <v>139</v>
      </c>
      <c r="H832" s="19">
        <v>7</v>
      </c>
      <c r="I832" s="47"/>
      <c r="J832" s="48">
        <v>93380</v>
      </c>
      <c r="K832" s="43"/>
      <c r="L832" s="49">
        <f t="shared" ref="L832:L835" si="507">SUM(J832/M832)</f>
        <v>1669.88555078684</v>
      </c>
      <c r="M832" s="50">
        <v>55.92</v>
      </c>
      <c r="N832" s="44">
        <v>7.26</v>
      </c>
      <c r="O832" s="45">
        <f t="shared" ref="O832:O835" si="508">SUM(M832*N832)</f>
        <v>405.9792</v>
      </c>
      <c r="P832" s="51"/>
      <c r="Q832" s="51"/>
      <c r="R832" s="74">
        <f t="shared" si="504"/>
        <v>299.918181818182</v>
      </c>
      <c r="S832" s="74"/>
      <c r="T832" s="75">
        <f t="shared" si="505"/>
        <v>0.918181818181818</v>
      </c>
      <c r="U832" s="74"/>
      <c r="V832" s="74"/>
      <c r="W832" s="76">
        <f t="shared" si="502"/>
        <v>300.836363636364</v>
      </c>
      <c r="X832" s="77">
        <f t="shared" si="506"/>
        <v>4.36890909090909</v>
      </c>
      <c r="Y832" s="77"/>
      <c r="Z832" s="77"/>
      <c r="AA832" s="77">
        <f t="shared" si="500"/>
        <v>4.36890909090909</v>
      </c>
      <c r="AB832" s="87">
        <v>7.26</v>
      </c>
      <c r="AC832" s="74">
        <f t="shared" si="499"/>
        <v>31.71828</v>
      </c>
      <c r="AD832" s="74">
        <f t="shared" si="498"/>
        <v>332.554643636364</v>
      </c>
      <c r="AE832" s="74">
        <f t="shared" si="501"/>
        <v>73.424556363636</v>
      </c>
    </row>
    <row r="833" customFormat="1" spans="1:31">
      <c r="A833" s="18"/>
      <c r="B833" s="19"/>
      <c r="C833" s="107">
        <v>240723000011</v>
      </c>
      <c r="D833" s="21">
        <v>45504</v>
      </c>
      <c r="E833" s="21" t="s">
        <v>40</v>
      </c>
      <c r="F833" s="19" t="s">
        <v>41</v>
      </c>
      <c r="G833" s="19" t="s">
        <v>87</v>
      </c>
      <c r="H833" s="19">
        <v>16.5</v>
      </c>
      <c r="I833" s="47"/>
      <c r="J833" s="48">
        <v>237328.5</v>
      </c>
      <c r="K833" s="43"/>
      <c r="L833" s="49">
        <f t="shared" si="507"/>
        <v>1648.11458333333</v>
      </c>
      <c r="M833" s="50">
        <v>144</v>
      </c>
      <c r="N833" s="44">
        <v>7.26</v>
      </c>
      <c r="O833" s="45">
        <f t="shared" si="508"/>
        <v>1045.44</v>
      </c>
      <c r="P833" s="51"/>
      <c r="Q833" s="51"/>
      <c r="R833" s="74">
        <f t="shared" si="504"/>
        <v>706.95</v>
      </c>
      <c r="S833" s="74"/>
      <c r="T833" s="75">
        <f t="shared" si="505"/>
        <v>2.16428571428571</v>
      </c>
      <c r="U833" s="74"/>
      <c r="V833" s="74"/>
      <c r="W833" s="76">
        <f t="shared" si="502"/>
        <v>709.114285714286</v>
      </c>
      <c r="X833" s="77">
        <f t="shared" si="506"/>
        <v>10.2981428571429</v>
      </c>
      <c r="Y833" s="77"/>
      <c r="Z833" s="77"/>
      <c r="AA833" s="77">
        <f t="shared" si="500"/>
        <v>10.2981428571429</v>
      </c>
      <c r="AB833" s="87">
        <v>7.26</v>
      </c>
      <c r="AC833" s="74">
        <f t="shared" si="499"/>
        <v>74.7645171428571</v>
      </c>
      <c r="AD833" s="74">
        <f t="shared" si="498"/>
        <v>783.878802857143</v>
      </c>
      <c r="AE833" s="74">
        <f t="shared" si="501"/>
        <v>261.561197142857</v>
      </c>
    </row>
    <row r="834" customFormat="1" spans="1:31">
      <c r="A834" s="18"/>
      <c r="B834" s="19"/>
      <c r="C834" s="107">
        <v>240723000013</v>
      </c>
      <c r="D834" s="21">
        <v>45504</v>
      </c>
      <c r="E834" s="21" t="s">
        <v>47</v>
      </c>
      <c r="F834" s="19" t="s">
        <v>48</v>
      </c>
      <c r="G834" s="19" t="s">
        <v>526</v>
      </c>
      <c r="H834" s="19">
        <v>2.5</v>
      </c>
      <c r="I834" s="41">
        <v>168</v>
      </c>
      <c r="J834" s="42"/>
      <c r="K834" s="43"/>
      <c r="L834" s="19"/>
      <c r="M834" s="43"/>
      <c r="N834" s="44"/>
      <c r="O834" s="45">
        <f t="shared" ref="O834:O837" si="509">SUM(I834)</f>
        <v>168</v>
      </c>
      <c r="P834" s="51"/>
      <c r="Q834" s="51"/>
      <c r="R834" s="74">
        <f t="shared" si="504"/>
        <v>107.113636363636</v>
      </c>
      <c r="S834" s="74"/>
      <c r="T834" s="75">
        <f t="shared" si="505"/>
        <v>0.327922077922078</v>
      </c>
      <c r="U834" s="74"/>
      <c r="V834" s="74"/>
      <c r="W834" s="76">
        <f t="shared" si="502"/>
        <v>107.441558441558</v>
      </c>
      <c r="X834" s="77">
        <f t="shared" si="506"/>
        <v>1.56032467532468</v>
      </c>
      <c r="Y834" s="77"/>
      <c r="Z834" s="77"/>
      <c r="AA834" s="77">
        <f t="shared" si="500"/>
        <v>1.56032467532468</v>
      </c>
      <c r="AB834" s="87">
        <v>7.26</v>
      </c>
      <c r="AC834" s="74">
        <f t="shared" si="499"/>
        <v>11.3279571428571</v>
      </c>
      <c r="AD834" s="74">
        <f t="shared" si="498"/>
        <v>118.769515584416</v>
      </c>
      <c r="AE834" s="74">
        <f t="shared" si="501"/>
        <v>49.230484415584</v>
      </c>
    </row>
    <row r="835" customFormat="1" spans="1:31">
      <c r="A835" s="18"/>
      <c r="B835" s="19"/>
      <c r="C835" s="107">
        <v>240723000017</v>
      </c>
      <c r="D835" s="21">
        <v>45504</v>
      </c>
      <c r="E835" s="21" t="s">
        <v>58</v>
      </c>
      <c r="F835" s="19" t="s">
        <v>59</v>
      </c>
      <c r="G835" s="19" t="s">
        <v>120</v>
      </c>
      <c r="H835" s="19">
        <v>12</v>
      </c>
      <c r="I835" s="47"/>
      <c r="J835" s="48">
        <v>152490</v>
      </c>
      <c r="K835" s="43"/>
      <c r="L835" s="49">
        <f t="shared" si="507"/>
        <v>1604.48232323232</v>
      </c>
      <c r="M835" s="50">
        <v>95.04</v>
      </c>
      <c r="N835" s="44">
        <v>7.26</v>
      </c>
      <c r="O835" s="45">
        <f t="shared" si="508"/>
        <v>689.9904</v>
      </c>
      <c r="P835" s="51"/>
      <c r="Q835" s="51"/>
      <c r="R835" s="74">
        <f t="shared" si="504"/>
        <v>514.145454545455</v>
      </c>
      <c r="S835" s="74"/>
      <c r="T835" s="75">
        <f t="shared" si="505"/>
        <v>1.57402597402597</v>
      </c>
      <c r="U835" s="74"/>
      <c r="V835" s="74"/>
      <c r="W835" s="76">
        <f t="shared" si="502"/>
        <v>515.71948051948</v>
      </c>
      <c r="X835" s="77">
        <f t="shared" si="506"/>
        <v>7.48955844155844</v>
      </c>
      <c r="Y835" s="77"/>
      <c r="Z835" s="77"/>
      <c r="AA835" s="77">
        <f t="shared" si="500"/>
        <v>7.48955844155844</v>
      </c>
      <c r="AB835" s="87">
        <v>7.26</v>
      </c>
      <c r="AC835" s="74">
        <f t="shared" si="499"/>
        <v>54.3741942857143</v>
      </c>
      <c r="AD835" s="74">
        <f t="shared" si="498"/>
        <v>570.093674805195</v>
      </c>
      <c r="AE835" s="74">
        <f t="shared" si="501"/>
        <v>119.896725194805</v>
      </c>
    </row>
    <row r="836" customFormat="1" spans="1:31">
      <c r="A836" s="18"/>
      <c r="B836" s="19"/>
      <c r="C836" s="107">
        <v>240723000031</v>
      </c>
      <c r="D836" s="21">
        <v>45504</v>
      </c>
      <c r="E836" s="21" t="s">
        <v>37</v>
      </c>
      <c r="F836" s="19" t="s">
        <v>37</v>
      </c>
      <c r="G836" s="19" t="s">
        <v>71</v>
      </c>
      <c r="H836" s="19">
        <v>6.5</v>
      </c>
      <c r="I836" s="41">
        <v>376.5</v>
      </c>
      <c r="J836" s="42"/>
      <c r="K836" s="43"/>
      <c r="L836" s="19"/>
      <c r="M836" s="43"/>
      <c r="N836" s="44"/>
      <c r="O836" s="45">
        <f t="shared" si="509"/>
        <v>376.5</v>
      </c>
      <c r="P836" s="51"/>
      <c r="Q836" s="51"/>
      <c r="R836" s="74">
        <f t="shared" si="504"/>
        <v>278.495454545455</v>
      </c>
      <c r="S836" s="74"/>
      <c r="T836" s="75">
        <f t="shared" si="505"/>
        <v>0.852597402597403</v>
      </c>
      <c r="U836" s="74"/>
      <c r="V836" s="74"/>
      <c r="W836" s="76">
        <f t="shared" si="502"/>
        <v>279.348051948052</v>
      </c>
      <c r="X836" s="77">
        <f t="shared" si="506"/>
        <v>4.05684415584416</v>
      </c>
      <c r="Y836" s="77"/>
      <c r="Z836" s="77"/>
      <c r="AA836" s="77">
        <f t="shared" si="500"/>
        <v>4.05684415584416</v>
      </c>
      <c r="AB836" s="87">
        <v>7.26</v>
      </c>
      <c r="AC836" s="74">
        <f t="shared" si="499"/>
        <v>29.4526885714286</v>
      </c>
      <c r="AD836" s="74">
        <f t="shared" si="498"/>
        <v>308.80074051948</v>
      </c>
      <c r="AE836" s="74">
        <f t="shared" si="501"/>
        <v>67.69925948052</v>
      </c>
    </row>
    <row r="837" customFormat="1" spans="1:31">
      <c r="A837" s="18"/>
      <c r="B837" s="19"/>
      <c r="C837" s="107">
        <v>240723000033</v>
      </c>
      <c r="D837" s="21">
        <v>45504</v>
      </c>
      <c r="E837" s="21" t="s">
        <v>58</v>
      </c>
      <c r="F837" s="19" t="s">
        <v>59</v>
      </c>
      <c r="G837" s="19" t="s">
        <v>527</v>
      </c>
      <c r="H837" s="19">
        <v>9.5</v>
      </c>
      <c r="I837" s="41">
        <v>573</v>
      </c>
      <c r="J837" s="42"/>
      <c r="K837" s="43"/>
      <c r="L837" s="19"/>
      <c r="M837" s="43"/>
      <c r="N837" s="44"/>
      <c r="O837" s="45">
        <f t="shared" si="509"/>
        <v>573</v>
      </c>
      <c r="P837" s="51"/>
      <c r="Q837" s="51"/>
      <c r="R837" s="74">
        <f t="shared" si="504"/>
        <v>407.031818181818</v>
      </c>
      <c r="S837" s="74"/>
      <c r="T837" s="75">
        <f t="shared" si="505"/>
        <v>1.2461038961039</v>
      </c>
      <c r="U837" s="74"/>
      <c r="V837" s="74"/>
      <c r="W837" s="76">
        <f t="shared" si="502"/>
        <v>408.277922077922</v>
      </c>
      <c r="X837" s="77">
        <f t="shared" si="506"/>
        <v>5.92923376623377</v>
      </c>
      <c r="Y837" s="77"/>
      <c r="Z837" s="77"/>
      <c r="AA837" s="77">
        <f t="shared" si="500"/>
        <v>5.92923376623377</v>
      </c>
      <c r="AB837" s="87">
        <v>7.26</v>
      </c>
      <c r="AC837" s="74">
        <f t="shared" si="499"/>
        <v>43.0462371428571</v>
      </c>
      <c r="AD837" s="74">
        <f t="shared" si="498"/>
        <v>451.324159220779</v>
      </c>
      <c r="AE837" s="74">
        <f t="shared" si="501"/>
        <v>121.675840779221</v>
      </c>
    </row>
    <row r="838" customFormat="1" spans="1:31">
      <c r="A838" s="18"/>
      <c r="B838" s="19"/>
      <c r="C838" s="107">
        <v>240723000036</v>
      </c>
      <c r="D838" s="21">
        <v>45504</v>
      </c>
      <c r="E838" s="21" t="s">
        <v>47</v>
      </c>
      <c r="F838" s="19" t="s">
        <v>48</v>
      </c>
      <c r="G838" s="19" t="s">
        <v>528</v>
      </c>
      <c r="H838" s="19">
        <v>4.5</v>
      </c>
      <c r="I838" s="45"/>
      <c r="J838" s="48">
        <v>67884</v>
      </c>
      <c r="K838" s="43"/>
      <c r="L838" s="49">
        <f t="shared" ref="L838:L844" si="510">SUM(J838/M838)</f>
        <v>1624.01913875598</v>
      </c>
      <c r="M838" s="50">
        <v>41.8</v>
      </c>
      <c r="N838" s="44">
        <v>7.26</v>
      </c>
      <c r="O838" s="45">
        <f t="shared" ref="O838:O844" si="511">SUM(M838*N838)</f>
        <v>303.468</v>
      </c>
      <c r="P838" s="51"/>
      <c r="Q838" s="51"/>
      <c r="R838" s="74">
        <f t="shared" si="504"/>
        <v>192.804545454545</v>
      </c>
      <c r="S838" s="74"/>
      <c r="T838" s="75">
        <f t="shared" si="505"/>
        <v>0.59025974025974</v>
      </c>
      <c r="U838" s="74"/>
      <c r="V838" s="74"/>
      <c r="W838" s="76">
        <f t="shared" si="502"/>
        <v>193.394805194805</v>
      </c>
      <c r="X838" s="77">
        <f t="shared" si="506"/>
        <v>2.80858441558442</v>
      </c>
      <c r="Y838" s="77"/>
      <c r="Z838" s="77"/>
      <c r="AA838" s="77">
        <f t="shared" si="500"/>
        <v>2.80858441558442</v>
      </c>
      <c r="AB838" s="87">
        <v>7.26</v>
      </c>
      <c r="AC838" s="74">
        <f t="shared" si="499"/>
        <v>20.3903228571429</v>
      </c>
      <c r="AD838" s="74">
        <f t="shared" si="498"/>
        <v>213.785128051948</v>
      </c>
      <c r="AE838" s="74">
        <f t="shared" si="501"/>
        <v>89.682871948052</v>
      </c>
    </row>
    <row r="839" customFormat="1" spans="1:31">
      <c r="A839" s="18"/>
      <c r="B839" s="19"/>
      <c r="C839" s="107">
        <v>240723000038</v>
      </c>
      <c r="D839" s="21">
        <v>45504</v>
      </c>
      <c r="E839" s="21" t="s">
        <v>40</v>
      </c>
      <c r="F839" s="19" t="s">
        <v>41</v>
      </c>
      <c r="G839" s="19" t="s">
        <v>118</v>
      </c>
      <c r="H839" s="19">
        <v>8.5</v>
      </c>
      <c r="I839" s="41">
        <v>533</v>
      </c>
      <c r="J839" s="42"/>
      <c r="K839" s="43"/>
      <c r="L839" s="19"/>
      <c r="M839" s="43"/>
      <c r="N839" s="44"/>
      <c r="O839" s="45">
        <f t="shared" ref="O839:O845" si="512">SUM(I839)</f>
        <v>533</v>
      </c>
      <c r="P839" s="51"/>
      <c r="Q839" s="51"/>
      <c r="R839" s="74">
        <f t="shared" si="504"/>
        <v>364.186363636364</v>
      </c>
      <c r="S839" s="74"/>
      <c r="T839" s="75">
        <f t="shared" si="505"/>
        <v>1.11493506493506</v>
      </c>
      <c r="U839" s="74">
        <v>40</v>
      </c>
      <c r="V839" s="74"/>
      <c r="W839" s="76">
        <f t="shared" si="502"/>
        <v>405.301298701299</v>
      </c>
      <c r="X839" s="77">
        <f t="shared" si="506"/>
        <v>5.3051038961039</v>
      </c>
      <c r="Y839" s="77"/>
      <c r="Z839" s="77"/>
      <c r="AA839" s="77">
        <f t="shared" si="500"/>
        <v>5.3051038961039</v>
      </c>
      <c r="AB839" s="87">
        <v>7.26</v>
      </c>
      <c r="AC839" s="74">
        <f t="shared" si="499"/>
        <v>38.5150542857143</v>
      </c>
      <c r="AD839" s="74">
        <f t="shared" si="498"/>
        <v>443.816352987013</v>
      </c>
      <c r="AE839" s="74">
        <f t="shared" si="501"/>
        <v>89.183647012987</v>
      </c>
    </row>
    <row r="840" customFormat="1" spans="1:31">
      <c r="A840" s="18"/>
      <c r="B840" s="19"/>
      <c r="C840" s="107">
        <v>240723000039</v>
      </c>
      <c r="D840" s="21">
        <v>45504</v>
      </c>
      <c r="E840" s="21" t="s">
        <v>40</v>
      </c>
      <c r="F840" s="19" t="s">
        <v>41</v>
      </c>
      <c r="G840" s="19" t="s">
        <v>165</v>
      </c>
      <c r="H840" s="19">
        <v>6</v>
      </c>
      <c r="I840" s="47"/>
      <c r="J840" s="48">
        <v>77857</v>
      </c>
      <c r="K840" s="43"/>
      <c r="L840" s="49">
        <f t="shared" si="510"/>
        <v>1640.82191780822</v>
      </c>
      <c r="M840" s="50">
        <v>47.45</v>
      </c>
      <c r="N840" s="44">
        <v>7.26</v>
      </c>
      <c r="O840" s="45">
        <f t="shared" si="511"/>
        <v>344.487</v>
      </c>
      <c r="P840" s="51"/>
      <c r="Q840" s="51"/>
      <c r="R840" s="74">
        <f t="shared" si="504"/>
        <v>257.072727272727</v>
      </c>
      <c r="S840" s="74"/>
      <c r="T840" s="75">
        <f t="shared" si="505"/>
        <v>0.787012987012987</v>
      </c>
      <c r="U840" s="74"/>
      <c r="V840" s="75">
        <v>20</v>
      </c>
      <c r="W840" s="76">
        <f t="shared" si="502"/>
        <v>277.85974025974</v>
      </c>
      <c r="X840" s="77">
        <f t="shared" si="506"/>
        <v>3.74477922077922</v>
      </c>
      <c r="Y840" s="77"/>
      <c r="Z840" s="77"/>
      <c r="AA840" s="77">
        <f t="shared" si="500"/>
        <v>3.74477922077922</v>
      </c>
      <c r="AB840" s="87">
        <v>7.26</v>
      </c>
      <c r="AC840" s="74">
        <f t="shared" si="499"/>
        <v>27.1870971428571</v>
      </c>
      <c r="AD840" s="74">
        <f t="shared" si="498"/>
        <v>305.046837402597</v>
      </c>
      <c r="AE840" s="74">
        <f t="shared" si="501"/>
        <v>39.440162597403</v>
      </c>
    </row>
    <row r="841" customFormat="1" spans="1:31">
      <c r="A841" s="18"/>
      <c r="B841" s="19"/>
      <c r="C841" s="107">
        <v>240723000050</v>
      </c>
      <c r="D841" s="21">
        <v>45504</v>
      </c>
      <c r="E841" s="21" t="s">
        <v>44</v>
      </c>
      <c r="F841" s="19" t="s">
        <v>45</v>
      </c>
      <c r="G841" s="19" t="s">
        <v>121</v>
      </c>
      <c r="H841" s="19">
        <v>0.48</v>
      </c>
      <c r="I841" s="41">
        <v>218</v>
      </c>
      <c r="J841" s="42"/>
      <c r="K841" s="43"/>
      <c r="L841" s="19"/>
      <c r="M841" s="43"/>
      <c r="N841" s="44"/>
      <c r="O841" s="45">
        <f t="shared" si="512"/>
        <v>218</v>
      </c>
      <c r="P841" s="51"/>
      <c r="Q841" s="51"/>
      <c r="R841" s="74">
        <f t="shared" si="504"/>
        <v>20.5658181818182</v>
      </c>
      <c r="S841" s="74"/>
      <c r="T841" s="75">
        <f t="shared" si="505"/>
        <v>0.062961038961039</v>
      </c>
      <c r="U841" s="74"/>
      <c r="V841" s="74"/>
      <c r="W841" s="76">
        <f t="shared" si="502"/>
        <v>20.6287792207792</v>
      </c>
      <c r="X841" s="77">
        <f t="shared" si="506"/>
        <v>0.299582337662338</v>
      </c>
      <c r="Y841" s="77">
        <v>21.34</v>
      </c>
      <c r="Z841" s="77"/>
      <c r="AA841" s="77">
        <f t="shared" si="500"/>
        <v>21.6395823376623</v>
      </c>
      <c r="AB841" s="87">
        <v>7.26</v>
      </c>
      <c r="AC841" s="74">
        <f t="shared" si="499"/>
        <v>157.103367771429</v>
      </c>
      <c r="AD841" s="74">
        <f t="shared" si="498"/>
        <v>177.732146992208</v>
      </c>
      <c r="AE841" s="74">
        <f t="shared" si="501"/>
        <v>40.267853007792</v>
      </c>
    </row>
    <row r="842" customFormat="1" spans="1:31">
      <c r="A842" s="18"/>
      <c r="B842" s="19"/>
      <c r="C842" s="107">
        <v>240723000051</v>
      </c>
      <c r="D842" s="21">
        <v>45504</v>
      </c>
      <c r="E842" s="21" t="s">
        <v>58</v>
      </c>
      <c r="F842" s="19" t="s">
        <v>59</v>
      </c>
      <c r="G842" s="19" t="s">
        <v>120</v>
      </c>
      <c r="H842" s="19">
        <v>0.672</v>
      </c>
      <c r="I842" s="47"/>
      <c r="J842" s="48">
        <v>13923</v>
      </c>
      <c r="K842" s="43"/>
      <c r="L842" s="49">
        <f t="shared" si="510"/>
        <v>1605.88235294118</v>
      </c>
      <c r="M842" s="50">
        <v>8.67</v>
      </c>
      <c r="N842" s="44">
        <v>7.26</v>
      </c>
      <c r="O842" s="45">
        <f t="shared" si="511"/>
        <v>62.9442</v>
      </c>
      <c r="P842" s="51"/>
      <c r="Q842" s="51"/>
      <c r="R842" s="74">
        <f t="shared" si="504"/>
        <v>28.7921454545455</v>
      </c>
      <c r="S842" s="74"/>
      <c r="T842" s="75">
        <f t="shared" si="505"/>
        <v>0.0881454545454545</v>
      </c>
      <c r="U842" s="74"/>
      <c r="V842" s="74"/>
      <c r="W842" s="76">
        <f t="shared" si="502"/>
        <v>28.8802909090909</v>
      </c>
      <c r="X842" s="77">
        <f t="shared" si="506"/>
        <v>0.419415272727273</v>
      </c>
      <c r="Y842" s="77"/>
      <c r="Z842" s="77"/>
      <c r="AA842" s="77">
        <f t="shared" si="500"/>
        <v>0.419415272727273</v>
      </c>
      <c r="AB842" s="87">
        <v>7.26</v>
      </c>
      <c r="AC842" s="74">
        <f t="shared" si="499"/>
        <v>3.04495488</v>
      </c>
      <c r="AD842" s="74">
        <f t="shared" si="498"/>
        <v>31.9252457890909</v>
      </c>
      <c r="AE842" s="74">
        <f t="shared" si="501"/>
        <v>31.0189542109091</v>
      </c>
    </row>
    <row r="843" customFormat="1" spans="1:31">
      <c r="A843" s="18"/>
      <c r="B843" s="19"/>
      <c r="C843" s="107">
        <v>240723000057</v>
      </c>
      <c r="D843" s="21">
        <v>45504</v>
      </c>
      <c r="E843" s="21" t="s">
        <v>58</v>
      </c>
      <c r="F843" s="19" t="s">
        <v>59</v>
      </c>
      <c r="G843" s="19" t="s">
        <v>76</v>
      </c>
      <c r="H843" s="19">
        <v>0.35</v>
      </c>
      <c r="I843" s="45"/>
      <c r="J843" s="48">
        <v>14291.2</v>
      </c>
      <c r="K843" s="43"/>
      <c r="L843" s="49">
        <f t="shared" si="510"/>
        <v>1624</v>
      </c>
      <c r="M843" s="50">
        <v>8.8</v>
      </c>
      <c r="N843" s="44">
        <v>7.26</v>
      </c>
      <c r="O843" s="45">
        <f t="shared" si="511"/>
        <v>63.888</v>
      </c>
      <c r="P843" s="51"/>
      <c r="Q843" s="51"/>
      <c r="R843" s="74">
        <f t="shared" si="504"/>
        <v>14.9959090909091</v>
      </c>
      <c r="S843" s="74"/>
      <c r="T843" s="75">
        <f t="shared" si="505"/>
        <v>0.0459090909090909</v>
      </c>
      <c r="U843" s="74"/>
      <c r="V843" s="74"/>
      <c r="W843" s="76">
        <f t="shared" si="502"/>
        <v>15.0418181818182</v>
      </c>
      <c r="X843" s="77">
        <f t="shared" si="506"/>
        <v>0.218445454545455</v>
      </c>
      <c r="Y843" s="77"/>
      <c r="Z843" s="77"/>
      <c r="AA843" s="77">
        <f t="shared" si="500"/>
        <v>0.218445454545455</v>
      </c>
      <c r="AB843" s="87">
        <v>7.26</v>
      </c>
      <c r="AC843" s="74">
        <f t="shared" si="499"/>
        <v>1.585914</v>
      </c>
      <c r="AD843" s="74">
        <f t="shared" si="498"/>
        <v>16.6277321818182</v>
      </c>
      <c r="AE843" s="74">
        <f t="shared" si="501"/>
        <v>47.2602678181818</v>
      </c>
    </row>
    <row r="844" customFormat="1" spans="1:31">
      <c r="A844" s="18"/>
      <c r="B844" s="19"/>
      <c r="C844" s="107">
        <v>240723000058</v>
      </c>
      <c r="D844" s="21">
        <v>45504</v>
      </c>
      <c r="E844" s="21" t="s">
        <v>58</v>
      </c>
      <c r="F844" s="19" t="s">
        <v>59</v>
      </c>
      <c r="G844" s="19" t="s">
        <v>529</v>
      </c>
      <c r="H844" s="19">
        <v>3.5</v>
      </c>
      <c r="I844" s="47"/>
      <c r="J844" s="48">
        <v>51714</v>
      </c>
      <c r="K844" s="43"/>
      <c r="L844" s="49">
        <f t="shared" si="510"/>
        <v>1604.52994104871</v>
      </c>
      <c r="M844" s="50">
        <v>32.23</v>
      </c>
      <c r="N844" s="44">
        <v>7.26</v>
      </c>
      <c r="O844" s="45">
        <f t="shared" si="511"/>
        <v>233.9898</v>
      </c>
      <c r="P844" s="51"/>
      <c r="Q844" s="51"/>
      <c r="R844" s="74">
        <f t="shared" si="504"/>
        <v>149.959090909091</v>
      </c>
      <c r="S844" s="74"/>
      <c r="T844" s="75">
        <f t="shared" si="505"/>
        <v>0.459090909090909</v>
      </c>
      <c r="U844" s="74"/>
      <c r="V844" s="74"/>
      <c r="W844" s="76">
        <f t="shared" si="502"/>
        <v>150.418181818182</v>
      </c>
      <c r="X844" s="77">
        <f t="shared" si="506"/>
        <v>2.18445454545455</v>
      </c>
      <c r="Y844" s="77"/>
      <c r="Z844" s="77"/>
      <c r="AA844" s="77">
        <f t="shared" si="500"/>
        <v>2.18445454545455</v>
      </c>
      <c r="AB844" s="87">
        <v>7.26</v>
      </c>
      <c r="AC844" s="74">
        <f t="shared" si="499"/>
        <v>15.85914</v>
      </c>
      <c r="AD844" s="74">
        <f t="shared" si="498"/>
        <v>166.277321818182</v>
      </c>
      <c r="AE844" s="74">
        <f t="shared" si="501"/>
        <v>67.712478181818</v>
      </c>
    </row>
    <row r="845" customFormat="1" spans="1:31">
      <c r="A845" s="18"/>
      <c r="B845" s="19"/>
      <c r="C845" s="107">
        <v>240723000062</v>
      </c>
      <c r="D845" s="21">
        <v>45504</v>
      </c>
      <c r="E845" s="21" t="s">
        <v>47</v>
      </c>
      <c r="F845" s="19" t="s">
        <v>48</v>
      </c>
      <c r="G845" s="19" t="s">
        <v>530</v>
      </c>
      <c r="H845" s="19">
        <v>18</v>
      </c>
      <c r="I845" s="41">
        <v>2000</v>
      </c>
      <c r="J845" s="42"/>
      <c r="K845" s="43"/>
      <c r="L845" s="19"/>
      <c r="M845" s="43"/>
      <c r="N845" s="44"/>
      <c r="O845" s="45">
        <f t="shared" si="512"/>
        <v>2000</v>
      </c>
      <c r="P845" s="51"/>
      <c r="Q845" s="51"/>
      <c r="R845" s="74">
        <f t="shared" si="504"/>
        <v>771.218181818182</v>
      </c>
      <c r="S845" s="74"/>
      <c r="T845" s="75">
        <f t="shared" si="505"/>
        <v>2.36103896103896</v>
      </c>
      <c r="U845" s="74"/>
      <c r="V845" s="74"/>
      <c r="W845" s="76">
        <f t="shared" si="502"/>
        <v>773.579220779221</v>
      </c>
      <c r="X845" s="77">
        <f t="shared" si="506"/>
        <v>11.2343376623377</v>
      </c>
      <c r="Y845" s="77"/>
      <c r="Z845" s="77"/>
      <c r="AA845" s="77">
        <f t="shared" si="500"/>
        <v>11.2343376623377</v>
      </c>
      <c r="AB845" s="87">
        <v>7.26</v>
      </c>
      <c r="AC845" s="74">
        <f t="shared" si="499"/>
        <v>81.5612914285714</v>
      </c>
      <c r="AD845" s="74">
        <f t="shared" si="498"/>
        <v>855.140512207792</v>
      </c>
      <c r="AE845" s="74">
        <f t="shared" si="501"/>
        <v>1144.85948779221</v>
      </c>
    </row>
    <row r="846" customFormat="1" spans="1:31">
      <c r="A846" s="18"/>
      <c r="B846" s="19"/>
      <c r="C846" s="107">
        <v>240724000002</v>
      </c>
      <c r="D846" s="21">
        <v>45504</v>
      </c>
      <c r="E846" s="21" t="s">
        <v>40</v>
      </c>
      <c r="F846" s="19" t="s">
        <v>41</v>
      </c>
      <c r="G846" s="19" t="s">
        <v>409</v>
      </c>
      <c r="H846" s="19">
        <v>1.5</v>
      </c>
      <c r="I846" s="47"/>
      <c r="J846" s="48">
        <v>19227</v>
      </c>
      <c r="K846" s="43"/>
      <c r="L846" s="49">
        <f t="shared" ref="L846:L851" si="513">SUM(J846/M846)</f>
        <v>1604.92487479132</v>
      </c>
      <c r="M846" s="50">
        <v>11.98</v>
      </c>
      <c r="N846" s="44">
        <v>7.26</v>
      </c>
      <c r="O846" s="45">
        <f t="shared" ref="O846:O852" si="514">SUM(M846*N846)</f>
        <v>86.9748</v>
      </c>
      <c r="P846" s="51"/>
      <c r="Q846" s="51"/>
      <c r="R846" s="74">
        <f t="shared" si="504"/>
        <v>64.2681818181818</v>
      </c>
      <c r="S846" s="74"/>
      <c r="T846" s="75">
        <f t="shared" si="505"/>
        <v>0.196753246753247</v>
      </c>
      <c r="U846" s="74"/>
      <c r="V846" s="74"/>
      <c r="W846" s="76">
        <f t="shared" si="502"/>
        <v>64.4649350649351</v>
      </c>
      <c r="X846" s="77">
        <f t="shared" si="506"/>
        <v>0.936194805194805</v>
      </c>
      <c r="Y846" s="77"/>
      <c r="Z846" s="77"/>
      <c r="AA846" s="77">
        <f t="shared" si="500"/>
        <v>0.936194805194805</v>
      </c>
      <c r="AB846" s="87">
        <v>7.26</v>
      </c>
      <c r="AC846" s="74">
        <f t="shared" si="499"/>
        <v>6.79677428571429</v>
      </c>
      <c r="AD846" s="74">
        <f t="shared" si="498"/>
        <v>71.2617093506493</v>
      </c>
      <c r="AE846" s="74">
        <f t="shared" si="501"/>
        <v>15.7130906493507</v>
      </c>
    </row>
    <row r="847" customFormat="1" spans="1:31">
      <c r="A847" s="18"/>
      <c r="B847" s="19"/>
      <c r="C847" s="107">
        <v>240724000008</v>
      </c>
      <c r="D847" s="23">
        <v>45504</v>
      </c>
      <c r="E847" s="21" t="s">
        <v>44</v>
      </c>
      <c r="F847" s="24" t="s">
        <v>45</v>
      </c>
      <c r="G847" s="24" t="s">
        <v>531</v>
      </c>
      <c r="H847" s="24">
        <v>0.69</v>
      </c>
      <c r="I847" s="41">
        <v>63</v>
      </c>
      <c r="J847" s="42"/>
      <c r="K847" s="43"/>
      <c r="L847" s="19"/>
      <c r="M847" s="43"/>
      <c r="N847" s="44"/>
      <c r="O847" s="45">
        <f t="shared" ref="O847:O849" si="515">SUM(I847)</f>
        <v>63</v>
      </c>
      <c r="P847" s="51"/>
      <c r="Q847" s="51"/>
      <c r="R847" s="74">
        <f t="shared" si="504"/>
        <v>29.5633636363636</v>
      </c>
      <c r="S847" s="74"/>
      <c r="T847" s="75">
        <f t="shared" si="505"/>
        <v>0.0905064935064935</v>
      </c>
      <c r="U847" s="74"/>
      <c r="V847" s="74"/>
      <c r="W847" s="76">
        <f t="shared" si="502"/>
        <v>29.6538701298701</v>
      </c>
      <c r="X847" s="77">
        <f t="shared" si="506"/>
        <v>0.43064961038961</v>
      </c>
      <c r="Y847" s="77"/>
      <c r="Z847" s="77"/>
      <c r="AA847" s="77">
        <f t="shared" si="500"/>
        <v>0.43064961038961</v>
      </c>
      <c r="AB847" s="87">
        <v>7.26</v>
      </c>
      <c r="AC847" s="74">
        <f t="shared" si="499"/>
        <v>3.12651617142857</v>
      </c>
      <c r="AD847" s="74">
        <f t="shared" si="498"/>
        <v>32.7803863012987</v>
      </c>
      <c r="AE847" s="74">
        <f t="shared" si="501"/>
        <v>30.2196136987013</v>
      </c>
    </row>
    <row r="848" customFormat="1" spans="1:31">
      <c r="A848" s="18"/>
      <c r="B848" s="19"/>
      <c r="C848" s="107">
        <v>240724000009</v>
      </c>
      <c r="D848" s="21">
        <v>45504</v>
      </c>
      <c r="E848" s="21" t="s">
        <v>44</v>
      </c>
      <c r="F848" s="19" t="s">
        <v>45</v>
      </c>
      <c r="G848" s="19" t="s">
        <v>121</v>
      </c>
      <c r="H848" s="19">
        <v>0.35</v>
      </c>
      <c r="I848" s="41">
        <v>53</v>
      </c>
      <c r="J848" s="42"/>
      <c r="K848" s="43"/>
      <c r="L848" s="19"/>
      <c r="M848" s="43"/>
      <c r="N848" s="44"/>
      <c r="O848" s="45">
        <f t="shared" si="515"/>
        <v>53</v>
      </c>
      <c r="P848" s="51"/>
      <c r="Q848" s="51"/>
      <c r="R848" s="74">
        <f t="shared" si="504"/>
        <v>14.9959090909091</v>
      </c>
      <c r="S848" s="74"/>
      <c r="T848" s="75">
        <f t="shared" si="505"/>
        <v>0.0459090909090909</v>
      </c>
      <c r="U848" s="74"/>
      <c r="V848" s="74"/>
      <c r="W848" s="76">
        <f t="shared" si="502"/>
        <v>15.0418181818182</v>
      </c>
      <c r="X848" s="77">
        <f t="shared" si="506"/>
        <v>0.218445454545455</v>
      </c>
      <c r="Y848" s="77"/>
      <c r="Z848" s="77"/>
      <c r="AA848" s="77">
        <f t="shared" si="500"/>
        <v>0.218445454545455</v>
      </c>
      <c r="AB848" s="87">
        <v>7.26</v>
      </c>
      <c r="AC848" s="74">
        <f t="shared" si="499"/>
        <v>1.585914</v>
      </c>
      <c r="AD848" s="74">
        <f t="shared" si="498"/>
        <v>16.6277321818182</v>
      </c>
      <c r="AE848" s="74">
        <f t="shared" si="501"/>
        <v>36.3722678181818</v>
      </c>
    </row>
    <row r="849" customFormat="1" spans="1:31">
      <c r="A849" s="18"/>
      <c r="B849" s="19"/>
      <c r="C849" s="107">
        <v>240724000016</v>
      </c>
      <c r="D849" s="21">
        <v>45504</v>
      </c>
      <c r="E849" s="21" t="s">
        <v>47</v>
      </c>
      <c r="F849" s="19" t="s">
        <v>48</v>
      </c>
      <c r="G849" s="19" t="s">
        <v>532</v>
      </c>
      <c r="H849" s="19">
        <v>1.5</v>
      </c>
      <c r="I849" s="41">
        <v>102</v>
      </c>
      <c r="J849" s="42"/>
      <c r="K849" s="43"/>
      <c r="L849" s="19"/>
      <c r="M849" s="43"/>
      <c r="N849" s="44"/>
      <c r="O849" s="45">
        <f t="shared" si="515"/>
        <v>102</v>
      </c>
      <c r="P849" s="51"/>
      <c r="Q849" s="51"/>
      <c r="R849" s="74">
        <f t="shared" si="504"/>
        <v>64.2681818181818</v>
      </c>
      <c r="S849" s="74"/>
      <c r="T849" s="75">
        <f t="shared" si="505"/>
        <v>0.196753246753247</v>
      </c>
      <c r="U849" s="74"/>
      <c r="V849" s="74"/>
      <c r="W849" s="76">
        <f t="shared" si="502"/>
        <v>64.4649350649351</v>
      </c>
      <c r="X849" s="77">
        <f t="shared" si="506"/>
        <v>0.936194805194805</v>
      </c>
      <c r="Y849" s="77"/>
      <c r="Z849" s="77"/>
      <c r="AA849" s="77">
        <f t="shared" si="500"/>
        <v>0.936194805194805</v>
      </c>
      <c r="AB849" s="87">
        <v>7.26</v>
      </c>
      <c r="AC849" s="74">
        <f t="shared" si="499"/>
        <v>6.79677428571429</v>
      </c>
      <c r="AD849" s="74">
        <f t="shared" si="498"/>
        <v>71.2617093506493</v>
      </c>
      <c r="AE849" s="74">
        <f t="shared" si="501"/>
        <v>30.7382906493507</v>
      </c>
    </row>
    <row r="850" customFormat="1" spans="1:31">
      <c r="A850" s="18"/>
      <c r="B850" s="19"/>
      <c r="C850" s="107">
        <v>240724000018</v>
      </c>
      <c r="D850" s="21">
        <v>45504</v>
      </c>
      <c r="E850" s="21" t="s">
        <v>40</v>
      </c>
      <c r="F850" s="19" t="s">
        <v>41</v>
      </c>
      <c r="G850" s="19" t="s">
        <v>165</v>
      </c>
      <c r="H850" s="19">
        <v>0.72</v>
      </c>
      <c r="I850" s="47"/>
      <c r="J850" s="48">
        <v>11978</v>
      </c>
      <c r="K850" s="43"/>
      <c r="L850" s="49">
        <f t="shared" si="513"/>
        <v>1640.82191780822</v>
      </c>
      <c r="M850" s="50">
        <v>7.3</v>
      </c>
      <c r="N850" s="44">
        <v>7.26</v>
      </c>
      <c r="O850" s="45">
        <f t="shared" si="514"/>
        <v>52.998</v>
      </c>
      <c r="P850" s="51"/>
      <c r="Q850" s="51"/>
      <c r="R850" s="74">
        <f t="shared" si="504"/>
        <v>30.8487272727273</v>
      </c>
      <c r="S850" s="74"/>
      <c r="T850" s="75">
        <f t="shared" si="505"/>
        <v>0.0944415584415584</v>
      </c>
      <c r="U850" s="74"/>
      <c r="V850" s="74"/>
      <c r="W850" s="76">
        <f t="shared" si="502"/>
        <v>30.9431688311688</v>
      </c>
      <c r="X850" s="77">
        <f t="shared" si="506"/>
        <v>0.449373506493506</v>
      </c>
      <c r="Y850" s="77"/>
      <c r="Z850" s="77"/>
      <c r="AA850" s="77">
        <f t="shared" si="500"/>
        <v>0.449373506493506</v>
      </c>
      <c r="AB850" s="87">
        <v>7.26</v>
      </c>
      <c r="AC850" s="74">
        <f t="shared" si="499"/>
        <v>3.26245165714286</v>
      </c>
      <c r="AD850" s="74">
        <f t="shared" si="498"/>
        <v>34.2056204883117</v>
      </c>
      <c r="AE850" s="74">
        <f t="shared" si="501"/>
        <v>18.7923795116883</v>
      </c>
    </row>
    <row r="851" customFormat="1" spans="1:31">
      <c r="A851" s="18"/>
      <c r="B851" s="19"/>
      <c r="C851" s="107">
        <v>240724000019</v>
      </c>
      <c r="D851" s="21">
        <v>45504</v>
      </c>
      <c r="E851" s="21" t="s">
        <v>44</v>
      </c>
      <c r="F851" s="19" t="s">
        <v>45</v>
      </c>
      <c r="G851" s="19" t="s">
        <v>304</v>
      </c>
      <c r="H851" s="19">
        <v>8.5</v>
      </c>
      <c r="I851" s="47"/>
      <c r="J851" s="48">
        <v>108400.5</v>
      </c>
      <c r="K851" s="43"/>
      <c r="L851" s="49">
        <f t="shared" si="513"/>
        <v>1604.50710479574</v>
      </c>
      <c r="M851" s="50">
        <v>67.56</v>
      </c>
      <c r="N851" s="44">
        <v>7.26</v>
      </c>
      <c r="O851" s="45">
        <f t="shared" si="514"/>
        <v>490.4856</v>
      </c>
      <c r="P851" s="51"/>
      <c r="Q851" s="51"/>
      <c r="R851" s="74">
        <f t="shared" si="504"/>
        <v>364.186363636364</v>
      </c>
      <c r="S851" s="74"/>
      <c r="T851" s="75">
        <f t="shared" si="505"/>
        <v>1.11493506493506</v>
      </c>
      <c r="U851" s="74"/>
      <c r="V851" s="74"/>
      <c r="W851" s="76">
        <f t="shared" si="502"/>
        <v>365.301298701299</v>
      </c>
      <c r="X851" s="77">
        <f t="shared" si="506"/>
        <v>5.3051038961039</v>
      </c>
      <c r="Y851" s="77"/>
      <c r="Z851" s="77"/>
      <c r="AA851" s="77">
        <f t="shared" si="500"/>
        <v>5.3051038961039</v>
      </c>
      <c r="AB851" s="87">
        <v>7.26</v>
      </c>
      <c r="AC851" s="74">
        <f t="shared" si="499"/>
        <v>38.5150542857143</v>
      </c>
      <c r="AD851" s="74">
        <f t="shared" si="498"/>
        <v>403.816352987013</v>
      </c>
      <c r="AE851" s="74">
        <f t="shared" si="501"/>
        <v>86.669247012987</v>
      </c>
    </row>
    <row r="852" customFormat="1" spans="1:31">
      <c r="A852" s="18"/>
      <c r="B852" s="19"/>
      <c r="C852" s="107">
        <v>240724000020</v>
      </c>
      <c r="D852" s="21">
        <v>45504</v>
      </c>
      <c r="E852" s="21" t="s">
        <v>37</v>
      </c>
      <c r="F852" s="19" t="s">
        <v>37</v>
      </c>
      <c r="G852" s="19" t="s">
        <v>533</v>
      </c>
      <c r="H852" s="19">
        <v>17</v>
      </c>
      <c r="I852" s="45"/>
      <c r="J852" s="42"/>
      <c r="K852" s="43"/>
      <c r="L852" s="19"/>
      <c r="M852" s="43">
        <v>150.4</v>
      </c>
      <c r="N852" s="44">
        <v>7.26</v>
      </c>
      <c r="O852" s="45">
        <f t="shared" si="514"/>
        <v>1091.904</v>
      </c>
      <c r="P852" s="51"/>
      <c r="Q852" s="51"/>
      <c r="R852" s="74">
        <f t="shared" si="504"/>
        <v>728.372727272727</v>
      </c>
      <c r="S852" s="74"/>
      <c r="T852" s="75">
        <f t="shared" si="505"/>
        <v>2.22987012987013</v>
      </c>
      <c r="U852" s="74"/>
      <c r="V852" s="74"/>
      <c r="W852" s="76">
        <f t="shared" si="502"/>
        <v>730.602597402597</v>
      </c>
      <c r="X852" s="77">
        <f t="shared" si="506"/>
        <v>10.6102077922078</v>
      </c>
      <c r="Y852" s="77"/>
      <c r="Z852" s="77"/>
      <c r="AA852" s="77">
        <f t="shared" si="500"/>
        <v>10.6102077922078</v>
      </c>
      <c r="AB852" s="87">
        <v>7.26</v>
      </c>
      <c r="AC852" s="74">
        <f t="shared" si="499"/>
        <v>77.0301085714286</v>
      </c>
      <c r="AD852" s="74">
        <f t="shared" si="498"/>
        <v>807.632705974026</v>
      </c>
      <c r="AE852" s="74">
        <f t="shared" si="501"/>
        <v>284.271294025974</v>
      </c>
    </row>
    <row r="853" customFormat="1" spans="1:31">
      <c r="A853" s="18"/>
      <c r="B853" s="19"/>
      <c r="C853" s="107">
        <v>240724000021</v>
      </c>
      <c r="D853" s="21">
        <v>45504</v>
      </c>
      <c r="E853" s="21" t="s">
        <v>37</v>
      </c>
      <c r="F853" s="19" t="s">
        <v>37</v>
      </c>
      <c r="G853" s="19" t="s">
        <v>534</v>
      </c>
      <c r="H853" s="19">
        <v>6.5</v>
      </c>
      <c r="I853" s="41">
        <v>415.5</v>
      </c>
      <c r="J853" s="42"/>
      <c r="K853" s="43"/>
      <c r="L853" s="19"/>
      <c r="M853" s="43"/>
      <c r="N853" s="44"/>
      <c r="O853" s="45">
        <f t="shared" ref="O853:O860" si="516">SUM(I853)</f>
        <v>415.5</v>
      </c>
      <c r="P853" s="51"/>
      <c r="Q853" s="51"/>
      <c r="R853" s="74">
        <f t="shared" si="504"/>
        <v>278.495454545455</v>
      </c>
      <c r="S853" s="74"/>
      <c r="T853" s="75">
        <f t="shared" si="505"/>
        <v>0.852597402597403</v>
      </c>
      <c r="U853" s="74"/>
      <c r="V853" s="74"/>
      <c r="W853" s="76">
        <f t="shared" si="502"/>
        <v>279.348051948052</v>
      </c>
      <c r="X853" s="77">
        <f t="shared" si="506"/>
        <v>4.05684415584416</v>
      </c>
      <c r="Y853" s="77"/>
      <c r="Z853" s="77"/>
      <c r="AA853" s="77">
        <f t="shared" si="500"/>
        <v>4.05684415584416</v>
      </c>
      <c r="AB853" s="87">
        <v>7.26</v>
      </c>
      <c r="AC853" s="74">
        <f t="shared" si="499"/>
        <v>29.4526885714286</v>
      </c>
      <c r="AD853" s="74">
        <f t="shared" ref="AD853:AD884" si="517">SUM(W853+AC853)</f>
        <v>308.80074051948</v>
      </c>
      <c r="AE853" s="74">
        <f t="shared" si="501"/>
        <v>106.69925948052</v>
      </c>
    </row>
    <row r="854" customFormat="1" spans="1:31">
      <c r="A854" s="18"/>
      <c r="B854" s="19"/>
      <c r="C854" s="107">
        <v>240724000032</v>
      </c>
      <c r="D854" s="21">
        <v>45504</v>
      </c>
      <c r="E854" s="21" t="s">
        <v>58</v>
      </c>
      <c r="F854" s="19" t="s">
        <v>59</v>
      </c>
      <c r="G854" s="19" t="s">
        <v>76</v>
      </c>
      <c r="H854" s="19">
        <v>30</v>
      </c>
      <c r="I854" s="45"/>
      <c r="J854" s="48">
        <v>372220.8</v>
      </c>
      <c r="K854" s="43"/>
      <c r="L854" s="49">
        <f>SUM(J854/M854)</f>
        <v>1624</v>
      </c>
      <c r="M854" s="50">
        <v>229.2</v>
      </c>
      <c r="N854" s="44">
        <v>7.26</v>
      </c>
      <c r="O854" s="45">
        <f>SUM(M854*N854)</f>
        <v>1663.992</v>
      </c>
      <c r="P854" s="51"/>
      <c r="Q854" s="51"/>
      <c r="R854" s="74">
        <f t="shared" si="504"/>
        <v>1285.36363636364</v>
      </c>
      <c r="S854" s="74"/>
      <c r="T854" s="75">
        <f t="shared" si="505"/>
        <v>3.93506493506493</v>
      </c>
      <c r="U854" s="74"/>
      <c r="V854" s="74"/>
      <c r="W854" s="76">
        <f t="shared" si="502"/>
        <v>1289.2987012987</v>
      </c>
      <c r="X854" s="77">
        <f t="shared" si="506"/>
        <v>18.7238961038961</v>
      </c>
      <c r="Y854" s="77"/>
      <c r="Z854" s="77"/>
      <c r="AA854" s="77">
        <f t="shared" si="500"/>
        <v>18.7238961038961</v>
      </c>
      <c r="AB854" s="87">
        <v>7.26</v>
      </c>
      <c r="AC854" s="74">
        <f t="shared" si="499"/>
        <v>135.935485714286</v>
      </c>
      <c r="AD854" s="74">
        <f t="shared" si="517"/>
        <v>1425.23418701299</v>
      </c>
      <c r="AE854" s="74">
        <f t="shared" si="501"/>
        <v>238.75781298701</v>
      </c>
    </row>
    <row r="855" customFormat="1" spans="1:31">
      <c r="A855" s="18"/>
      <c r="B855" s="19"/>
      <c r="C855" s="107">
        <v>240724000033</v>
      </c>
      <c r="D855" s="21">
        <v>45504</v>
      </c>
      <c r="E855" s="21" t="s">
        <v>47</v>
      </c>
      <c r="F855" s="19" t="s">
        <v>48</v>
      </c>
      <c r="G855" s="19" t="s">
        <v>280</v>
      </c>
      <c r="H855" s="19">
        <v>46</v>
      </c>
      <c r="I855" s="41">
        <v>2438</v>
      </c>
      <c r="J855" s="42"/>
      <c r="K855" s="43"/>
      <c r="L855" s="19"/>
      <c r="M855" s="43"/>
      <c r="N855" s="44"/>
      <c r="O855" s="45">
        <f t="shared" si="516"/>
        <v>2438</v>
      </c>
      <c r="P855" s="51"/>
      <c r="Q855" s="51"/>
      <c r="R855" s="74">
        <f t="shared" si="504"/>
        <v>1970.89090909091</v>
      </c>
      <c r="S855" s="74"/>
      <c r="T855" s="75">
        <f t="shared" si="505"/>
        <v>6.03376623376623</v>
      </c>
      <c r="U855" s="74"/>
      <c r="V855" s="74"/>
      <c r="W855" s="76">
        <f t="shared" si="502"/>
        <v>1976.92467532468</v>
      </c>
      <c r="X855" s="77">
        <f t="shared" si="506"/>
        <v>28.709974025974</v>
      </c>
      <c r="Y855" s="77"/>
      <c r="Z855" s="77"/>
      <c r="AA855" s="77">
        <f t="shared" si="500"/>
        <v>28.709974025974</v>
      </c>
      <c r="AB855" s="87">
        <v>7.26</v>
      </c>
      <c r="AC855" s="74">
        <f t="shared" ref="AC855:AC884" si="518">SUM(AA855*AB855)</f>
        <v>208.434411428571</v>
      </c>
      <c r="AD855" s="74">
        <f t="shared" si="517"/>
        <v>2185.35908675325</v>
      </c>
      <c r="AE855" s="74">
        <f t="shared" si="501"/>
        <v>252.64091324675</v>
      </c>
    </row>
    <row r="856" customFormat="1" spans="1:31">
      <c r="A856" s="18"/>
      <c r="B856" s="19"/>
      <c r="C856" s="107">
        <v>240724000038</v>
      </c>
      <c r="D856" s="21">
        <v>45504</v>
      </c>
      <c r="E856" s="21" t="s">
        <v>40</v>
      </c>
      <c r="F856" s="19" t="s">
        <v>41</v>
      </c>
      <c r="G856" s="19" t="s">
        <v>87</v>
      </c>
      <c r="H856" s="19">
        <v>47</v>
      </c>
      <c r="I856" s="47"/>
      <c r="J856" s="48">
        <v>618802</v>
      </c>
      <c r="K856" s="43"/>
      <c r="L856" s="49">
        <f>SUM(J856/M856)</f>
        <v>1648.02918930436</v>
      </c>
      <c r="M856" s="50">
        <v>375.48</v>
      </c>
      <c r="N856" s="44">
        <v>7.26</v>
      </c>
      <c r="O856" s="45">
        <f>SUM(M856*N856)</f>
        <v>2725.9848</v>
      </c>
      <c r="P856" s="51"/>
      <c r="Q856" s="51"/>
      <c r="R856" s="74">
        <f t="shared" si="504"/>
        <v>2013.73636363636</v>
      </c>
      <c r="S856" s="74"/>
      <c r="T856" s="75">
        <f t="shared" si="505"/>
        <v>6.16493506493506</v>
      </c>
      <c r="U856" s="74"/>
      <c r="V856" s="74"/>
      <c r="W856" s="76">
        <f t="shared" si="502"/>
        <v>2019.9012987013</v>
      </c>
      <c r="X856" s="77">
        <f t="shared" si="506"/>
        <v>29.3341038961039</v>
      </c>
      <c r="Y856" s="77"/>
      <c r="Z856" s="77"/>
      <c r="AA856" s="77">
        <f t="shared" ref="AA856:AA884" si="519">SUM(X856:Z856)</f>
        <v>29.3341038961039</v>
      </c>
      <c r="AB856" s="87">
        <v>7.26</v>
      </c>
      <c r="AC856" s="74">
        <f t="shared" si="518"/>
        <v>212.965594285714</v>
      </c>
      <c r="AD856" s="74">
        <f t="shared" si="517"/>
        <v>2232.86689298701</v>
      </c>
      <c r="AE856" s="74">
        <f t="shared" ref="AE856:AE884" si="520">SUM(O856-AD856)</f>
        <v>493.11790701299</v>
      </c>
    </row>
    <row r="857" customFormat="1" spans="1:31">
      <c r="A857" s="18"/>
      <c r="B857" s="19"/>
      <c r="C857" s="107">
        <v>240724000045</v>
      </c>
      <c r="D857" s="21">
        <v>45504</v>
      </c>
      <c r="E857" s="21" t="s">
        <v>37</v>
      </c>
      <c r="F857" s="19" t="s">
        <v>37</v>
      </c>
      <c r="G857" s="19" t="s">
        <v>71</v>
      </c>
      <c r="H857" s="19">
        <v>10</v>
      </c>
      <c r="I857" s="41">
        <v>576</v>
      </c>
      <c r="J857" s="42"/>
      <c r="K857" s="43"/>
      <c r="L857" s="19"/>
      <c r="M857" s="43"/>
      <c r="N857" s="44"/>
      <c r="O857" s="45">
        <f t="shared" si="516"/>
        <v>576</v>
      </c>
      <c r="P857" s="51"/>
      <c r="Q857" s="51"/>
      <c r="R857" s="74">
        <f t="shared" si="504"/>
        <v>428.454545454545</v>
      </c>
      <c r="S857" s="74"/>
      <c r="T857" s="75">
        <f t="shared" si="505"/>
        <v>1.31168831168831</v>
      </c>
      <c r="U857" s="74"/>
      <c r="V857" s="74"/>
      <c r="W857" s="76">
        <f t="shared" ref="W857:W884" si="521">SUM(R857:V857)</f>
        <v>429.766233766234</v>
      </c>
      <c r="X857" s="77">
        <f t="shared" si="506"/>
        <v>6.2412987012987</v>
      </c>
      <c r="Y857" s="77"/>
      <c r="Z857" s="77"/>
      <c r="AA857" s="77">
        <f t="shared" si="519"/>
        <v>6.2412987012987</v>
      </c>
      <c r="AB857" s="87">
        <v>7.26</v>
      </c>
      <c r="AC857" s="74">
        <f t="shared" si="518"/>
        <v>45.3118285714286</v>
      </c>
      <c r="AD857" s="74">
        <f t="shared" si="517"/>
        <v>475.078062337662</v>
      </c>
      <c r="AE857" s="74">
        <f t="shared" si="520"/>
        <v>100.921937662338</v>
      </c>
    </row>
    <row r="858" customFormat="1" spans="1:31">
      <c r="A858" s="18"/>
      <c r="B858" s="19"/>
      <c r="C858" s="107">
        <v>240724000051</v>
      </c>
      <c r="D858" s="21">
        <v>45504</v>
      </c>
      <c r="E858" s="21" t="s">
        <v>37</v>
      </c>
      <c r="F858" s="19" t="s">
        <v>37</v>
      </c>
      <c r="G858" s="19" t="s">
        <v>220</v>
      </c>
      <c r="H858" s="19">
        <v>67</v>
      </c>
      <c r="I858" s="41">
        <v>3795</v>
      </c>
      <c r="J858" s="42"/>
      <c r="K858" s="43"/>
      <c r="L858" s="19"/>
      <c r="M858" s="43"/>
      <c r="N858" s="44"/>
      <c r="O858" s="45">
        <f t="shared" si="516"/>
        <v>3795</v>
      </c>
      <c r="P858" s="51"/>
      <c r="Q858" s="51"/>
      <c r="R858" s="74">
        <f t="shared" si="504"/>
        <v>2870.64545454545</v>
      </c>
      <c r="S858" s="74"/>
      <c r="T858" s="75">
        <f t="shared" si="505"/>
        <v>8.78831168831169</v>
      </c>
      <c r="U858" s="74"/>
      <c r="V858" s="74"/>
      <c r="W858" s="76">
        <f t="shared" si="521"/>
        <v>2879.43376623377</v>
      </c>
      <c r="X858" s="77">
        <f t="shared" si="506"/>
        <v>41.8167012987013</v>
      </c>
      <c r="Y858" s="77"/>
      <c r="Z858" s="77"/>
      <c r="AA858" s="77">
        <f t="shared" si="519"/>
        <v>41.8167012987013</v>
      </c>
      <c r="AB858" s="87">
        <v>7.26</v>
      </c>
      <c r="AC858" s="74">
        <f t="shared" si="518"/>
        <v>303.589251428571</v>
      </c>
      <c r="AD858" s="74">
        <f t="shared" si="517"/>
        <v>3183.02301766234</v>
      </c>
      <c r="AE858" s="74">
        <f t="shared" si="520"/>
        <v>611.97698233766</v>
      </c>
    </row>
    <row r="859" customFormat="1" spans="1:31">
      <c r="A859" s="18"/>
      <c r="B859" s="19"/>
      <c r="C859" s="107">
        <v>240725000004</v>
      </c>
      <c r="D859" s="21">
        <v>45504</v>
      </c>
      <c r="E859" s="21" t="s">
        <v>40</v>
      </c>
      <c r="F859" s="19" t="s">
        <v>41</v>
      </c>
      <c r="G859" s="19" t="s">
        <v>88</v>
      </c>
      <c r="H859" s="19">
        <v>13</v>
      </c>
      <c r="I859" s="41">
        <v>747</v>
      </c>
      <c r="J859" s="42"/>
      <c r="K859" s="43"/>
      <c r="L859" s="19"/>
      <c r="M859" s="43"/>
      <c r="N859" s="44"/>
      <c r="O859" s="45">
        <f t="shared" si="516"/>
        <v>747</v>
      </c>
      <c r="P859" s="51"/>
      <c r="Q859" s="51"/>
      <c r="R859" s="74">
        <f t="shared" ref="R859:R884" si="522">SUM(65982/1540)*H859</f>
        <v>556.990909090909</v>
      </c>
      <c r="S859" s="74"/>
      <c r="T859" s="75">
        <f t="shared" ref="T859:T884" si="523">SUM(202/1540)*H859</f>
        <v>1.70519480519481</v>
      </c>
      <c r="U859" s="74"/>
      <c r="V859" s="74"/>
      <c r="W859" s="76">
        <f t="shared" si="521"/>
        <v>558.696103896104</v>
      </c>
      <c r="X859" s="77">
        <f t="shared" ref="X859:X884" si="524">SUM(961.16/1540)*H859</f>
        <v>8.11368831168831</v>
      </c>
      <c r="Y859" s="77"/>
      <c r="Z859" s="77"/>
      <c r="AA859" s="77">
        <f t="shared" si="519"/>
        <v>8.11368831168831</v>
      </c>
      <c r="AB859" s="87">
        <v>7.26</v>
      </c>
      <c r="AC859" s="74">
        <f t="shared" si="518"/>
        <v>58.9053771428571</v>
      </c>
      <c r="AD859" s="74">
        <f t="shared" si="517"/>
        <v>617.601481038961</v>
      </c>
      <c r="AE859" s="74">
        <f t="shared" si="520"/>
        <v>129.398518961039</v>
      </c>
    </row>
    <row r="860" customFormat="1" spans="1:31">
      <c r="A860" s="18"/>
      <c r="B860" s="19"/>
      <c r="C860" s="107">
        <v>240725000007</v>
      </c>
      <c r="D860" s="21">
        <v>45504</v>
      </c>
      <c r="E860" s="21" t="s">
        <v>44</v>
      </c>
      <c r="F860" s="19" t="s">
        <v>45</v>
      </c>
      <c r="G860" s="19" t="s">
        <v>535</v>
      </c>
      <c r="H860" s="19">
        <v>18.5</v>
      </c>
      <c r="I860" s="41">
        <v>1410.5</v>
      </c>
      <c r="J860" s="42"/>
      <c r="K860" s="43"/>
      <c r="L860" s="19"/>
      <c r="M860" s="43"/>
      <c r="N860" s="44"/>
      <c r="O860" s="45">
        <f t="shared" si="516"/>
        <v>1410.5</v>
      </c>
      <c r="P860" s="51"/>
      <c r="Q860" s="51"/>
      <c r="R860" s="74">
        <f t="shared" si="522"/>
        <v>792.640909090909</v>
      </c>
      <c r="S860" s="74"/>
      <c r="T860" s="75">
        <f t="shared" si="523"/>
        <v>2.42662337662338</v>
      </c>
      <c r="U860" s="74"/>
      <c r="V860" s="74"/>
      <c r="W860" s="76">
        <f t="shared" si="521"/>
        <v>795.067532467532</v>
      </c>
      <c r="X860" s="77">
        <f t="shared" si="524"/>
        <v>11.5464025974026</v>
      </c>
      <c r="Y860" s="77"/>
      <c r="Z860" s="77"/>
      <c r="AA860" s="77">
        <f t="shared" si="519"/>
        <v>11.5464025974026</v>
      </c>
      <c r="AB860" s="87">
        <v>7.26</v>
      </c>
      <c r="AC860" s="74">
        <f t="shared" si="518"/>
        <v>83.8268828571428</v>
      </c>
      <c r="AD860" s="74">
        <f t="shared" si="517"/>
        <v>878.894415324675</v>
      </c>
      <c r="AE860" s="74">
        <f t="shared" si="520"/>
        <v>531.605584675325</v>
      </c>
    </row>
    <row r="861" customFormat="1" spans="1:31">
      <c r="A861" s="18"/>
      <c r="B861" s="19"/>
      <c r="C861" s="107">
        <v>240725000009</v>
      </c>
      <c r="D861" s="21">
        <v>45504</v>
      </c>
      <c r="E861" s="21" t="s">
        <v>44</v>
      </c>
      <c r="F861" s="19" t="s">
        <v>45</v>
      </c>
      <c r="G861" s="19" t="s">
        <v>79</v>
      </c>
      <c r="H861" s="19">
        <v>2.5</v>
      </c>
      <c r="I861" s="47"/>
      <c r="J861" s="48">
        <v>34119</v>
      </c>
      <c r="K861" s="43"/>
      <c r="L861" s="49">
        <f>SUM(J861/M861)</f>
        <v>1619.31656383484</v>
      </c>
      <c r="M861" s="50">
        <v>21.07</v>
      </c>
      <c r="N861" s="44">
        <v>7.26</v>
      </c>
      <c r="O861" s="45">
        <f>SUM(M861*N861)</f>
        <v>152.9682</v>
      </c>
      <c r="P861" s="51"/>
      <c r="Q861" s="51"/>
      <c r="R861" s="74">
        <f t="shared" si="522"/>
        <v>107.113636363636</v>
      </c>
      <c r="S861" s="74"/>
      <c r="T861" s="75">
        <f t="shared" si="523"/>
        <v>0.327922077922078</v>
      </c>
      <c r="U861" s="74"/>
      <c r="V861" s="74"/>
      <c r="W861" s="76">
        <f t="shared" si="521"/>
        <v>107.441558441558</v>
      </c>
      <c r="X861" s="77">
        <f t="shared" si="524"/>
        <v>1.56032467532468</v>
      </c>
      <c r="Y861" s="77"/>
      <c r="Z861" s="77"/>
      <c r="AA861" s="77">
        <f t="shared" si="519"/>
        <v>1.56032467532468</v>
      </c>
      <c r="AB861" s="87">
        <v>7.26</v>
      </c>
      <c r="AC861" s="74">
        <f t="shared" si="518"/>
        <v>11.3279571428571</v>
      </c>
      <c r="AD861" s="74">
        <f t="shared" si="517"/>
        <v>118.769515584416</v>
      </c>
      <c r="AE861" s="74">
        <f t="shared" si="520"/>
        <v>34.198684415584</v>
      </c>
    </row>
    <row r="862" customFormat="1" spans="1:31">
      <c r="A862" s="18"/>
      <c r="B862" s="19"/>
      <c r="C862" s="107">
        <v>240725000014</v>
      </c>
      <c r="D862" s="21">
        <v>45504</v>
      </c>
      <c r="E862" s="21" t="s">
        <v>44</v>
      </c>
      <c r="F862" s="19" t="s">
        <v>45</v>
      </c>
      <c r="G862" s="19" t="s">
        <v>92</v>
      </c>
      <c r="H862" s="19">
        <v>787</v>
      </c>
      <c r="I862" s="41">
        <v>38510</v>
      </c>
      <c r="J862" s="42"/>
      <c r="K862" s="43"/>
      <c r="L862" s="19"/>
      <c r="M862" s="43"/>
      <c r="N862" s="44"/>
      <c r="O862" s="45">
        <f t="shared" ref="O862:O867" si="525">SUM(I862)</f>
        <v>38510</v>
      </c>
      <c r="P862" s="51"/>
      <c r="Q862" s="51"/>
      <c r="R862" s="74">
        <f t="shared" si="522"/>
        <v>33719.3727272727</v>
      </c>
      <c r="S862" s="74"/>
      <c r="T862" s="75">
        <f t="shared" si="523"/>
        <v>103.22987012987</v>
      </c>
      <c r="U862" s="74"/>
      <c r="V862" s="74"/>
      <c r="W862" s="76">
        <f t="shared" si="521"/>
        <v>33822.6025974026</v>
      </c>
      <c r="X862" s="77">
        <f t="shared" si="524"/>
        <v>491.190207792208</v>
      </c>
      <c r="Y862" s="77"/>
      <c r="Z862" s="77"/>
      <c r="AA862" s="77">
        <f t="shared" si="519"/>
        <v>491.190207792208</v>
      </c>
      <c r="AB862" s="87">
        <v>7.26</v>
      </c>
      <c r="AC862" s="74">
        <f t="shared" si="518"/>
        <v>3566.04090857143</v>
      </c>
      <c r="AD862" s="74">
        <f t="shared" si="517"/>
        <v>37388.643505974</v>
      </c>
      <c r="AE862" s="74">
        <f t="shared" si="520"/>
        <v>1121.356494026</v>
      </c>
    </row>
    <row r="863" customFormat="1" spans="1:31">
      <c r="A863" s="18"/>
      <c r="B863" s="19"/>
      <c r="C863" s="107">
        <v>240725000018</v>
      </c>
      <c r="D863" s="21">
        <v>45504</v>
      </c>
      <c r="E863" s="21" t="s">
        <v>40</v>
      </c>
      <c r="F863" s="19" t="s">
        <v>41</v>
      </c>
      <c r="G863" s="19" t="s">
        <v>88</v>
      </c>
      <c r="H863" s="19">
        <v>1.5</v>
      </c>
      <c r="I863" s="41">
        <v>93</v>
      </c>
      <c r="J863" s="42"/>
      <c r="K863" s="43"/>
      <c r="L863" s="19"/>
      <c r="M863" s="43"/>
      <c r="N863" s="44"/>
      <c r="O863" s="45">
        <f t="shared" si="525"/>
        <v>93</v>
      </c>
      <c r="P863" s="51"/>
      <c r="Q863" s="51"/>
      <c r="R863" s="74">
        <f t="shared" si="522"/>
        <v>64.2681818181818</v>
      </c>
      <c r="S863" s="74"/>
      <c r="T863" s="75">
        <f t="shared" si="523"/>
        <v>0.196753246753247</v>
      </c>
      <c r="U863" s="74"/>
      <c r="V863" s="74"/>
      <c r="W863" s="76">
        <f t="shared" si="521"/>
        <v>64.4649350649351</v>
      </c>
      <c r="X863" s="77">
        <f t="shared" si="524"/>
        <v>0.936194805194805</v>
      </c>
      <c r="Y863" s="77"/>
      <c r="Z863" s="77"/>
      <c r="AA863" s="77">
        <f t="shared" si="519"/>
        <v>0.936194805194805</v>
      </c>
      <c r="AB863" s="87">
        <v>7.26</v>
      </c>
      <c r="AC863" s="74">
        <f t="shared" si="518"/>
        <v>6.79677428571429</v>
      </c>
      <c r="AD863" s="74">
        <f t="shared" si="517"/>
        <v>71.2617093506493</v>
      </c>
      <c r="AE863" s="74">
        <f t="shared" si="520"/>
        <v>21.7382906493507</v>
      </c>
    </row>
    <row r="864" customFormat="1" spans="1:31">
      <c r="A864" s="18"/>
      <c r="B864" s="19"/>
      <c r="C864" s="107">
        <v>240725000019</v>
      </c>
      <c r="D864" s="21">
        <v>45504</v>
      </c>
      <c r="E864" s="21" t="s">
        <v>44</v>
      </c>
      <c r="F864" s="19" t="s">
        <v>45</v>
      </c>
      <c r="G864" s="19" t="s">
        <v>117</v>
      </c>
      <c r="H864" s="19">
        <v>26.5</v>
      </c>
      <c r="I864" s="41">
        <v>1520.5</v>
      </c>
      <c r="J864" s="42"/>
      <c r="K864" s="43"/>
      <c r="L864" s="19"/>
      <c r="M864" s="43"/>
      <c r="N864" s="44"/>
      <c r="O864" s="45">
        <f t="shared" si="525"/>
        <v>1520.5</v>
      </c>
      <c r="P864" s="51"/>
      <c r="Q864" s="51"/>
      <c r="R864" s="74">
        <f t="shared" si="522"/>
        <v>1135.40454545455</v>
      </c>
      <c r="S864" s="74"/>
      <c r="T864" s="75">
        <f t="shared" si="523"/>
        <v>3.47597402597403</v>
      </c>
      <c r="U864" s="74"/>
      <c r="V864" s="75">
        <v>116</v>
      </c>
      <c r="W864" s="76">
        <f t="shared" si="521"/>
        <v>1254.88051948052</v>
      </c>
      <c r="X864" s="77">
        <f t="shared" si="524"/>
        <v>16.5394415584416</v>
      </c>
      <c r="Y864" s="77"/>
      <c r="Z864" s="77"/>
      <c r="AA864" s="77">
        <f t="shared" si="519"/>
        <v>16.5394415584416</v>
      </c>
      <c r="AB864" s="87">
        <v>7.26</v>
      </c>
      <c r="AC864" s="74">
        <f t="shared" si="518"/>
        <v>120.076345714286</v>
      </c>
      <c r="AD864" s="74">
        <f t="shared" si="517"/>
        <v>1374.95686519481</v>
      </c>
      <c r="AE864" s="74">
        <f t="shared" si="520"/>
        <v>145.54313480519</v>
      </c>
    </row>
    <row r="865" customFormat="1" spans="1:31">
      <c r="A865" s="18"/>
      <c r="B865" s="19"/>
      <c r="C865" s="107">
        <v>240725000020</v>
      </c>
      <c r="D865" s="21">
        <v>45504</v>
      </c>
      <c r="E865" s="21" t="s">
        <v>44</v>
      </c>
      <c r="F865" s="19" t="s">
        <v>45</v>
      </c>
      <c r="G865" s="19" t="s">
        <v>46</v>
      </c>
      <c r="H865" s="19">
        <v>1.5</v>
      </c>
      <c r="I865" s="41">
        <v>93</v>
      </c>
      <c r="J865" s="42"/>
      <c r="K865" s="43"/>
      <c r="L865" s="19"/>
      <c r="M865" s="43"/>
      <c r="N865" s="44"/>
      <c r="O865" s="45">
        <f t="shared" si="525"/>
        <v>93</v>
      </c>
      <c r="P865" s="51"/>
      <c r="Q865" s="51"/>
      <c r="R865" s="74">
        <f t="shared" si="522"/>
        <v>64.2681818181818</v>
      </c>
      <c r="S865" s="74"/>
      <c r="T865" s="75">
        <f t="shared" si="523"/>
        <v>0.196753246753247</v>
      </c>
      <c r="U865" s="74"/>
      <c r="V865" s="74"/>
      <c r="W865" s="76">
        <f t="shared" si="521"/>
        <v>64.4649350649351</v>
      </c>
      <c r="X865" s="77">
        <f t="shared" si="524"/>
        <v>0.936194805194805</v>
      </c>
      <c r="Y865" s="77"/>
      <c r="Z865" s="77"/>
      <c r="AA865" s="77">
        <f t="shared" si="519"/>
        <v>0.936194805194805</v>
      </c>
      <c r="AB865" s="87">
        <v>7.26</v>
      </c>
      <c r="AC865" s="74">
        <f t="shared" si="518"/>
        <v>6.79677428571429</v>
      </c>
      <c r="AD865" s="74">
        <f t="shared" si="517"/>
        <v>71.2617093506493</v>
      </c>
      <c r="AE865" s="74">
        <f t="shared" si="520"/>
        <v>21.7382906493507</v>
      </c>
    </row>
    <row r="866" customFormat="1" spans="1:31">
      <c r="A866" s="18"/>
      <c r="B866" s="19"/>
      <c r="C866" s="107">
        <v>240725000023</v>
      </c>
      <c r="D866" s="21">
        <v>45504</v>
      </c>
      <c r="E866" s="21" t="s">
        <v>47</v>
      </c>
      <c r="F866" s="19" t="s">
        <v>48</v>
      </c>
      <c r="G866" s="19" t="s">
        <v>536</v>
      </c>
      <c r="H866" s="19">
        <v>15.5</v>
      </c>
      <c r="I866" s="41">
        <v>1080</v>
      </c>
      <c r="J866" s="42"/>
      <c r="K866" s="43"/>
      <c r="L866" s="19"/>
      <c r="M866" s="43"/>
      <c r="N866" s="44"/>
      <c r="O866" s="45">
        <f t="shared" si="525"/>
        <v>1080</v>
      </c>
      <c r="P866" s="51"/>
      <c r="Q866" s="51"/>
      <c r="R866" s="74">
        <f t="shared" si="522"/>
        <v>664.104545454545</v>
      </c>
      <c r="S866" s="74"/>
      <c r="T866" s="75">
        <f t="shared" si="523"/>
        <v>2.03311688311688</v>
      </c>
      <c r="U866" s="74"/>
      <c r="V866" s="74"/>
      <c r="W866" s="76">
        <f t="shared" si="521"/>
        <v>666.137662337662</v>
      </c>
      <c r="X866" s="77">
        <f t="shared" si="524"/>
        <v>9.67401298701299</v>
      </c>
      <c r="Y866" s="77"/>
      <c r="Z866" s="77"/>
      <c r="AA866" s="77">
        <f t="shared" si="519"/>
        <v>9.67401298701299</v>
      </c>
      <c r="AB866" s="87">
        <v>7.26</v>
      </c>
      <c r="AC866" s="74">
        <f t="shared" si="518"/>
        <v>70.2333342857143</v>
      </c>
      <c r="AD866" s="74">
        <f t="shared" si="517"/>
        <v>736.370996623377</v>
      </c>
      <c r="AE866" s="74">
        <f t="shared" si="520"/>
        <v>343.629003376623</v>
      </c>
    </row>
    <row r="867" customFormat="1" spans="1:31">
      <c r="A867" s="18"/>
      <c r="B867" s="19"/>
      <c r="C867" s="107">
        <v>240725000026</v>
      </c>
      <c r="D867" s="21">
        <v>45504</v>
      </c>
      <c r="E867" s="21" t="s">
        <v>47</v>
      </c>
      <c r="F867" s="19" t="s">
        <v>48</v>
      </c>
      <c r="G867" s="19" t="s">
        <v>537</v>
      </c>
      <c r="H867" s="19">
        <v>4.5</v>
      </c>
      <c r="I867" s="41">
        <v>300</v>
      </c>
      <c r="J867" s="42"/>
      <c r="K867" s="43"/>
      <c r="L867" s="19"/>
      <c r="M867" s="43"/>
      <c r="N867" s="44"/>
      <c r="O867" s="45">
        <f t="shared" si="525"/>
        <v>300</v>
      </c>
      <c r="P867" s="51"/>
      <c r="Q867" s="51"/>
      <c r="R867" s="74">
        <f t="shared" si="522"/>
        <v>192.804545454545</v>
      </c>
      <c r="S867" s="74"/>
      <c r="T867" s="75">
        <f t="shared" si="523"/>
        <v>0.59025974025974</v>
      </c>
      <c r="U867" s="74"/>
      <c r="V867" s="74"/>
      <c r="W867" s="76">
        <f t="shared" si="521"/>
        <v>193.394805194805</v>
      </c>
      <c r="X867" s="77">
        <f t="shared" si="524"/>
        <v>2.80858441558442</v>
      </c>
      <c r="Y867" s="77"/>
      <c r="Z867" s="77"/>
      <c r="AA867" s="77">
        <f t="shared" si="519"/>
        <v>2.80858441558442</v>
      </c>
      <c r="AB867" s="87">
        <v>7.26</v>
      </c>
      <c r="AC867" s="74">
        <f t="shared" si="518"/>
        <v>20.3903228571429</v>
      </c>
      <c r="AD867" s="74">
        <f t="shared" si="517"/>
        <v>213.785128051948</v>
      </c>
      <c r="AE867" s="74">
        <f t="shared" si="520"/>
        <v>86.214871948052</v>
      </c>
    </row>
    <row r="868" customFormat="1" spans="1:31">
      <c r="A868" s="18"/>
      <c r="B868" s="19"/>
      <c r="C868" s="107">
        <v>240725000029</v>
      </c>
      <c r="D868" s="21">
        <v>45504</v>
      </c>
      <c r="E868" s="21" t="s">
        <v>44</v>
      </c>
      <c r="F868" s="19" t="s">
        <v>45</v>
      </c>
      <c r="G868" s="19" t="s">
        <v>451</v>
      </c>
      <c r="H868" s="19">
        <v>7.5</v>
      </c>
      <c r="I868" s="41">
        <v>478.5</v>
      </c>
      <c r="J868" s="48"/>
      <c r="K868" s="43"/>
      <c r="L868" s="49"/>
      <c r="M868" s="50"/>
      <c r="N868" s="44"/>
      <c r="O868" s="45">
        <f>SUBTOTAL(9,I868)</f>
        <v>478.5</v>
      </c>
      <c r="P868" s="51"/>
      <c r="Q868" s="51"/>
      <c r="R868" s="74">
        <f t="shared" si="522"/>
        <v>321.340909090909</v>
      </c>
      <c r="S868" s="74"/>
      <c r="T868" s="75">
        <f t="shared" si="523"/>
        <v>0.983766233766234</v>
      </c>
      <c r="U868" s="74"/>
      <c r="V868" s="74"/>
      <c r="W868" s="76">
        <f t="shared" si="521"/>
        <v>322.324675324675</v>
      </c>
      <c r="X868" s="77">
        <f t="shared" si="524"/>
        <v>4.68097402597403</v>
      </c>
      <c r="Y868" s="77"/>
      <c r="Z868" s="77"/>
      <c r="AA868" s="77">
        <f t="shared" si="519"/>
        <v>4.68097402597403</v>
      </c>
      <c r="AB868" s="87">
        <v>7.26</v>
      </c>
      <c r="AC868" s="74">
        <f t="shared" si="518"/>
        <v>33.9838714285714</v>
      </c>
      <c r="AD868" s="74">
        <f t="shared" si="517"/>
        <v>356.308546753247</v>
      </c>
      <c r="AE868" s="74">
        <f t="shared" si="520"/>
        <v>122.191453246753</v>
      </c>
    </row>
    <row r="869" customFormat="1" spans="1:31">
      <c r="A869" s="18"/>
      <c r="B869" s="19"/>
      <c r="C869" s="107">
        <v>240725000031</v>
      </c>
      <c r="D869" s="23">
        <v>45504</v>
      </c>
      <c r="E869" s="21" t="s">
        <v>37</v>
      </c>
      <c r="F869" s="24" t="s">
        <v>37</v>
      </c>
      <c r="G869" s="24" t="s">
        <v>538</v>
      </c>
      <c r="H869" s="24">
        <v>28.5</v>
      </c>
      <c r="I869" s="41">
        <v>1954.4</v>
      </c>
      <c r="J869" s="42"/>
      <c r="K869" s="43"/>
      <c r="L869" s="19"/>
      <c r="M869" s="43"/>
      <c r="N869" s="44"/>
      <c r="O869" s="45">
        <f t="shared" ref="O869:O873" si="526">SUM(I869)</f>
        <v>1954.4</v>
      </c>
      <c r="P869" s="51"/>
      <c r="Q869" s="51"/>
      <c r="R869" s="74">
        <f t="shared" si="522"/>
        <v>1221.09545454545</v>
      </c>
      <c r="S869" s="74"/>
      <c r="T869" s="75">
        <f t="shared" si="523"/>
        <v>3.73831168831169</v>
      </c>
      <c r="U869" s="74"/>
      <c r="V869" s="74"/>
      <c r="W869" s="76">
        <f t="shared" si="521"/>
        <v>1224.83376623377</v>
      </c>
      <c r="X869" s="77">
        <f t="shared" si="524"/>
        <v>17.7877012987013</v>
      </c>
      <c r="Y869" s="77"/>
      <c r="Z869" s="77"/>
      <c r="AA869" s="77">
        <f t="shared" si="519"/>
        <v>17.7877012987013</v>
      </c>
      <c r="AB869" s="87">
        <v>7.26</v>
      </c>
      <c r="AC869" s="74">
        <f t="shared" si="518"/>
        <v>129.138711428571</v>
      </c>
      <c r="AD869" s="74">
        <f t="shared" si="517"/>
        <v>1353.97247766234</v>
      </c>
      <c r="AE869" s="74">
        <f t="shared" si="520"/>
        <v>600.42752233766</v>
      </c>
    </row>
    <row r="870" customFormat="1" spans="1:31">
      <c r="A870" s="18"/>
      <c r="B870" s="19"/>
      <c r="C870" s="107">
        <v>240726000002</v>
      </c>
      <c r="D870" s="21">
        <v>45504</v>
      </c>
      <c r="E870" s="21" t="s">
        <v>58</v>
      </c>
      <c r="F870" s="19" t="s">
        <v>59</v>
      </c>
      <c r="G870" s="19" t="s">
        <v>133</v>
      </c>
      <c r="H870" s="19">
        <v>0.76</v>
      </c>
      <c r="I870" s="41">
        <v>68.7</v>
      </c>
      <c r="J870" s="42"/>
      <c r="K870" s="43"/>
      <c r="L870" s="19"/>
      <c r="M870" s="43"/>
      <c r="N870" s="44"/>
      <c r="O870" s="45">
        <f t="shared" si="526"/>
        <v>68.7</v>
      </c>
      <c r="P870" s="51"/>
      <c r="Q870" s="51"/>
      <c r="R870" s="74">
        <f t="shared" si="522"/>
        <v>32.5625454545455</v>
      </c>
      <c r="S870" s="74"/>
      <c r="T870" s="75">
        <f t="shared" si="523"/>
        <v>0.0996883116883117</v>
      </c>
      <c r="U870" s="74"/>
      <c r="V870" s="74"/>
      <c r="W870" s="76">
        <f t="shared" si="521"/>
        <v>32.6622337662338</v>
      </c>
      <c r="X870" s="77">
        <f t="shared" si="524"/>
        <v>0.474338701298701</v>
      </c>
      <c r="Y870" s="77"/>
      <c r="Z870" s="77"/>
      <c r="AA870" s="77">
        <f t="shared" si="519"/>
        <v>0.474338701298701</v>
      </c>
      <c r="AB870" s="87">
        <v>7.26</v>
      </c>
      <c r="AC870" s="74">
        <f t="shared" si="518"/>
        <v>3.44369897142857</v>
      </c>
      <c r="AD870" s="74">
        <f t="shared" si="517"/>
        <v>36.1059327376623</v>
      </c>
      <c r="AE870" s="74">
        <f t="shared" si="520"/>
        <v>32.5940672623377</v>
      </c>
    </row>
    <row r="871" customFormat="1" spans="1:31">
      <c r="A871" s="18"/>
      <c r="B871" s="19"/>
      <c r="C871" s="107">
        <v>240726000007</v>
      </c>
      <c r="D871" s="21">
        <v>45504</v>
      </c>
      <c r="E871" s="21" t="s">
        <v>40</v>
      </c>
      <c r="F871" s="19" t="s">
        <v>41</v>
      </c>
      <c r="G871" s="19" t="s">
        <v>91</v>
      </c>
      <c r="H871" s="19">
        <v>121.5</v>
      </c>
      <c r="I871" s="47"/>
      <c r="J871" s="48">
        <v>1577677.5</v>
      </c>
      <c r="K871" s="43"/>
      <c r="L871" s="49">
        <f>SUM(J871/M871)</f>
        <v>1778.7069606981</v>
      </c>
      <c r="M871" s="50">
        <v>886.98</v>
      </c>
      <c r="N871" s="44">
        <v>7.26</v>
      </c>
      <c r="O871" s="45">
        <f>SUM(M871*N871)</f>
        <v>6439.4748</v>
      </c>
      <c r="P871" s="51"/>
      <c r="Q871" s="51"/>
      <c r="R871" s="74">
        <f t="shared" si="522"/>
        <v>5205.72272727273</v>
      </c>
      <c r="S871" s="74"/>
      <c r="T871" s="75">
        <f t="shared" si="523"/>
        <v>15.937012987013</v>
      </c>
      <c r="U871" s="74"/>
      <c r="V871" s="74"/>
      <c r="W871" s="76">
        <f t="shared" si="521"/>
        <v>5221.65974025974</v>
      </c>
      <c r="X871" s="77">
        <f t="shared" si="524"/>
        <v>75.8317792207792</v>
      </c>
      <c r="Y871" s="77"/>
      <c r="Z871" s="77"/>
      <c r="AA871" s="77">
        <f t="shared" si="519"/>
        <v>75.8317792207792</v>
      </c>
      <c r="AB871" s="87">
        <v>7.26</v>
      </c>
      <c r="AC871" s="74">
        <f t="shared" si="518"/>
        <v>550.538717142857</v>
      </c>
      <c r="AD871" s="74">
        <f t="shared" si="517"/>
        <v>5772.1984574026</v>
      </c>
      <c r="AE871" s="74">
        <f t="shared" si="520"/>
        <v>667.2763425974</v>
      </c>
    </row>
    <row r="872" customFormat="1" spans="1:31">
      <c r="A872" s="18"/>
      <c r="B872" s="19"/>
      <c r="C872" s="107">
        <v>240726000018</v>
      </c>
      <c r="D872" s="21">
        <v>45504</v>
      </c>
      <c r="E872" s="21" t="s">
        <v>47</v>
      </c>
      <c r="F872" s="19" t="s">
        <v>48</v>
      </c>
      <c r="G872" s="19" t="s">
        <v>539</v>
      </c>
      <c r="H872" s="19">
        <v>4</v>
      </c>
      <c r="I872" s="41">
        <v>267</v>
      </c>
      <c r="J872" s="42"/>
      <c r="K872" s="43"/>
      <c r="L872" s="19"/>
      <c r="M872" s="43"/>
      <c r="N872" s="44"/>
      <c r="O872" s="45">
        <f t="shared" si="526"/>
        <v>267</v>
      </c>
      <c r="P872" s="51"/>
      <c r="Q872" s="51"/>
      <c r="R872" s="74">
        <f t="shared" si="522"/>
        <v>171.381818181818</v>
      </c>
      <c r="S872" s="74"/>
      <c r="T872" s="75">
        <f t="shared" si="523"/>
        <v>0.524675324675325</v>
      </c>
      <c r="U872" s="74"/>
      <c r="V872" s="74"/>
      <c r="W872" s="76">
        <f t="shared" si="521"/>
        <v>171.906493506493</v>
      </c>
      <c r="X872" s="77">
        <f t="shared" si="524"/>
        <v>2.49651948051948</v>
      </c>
      <c r="Y872" s="77"/>
      <c r="Z872" s="77"/>
      <c r="AA872" s="77">
        <f t="shared" si="519"/>
        <v>2.49651948051948</v>
      </c>
      <c r="AB872" s="87">
        <v>7.26</v>
      </c>
      <c r="AC872" s="74">
        <f t="shared" si="518"/>
        <v>18.1247314285714</v>
      </c>
      <c r="AD872" s="74">
        <f t="shared" si="517"/>
        <v>190.031224935065</v>
      </c>
      <c r="AE872" s="74">
        <f t="shared" si="520"/>
        <v>76.968775064935</v>
      </c>
    </row>
    <row r="873" customFormat="1" spans="1:31">
      <c r="A873" s="18"/>
      <c r="B873" s="19"/>
      <c r="C873" s="107">
        <v>240726000019</v>
      </c>
      <c r="D873" s="21">
        <v>45504</v>
      </c>
      <c r="E873" s="21" t="s">
        <v>40</v>
      </c>
      <c r="F873" s="19" t="s">
        <v>41</v>
      </c>
      <c r="G873" s="19" t="s">
        <v>295</v>
      </c>
      <c r="H873" s="19">
        <v>22.5</v>
      </c>
      <c r="I873" s="41">
        <v>1125</v>
      </c>
      <c r="J873" s="42"/>
      <c r="K873" s="43"/>
      <c r="L873" s="19"/>
      <c r="M873" s="43"/>
      <c r="N873" s="44"/>
      <c r="O873" s="45">
        <f t="shared" si="526"/>
        <v>1125</v>
      </c>
      <c r="P873" s="51"/>
      <c r="Q873" s="51"/>
      <c r="R873" s="74">
        <f t="shared" si="522"/>
        <v>964.022727272727</v>
      </c>
      <c r="S873" s="74"/>
      <c r="T873" s="75">
        <f t="shared" si="523"/>
        <v>2.9512987012987</v>
      </c>
      <c r="U873" s="74"/>
      <c r="V873" s="74"/>
      <c r="W873" s="76">
        <f t="shared" si="521"/>
        <v>966.974025974026</v>
      </c>
      <c r="X873" s="77">
        <f t="shared" si="524"/>
        <v>14.0429220779221</v>
      </c>
      <c r="Y873" s="77"/>
      <c r="Z873" s="77"/>
      <c r="AA873" s="77">
        <f t="shared" si="519"/>
        <v>14.0429220779221</v>
      </c>
      <c r="AB873" s="87">
        <v>7.26</v>
      </c>
      <c r="AC873" s="74">
        <f t="shared" si="518"/>
        <v>101.951614285714</v>
      </c>
      <c r="AD873" s="74">
        <f t="shared" si="517"/>
        <v>1068.92564025974</v>
      </c>
      <c r="AE873" s="74">
        <f t="shared" si="520"/>
        <v>56.07435974026</v>
      </c>
    </row>
    <row r="874" customFormat="1" spans="1:31">
      <c r="A874" s="18"/>
      <c r="B874" s="19"/>
      <c r="C874" s="107">
        <v>240726000026</v>
      </c>
      <c r="D874" s="21">
        <v>45504</v>
      </c>
      <c r="E874" s="21" t="s">
        <v>40</v>
      </c>
      <c r="F874" s="19" t="s">
        <v>41</v>
      </c>
      <c r="G874" s="19" t="s">
        <v>165</v>
      </c>
      <c r="H874" s="19">
        <v>61</v>
      </c>
      <c r="I874" s="47"/>
      <c r="J874" s="48">
        <v>730658</v>
      </c>
      <c r="K874" s="43"/>
      <c r="L874" s="49">
        <f t="shared" ref="L874:L878" si="527">SUM(J874/M874)</f>
        <v>1640.78507107408</v>
      </c>
      <c r="M874" s="50">
        <v>445.31</v>
      </c>
      <c r="N874" s="44">
        <v>7.26</v>
      </c>
      <c r="O874" s="45">
        <f t="shared" ref="O874:O878" si="528">SUM(M874*N874)</f>
        <v>3232.9506</v>
      </c>
      <c r="P874" s="51"/>
      <c r="Q874" s="51"/>
      <c r="R874" s="74">
        <f t="shared" si="522"/>
        <v>2613.57272727273</v>
      </c>
      <c r="S874" s="74"/>
      <c r="T874" s="75">
        <f t="shared" si="523"/>
        <v>8.0012987012987</v>
      </c>
      <c r="U874" s="74"/>
      <c r="V874" s="74"/>
      <c r="W874" s="76">
        <f t="shared" si="521"/>
        <v>2621.57402597403</v>
      </c>
      <c r="X874" s="77">
        <f t="shared" si="524"/>
        <v>38.0719220779221</v>
      </c>
      <c r="Y874" s="77"/>
      <c r="Z874" s="77"/>
      <c r="AA874" s="77">
        <f t="shared" si="519"/>
        <v>38.0719220779221</v>
      </c>
      <c r="AB874" s="87">
        <v>7.26</v>
      </c>
      <c r="AC874" s="74">
        <f t="shared" si="518"/>
        <v>276.402154285714</v>
      </c>
      <c r="AD874" s="74">
        <f t="shared" si="517"/>
        <v>2897.97618025974</v>
      </c>
      <c r="AE874" s="74">
        <f t="shared" si="520"/>
        <v>334.97441974026</v>
      </c>
    </row>
    <row r="875" customFormat="1" spans="1:31">
      <c r="A875" s="18"/>
      <c r="B875" s="19"/>
      <c r="C875" s="107">
        <v>240726000030</v>
      </c>
      <c r="D875" s="21">
        <v>45504</v>
      </c>
      <c r="E875" s="21" t="s">
        <v>40</v>
      </c>
      <c r="F875" s="19" t="s">
        <v>41</v>
      </c>
      <c r="G875" s="19" t="s">
        <v>491</v>
      </c>
      <c r="H875" s="19">
        <v>2.5</v>
      </c>
      <c r="I875" s="41">
        <v>168</v>
      </c>
      <c r="J875" s="42"/>
      <c r="K875" s="43"/>
      <c r="L875" s="19"/>
      <c r="M875" s="43"/>
      <c r="N875" s="44"/>
      <c r="O875" s="45">
        <f t="shared" ref="O875:O880" si="529">SUM(I875)</f>
        <v>168</v>
      </c>
      <c r="P875" s="51"/>
      <c r="Q875" s="51"/>
      <c r="R875" s="74">
        <f t="shared" si="522"/>
        <v>107.113636363636</v>
      </c>
      <c r="S875" s="74"/>
      <c r="T875" s="75">
        <f t="shared" si="523"/>
        <v>0.327922077922078</v>
      </c>
      <c r="U875" s="74"/>
      <c r="V875" s="74"/>
      <c r="W875" s="76">
        <f t="shared" si="521"/>
        <v>107.441558441558</v>
      </c>
      <c r="X875" s="77">
        <f t="shared" si="524"/>
        <v>1.56032467532468</v>
      </c>
      <c r="Y875" s="77"/>
      <c r="Z875" s="77"/>
      <c r="AA875" s="77">
        <f t="shared" si="519"/>
        <v>1.56032467532468</v>
      </c>
      <c r="AB875" s="87">
        <v>7.26</v>
      </c>
      <c r="AC875" s="74">
        <f t="shared" si="518"/>
        <v>11.3279571428571</v>
      </c>
      <c r="AD875" s="74">
        <f t="shared" si="517"/>
        <v>118.769515584416</v>
      </c>
      <c r="AE875" s="74">
        <f t="shared" si="520"/>
        <v>49.230484415584</v>
      </c>
    </row>
    <row r="876" customFormat="1" spans="1:31">
      <c r="A876" s="18"/>
      <c r="B876" s="19"/>
      <c r="C876" s="107">
        <v>240726000031</v>
      </c>
      <c r="D876" s="21">
        <v>45504</v>
      </c>
      <c r="E876" s="21" t="s">
        <v>37</v>
      </c>
      <c r="F876" s="19" t="s">
        <v>37</v>
      </c>
      <c r="G876" s="19" t="s">
        <v>168</v>
      </c>
      <c r="H876" s="19">
        <v>18.5</v>
      </c>
      <c r="I876" s="47"/>
      <c r="J876" s="48">
        <v>233310</v>
      </c>
      <c r="K876" s="43"/>
      <c r="L876" s="49">
        <f t="shared" si="527"/>
        <v>1597.24789484494</v>
      </c>
      <c r="M876" s="50">
        <v>146.07</v>
      </c>
      <c r="N876" s="44">
        <v>7.26</v>
      </c>
      <c r="O876" s="45">
        <f t="shared" si="528"/>
        <v>1060.4682</v>
      </c>
      <c r="P876" s="51"/>
      <c r="Q876" s="51"/>
      <c r="R876" s="74">
        <f t="shared" si="522"/>
        <v>792.640909090909</v>
      </c>
      <c r="S876" s="74"/>
      <c r="T876" s="75">
        <f t="shared" si="523"/>
        <v>2.42662337662338</v>
      </c>
      <c r="U876" s="74"/>
      <c r="V876" s="74"/>
      <c r="W876" s="76">
        <f t="shared" si="521"/>
        <v>795.067532467532</v>
      </c>
      <c r="X876" s="77">
        <f t="shared" si="524"/>
        <v>11.5464025974026</v>
      </c>
      <c r="Y876" s="77"/>
      <c r="Z876" s="77"/>
      <c r="AA876" s="77">
        <f t="shared" si="519"/>
        <v>11.5464025974026</v>
      </c>
      <c r="AB876" s="87">
        <v>7.26</v>
      </c>
      <c r="AC876" s="74">
        <f t="shared" si="518"/>
        <v>83.8268828571428</v>
      </c>
      <c r="AD876" s="74">
        <f t="shared" si="517"/>
        <v>878.894415324675</v>
      </c>
      <c r="AE876" s="74">
        <f t="shared" si="520"/>
        <v>181.573784675325</v>
      </c>
    </row>
    <row r="877" customFormat="1" spans="1:31">
      <c r="A877" s="18"/>
      <c r="B877" s="19"/>
      <c r="C877" s="107">
        <v>240726000035</v>
      </c>
      <c r="D877" s="21">
        <v>45504</v>
      </c>
      <c r="E877" s="21" t="s">
        <v>81</v>
      </c>
      <c r="F877" s="19" t="s">
        <v>540</v>
      </c>
      <c r="G877" s="19" t="s">
        <v>541</v>
      </c>
      <c r="H877" s="19">
        <v>14</v>
      </c>
      <c r="I877" s="41">
        <v>1239</v>
      </c>
      <c r="J877" s="42"/>
      <c r="K877" s="43"/>
      <c r="L877" s="19"/>
      <c r="M877" s="43"/>
      <c r="N877" s="44"/>
      <c r="O877" s="45">
        <f t="shared" si="529"/>
        <v>1239</v>
      </c>
      <c r="P877" s="51"/>
      <c r="Q877" s="51"/>
      <c r="R877" s="74">
        <f t="shared" si="522"/>
        <v>599.836363636364</v>
      </c>
      <c r="S877" s="74"/>
      <c r="T877" s="75">
        <f t="shared" si="523"/>
        <v>1.83636363636364</v>
      </c>
      <c r="U877" s="74"/>
      <c r="V877" s="74"/>
      <c r="W877" s="76">
        <f t="shared" si="521"/>
        <v>601.672727272727</v>
      </c>
      <c r="X877" s="77">
        <f t="shared" si="524"/>
        <v>8.73781818181818</v>
      </c>
      <c r="Y877" s="77"/>
      <c r="Z877" s="77"/>
      <c r="AA877" s="77">
        <f t="shared" si="519"/>
        <v>8.73781818181818</v>
      </c>
      <c r="AB877" s="87">
        <v>7.26</v>
      </c>
      <c r="AC877" s="74">
        <f t="shared" si="518"/>
        <v>63.43656</v>
      </c>
      <c r="AD877" s="74">
        <f t="shared" si="517"/>
        <v>665.109287272727</v>
      </c>
      <c r="AE877" s="74">
        <f t="shared" si="520"/>
        <v>573.890712727273</v>
      </c>
    </row>
    <row r="878" customFormat="1" spans="1:31">
      <c r="A878" s="18"/>
      <c r="B878" s="19"/>
      <c r="C878" s="107">
        <v>240726000038</v>
      </c>
      <c r="D878" s="21">
        <v>45504</v>
      </c>
      <c r="E878" s="21" t="s">
        <v>40</v>
      </c>
      <c r="F878" s="19" t="s">
        <v>41</v>
      </c>
      <c r="G878" s="19" t="s">
        <v>86</v>
      </c>
      <c r="H878" s="19">
        <v>3.5</v>
      </c>
      <c r="I878" s="47"/>
      <c r="J878" s="48">
        <v>40995.5</v>
      </c>
      <c r="K878" s="43"/>
      <c r="L878" s="49">
        <f t="shared" si="527"/>
        <v>1604.52054794521</v>
      </c>
      <c r="M878" s="50">
        <v>25.55</v>
      </c>
      <c r="N878" s="44">
        <v>7.26</v>
      </c>
      <c r="O878" s="45">
        <f t="shared" si="528"/>
        <v>185.493</v>
      </c>
      <c r="P878" s="51"/>
      <c r="Q878" s="51"/>
      <c r="R878" s="74">
        <f t="shared" si="522"/>
        <v>149.959090909091</v>
      </c>
      <c r="S878" s="74"/>
      <c r="T878" s="75">
        <f t="shared" si="523"/>
        <v>0.459090909090909</v>
      </c>
      <c r="U878" s="74"/>
      <c r="V878" s="74"/>
      <c r="W878" s="76">
        <f t="shared" si="521"/>
        <v>150.418181818182</v>
      </c>
      <c r="X878" s="77">
        <f t="shared" si="524"/>
        <v>2.18445454545455</v>
      </c>
      <c r="Y878" s="77"/>
      <c r="Z878" s="77"/>
      <c r="AA878" s="77">
        <f t="shared" si="519"/>
        <v>2.18445454545455</v>
      </c>
      <c r="AB878" s="87">
        <v>7.26</v>
      </c>
      <c r="AC878" s="74">
        <f t="shared" si="518"/>
        <v>15.85914</v>
      </c>
      <c r="AD878" s="74">
        <f t="shared" si="517"/>
        <v>166.277321818182</v>
      </c>
      <c r="AE878" s="74">
        <f t="shared" si="520"/>
        <v>19.215678181818</v>
      </c>
    </row>
    <row r="879" customFormat="1" spans="1:31">
      <c r="A879" s="18"/>
      <c r="B879" s="19"/>
      <c r="C879" s="107">
        <v>240726000043</v>
      </c>
      <c r="D879" s="21">
        <v>45504</v>
      </c>
      <c r="E879" s="21" t="s">
        <v>40</v>
      </c>
      <c r="F879" s="19" t="s">
        <v>41</v>
      </c>
      <c r="G879" s="19" t="s">
        <v>93</v>
      </c>
      <c r="H879" s="19">
        <v>3.5</v>
      </c>
      <c r="I879" s="41">
        <v>192.5</v>
      </c>
      <c r="J879" s="42"/>
      <c r="K879" s="43"/>
      <c r="L879" s="19"/>
      <c r="M879" s="43"/>
      <c r="N879" s="44"/>
      <c r="O879" s="45">
        <f t="shared" si="529"/>
        <v>192.5</v>
      </c>
      <c r="P879" s="51"/>
      <c r="Q879" s="51"/>
      <c r="R879" s="74">
        <f t="shared" si="522"/>
        <v>149.959090909091</v>
      </c>
      <c r="S879" s="74"/>
      <c r="T879" s="75">
        <f t="shared" si="523"/>
        <v>0.459090909090909</v>
      </c>
      <c r="U879" s="74"/>
      <c r="V879" s="74"/>
      <c r="W879" s="76">
        <f t="shared" si="521"/>
        <v>150.418181818182</v>
      </c>
      <c r="X879" s="77">
        <f t="shared" si="524"/>
        <v>2.18445454545455</v>
      </c>
      <c r="Y879" s="77"/>
      <c r="Z879" s="77"/>
      <c r="AA879" s="77">
        <f t="shared" si="519"/>
        <v>2.18445454545455</v>
      </c>
      <c r="AB879" s="87">
        <v>7.26</v>
      </c>
      <c r="AC879" s="74">
        <f t="shared" si="518"/>
        <v>15.85914</v>
      </c>
      <c r="AD879" s="74">
        <f t="shared" si="517"/>
        <v>166.277321818182</v>
      </c>
      <c r="AE879" s="74">
        <f t="shared" si="520"/>
        <v>26.222678181818</v>
      </c>
    </row>
    <row r="880" customFormat="1" spans="1:31">
      <c r="A880" s="18"/>
      <c r="B880" s="19"/>
      <c r="C880" s="107">
        <v>240726000045</v>
      </c>
      <c r="D880" s="21">
        <v>45504</v>
      </c>
      <c r="E880" s="21" t="s">
        <v>47</v>
      </c>
      <c r="F880" s="19" t="s">
        <v>48</v>
      </c>
      <c r="G880" s="19" t="s">
        <v>69</v>
      </c>
      <c r="H880" s="19">
        <v>14</v>
      </c>
      <c r="I880" s="41">
        <v>804</v>
      </c>
      <c r="J880" s="42"/>
      <c r="K880" s="43"/>
      <c r="L880" s="19"/>
      <c r="M880" s="43"/>
      <c r="N880" s="44"/>
      <c r="O880" s="45">
        <f t="shared" si="529"/>
        <v>804</v>
      </c>
      <c r="P880" s="51"/>
      <c r="Q880" s="51"/>
      <c r="R880" s="74">
        <f t="shared" si="522"/>
        <v>599.836363636364</v>
      </c>
      <c r="S880" s="74"/>
      <c r="T880" s="75">
        <f t="shared" si="523"/>
        <v>1.83636363636364</v>
      </c>
      <c r="U880" s="74"/>
      <c r="V880" s="74"/>
      <c r="W880" s="76">
        <f t="shared" si="521"/>
        <v>601.672727272727</v>
      </c>
      <c r="X880" s="77">
        <f t="shared" si="524"/>
        <v>8.73781818181818</v>
      </c>
      <c r="Y880" s="77"/>
      <c r="Z880" s="77"/>
      <c r="AA880" s="77">
        <f t="shared" si="519"/>
        <v>8.73781818181818</v>
      </c>
      <c r="AB880" s="87">
        <v>7.26</v>
      </c>
      <c r="AC880" s="74">
        <f t="shared" si="518"/>
        <v>63.43656</v>
      </c>
      <c r="AD880" s="74">
        <f t="shared" si="517"/>
        <v>665.109287272727</v>
      </c>
      <c r="AE880" s="74">
        <f t="shared" si="520"/>
        <v>138.890712727273</v>
      </c>
    </row>
    <row r="881" customFormat="1" spans="1:31">
      <c r="A881" s="18"/>
      <c r="B881" s="19"/>
      <c r="C881" s="107">
        <v>240726000051</v>
      </c>
      <c r="D881" s="21">
        <v>45504</v>
      </c>
      <c r="E881" s="21" t="s">
        <v>58</v>
      </c>
      <c r="F881" s="19" t="s">
        <v>59</v>
      </c>
      <c r="G881" s="19" t="s">
        <v>76</v>
      </c>
      <c r="H881" s="19">
        <v>2</v>
      </c>
      <c r="I881" s="45"/>
      <c r="J881" s="48">
        <v>27770.4</v>
      </c>
      <c r="K881" s="43"/>
      <c r="L881" s="49">
        <f>SUM(J881/M881)</f>
        <v>1624</v>
      </c>
      <c r="M881" s="50">
        <v>17.1</v>
      </c>
      <c r="N881" s="44">
        <v>7.26</v>
      </c>
      <c r="O881" s="45">
        <f>SUM(M881*N881)</f>
        <v>124.146</v>
      </c>
      <c r="P881" s="51"/>
      <c r="Q881" s="51"/>
      <c r="R881" s="74">
        <f t="shared" si="522"/>
        <v>85.6909090909091</v>
      </c>
      <c r="S881" s="74"/>
      <c r="T881" s="75">
        <f t="shared" si="523"/>
        <v>0.262337662337662</v>
      </c>
      <c r="U881" s="74"/>
      <c r="V881" s="74"/>
      <c r="W881" s="76">
        <f t="shared" si="521"/>
        <v>85.9532467532467</v>
      </c>
      <c r="X881" s="77">
        <f t="shared" si="524"/>
        <v>1.24825974025974</v>
      </c>
      <c r="Y881" s="77"/>
      <c r="Z881" s="77"/>
      <c r="AA881" s="77">
        <f t="shared" si="519"/>
        <v>1.24825974025974</v>
      </c>
      <c r="AB881" s="87">
        <v>7.26</v>
      </c>
      <c r="AC881" s="74">
        <f t="shared" si="518"/>
        <v>9.06236571428571</v>
      </c>
      <c r="AD881" s="74">
        <f t="shared" si="517"/>
        <v>95.0156124675325</v>
      </c>
      <c r="AE881" s="74">
        <f t="shared" ref="AE881:AE912" si="530">SUM(O881-AD881)</f>
        <v>29.1303875324675</v>
      </c>
    </row>
    <row r="882" customFormat="1" spans="1:31">
      <c r="A882" s="18"/>
      <c r="B882" s="19"/>
      <c r="C882" s="107">
        <v>240726000052</v>
      </c>
      <c r="D882" s="21">
        <v>45504</v>
      </c>
      <c r="E882" s="21" t="s">
        <v>58</v>
      </c>
      <c r="F882" s="19" t="s">
        <v>59</v>
      </c>
      <c r="G882" s="19" t="s">
        <v>76</v>
      </c>
      <c r="H882" s="19">
        <v>0.68</v>
      </c>
      <c r="I882" s="45"/>
      <c r="J882" s="48">
        <v>14291.2</v>
      </c>
      <c r="K882" s="43"/>
      <c r="L882" s="49">
        <f>SUM(J882/M882)</f>
        <v>1624</v>
      </c>
      <c r="M882" s="50">
        <v>8.8</v>
      </c>
      <c r="N882" s="44">
        <v>7.26</v>
      </c>
      <c r="O882" s="45">
        <f>SUM(M882*N882)</f>
        <v>63.888</v>
      </c>
      <c r="P882" s="51"/>
      <c r="Q882" s="51"/>
      <c r="R882" s="74">
        <f t="shared" si="522"/>
        <v>29.1349090909091</v>
      </c>
      <c r="S882" s="74"/>
      <c r="T882" s="75">
        <f t="shared" si="523"/>
        <v>0.0891948051948052</v>
      </c>
      <c r="U882" s="74"/>
      <c r="V882" s="74"/>
      <c r="W882" s="76">
        <f t="shared" si="521"/>
        <v>29.2241038961039</v>
      </c>
      <c r="X882" s="77">
        <f t="shared" si="524"/>
        <v>0.424408311688312</v>
      </c>
      <c r="Y882" s="77"/>
      <c r="Z882" s="77"/>
      <c r="AA882" s="77">
        <f t="shared" si="519"/>
        <v>0.424408311688312</v>
      </c>
      <c r="AB882" s="87">
        <v>7.26</v>
      </c>
      <c r="AC882" s="74">
        <f t="shared" ref="AC882:AC913" si="531">SUM(AA882*AB882)</f>
        <v>3.08120434285714</v>
      </c>
      <c r="AD882" s="74">
        <f t="shared" ref="AD882:AD913" si="532">SUM(W882+AC882)</f>
        <v>32.305308238961</v>
      </c>
      <c r="AE882" s="74">
        <f t="shared" si="530"/>
        <v>31.582691761039</v>
      </c>
    </row>
    <row r="883" customFormat="1" spans="1:31">
      <c r="A883" s="18"/>
      <c r="B883" s="19"/>
      <c r="C883" s="107">
        <v>240726000056</v>
      </c>
      <c r="D883" s="21">
        <v>45504</v>
      </c>
      <c r="E883" s="21" t="s">
        <v>37</v>
      </c>
      <c r="F883" s="19" t="s">
        <v>37</v>
      </c>
      <c r="G883" s="19" t="s">
        <v>466</v>
      </c>
      <c r="H883" s="19">
        <v>17</v>
      </c>
      <c r="I883" s="47">
        <v>1370</v>
      </c>
      <c r="J883" s="42"/>
      <c r="K883" s="43"/>
      <c r="L883" s="19"/>
      <c r="M883" s="43"/>
      <c r="N883" s="44"/>
      <c r="O883" s="45">
        <f t="shared" ref="O883:O887" si="533">SUM(I883)</f>
        <v>1370</v>
      </c>
      <c r="P883" s="51"/>
      <c r="Q883" s="51"/>
      <c r="R883" s="74">
        <f t="shared" si="522"/>
        <v>728.372727272727</v>
      </c>
      <c r="S883" s="74"/>
      <c r="T883" s="75">
        <f t="shared" si="523"/>
        <v>2.22987012987013</v>
      </c>
      <c r="U883" s="74"/>
      <c r="V883" s="74"/>
      <c r="W883" s="76">
        <f t="shared" si="521"/>
        <v>730.602597402597</v>
      </c>
      <c r="X883" s="77">
        <f t="shared" si="524"/>
        <v>10.6102077922078</v>
      </c>
      <c r="Y883" s="77"/>
      <c r="Z883" s="77"/>
      <c r="AA883" s="77">
        <f t="shared" si="519"/>
        <v>10.6102077922078</v>
      </c>
      <c r="AB883" s="87">
        <v>7.26</v>
      </c>
      <c r="AC883" s="74">
        <f t="shared" si="531"/>
        <v>77.0301085714286</v>
      </c>
      <c r="AD883" s="74">
        <f t="shared" si="532"/>
        <v>807.632705974026</v>
      </c>
      <c r="AE883" s="74">
        <f t="shared" si="530"/>
        <v>562.367294025974</v>
      </c>
    </row>
    <row r="884" customFormat="1" spans="1:31">
      <c r="A884" s="18"/>
      <c r="B884" s="19"/>
      <c r="C884" s="107">
        <v>240726000058</v>
      </c>
      <c r="D884" s="21">
        <v>45504</v>
      </c>
      <c r="E884" s="21" t="s">
        <v>58</v>
      </c>
      <c r="F884" s="19" t="s">
        <v>59</v>
      </c>
      <c r="G884" s="19" t="s">
        <v>234</v>
      </c>
      <c r="H884" s="19">
        <v>2</v>
      </c>
      <c r="I884" s="41">
        <v>135</v>
      </c>
      <c r="J884" s="42"/>
      <c r="K884" s="43"/>
      <c r="L884" s="19"/>
      <c r="M884" s="43"/>
      <c r="N884" s="44"/>
      <c r="O884" s="45">
        <f t="shared" si="533"/>
        <v>135</v>
      </c>
      <c r="P884" s="52"/>
      <c r="Q884" s="52"/>
      <c r="R884" s="74">
        <f t="shared" si="522"/>
        <v>85.6909090909091</v>
      </c>
      <c r="S884" s="74"/>
      <c r="T884" s="75">
        <f t="shared" si="523"/>
        <v>0.262337662337662</v>
      </c>
      <c r="U884" s="74"/>
      <c r="V884" s="74"/>
      <c r="W884" s="76">
        <f t="shared" ref="W884:W926" si="534">SUM(R884:V884)</f>
        <v>85.9532467532467</v>
      </c>
      <c r="X884" s="77">
        <f t="shared" si="524"/>
        <v>1.24825974025974</v>
      </c>
      <c r="Y884" s="77"/>
      <c r="Z884" s="77"/>
      <c r="AA884" s="77">
        <f t="shared" ref="AA884:AA915" si="535">SUM(X884:Z884)</f>
        <v>1.24825974025974</v>
      </c>
      <c r="AB884" s="87">
        <v>7.26</v>
      </c>
      <c r="AC884" s="74">
        <f t="shared" si="531"/>
        <v>9.06236571428571</v>
      </c>
      <c r="AD884" s="74">
        <f t="shared" si="532"/>
        <v>95.0156124675324</v>
      </c>
      <c r="AE884" s="74">
        <f t="shared" si="530"/>
        <v>39.9843875324676</v>
      </c>
    </row>
    <row r="885" customFormat="1" spans="1:31">
      <c r="A885" s="18" t="s">
        <v>542</v>
      </c>
      <c r="B885" s="19" t="s">
        <v>543</v>
      </c>
      <c r="C885" s="107">
        <v>240722000021</v>
      </c>
      <c r="D885" s="21">
        <v>45504</v>
      </c>
      <c r="E885" s="21" t="s">
        <v>58</v>
      </c>
      <c r="F885" s="19" t="s">
        <v>59</v>
      </c>
      <c r="G885" s="19" t="s">
        <v>238</v>
      </c>
      <c r="H885" s="19">
        <v>8.5</v>
      </c>
      <c r="I885" s="41">
        <v>539</v>
      </c>
      <c r="J885" s="42"/>
      <c r="K885" s="43"/>
      <c r="L885" s="19"/>
      <c r="M885" s="43"/>
      <c r="N885" s="44"/>
      <c r="O885" s="45">
        <f t="shared" si="533"/>
        <v>539</v>
      </c>
      <c r="P885" s="91">
        <f>SUM(O885:O926)</f>
        <v>130150.88198548</v>
      </c>
      <c r="Q885" s="91" t="s">
        <v>130</v>
      </c>
      <c r="R885" s="74">
        <f>SUM(83457.2/1728)*H885</f>
        <v>410.524421296296</v>
      </c>
      <c r="S885" s="74"/>
      <c r="T885" s="75">
        <f>SUM(125/1728)*H885</f>
        <v>0.614872685185185</v>
      </c>
      <c r="U885" s="74"/>
      <c r="V885" s="74"/>
      <c r="W885" s="76">
        <f t="shared" si="534"/>
        <v>411.139293981481</v>
      </c>
      <c r="X885" s="110">
        <f>SUM(1646.45/1728)*H885</f>
        <v>8.09885706018519</v>
      </c>
      <c r="Y885" s="77"/>
      <c r="Z885" s="77"/>
      <c r="AA885" s="77">
        <f t="shared" si="535"/>
        <v>8.09885706018519</v>
      </c>
      <c r="AB885" s="87">
        <v>7.26</v>
      </c>
      <c r="AC885" s="74">
        <f t="shared" si="531"/>
        <v>58.7977022569445</v>
      </c>
      <c r="AD885" s="74">
        <f t="shared" si="532"/>
        <v>469.936996238425</v>
      </c>
      <c r="AE885" s="74">
        <f t="shared" si="530"/>
        <v>69.063003761575</v>
      </c>
    </row>
    <row r="886" customFormat="1" spans="1:31">
      <c r="A886" s="18"/>
      <c r="B886" s="19"/>
      <c r="C886" s="107">
        <v>240722000048</v>
      </c>
      <c r="D886" s="21">
        <v>45504</v>
      </c>
      <c r="E886" s="21" t="s">
        <v>58</v>
      </c>
      <c r="F886" s="19" t="s">
        <v>59</v>
      </c>
      <c r="G886" s="19" t="s">
        <v>544</v>
      </c>
      <c r="H886" s="19">
        <v>2.5</v>
      </c>
      <c r="I886" s="41">
        <v>240</v>
      </c>
      <c r="J886" s="42"/>
      <c r="K886" s="43"/>
      <c r="L886" s="19"/>
      <c r="M886" s="43"/>
      <c r="N886" s="44"/>
      <c r="O886" s="45">
        <f t="shared" si="533"/>
        <v>240</v>
      </c>
      <c r="P886" s="91"/>
      <c r="Q886" s="91"/>
      <c r="R886" s="74">
        <f t="shared" ref="R886:R926" si="536">SUM(83457.2/1728)*H886</f>
        <v>120.742476851852</v>
      </c>
      <c r="S886" s="74"/>
      <c r="T886" s="75">
        <f t="shared" ref="T886:T926" si="537">SUM(125/1728)*H886</f>
        <v>0.180844907407407</v>
      </c>
      <c r="U886" s="74"/>
      <c r="V886" s="74"/>
      <c r="W886" s="76">
        <f t="shared" si="534"/>
        <v>120.923321759259</v>
      </c>
      <c r="X886" s="110">
        <f t="shared" ref="X886:X926" si="538">SUM(1646.45/1728)*H886</f>
        <v>2.38201678240741</v>
      </c>
      <c r="Y886" s="77">
        <v>9.64</v>
      </c>
      <c r="Z886" s="77"/>
      <c r="AA886" s="77">
        <f t="shared" si="535"/>
        <v>12.0220167824074</v>
      </c>
      <c r="AB886" s="87">
        <v>7.26</v>
      </c>
      <c r="AC886" s="74">
        <f t="shared" si="531"/>
        <v>87.2798418402778</v>
      </c>
      <c r="AD886" s="74">
        <f t="shared" si="532"/>
        <v>208.203163599537</v>
      </c>
      <c r="AE886" s="74">
        <f t="shared" si="530"/>
        <v>31.796836400463</v>
      </c>
    </row>
    <row r="887" customFormat="1" spans="1:31">
      <c r="A887" s="18"/>
      <c r="B887" s="19"/>
      <c r="C887" s="107">
        <v>240722000050</v>
      </c>
      <c r="D887" s="21">
        <v>45504</v>
      </c>
      <c r="E887" s="21" t="s">
        <v>58</v>
      </c>
      <c r="F887" s="19" t="s">
        <v>59</v>
      </c>
      <c r="G887" s="19" t="s">
        <v>545</v>
      </c>
      <c r="H887" s="19">
        <v>5.5</v>
      </c>
      <c r="I887" s="41">
        <v>366</v>
      </c>
      <c r="J887" s="42"/>
      <c r="K887" s="43"/>
      <c r="L887" s="19"/>
      <c r="M887" s="43"/>
      <c r="N887" s="44"/>
      <c r="O887" s="45">
        <f t="shared" si="533"/>
        <v>366</v>
      </c>
      <c r="P887" s="91"/>
      <c r="Q887" s="91"/>
      <c r="R887" s="74">
        <f t="shared" si="536"/>
        <v>265.633449074074</v>
      </c>
      <c r="S887" s="74"/>
      <c r="T887" s="75">
        <f t="shared" si="537"/>
        <v>0.397858796296296</v>
      </c>
      <c r="U887" s="74"/>
      <c r="V887" s="74"/>
      <c r="W887" s="76">
        <f t="shared" si="534"/>
        <v>266.03130787037</v>
      </c>
      <c r="X887" s="110">
        <f t="shared" si="538"/>
        <v>5.2404369212963</v>
      </c>
      <c r="Y887" s="77"/>
      <c r="Z887" s="77"/>
      <c r="AA887" s="77">
        <f t="shared" si="535"/>
        <v>5.2404369212963</v>
      </c>
      <c r="AB887" s="87">
        <v>7.26</v>
      </c>
      <c r="AC887" s="74">
        <f t="shared" si="531"/>
        <v>38.0455720486111</v>
      </c>
      <c r="AD887" s="74">
        <f t="shared" si="532"/>
        <v>304.076879918981</v>
      </c>
      <c r="AE887" s="74">
        <f t="shared" si="530"/>
        <v>61.923120081019</v>
      </c>
    </row>
    <row r="888" customFormat="1" spans="1:31">
      <c r="A888" s="18"/>
      <c r="B888" s="19"/>
      <c r="C888" s="107">
        <v>240722000051</v>
      </c>
      <c r="D888" s="21">
        <v>45504</v>
      </c>
      <c r="E888" s="21" t="s">
        <v>58</v>
      </c>
      <c r="F888" s="19" t="s">
        <v>59</v>
      </c>
      <c r="G888" s="19" t="s">
        <v>140</v>
      </c>
      <c r="H888" s="19">
        <v>7.5</v>
      </c>
      <c r="I888" s="47"/>
      <c r="J888" s="48">
        <v>104312</v>
      </c>
      <c r="K888" s="43"/>
      <c r="L888" s="49">
        <f>SUM(J888/M888)</f>
        <v>1604.5531456699</v>
      </c>
      <c r="M888" s="50">
        <v>65.01</v>
      </c>
      <c r="N888" s="44">
        <v>7.26</v>
      </c>
      <c r="O888" s="45">
        <f>SUM(M888*N888)</f>
        <v>471.9726</v>
      </c>
      <c r="P888" s="91"/>
      <c r="Q888" s="91"/>
      <c r="R888" s="74">
        <f t="shared" si="536"/>
        <v>362.227430555556</v>
      </c>
      <c r="S888" s="74"/>
      <c r="T888" s="75">
        <f t="shared" si="537"/>
        <v>0.542534722222222</v>
      </c>
      <c r="U888" s="74"/>
      <c r="V888" s="74"/>
      <c r="W888" s="76">
        <f t="shared" si="534"/>
        <v>362.769965277778</v>
      </c>
      <c r="X888" s="110">
        <f t="shared" si="538"/>
        <v>7.14605034722222</v>
      </c>
      <c r="Y888" s="77"/>
      <c r="Z888" s="77"/>
      <c r="AA888" s="77">
        <f t="shared" si="535"/>
        <v>7.14605034722222</v>
      </c>
      <c r="AB888" s="87">
        <v>7.26</v>
      </c>
      <c r="AC888" s="74">
        <f t="shared" si="531"/>
        <v>51.8803255208333</v>
      </c>
      <c r="AD888" s="74">
        <f t="shared" si="532"/>
        <v>414.650290798611</v>
      </c>
      <c r="AE888" s="74">
        <f t="shared" si="530"/>
        <v>57.322309201389</v>
      </c>
    </row>
    <row r="889" customFormat="1" spans="1:31">
      <c r="A889" s="18"/>
      <c r="B889" s="19"/>
      <c r="C889" s="109">
        <v>240723000012</v>
      </c>
      <c r="D889" s="23">
        <v>45504</v>
      </c>
      <c r="E889" s="23" t="s">
        <v>40</v>
      </c>
      <c r="F889" s="24" t="s">
        <v>41</v>
      </c>
      <c r="G889" s="24" t="s">
        <v>546</v>
      </c>
      <c r="H889" s="24">
        <v>60.5</v>
      </c>
      <c r="I889" s="53">
        <v>17980</v>
      </c>
      <c r="J889" s="42"/>
      <c r="K889" s="43"/>
      <c r="L889" s="19"/>
      <c r="M889" s="43"/>
      <c r="N889" s="44"/>
      <c r="O889" s="45">
        <v>17980</v>
      </c>
      <c r="P889" s="91"/>
      <c r="Q889" s="91"/>
      <c r="R889" s="74">
        <f t="shared" si="536"/>
        <v>2921.96793981481</v>
      </c>
      <c r="S889" s="74"/>
      <c r="T889" s="75">
        <f t="shared" si="537"/>
        <v>4.37644675925926</v>
      </c>
      <c r="U889" s="75">
        <f>SUM(170+130)</f>
        <v>300</v>
      </c>
      <c r="V889" s="74"/>
      <c r="W889" s="76">
        <f t="shared" si="534"/>
        <v>3226.34438657407</v>
      </c>
      <c r="X889" s="110">
        <f t="shared" si="538"/>
        <v>57.6448061342593</v>
      </c>
      <c r="Y889" s="77"/>
      <c r="Z889" s="77">
        <v>1447.04</v>
      </c>
      <c r="AA889" s="77">
        <f t="shared" si="535"/>
        <v>1504.68480613426</v>
      </c>
      <c r="AB889" s="87">
        <v>7.26</v>
      </c>
      <c r="AC889" s="74">
        <f t="shared" si="531"/>
        <v>10924.0116925347</v>
      </c>
      <c r="AD889" s="74">
        <f t="shared" si="532"/>
        <v>14150.3560791088</v>
      </c>
      <c r="AE889" s="74">
        <f t="shared" si="530"/>
        <v>3829.6439208912</v>
      </c>
    </row>
    <row r="890" customFormat="1" spans="1:31">
      <c r="A890" s="18"/>
      <c r="B890" s="19"/>
      <c r="C890" s="107">
        <v>240723000015</v>
      </c>
      <c r="D890" s="21">
        <v>45504</v>
      </c>
      <c r="E890" s="21" t="s">
        <v>58</v>
      </c>
      <c r="F890" s="19" t="s">
        <v>59</v>
      </c>
      <c r="G890" s="19" t="s">
        <v>135</v>
      </c>
      <c r="H890" s="19">
        <v>13</v>
      </c>
      <c r="I890" s="41">
        <v>907</v>
      </c>
      <c r="J890" s="42"/>
      <c r="K890" s="43"/>
      <c r="L890" s="19"/>
      <c r="M890" s="43"/>
      <c r="N890" s="44"/>
      <c r="O890" s="45">
        <f t="shared" ref="O889:O895" si="539">SUM(I890)</f>
        <v>907</v>
      </c>
      <c r="P890" s="91"/>
      <c r="Q890" s="91"/>
      <c r="R890" s="74">
        <f t="shared" si="536"/>
        <v>627.86087962963</v>
      </c>
      <c r="S890" s="74"/>
      <c r="T890" s="75">
        <f t="shared" si="537"/>
        <v>0.940393518518519</v>
      </c>
      <c r="U890" s="74"/>
      <c r="V890" s="74"/>
      <c r="W890" s="76">
        <f t="shared" si="534"/>
        <v>628.801273148148</v>
      </c>
      <c r="X890" s="110">
        <f t="shared" si="538"/>
        <v>12.3864872685185</v>
      </c>
      <c r="Y890" s="77"/>
      <c r="Z890" s="77"/>
      <c r="AA890" s="77">
        <f t="shared" si="535"/>
        <v>12.3864872685185</v>
      </c>
      <c r="AB890" s="87">
        <v>7.26</v>
      </c>
      <c r="AC890" s="74">
        <f t="shared" si="531"/>
        <v>89.9258975694445</v>
      </c>
      <c r="AD890" s="74">
        <f t="shared" si="532"/>
        <v>718.727170717593</v>
      </c>
      <c r="AE890" s="74">
        <f t="shared" si="530"/>
        <v>188.272829282407</v>
      </c>
    </row>
    <row r="891" customFormat="1" spans="1:31">
      <c r="A891" s="18"/>
      <c r="B891" s="19"/>
      <c r="C891" s="107">
        <v>240723000021</v>
      </c>
      <c r="D891" s="21">
        <v>45504</v>
      </c>
      <c r="E891" s="21" t="s">
        <v>40</v>
      </c>
      <c r="F891" s="19" t="s">
        <v>41</v>
      </c>
      <c r="G891" s="19" t="s">
        <v>255</v>
      </c>
      <c r="H891" s="19">
        <v>26</v>
      </c>
      <c r="I891" s="41">
        <v>1930</v>
      </c>
      <c r="J891" s="42"/>
      <c r="K891" s="43"/>
      <c r="L891" s="19"/>
      <c r="M891" s="43"/>
      <c r="N891" s="44"/>
      <c r="O891" s="45">
        <f t="shared" si="539"/>
        <v>1930</v>
      </c>
      <c r="P891" s="91"/>
      <c r="Q891" s="91"/>
      <c r="R891" s="74">
        <f t="shared" si="536"/>
        <v>1255.72175925926</v>
      </c>
      <c r="S891" s="74"/>
      <c r="T891" s="75">
        <f t="shared" si="537"/>
        <v>1.88078703703704</v>
      </c>
      <c r="U891" s="74">
        <v>40</v>
      </c>
      <c r="V891" s="74"/>
      <c r="W891" s="76">
        <f t="shared" si="534"/>
        <v>1297.6025462963</v>
      </c>
      <c r="X891" s="110">
        <f t="shared" si="538"/>
        <v>24.772974537037</v>
      </c>
      <c r="Y891" s="77">
        <v>20.66</v>
      </c>
      <c r="Z891" s="77"/>
      <c r="AA891" s="77">
        <f t="shared" si="535"/>
        <v>45.432974537037</v>
      </c>
      <c r="AB891" s="87">
        <v>7.26</v>
      </c>
      <c r="AC891" s="74">
        <f t="shared" si="531"/>
        <v>329.843395138889</v>
      </c>
      <c r="AD891" s="74">
        <f t="shared" si="532"/>
        <v>1627.44594143518</v>
      </c>
      <c r="AE891" s="74">
        <f t="shared" si="530"/>
        <v>302.55405856482</v>
      </c>
    </row>
    <row r="892" customFormat="1" spans="1:31">
      <c r="A892" s="18"/>
      <c r="B892" s="19"/>
      <c r="C892" s="107">
        <v>240723000032</v>
      </c>
      <c r="D892" s="21">
        <v>45504</v>
      </c>
      <c r="E892" s="21" t="s">
        <v>58</v>
      </c>
      <c r="F892" s="19" t="s">
        <v>59</v>
      </c>
      <c r="G892" s="19" t="s">
        <v>547</v>
      </c>
      <c r="H892" s="19">
        <v>0.74</v>
      </c>
      <c r="I892" s="41">
        <v>69</v>
      </c>
      <c r="J892" s="42"/>
      <c r="K892" s="43"/>
      <c r="L892" s="19"/>
      <c r="M892" s="43"/>
      <c r="N892" s="44"/>
      <c r="O892" s="45">
        <f t="shared" si="539"/>
        <v>69</v>
      </c>
      <c r="P892" s="91"/>
      <c r="Q892" s="91"/>
      <c r="R892" s="74">
        <f t="shared" si="536"/>
        <v>35.7397731481481</v>
      </c>
      <c r="S892" s="74"/>
      <c r="T892" s="75">
        <f t="shared" si="537"/>
        <v>0.0535300925925926</v>
      </c>
      <c r="U892" s="74"/>
      <c r="V892" s="74"/>
      <c r="W892" s="76">
        <f t="shared" si="534"/>
        <v>35.7933032407407</v>
      </c>
      <c r="X892" s="110">
        <f t="shared" si="538"/>
        <v>0.705076967592593</v>
      </c>
      <c r="Y892" s="77"/>
      <c r="Z892" s="77"/>
      <c r="AA892" s="77">
        <f t="shared" si="535"/>
        <v>0.705076967592593</v>
      </c>
      <c r="AB892" s="87">
        <v>7.26</v>
      </c>
      <c r="AC892" s="74">
        <f t="shared" si="531"/>
        <v>5.11885878472222</v>
      </c>
      <c r="AD892" s="74">
        <f t="shared" si="532"/>
        <v>40.912162025463</v>
      </c>
      <c r="AE892" s="74">
        <f t="shared" si="530"/>
        <v>28.087837974537</v>
      </c>
    </row>
    <row r="893" customFormat="1" spans="1:31">
      <c r="A893" s="18"/>
      <c r="B893" s="19"/>
      <c r="C893" s="107">
        <v>240723000034</v>
      </c>
      <c r="D893" s="21">
        <v>45504</v>
      </c>
      <c r="E893" s="21" t="s">
        <v>58</v>
      </c>
      <c r="F893" s="19" t="s">
        <v>59</v>
      </c>
      <c r="G893" s="19" t="s">
        <v>527</v>
      </c>
      <c r="H893" s="19">
        <v>7.5</v>
      </c>
      <c r="I893" s="41">
        <v>498</v>
      </c>
      <c r="J893" s="42"/>
      <c r="K893" s="43"/>
      <c r="L893" s="19"/>
      <c r="M893" s="43"/>
      <c r="N893" s="44"/>
      <c r="O893" s="45">
        <f t="shared" si="539"/>
        <v>498</v>
      </c>
      <c r="P893" s="91"/>
      <c r="Q893" s="91"/>
      <c r="R893" s="74">
        <f t="shared" si="536"/>
        <v>362.227430555556</v>
      </c>
      <c r="S893" s="74"/>
      <c r="T893" s="75">
        <f t="shared" si="537"/>
        <v>0.542534722222222</v>
      </c>
      <c r="U893" s="74"/>
      <c r="V893" s="74"/>
      <c r="W893" s="76">
        <f t="shared" si="534"/>
        <v>362.769965277778</v>
      </c>
      <c r="X893" s="110">
        <f t="shared" si="538"/>
        <v>7.14605034722222</v>
      </c>
      <c r="Y893" s="77"/>
      <c r="Z893" s="77"/>
      <c r="AA893" s="77">
        <f t="shared" si="535"/>
        <v>7.14605034722222</v>
      </c>
      <c r="AB893" s="87">
        <v>7.26</v>
      </c>
      <c r="AC893" s="74">
        <f t="shared" si="531"/>
        <v>51.8803255208333</v>
      </c>
      <c r="AD893" s="74">
        <f t="shared" si="532"/>
        <v>414.650290798611</v>
      </c>
      <c r="AE893" s="74">
        <f t="shared" si="530"/>
        <v>83.349709201389</v>
      </c>
    </row>
    <row r="894" customFormat="1" spans="1:31">
      <c r="A894" s="18"/>
      <c r="B894" s="19"/>
      <c r="C894" s="107">
        <v>240723000035</v>
      </c>
      <c r="D894" s="21">
        <v>45504</v>
      </c>
      <c r="E894" s="21" t="s">
        <v>58</v>
      </c>
      <c r="F894" s="19" t="s">
        <v>59</v>
      </c>
      <c r="G894" s="19" t="s">
        <v>545</v>
      </c>
      <c r="H894" s="19">
        <v>10.5</v>
      </c>
      <c r="I894" s="41">
        <v>664</v>
      </c>
      <c r="J894" s="42"/>
      <c r="K894" s="43"/>
      <c r="L894" s="19"/>
      <c r="M894" s="43"/>
      <c r="N894" s="44"/>
      <c r="O894" s="45">
        <f t="shared" si="539"/>
        <v>664</v>
      </c>
      <c r="P894" s="91"/>
      <c r="Q894" s="91"/>
      <c r="R894" s="74">
        <f t="shared" si="536"/>
        <v>507.118402777778</v>
      </c>
      <c r="S894" s="74"/>
      <c r="T894" s="75">
        <f t="shared" si="537"/>
        <v>0.759548611111111</v>
      </c>
      <c r="U894" s="74"/>
      <c r="V894" s="74"/>
      <c r="W894" s="76">
        <f t="shared" si="534"/>
        <v>507.877951388889</v>
      </c>
      <c r="X894" s="110">
        <f t="shared" si="538"/>
        <v>10.0044704861111</v>
      </c>
      <c r="Y894" s="77"/>
      <c r="Z894" s="77"/>
      <c r="AA894" s="77">
        <f t="shared" si="535"/>
        <v>10.0044704861111</v>
      </c>
      <c r="AB894" s="87">
        <v>7.26</v>
      </c>
      <c r="AC894" s="74">
        <f t="shared" si="531"/>
        <v>72.6324557291667</v>
      </c>
      <c r="AD894" s="74">
        <f t="shared" si="532"/>
        <v>580.510407118055</v>
      </c>
      <c r="AE894" s="74">
        <f t="shared" si="530"/>
        <v>83.489592881945</v>
      </c>
    </row>
    <row r="895" customFormat="1" spans="1:31">
      <c r="A895" s="18"/>
      <c r="B895" s="19"/>
      <c r="C895" s="107">
        <v>240723000049</v>
      </c>
      <c r="D895" s="21">
        <v>45504</v>
      </c>
      <c r="E895" s="21" t="s">
        <v>44</v>
      </c>
      <c r="F895" s="19" t="s">
        <v>45</v>
      </c>
      <c r="G895" s="19" t="s">
        <v>548</v>
      </c>
      <c r="H895" s="19">
        <v>8.5</v>
      </c>
      <c r="I895" s="41">
        <v>596</v>
      </c>
      <c r="J895" s="42"/>
      <c r="K895" s="43"/>
      <c r="L895" s="19"/>
      <c r="M895" s="43"/>
      <c r="N895" s="44"/>
      <c r="O895" s="45">
        <f t="shared" si="539"/>
        <v>596</v>
      </c>
      <c r="P895" s="91"/>
      <c r="Q895" s="91"/>
      <c r="R895" s="74">
        <f t="shared" si="536"/>
        <v>410.524421296296</v>
      </c>
      <c r="S895" s="74"/>
      <c r="T895" s="75">
        <f t="shared" si="537"/>
        <v>0.614872685185185</v>
      </c>
      <c r="U895" s="74"/>
      <c r="V895" s="74"/>
      <c r="W895" s="76">
        <f t="shared" si="534"/>
        <v>411.139293981481</v>
      </c>
      <c r="X895" s="110">
        <f t="shared" si="538"/>
        <v>8.09885706018519</v>
      </c>
      <c r="Y895" s="77"/>
      <c r="Z895" s="77"/>
      <c r="AA895" s="77">
        <f t="shared" si="535"/>
        <v>8.09885706018519</v>
      </c>
      <c r="AB895" s="87">
        <v>7.26</v>
      </c>
      <c r="AC895" s="74">
        <f t="shared" si="531"/>
        <v>58.7977022569444</v>
      </c>
      <c r="AD895" s="74">
        <f t="shared" si="532"/>
        <v>469.936996238426</v>
      </c>
      <c r="AE895" s="74">
        <f t="shared" si="530"/>
        <v>126.063003761574</v>
      </c>
    </row>
    <row r="896" customFormat="1" spans="1:31">
      <c r="A896" s="18"/>
      <c r="B896" s="19"/>
      <c r="C896" s="107">
        <v>240723000052</v>
      </c>
      <c r="D896" s="21">
        <v>45504</v>
      </c>
      <c r="E896" s="21" t="s">
        <v>47</v>
      </c>
      <c r="F896" s="19" t="s">
        <v>48</v>
      </c>
      <c r="G896" s="19" t="s">
        <v>439</v>
      </c>
      <c r="H896" s="19">
        <v>3</v>
      </c>
      <c r="I896" s="45"/>
      <c r="J896" s="48">
        <v>57749</v>
      </c>
      <c r="K896" s="43"/>
      <c r="L896" s="49">
        <f>SUM(J896/M896)</f>
        <v>1623.98771788457</v>
      </c>
      <c r="M896" s="50">
        <v>35.559998</v>
      </c>
      <c r="N896" s="44">
        <v>7.26</v>
      </c>
      <c r="O896" s="45">
        <f>SUM(M896*N896)</f>
        <v>258.16558548</v>
      </c>
      <c r="P896" s="91"/>
      <c r="Q896" s="91"/>
      <c r="R896" s="74">
        <f t="shared" si="536"/>
        <v>144.890972222222</v>
      </c>
      <c r="S896" s="74"/>
      <c r="T896" s="75">
        <f t="shared" si="537"/>
        <v>0.217013888888889</v>
      </c>
      <c r="U896" s="74"/>
      <c r="V896" s="74"/>
      <c r="W896" s="76">
        <f t="shared" si="534"/>
        <v>145.107986111111</v>
      </c>
      <c r="X896" s="110">
        <f t="shared" si="538"/>
        <v>2.85842013888889</v>
      </c>
      <c r="Y896" s="77"/>
      <c r="Z896" s="77"/>
      <c r="AA896" s="77">
        <f t="shared" si="535"/>
        <v>2.85842013888889</v>
      </c>
      <c r="AB896" s="87">
        <v>7.26</v>
      </c>
      <c r="AC896" s="74">
        <f t="shared" si="531"/>
        <v>20.7521302083333</v>
      </c>
      <c r="AD896" s="74">
        <f t="shared" si="532"/>
        <v>165.860116319444</v>
      </c>
      <c r="AE896" s="74">
        <f t="shared" si="530"/>
        <v>92.305469160556</v>
      </c>
    </row>
    <row r="897" customFormat="1" spans="1:31">
      <c r="A897" s="111"/>
      <c r="B897" s="19"/>
      <c r="C897" s="107">
        <v>240723000064</v>
      </c>
      <c r="D897" s="21">
        <v>45504</v>
      </c>
      <c r="E897" s="21" t="s">
        <v>44</v>
      </c>
      <c r="F897" s="19" t="s">
        <v>209</v>
      </c>
      <c r="G897" s="19" t="s">
        <v>210</v>
      </c>
      <c r="H897" s="19">
        <v>4.5</v>
      </c>
      <c r="I897" s="41">
        <v>330</v>
      </c>
      <c r="J897" s="42"/>
      <c r="K897" s="43"/>
      <c r="L897" s="19"/>
      <c r="M897" s="43"/>
      <c r="N897" s="44"/>
      <c r="O897" s="45">
        <f t="shared" ref="O897:O904" si="540">SUM(I897)</f>
        <v>330</v>
      </c>
      <c r="P897" s="91"/>
      <c r="Q897" s="91"/>
      <c r="R897" s="74">
        <f t="shared" si="536"/>
        <v>217.336458333333</v>
      </c>
      <c r="S897" s="74"/>
      <c r="T897" s="75">
        <f t="shared" si="537"/>
        <v>0.325520833333333</v>
      </c>
      <c r="U897" s="74"/>
      <c r="V897" s="74"/>
      <c r="W897" s="76">
        <f t="shared" si="534"/>
        <v>217.661979166667</v>
      </c>
      <c r="X897" s="110">
        <f t="shared" si="538"/>
        <v>4.28763020833333</v>
      </c>
      <c r="Y897" s="77"/>
      <c r="Z897" s="77"/>
      <c r="AA897" s="77">
        <f t="shared" si="535"/>
        <v>4.28763020833333</v>
      </c>
      <c r="AB897" s="87">
        <v>7.26</v>
      </c>
      <c r="AC897" s="74">
        <f t="shared" si="531"/>
        <v>31.1281953125</v>
      </c>
      <c r="AD897" s="74">
        <f t="shared" si="532"/>
        <v>248.790174479167</v>
      </c>
      <c r="AE897" s="74">
        <f t="shared" si="530"/>
        <v>81.209825520833</v>
      </c>
    </row>
    <row r="898" customFormat="1" spans="1:31">
      <c r="A898" s="18"/>
      <c r="B898" s="19"/>
      <c r="C898" s="107">
        <v>240724000001</v>
      </c>
      <c r="D898" s="21">
        <v>45504</v>
      </c>
      <c r="E898" s="21" t="s">
        <v>58</v>
      </c>
      <c r="F898" s="19" t="s">
        <v>59</v>
      </c>
      <c r="G898" s="19" t="s">
        <v>490</v>
      </c>
      <c r="H898" s="19">
        <v>0.62</v>
      </c>
      <c r="I898" s="41">
        <v>69</v>
      </c>
      <c r="J898" s="42"/>
      <c r="K898" s="43"/>
      <c r="L898" s="19"/>
      <c r="M898" s="43"/>
      <c r="N898" s="44"/>
      <c r="O898" s="45">
        <f t="shared" si="540"/>
        <v>69</v>
      </c>
      <c r="P898" s="91"/>
      <c r="Q898" s="91"/>
      <c r="R898" s="74">
        <f t="shared" si="536"/>
        <v>29.9441342592593</v>
      </c>
      <c r="S898" s="74"/>
      <c r="T898" s="75">
        <f t="shared" si="537"/>
        <v>0.044849537037037</v>
      </c>
      <c r="U898" s="74"/>
      <c r="V898" s="74"/>
      <c r="W898" s="76">
        <f t="shared" si="534"/>
        <v>29.9889837962963</v>
      </c>
      <c r="X898" s="110">
        <f t="shared" si="538"/>
        <v>0.590740162037037</v>
      </c>
      <c r="Y898" s="77"/>
      <c r="Z898" s="77"/>
      <c r="AA898" s="77">
        <f t="shared" si="535"/>
        <v>0.590740162037037</v>
      </c>
      <c r="AB898" s="87">
        <v>7.26</v>
      </c>
      <c r="AC898" s="74">
        <f t="shared" si="531"/>
        <v>4.28877357638889</v>
      </c>
      <c r="AD898" s="74">
        <f t="shared" si="532"/>
        <v>34.2777573726852</v>
      </c>
      <c r="AE898" s="74">
        <f t="shared" si="530"/>
        <v>34.7222426273148</v>
      </c>
    </row>
    <row r="899" customFormat="1" spans="1:31">
      <c r="A899" s="18"/>
      <c r="B899" s="19"/>
      <c r="C899" s="107">
        <v>240724000003</v>
      </c>
      <c r="D899" s="21">
        <v>45504</v>
      </c>
      <c r="E899" s="21" t="s">
        <v>58</v>
      </c>
      <c r="F899" s="19" t="s">
        <v>59</v>
      </c>
      <c r="G899" s="19" t="s">
        <v>234</v>
      </c>
      <c r="H899" s="19">
        <v>2.5</v>
      </c>
      <c r="I899" s="41">
        <v>185</v>
      </c>
      <c r="J899" s="42"/>
      <c r="K899" s="43"/>
      <c r="L899" s="19"/>
      <c r="M899" s="43"/>
      <c r="N899" s="44"/>
      <c r="O899" s="45">
        <f t="shared" si="540"/>
        <v>185</v>
      </c>
      <c r="P899" s="91"/>
      <c r="Q899" s="91"/>
      <c r="R899" s="74">
        <f t="shared" si="536"/>
        <v>120.742476851852</v>
      </c>
      <c r="S899" s="74"/>
      <c r="T899" s="75">
        <f t="shared" si="537"/>
        <v>0.180844907407407</v>
      </c>
      <c r="U899" s="74"/>
      <c r="V899" s="74"/>
      <c r="W899" s="76">
        <f t="shared" si="534"/>
        <v>120.923321759259</v>
      </c>
      <c r="X899" s="110">
        <f t="shared" si="538"/>
        <v>2.38201678240741</v>
      </c>
      <c r="Y899" s="77"/>
      <c r="Z899" s="77"/>
      <c r="AA899" s="77">
        <f t="shared" si="535"/>
        <v>2.38201678240741</v>
      </c>
      <c r="AB899" s="87">
        <v>7.26</v>
      </c>
      <c r="AC899" s="74">
        <f t="shared" si="531"/>
        <v>17.2934418402778</v>
      </c>
      <c r="AD899" s="74">
        <f t="shared" si="532"/>
        <v>138.216763599537</v>
      </c>
      <c r="AE899" s="74">
        <f t="shared" si="530"/>
        <v>46.783236400463</v>
      </c>
    </row>
    <row r="900" customFormat="1" spans="1:31">
      <c r="A900" s="18"/>
      <c r="B900" s="19"/>
      <c r="C900" s="107">
        <v>240724000004</v>
      </c>
      <c r="D900" s="21">
        <v>45504</v>
      </c>
      <c r="E900" s="21" t="s">
        <v>40</v>
      </c>
      <c r="F900" s="19" t="s">
        <v>41</v>
      </c>
      <c r="G900" s="19" t="s">
        <v>277</v>
      </c>
      <c r="H900" s="19">
        <v>1.5</v>
      </c>
      <c r="I900" s="41">
        <v>105</v>
      </c>
      <c r="J900" s="42"/>
      <c r="K900" s="43"/>
      <c r="L900" s="19"/>
      <c r="M900" s="43"/>
      <c r="N900" s="44"/>
      <c r="O900" s="45">
        <f t="shared" si="540"/>
        <v>105</v>
      </c>
      <c r="P900" s="91"/>
      <c r="Q900" s="91"/>
      <c r="R900" s="74">
        <f t="shared" si="536"/>
        <v>72.4454861111111</v>
      </c>
      <c r="S900" s="74"/>
      <c r="T900" s="75">
        <f t="shared" si="537"/>
        <v>0.108506944444444</v>
      </c>
      <c r="U900" s="74"/>
      <c r="V900" s="74"/>
      <c r="W900" s="76">
        <f t="shared" si="534"/>
        <v>72.5539930555556</v>
      </c>
      <c r="X900" s="110">
        <f t="shared" si="538"/>
        <v>1.42921006944444</v>
      </c>
      <c r="Y900" s="77"/>
      <c r="Z900" s="77"/>
      <c r="AA900" s="77">
        <f t="shared" si="535"/>
        <v>1.42921006944444</v>
      </c>
      <c r="AB900" s="87">
        <v>7.26</v>
      </c>
      <c r="AC900" s="74">
        <f t="shared" si="531"/>
        <v>10.3760651041667</v>
      </c>
      <c r="AD900" s="74">
        <f t="shared" si="532"/>
        <v>82.9300581597222</v>
      </c>
      <c r="AE900" s="74">
        <f t="shared" si="530"/>
        <v>22.0699418402778</v>
      </c>
    </row>
    <row r="901" customFormat="1" spans="1:31">
      <c r="A901" s="18"/>
      <c r="B901" s="19"/>
      <c r="C901" s="107">
        <v>240724000010</v>
      </c>
      <c r="D901" s="21">
        <v>45504</v>
      </c>
      <c r="E901" s="21" t="s">
        <v>44</v>
      </c>
      <c r="F901" s="19" t="s">
        <v>45</v>
      </c>
      <c r="G901" s="19" t="s">
        <v>549</v>
      </c>
      <c r="H901" s="19">
        <v>2.5</v>
      </c>
      <c r="I901" s="41">
        <v>184.8</v>
      </c>
      <c r="J901" s="42"/>
      <c r="K901" s="43"/>
      <c r="L901" s="19"/>
      <c r="M901" s="43"/>
      <c r="N901" s="44"/>
      <c r="O901" s="45">
        <f t="shared" si="540"/>
        <v>184.8</v>
      </c>
      <c r="P901" s="91"/>
      <c r="Q901" s="91"/>
      <c r="R901" s="74">
        <f t="shared" si="536"/>
        <v>120.742476851852</v>
      </c>
      <c r="S901" s="74"/>
      <c r="T901" s="75">
        <f t="shared" si="537"/>
        <v>0.180844907407407</v>
      </c>
      <c r="U901" s="74"/>
      <c r="V901" s="74"/>
      <c r="W901" s="76">
        <f t="shared" si="534"/>
        <v>120.923321759259</v>
      </c>
      <c r="X901" s="110">
        <f t="shared" si="538"/>
        <v>2.38201678240741</v>
      </c>
      <c r="Y901" s="77"/>
      <c r="Z901" s="77"/>
      <c r="AA901" s="77">
        <f t="shared" si="535"/>
        <v>2.38201678240741</v>
      </c>
      <c r="AB901" s="87">
        <v>7.26</v>
      </c>
      <c r="AC901" s="74">
        <f t="shared" si="531"/>
        <v>17.2934418402778</v>
      </c>
      <c r="AD901" s="74">
        <f t="shared" si="532"/>
        <v>138.216763599537</v>
      </c>
      <c r="AE901" s="74">
        <f t="shared" si="530"/>
        <v>46.583236400463</v>
      </c>
    </row>
    <row r="902" customFormat="1" spans="1:31">
      <c r="A902" s="18"/>
      <c r="B902" s="19"/>
      <c r="C902" s="107">
        <v>240724000027</v>
      </c>
      <c r="D902" s="21">
        <v>45504</v>
      </c>
      <c r="E902" s="21" t="s">
        <v>44</v>
      </c>
      <c r="F902" s="19" t="s">
        <v>45</v>
      </c>
      <c r="G902" s="19" t="s">
        <v>550</v>
      </c>
      <c r="H902" s="19">
        <v>10.5</v>
      </c>
      <c r="I902" s="41">
        <v>1307</v>
      </c>
      <c r="J902" s="42"/>
      <c r="K902" s="43"/>
      <c r="L902" s="19"/>
      <c r="M902" s="43"/>
      <c r="N902" s="44"/>
      <c r="O902" s="45">
        <f t="shared" si="540"/>
        <v>1307</v>
      </c>
      <c r="P902" s="91"/>
      <c r="Q902" s="91"/>
      <c r="R902" s="74">
        <f t="shared" si="536"/>
        <v>507.118402777778</v>
      </c>
      <c r="S902" s="74"/>
      <c r="T902" s="75">
        <f t="shared" si="537"/>
        <v>0.759548611111111</v>
      </c>
      <c r="U902" s="74"/>
      <c r="V902" s="75">
        <v>47</v>
      </c>
      <c r="W902" s="76">
        <f t="shared" si="534"/>
        <v>554.877951388889</v>
      </c>
      <c r="X902" s="110">
        <f t="shared" si="538"/>
        <v>10.0044704861111</v>
      </c>
      <c r="Y902" s="77"/>
      <c r="Z902" s="77"/>
      <c r="AA902" s="77">
        <f t="shared" si="535"/>
        <v>10.0044704861111</v>
      </c>
      <c r="AB902" s="87">
        <v>7.26</v>
      </c>
      <c r="AC902" s="74">
        <f t="shared" si="531"/>
        <v>72.6324557291667</v>
      </c>
      <c r="AD902" s="74">
        <f t="shared" si="532"/>
        <v>627.510407118055</v>
      </c>
      <c r="AE902" s="74">
        <f t="shared" si="530"/>
        <v>679.489592881945</v>
      </c>
    </row>
    <row r="903" customFormat="1" spans="1:31">
      <c r="A903" s="18"/>
      <c r="B903" s="19"/>
      <c r="C903" s="107">
        <v>240724000028</v>
      </c>
      <c r="D903" s="21">
        <v>45504</v>
      </c>
      <c r="E903" s="21" t="s">
        <v>47</v>
      </c>
      <c r="F903" s="19" t="s">
        <v>551</v>
      </c>
      <c r="G903" s="19" t="s">
        <v>552</v>
      </c>
      <c r="H903" s="19">
        <v>1.5</v>
      </c>
      <c r="I903" s="41">
        <v>130.2</v>
      </c>
      <c r="J903" s="42"/>
      <c r="K903" s="43"/>
      <c r="L903" s="19"/>
      <c r="M903" s="43"/>
      <c r="N903" s="44"/>
      <c r="O903" s="45">
        <f t="shared" si="540"/>
        <v>130.2</v>
      </c>
      <c r="P903" s="91"/>
      <c r="Q903" s="91"/>
      <c r="R903" s="74">
        <f t="shared" si="536"/>
        <v>72.4454861111111</v>
      </c>
      <c r="S903" s="74"/>
      <c r="T903" s="75">
        <f t="shared" si="537"/>
        <v>0.108506944444444</v>
      </c>
      <c r="U903" s="74"/>
      <c r="V903" s="74"/>
      <c r="W903" s="76">
        <f t="shared" si="534"/>
        <v>72.5539930555556</v>
      </c>
      <c r="X903" s="110">
        <f t="shared" si="538"/>
        <v>1.42921006944444</v>
      </c>
      <c r="Y903" s="77"/>
      <c r="Z903" s="77"/>
      <c r="AA903" s="77">
        <f t="shared" si="535"/>
        <v>1.42921006944444</v>
      </c>
      <c r="AB903" s="87">
        <v>7.26</v>
      </c>
      <c r="AC903" s="74">
        <f t="shared" si="531"/>
        <v>10.3760651041667</v>
      </c>
      <c r="AD903" s="74">
        <f t="shared" si="532"/>
        <v>82.9300581597222</v>
      </c>
      <c r="AE903" s="74">
        <f t="shared" si="530"/>
        <v>47.2699418402778</v>
      </c>
    </row>
    <row r="904" customFormat="1" spans="1:31">
      <c r="A904" s="18"/>
      <c r="B904" s="19"/>
      <c r="C904" s="107">
        <v>240724000031</v>
      </c>
      <c r="D904" s="21">
        <v>45504</v>
      </c>
      <c r="E904" s="21" t="s">
        <v>55</v>
      </c>
      <c r="F904" s="19" t="s">
        <v>56</v>
      </c>
      <c r="G904" s="19" t="s">
        <v>553</v>
      </c>
      <c r="H904" s="19">
        <v>3</v>
      </c>
      <c r="I904" s="41">
        <v>256.3</v>
      </c>
      <c r="J904" s="42"/>
      <c r="K904" s="43"/>
      <c r="L904" s="19"/>
      <c r="M904" s="43"/>
      <c r="N904" s="44"/>
      <c r="O904" s="45">
        <f t="shared" si="540"/>
        <v>256.3</v>
      </c>
      <c r="P904" s="91"/>
      <c r="Q904" s="91"/>
      <c r="R904" s="74">
        <f t="shared" si="536"/>
        <v>144.890972222222</v>
      </c>
      <c r="S904" s="74"/>
      <c r="T904" s="75">
        <f t="shared" si="537"/>
        <v>0.217013888888889</v>
      </c>
      <c r="U904" s="74"/>
      <c r="V904" s="74"/>
      <c r="W904" s="76">
        <f t="shared" si="534"/>
        <v>145.107986111111</v>
      </c>
      <c r="X904" s="110">
        <f t="shared" si="538"/>
        <v>2.85842013888889</v>
      </c>
      <c r="Y904" s="77"/>
      <c r="Z904" s="77"/>
      <c r="AA904" s="77">
        <f t="shared" si="535"/>
        <v>2.85842013888889</v>
      </c>
      <c r="AB904" s="87">
        <v>7.26</v>
      </c>
      <c r="AC904" s="74">
        <f t="shared" si="531"/>
        <v>20.7521302083333</v>
      </c>
      <c r="AD904" s="74">
        <f t="shared" si="532"/>
        <v>165.860116319444</v>
      </c>
      <c r="AE904" s="74">
        <f t="shared" si="530"/>
        <v>90.439883680556</v>
      </c>
    </row>
    <row r="905" customFormat="1" spans="1:31">
      <c r="A905" s="18"/>
      <c r="B905" s="19"/>
      <c r="C905" s="107">
        <v>240724000037</v>
      </c>
      <c r="D905" s="21">
        <v>45504</v>
      </c>
      <c r="E905" s="21" t="s">
        <v>40</v>
      </c>
      <c r="F905" s="19" t="s">
        <v>41</v>
      </c>
      <c r="G905" s="19" t="s">
        <v>165</v>
      </c>
      <c r="H905" s="19">
        <v>8.5</v>
      </c>
      <c r="I905" s="47"/>
      <c r="J905" s="48">
        <v>115260</v>
      </c>
      <c r="K905" s="43"/>
      <c r="L905" s="49">
        <f>SUM(J905/M905)</f>
        <v>1640.94533029613</v>
      </c>
      <c r="M905" s="50">
        <v>70.24</v>
      </c>
      <c r="N905" s="44">
        <v>7.26</v>
      </c>
      <c r="O905" s="45">
        <f>SUM(M905*N905)</f>
        <v>509.9424</v>
      </c>
      <c r="P905" s="91"/>
      <c r="Q905" s="91"/>
      <c r="R905" s="74">
        <f t="shared" si="536"/>
        <v>410.524421296296</v>
      </c>
      <c r="S905" s="74"/>
      <c r="T905" s="75">
        <f t="shared" si="537"/>
        <v>0.614872685185185</v>
      </c>
      <c r="U905" s="74"/>
      <c r="V905" s="74"/>
      <c r="W905" s="76">
        <f t="shared" si="534"/>
        <v>411.139293981481</v>
      </c>
      <c r="X905" s="110">
        <f t="shared" si="538"/>
        <v>8.09885706018519</v>
      </c>
      <c r="Y905" s="77"/>
      <c r="Z905" s="77"/>
      <c r="AA905" s="77">
        <f t="shared" si="535"/>
        <v>8.09885706018519</v>
      </c>
      <c r="AB905" s="87">
        <v>7.26</v>
      </c>
      <c r="AC905" s="74">
        <f t="shared" si="531"/>
        <v>58.7977022569444</v>
      </c>
      <c r="AD905" s="74">
        <f t="shared" si="532"/>
        <v>469.936996238426</v>
      </c>
      <c r="AE905" s="74">
        <f t="shared" si="530"/>
        <v>40.005403761574</v>
      </c>
    </row>
    <row r="906" customFormat="1" spans="1:31">
      <c r="A906" s="18"/>
      <c r="B906" s="19"/>
      <c r="C906" s="107">
        <v>240724000040</v>
      </c>
      <c r="D906" s="23">
        <v>45504</v>
      </c>
      <c r="E906" s="21" t="s">
        <v>44</v>
      </c>
      <c r="F906" s="24" t="s">
        <v>45</v>
      </c>
      <c r="G906" s="24" t="s">
        <v>554</v>
      </c>
      <c r="H906" s="24">
        <v>3</v>
      </c>
      <c r="I906" s="53">
        <v>292.8</v>
      </c>
      <c r="J906" s="42"/>
      <c r="K906" s="43"/>
      <c r="L906" s="19"/>
      <c r="M906" s="43"/>
      <c r="N906" s="44"/>
      <c r="O906" s="45">
        <f t="shared" ref="O906:O911" si="541">SUM(I906)</f>
        <v>292.8</v>
      </c>
      <c r="P906" s="91"/>
      <c r="Q906" s="91"/>
      <c r="R906" s="74">
        <f t="shared" si="536"/>
        <v>144.890972222222</v>
      </c>
      <c r="S906" s="74"/>
      <c r="T906" s="75">
        <f t="shared" si="537"/>
        <v>0.217013888888889</v>
      </c>
      <c r="U906" s="74"/>
      <c r="V906" s="74"/>
      <c r="W906" s="76">
        <f t="shared" si="534"/>
        <v>145.107986111111</v>
      </c>
      <c r="X906" s="110">
        <f t="shared" si="538"/>
        <v>2.85842013888889</v>
      </c>
      <c r="Y906" s="77"/>
      <c r="Z906" s="77"/>
      <c r="AA906" s="77">
        <f t="shared" si="535"/>
        <v>2.85842013888889</v>
      </c>
      <c r="AB906" s="87">
        <v>7.26</v>
      </c>
      <c r="AC906" s="74">
        <f t="shared" si="531"/>
        <v>20.7521302083333</v>
      </c>
      <c r="AD906" s="74">
        <f t="shared" si="532"/>
        <v>165.860116319444</v>
      </c>
      <c r="AE906" s="74">
        <f t="shared" si="530"/>
        <v>126.939883680556</v>
      </c>
    </row>
    <row r="907" customFormat="1" spans="1:31">
      <c r="A907" s="18"/>
      <c r="B907" s="19"/>
      <c r="C907" s="107">
        <v>240724000041</v>
      </c>
      <c r="D907" s="21">
        <v>45504</v>
      </c>
      <c r="E907" s="21" t="s">
        <v>44</v>
      </c>
      <c r="F907" s="19" t="s">
        <v>45</v>
      </c>
      <c r="G907" s="19" t="s">
        <v>555</v>
      </c>
      <c r="H907" s="19">
        <v>8</v>
      </c>
      <c r="I907" s="41">
        <v>755</v>
      </c>
      <c r="J907" s="42"/>
      <c r="K907" s="43"/>
      <c r="L907" s="19"/>
      <c r="M907" s="43"/>
      <c r="N907" s="44"/>
      <c r="O907" s="45">
        <f t="shared" si="541"/>
        <v>755</v>
      </c>
      <c r="P907" s="91"/>
      <c r="Q907" s="91"/>
      <c r="R907" s="74">
        <f t="shared" si="536"/>
        <v>386.375925925926</v>
      </c>
      <c r="S907" s="74"/>
      <c r="T907" s="75">
        <f t="shared" si="537"/>
        <v>0.578703703703704</v>
      </c>
      <c r="U907" s="74"/>
      <c r="V907" s="74"/>
      <c r="W907" s="76">
        <f t="shared" si="534"/>
        <v>386.95462962963</v>
      </c>
      <c r="X907" s="110">
        <f t="shared" si="538"/>
        <v>7.6224537037037</v>
      </c>
      <c r="Y907" s="77">
        <v>4.82</v>
      </c>
      <c r="Z907" s="77"/>
      <c r="AA907" s="77">
        <f t="shared" si="535"/>
        <v>12.4424537037037</v>
      </c>
      <c r="AB907" s="87">
        <v>7.26</v>
      </c>
      <c r="AC907" s="74">
        <f t="shared" si="531"/>
        <v>90.3322138888889</v>
      </c>
      <c r="AD907" s="74">
        <f t="shared" si="532"/>
        <v>477.286843518518</v>
      </c>
      <c r="AE907" s="74">
        <f t="shared" si="530"/>
        <v>277.713156481482</v>
      </c>
    </row>
    <row r="908" customFormat="1" spans="1:31">
      <c r="A908" s="18"/>
      <c r="B908" s="19"/>
      <c r="C908" s="107">
        <v>240724000049</v>
      </c>
      <c r="D908" s="21">
        <v>45504</v>
      </c>
      <c r="E908" s="21" t="s">
        <v>37</v>
      </c>
      <c r="F908" s="19" t="s">
        <v>37</v>
      </c>
      <c r="G908" s="19" t="s">
        <v>428</v>
      </c>
      <c r="H908" s="19">
        <v>19.5</v>
      </c>
      <c r="I908" s="45"/>
      <c r="J908" s="42"/>
      <c r="K908" s="43"/>
      <c r="L908" s="19"/>
      <c r="M908" s="43">
        <v>170.45</v>
      </c>
      <c r="N908" s="44">
        <v>7.26</v>
      </c>
      <c r="O908" s="45">
        <f>SUM(M908*N908)</f>
        <v>1237.467</v>
      </c>
      <c r="P908" s="91"/>
      <c r="Q908" s="91"/>
      <c r="R908" s="74">
        <f t="shared" si="536"/>
        <v>941.791319444444</v>
      </c>
      <c r="S908" s="74"/>
      <c r="T908" s="75">
        <f t="shared" si="537"/>
        <v>1.41059027777778</v>
      </c>
      <c r="U908" s="74"/>
      <c r="V908" s="74"/>
      <c r="W908" s="76">
        <f t="shared" si="534"/>
        <v>943.201909722222</v>
      </c>
      <c r="X908" s="110">
        <f t="shared" si="538"/>
        <v>18.5797309027778</v>
      </c>
      <c r="Y908" s="77"/>
      <c r="Z908" s="77"/>
      <c r="AA908" s="77">
        <f t="shared" si="535"/>
        <v>18.5797309027778</v>
      </c>
      <c r="AB908" s="87">
        <v>7.26</v>
      </c>
      <c r="AC908" s="74">
        <f t="shared" si="531"/>
        <v>134.888846354167</v>
      </c>
      <c r="AD908" s="74">
        <f t="shared" si="532"/>
        <v>1078.09075607639</v>
      </c>
      <c r="AE908" s="74">
        <f t="shared" si="530"/>
        <v>159.37624392361</v>
      </c>
    </row>
    <row r="909" customFormat="1" spans="1:31">
      <c r="A909" s="18"/>
      <c r="B909" s="19"/>
      <c r="C909" s="107">
        <v>240724000052</v>
      </c>
      <c r="D909" s="21">
        <v>45504</v>
      </c>
      <c r="E909" s="21" t="s">
        <v>37</v>
      </c>
      <c r="F909" s="19" t="s">
        <v>37</v>
      </c>
      <c r="G909" s="19" t="s">
        <v>220</v>
      </c>
      <c r="H909" s="19">
        <v>14.5</v>
      </c>
      <c r="I909" s="41">
        <v>983.5</v>
      </c>
      <c r="J909" s="42"/>
      <c r="K909" s="43"/>
      <c r="L909" s="19"/>
      <c r="M909" s="43"/>
      <c r="N909" s="44"/>
      <c r="O909" s="45">
        <f t="shared" si="541"/>
        <v>983.5</v>
      </c>
      <c r="P909" s="91"/>
      <c r="Q909" s="91"/>
      <c r="R909" s="74">
        <f t="shared" si="536"/>
        <v>700.306365740741</v>
      </c>
      <c r="S909" s="74"/>
      <c r="T909" s="75">
        <f t="shared" si="537"/>
        <v>1.04890046296296</v>
      </c>
      <c r="U909" s="74"/>
      <c r="V909" s="74"/>
      <c r="W909" s="76">
        <f t="shared" si="534"/>
        <v>701.355266203704</v>
      </c>
      <c r="X909" s="110">
        <f t="shared" si="538"/>
        <v>13.815697337963</v>
      </c>
      <c r="Y909" s="77"/>
      <c r="Z909" s="77"/>
      <c r="AA909" s="77">
        <f t="shared" si="535"/>
        <v>13.815697337963</v>
      </c>
      <c r="AB909" s="87">
        <v>7.26</v>
      </c>
      <c r="AC909" s="74">
        <f t="shared" si="531"/>
        <v>100.301962673611</v>
      </c>
      <c r="AD909" s="74">
        <f t="shared" si="532"/>
        <v>801.657228877315</v>
      </c>
      <c r="AE909" s="74">
        <f t="shared" si="530"/>
        <v>181.842771122685</v>
      </c>
    </row>
    <row r="910" customFormat="1" spans="1:31">
      <c r="A910" s="18"/>
      <c r="B910" s="19"/>
      <c r="C910" s="107">
        <v>240725000001</v>
      </c>
      <c r="D910" s="21">
        <v>45504</v>
      </c>
      <c r="E910" s="21" t="s">
        <v>40</v>
      </c>
      <c r="F910" s="19" t="s">
        <v>41</v>
      </c>
      <c r="G910" s="19" t="s">
        <v>346</v>
      </c>
      <c r="H910" s="19">
        <v>3.5</v>
      </c>
      <c r="I910" s="41">
        <v>257.4</v>
      </c>
      <c r="J910" s="42"/>
      <c r="K910" s="43"/>
      <c r="L910" s="19"/>
      <c r="M910" s="43"/>
      <c r="N910" s="44"/>
      <c r="O910" s="45">
        <f t="shared" si="541"/>
        <v>257.4</v>
      </c>
      <c r="P910" s="91"/>
      <c r="Q910" s="91"/>
      <c r="R910" s="74">
        <f t="shared" si="536"/>
        <v>169.039467592593</v>
      </c>
      <c r="S910" s="74"/>
      <c r="T910" s="75">
        <f t="shared" si="537"/>
        <v>0.25318287037037</v>
      </c>
      <c r="U910" s="74"/>
      <c r="V910" s="74"/>
      <c r="W910" s="76">
        <f t="shared" si="534"/>
        <v>169.292650462963</v>
      </c>
      <c r="X910" s="110">
        <f t="shared" si="538"/>
        <v>3.33482349537037</v>
      </c>
      <c r="Y910" s="77"/>
      <c r="Z910" s="77"/>
      <c r="AA910" s="77">
        <f t="shared" si="535"/>
        <v>3.33482349537037</v>
      </c>
      <c r="AB910" s="87">
        <v>7.26</v>
      </c>
      <c r="AC910" s="74">
        <f t="shared" si="531"/>
        <v>24.2108185763889</v>
      </c>
      <c r="AD910" s="74">
        <f t="shared" si="532"/>
        <v>193.503469039352</v>
      </c>
      <c r="AE910" s="74">
        <f t="shared" si="530"/>
        <v>63.896530960648</v>
      </c>
    </row>
    <row r="911" customFormat="1" spans="1:31">
      <c r="A911" s="18"/>
      <c r="B911" s="19"/>
      <c r="C911" s="107">
        <v>240725000003</v>
      </c>
      <c r="D911" s="21">
        <v>45504</v>
      </c>
      <c r="E911" s="21" t="s">
        <v>40</v>
      </c>
      <c r="F911" s="19" t="s">
        <v>41</v>
      </c>
      <c r="G911" s="19" t="s">
        <v>145</v>
      </c>
      <c r="H911" s="19">
        <v>15</v>
      </c>
      <c r="I911" s="41">
        <v>975</v>
      </c>
      <c r="J911" s="42"/>
      <c r="K911" s="43"/>
      <c r="L911" s="19"/>
      <c r="M911" s="43"/>
      <c r="N911" s="44"/>
      <c r="O911" s="45">
        <f t="shared" si="541"/>
        <v>975</v>
      </c>
      <c r="P911" s="91"/>
      <c r="Q911" s="91"/>
      <c r="R911" s="74">
        <f t="shared" si="536"/>
        <v>724.454861111111</v>
      </c>
      <c r="S911" s="74"/>
      <c r="T911" s="75">
        <f t="shared" si="537"/>
        <v>1.08506944444444</v>
      </c>
      <c r="U911" s="74"/>
      <c r="V911" s="74"/>
      <c r="W911" s="76">
        <f t="shared" si="534"/>
        <v>725.539930555556</v>
      </c>
      <c r="X911" s="110">
        <f t="shared" si="538"/>
        <v>14.2921006944444</v>
      </c>
      <c r="Y911" s="77"/>
      <c r="Z911" s="77"/>
      <c r="AA911" s="77">
        <f t="shared" si="535"/>
        <v>14.2921006944444</v>
      </c>
      <c r="AB911" s="87">
        <v>7.26</v>
      </c>
      <c r="AC911" s="74">
        <f t="shared" si="531"/>
        <v>103.760651041667</v>
      </c>
      <c r="AD911" s="74">
        <f t="shared" si="532"/>
        <v>829.300581597222</v>
      </c>
      <c r="AE911" s="74">
        <f t="shared" si="530"/>
        <v>145.699418402778</v>
      </c>
    </row>
    <row r="912" customFormat="1" spans="1:31">
      <c r="A912" s="18"/>
      <c r="B912" s="19"/>
      <c r="C912" s="107">
        <v>240725000008</v>
      </c>
      <c r="D912" s="21">
        <v>45504</v>
      </c>
      <c r="E912" s="21" t="s">
        <v>44</v>
      </c>
      <c r="F912" s="19" t="s">
        <v>45</v>
      </c>
      <c r="G912" s="19" t="s">
        <v>556</v>
      </c>
      <c r="H912" s="19">
        <v>23</v>
      </c>
      <c r="I912" s="47"/>
      <c r="J912" s="48">
        <v>344936.8</v>
      </c>
      <c r="K912" s="43"/>
      <c r="L912" s="49">
        <f t="shared" ref="L912:L915" si="542">SUM(J912/M912)</f>
        <v>1604.50646571774</v>
      </c>
      <c r="M912" s="50">
        <v>214.98</v>
      </c>
      <c r="N912" s="44">
        <v>7.26</v>
      </c>
      <c r="O912" s="45">
        <f t="shared" ref="O912:O915" si="543">SUM(M912*N912)</f>
        <v>1560.7548</v>
      </c>
      <c r="P912" s="91"/>
      <c r="Q912" s="91"/>
      <c r="R912" s="74">
        <f t="shared" si="536"/>
        <v>1110.83078703704</v>
      </c>
      <c r="S912" s="74"/>
      <c r="T912" s="75">
        <f t="shared" si="537"/>
        <v>1.66377314814815</v>
      </c>
      <c r="U912" s="74">
        <v>100</v>
      </c>
      <c r="V912" s="74"/>
      <c r="W912" s="76">
        <f t="shared" si="534"/>
        <v>1212.49456018519</v>
      </c>
      <c r="X912" s="110">
        <f t="shared" si="538"/>
        <v>21.9145543981482</v>
      </c>
      <c r="Y912" s="77"/>
      <c r="Z912" s="77"/>
      <c r="AA912" s="77">
        <f t="shared" si="535"/>
        <v>21.9145543981482</v>
      </c>
      <c r="AB912" s="87">
        <v>7.26</v>
      </c>
      <c r="AC912" s="74">
        <f t="shared" si="531"/>
        <v>159.099664930556</v>
      </c>
      <c r="AD912" s="74">
        <f t="shared" si="532"/>
        <v>1371.59422511574</v>
      </c>
      <c r="AE912" s="74">
        <f t="shared" si="530"/>
        <v>189.16057488426</v>
      </c>
    </row>
    <row r="913" customFormat="1" spans="1:31">
      <c r="A913" s="18"/>
      <c r="B913" s="19"/>
      <c r="C913" s="107">
        <v>240725000010</v>
      </c>
      <c r="D913" s="21">
        <v>45504</v>
      </c>
      <c r="E913" s="21" t="s">
        <v>40</v>
      </c>
      <c r="F913" s="19" t="s">
        <v>41</v>
      </c>
      <c r="G913" s="19" t="s">
        <v>119</v>
      </c>
      <c r="H913" s="19">
        <v>18</v>
      </c>
      <c r="I913" s="41">
        <v>1490</v>
      </c>
      <c r="J913" s="42"/>
      <c r="K913" s="43"/>
      <c r="L913" s="19"/>
      <c r="M913" s="43"/>
      <c r="N913" s="44"/>
      <c r="O913" s="45">
        <f t="shared" ref="O913:O918" si="544">SUM(I913)</f>
        <v>1490</v>
      </c>
      <c r="P913" s="91"/>
      <c r="Q913" s="91"/>
      <c r="R913" s="74">
        <f t="shared" si="536"/>
        <v>869.345833333333</v>
      </c>
      <c r="S913" s="74"/>
      <c r="T913" s="75">
        <f t="shared" si="537"/>
        <v>1.30208333333333</v>
      </c>
      <c r="U913" s="74">
        <v>50</v>
      </c>
      <c r="V913" s="74"/>
      <c r="W913" s="76">
        <f t="shared" si="534"/>
        <v>920.647916666667</v>
      </c>
      <c r="X913" s="110">
        <f t="shared" si="538"/>
        <v>17.1505208333333</v>
      </c>
      <c r="Y913" s="77"/>
      <c r="Z913" s="77"/>
      <c r="AA913" s="77">
        <f t="shared" si="535"/>
        <v>17.1505208333333</v>
      </c>
      <c r="AB913" s="87">
        <v>7.26</v>
      </c>
      <c r="AC913" s="74">
        <f t="shared" si="531"/>
        <v>124.51278125</v>
      </c>
      <c r="AD913" s="74">
        <f t="shared" si="532"/>
        <v>1045.16069791667</v>
      </c>
      <c r="AE913" s="74">
        <f t="shared" ref="AE913:AE944" si="545">SUM(O913-AD913)</f>
        <v>444.839302083333</v>
      </c>
    </row>
    <row r="914" customFormat="1" spans="1:31">
      <c r="A914" s="18"/>
      <c r="B914" s="19"/>
      <c r="C914" s="107">
        <v>240725000012</v>
      </c>
      <c r="D914" s="21">
        <v>45504</v>
      </c>
      <c r="E914" s="21" t="s">
        <v>40</v>
      </c>
      <c r="F914" s="19" t="s">
        <v>41</v>
      </c>
      <c r="G914" s="19" t="s">
        <v>66</v>
      </c>
      <c r="H914" s="19">
        <v>9</v>
      </c>
      <c r="I914" s="47"/>
      <c r="J914" s="112">
        <v>139080</v>
      </c>
      <c r="K914" s="43"/>
      <c r="L914" s="49">
        <f t="shared" si="542"/>
        <v>1655.32016186622</v>
      </c>
      <c r="M914" s="50">
        <v>84.02</v>
      </c>
      <c r="N914" s="44">
        <v>7.26</v>
      </c>
      <c r="O914" s="45">
        <f t="shared" si="543"/>
        <v>609.9852</v>
      </c>
      <c r="P914" s="91"/>
      <c r="Q914" s="91"/>
      <c r="R914" s="74">
        <f t="shared" si="536"/>
        <v>434.672916666667</v>
      </c>
      <c r="S914" s="74"/>
      <c r="T914" s="75">
        <f t="shared" si="537"/>
        <v>0.651041666666667</v>
      </c>
      <c r="U914" s="74"/>
      <c r="V914" s="74"/>
      <c r="W914" s="76">
        <f t="shared" si="534"/>
        <v>435.323958333333</v>
      </c>
      <c r="X914" s="110">
        <f t="shared" si="538"/>
        <v>8.57526041666667</v>
      </c>
      <c r="Y914" s="77"/>
      <c r="Z914" s="77"/>
      <c r="AA914" s="77">
        <f t="shared" si="535"/>
        <v>8.57526041666667</v>
      </c>
      <c r="AB914" s="87">
        <v>7.26</v>
      </c>
      <c r="AC914" s="74">
        <f t="shared" ref="AC914:AC945" si="546">SUM(AA914*AB914)</f>
        <v>62.256390625</v>
      </c>
      <c r="AD914" s="74">
        <f t="shared" ref="AD914:AD945" si="547">SUM(W914+AC914)</f>
        <v>497.580348958333</v>
      </c>
      <c r="AE914" s="74">
        <f t="shared" si="545"/>
        <v>112.404851041667</v>
      </c>
    </row>
    <row r="915" customFormat="1" spans="1:31">
      <c r="A915" s="18"/>
      <c r="B915" s="19"/>
      <c r="C915" s="107">
        <v>240725000015</v>
      </c>
      <c r="D915" s="21">
        <v>45504</v>
      </c>
      <c r="E915" s="21" t="s">
        <v>44</v>
      </c>
      <c r="F915" s="19" t="s">
        <v>45</v>
      </c>
      <c r="G915" s="19" t="s">
        <v>557</v>
      </c>
      <c r="H915" s="19">
        <v>7</v>
      </c>
      <c r="I915" s="47"/>
      <c r="J915" s="48">
        <v>101574</v>
      </c>
      <c r="K915" s="43"/>
      <c r="L915" s="49">
        <f t="shared" si="542"/>
        <v>1655.37809647979</v>
      </c>
      <c r="M915" s="50">
        <v>61.36</v>
      </c>
      <c r="N915" s="44">
        <v>7.26</v>
      </c>
      <c r="O915" s="45">
        <f t="shared" si="543"/>
        <v>445.4736</v>
      </c>
      <c r="P915" s="91"/>
      <c r="Q915" s="91"/>
      <c r="R915" s="74">
        <f t="shared" si="536"/>
        <v>338.078935185185</v>
      </c>
      <c r="S915" s="74"/>
      <c r="T915" s="75">
        <f t="shared" si="537"/>
        <v>0.506365740740741</v>
      </c>
      <c r="U915" s="74"/>
      <c r="V915" s="74"/>
      <c r="W915" s="76">
        <f t="shared" si="534"/>
        <v>338.585300925926</v>
      </c>
      <c r="X915" s="110">
        <f t="shared" si="538"/>
        <v>6.66964699074074</v>
      </c>
      <c r="Y915" s="77"/>
      <c r="Z915" s="77"/>
      <c r="AA915" s="77">
        <f t="shared" si="535"/>
        <v>6.66964699074074</v>
      </c>
      <c r="AB915" s="87">
        <v>7.26</v>
      </c>
      <c r="AC915" s="74">
        <f t="shared" si="546"/>
        <v>48.4216371527778</v>
      </c>
      <c r="AD915" s="74">
        <f t="shared" si="547"/>
        <v>387.006938078704</v>
      </c>
      <c r="AE915" s="74">
        <f t="shared" si="545"/>
        <v>58.4666619212963</v>
      </c>
    </row>
    <row r="916" customFormat="1" spans="1:31">
      <c r="A916" s="18"/>
      <c r="B916" s="19"/>
      <c r="C916" s="107">
        <v>240725000016</v>
      </c>
      <c r="D916" s="21">
        <v>45504</v>
      </c>
      <c r="E916" s="21" t="s">
        <v>37</v>
      </c>
      <c r="F916" s="19" t="s">
        <v>37</v>
      </c>
      <c r="G916" s="19" t="s">
        <v>201</v>
      </c>
      <c r="H916" s="19">
        <v>394.5</v>
      </c>
      <c r="I916" s="41">
        <v>37768.5</v>
      </c>
      <c r="J916" s="42"/>
      <c r="K916" s="43"/>
      <c r="L916" s="19"/>
      <c r="M916" s="43"/>
      <c r="N916" s="44"/>
      <c r="O916" s="45">
        <f t="shared" si="544"/>
        <v>37768.5</v>
      </c>
      <c r="P916" s="91"/>
      <c r="Q916" s="91"/>
      <c r="R916" s="74">
        <f t="shared" si="536"/>
        <v>19053.1628472222</v>
      </c>
      <c r="S916" s="74"/>
      <c r="T916" s="75">
        <f t="shared" si="537"/>
        <v>28.5373263888889</v>
      </c>
      <c r="U916" s="74"/>
      <c r="V916" s="75">
        <v>180</v>
      </c>
      <c r="W916" s="76">
        <f t="shared" si="534"/>
        <v>19261.7001736111</v>
      </c>
      <c r="X916" s="110">
        <f t="shared" si="538"/>
        <v>375.882248263889</v>
      </c>
      <c r="Y916" s="77"/>
      <c r="Z916" s="77"/>
      <c r="AA916" s="77">
        <f t="shared" ref="AA916:AA947" si="548">SUM(X916:Z916)</f>
        <v>375.882248263889</v>
      </c>
      <c r="AB916" s="87">
        <v>7.26</v>
      </c>
      <c r="AC916" s="74">
        <f t="shared" si="546"/>
        <v>2728.90512239583</v>
      </c>
      <c r="AD916" s="74">
        <f t="shared" si="547"/>
        <v>21990.6052960069</v>
      </c>
      <c r="AE916" s="74">
        <f t="shared" si="545"/>
        <v>15777.8947039931</v>
      </c>
    </row>
    <row r="917" customFormat="1" spans="1:31">
      <c r="A917" s="18"/>
      <c r="B917" s="19"/>
      <c r="C917" s="107">
        <v>240725000021</v>
      </c>
      <c r="D917" s="21">
        <v>45504</v>
      </c>
      <c r="E917" s="21" t="s">
        <v>58</v>
      </c>
      <c r="F917" s="19" t="s">
        <v>59</v>
      </c>
      <c r="G917" s="19" t="s">
        <v>558</v>
      </c>
      <c r="H917" s="19">
        <v>4</v>
      </c>
      <c r="I917" s="41">
        <v>264</v>
      </c>
      <c r="J917" s="42"/>
      <c r="K917" s="43"/>
      <c r="L917" s="19"/>
      <c r="M917" s="43"/>
      <c r="N917" s="44"/>
      <c r="O917" s="45">
        <f t="shared" si="544"/>
        <v>264</v>
      </c>
      <c r="P917" s="91"/>
      <c r="Q917" s="91"/>
      <c r="R917" s="74">
        <f t="shared" si="536"/>
        <v>193.187962962963</v>
      </c>
      <c r="S917" s="74"/>
      <c r="T917" s="75">
        <f t="shared" si="537"/>
        <v>0.289351851851852</v>
      </c>
      <c r="U917" s="74"/>
      <c r="V917" s="74"/>
      <c r="W917" s="76">
        <f t="shared" si="534"/>
        <v>193.477314814815</v>
      </c>
      <c r="X917" s="110">
        <f t="shared" si="538"/>
        <v>3.81122685185185</v>
      </c>
      <c r="Y917" s="77"/>
      <c r="Z917" s="77"/>
      <c r="AA917" s="77">
        <f t="shared" si="548"/>
        <v>3.81122685185185</v>
      </c>
      <c r="AB917" s="87">
        <v>7.26</v>
      </c>
      <c r="AC917" s="74">
        <f t="shared" si="546"/>
        <v>27.6695069444444</v>
      </c>
      <c r="AD917" s="74">
        <f t="shared" si="547"/>
        <v>221.146821759259</v>
      </c>
      <c r="AE917" s="74">
        <f t="shared" si="545"/>
        <v>42.8531782407408</v>
      </c>
    </row>
    <row r="918" customFormat="1" spans="1:31">
      <c r="A918" s="18"/>
      <c r="B918" s="19"/>
      <c r="C918" s="107">
        <v>240725000025</v>
      </c>
      <c r="D918" s="21">
        <v>45504</v>
      </c>
      <c r="E918" s="21" t="s">
        <v>44</v>
      </c>
      <c r="F918" s="19" t="s">
        <v>45</v>
      </c>
      <c r="G918" s="19" t="s">
        <v>377</v>
      </c>
      <c r="H918" s="19">
        <v>1.5</v>
      </c>
      <c r="I918" s="41">
        <v>102.3</v>
      </c>
      <c r="J918" s="42"/>
      <c r="K918" s="43"/>
      <c r="L918" s="19"/>
      <c r="M918" s="43"/>
      <c r="N918" s="44"/>
      <c r="O918" s="45">
        <f t="shared" si="544"/>
        <v>102.3</v>
      </c>
      <c r="P918" s="91"/>
      <c r="Q918" s="91"/>
      <c r="R918" s="74">
        <f t="shared" si="536"/>
        <v>72.4454861111111</v>
      </c>
      <c r="S918" s="74"/>
      <c r="T918" s="75">
        <f t="shared" si="537"/>
        <v>0.108506944444444</v>
      </c>
      <c r="U918" s="74"/>
      <c r="V918" s="74"/>
      <c r="W918" s="76">
        <f t="shared" si="534"/>
        <v>72.5539930555556</v>
      </c>
      <c r="X918" s="110">
        <f t="shared" si="538"/>
        <v>1.42921006944444</v>
      </c>
      <c r="Y918" s="77"/>
      <c r="Z918" s="77"/>
      <c r="AA918" s="77">
        <f t="shared" si="548"/>
        <v>1.42921006944444</v>
      </c>
      <c r="AB918" s="87">
        <v>7.26</v>
      </c>
      <c r="AC918" s="74">
        <f t="shared" si="546"/>
        <v>10.3760651041667</v>
      </c>
      <c r="AD918" s="74">
        <f t="shared" si="547"/>
        <v>82.9300581597222</v>
      </c>
      <c r="AE918" s="74">
        <f t="shared" si="545"/>
        <v>19.3699418402778</v>
      </c>
    </row>
    <row r="919" customFormat="1" spans="1:31">
      <c r="A919" s="18"/>
      <c r="B919" s="19"/>
      <c r="C919" s="107">
        <v>240725000033</v>
      </c>
      <c r="D919" s="21">
        <v>45504</v>
      </c>
      <c r="E919" s="21" t="s">
        <v>81</v>
      </c>
      <c r="F919" s="19"/>
      <c r="G919" s="19" t="s">
        <v>177</v>
      </c>
      <c r="H919" s="19">
        <v>0.44</v>
      </c>
      <c r="I919" s="45"/>
      <c r="J919" s="42"/>
      <c r="K919" s="43"/>
      <c r="L919" s="19"/>
      <c r="M919" s="43">
        <v>14.08</v>
      </c>
      <c r="N919" s="44">
        <v>7.26</v>
      </c>
      <c r="O919" s="45">
        <f>SUM(M919*N919)</f>
        <v>102.2208</v>
      </c>
      <c r="P919" s="91"/>
      <c r="Q919" s="91"/>
      <c r="R919" s="74">
        <f t="shared" si="536"/>
        <v>21.2506759259259</v>
      </c>
      <c r="S919" s="74"/>
      <c r="T919" s="75">
        <f t="shared" si="537"/>
        <v>0.0318287037037037</v>
      </c>
      <c r="U919" s="74"/>
      <c r="V919" s="74"/>
      <c r="W919" s="76">
        <f t="shared" si="534"/>
        <v>21.2825046296296</v>
      </c>
      <c r="X919" s="110">
        <f t="shared" si="538"/>
        <v>0.419234953703704</v>
      </c>
      <c r="Y919" s="77"/>
      <c r="Z919" s="77"/>
      <c r="AA919" s="77">
        <f t="shared" si="548"/>
        <v>0.419234953703704</v>
      </c>
      <c r="AB919" s="87">
        <v>7.26</v>
      </c>
      <c r="AC919" s="74">
        <f t="shared" si="546"/>
        <v>3.04364576388889</v>
      </c>
      <c r="AD919" s="74">
        <f t="shared" si="547"/>
        <v>24.3261503935185</v>
      </c>
      <c r="AE919" s="74">
        <f t="shared" si="545"/>
        <v>77.8946496064815</v>
      </c>
    </row>
    <row r="920" customFormat="1" spans="1:31">
      <c r="A920" s="18"/>
      <c r="B920" s="19"/>
      <c r="C920" s="107">
        <v>240726000006</v>
      </c>
      <c r="D920" s="21">
        <v>45504</v>
      </c>
      <c r="E920" s="21" t="s">
        <v>44</v>
      </c>
      <c r="F920" s="19" t="s">
        <v>45</v>
      </c>
      <c r="G920" s="19" t="s">
        <v>153</v>
      </c>
      <c r="H920" s="19">
        <v>0.62</v>
      </c>
      <c r="I920" s="41">
        <v>69.3</v>
      </c>
      <c r="J920" s="42"/>
      <c r="K920" s="43"/>
      <c r="L920" s="19"/>
      <c r="M920" s="43"/>
      <c r="N920" s="44"/>
      <c r="O920" s="45">
        <f t="shared" ref="O920:O923" si="549">SUM(I920)</f>
        <v>69.3</v>
      </c>
      <c r="P920" s="91"/>
      <c r="Q920" s="91"/>
      <c r="R920" s="74">
        <f t="shared" si="536"/>
        <v>29.9441342592593</v>
      </c>
      <c r="S920" s="74"/>
      <c r="T920" s="75">
        <f t="shared" si="537"/>
        <v>0.044849537037037</v>
      </c>
      <c r="U920" s="74"/>
      <c r="V920" s="74"/>
      <c r="W920" s="76">
        <f t="shared" si="534"/>
        <v>29.9889837962963</v>
      </c>
      <c r="X920" s="110">
        <f t="shared" si="538"/>
        <v>0.590740162037037</v>
      </c>
      <c r="Y920" s="77"/>
      <c r="Z920" s="77"/>
      <c r="AA920" s="77">
        <f t="shared" si="548"/>
        <v>0.590740162037037</v>
      </c>
      <c r="AB920" s="87">
        <v>7.26</v>
      </c>
      <c r="AC920" s="74">
        <f t="shared" si="546"/>
        <v>4.28877357638889</v>
      </c>
      <c r="AD920" s="74">
        <f t="shared" si="547"/>
        <v>34.2777573726852</v>
      </c>
      <c r="AE920" s="74">
        <f t="shared" si="545"/>
        <v>35.0222426273148</v>
      </c>
    </row>
    <row r="921" customFormat="1" spans="1:31">
      <c r="A921" s="18"/>
      <c r="B921" s="19"/>
      <c r="C921" s="107">
        <v>240726000015</v>
      </c>
      <c r="D921" s="21">
        <v>45504</v>
      </c>
      <c r="E921" s="21" t="s">
        <v>47</v>
      </c>
      <c r="F921" s="19" t="s">
        <v>48</v>
      </c>
      <c r="G921" s="19" t="s">
        <v>559</v>
      </c>
      <c r="H921" s="19">
        <v>89.5</v>
      </c>
      <c r="I921" s="41">
        <v>5549</v>
      </c>
      <c r="J921" s="42"/>
      <c r="K921" s="43"/>
      <c r="L921" s="19"/>
      <c r="M921" s="43"/>
      <c r="N921" s="44"/>
      <c r="O921" s="45">
        <f t="shared" si="549"/>
        <v>5549</v>
      </c>
      <c r="P921" s="91"/>
      <c r="Q921" s="91"/>
      <c r="R921" s="74">
        <f t="shared" si="536"/>
        <v>4322.5806712963</v>
      </c>
      <c r="S921" s="74"/>
      <c r="T921" s="75">
        <f t="shared" si="537"/>
        <v>6.47424768518519</v>
      </c>
      <c r="U921" s="74"/>
      <c r="V921" s="74"/>
      <c r="W921" s="76">
        <f t="shared" si="534"/>
        <v>4329.05491898148</v>
      </c>
      <c r="X921" s="110">
        <f t="shared" si="538"/>
        <v>85.2762008101852</v>
      </c>
      <c r="Y921" s="77"/>
      <c r="Z921" s="77"/>
      <c r="AA921" s="77">
        <f t="shared" si="548"/>
        <v>85.2762008101852</v>
      </c>
      <c r="AB921" s="87">
        <v>7.26</v>
      </c>
      <c r="AC921" s="74">
        <f t="shared" si="546"/>
        <v>619.105217881944</v>
      </c>
      <c r="AD921" s="74">
        <f t="shared" si="547"/>
        <v>4948.16013686343</v>
      </c>
      <c r="AE921" s="74">
        <f t="shared" si="545"/>
        <v>600.839863136574</v>
      </c>
    </row>
    <row r="922" customFormat="1" spans="1:31">
      <c r="A922" s="18"/>
      <c r="B922" s="19"/>
      <c r="C922" s="107">
        <v>240726000020</v>
      </c>
      <c r="D922" s="21">
        <v>45504</v>
      </c>
      <c r="E922" s="21" t="s">
        <v>47</v>
      </c>
      <c r="F922" s="19" t="s">
        <v>48</v>
      </c>
      <c r="G922" s="19" t="s">
        <v>539</v>
      </c>
      <c r="H922" s="19">
        <v>11.5</v>
      </c>
      <c r="I922" s="41">
        <v>804</v>
      </c>
      <c r="J922" s="42"/>
      <c r="K922" s="43"/>
      <c r="L922" s="19"/>
      <c r="M922" s="43"/>
      <c r="N922" s="44"/>
      <c r="O922" s="45">
        <f t="shared" si="549"/>
        <v>804</v>
      </c>
      <c r="P922" s="91"/>
      <c r="Q922" s="91"/>
      <c r="R922" s="74">
        <f t="shared" si="536"/>
        <v>555.415393518519</v>
      </c>
      <c r="S922" s="74"/>
      <c r="T922" s="75">
        <f t="shared" si="537"/>
        <v>0.831886574074074</v>
      </c>
      <c r="U922" s="74"/>
      <c r="V922" s="74"/>
      <c r="W922" s="76">
        <f t="shared" si="534"/>
        <v>556.247280092593</v>
      </c>
      <c r="X922" s="110">
        <f t="shared" si="538"/>
        <v>10.9572771990741</v>
      </c>
      <c r="Y922" s="77"/>
      <c r="Z922" s="77"/>
      <c r="AA922" s="77">
        <f t="shared" si="548"/>
        <v>10.9572771990741</v>
      </c>
      <c r="AB922" s="87">
        <v>7.26</v>
      </c>
      <c r="AC922" s="74">
        <f t="shared" si="546"/>
        <v>79.5498324652778</v>
      </c>
      <c r="AD922" s="74">
        <f t="shared" si="547"/>
        <v>635.79711255787</v>
      </c>
      <c r="AE922" s="74">
        <f t="shared" si="545"/>
        <v>168.20288744213</v>
      </c>
    </row>
    <row r="923" customFormat="1" spans="1:31">
      <c r="A923" s="18"/>
      <c r="B923" s="19"/>
      <c r="C923" s="107">
        <v>240726000024</v>
      </c>
      <c r="D923" s="21">
        <v>45504</v>
      </c>
      <c r="E923" s="21" t="s">
        <v>55</v>
      </c>
      <c r="F923" s="19" t="s">
        <v>56</v>
      </c>
      <c r="G923" s="19" t="s">
        <v>560</v>
      </c>
      <c r="H923" s="19">
        <v>5.5</v>
      </c>
      <c r="I923" s="41">
        <v>366.3</v>
      </c>
      <c r="J923" s="42"/>
      <c r="K923" s="43"/>
      <c r="L923" s="19"/>
      <c r="M923" s="43"/>
      <c r="N923" s="44"/>
      <c r="O923" s="45">
        <f t="shared" si="549"/>
        <v>366.3</v>
      </c>
      <c r="P923" s="91"/>
      <c r="Q923" s="91"/>
      <c r="R923" s="74">
        <f t="shared" si="536"/>
        <v>265.633449074074</v>
      </c>
      <c r="S923" s="74"/>
      <c r="T923" s="75">
        <f t="shared" si="537"/>
        <v>0.397858796296296</v>
      </c>
      <c r="U923" s="74"/>
      <c r="V923" s="74"/>
      <c r="W923" s="76">
        <f t="shared" si="534"/>
        <v>266.03130787037</v>
      </c>
      <c r="X923" s="110">
        <f t="shared" si="538"/>
        <v>5.2404369212963</v>
      </c>
      <c r="Y923" s="77"/>
      <c r="Z923" s="77"/>
      <c r="AA923" s="77">
        <f t="shared" si="548"/>
        <v>5.2404369212963</v>
      </c>
      <c r="AB923" s="87">
        <v>7.26</v>
      </c>
      <c r="AC923" s="74">
        <f t="shared" si="546"/>
        <v>38.0455720486111</v>
      </c>
      <c r="AD923" s="74">
        <f t="shared" si="547"/>
        <v>304.076879918981</v>
      </c>
      <c r="AE923" s="74">
        <f t="shared" si="545"/>
        <v>62.2231200810185</v>
      </c>
    </row>
    <row r="924" customFormat="1" spans="1:31">
      <c r="A924" s="18"/>
      <c r="B924" s="19"/>
      <c r="C924" s="107">
        <v>240726000025</v>
      </c>
      <c r="D924" s="21">
        <v>45504</v>
      </c>
      <c r="E924" s="21" t="s">
        <v>37</v>
      </c>
      <c r="F924" s="19" t="s">
        <v>37</v>
      </c>
      <c r="G924" s="19" t="s">
        <v>149</v>
      </c>
      <c r="H924" s="19">
        <v>284.5</v>
      </c>
      <c r="I924" s="88">
        <v>15441.5</v>
      </c>
      <c r="J924" s="42"/>
      <c r="K924" s="43"/>
      <c r="L924" s="19"/>
      <c r="M924" s="43"/>
      <c r="N924" s="44"/>
      <c r="O924" s="45">
        <f>SUBTOTAL(9,I924)</f>
        <v>15441.5</v>
      </c>
      <c r="P924" s="91"/>
      <c r="Q924" s="91"/>
      <c r="R924" s="74">
        <f t="shared" si="536"/>
        <v>13740.4938657407</v>
      </c>
      <c r="S924" s="74"/>
      <c r="T924" s="75">
        <f t="shared" si="537"/>
        <v>20.580150462963</v>
      </c>
      <c r="U924" s="74"/>
      <c r="V924" s="74"/>
      <c r="W924" s="76">
        <f t="shared" si="534"/>
        <v>13761.0740162037</v>
      </c>
      <c r="X924" s="110">
        <f t="shared" si="538"/>
        <v>271.073509837963</v>
      </c>
      <c r="Y924" s="77"/>
      <c r="Z924" s="77"/>
      <c r="AA924" s="77">
        <f t="shared" si="548"/>
        <v>271.073509837963</v>
      </c>
      <c r="AB924" s="87">
        <v>7.26</v>
      </c>
      <c r="AC924" s="74">
        <f t="shared" si="546"/>
        <v>1967.99368142361</v>
      </c>
      <c r="AD924" s="74">
        <f t="shared" si="547"/>
        <v>15729.0676976273</v>
      </c>
      <c r="AE924" s="74">
        <f t="shared" si="545"/>
        <v>-287.567697627301</v>
      </c>
    </row>
    <row r="925" customFormat="1" spans="1:31">
      <c r="A925" s="18"/>
      <c r="B925" s="19"/>
      <c r="C925" s="107">
        <v>240726000041</v>
      </c>
      <c r="D925" s="21">
        <v>45504</v>
      </c>
      <c r="E925" s="21" t="s">
        <v>40</v>
      </c>
      <c r="F925" s="19" t="s">
        <v>41</v>
      </c>
      <c r="G925" s="19" t="s">
        <v>89</v>
      </c>
      <c r="H925" s="19">
        <v>71</v>
      </c>
      <c r="I925" s="41">
        <v>4828</v>
      </c>
      <c r="J925" s="42"/>
      <c r="K925" s="43"/>
      <c r="L925" s="19"/>
      <c r="M925" s="43"/>
      <c r="N925" s="44"/>
      <c r="O925" s="45">
        <f t="shared" ref="O925:O934" si="550">SUM(I925)</f>
        <v>4828</v>
      </c>
      <c r="P925" s="91"/>
      <c r="Q925" s="91"/>
      <c r="R925" s="74">
        <f t="shared" si="536"/>
        <v>3429.08634259259</v>
      </c>
      <c r="S925" s="74"/>
      <c r="T925" s="75">
        <f t="shared" si="537"/>
        <v>5.13599537037037</v>
      </c>
      <c r="U925" s="74"/>
      <c r="V925" s="74"/>
      <c r="W925" s="76">
        <f t="shared" si="534"/>
        <v>3434.22233796296</v>
      </c>
      <c r="X925" s="110">
        <f t="shared" si="538"/>
        <v>67.6492766203704</v>
      </c>
      <c r="Y925" s="77"/>
      <c r="Z925" s="77"/>
      <c r="AA925" s="77">
        <f t="shared" si="548"/>
        <v>67.6492766203704</v>
      </c>
      <c r="AB925" s="87">
        <v>7.26</v>
      </c>
      <c r="AC925" s="74">
        <f t="shared" si="546"/>
        <v>491.133748263889</v>
      </c>
      <c r="AD925" s="74">
        <f t="shared" si="547"/>
        <v>3925.35608622685</v>
      </c>
      <c r="AE925" s="74">
        <f t="shared" si="545"/>
        <v>902.64391377315</v>
      </c>
    </row>
    <row r="926" customFormat="1" spans="1:31">
      <c r="A926" s="18"/>
      <c r="B926" s="19"/>
      <c r="C926" s="107">
        <v>240726000057</v>
      </c>
      <c r="D926" s="21">
        <v>45504</v>
      </c>
      <c r="E926" s="21" t="s">
        <v>37</v>
      </c>
      <c r="F926" s="19" t="s">
        <v>37</v>
      </c>
      <c r="G926" s="19" t="s">
        <v>148</v>
      </c>
      <c r="H926" s="19">
        <v>551</v>
      </c>
      <c r="I926" s="41">
        <v>28652</v>
      </c>
      <c r="J926" s="42"/>
      <c r="K926" s="43"/>
      <c r="L926" s="19"/>
      <c r="M926" s="43"/>
      <c r="N926" s="44"/>
      <c r="O926" s="45">
        <f t="shared" si="550"/>
        <v>28652</v>
      </c>
      <c r="P926" s="91"/>
      <c r="Q926" s="91"/>
      <c r="R926" s="74">
        <f t="shared" si="536"/>
        <v>26611.6418981481</v>
      </c>
      <c r="S926" s="74"/>
      <c r="T926" s="75">
        <f t="shared" si="537"/>
        <v>39.8582175925926</v>
      </c>
      <c r="U926" s="74"/>
      <c r="V926" s="74"/>
      <c r="W926" s="76">
        <f t="shared" ref="W926:W967" si="551">SUM(R926:V926)</f>
        <v>26651.5001157407</v>
      </c>
      <c r="X926" s="110">
        <f t="shared" si="538"/>
        <v>524.996498842593</v>
      </c>
      <c r="Y926" s="77"/>
      <c r="Z926" s="77"/>
      <c r="AA926" s="77">
        <f t="shared" si="548"/>
        <v>524.996498842593</v>
      </c>
      <c r="AB926" s="87">
        <v>7.26</v>
      </c>
      <c r="AC926" s="74">
        <f t="shared" si="546"/>
        <v>3811.47458159722</v>
      </c>
      <c r="AD926" s="74">
        <f t="shared" si="547"/>
        <v>30462.974697338</v>
      </c>
      <c r="AE926" s="74">
        <f t="shared" si="545"/>
        <v>-1810.974697338</v>
      </c>
    </row>
    <row r="927" customFormat="1" spans="1:31">
      <c r="A927" s="18" t="s">
        <v>561</v>
      </c>
      <c r="B927" s="19" t="s">
        <v>562</v>
      </c>
      <c r="C927" s="107">
        <v>240723000019</v>
      </c>
      <c r="D927" s="21">
        <v>45505</v>
      </c>
      <c r="E927" s="21" t="s">
        <v>44</v>
      </c>
      <c r="F927" s="19" t="s">
        <v>45</v>
      </c>
      <c r="G927" s="19" t="s">
        <v>563</v>
      </c>
      <c r="H927" s="19">
        <v>12.5</v>
      </c>
      <c r="I927" s="41">
        <v>790.35</v>
      </c>
      <c r="J927" s="42"/>
      <c r="K927" s="43"/>
      <c r="L927" s="19"/>
      <c r="M927" s="43"/>
      <c r="N927" s="44"/>
      <c r="O927" s="45">
        <f t="shared" si="550"/>
        <v>790.35</v>
      </c>
      <c r="P927" s="46">
        <f>SUM(O927:O967)</f>
        <v>87383.71735644</v>
      </c>
      <c r="Q927" s="46" t="s">
        <v>130</v>
      </c>
      <c r="R927" s="74">
        <f>SUM(69227.2/1448)*H927</f>
        <v>597.610497237569</v>
      </c>
      <c r="S927" s="74"/>
      <c r="T927" s="75">
        <f>SUM(130/1448)*H927</f>
        <v>1.12223756906077</v>
      </c>
      <c r="U927" s="74"/>
      <c r="V927" s="74"/>
      <c r="W927" s="76">
        <f t="shared" si="551"/>
        <v>598.73273480663</v>
      </c>
      <c r="X927" s="77">
        <f>SUM(1249.85/1448)*H927</f>
        <v>10.7894509668508</v>
      </c>
      <c r="Y927" s="77"/>
      <c r="Z927" s="77"/>
      <c r="AA927" s="77">
        <f t="shared" si="548"/>
        <v>10.7894509668508</v>
      </c>
      <c r="AB927" s="87">
        <v>7.26</v>
      </c>
      <c r="AC927" s="74">
        <f t="shared" si="546"/>
        <v>78.3314140193368</v>
      </c>
      <c r="AD927" s="74">
        <f t="shared" si="547"/>
        <v>677.064148825967</v>
      </c>
      <c r="AE927" s="74">
        <f t="shared" si="545"/>
        <v>113.285851174033</v>
      </c>
    </row>
    <row r="928" customFormat="1" spans="1:31">
      <c r="A928" s="18"/>
      <c r="B928" s="19"/>
      <c r="C928" s="107">
        <v>240725000005</v>
      </c>
      <c r="D928" s="21">
        <v>45505</v>
      </c>
      <c r="E928" s="21" t="s">
        <v>40</v>
      </c>
      <c r="F928" s="19" t="s">
        <v>41</v>
      </c>
      <c r="G928" s="19" t="s">
        <v>502</v>
      </c>
      <c r="H928" s="19">
        <v>3.5</v>
      </c>
      <c r="I928" s="41">
        <v>257.4</v>
      </c>
      <c r="J928" s="42"/>
      <c r="K928" s="43"/>
      <c r="L928" s="19"/>
      <c r="M928" s="43"/>
      <c r="N928" s="44"/>
      <c r="O928" s="45">
        <f t="shared" si="550"/>
        <v>257.4</v>
      </c>
      <c r="P928" s="51"/>
      <c r="Q928" s="51"/>
      <c r="R928" s="74">
        <f t="shared" ref="R928:R967" si="552">SUM(69227.2/1448)*H928</f>
        <v>167.330939226519</v>
      </c>
      <c r="S928" s="74"/>
      <c r="T928" s="75">
        <f t="shared" ref="T928:T967" si="553">SUM(130/1448)*H928</f>
        <v>0.314226519337017</v>
      </c>
      <c r="U928" s="74"/>
      <c r="V928" s="74"/>
      <c r="W928" s="76">
        <f t="shared" si="551"/>
        <v>167.645165745856</v>
      </c>
      <c r="X928" s="77">
        <f t="shared" ref="X928:X967" si="554">SUM(1249.85/1448)*H928</f>
        <v>3.02104627071823</v>
      </c>
      <c r="Y928" s="77"/>
      <c r="Z928" s="77"/>
      <c r="AA928" s="77">
        <f t="shared" si="548"/>
        <v>3.02104627071823</v>
      </c>
      <c r="AB928" s="87">
        <v>7.26</v>
      </c>
      <c r="AC928" s="74">
        <f t="shared" si="546"/>
        <v>21.9327959254144</v>
      </c>
      <c r="AD928" s="74">
        <f t="shared" si="547"/>
        <v>189.57796167127</v>
      </c>
      <c r="AE928" s="74">
        <f t="shared" si="545"/>
        <v>67.82203832873</v>
      </c>
    </row>
    <row r="929" customFormat="1" spans="1:31">
      <c r="A929" s="18"/>
      <c r="B929" s="19"/>
      <c r="C929" s="107">
        <v>240726000001</v>
      </c>
      <c r="D929" s="21">
        <v>45505</v>
      </c>
      <c r="E929" s="21" t="s">
        <v>58</v>
      </c>
      <c r="F929" s="19" t="s">
        <v>59</v>
      </c>
      <c r="G929" s="19" t="s">
        <v>545</v>
      </c>
      <c r="H929" s="19">
        <v>2</v>
      </c>
      <c r="I929" s="41">
        <v>135</v>
      </c>
      <c r="J929" s="42"/>
      <c r="K929" s="43"/>
      <c r="L929" s="19"/>
      <c r="M929" s="43"/>
      <c r="N929" s="44"/>
      <c r="O929" s="45">
        <f t="shared" si="550"/>
        <v>135</v>
      </c>
      <c r="P929" s="51"/>
      <c r="Q929" s="51"/>
      <c r="R929" s="74">
        <f t="shared" si="552"/>
        <v>95.617679558011</v>
      </c>
      <c r="S929" s="74"/>
      <c r="T929" s="75">
        <f t="shared" si="553"/>
        <v>0.179558011049724</v>
      </c>
      <c r="U929" s="74"/>
      <c r="V929" s="74"/>
      <c r="W929" s="76">
        <f t="shared" si="551"/>
        <v>95.7972375690608</v>
      </c>
      <c r="X929" s="77">
        <f t="shared" si="554"/>
        <v>1.72631215469613</v>
      </c>
      <c r="Y929" s="77"/>
      <c r="Z929" s="77"/>
      <c r="AA929" s="77">
        <f t="shared" si="548"/>
        <v>1.72631215469613</v>
      </c>
      <c r="AB929" s="87">
        <v>7.26</v>
      </c>
      <c r="AC929" s="74">
        <f t="shared" si="546"/>
        <v>12.5330262430939</v>
      </c>
      <c r="AD929" s="74">
        <f t="shared" si="547"/>
        <v>108.330263812155</v>
      </c>
      <c r="AE929" s="74">
        <f t="shared" si="545"/>
        <v>26.669736187845</v>
      </c>
    </row>
    <row r="930" customFormat="1" spans="1:31">
      <c r="A930" s="18"/>
      <c r="B930" s="19"/>
      <c r="C930" s="107">
        <v>240726000005</v>
      </c>
      <c r="D930" s="21">
        <v>45505</v>
      </c>
      <c r="E930" s="21" t="s">
        <v>40</v>
      </c>
      <c r="F930" s="19" t="s">
        <v>41</v>
      </c>
      <c r="G930" s="19" t="s">
        <v>564</v>
      </c>
      <c r="H930" s="19">
        <v>6</v>
      </c>
      <c r="I930" s="41">
        <v>485</v>
      </c>
      <c r="J930" s="42"/>
      <c r="K930" s="43"/>
      <c r="L930" s="19"/>
      <c r="M930" s="43"/>
      <c r="N930" s="44"/>
      <c r="O930" s="45">
        <f t="shared" si="550"/>
        <v>485</v>
      </c>
      <c r="P930" s="51"/>
      <c r="Q930" s="51"/>
      <c r="R930" s="74">
        <f t="shared" si="552"/>
        <v>286.853038674033</v>
      </c>
      <c r="S930" s="74"/>
      <c r="T930" s="75">
        <f t="shared" si="553"/>
        <v>0.538674033149171</v>
      </c>
      <c r="U930" s="74">
        <v>30</v>
      </c>
      <c r="V930" s="74"/>
      <c r="W930" s="76">
        <f t="shared" si="551"/>
        <v>317.391712707182</v>
      </c>
      <c r="X930" s="77">
        <f t="shared" si="554"/>
        <v>5.1789364640884</v>
      </c>
      <c r="Y930" s="77"/>
      <c r="Z930" s="77"/>
      <c r="AA930" s="77">
        <f t="shared" si="548"/>
        <v>5.1789364640884</v>
      </c>
      <c r="AB930" s="87">
        <v>7.26</v>
      </c>
      <c r="AC930" s="74">
        <f t="shared" si="546"/>
        <v>37.5990787292818</v>
      </c>
      <c r="AD930" s="74">
        <f t="shared" si="547"/>
        <v>354.990791436464</v>
      </c>
      <c r="AE930" s="74">
        <f t="shared" si="545"/>
        <v>130.009208563536</v>
      </c>
    </row>
    <row r="931" customFormat="1" spans="1:31">
      <c r="A931" s="18"/>
      <c r="B931" s="19"/>
      <c r="C931" s="107">
        <v>240726000012</v>
      </c>
      <c r="D931" s="21">
        <v>45505</v>
      </c>
      <c r="E931" s="21" t="s">
        <v>44</v>
      </c>
      <c r="F931" s="19" t="s">
        <v>45</v>
      </c>
      <c r="G931" s="19" t="s">
        <v>475</v>
      </c>
      <c r="H931" s="19">
        <v>15</v>
      </c>
      <c r="I931" s="41">
        <v>947.1</v>
      </c>
      <c r="J931" s="42"/>
      <c r="K931" s="43"/>
      <c r="L931" s="19"/>
      <c r="M931" s="43"/>
      <c r="N931" s="44"/>
      <c r="O931" s="45">
        <f t="shared" si="550"/>
        <v>947.1</v>
      </c>
      <c r="P931" s="51"/>
      <c r="Q931" s="51"/>
      <c r="R931" s="74">
        <f t="shared" si="552"/>
        <v>717.132596685083</v>
      </c>
      <c r="S931" s="74"/>
      <c r="T931" s="75">
        <f t="shared" si="553"/>
        <v>1.34668508287293</v>
      </c>
      <c r="U931" s="74"/>
      <c r="V931" s="74"/>
      <c r="W931" s="76">
        <f t="shared" si="551"/>
        <v>718.479281767956</v>
      </c>
      <c r="X931" s="77">
        <f t="shared" si="554"/>
        <v>12.947341160221</v>
      </c>
      <c r="Y931" s="77"/>
      <c r="Z931" s="77"/>
      <c r="AA931" s="77">
        <f t="shared" si="548"/>
        <v>12.947341160221</v>
      </c>
      <c r="AB931" s="87">
        <v>7.26</v>
      </c>
      <c r="AC931" s="74">
        <f t="shared" si="546"/>
        <v>93.9976968232045</v>
      </c>
      <c r="AD931" s="74">
        <f t="shared" si="547"/>
        <v>812.47697859116</v>
      </c>
      <c r="AE931" s="74">
        <f t="shared" si="545"/>
        <v>134.62302140884</v>
      </c>
    </row>
    <row r="932" customFormat="1" spans="1:31">
      <c r="A932" s="18"/>
      <c r="B932" s="19"/>
      <c r="C932" s="107">
        <v>240726000014</v>
      </c>
      <c r="D932" s="21">
        <v>45505</v>
      </c>
      <c r="E932" s="21" t="s">
        <v>44</v>
      </c>
      <c r="F932" s="19" t="s">
        <v>45</v>
      </c>
      <c r="G932" s="19" t="s">
        <v>290</v>
      </c>
      <c r="H932" s="19">
        <v>4.5</v>
      </c>
      <c r="I932" s="41">
        <v>330</v>
      </c>
      <c r="J932" s="42"/>
      <c r="K932" s="43"/>
      <c r="L932" s="19"/>
      <c r="M932" s="43"/>
      <c r="N932" s="44"/>
      <c r="O932" s="45">
        <f t="shared" si="550"/>
        <v>330</v>
      </c>
      <c r="P932" s="51"/>
      <c r="Q932" s="51"/>
      <c r="R932" s="74">
        <f t="shared" si="552"/>
        <v>215.139779005525</v>
      </c>
      <c r="S932" s="74"/>
      <c r="T932" s="75">
        <f t="shared" si="553"/>
        <v>0.404005524861878</v>
      </c>
      <c r="U932" s="74"/>
      <c r="V932" s="74"/>
      <c r="W932" s="76">
        <f t="shared" si="551"/>
        <v>215.543784530387</v>
      </c>
      <c r="X932" s="77">
        <f t="shared" si="554"/>
        <v>3.8842023480663</v>
      </c>
      <c r="Y932" s="77"/>
      <c r="Z932" s="77"/>
      <c r="AA932" s="77">
        <f t="shared" si="548"/>
        <v>3.8842023480663</v>
      </c>
      <c r="AB932" s="87">
        <v>7.26</v>
      </c>
      <c r="AC932" s="74">
        <f t="shared" si="546"/>
        <v>28.1993090469613</v>
      </c>
      <c r="AD932" s="74">
        <f t="shared" si="547"/>
        <v>243.743093577348</v>
      </c>
      <c r="AE932" s="74">
        <f t="shared" si="545"/>
        <v>86.256906422652</v>
      </c>
    </row>
    <row r="933" customFormat="1" spans="1:31">
      <c r="A933" s="18"/>
      <c r="B933" s="19"/>
      <c r="C933" s="107">
        <v>240726000021</v>
      </c>
      <c r="D933" s="21">
        <v>45505</v>
      </c>
      <c r="E933" s="21" t="s">
        <v>58</v>
      </c>
      <c r="F933" s="19" t="s">
        <v>59</v>
      </c>
      <c r="G933" s="19" t="s">
        <v>110</v>
      </c>
      <c r="H933" s="19">
        <v>8.5</v>
      </c>
      <c r="I933" s="41">
        <v>539</v>
      </c>
      <c r="J933" s="42"/>
      <c r="K933" s="43"/>
      <c r="L933" s="19"/>
      <c r="M933" s="43"/>
      <c r="N933" s="44"/>
      <c r="O933" s="45">
        <f t="shared" si="550"/>
        <v>539</v>
      </c>
      <c r="P933" s="51"/>
      <c r="Q933" s="51"/>
      <c r="R933" s="74">
        <f t="shared" si="552"/>
        <v>406.375138121547</v>
      </c>
      <c r="S933" s="74"/>
      <c r="T933" s="75">
        <f t="shared" si="553"/>
        <v>0.763121546961326</v>
      </c>
      <c r="U933" s="74"/>
      <c r="V933" s="74"/>
      <c r="W933" s="76">
        <f t="shared" si="551"/>
        <v>407.138259668508</v>
      </c>
      <c r="X933" s="77">
        <f t="shared" si="554"/>
        <v>7.33682665745856</v>
      </c>
      <c r="Y933" s="77"/>
      <c r="Z933" s="77"/>
      <c r="AA933" s="77">
        <f t="shared" si="548"/>
        <v>7.33682665745856</v>
      </c>
      <c r="AB933" s="87">
        <v>7.26</v>
      </c>
      <c r="AC933" s="74">
        <f t="shared" si="546"/>
        <v>53.2653615331491</v>
      </c>
      <c r="AD933" s="74">
        <f t="shared" si="547"/>
        <v>460.403621201657</v>
      </c>
      <c r="AE933" s="74">
        <f t="shared" si="545"/>
        <v>78.596378798343</v>
      </c>
    </row>
    <row r="934" customFormat="1" spans="1:31">
      <c r="A934" s="18"/>
      <c r="B934" s="19"/>
      <c r="C934" s="107">
        <v>240726000023</v>
      </c>
      <c r="D934" s="21">
        <v>45505</v>
      </c>
      <c r="E934" s="21" t="s">
        <v>55</v>
      </c>
      <c r="F934" s="19" t="s">
        <v>56</v>
      </c>
      <c r="G934" s="19" t="s">
        <v>131</v>
      </c>
      <c r="H934" s="19">
        <v>2.5</v>
      </c>
      <c r="I934" s="41">
        <v>235</v>
      </c>
      <c r="J934" s="42"/>
      <c r="K934" s="43"/>
      <c r="L934" s="19"/>
      <c r="M934" s="43"/>
      <c r="N934" s="44"/>
      <c r="O934" s="45">
        <f t="shared" si="550"/>
        <v>235</v>
      </c>
      <c r="P934" s="51"/>
      <c r="Q934" s="51"/>
      <c r="R934" s="74">
        <f t="shared" si="552"/>
        <v>119.522099447514</v>
      </c>
      <c r="S934" s="74"/>
      <c r="T934" s="75">
        <f t="shared" si="553"/>
        <v>0.224447513812155</v>
      </c>
      <c r="U934" s="74"/>
      <c r="V934" s="74"/>
      <c r="W934" s="76">
        <f t="shared" si="551"/>
        <v>119.746546961326</v>
      </c>
      <c r="X934" s="77">
        <f t="shared" si="554"/>
        <v>2.15789019337017</v>
      </c>
      <c r="Y934" s="77"/>
      <c r="Z934" s="77"/>
      <c r="AA934" s="77">
        <f t="shared" si="548"/>
        <v>2.15789019337017</v>
      </c>
      <c r="AB934" s="87">
        <v>7.26</v>
      </c>
      <c r="AC934" s="74">
        <f t="shared" si="546"/>
        <v>15.6662828038674</v>
      </c>
      <c r="AD934" s="74">
        <f t="shared" si="547"/>
        <v>135.412829765193</v>
      </c>
      <c r="AE934" s="74">
        <f t="shared" si="545"/>
        <v>99.587170234807</v>
      </c>
    </row>
    <row r="935" customFormat="1" spans="1:31">
      <c r="A935" s="18"/>
      <c r="B935" s="19"/>
      <c r="C935" s="107">
        <v>240726000027</v>
      </c>
      <c r="D935" s="21">
        <v>45505</v>
      </c>
      <c r="E935" s="21" t="s">
        <v>40</v>
      </c>
      <c r="F935" s="19" t="s">
        <v>41</v>
      </c>
      <c r="G935" s="19" t="s">
        <v>94</v>
      </c>
      <c r="H935" s="19">
        <v>13</v>
      </c>
      <c r="I935" s="47"/>
      <c r="J935" s="48">
        <v>181595.7</v>
      </c>
      <c r="K935" s="43"/>
      <c r="L935" s="19"/>
      <c r="M935" s="50">
        <v>113.18</v>
      </c>
      <c r="N935" s="44">
        <v>7.26</v>
      </c>
      <c r="O935" s="45">
        <f t="shared" ref="O935:O938" si="555">SUM(M935*N935)</f>
        <v>821.6868</v>
      </c>
      <c r="P935" s="51"/>
      <c r="Q935" s="51"/>
      <c r="R935" s="74">
        <f t="shared" si="552"/>
        <v>621.514917127072</v>
      </c>
      <c r="S935" s="74"/>
      <c r="T935" s="75">
        <f t="shared" si="553"/>
        <v>1.1671270718232</v>
      </c>
      <c r="U935" s="74"/>
      <c r="V935" s="74"/>
      <c r="W935" s="76">
        <f t="shared" si="551"/>
        <v>622.682044198895</v>
      </c>
      <c r="X935" s="77">
        <f t="shared" si="554"/>
        <v>11.2210290055249</v>
      </c>
      <c r="Y935" s="77"/>
      <c r="Z935" s="77"/>
      <c r="AA935" s="77">
        <f t="shared" si="548"/>
        <v>11.2210290055249</v>
      </c>
      <c r="AB935" s="87">
        <v>7.26</v>
      </c>
      <c r="AC935" s="74">
        <f t="shared" si="546"/>
        <v>81.4646705801108</v>
      </c>
      <c r="AD935" s="74">
        <f t="shared" si="547"/>
        <v>704.146714779006</v>
      </c>
      <c r="AE935" s="74">
        <f t="shared" si="545"/>
        <v>117.540085220994</v>
      </c>
    </row>
    <row r="936" customFormat="1" spans="1:31">
      <c r="A936" s="18"/>
      <c r="B936" s="19"/>
      <c r="C936" s="107">
        <v>240726000028</v>
      </c>
      <c r="D936" s="21">
        <v>45505</v>
      </c>
      <c r="E936" s="21" t="s">
        <v>37</v>
      </c>
      <c r="F936" s="19" t="s">
        <v>37</v>
      </c>
      <c r="G936" s="19" t="s">
        <v>533</v>
      </c>
      <c r="H936" s="19">
        <v>25</v>
      </c>
      <c r="I936" s="45"/>
      <c r="J936" s="42"/>
      <c r="K936" s="43"/>
      <c r="L936" s="19"/>
      <c r="M936" s="43">
        <v>248.63</v>
      </c>
      <c r="N936" s="44">
        <v>7.26</v>
      </c>
      <c r="O936" s="45">
        <f t="shared" si="555"/>
        <v>1805.0538</v>
      </c>
      <c r="P936" s="51"/>
      <c r="Q936" s="51"/>
      <c r="R936" s="74">
        <f t="shared" si="552"/>
        <v>1195.22099447514</v>
      </c>
      <c r="S936" s="74"/>
      <c r="T936" s="75">
        <f t="shared" si="553"/>
        <v>2.24447513812155</v>
      </c>
      <c r="U936" s="74"/>
      <c r="V936" s="75">
        <v>136</v>
      </c>
      <c r="W936" s="76">
        <f t="shared" si="551"/>
        <v>1333.46546961326</v>
      </c>
      <c r="X936" s="77">
        <f t="shared" si="554"/>
        <v>21.5789019337017</v>
      </c>
      <c r="Y936" s="77"/>
      <c r="Z936" s="77"/>
      <c r="AA936" s="77">
        <f t="shared" si="548"/>
        <v>21.5789019337017</v>
      </c>
      <c r="AB936" s="87">
        <v>7.26</v>
      </c>
      <c r="AC936" s="74">
        <f t="shared" si="546"/>
        <v>156.662828038674</v>
      </c>
      <c r="AD936" s="74">
        <f t="shared" si="547"/>
        <v>1490.12829765193</v>
      </c>
      <c r="AE936" s="74">
        <f t="shared" si="545"/>
        <v>314.925502348065</v>
      </c>
    </row>
    <row r="937" customFormat="1" spans="1:31">
      <c r="A937" s="18"/>
      <c r="B937" s="19"/>
      <c r="C937" s="107">
        <v>240726000029</v>
      </c>
      <c r="D937" s="21">
        <v>45505</v>
      </c>
      <c r="E937" s="21" t="s">
        <v>40</v>
      </c>
      <c r="F937" s="19" t="s">
        <v>41</v>
      </c>
      <c r="G937" s="19" t="s">
        <v>491</v>
      </c>
      <c r="H937" s="19">
        <v>3.5</v>
      </c>
      <c r="I937" s="41">
        <v>282.4</v>
      </c>
      <c r="J937" s="42"/>
      <c r="K937" s="43"/>
      <c r="L937" s="19"/>
      <c r="M937" s="43"/>
      <c r="N937" s="44"/>
      <c r="O937" s="45">
        <f t="shared" ref="O937:O940" si="556">SUM(I937)</f>
        <v>282.4</v>
      </c>
      <c r="P937" s="51"/>
      <c r="Q937" s="51"/>
      <c r="R937" s="74">
        <f t="shared" si="552"/>
        <v>167.330939226519</v>
      </c>
      <c r="S937" s="74"/>
      <c r="T937" s="75">
        <f t="shared" si="553"/>
        <v>0.314226519337017</v>
      </c>
      <c r="U937" s="74"/>
      <c r="V937" s="74"/>
      <c r="W937" s="76">
        <f t="shared" si="551"/>
        <v>167.645165745856</v>
      </c>
      <c r="X937" s="77">
        <f t="shared" si="554"/>
        <v>3.02104627071823</v>
      </c>
      <c r="Y937" s="77"/>
      <c r="Z937" s="77"/>
      <c r="AA937" s="77">
        <f t="shared" si="548"/>
        <v>3.02104627071823</v>
      </c>
      <c r="AB937" s="87">
        <v>7.26</v>
      </c>
      <c r="AC937" s="74">
        <f t="shared" si="546"/>
        <v>21.9327959254144</v>
      </c>
      <c r="AD937" s="74">
        <f t="shared" si="547"/>
        <v>189.57796167127</v>
      </c>
      <c r="AE937" s="74">
        <f t="shared" si="545"/>
        <v>92.8220383287296</v>
      </c>
    </row>
    <row r="938" customFormat="1" spans="1:31">
      <c r="A938" s="18"/>
      <c r="B938" s="19"/>
      <c r="C938" s="107">
        <v>240726000034</v>
      </c>
      <c r="D938" s="21">
        <v>45505</v>
      </c>
      <c r="E938" s="21" t="s">
        <v>44</v>
      </c>
      <c r="F938" s="19" t="s">
        <v>45</v>
      </c>
      <c r="G938" s="19" t="s">
        <v>143</v>
      </c>
      <c r="H938" s="19">
        <v>9.5</v>
      </c>
      <c r="I938" s="45"/>
      <c r="J938" s="48">
        <v>172679.92</v>
      </c>
      <c r="K938" s="43"/>
      <c r="L938" s="49">
        <f>SUM(J938/M938)</f>
        <v>1624.00009163924</v>
      </c>
      <c r="M938" s="50">
        <v>106.329994</v>
      </c>
      <c r="N938" s="44">
        <v>7.26</v>
      </c>
      <c r="O938" s="45">
        <f t="shared" si="555"/>
        <v>771.95575644</v>
      </c>
      <c r="P938" s="51"/>
      <c r="Q938" s="51"/>
      <c r="R938" s="74">
        <f t="shared" si="552"/>
        <v>454.183977900552</v>
      </c>
      <c r="S938" s="74"/>
      <c r="T938" s="75">
        <f t="shared" si="553"/>
        <v>0.852900552486188</v>
      </c>
      <c r="U938" s="74"/>
      <c r="V938" s="74"/>
      <c r="W938" s="76">
        <f t="shared" si="551"/>
        <v>455.036878453039</v>
      </c>
      <c r="X938" s="77">
        <f t="shared" si="554"/>
        <v>8.19998273480663</v>
      </c>
      <c r="Y938" s="77"/>
      <c r="Z938" s="77"/>
      <c r="AA938" s="77">
        <f t="shared" si="548"/>
        <v>8.19998273480663</v>
      </c>
      <c r="AB938" s="87">
        <v>7.26</v>
      </c>
      <c r="AC938" s="74">
        <f t="shared" si="546"/>
        <v>59.5318746546961</v>
      </c>
      <c r="AD938" s="74">
        <f t="shared" si="547"/>
        <v>514.568753107735</v>
      </c>
      <c r="AE938" s="74">
        <f t="shared" si="545"/>
        <v>257.387003332265</v>
      </c>
    </row>
    <row r="939" customFormat="1" spans="1:31">
      <c r="A939" s="18"/>
      <c r="B939" s="19"/>
      <c r="C939" s="107">
        <v>240726000037</v>
      </c>
      <c r="D939" s="21">
        <v>45505</v>
      </c>
      <c r="E939" s="21" t="s">
        <v>40</v>
      </c>
      <c r="F939" s="19" t="s">
        <v>41</v>
      </c>
      <c r="G939" s="19" t="s">
        <v>386</v>
      </c>
      <c r="H939" s="19">
        <v>87.5</v>
      </c>
      <c r="I939" s="41">
        <v>5512.5</v>
      </c>
      <c r="J939" s="42"/>
      <c r="K939" s="43"/>
      <c r="L939" s="19"/>
      <c r="M939" s="43"/>
      <c r="N939" s="44"/>
      <c r="O939" s="45">
        <f t="shared" si="556"/>
        <v>5512.5</v>
      </c>
      <c r="P939" s="51"/>
      <c r="Q939" s="51"/>
      <c r="R939" s="74">
        <f t="shared" si="552"/>
        <v>4183.27348066298</v>
      </c>
      <c r="S939" s="74"/>
      <c r="T939" s="75">
        <f t="shared" si="553"/>
        <v>7.85566298342541</v>
      </c>
      <c r="U939" s="74"/>
      <c r="V939" s="74"/>
      <c r="W939" s="76">
        <f t="shared" si="551"/>
        <v>4191.12914364641</v>
      </c>
      <c r="X939" s="77">
        <f t="shared" si="554"/>
        <v>75.5261567679558</v>
      </c>
      <c r="Y939" s="77"/>
      <c r="Z939" s="77"/>
      <c r="AA939" s="77">
        <f t="shared" si="548"/>
        <v>75.5261567679558</v>
      </c>
      <c r="AB939" s="87">
        <v>7.26</v>
      </c>
      <c r="AC939" s="74">
        <f t="shared" si="546"/>
        <v>548.319898135359</v>
      </c>
      <c r="AD939" s="74">
        <f t="shared" si="547"/>
        <v>4739.44904178177</v>
      </c>
      <c r="AE939" s="74">
        <f t="shared" si="545"/>
        <v>773.050958218231</v>
      </c>
    </row>
    <row r="940" customFormat="1" spans="1:31">
      <c r="A940" s="18"/>
      <c r="B940" s="19"/>
      <c r="C940" s="107">
        <v>240726000040</v>
      </c>
      <c r="D940" s="21">
        <v>45505</v>
      </c>
      <c r="E940" s="21" t="s">
        <v>47</v>
      </c>
      <c r="F940" s="19" t="s">
        <v>48</v>
      </c>
      <c r="G940" s="19" t="s">
        <v>565</v>
      </c>
      <c r="H940" s="19">
        <v>21</v>
      </c>
      <c r="I940" s="41">
        <v>1386</v>
      </c>
      <c r="J940" s="42"/>
      <c r="K940" s="43"/>
      <c r="L940" s="19"/>
      <c r="M940" s="43"/>
      <c r="N940" s="44"/>
      <c r="O940" s="45">
        <f t="shared" si="556"/>
        <v>1386</v>
      </c>
      <c r="P940" s="51"/>
      <c r="Q940" s="51"/>
      <c r="R940" s="74">
        <f t="shared" si="552"/>
        <v>1003.98563535912</v>
      </c>
      <c r="S940" s="74"/>
      <c r="T940" s="75">
        <f t="shared" si="553"/>
        <v>1.8853591160221</v>
      </c>
      <c r="U940" s="74"/>
      <c r="V940" s="74"/>
      <c r="W940" s="76">
        <f t="shared" si="551"/>
        <v>1005.87099447514</v>
      </c>
      <c r="X940" s="77">
        <f t="shared" si="554"/>
        <v>18.1262776243094</v>
      </c>
      <c r="Y940" s="77"/>
      <c r="Z940" s="77"/>
      <c r="AA940" s="77">
        <f t="shared" si="548"/>
        <v>18.1262776243094</v>
      </c>
      <c r="AB940" s="87">
        <v>7.26</v>
      </c>
      <c r="AC940" s="74">
        <f t="shared" si="546"/>
        <v>131.596775552486</v>
      </c>
      <c r="AD940" s="74">
        <f t="shared" si="547"/>
        <v>1137.46777002763</v>
      </c>
      <c r="AE940" s="74">
        <f t="shared" si="545"/>
        <v>248.532229972374</v>
      </c>
    </row>
    <row r="941" customFormat="1" spans="1:31">
      <c r="A941" s="18"/>
      <c r="B941" s="19"/>
      <c r="C941" s="107">
        <v>240727000005</v>
      </c>
      <c r="D941" s="21">
        <v>45505</v>
      </c>
      <c r="E941" s="21" t="s">
        <v>58</v>
      </c>
      <c r="F941" s="19" t="s">
        <v>59</v>
      </c>
      <c r="G941" s="19" t="s">
        <v>76</v>
      </c>
      <c r="H941" s="19">
        <v>2</v>
      </c>
      <c r="I941" s="45"/>
      <c r="J941" s="48">
        <v>27770</v>
      </c>
      <c r="K941" s="43"/>
      <c r="L941" s="49">
        <f>SUM(J941/M941)</f>
        <v>1623.97660818713</v>
      </c>
      <c r="M941" s="50">
        <v>17.1</v>
      </c>
      <c r="N941" s="44">
        <v>7.26</v>
      </c>
      <c r="O941" s="45">
        <f>SUM(M941*N941)</f>
        <v>124.146</v>
      </c>
      <c r="P941" s="51"/>
      <c r="Q941" s="51"/>
      <c r="R941" s="74">
        <f t="shared" si="552"/>
        <v>95.617679558011</v>
      </c>
      <c r="S941" s="74"/>
      <c r="T941" s="75">
        <f t="shared" si="553"/>
        <v>0.179558011049724</v>
      </c>
      <c r="U941" s="74"/>
      <c r="V941" s="74"/>
      <c r="W941" s="76">
        <f t="shared" si="551"/>
        <v>95.7972375690608</v>
      </c>
      <c r="X941" s="77">
        <f t="shared" si="554"/>
        <v>1.72631215469613</v>
      </c>
      <c r="Y941" s="77"/>
      <c r="Z941" s="77"/>
      <c r="AA941" s="77">
        <f t="shared" si="548"/>
        <v>1.72631215469613</v>
      </c>
      <c r="AB941" s="87">
        <v>7.26</v>
      </c>
      <c r="AC941" s="74">
        <f t="shared" si="546"/>
        <v>12.5330262430939</v>
      </c>
      <c r="AD941" s="74">
        <f t="shared" si="547"/>
        <v>108.330263812155</v>
      </c>
      <c r="AE941" s="74">
        <f t="shared" si="545"/>
        <v>15.8157361878453</v>
      </c>
    </row>
    <row r="942" customFormat="1" spans="1:31">
      <c r="A942" s="18"/>
      <c r="B942" s="19"/>
      <c r="C942" s="107">
        <v>240727000009</v>
      </c>
      <c r="D942" s="21">
        <v>45505</v>
      </c>
      <c r="E942" s="21" t="s">
        <v>47</v>
      </c>
      <c r="F942" s="19" t="s">
        <v>48</v>
      </c>
      <c r="G942" s="19" t="s">
        <v>280</v>
      </c>
      <c r="H942" s="19">
        <v>9.5</v>
      </c>
      <c r="I942" s="41">
        <v>602.25</v>
      </c>
      <c r="J942" s="42"/>
      <c r="K942" s="43"/>
      <c r="L942" s="19"/>
      <c r="M942" s="43"/>
      <c r="N942" s="44"/>
      <c r="O942" s="45">
        <f t="shared" ref="O942:O953" si="557">SUM(I942)</f>
        <v>602.25</v>
      </c>
      <c r="P942" s="51"/>
      <c r="Q942" s="51"/>
      <c r="R942" s="74">
        <f t="shared" si="552"/>
        <v>454.183977900552</v>
      </c>
      <c r="S942" s="74"/>
      <c r="T942" s="75">
        <f t="shared" si="553"/>
        <v>0.852900552486188</v>
      </c>
      <c r="U942" s="74"/>
      <c r="V942" s="74"/>
      <c r="W942" s="76">
        <f t="shared" si="551"/>
        <v>455.036878453039</v>
      </c>
      <c r="X942" s="77">
        <f t="shared" si="554"/>
        <v>8.19998273480663</v>
      </c>
      <c r="Y942" s="77"/>
      <c r="Z942" s="77"/>
      <c r="AA942" s="77">
        <f t="shared" si="548"/>
        <v>8.19998273480663</v>
      </c>
      <c r="AB942" s="87">
        <v>7.26</v>
      </c>
      <c r="AC942" s="74">
        <f t="shared" si="546"/>
        <v>59.5318746546961</v>
      </c>
      <c r="AD942" s="74">
        <f t="shared" si="547"/>
        <v>514.568753107735</v>
      </c>
      <c r="AE942" s="74">
        <f t="shared" si="545"/>
        <v>87.6812468922649</v>
      </c>
    </row>
    <row r="943" customFormat="1" spans="1:31">
      <c r="A943" s="18"/>
      <c r="B943" s="19"/>
      <c r="C943" s="107">
        <v>240727000013</v>
      </c>
      <c r="D943" s="21">
        <v>45505</v>
      </c>
      <c r="E943" s="21" t="s">
        <v>37</v>
      </c>
      <c r="F943" s="19" t="s">
        <v>37</v>
      </c>
      <c r="G943" s="19" t="s">
        <v>566</v>
      </c>
      <c r="H943" s="19">
        <v>3.5</v>
      </c>
      <c r="I943" s="47"/>
      <c r="J943" s="48">
        <v>65903</v>
      </c>
      <c r="K943" s="43"/>
      <c r="L943" s="49">
        <f>SUM(J943/M943)</f>
        <v>1604.65059654249</v>
      </c>
      <c r="M943" s="50">
        <v>41.07</v>
      </c>
      <c r="N943" s="44">
        <v>7.26</v>
      </c>
      <c r="O943" s="45">
        <f>SUM(M943*N943)</f>
        <v>298.1682</v>
      </c>
      <c r="P943" s="51"/>
      <c r="Q943" s="51"/>
      <c r="R943" s="74">
        <f t="shared" si="552"/>
        <v>167.330939226519</v>
      </c>
      <c r="S943" s="74"/>
      <c r="T943" s="75">
        <f t="shared" si="553"/>
        <v>0.314226519337017</v>
      </c>
      <c r="U943" s="74"/>
      <c r="V943" s="74"/>
      <c r="W943" s="76">
        <f t="shared" si="551"/>
        <v>167.645165745856</v>
      </c>
      <c r="X943" s="77">
        <f t="shared" si="554"/>
        <v>3.02104627071823</v>
      </c>
      <c r="Y943" s="77"/>
      <c r="Z943" s="77"/>
      <c r="AA943" s="77">
        <f t="shared" si="548"/>
        <v>3.02104627071823</v>
      </c>
      <c r="AB943" s="87">
        <v>7.26</v>
      </c>
      <c r="AC943" s="74">
        <f t="shared" si="546"/>
        <v>21.9327959254144</v>
      </c>
      <c r="AD943" s="74">
        <f t="shared" si="547"/>
        <v>189.57796167127</v>
      </c>
      <c r="AE943" s="74">
        <f t="shared" si="545"/>
        <v>108.59023832873</v>
      </c>
    </row>
    <row r="944" customFormat="1" spans="1:31">
      <c r="A944" s="18"/>
      <c r="B944" s="19"/>
      <c r="C944" s="107">
        <v>240727000015</v>
      </c>
      <c r="D944" s="21">
        <v>45505</v>
      </c>
      <c r="E944" s="21" t="s">
        <v>44</v>
      </c>
      <c r="F944" s="19" t="s">
        <v>45</v>
      </c>
      <c r="G944" s="19" t="s">
        <v>475</v>
      </c>
      <c r="H944" s="19">
        <v>9.5</v>
      </c>
      <c r="I944" s="41">
        <v>602.25</v>
      </c>
      <c r="J944" s="42"/>
      <c r="K944" s="43"/>
      <c r="L944" s="19"/>
      <c r="M944" s="43"/>
      <c r="N944" s="44"/>
      <c r="O944" s="45">
        <f t="shared" si="557"/>
        <v>602.25</v>
      </c>
      <c r="P944" s="51"/>
      <c r="Q944" s="51"/>
      <c r="R944" s="74">
        <f t="shared" si="552"/>
        <v>454.183977900552</v>
      </c>
      <c r="S944" s="74"/>
      <c r="T944" s="75">
        <f t="shared" si="553"/>
        <v>0.852900552486188</v>
      </c>
      <c r="U944" s="74"/>
      <c r="V944" s="74"/>
      <c r="W944" s="76">
        <f t="shared" si="551"/>
        <v>455.036878453039</v>
      </c>
      <c r="X944" s="77">
        <f t="shared" si="554"/>
        <v>8.19998273480663</v>
      </c>
      <c r="Y944" s="77"/>
      <c r="Z944" s="77"/>
      <c r="AA944" s="77">
        <f t="shared" si="548"/>
        <v>8.19998273480663</v>
      </c>
      <c r="AB944" s="87">
        <v>7.26</v>
      </c>
      <c r="AC944" s="74">
        <f t="shared" si="546"/>
        <v>59.5318746546961</v>
      </c>
      <c r="AD944" s="74">
        <f t="shared" si="547"/>
        <v>514.568753107735</v>
      </c>
      <c r="AE944" s="74">
        <f t="shared" si="545"/>
        <v>87.6812468922649</v>
      </c>
    </row>
    <row r="945" customFormat="1" spans="1:31">
      <c r="A945" s="18"/>
      <c r="B945" s="19"/>
      <c r="C945" s="107">
        <v>240728000002</v>
      </c>
      <c r="D945" s="21">
        <v>45505</v>
      </c>
      <c r="E945" s="21" t="s">
        <v>37</v>
      </c>
      <c r="F945" s="19" t="s">
        <v>37</v>
      </c>
      <c r="G945" s="19" t="s">
        <v>241</v>
      </c>
      <c r="H945" s="19">
        <v>64.5</v>
      </c>
      <c r="I945" s="41">
        <v>4041.05</v>
      </c>
      <c r="J945" s="42"/>
      <c r="K945" s="43"/>
      <c r="L945" s="19"/>
      <c r="M945" s="43"/>
      <c r="N945" s="44"/>
      <c r="O945" s="45">
        <f t="shared" si="557"/>
        <v>4041.05</v>
      </c>
      <c r="P945" s="51"/>
      <c r="Q945" s="51"/>
      <c r="R945" s="74">
        <f t="shared" si="552"/>
        <v>3083.67016574586</v>
      </c>
      <c r="S945" s="74"/>
      <c r="T945" s="75">
        <f t="shared" si="553"/>
        <v>5.79074585635359</v>
      </c>
      <c r="U945" s="74">
        <f>SUM(50+80)</f>
        <v>130</v>
      </c>
      <c r="V945" s="74"/>
      <c r="W945" s="76">
        <f t="shared" si="551"/>
        <v>3219.46091160221</v>
      </c>
      <c r="X945" s="77">
        <f t="shared" si="554"/>
        <v>55.6735669889503</v>
      </c>
      <c r="Y945" s="77"/>
      <c r="Z945" s="77"/>
      <c r="AA945" s="77">
        <f t="shared" si="548"/>
        <v>55.6735669889503</v>
      </c>
      <c r="AB945" s="87">
        <v>7.26</v>
      </c>
      <c r="AC945" s="74">
        <f t="shared" si="546"/>
        <v>404.190096339779</v>
      </c>
      <c r="AD945" s="74">
        <f t="shared" si="547"/>
        <v>3623.65100794199</v>
      </c>
      <c r="AE945" s="74">
        <f t="shared" ref="AE945:AE967" si="558">SUM(O945-AD945)</f>
        <v>417.398992058011</v>
      </c>
    </row>
    <row r="946" customFormat="1" spans="1:31">
      <c r="A946" s="18"/>
      <c r="B946" s="19"/>
      <c r="C946" s="107">
        <v>240729000003</v>
      </c>
      <c r="D946" s="21">
        <v>45505</v>
      </c>
      <c r="E946" s="21" t="s">
        <v>40</v>
      </c>
      <c r="F946" s="19" t="s">
        <v>41</v>
      </c>
      <c r="G946" s="19" t="s">
        <v>502</v>
      </c>
      <c r="H946" s="19">
        <v>5.5</v>
      </c>
      <c r="I946" s="41">
        <v>402.6</v>
      </c>
      <c r="J946" s="42"/>
      <c r="K946" s="43"/>
      <c r="L946" s="19"/>
      <c r="M946" s="43"/>
      <c r="N946" s="44"/>
      <c r="O946" s="45">
        <f t="shared" si="557"/>
        <v>402.6</v>
      </c>
      <c r="P946" s="51"/>
      <c r="Q946" s="51"/>
      <c r="R946" s="74">
        <f t="shared" si="552"/>
        <v>262.94861878453</v>
      </c>
      <c r="S946" s="74"/>
      <c r="T946" s="75">
        <f t="shared" si="553"/>
        <v>0.49378453038674</v>
      </c>
      <c r="U946" s="74"/>
      <c r="V946" s="74"/>
      <c r="W946" s="76">
        <f t="shared" si="551"/>
        <v>263.442403314917</v>
      </c>
      <c r="X946" s="77">
        <f t="shared" si="554"/>
        <v>4.74735842541436</v>
      </c>
      <c r="Y946" s="77"/>
      <c r="Z946" s="77"/>
      <c r="AA946" s="77">
        <f t="shared" si="548"/>
        <v>4.74735842541436</v>
      </c>
      <c r="AB946" s="87">
        <v>7.26</v>
      </c>
      <c r="AC946" s="74">
        <f t="shared" ref="AC946:AC967" si="559">SUM(AA946*AB946)</f>
        <v>34.4658221685083</v>
      </c>
      <c r="AD946" s="74">
        <f t="shared" ref="AD946:AD967" si="560">SUM(W946+AC946)</f>
        <v>297.908225483425</v>
      </c>
      <c r="AE946" s="74">
        <f t="shared" si="558"/>
        <v>104.691774516575</v>
      </c>
    </row>
    <row r="947" customFormat="1" spans="1:31">
      <c r="A947" s="18"/>
      <c r="B947" s="19"/>
      <c r="C947" s="107">
        <v>240729000019</v>
      </c>
      <c r="D947" s="21">
        <v>45505</v>
      </c>
      <c r="E947" s="21" t="s">
        <v>47</v>
      </c>
      <c r="F947" s="19" t="s">
        <v>48</v>
      </c>
      <c r="G947" s="19" t="s">
        <v>159</v>
      </c>
      <c r="H947" s="19">
        <v>0.14</v>
      </c>
      <c r="I947" s="41">
        <v>75.9</v>
      </c>
      <c r="J947" s="42"/>
      <c r="K947" s="43"/>
      <c r="L947" s="19"/>
      <c r="M947" s="43"/>
      <c r="N947" s="44"/>
      <c r="O947" s="45">
        <f t="shared" si="557"/>
        <v>75.9</v>
      </c>
      <c r="P947" s="51"/>
      <c r="Q947" s="51"/>
      <c r="R947" s="74">
        <f t="shared" si="552"/>
        <v>6.69323756906077</v>
      </c>
      <c r="S947" s="74"/>
      <c r="T947" s="75">
        <f t="shared" si="553"/>
        <v>0.0125690607734807</v>
      </c>
      <c r="U947" s="74"/>
      <c r="V947" s="74"/>
      <c r="W947" s="76">
        <f t="shared" si="551"/>
        <v>6.70580662983425</v>
      </c>
      <c r="X947" s="77">
        <f t="shared" si="554"/>
        <v>0.120841850828729</v>
      </c>
      <c r="Y947" s="77"/>
      <c r="Z947" s="77"/>
      <c r="AA947" s="77">
        <f t="shared" si="548"/>
        <v>0.120841850828729</v>
      </c>
      <c r="AB947" s="87">
        <v>7.26</v>
      </c>
      <c r="AC947" s="74">
        <f t="shared" si="559"/>
        <v>0.877311837016573</v>
      </c>
      <c r="AD947" s="74">
        <f t="shared" si="560"/>
        <v>7.58311846685082</v>
      </c>
      <c r="AE947" s="74">
        <f t="shared" si="558"/>
        <v>68.3168815331492</v>
      </c>
    </row>
    <row r="948" customFormat="1" spans="1:31">
      <c r="A948" s="18"/>
      <c r="B948" s="19"/>
      <c r="C948" s="109">
        <v>240729000021</v>
      </c>
      <c r="D948" s="23">
        <v>45505</v>
      </c>
      <c r="E948" s="21" t="s">
        <v>44</v>
      </c>
      <c r="F948" s="24" t="s">
        <v>45</v>
      </c>
      <c r="G948" s="24" t="s">
        <v>567</v>
      </c>
      <c r="H948" s="24">
        <v>10</v>
      </c>
      <c r="I948" s="53">
        <v>660</v>
      </c>
      <c r="J948" s="42"/>
      <c r="K948" s="43"/>
      <c r="L948" s="19"/>
      <c r="M948" s="43"/>
      <c r="N948" s="44"/>
      <c r="O948" s="45">
        <f t="shared" si="557"/>
        <v>660</v>
      </c>
      <c r="P948" s="51"/>
      <c r="Q948" s="51"/>
      <c r="R948" s="74">
        <f t="shared" si="552"/>
        <v>478.088397790055</v>
      </c>
      <c r="S948" s="74"/>
      <c r="T948" s="75">
        <f t="shared" si="553"/>
        <v>0.897790055248619</v>
      </c>
      <c r="U948" s="74">
        <v>30</v>
      </c>
      <c r="V948" s="74"/>
      <c r="W948" s="76">
        <f t="shared" si="551"/>
        <v>508.986187845304</v>
      </c>
      <c r="X948" s="77">
        <f t="shared" si="554"/>
        <v>8.63156077348066</v>
      </c>
      <c r="Y948" s="77"/>
      <c r="Z948" s="77"/>
      <c r="AA948" s="77">
        <f t="shared" ref="AA948:AA967" si="561">SUM(X948:Z948)</f>
        <v>8.63156077348066</v>
      </c>
      <c r="AB948" s="87">
        <v>7.26</v>
      </c>
      <c r="AC948" s="74">
        <f t="shared" si="559"/>
        <v>62.6651312154696</v>
      </c>
      <c r="AD948" s="74">
        <f t="shared" si="560"/>
        <v>571.651319060773</v>
      </c>
      <c r="AE948" s="74">
        <f t="shared" si="558"/>
        <v>88.3486809392266</v>
      </c>
    </row>
    <row r="949" customFormat="1" spans="1:31">
      <c r="A949" s="18"/>
      <c r="B949" s="19"/>
      <c r="C949" s="107">
        <v>240729000027</v>
      </c>
      <c r="D949" s="21">
        <v>45505</v>
      </c>
      <c r="E949" s="21" t="s">
        <v>44</v>
      </c>
      <c r="F949" s="19" t="s">
        <v>45</v>
      </c>
      <c r="G949" s="19" t="s">
        <v>568</v>
      </c>
      <c r="H949" s="19">
        <v>4</v>
      </c>
      <c r="I949" s="41">
        <v>293.7</v>
      </c>
      <c r="J949" s="42"/>
      <c r="K949" s="43"/>
      <c r="L949" s="19"/>
      <c r="M949" s="43"/>
      <c r="N949" s="44"/>
      <c r="O949" s="45">
        <f t="shared" si="557"/>
        <v>293.7</v>
      </c>
      <c r="P949" s="51"/>
      <c r="Q949" s="51"/>
      <c r="R949" s="74">
        <f t="shared" si="552"/>
        <v>191.235359116022</v>
      </c>
      <c r="S949" s="74"/>
      <c r="T949" s="75">
        <f t="shared" si="553"/>
        <v>0.359116022099448</v>
      </c>
      <c r="U949" s="74"/>
      <c r="V949" s="74"/>
      <c r="W949" s="76">
        <f t="shared" si="551"/>
        <v>191.594475138122</v>
      </c>
      <c r="X949" s="77">
        <f t="shared" si="554"/>
        <v>3.45262430939226</v>
      </c>
      <c r="Y949" s="77"/>
      <c r="Z949" s="77"/>
      <c r="AA949" s="77">
        <f t="shared" si="561"/>
        <v>3.45262430939226</v>
      </c>
      <c r="AB949" s="87">
        <v>7.26</v>
      </c>
      <c r="AC949" s="74">
        <f t="shared" si="559"/>
        <v>25.0660524861878</v>
      </c>
      <c r="AD949" s="74">
        <f t="shared" si="560"/>
        <v>216.660527624309</v>
      </c>
      <c r="AE949" s="74">
        <f t="shared" si="558"/>
        <v>77.0394723756906</v>
      </c>
    </row>
    <row r="950" customFormat="1" spans="1:31">
      <c r="A950" s="18"/>
      <c r="B950" s="19"/>
      <c r="C950" s="107">
        <v>240729000029</v>
      </c>
      <c r="D950" s="21">
        <v>45505</v>
      </c>
      <c r="E950" s="21" t="s">
        <v>40</v>
      </c>
      <c r="F950" s="19" t="s">
        <v>41</v>
      </c>
      <c r="G950" s="19" t="s">
        <v>569</v>
      </c>
      <c r="H950" s="19">
        <v>19</v>
      </c>
      <c r="I950" s="41">
        <v>1175</v>
      </c>
      <c r="J950" s="42"/>
      <c r="K950" s="43"/>
      <c r="L950" s="19"/>
      <c r="M950" s="43"/>
      <c r="N950" s="44"/>
      <c r="O950" s="45">
        <f t="shared" si="557"/>
        <v>1175</v>
      </c>
      <c r="P950" s="51"/>
      <c r="Q950" s="51"/>
      <c r="R950" s="74">
        <f t="shared" si="552"/>
        <v>908.367955801105</v>
      </c>
      <c r="S950" s="74"/>
      <c r="T950" s="75">
        <f t="shared" si="553"/>
        <v>1.70580110497238</v>
      </c>
      <c r="U950" s="74"/>
      <c r="V950" s="74"/>
      <c r="W950" s="76">
        <f t="shared" si="551"/>
        <v>910.073756906077</v>
      </c>
      <c r="X950" s="77">
        <f t="shared" si="554"/>
        <v>16.3999654696133</v>
      </c>
      <c r="Y950" s="77"/>
      <c r="Z950" s="77"/>
      <c r="AA950" s="77">
        <f t="shared" si="561"/>
        <v>16.3999654696133</v>
      </c>
      <c r="AB950" s="87">
        <v>7.26</v>
      </c>
      <c r="AC950" s="74">
        <f t="shared" si="559"/>
        <v>119.063749309392</v>
      </c>
      <c r="AD950" s="74">
        <f t="shared" si="560"/>
        <v>1029.13750621547</v>
      </c>
      <c r="AE950" s="74">
        <f t="shared" si="558"/>
        <v>145.86249378453</v>
      </c>
    </row>
    <row r="951" customFormat="1" spans="1:31">
      <c r="A951" s="18"/>
      <c r="B951" s="19"/>
      <c r="C951" s="107">
        <v>240729000031</v>
      </c>
      <c r="D951" s="21">
        <v>45505</v>
      </c>
      <c r="E951" s="21" t="s">
        <v>40</v>
      </c>
      <c r="F951" s="19" t="s">
        <v>41</v>
      </c>
      <c r="G951" s="19" t="s">
        <v>525</v>
      </c>
      <c r="H951" s="19">
        <v>7</v>
      </c>
      <c r="I951" s="41">
        <v>617.5</v>
      </c>
      <c r="J951" s="42"/>
      <c r="K951" s="43"/>
      <c r="L951" s="19"/>
      <c r="M951" s="43"/>
      <c r="N951" s="44"/>
      <c r="O951" s="45">
        <f t="shared" si="557"/>
        <v>617.5</v>
      </c>
      <c r="P951" s="51"/>
      <c r="Q951" s="51"/>
      <c r="R951" s="74">
        <f t="shared" si="552"/>
        <v>334.661878453039</v>
      </c>
      <c r="S951" s="74"/>
      <c r="T951" s="75">
        <f t="shared" si="553"/>
        <v>0.628453038674033</v>
      </c>
      <c r="U951" s="74"/>
      <c r="V951" s="74"/>
      <c r="W951" s="76">
        <f t="shared" si="551"/>
        <v>335.290331491713</v>
      </c>
      <c r="X951" s="77">
        <f t="shared" si="554"/>
        <v>6.04209254143646</v>
      </c>
      <c r="Y951" s="77"/>
      <c r="Z951" s="77"/>
      <c r="AA951" s="77">
        <f t="shared" si="561"/>
        <v>6.04209254143646</v>
      </c>
      <c r="AB951" s="87">
        <v>7.26</v>
      </c>
      <c r="AC951" s="74">
        <f t="shared" si="559"/>
        <v>43.8655918508287</v>
      </c>
      <c r="AD951" s="74">
        <f t="shared" si="560"/>
        <v>379.155923342541</v>
      </c>
      <c r="AE951" s="74">
        <f t="shared" si="558"/>
        <v>238.344076657459</v>
      </c>
    </row>
    <row r="952" customFormat="1" spans="1:31">
      <c r="A952" s="18"/>
      <c r="B952" s="19"/>
      <c r="C952" s="107">
        <v>240729000032</v>
      </c>
      <c r="D952" s="21">
        <v>45505</v>
      </c>
      <c r="E952" s="21" t="s">
        <v>44</v>
      </c>
      <c r="F952" s="19" t="s">
        <v>45</v>
      </c>
      <c r="G952" s="19" t="s">
        <v>570</v>
      </c>
      <c r="H952" s="19">
        <v>5.5</v>
      </c>
      <c r="I952" s="41">
        <v>386.3</v>
      </c>
      <c r="J952" s="42"/>
      <c r="K952" s="43"/>
      <c r="L952" s="19"/>
      <c r="M952" s="43"/>
      <c r="N952" s="44"/>
      <c r="O952" s="45">
        <f t="shared" si="557"/>
        <v>386.3</v>
      </c>
      <c r="P952" s="51"/>
      <c r="Q952" s="51"/>
      <c r="R952" s="74">
        <f t="shared" si="552"/>
        <v>262.94861878453</v>
      </c>
      <c r="S952" s="74"/>
      <c r="T952" s="75">
        <f t="shared" si="553"/>
        <v>0.49378453038674</v>
      </c>
      <c r="U952" s="74"/>
      <c r="V952" s="74"/>
      <c r="W952" s="76">
        <f t="shared" si="551"/>
        <v>263.442403314917</v>
      </c>
      <c r="X952" s="77">
        <f t="shared" si="554"/>
        <v>4.74735842541436</v>
      </c>
      <c r="Y952" s="77">
        <v>2.7</v>
      </c>
      <c r="Z952" s="77"/>
      <c r="AA952" s="77">
        <f t="shared" si="561"/>
        <v>7.44735842541436</v>
      </c>
      <c r="AB952" s="87">
        <v>7.26</v>
      </c>
      <c r="AC952" s="74">
        <f t="shared" si="559"/>
        <v>54.0678221685083</v>
      </c>
      <c r="AD952" s="74">
        <f t="shared" si="560"/>
        <v>317.510225483425</v>
      </c>
      <c r="AE952" s="74">
        <f t="shared" si="558"/>
        <v>68.7897745165746</v>
      </c>
    </row>
    <row r="953" customFormat="1" spans="1:31">
      <c r="A953" s="18"/>
      <c r="B953" s="19"/>
      <c r="C953" s="107">
        <v>240729000037</v>
      </c>
      <c r="D953" s="21">
        <v>45505</v>
      </c>
      <c r="E953" s="21" t="s">
        <v>44</v>
      </c>
      <c r="F953" s="19" t="s">
        <v>45</v>
      </c>
      <c r="G953" s="19" t="s">
        <v>571</v>
      </c>
      <c r="H953" s="19">
        <v>4.5</v>
      </c>
      <c r="I953" s="41">
        <v>382.2</v>
      </c>
      <c r="J953" s="42"/>
      <c r="K953" s="43"/>
      <c r="L953" s="19"/>
      <c r="M953" s="43"/>
      <c r="N953" s="44"/>
      <c r="O953" s="45">
        <f t="shared" si="557"/>
        <v>382.2</v>
      </c>
      <c r="P953" s="51"/>
      <c r="Q953" s="51"/>
      <c r="R953" s="74">
        <f t="shared" si="552"/>
        <v>215.139779005525</v>
      </c>
      <c r="S953" s="74"/>
      <c r="T953" s="75">
        <f t="shared" si="553"/>
        <v>0.404005524861878</v>
      </c>
      <c r="U953" s="74"/>
      <c r="V953" s="74"/>
      <c r="W953" s="76">
        <f t="shared" si="551"/>
        <v>215.543784530387</v>
      </c>
      <c r="X953" s="77">
        <f t="shared" si="554"/>
        <v>3.8842023480663</v>
      </c>
      <c r="Y953" s="77"/>
      <c r="Z953" s="77"/>
      <c r="AA953" s="77">
        <f t="shared" si="561"/>
        <v>3.8842023480663</v>
      </c>
      <c r="AB953" s="87">
        <v>7.26</v>
      </c>
      <c r="AC953" s="74">
        <f t="shared" si="559"/>
        <v>28.1993090469613</v>
      </c>
      <c r="AD953" s="74">
        <f t="shared" si="560"/>
        <v>243.743093577348</v>
      </c>
      <c r="AE953" s="74">
        <f t="shared" si="558"/>
        <v>138.456906422652</v>
      </c>
    </row>
    <row r="954" customFormat="1" spans="1:31">
      <c r="A954" s="18"/>
      <c r="B954" s="19"/>
      <c r="C954" s="107">
        <v>240729000050</v>
      </c>
      <c r="D954" s="21">
        <v>45505</v>
      </c>
      <c r="E954" s="21" t="s">
        <v>40</v>
      </c>
      <c r="F954" s="19" t="s">
        <v>41</v>
      </c>
      <c r="G954" s="19" t="s">
        <v>165</v>
      </c>
      <c r="H954" s="19">
        <v>9</v>
      </c>
      <c r="I954" s="47"/>
      <c r="J954" s="48">
        <v>138620</v>
      </c>
      <c r="K954" s="43"/>
      <c r="L954" s="49">
        <f t="shared" ref="L954:L956" si="562">SUM(J954/M954)</f>
        <v>1735.35302954432</v>
      </c>
      <c r="M954" s="50">
        <v>79.88</v>
      </c>
      <c r="N954" s="44">
        <v>7.26</v>
      </c>
      <c r="O954" s="45">
        <f t="shared" ref="O954:O956" si="563">SUM(M954*N954)</f>
        <v>579.9288</v>
      </c>
      <c r="P954" s="51"/>
      <c r="Q954" s="51"/>
      <c r="R954" s="74">
        <f t="shared" si="552"/>
        <v>430.27955801105</v>
      </c>
      <c r="S954" s="74"/>
      <c r="T954" s="75">
        <f t="shared" si="553"/>
        <v>0.808011049723757</v>
      </c>
      <c r="U954" s="74"/>
      <c r="V954" s="75">
        <v>42</v>
      </c>
      <c r="W954" s="76">
        <f t="shared" si="551"/>
        <v>473.087569060773</v>
      </c>
      <c r="X954" s="77">
        <f t="shared" si="554"/>
        <v>7.7684046961326</v>
      </c>
      <c r="Y954" s="77"/>
      <c r="Z954" s="77"/>
      <c r="AA954" s="77">
        <f t="shared" si="561"/>
        <v>7.7684046961326</v>
      </c>
      <c r="AB954" s="87">
        <v>7.26</v>
      </c>
      <c r="AC954" s="74">
        <f t="shared" si="559"/>
        <v>56.3986180939226</v>
      </c>
      <c r="AD954" s="74">
        <f t="shared" si="560"/>
        <v>529.486187154696</v>
      </c>
      <c r="AE954" s="74">
        <f t="shared" si="558"/>
        <v>50.4426128453039</v>
      </c>
    </row>
    <row r="955" customFormat="1" spans="1:31">
      <c r="A955" s="18"/>
      <c r="B955" s="19"/>
      <c r="C955" s="107">
        <v>240729000059</v>
      </c>
      <c r="D955" s="21">
        <v>45505</v>
      </c>
      <c r="E955" s="21" t="s">
        <v>40</v>
      </c>
      <c r="F955" s="19" t="s">
        <v>41</v>
      </c>
      <c r="G955" s="19" t="s">
        <v>87</v>
      </c>
      <c r="H955" s="19">
        <v>7.5</v>
      </c>
      <c r="I955" s="47"/>
      <c r="J955" s="48">
        <v>110662.5</v>
      </c>
      <c r="K955" s="43"/>
      <c r="L955" s="49">
        <f t="shared" si="562"/>
        <v>1648.23503127793</v>
      </c>
      <c r="M955" s="50">
        <v>67.14</v>
      </c>
      <c r="N955" s="44">
        <v>7.26</v>
      </c>
      <c r="O955" s="45">
        <f t="shared" si="563"/>
        <v>487.4364</v>
      </c>
      <c r="P955" s="51"/>
      <c r="Q955" s="51"/>
      <c r="R955" s="74">
        <f t="shared" si="552"/>
        <v>358.566298342541</v>
      </c>
      <c r="S955" s="74"/>
      <c r="T955" s="75">
        <f t="shared" si="553"/>
        <v>0.673342541436464</v>
      </c>
      <c r="U955" s="74"/>
      <c r="V955" s="74"/>
      <c r="W955" s="76">
        <f t="shared" si="551"/>
        <v>359.239640883978</v>
      </c>
      <c r="X955" s="77">
        <f t="shared" si="554"/>
        <v>6.4736705801105</v>
      </c>
      <c r="Y955" s="77"/>
      <c r="Z955" s="77"/>
      <c r="AA955" s="77">
        <f t="shared" si="561"/>
        <v>6.4736705801105</v>
      </c>
      <c r="AB955" s="87">
        <v>7.26</v>
      </c>
      <c r="AC955" s="74">
        <f t="shared" si="559"/>
        <v>46.9988484116022</v>
      </c>
      <c r="AD955" s="74">
        <f t="shared" si="560"/>
        <v>406.23848929558</v>
      </c>
      <c r="AE955" s="74">
        <f t="shared" si="558"/>
        <v>81.1979107044199</v>
      </c>
    </row>
    <row r="956" customFormat="1" spans="1:31">
      <c r="A956" s="18"/>
      <c r="B956" s="19"/>
      <c r="C956" s="107">
        <v>240729000062</v>
      </c>
      <c r="D956" s="21">
        <v>45505</v>
      </c>
      <c r="E956" s="21" t="s">
        <v>81</v>
      </c>
      <c r="F956" s="19" t="s">
        <v>270</v>
      </c>
      <c r="G956" s="19" t="s">
        <v>572</v>
      </c>
      <c r="H956" s="19">
        <v>4</v>
      </c>
      <c r="I956" s="45"/>
      <c r="J956" s="48">
        <v>60000</v>
      </c>
      <c r="K956" s="43"/>
      <c r="L956" s="49">
        <f t="shared" si="562"/>
        <v>1618.55948206097</v>
      </c>
      <c r="M956" s="50">
        <v>37.07</v>
      </c>
      <c r="N956" s="44">
        <v>7.26</v>
      </c>
      <c r="O956" s="45">
        <f t="shared" si="563"/>
        <v>269.1282</v>
      </c>
      <c r="P956" s="51"/>
      <c r="Q956" s="51"/>
      <c r="R956" s="74">
        <f t="shared" si="552"/>
        <v>191.235359116022</v>
      </c>
      <c r="S956" s="74"/>
      <c r="T956" s="75">
        <f t="shared" si="553"/>
        <v>0.359116022099448</v>
      </c>
      <c r="U956" s="74"/>
      <c r="V956" s="74"/>
      <c r="W956" s="76">
        <f t="shared" si="551"/>
        <v>191.594475138122</v>
      </c>
      <c r="X956" s="77">
        <f t="shared" si="554"/>
        <v>3.45262430939226</v>
      </c>
      <c r="Y956" s="77"/>
      <c r="Z956" s="77"/>
      <c r="AA956" s="77">
        <f t="shared" si="561"/>
        <v>3.45262430939226</v>
      </c>
      <c r="AB956" s="87">
        <v>7.26</v>
      </c>
      <c r="AC956" s="74">
        <f t="shared" si="559"/>
        <v>25.0660524861878</v>
      </c>
      <c r="AD956" s="74">
        <f t="shared" si="560"/>
        <v>216.660527624309</v>
      </c>
      <c r="AE956" s="74">
        <f t="shared" si="558"/>
        <v>52.4676723756906</v>
      </c>
    </row>
    <row r="957" customFormat="1" spans="1:31">
      <c r="A957" s="18"/>
      <c r="B957" s="19"/>
      <c r="C957" s="107">
        <v>240730000005</v>
      </c>
      <c r="D957" s="21">
        <v>45505</v>
      </c>
      <c r="E957" s="21" t="s">
        <v>47</v>
      </c>
      <c r="F957" s="19" t="s">
        <v>48</v>
      </c>
      <c r="G957" s="19" t="s">
        <v>532</v>
      </c>
      <c r="H957" s="19">
        <v>0.65</v>
      </c>
      <c r="I957" s="41">
        <v>76</v>
      </c>
      <c r="J957" s="42"/>
      <c r="K957" s="43"/>
      <c r="L957" s="19"/>
      <c r="M957" s="43"/>
      <c r="N957" s="44"/>
      <c r="O957" s="45">
        <f t="shared" ref="O957:O965" si="564">SUM(I957)</f>
        <v>76</v>
      </c>
      <c r="P957" s="51"/>
      <c r="Q957" s="51"/>
      <c r="R957" s="74">
        <f t="shared" si="552"/>
        <v>31.0757458563536</v>
      </c>
      <c r="S957" s="74"/>
      <c r="T957" s="75">
        <f t="shared" si="553"/>
        <v>0.0583563535911602</v>
      </c>
      <c r="U957" s="74"/>
      <c r="V957" s="74"/>
      <c r="W957" s="76">
        <f t="shared" si="551"/>
        <v>31.1341022099448</v>
      </c>
      <c r="X957" s="77">
        <f t="shared" si="554"/>
        <v>0.561051450276243</v>
      </c>
      <c r="Y957" s="77"/>
      <c r="Z957" s="77"/>
      <c r="AA957" s="77">
        <f t="shared" si="561"/>
        <v>0.561051450276243</v>
      </c>
      <c r="AB957" s="87">
        <v>7.26</v>
      </c>
      <c r="AC957" s="74">
        <f t="shared" si="559"/>
        <v>4.07323352900552</v>
      </c>
      <c r="AD957" s="74">
        <f t="shared" si="560"/>
        <v>35.2073357389503</v>
      </c>
      <c r="AE957" s="74">
        <f t="shared" si="558"/>
        <v>40.7926642610497</v>
      </c>
    </row>
    <row r="958" customFormat="1" spans="1:31">
      <c r="A958" s="18"/>
      <c r="B958" s="19"/>
      <c r="C958" s="107">
        <v>240730000008</v>
      </c>
      <c r="D958" s="21">
        <v>45505</v>
      </c>
      <c r="E958" s="21" t="s">
        <v>40</v>
      </c>
      <c r="F958" s="19" t="s">
        <v>41</v>
      </c>
      <c r="G958" s="19" t="s">
        <v>253</v>
      </c>
      <c r="H958" s="19">
        <v>5</v>
      </c>
      <c r="I958" s="41">
        <v>366.3</v>
      </c>
      <c r="J958" s="42"/>
      <c r="K958" s="43"/>
      <c r="L958" s="19"/>
      <c r="M958" s="43"/>
      <c r="N958" s="44"/>
      <c r="O958" s="45">
        <f t="shared" si="564"/>
        <v>366.3</v>
      </c>
      <c r="P958" s="51"/>
      <c r="Q958" s="51"/>
      <c r="R958" s="74">
        <f t="shared" si="552"/>
        <v>239.044198895028</v>
      </c>
      <c r="S958" s="74"/>
      <c r="T958" s="75">
        <f t="shared" si="553"/>
        <v>0.448895027624309</v>
      </c>
      <c r="U958" s="74"/>
      <c r="V958" s="74"/>
      <c r="W958" s="76">
        <f t="shared" si="551"/>
        <v>239.493093922652</v>
      </c>
      <c r="X958" s="77">
        <f t="shared" si="554"/>
        <v>4.31578038674033</v>
      </c>
      <c r="Y958" s="77"/>
      <c r="Z958" s="77"/>
      <c r="AA958" s="77">
        <f t="shared" si="561"/>
        <v>4.31578038674033</v>
      </c>
      <c r="AB958" s="87">
        <v>7.26</v>
      </c>
      <c r="AC958" s="74">
        <f t="shared" si="559"/>
        <v>31.3325656077348</v>
      </c>
      <c r="AD958" s="74">
        <f t="shared" si="560"/>
        <v>270.825659530387</v>
      </c>
      <c r="AE958" s="74">
        <f t="shared" si="558"/>
        <v>95.4743404696133</v>
      </c>
    </row>
    <row r="959" customFormat="1" spans="1:31">
      <c r="A959" s="18"/>
      <c r="B959" s="19"/>
      <c r="C959" s="107">
        <v>240730000013</v>
      </c>
      <c r="D959" s="21">
        <v>45505</v>
      </c>
      <c r="E959" s="21" t="s">
        <v>44</v>
      </c>
      <c r="F959" s="19" t="s">
        <v>45</v>
      </c>
      <c r="G959" s="19" t="s">
        <v>106</v>
      </c>
      <c r="H959" s="19">
        <v>8</v>
      </c>
      <c r="I959" s="47"/>
      <c r="J959" s="48">
        <v>125103</v>
      </c>
      <c r="K959" s="43"/>
      <c r="L959" s="49">
        <f>SUM(J959/M959)</f>
        <v>1619.03714248738</v>
      </c>
      <c r="M959" s="50">
        <v>77.27</v>
      </c>
      <c r="N959" s="44">
        <v>7.26</v>
      </c>
      <c r="O959" s="45">
        <f>SUM(M959*N959)</f>
        <v>560.9802</v>
      </c>
      <c r="P959" s="51"/>
      <c r="Q959" s="51"/>
      <c r="R959" s="74">
        <f t="shared" si="552"/>
        <v>382.470718232044</v>
      </c>
      <c r="S959" s="74"/>
      <c r="T959" s="75">
        <f t="shared" si="553"/>
        <v>0.718232044198895</v>
      </c>
      <c r="U959" s="74"/>
      <c r="V959" s="74"/>
      <c r="W959" s="76">
        <f t="shared" si="551"/>
        <v>383.188950276243</v>
      </c>
      <c r="X959" s="77">
        <f t="shared" si="554"/>
        <v>6.90524861878453</v>
      </c>
      <c r="Y959" s="77"/>
      <c r="Z959" s="77"/>
      <c r="AA959" s="77">
        <f t="shared" si="561"/>
        <v>6.90524861878453</v>
      </c>
      <c r="AB959" s="87">
        <v>7.26</v>
      </c>
      <c r="AC959" s="74">
        <f t="shared" si="559"/>
        <v>50.1321049723757</v>
      </c>
      <c r="AD959" s="74">
        <f t="shared" si="560"/>
        <v>433.321055248619</v>
      </c>
      <c r="AE959" s="74">
        <f t="shared" si="558"/>
        <v>127.659144751381</v>
      </c>
    </row>
    <row r="960" customFormat="1" spans="1:31">
      <c r="A960" s="18"/>
      <c r="B960" s="19"/>
      <c r="C960" s="107">
        <v>240730000016</v>
      </c>
      <c r="D960" s="21">
        <v>45505</v>
      </c>
      <c r="E960" s="21" t="s">
        <v>40</v>
      </c>
      <c r="F960" s="19" t="s">
        <v>41</v>
      </c>
      <c r="G960" s="19" t="s">
        <v>93</v>
      </c>
      <c r="H960" s="19">
        <v>6</v>
      </c>
      <c r="I960" s="41">
        <v>390</v>
      </c>
      <c r="J960" s="42"/>
      <c r="K960" s="43"/>
      <c r="L960" s="19"/>
      <c r="M960" s="43"/>
      <c r="N960" s="44"/>
      <c r="O960" s="45">
        <f t="shared" si="564"/>
        <v>390</v>
      </c>
      <c r="P960" s="51"/>
      <c r="Q960" s="51"/>
      <c r="R960" s="74">
        <f t="shared" si="552"/>
        <v>286.853038674033</v>
      </c>
      <c r="S960" s="74"/>
      <c r="T960" s="75">
        <f t="shared" si="553"/>
        <v>0.538674033149171</v>
      </c>
      <c r="U960" s="74"/>
      <c r="V960" s="74"/>
      <c r="W960" s="76">
        <f t="shared" si="551"/>
        <v>287.391712707182</v>
      </c>
      <c r="X960" s="77">
        <f t="shared" si="554"/>
        <v>5.1789364640884</v>
      </c>
      <c r="Y960" s="77"/>
      <c r="Z960" s="77"/>
      <c r="AA960" s="77">
        <f t="shared" si="561"/>
        <v>5.1789364640884</v>
      </c>
      <c r="AB960" s="87">
        <v>7.26</v>
      </c>
      <c r="AC960" s="74">
        <f t="shared" si="559"/>
        <v>37.5990787292818</v>
      </c>
      <c r="AD960" s="74">
        <f t="shared" si="560"/>
        <v>324.990791436464</v>
      </c>
      <c r="AE960" s="74">
        <f t="shared" si="558"/>
        <v>65.0092085635359</v>
      </c>
    </row>
    <row r="961" customFormat="1" spans="1:31">
      <c r="A961" s="18"/>
      <c r="B961" s="19"/>
      <c r="C961" s="107">
        <v>240730000019</v>
      </c>
      <c r="D961" s="21">
        <v>45505</v>
      </c>
      <c r="E961" s="21" t="s">
        <v>55</v>
      </c>
      <c r="F961" s="19" t="s">
        <v>56</v>
      </c>
      <c r="G961" s="19" t="s">
        <v>138</v>
      </c>
      <c r="H961" s="19">
        <v>2</v>
      </c>
      <c r="I961" s="41">
        <v>167.3</v>
      </c>
      <c r="J961" s="42"/>
      <c r="K961" s="43"/>
      <c r="L961" s="19"/>
      <c r="M961" s="43"/>
      <c r="N961" s="44"/>
      <c r="O961" s="45">
        <f t="shared" si="564"/>
        <v>167.3</v>
      </c>
      <c r="P961" s="51"/>
      <c r="Q961" s="51"/>
      <c r="R961" s="74">
        <f t="shared" si="552"/>
        <v>95.617679558011</v>
      </c>
      <c r="S961" s="74"/>
      <c r="T961" s="75">
        <f t="shared" si="553"/>
        <v>0.179558011049724</v>
      </c>
      <c r="U961" s="74"/>
      <c r="V961" s="74"/>
      <c r="W961" s="76">
        <f t="shared" si="551"/>
        <v>95.7972375690608</v>
      </c>
      <c r="X961" s="77">
        <f t="shared" si="554"/>
        <v>1.72631215469613</v>
      </c>
      <c r="Y961" s="77">
        <v>4.4</v>
      </c>
      <c r="Z961" s="77"/>
      <c r="AA961" s="77">
        <f t="shared" si="561"/>
        <v>6.12631215469613</v>
      </c>
      <c r="AB961" s="87">
        <v>7.26</v>
      </c>
      <c r="AC961" s="74">
        <f t="shared" si="559"/>
        <v>44.4770262430939</v>
      </c>
      <c r="AD961" s="74">
        <f t="shared" si="560"/>
        <v>140.274263812155</v>
      </c>
      <c r="AE961" s="74">
        <f t="shared" si="558"/>
        <v>27.0257361878453</v>
      </c>
    </row>
    <row r="962" customFormat="1" spans="1:31">
      <c r="A962" s="18"/>
      <c r="B962" s="19"/>
      <c r="C962" s="107">
        <v>240730000020</v>
      </c>
      <c r="D962" s="21">
        <v>45505</v>
      </c>
      <c r="E962" s="21" t="s">
        <v>37</v>
      </c>
      <c r="F962" s="19" t="s">
        <v>37</v>
      </c>
      <c r="G962" s="19" t="s">
        <v>201</v>
      </c>
      <c r="H962" s="19">
        <v>97</v>
      </c>
      <c r="I962" s="41">
        <v>9471</v>
      </c>
      <c r="J962" s="42"/>
      <c r="K962" s="43"/>
      <c r="L962" s="19"/>
      <c r="M962" s="43"/>
      <c r="N962" s="44"/>
      <c r="O962" s="45">
        <f t="shared" si="564"/>
        <v>9471</v>
      </c>
      <c r="P962" s="51"/>
      <c r="Q962" s="51"/>
      <c r="R962" s="74">
        <f t="shared" si="552"/>
        <v>4637.45745856354</v>
      </c>
      <c r="S962" s="74"/>
      <c r="T962" s="75">
        <f t="shared" si="553"/>
        <v>8.7085635359116</v>
      </c>
      <c r="U962" s="74"/>
      <c r="V962" s="74"/>
      <c r="W962" s="76">
        <f t="shared" si="551"/>
        <v>4646.16602209945</v>
      </c>
      <c r="X962" s="77">
        <f t="shared" si="554"/>
        <v>83.7261395027624</v>
      </c>
      <c r="Y962" s="77"/>
      <c r="Z962" s="77"/>
      <c r="AA962" s="77">
        <f t="shared" si="561"/>
        <v>83.7261395027624</v>
      </c>
      <c r="AB962" s="87">
        <v>7.26</v>
      </c>
      <c r="AC962" s="74">
        <f t="shared" si="559"/>
        <v>607.851772790055</v>
      </c>
      <c r="AD962" s="74">
        <f t="shared" si="560"/>
        <v>5254.0177948895</v>
      </c>
      <c r="AE962" s="74">
        <f t="shared" si="558"/>
        <v>4216.9822051105</v>
      </c>
    </row>
    <row r="963" customFormat="1" spans="1:31">
      <c r="A963" s="18"/>
      <c r="B963" s="19"/>
      <c r="C963" s="107">
        <v>240730000022</v>
      </c>
      <c r="D963" s="21">
        <v>45505</v>
      </c>
      <c r="E963" s="21" t="s">
        <v>58</v>
      </c>
      <c r="F963" s="19" t="s">
        <v>59</v>
      </c>
      <c r="G963" s="19" t="s">
        <v>133</v>
      </c>
      <c r="H963" s="19">
        <v>23</v>
      </c>
      <c r="I963" s="41">
        <v>1370.8</v>
      </c>
      <c r="J963" s="42"/>
      <c r="K963" s="43"/>
      <c r="L963" s="19"/>
      <c r="M963" s="43"/>
      <c r="N963" s="44"/>
      <c r="O963" s="45">
        <f t="shared" si="564"/>
        <v>1370.8</v>
      </c>
      <c r="P963" s="51"/>
      <c r="Q963" s="51"/>
      <c r="R963" s="74">
        <f t="shared" si="552"/>
        <v>1099.60331491713</v>
      </c>
      <c r="S963" s="74"/>
      <c r="T963" s="75">
        <f t="shared" si="553"/>
        <v>2.06491712707182</v>
      </c>
      <c r="U963" s="74"/>
      <c r="V963" s="74"/>
      <c r="W963" s="76">
        <f t="shared" si="551"/>
        <v>1101.6682320442</v>
      </c>
      <c r="X963" s="77">
        <f t="shared" si="554"/>
        <v>19.8525897790055</v>
      </c>
      <c r="Y963" s="77"/>
      <c r="Z963" s="77"/>
      <c r="AA963" s="77">
        <f t="shared" si="561"/>
        <v>19.8525897790055</v>
      </c>
      <c r="AB963" s="87">
        <v>7.26</v>
      </c>
      <c r="AC963" s="74">
        <f t="shared" si="559"/>
        <v>144.12980179558</v>
      </c>
      <c r="AD963" s="74">
        <f t="shared" si="560"/>
        <v>1245.79803383978</v>
      </c>
      <c r="AE963" s="74">
        <f t="shared" si="558"/>
        <v>125.001966160221</v>
      </c>
    </row>
    <row r="964" customFormat="1" spans="1:31">
      <c r="A964" s="18"/>
      <c r="B964" s="19"/>
      <c r="C964" s="107">
        <v>240730000040</v>
      </c>
      <c r="D964" s="21">
        <v>45505</v>
      </c>
      <c r="E964" s="21" t="s">
        <v>37</v>
      </c>
      <c r="F964" s="19" t="s">
        <v>37</v>
      </c>
      <c r="G964" s="19" t="s">
        <v>149</v>
      </c>
      <c r="H964" s="19">
        <v>270.5</v>
      </c>
      <c r="I964" s="41">
        <v>14542</v>
      </c>
      <c r="J964" s="42"/>
      <c r="K964" s="43"/>
      <c r="L964" s="19"/>
      <c r="M964" s="43"/>
      <c r="N964" s="44"/>
      <c r="O964" s="45">
        <f t="shared" si="564"/>
        <v>14542</v>
      </c>
      <c r="P964" s="51"/>
      <c r="Q964" s="51"/>
      <c r="R964" s="74">
        <f t="shared" si="552"/>
        <v>12932.291160221</v>
      </c>
      <c r="S964" s="74"/>
      <c r="T964" s="75">
        <f t="shared" si="553"/>
        <v>24.2852209944751</v>
      </c>
      <c r="U964" s="74"/>
      <c r="V964" s="74"/>
      <c r="W964" s="76">
        <f t="shared" si="551"/>
        <v>12956.5763812155</v>
      </c>
      <c r="X964" s="77">
        <f t="shared" si="554"/>
        <v>233.483718922652</v>
      </c>
      <c r="Y964" s="77"/>
      <c r="Z964" s="77"/>
      <c r="AA964" s="77">
        <f t="shared" si="561"/>
        <v>233.483718922652</v>
      </c>
      <c r="AB964" s="87">
        <v>7.26</v>
      </c>
      <c r="AC964" s="74">
        <f t="shared" si="559"/>
        <v>1695.09179937845</v>
      </c>
      <c r="AD964" s="74">
        <f t="shared" si="560"/>
        <v>14651.6681805939</v>
      </c>
      <c r="AE964" s="74">
        <f t="shared" si="558"/>
        <v>-109.668180593922</v>
      </c>
    </row>
    <row r="965" customFormat="1" spans="1:31">
      <c r="A965" s="18"/>
      <c r="B965" s="19"/>
      <c r="C965" s="107">
        <v>240730000041</v>
      </c>
      <c r="D965" s="21">
        <v>45505</v>
      </c>
      <c r="E965" s="21" t="s">
        <v>44</v>
      </c>
      <c r="F965" s="19" t="s">
        <v>45</v>
      </c>
      <c r="G965" s="19" t="s">
        <v>573</v>
      </c>
      <c r="H965" s="19">
        <v>6.5</v>
      </c>
      <c r="I965" s="41">
        <v>602.4</v>
      </c>
      <c r="J965" s="42"/>
      <c r="K965" s="43"/>
      <c r="L965" s="19"/>
      <c r="M965" s="43"/>
      <c r="N965" s="44"/>
      <c r="O965" s="45">
        <f t="shared" si="564"/>
        <v>602.4</v>
      </c>
      <c r="P965" s="51"/>
      <c r="Q965" s="51"/>
      <c r="R965" s="74">
        <f t="shared" si="552"/>
        <v>310.757458563536</v>
      </c>
      <c r="S965" s="74"/>
      <c r="T965" s="75">
        <f t="shared" si="553"/>
        <v>0.583563535911602</v>
      </c>
      <c r="U965" s="74"/>
      <c r="V965" s="74"/>
      <c r="W965" s="76">
        <f t="shared" si="551"/>
        <v>311.341022099448</v>
      </c>
      <c r="X965" s="77">
        <f t="shared" si="554"/>
        <v>5.61051450276243</v>
      </c>
      <c r="Y965" s="77"/>
      <c r="Z965" s="77"/>
      <c r="AA965" s="77">
        <f t="shared" si="561"/>
        <v>5.61051450276243</v>
      </c>
      <c r="AB965" s="87">
        <v>7.26</v>
      </c>
      <c r="AC965" s="74">
        <f t="shared" si="559"/>
        <v>40.7323352900552</v>
      </c>
      <c r="AD965" s="74">
        <f t="shared" ref="AD965:AD979" si="565">SUM(W965+AC965)</f>
        <v>352.073357389503</v>
      </c>
      <c r="AE965" s="74">
        <f t="shared" si="558"/>
        <v>250.326642610497</v>
      </c>
    </row>
    <row r="966" customFormat="1" spans="1:31">
      <c r="A966" s="18"/>
      <c r="B966" s="19"/>
      <c r="C966" s="107">
        <v>240730000052</v>
      </c>
      <c r="D966" s="21">
        <v>45505</v>
      </c>
      <c r="E966" s="21" t="s">
        <v>40</v>
      </c>
      <c r="F966" s="19" t="s">
        <v>41</v>
      </c>
      <c r="G966" s="19" t="s">
        <v>574</v>
      </c>
      <c r="H966" s="19">
        <v>26.5</v>
      </c>
      <c r="I966" s="47"/>
      <c r="J966" s="48">
        <v>370500</v>
      </c>
      <c r="K966" s="43"/>
      <c r="L966" s="49">
        <f t="shared" ref="L966:L972" si="566">SUM(J966/M966)</f>
        <v>1655.3480475382</v>
      </c>
      <c r="M966" s="50">
        <v>223.82</v>
      </c>
      <c r="N966" s="44">
        <v>7.26</v>
      </c>
      <c r="O966" s="45">
        <f t="shared" ref="O966:O972" si="567">SUM(M966*N966)</f>
        <v>1624.9332</v>
      </c>
      <c r="P966" s="51"/>
      <c r="Q966" s="51"/>
      <c r="R966" s="74">
        <f t="shared" si="552"/>
        <v>1266.93425414365</v>
      </c>
      <c r="S966" s="74"/>
      <c r="T966" s="75">
        <f t="shared" si="553"/>
        <v>2.37914364640884</v>
      </c>
      <c r="U966" s="74"/>
      <c r="V966" s="74"/>
      <c r="W966" s="76">
        <f t="shared" ref="W966:W979" si="568">SUM(R966:V966)</f>
        <v>1269.31339779006</v>
      </c>
      <c r="X966" s="77">
        <f t="shared" si="554"/>
        <v>22.8736360497238</v>
      </c>
      <c r="Y966" s="77"/>
      <c r="Z966" s="77"/>
      <c r="AA966" s="77">
        <f t="shared" ref="AA966:AA979" si="569">SUM(X966:Z966)</f>
        <v>22.8736360497238</v>
      </c>
      <c r="AB966" s="87">
        <v>7.26</v>
      </c>
      <c r="AC966" s="74">
        <f t="shared" ref="AC966:AC979" si="570">SUM(AA966*AB966)</f>
        <v>166.062597720994</v>
      </c>
      <c r="AD966" s="74">
        <f t="shared" si="565"/>
        <v>1435.37599551105</v>
      </c>
      <c r="AE966" s="74">
        <f t="shared" ref="AE966:AE979" si="571">SUM(O966-AD966)</f>
        <v>189.55720448895</v>
      </c>
    </row>
    <row r="967" customFormat="1" spans="1:31">
      <c r="A967" s="18"/>
      <c r="B967" s="19"/>
      <c r="C967" s="107">
        <v>240731000023</v>
      </c>
      <c r="D967" s="21">
        <v>45505</v>
      </c>
      <c r="E967" s="21" t="s">
        <v>37</v>
      </c>
      <c r="F967" s="19" t="s">
        <v>37</v>
      </c>
      <c r="G967" s="19" t="s">
        <v>148</v>
      </c>
      <c r="H967" s="19">
        <v>633</v>
      </c>
      <c r="I967" s="41">
        <v>32916</v>
      </c>
      <c r="J967" s="42"/>
      <c r="K967" s="43"/>
      <c r="L967" s="19"/>
      <c r="M967" s="43"/>
      <c r="N967" s="44"/>
      <c r="O967" s="45">
        <f t="shared" ref="O967:O969" si="572">SUM(I967)</f>
        <v>32916</v>
      </c>
      <c r="P967" s="52"/>
      <c r="Q967" s="52"/>
      <c r="R967" s="74">
        <f t="shared" si="552"/>
        <v>30262.9955801105</v>
      </c>
      <c r="S967" s="74"/>
      <c r="T967" s="75">
        <f t="shared" si="553"/>
        <v>56.8301104972376</v>
      </c>
      <c r="U967" s="74"/>
      <c r="V967" s="74"/>
      <c r="W967" s="76">
        <f t="shared" si="568"/>
        <v>30319.8256906077</v>
      </c>
      <c r="X967" s="77">
        <f t="shared" si="554"/>
        <v>546.377796961326</v>
      </c>
      <c r="Y967" s="77"/>
      <c r="Z967" s="77"/>
      <c r="AA967" s="77">
        <f t="shared" si="569"/>
        <v>546.377796961326</v>
      </c>
      <c r="AB967" s="87">
        <v>7.26</v>
      </c>
      <c r="AC967" s="74">
        <f t="shared" si="570"/>
        <v>3966.70280593923</v>
      </c>
      <c r="AD967" s="74">
        <f t="shared" si="565"/>
        <v>34286.528496547</v>
      </c>
      <c r="AE967" s="74">
        <f t="shared" si="571"/>
        <v>-1370.52849654696</v>
      </c>
    </row>
    <row r="968" customFormat="1" spans="1:31">
      <c r="A968" s="18" t="s">
        <v>575</v>
      </c>
      <c r="B968" s="19" t="s">
        <v>576</v>
      </c>
      <c r="C968" s="107">
        <v>240723000027</v>
      </c>
      <c r="D968" s="21">
        <v>45505</v>
      </c>
      <c r="E968" s="21" t="s">
        <v>55</v>
      </c>
      <c r="F968" s="19" t="s">
        <v>56</v>
      </c>
      <c r="G968" s="19" t="s">
        <v>577</v>
      </c>
      <c r="H968" s="19">
        <v>1</v>
      </c>
      <c r="I968" s="41">
        <v>69</v>
      </c>
      <c r="J968" s="42"/>
      <c r="K968" s="43"/>
      <c r="L968" s="19"/>
      <c r="M968" s="43"/>
      <c r="N968" s="44"/>
      <c r="O968" s="45">
        <f t="shared" si="572"/>
        <v>69</v>
      </c>
      <c r="P968" s="91">
        <f>SUM(O968:O979)</f>
        <v>4305.8598</v>
      </c>
      <c r="Q968" s="91" t="s">
        <v>39</v>
      </c>
      <c r="R968" s="74">
        <f>SUM(2500/32)*H968</f>
        <v>78.125</v>
      </c>
      <c r="S968" s="74"/>
      <c r="T968" s="75">
        <f>SUM(44.99/32)*H968</f>
        <v>1.4059375</v>
      </c>
      <c r="U968" s="74"/>
      <c r="V968" s="74"/>
      <c r="W968" s="76">
        <f t="shared" si="568"/>
        <v>79.5309375</v>
      </c>
      <c r="X968" s="77">
        <f>SUM(48.62/32)*H968</f>
        <v>1.519375</v>
      </c>
      <c r="Y968" s="77"/>
      <c r="Z968" s="77"/>
      <c r="AA968" s="77">
        <f t="shared" si="569"/>
        <v>1.519375</v>
      </c>
      <c r="AB968" s="87">
        <v>7.26</v>
      </c>
      <c r="AC968" s="74">
        <f t="shared" si="570"/>
        <v>11.0306625</v>
      </c>
      <c r="AD968" s="74">
        <f t="shared" si="565"/>
        <v>90.5616</v>
      </c>
      <c r="AE968" s="74">
        <f t="shared" si="571"/>
        <v>-21.5616</v>
      </c>
    </row>
    <row r="969" customFormat="1" spans="1:31">
      <c r="A969" s="18"/>
      <c r="B969" s="19"/>
      <c r="C969" s="107">
        <v>240729000041</v>
      </c>
      <c r="D969" s="21">
        <v>45505</v>
      </c>
      <c r="E969" s="21" t="s">
        <v>47</v>
      </c>
      <c r="F969" s="19" t="s">
        <v>48</v>
      </c>
      <c r="G969" s="19" t="s">
        <v>160</v>
      </c>
      <c r="H969" s="19">
        <v>0.9</v>
      </c>
      <c r="I969" s="41">
        <v>128</v>
      </c>
      <c r="J969" s="42"/>
      <c r="K969" s="43"/>
      <c r="L969" s="19"/>
      <c r="M969" s="43"/>
      <c r="N969" s="44"/>
      <c r="O969" s="45">
        <f t="shared" si="572"/>
        <v>128</v>
      </c>
      <c r="P969" s="91"/>
      <c r="Q969" s="91"/>
      <c r="R969" s="74">
        <f t="shared" ref="R969:R979" si="573">SUM(2500/32)*H969</f>
        <v>70.3125</v>
      </c>
      <c r="S969" s="74"/>
      <c r="T969" s="75">
        <f t="shared" ref="T969:T979" si="574">SUM(44.99/32)*H969</f>
        <v>1.26534375</v>
      </c>
      <c r="U969" s="74"/>
      <c r="V969" s="75">
        <v>13</v>
      </c>
      <c r="W969" s="76">
        <f t="shared" si="568"/>
        <v>84.57784375</v>
      </c>
      <c r="X969" s="77">
        <f t="shared" ref="X969:X979" si="575">SUM(48.62/32)*H969</f>
        <v>1.3674375</v>
      </c>
      <c r="Y969" s="77"/>
      <c r="Z969" s="77"/>
      <c r="AA969" s="77">
        <f t="shared" si="569"/>
        <v>1.3674375</v>
      </c>
      <c r="AB969" s="87">
        <v>7.26</v>
      </c>
      <c r="AC969" s="74">
        <f t="shared" si="570"/>
        <v>9.92759625</v>
      </c>
      <c r="AD969" s="74">
        <f t="shared" si="565"/>
        <v>94.50544</v>
      </c>
      <c r="AE969" s="74">
        <f t="shared" si="571"/>
        <v>33.49456</v>
      </c>
    </row>
    <row r="970" customFormat="1" spans="1:31">
      <c r="A970" s="18"/>
      <c r="B970" s="19"/>
      <c r="C970" s="107">
        <v>240729000047</v>
      </c>
      <c r="D970" s="21">
        <v>45505</v>
      </c>
      <c r="E970" s="21" t="s">
        <v>58</v>
      </c>
      <c r="F970" s="19" t="s">
        <v>59</v>
      </c>
      <c r="G970" s="19" t="s">
        <v>578</v>
      </c>
      <c r="H970" s="19">
        <v>0.96</v>
      </c>
      <c r="I970" s="45"/>
      <c r="J970" s="48">
        <v>27608</v>
      </c>
      <c r="K970" s="43"/>
      <c r="L970" s="49">
        <f t="shared" si="566"/>
        <v>1624</v>
      </c>
      <c r="M970" s="50">
        <v>17</v>
      </c>
      <c r="N970" s="44">
        <v>7.26</v>
      </c>
      <c r="O970" s="45">
        <f t="shared" si="567"/>
        <v>123.42</v>
      </c>
      <c r="P970" s="91"/>
      <c r="Q970" s="91"/>
      <c r="R970" s="74">
        <f t="shared" si="573"/>
        <v>75</v>
      </c>
      <c r="S970" s="74"/>
      <c r="T970" s="75">
        <f t="shared" si="574"/>
        <v>1.3497</v>
      </c>
      <c r="U970" s="74"/>
      <c r="V970" s="74"/>
      <c r="W970" s="76">
        <f t="shared" si="568"/>
        <v>76.3497</v>
      </c>
      <c r="X970" s="77">
        <f t="shared" si="575"/>
        <v>1.4586</v>
      </c>
      <c r="Y970" s="77"/>
      <c r="Z970" s="77"/>
      <c r="AA970" s="77">
        <f t="shared" si="569"/>
        <v>1.4586</v>
      </c>
      <c r="AB970" s="87">
        <v>7.26</v>
      </c>
      <c r="AC970" s="74">
        <f t="shared" si="570"/>
        <v>10.589436</v>
      </c>
      <c r="AD970" s="74">
        <f t="shared" si="565"/>
        <v>86.939136</v>
      </c>
      <c r="AE970" s="74">
        <f t="shared" si="571"/>
        <v>36.480864</v>
      </c>
    </row>
    <row r="971" customFormat="1" spans="1:31">
      <c r="A971" s="18"/>
      <c r="B971" s="19"/>
      <c r="C971" s="107">
        <v>240730000003</v>
      </c>
      <c r="D971" s="21">
        <v>45505</v>
      </c>
      <c r="E971" s="21" t="s">
        <v>47</v>
      </c>
      <c r="F971" s="19" t="s">
        <v>48</v>
      </c>
      <c r="G971" s="19" t="s">
        <v>303</v>
      </c>
      <c r="H971" s="19">
        <v>22.5</v>
      </c>
      <c r="I971" s="45"/>
      <c r="J971" s="48">
        <v>609000</v>
      </c>
      <c r="K971" s="43"/>
      <c r="L971" s="49">
        <f t="shared" si="566"/>
        <v>1624</v>
      </c>
      <c r="M971" s="50">
        <v>375</v>
      </c>
      <c r="N971" s="44">
        <v>7.26</v>
      </c>
      <c r="O971" s="45">
        <f t="shared" si="567"/>
        <v>2722.5</v>
      </c>
      <c r="P971" s="91"/>
      <c r="Q971" s="91"/>
      <c r="R971" s="74">
        <f t="shared" si="573"/>
        <v>1757.8125</v>
      </c>
      <c r="S971" s="74"/>
      <c r="T971" s="75">
        <f t="shared" si="574"/>
        <v>31.63359375</v>
      </c>
      <c r="U971" s="74"/>
      <c r="V971" s="74"/>
      <c r="W971" s="76">
        <f t="shared" si="568"/>
        <v>1789.44609375</v>
      </c>
      <c r="X971" s="77">
        <f t="shared" si="575"/>
        <v>34.1859375</v>
      </c>
      <c r="Y971" s="77"/>
      <c r="Z971" s="77"/>
      <c r="AA971" s="77">
        <f t="shared" si="569"/>
        <v>34.1859375</v>
      </c>
      <c r="AB971" s="87">
        <v>7.26</v>
      </c>
      <c r="AC971" s="74">
        <f t="shared" si="570"/>
        <v>248.18990625</v>
      </c>
      <c r="AD971" s="74">
        <f t="shared" si="565"/>
        <v>2037.636</v>
      </c>
      <c r="AE971" s="74">
        <f t="shared" si="571"/>
        <v>684.864</v>
      </c>
    </row>
    <row r="972" customFormat="1" spans="1:31">
      <c r="A972" s="18"/>
      <c r="B972" s="19"/>
      <c r="C972" s="107">
        <v>240730000009</v>
      </c>
      <c r="D972" s="21">
        <v>45505</v>
      </c>
      <c r="E972" s="21" t="s">
        <v>40</v>
      </c>
      <c r="F972" s="19" t="s">
        <v>41</v>
      </c>
      <c r="G972" s="19" t="s">
        <v>274</v>
      </c>
      <c r="H972" s="19">
        <v>1.5</v>
      </c>
      <c r="I972" s="47"/>
      <c r="J972" s="48">
        <v>40020</v>
      </c>
      <c r="K972" s="43"/>
      <c r="L972" s="49">
        <f t="shared" si="566"/>
        <v>1684.34343434343</v>
      </c>
      <c r="M972" s="50">
        <v>23.76</v>
      </c>
      <c r="N972" s="44">
        <v>7.26</v>
      </c>
      <c r="O972" s="45">
        <f t="shared" si="567"/>
        <v>172.4976</v>
      </c>
      <c r="P972" s="91"/>
      <c r="Q972" s="91"/>
      <c r="R972" s="74">
        <f t="shared" si="573"/>
        <v>117.1875</v>
      </c>
      <c r="S972" s="74"/>
      <c r="T972" s="75">
        <f t="shared" si="574"/>
        <v>2.10890625</v>
      </c>
      <c r="U972" s="74"/>
      <c r="V972" s="74"/>
      <c r="W972" s="76">
        <f t="shared" si="568"/>
        <v>119.29640625</v>
      </c>
      <c r="X972" s="77">
        <f t="shared" si="575"/>
        <v>2.2790625</v>
      </c>
      <c r="Y972" s="77"/>
      <c r="Z972" s="77"/>
      <c r="AA972" s="77">
        <f t="shared" si="569"/>
        <v>2.2790625</v>
      </c>
      <c r="AB972" s="87">
        <v>7.26</v>
      </c>
      <c r="AC972" s="74">
        <f t="shared" si="570"/>
        <v>16.54599375</v>
      </c>
      <c r="AD972" s="74">
        <f t="shared" si="565"/>
        <v>135.8424</v>
      </c>
      <c r="AE972" s="74">
        <f t="shared" si="571"/>
        <v>36.6552</v>
      </c>
    </row>
    <row r="973" customFormat="1" spans="1:31">
      <c r="A973" s="18"/>
      <c r="B973" s="19"/>
      <c r="C973" s="107">
        <v>240730000031</v>
      </c>
      <c r="D973" s="21">
        <v>45505</v>
      </c>
      <c r="E973" s="21" t="s">
        <v>44</v>
      </c>
      <c r="F973" s="19" t="s">
        <v>45</v>
      </c>
      <c r="G973" s="19" t="s">
        <v>579</v>
      </c>
      <c r="H973" s="19">
        <v>0.42</v>
      </c>
      <c r="I973" s="41">
        <v>115</v>
      </c>
      <c r="J973" s="42"/>
      <c r="K973" s="43"/>
      <c r="L973" s="19"/>
      <c r="M973" s="43"/>
      <c r="N973" s="44"/>
      <c r="O973" s="45">
        <f t="shared" ref="O973:O980" si="576">SUM(I973)</f>
        <v>115</v>
      </c>
      <c r="P973" s="91"/>
      <c r="Q973" s="91"/>
      <c r="R973" s="74">
        <f t="shared" si="573"/>
        <v>32.8125</v>
      </c>
      <c r="S973" s="74"/>
      <c r="T973" s="75">
        <f t="shared" si="574"/>
        <v>0.59049375</v>
      </c>
      <c r="U973" s="74"/>
      <c r="V973" s="74"/>
      <c r="W973" s="76">
        <f t="shared" si="568"/>
        <v>33.40299375</v>
      </c>
      <c r="X973" s="77">
        <f t="shared" si="575"/>
        <v>0.6381375</v>
      </c>
      <c r="Y973" s="77"/>
      <c r="Z973" s="77"/>
      <c r="AA973" s="77">
        <f t="shared" si="569"/>
        <v>0.6381375</v>
      </c>
      <c r="AB973" s="87">
        <v>7.26</v>
      </c>
      <c r="AC973" s="74">
        <f t="shared" si="570"/>
        <v>4.63287825</v>
      </c>
      <c r="AD973" s="74">
        <f t="shared" si="565"/>
        <v>38.035872</v>
      </c>
      <c r="AE973" s="74">
        <f t="shared" si="571"/>
        <v>76.964128</v>
      </c>
    </row>
    <row r="974" customFormat="1" spans="1:31">
      <c r="A974" s="18"/>
      <c r="B974" s="19"/>
      <c r="C974" s="107">
        <v>240730000038</v>
      </c>
      <c r="D974" s="21">
        <v>45505</v>
      </c>
      <c r="E974" s="21" t="s">
        <v>40</v>
      </c>
      <c r="F974" s="19" t="s">
        <v>41</v>
      </c>
      <c r="G974" s="19" t="s">
        <v>277</v>
      </c>
      <c r="H974" s="19">
        <v>1.5</v>
      </c>
      <c r="I974" s="41">
        <v>201.5</v>
      </c>
      <c r="J974" s="42"/>
      <c r="K974" s="43"/>
      <c r="L974" s="19"/>
      <c r="M974" s="43"/>
      <c r="N974" s="44"/>
      <c r="O974" s="45">
        <f t="shared" si="576"/>
        <v>201.5</v>
      </c>
      <c r="P974" s="91"/>
      <c r="Q974" s="91"/>
      <c r="R974" s="74">
        <f t="shared" si="573"/>
        <v>117.1875</v>
      </c>
      <c r="S974" s="74"/>
      <c r="T974" s="75">
        <f t="shared" si="574"/>
        <v>2.10890625</v>
      </c>
      <c r="U974" s="74"/>
      <c r="V974" s="74">
        <v>29</v>
      </c>
      <c r="W974" s="76">
        <f t="shared" si="568"/>
        <v>148.29640625</v>
      </c>
      <c r="X974" s="77">
        <f t="shared" si="575"/>
        <v>2.2790625</v>
      </c>
      <c r="Y974" s="77"/>
      <c r="Z974" s="77"/>
      <c r="AA974" s="77">
        <f t="shared" si="569"/>
        <v>2.2790625</v>
      </c>
      <c r="AB974" s="87">
        <v>7.26</v>
      </c>
      <c r="AC974" s="74">
        <f t="shared" si="570"/>
        <v>16.54599375</v>
      </c>
      <c r="AD974" s="74">
        <f t="shared" si="565"/>
        <v>164.8424</v>
      </c>
      <c r="AE974" s="74">
        <f t="shared" si="571"/>
        <v>36.6576</v>
      </c>
    </row>
    <row r="975" customFormat="1" spans="1:31">
      <c r="A975" s="18"/>
      <c r="B975" s="19"/>
      <c r="C975" s="107">
        <v>240730000042</v>
      </c>
      <c r="D975" s="21">
        <v>45505</v>
      </c>
      <c r="E975" s="21" t="s">
        <v>81</v>
      </c>
      <c r="F975" s="19" t="s">
        <v>270</v>
      </c>
      <c r="G975" s="19" t="s">
        <v>580</v>
      </c>
      <c r="H975" s="19">
        <v>0.64</v>
      </c>
      <c r="I975" s="45"/>
      <c r="J975" s="42"/>
      <c r="K975" s="43"/>
      <c r="L975" s="19"/>
      <c r="M975" s="43">
        <v>15.97</v>
      </c>
      <c r="N975" s="44">
        <v>7.26</v>
      </c>
      <c r="O975" s="45">
        <f>SUM(M975*N975)</f>
        <v>115.9422</v>
      </c>
      <c r="P975" s="91"/>
      <c r="Q975" s="91"/>
      <c r="R975" s="74">
        <f t="shared" si="573"/>
        <v>50</v>
      </c>
      <c r="S975" s="74"/>
      <c r="T975" s="75">
        <f t="shared" si="574"/>
        <v>0.8998</v>
      </c>
      <c r="U975" s="74"/>
      <c r="V975" s="74"/>
      <c r="W975" s="76">
        <f t="shared" si="568"/>
        <v>50.8998</v>
      </c>
      <c r="X975" s="77">
        <f t="shared" si="575"/>
        <v>0.9724</v>
      </c>
      <c r="Y975" s="77"/>
      <c r="Z975" s="77"/>
      <c r="AA975" s="77">
        <f t="shared" si="569"/>
        <v>0.9724</v>
      </c>
      <c r="AB975" s="87">
        <v>7.26</v>
      </c>
      <c r="AC975" s="74">
        <f t="shared" si="570"/>
        <v>7.059624</v>
      </c>
      <c r="AD975" s="74">
        <f t="shared" si="565"/>
        <v>57.959424</v>
      </c>
      <c r="AE975" s="74">
        <f t="shared" si="571"/>
        <v>57.982776</v>
      </c>
    </row>
    <row r="976" customFormat="1" spans="1:31">
      <c r="A976" s="18"/>
      <c r="B976" s="19"/>
      <c r="C976" s="107">
        <v>240730000043</v>
      </c>
      <c r="D976" s="21">
        <v>45505</v>
      </c>
      <c r="E976" s="21" t="s">
        <v>44</v>
      </c>
      <c r="F976" s="19" t="s">
        <v>45</v>
      </c>
      <c r="G976" s="19" t="s">
        <v>413</v>
      </c>
      <c r="H976" s="19">
        <v>0.15</v>
      </c>
      <c r="I976" s="41">
        <v>120</v>
      </c>
      <c r="J976" s="42"/>
      <c r="K976" s="43"/>
      <c r="L976" s="19"/>
      <c r="M976" s="43"/>
      <c r="N976" s="44"/>
      <c r="O976" s="45">
        <f t="shared" si="576"/>
        <v>120</v>
      </c>
      <c r="P976" s="91"/>
      <c r="Q976" s="91"/>
      <c r="R976" s="74">
        <f t="shared" si="573"/>
        <v>11.71875</v>
      </c>
      <c r="S976" s="74"/>
      <c r="T976" s="75">
        <f t="shared" si="574"/>
        <v>0.210890625</v>
      </c>
      <c r="U976" s="74"/>
      <c r="V976" s="74"/>
      <c r="W976" s="76">
        <f t="shared" si="568"/>
        <v>11.929640625</v>
      </c>
      <c r="X976" s="77">
        <f t="shared" si="575"/>
        <v>0.22790625</v>
      </c>
      <c r="Y976" s="77"/>
      <c r="Z976" s="77"/>
      <c r="AA976" s="77">
        <f t="shared" si="569"/>
        <v>0.22790625</v>
      </c>
      <c r="AB976" s="87">
        <v>7.26</v>
      </c>
      <c r="AC976" s="74">
        <f t="shared" si="570"/>
        <v>1.654599375</v>
      </c>
      <c r="AD976" s="74">
        <f t="shared" si="565"/>
        <v>13.58424</v>
      </c>
      <c r="AE976" s="74">
        <f t="shared" si="571"/>
        <v>106.41576</v>
      </c>
    </row>
    <row r="977" customFormat="1" spans="1:31">
      <c r="A977" s="18"/>
      <c r="B977" s="19"/>
      <c r="C977" s="107">
        <v>240731000008</v>
      </c>
      <c r="D977" s="21">
        <v>45505</v>
      </c>
      <c r="E977" s="21" t="s">
        <v>40</v>
      </c>
      <c r="F977" s="19" t="s">
        <v>41</v>
      </c>
      <c r="G977" s="19" t="s">
        <v>346</v>
      </c>
      <c r="H977" s="19">
        <v>1.5</v>
      </c>
      <c r="I977" s="41">
        <v>180</v>
      </c>
      <c r="J977" s="42"/>
      <c r="K977" s="43"/>
      <c r="L977" s="19"/>
      <c r="M977" s="43"/>
      <c r="N977" s="44"/>
      <c r="O977" s="45">
        <f t="shared" si="576"/>
        <v>180</v>
      </c>
      <c r="P977" s="91"/>
      <c r="Q977" s="91"/>
      <c r="R977" s="74">
        <f t="shared" si="573"/>
        <v>117.1875</v>
      </c>
      <c r="S977" s="74"/>
      <c r="T977" s="75">
        <f t="shared" si="574"/>
        <v>2.10890625</v>
      </c>
      <c r="U977" s="74"/>
      <c r="V977" s="74"/>
      <c r="W977" s="76">
        <f t="shared" si="568"/>
        <v>119.29640625</v>
      </c>
      <c r="X977" s="77">
        <f t="shared" si="575"/>
        <v>2.2790625</v>
      </c>
      <c r="Y977" s="77"/>
      <c r="Z977" s="77"/>
      <c r="AA977" s="77">
        <f t="shared" si="569"/>
        <v>2.2790625</v>
      </c>
      <c r="AB977" s="87">
        <v>7.26</v>
      </c>
      <c r="AC977" s="74">
        <f t="shared" si="570"/>
        <v>16.54599375</v>
      </c>
      <c r="AD977" s="74">
        <f t="shared" si="565"/>
        <v>135.8424</v>
      </c>
      <c r="AE977" s="74">
        <f t="shared" si="571"/>
        <v>44.1576</v>
      </c>
    </row>
    <row r="978" customFormat="1" spans="1:31">
      <c r="A978" s="18"/>
      <c r="B978" s="19"/>
      <c r="C978" s="107">
        <v>240731000015</v>
      </c>
      <c r="D978" s="21">
        <v>45505</v>
      </c>
      <c r="E978" s="21" t="s">
        <v>55</v>
      </c>
      <c r="F978" s="19" t="s">
        <v>56</v>
      </c>
      <c r="G978" s="19" t="s">
        <v>237</v>
      </c>
      <c r="H978" s="19">
        <v>0.38</v>
      </c>
      <c r="I978" s="41">
        <v>185</v>
      </c>
      <c r="J978" s="42"/>
      <c r="K978" s="43"/>
      <c r="L978" s="19"/>
      <c r="M978" s="43"/>
      <c r="N978" s="44"/>
      <c r="O978" s="45">
        <f t="shared" si="576"/>
        <v>185</v>
      </c>
      <c r="P978" s="91"/>
      <c r="Q978" s="91"/>
      <c r="R978" s="74">
        <f t="shared" si="573"/>
        <v>29.6875</v>
      </c>
      <c r="S978" s="74"/>
      <c r="T978" s="75">
        <f t="shared" si="574"/>
        <v>0.53425625</v>
      </c>
      <c r="U978" s="74"/>
      <c r="V978" s="74"/>
      <c r="W978" s="76">
        <f t="shared" si="568"/>
        <v>30.22175625</v>
      </c>
      <c r="X978" s="77">
        <f t="shared" si="575"/>
        <v>0.5773625</v>
      </c>
      <c r="Y978" s="77"/>
      <c r="Z978" s="77"/>
      <c r="AA978" s="77">
        <f t="shared" ref="AA978:AA1009" si="577">SUM(X978:Z978)</f>
        <v>0.5773625</v>
      </c>
      <c r="AB978" s="87">
        <v>7.26</v>
      </c>
      <c r="AC978" s="74">
        <f t="shared" si="570"/>
        <v>4.19165175</v>
      </c>
      <c r="AD978" s="74">
        <f t="shared" ref="AD978:AD1009" si="578">SUM(W978+AC978)</f>
        <v>34.413408</v>
      </c>
      <c r="AE978" s="74">
        <f t="shared" ref="AE978:AE1009" si="579">SUM(O978-AD978)</f>
        <v>150.586592</v>
      </c>
    </row>
    <row r="979" customFormat="1" spans="1:31">
      <c r="A979" s="18"/>
      <c r="B979" s="19"/>
      <c r="C979" s="107">
        <v>240731000031</v>
      </c>
      <c r="D979" s="21">
        <v>45505</v>
      </c>
      <c r="E979" s="21" t="s">
        <v>58</v>
      </c>
      <c r="F979" s="19" t="s">
        <v>59</v>
      </c>
      <c r="G979" s="19" t="s">
        <v>238</v>
      </c>
      <c r="H979" s="19">
        <v>1.5</v>
      </c>
      <c r="I979" s="41">
        <v>173</v>
      </c>
      <c r="J979" s="42"/>
      <c r="K979" s="43"/>
      <c r="L979" s="19"/>
      <c r="M979" s="43"/>
      <c r="N979" s="44"/>
      <c r="O979" s="45">
        <f t="shared" si="576"/>
        <v>173</v>
      </c>
      <c r="P979" s="91"/>
      <c r="Q979" s="91"/>
      <c r="R979" s="74">
        <f t="shared" si="573"/>
        <v>117.1875</v>
      </c>
      <c r="S979" s="74"/>
      <c r="T979" s="75">
        <f t="shared" si="574"/>
        <v>2.10890625</v>
      </c>
      <c r="U979" s="74"/>
      <c r="V979" s="74"/>
      <c r="W979" s="76">
        <f t="shared" ref="W979:W1010" si="580">SUM(R979:V979)</f>
        <v>119.29640625</v>
      </c>
      <c r="X979" s="77">
        <f t="shared" si="575"/>
        <v>2.2790625</v>
      </c>
      <c r="Y979" s="77"/>
      <c r="Z979" s="77"/>
      <c r="AA979" s="77">
        <f t="shared" si="577"/>
        <v>2.2790625</v>
      </c>
      <c r="AB979" s="87">
        <v>7.26</v>
      </c>
      <c r="AC979" s="74">
        <f t="shared" ref="AC979:AC1010" si="581">SUM(AA979*AB979)</f>
        <v>16.54599375</v>
      </c>
      <c r="AD979" s="74">
        <f t="shared" si="578"/>
        <v>135.8424</v>
      </c>
      <c r="AE979" s="74">
        <f t="shared" si="579"/>
        <v>37.1576</v>
      </c>
    </row>
    <row r="980" customFormat="1" spans="1:31">
      <c r="A980" s="18" t="s">
        <v>581</v>
      </c>
      <c r="B980" s="19" t="s">
        <v>582</v>
      </c>
      <c r="C980" s="107">
        <v>240724000006</v>
      </c>
      <c r="D980" s="21">
        <v>45507</v>
      </c>
      <c r="E980" s="21" t="s">
        <v>44</v>
      </c>
      <c r="F980" s="19" t="s">
        <v>45</v>
      </c>
      <c r="G980" s="19" t="s">
        <v>573</v>
      </c>
      <c r="H980" s="19">
        <v>22.5</v>
      </c>
      <c r="I980" s="41">
        <v>1245.5</v>
      </c>
      <c r="J980" s="42"/>
      <c r="K980" s="43"/>
      <c r="L980" s="19"/>
      <c r="M980" s="43"/>
      <c r="N980" s="44"/>
      <c r="O980" s="45">
        <f t="shared" si="576"/>
        <v>1245.5</v>
      </c>
      <c r="P980" s="46">
        <f>SUM(O980:O1036)</f>
        <v>207402.462</v>
      </c>
      <c r="Q980" s="78" t="s">
        <v>583</v>
      </c>
      <c r="R980" s="74">
        <f>SUM(153860.4/3493)*H980</f>
        <v>991.084740910392</v>
      </c>
      <c r="S980" s="108"/>
      <c r="T980" s="75">
        <f>SUM(259.84/3493)*H980</f>
        <v>1.67374749498998</v>
      </c>
      <c r="U980" s="74"/>
      <c r="V980" s="74"/>
      <c r="W980" s="76">
        <f t="shared" si="580"/>
        <v>992.758488405382</v>
      </c>
      <c r="X980" s="77">
        <f>SUM(2696.84/3493)*H980</f>
        <v>17.3715717148583</v>
      </c>
      <c r="Y980" s="77"/>
      <c r="Z980" s="77"/>
      <c r="AA980" s="77">
        <f t="shared" si="577"/>
        <v>17.3715717148583</v>
      </c>
      <c r="AB980" s="87">
        <v>7.26</v>
      </c>
      <c r="AC980" s="74">
        <f t="shared" si="581"/>
        <v>126.117610649871</v>
      </c>
      <c r="AD980" s="74">
        <f t="shared" si="578"/>
        <v>1118.87609905525</v>
      </c>
      <c r="AE980" s="74">
        <f t="shared" si="579"/>
        <v>126.62390094475</v>
      </c>
    </row>
    <row r="981" customFormat="1" spans="1:31">
      <c r="A981" s="18"/>
      <c r="B981" s="19"/>
      <c r="C981" s="107">
        <v>240724000039</v>
      </c>
      <c r="D981" s="21">
        <v>45507</v>
      </c>
      <c r="E981" s="21" t="s">
        <v>40</v>
      </c>
      <c r="F981" s="19" t="s">
        <v>41</v>
      </c>
      <c r="G981" s="19" t="s">
        <v>87</v>
      </c>
      <c r="H981" s="19">
        <v>362.5</v>
      </c>
      <c r="I981" s="47"/>
      <c r="J981" s="48">
        <v>4886175</v>
      </c>
      <c r="K981" s="43"/>
      <c r="L981" s="49">
        <f t="shared" ref="L981:L984" si="582">SUM(J981/M981)</f>
        <v>1648.02335346912</v>
      </c>
      <c r="M981" s="50">
        <v>2964.87</v>
      </c>
      <c r="N981" s="44">
        <v>7.26</v>
      </c>
      <c r="O981" s="45">
        <f t="shared" ref="O981:O984" si="583">SUM(M981*N981)</f>
        <v>21524.9562</v>
      </c>
      <c r="P981" s="51"/>
      <c r="Q981" s="51"/>
      <c r="R981" s="74">
        <f t="shared" ref="R981:R1012" si="584">SUM(153860.4/3493)*H981</f>
        <v>15967.4763813341</v>
      </c>
      <c r="S981" s="108"/>
      <c r="T981" s="75">
        <f t="shared" ref="T981:T1012" si="585">SUM(259.84/3493)*H981</f>
        <v>26.9659318637275</v>
      </c>
      <c r="U981" s="75">
        <f>SUM(260+240)</f>
        <v>500</v>
      </c>
      <c r="V981" s="74"/>
      <c r="W981" s="76">
        <f t="shared" si="580"/>
        <v>16494.4423131978</v>
      </c>
      <c r="X981" s="77">
        <f t="shared" ref="X981:X1012" si="586">SUM(2696.84/3493)*H981</f>
        <v>279.875322072717</v>
      </c>
      <c r="Y981" s="77"/>
      <c r="Z981" s="77"/>
      <c r="AA981" s="77">
        <f t="shared" si="577"/>
        <v>279.875322072717</v>
      </c>
      <c r="AB981" s="87">
        <v>7.26</v>
      </c>
      <c r="AC981" s="74">
        <f t="shared" si="581"/>
        <v>2031.89483824792</v>
      </c>
      <c r="AD981" s="74">
        <f t="shared" si="578"/>
        <v>18526.3371514458</v>
      </c>
      <c r="AE981" s="74">
        <f t="shared" si="579"/>
        <v>2998.61904855425</v>
      </c>
    </row>
    <row r="982" customFormat="1" spans="1:31">
      <c r="A982" s="18"/>
      <c r="B982" s="19"/>
      <c r="C982" s="107">
        <v>240725000013</v>
      </c>
      <c r="D982" s="21">
        <v>45507</v>
      </c>
      <c r="E982" s="21" t="s">
        <v>40</v>
      </c>
      <c r="F982" s="19" t="s">
        <v>41</v>
      </c>
      <c r="G982" s="19" t="s">
        <v>66</v>
      </c>
      <c r="H982" s="19">
        <v>10</v>
      </c>
      <c r="I982" s="47"/>
      <c r="J982" s="48">
        <v>153900</v>
      </c>
      <c r="K982" s="43"/>
      <c r="L982" s="49">
        <f t="shared" si="582"/>
        <v>1655.37270087125</v>
      </c>
      <c r="M982" s="50">
        <v>92.97</v>
      </c>
      <c r="N982" s="44">
        <v>7.26</v>
      </c>
      <c r="O982" s="45">
        <f t="shared" si="583"/>
        <v>674.9622</v>
      </c>
      <c r="P982" s="51"/>
      <c r="Q982" s="51"/>
      <c r="R982" s="74">
        <f t="shared" si="584"/>
        <v>440.482107071285</v>
      </c>
      <c r="S982" s="108"/>
      <c r="T982" s="75">
        <f t="shared" si="585"/>
        <v>0.743887775551102</v>
      </c>
      <c r="U982" s="74"/>
      <c r="V982" s="74"/>
      <c r="W982" s="76">
        <f t="shared" si="580"/>
        <v>441.225994846836</v>
      </c>
      <c r="X982" s="77">
        <f t="shared" si="586"/>
        <v>7.72069853993702</v>
      </c>
      <c r="Y982" s="77"/>
      <c r="Z982" s="77"/>
      <c r="AA982" s="77">
        <f t="shared" si="577"/>
        <v>7.72069853993702</v>
      </c>
      <c r="AB982" s="87">
        <v>7.26</v>
      </c>
      <c r="AC982" s="74">
        <f t="shared" si="581"/>
        <v>56.0522713999427</v>
      </c>
      <c r="AD982" s="74">
        <f t="shared" si="578"/>
        <v>497.278266246779</v>
      </c>
      <c r="AE982" s="74">
        <f t="shared" si="579"/>
        <v>177.683933753221</v>
      </c>
    </row>
    <row r="983" customFormat="1" spans="1:31">
      <c r="A983" s="18"/>
      <c r="B983" s="19"/>
      <c r="C983" s="107">
        <v>240726000017</v>
      </c>
      <c r="D983" s="21">
        <v>45507</v>
      </c>
      <c r="E983" s="21" t="s">
        <v>40</v>
      </c>
      <c r="F983" s="19" t="s">
        <v>41</v>
      </c>
      <c r="G983" s="19" t="s">
        <v>165</v>
      </c>
      <c r="H983" s="19">
        <v>1</v>
      </c>
      <c r="I983" s="47"/>
      <c r="J983" s="48">
        <v>18841.5</v>
      </c>
      <c r="K983" s="19"/>
      <c r="L983" s="49">
        <f t="shared" si="582"/>
        <v>1720.68493150685</v>
      </c>
      <c r="M983" s="50">
        <v>10.95</v>
      </c>
      <c r="N983" s="44">
        <v>7.26</v>
      </c>
      <c r="O983" s="45">
        <f t="shared" si="583"/>
        <v>79.497</v>
      </c>
      <c r="P983" s="51"/>
      <c r="Q983" s="51"/>
      <c r="R983" s="74">
        <f t="shared" si="584"/>
        <v>44.0482107071285</v>
      </c>
      <c r="S983" s="108"/>
      <c r="T983" s="75">
        <f t="shared" si="585"/>
        <v>0.0743887775551102</v>
      </c>
      <c r="U983" s="74"/>
      <c r="V983" s="75">
        <v>18</v>
      </c>
      <c r="W983" s="76">
        <f t="shared" si="580"/>
        <v>62.1225994846836</v>
      </c>
      <c r="X983" s="77">
        <f t="shared" si="586"/>
        <v>0.772069853993702</v>
      </c>
      <c r="Y983" s="77"/>
      <c r="Z983" s="77"/>
      <c r="AA983" s="77">
        <f t="shared" si="577"/>
        <v>0.772069853993702</v>
      </c>
      <c r="AB983" s="87">
        <v>7.26</v>
      </c>
      <c r="AC983" s="74">
        <f t="shared" si="581"/>
        <v>5.60522713999428</v>
      </c>
      <c r="AD983" s="74">
        <f t="shared" si="578"/>
        <v>67.7278266246779</v>
      </c>
      <c r="AE983" s="74">
        <f t="shared" si="579"/>
        <v>11.7691733753221</v>
      </c>
    </row>
    <row r="984" customFormat="1" spans="1:31">
      <c r="A984" s="18"/>
      <c r="B984" s="19"/>
      <c r="C984" s="107">
        <v>240726000042</v>
      </c>
      <c r="D984" s="21">
        <v>45507</v>
      </c>
      <c r="E984" s="21" t="s">
        <v>40</v>
      </c>
      <c r="F984" s="19" t="s">
        <v>41</v>
      </c>
      <c r="G984" s="19" t="s">
        <v>87</v>
      </c>
      <c r="H984" s="19">
        <v>40.5</v>
      </c>
      <c r="I984" s="47"/>
      <c r="J984" s="48">
        <v>551383</v>
      </c>
      <c r="K984" s="43"/>
      <c r="L984" s="49">
        <f t="shared" si="582"/>
        <v>1648.03479092567</v>
      </c>
      <c r="M984" s="50">
        <v>334.57</v>
      </c>
      <c r="N984" s="44">
        <v>7.26</v>
      </c>
      <c r="O984" s="45">
        <f t="shared" si="583"/>
        <v>2428.9782</v>
      </c>
      <c r="P984" s="51"/>
      <c r="Q984" s="51"/>
      <c r="R984" s="74">
        <f t="shared" si="584"/>
        <v>1783.95253363871</v>
      </c>
      <c r="S984" s="108"/>
      <c r="T984" s="75">
        <f t="shared" si="585"/>
        <v>3.01274549098196</v>
      </c>
      <c r="U984" s="74">
        <v>80</v>
      </c>
      <c r="V984" s="74"/>
      <c r="W984" s="76">
        <f t="shared" si="580"/>
        <v>1866.96527912969</v>
      </c>
      <c r="X984" s="77">
        <f t="shared" si="586"/>
        <v>31.2688290867449</v>
      </c>
      <c r="Y984" s="77"/>
      <c r="Z984" s="77"/>
      <c r="AA984" s="77">
        <f t="shared" si="577"/>
        <v>31.2688290867449</v>
      </c>
      <c r="AB984" s="87">
        <v>7.26</v>
      </c>
      <c r="AC984" s="74">
        <f t="shared" si="581"/>
        <v>227.011699169768</v>
      </c>
      <c r="AD984" s="74">
        <f t="shared" si="578"/>
        <v>2093.97697829946</v>
      </c>
      <c r="AE984" s="74">
        <f t="shared" si="579"/>
        <v>335.001221700544</v>
      </c>
    </row>
    <row r="985" customFormat="1" spans="1:31">
      <c r="A985" s="18"/>
      <c r="B985" s="19"/>
      <c r="C985" s="107">
        <v>240726000044</v>
      </c>
      <c r="D985" s="21">
        <v>45507</v>
      </c>
      <c r="E985" s="21" t="s">
        <v>47</v>
      </c>
      <c r="F985" s="19" t="s">
        <v>48</v>
      </c>
      <c r="G985" s="19" t="s">
        <v>69</v>
      </c>
      <c r="H985" s="19">
        <v>14</v>
      </c>
      <c r="I985" s="41">
        <v>804</v>
      </c>
      <c r="J985" s="42"/>
      <c r="K985" s="43"/>
      <c r="L985" s="19"/>
      <c r="M985" s="43"/>
      <c r="N985" s="44"/>
      <c r="O985" s="45">
        <f>SUM(I985)</f>
        <v>804</v>
      </c>
      <c r="P985" s="51"/>
      <c r="Q985" s="51"/>
      <c r="R985" s="74">
        <f t="shared" si="584"/>
        <v>616.6749498998</v>
      </c>
      <c r="S985" s="108"/>
      <c r="T985" s="75">
        <f t="shared" si="585"/>
        <v>1.04144288577154</v>
      </c>
      <c r="U985" s="74"/>
      <c r="V985" s="74"/>
      <c r="W985" s="76">
        <f t="shared" si="580"/>
        <v>617.716392785571</v>
      </c>
      <c r="X985" s="77">
        <f t="shared" si="586"/>
        <v>10.8089779559118</v>
      </c>
      <c r="Y985" s="77"/>
      <c r="Z985" s="77"/>
      <c r="AA985" s="77">
        <f t="shared" si="577"/>
        <v>10.8089779559118</v>
      </c>
      <c r="AB985" s="87">
        <v>7.26</v>
      </c>
      <c r="AC985" s="74">
        <f t="shared" si="581"/>
        <v>78.4731799599198</v>
      </c>
      <c r="AD985" s="74">
        <f t="shared" si="578"/>
        <v>696.189572745491</v>
      </c>
      <c r="AE985" s="74">
        <f t="shared" si="579"/>
        <v>107.810427254509</v>
      </c>
    </row>
    <row r="986" customFormat="1" spans="1:31">
      <c r="A986" s="18"/>
      <c r="B986" s="19"/>
      <c r="C986" s="107">
        <v>240726000048</v>
      </c>
      <c r="D986" s="21">
        <v>45507</v>
      </c>
      <c r="E986" s="21" t="s">
        <v>44</v>
      </c>
      <c r="F986" s="19" t="s">
        <v>45</v>
      </c>
      <c r="G986" s="19" t="s">
        <v>92</v>
      </c>
      <c r="H986" s="19">
        <v>0.78</v>
      </c>
      <c r="I986" s="41">
        <v>53</v>
      </c>
      <c r="J986" s="42"/>
      <c r="K986" s="43"/>
      <c r="L986" s="19"/>
      <c r="M986" s="43"/>
      <c r="N986" s="44"/>
      <c r="O986" s="45">
        <f>SUM(I986)</f>
        <v>53</v>
      </c>
      <c r="P986" s="51"/>
      <c r="Q986" s="51"/>
      <c r="R986" s="74">
        <f t="shared" si="584"/>
        <v>34.3576043515603</v>
      </c>
      <c r="S986" s="108"/>
      <c r="T986" s="75">
        <f t="shared" si="585"/>
        <v>0.058023246492986</v>
      </c>
      <c r="U986" s="74"/>
      <c r="V986" s="74"/>
      <c r="W986" s="76">
        <f t="shared" si="580"/>
        <v>34.4156275980532</v>
      </c>
      <c r="X986" s="77">
        <f t="shared" si="586"/>
        <v>0.602214486115087</v>
      </c>
      <c r="Y986" s="77"/>
      <c r="Z986" s="77"/>
      <c r="AA986" s="77">
        <f t="shared" si="577"/>
        <v>0.602214486115087</v>
      </c>
      <c r="AB986" s="87">
        <v>7.26</v>
      </c>
      <c r="AC986" s="74">
        <f t="shared" si="581"/>
        <v>4.37207716919553</v>
      </c>
      <c r="AD986" s="74">
        <f t="shared" si="578"/>
        <v>38.7877047672488</v>
      </c>
      <c r="AE986" s="74">
        <f t="shared" si="579"/>
        <v>14.2122952327512</v>
      </c>
    </row>
    <row r="987" customFormat="1" spans="1:31">
      <c r="A987" s="18"/>
      <c r="B987" s="19"/>
      <c r="C987" s="107">
        <v>240727000006</v>
      </c>
      <c r="D987" s="21">
        <v>45507</v>
      </c>
      <c r="E987" s="21" t="s">
        <v>47</v>
      </c>
      <c r="F987" s="19" t="s">
        <v>48</v>
      </c>
      <c r="G987" s="19" t="s">
        <v>208</v>
      </c>
      <c r="H987" s="19">
        <v>368.5</v>
      </c>
      <c r="I987" s="45"/>
      <c r="J987" s="48">
        <v>4616485.2</v>
      </c>
      <c r="K987" s="43"/>
      <c r="L987" s="49">
        <f t="shared" ref="L987:L991" si="587">SUM(J987/M987)</f>
        <v>1640</v>
      </c>
      <c r="M987" s="50">
        <v>2814.93</v>
      </c>
      <c r="N987" s="44">
        <v>7.26</v>
      </c>
      <c r="O987" s="45">
        <f t="shared" ref="O987:O991" si="588">SUM(M987*N987)</f>
        <v>20436.3918</v>
      </c>
      <c r="P987" s="51"/>
      <c r="Q987" s="51"/>
      <c r="R987" s="74">
        <f t="shared" si="584"/>
        <v>16231.7656455769</v>
      </c>
      <c r="S987" s="108"/>
      <c r="T987" s="75">
        <f t="shared" si="585"/>
        <v>27.4122645290581</v>
      </c>
      <c r="U987" s="74"/>
      <c r="V987" s="74"/>
      <c r="W987" s="76">
        <f t="shared" si="580"/>
        <v>16259.1779101059</v>
      </c>
      <c r="X987" s="77">
        <f t="shared" si="586"/>
        <v>284.507741196679</v>
      </c>
      <c r="Y987" s="77"/>
      <c r="Z987" s="77"/>
      <c r="AA987" s="77">
        <f t="shared" si="577"/>
        <v>284.507741196679</v>
      </c>
      <c r="AB987" s="87">
        <v>7.26</v>
      </c>
      <c r="AC987" s="74">
        <f t="shared" si="581"/>
        <v>2065.52620108789</v>
      </c>
      <c r="AD987" s="74">
        <f t="shared" si="578"/>
        <v>18324.7041111938</v>
      </c>
      <c r="AE987" s="74">
        <f t="shared" si="579"/>
        <v>2111.68768880619</v>
      </c>
    </row>
    <row r="988" customFormat="1" spans="1:31">
      <c r="A988" s="18"/>
      <c r="B988" s="19"/>
      <c r="C988" s="107">
        <v>240727000007</v>
      </c>
      <c r="D988" s="21">
        <v>45507</v>
      </c>
      <c r="E988" s="21" t="s">
        <v>47</v>
      </c>
      <c r="F988" s="19" t="s">
        <v>48</v>
      </c>
      <c r="G988" s="19" t="s">
        <v>208</v>
      </c>
      <c r="H988" s="19">
        <v>450</v>
      </c>
      <c r="I988" s="45"/>
      <c r="J988" s="48">
        <v>5529538.8</v>
      </c>
      <c r="K988" s="43"/>
      <c r="L988" s="49">
        <f t="shared" si="587"/>
        <v>1640</v>
      </c>
      <c r="M988" s="50">
        <v>3371.67</v>
      </c>
      <c r="N988" s="44">
        <v>7.26</v>
      </c>
      <c r="O988" s="45">
        <f t="shared" si="588"/>
        <v>24478.3242</v>
      </c>
      <c r="P988" s="51"/>
      <c r="Q988" s="51"/>
      <c r="R988" s="74">
        <f t="shared" si="584"/>
        <v>19821.6948182078</v>
      </c>
      <c r="S988" s="108"/>
      <c r="T988" s="75">
        <f t="shared" si="585"/>
        <v>33.4749498997996</v>
      </c>
      <c r="U988" s="74"/>
      <c r="V988" s="74"/>
      <c r="W988" s="76">
        <f t="shared" si="580"/>
        <v>19855.1697681076</v>
      </c>
      <c r="X988" s="77">
        <f t="shared" si="586"/>
        <v>347.431434297166</v>
      </c>
      <c r="Y988" s="77"/>
      <c r="Z988" s="77"/>
      <c r="AA988" s="77">
        <f t="shared" si="577"/>
        <v>347.431434297166</v>
      </c>
      <c r="AB988" s="87">
        <v>7.26</v>
      </c>
      <c r="AC988" s="74">
        <f t="shared" si="581"/>
        <v>2522.35221299742</v>
      </c>
      <c r="AD988" s="74">
        <f t="shared" si="578"/>
        <v>22377.5219811051</v>
      </c>
      <c r="AE988" s="74">
        <f t="shared" si="579"/>
        <v>2100.80221889494</v>
      </c>
    </row>
    <row r="989" customFormat="1" spans="1:31">
      <c r="A989" s="18"/>
      <c r="B989" s="19"/>
      <c r="C989" s="107">
        <v>240727000008</v>
      </c>
      <c r="D989" s="21">
        <v>45507</v>
      </c>
      <c r="E989" s="21" t="s">
        <v>37</v>
      </c>
      <c r="F989" s="19" t="s">
        <v>37</v>
      </c>
      <c r="G989" s="19" t="s">
        <v>584</v>
      </c>
      <c r="H989" s="19">
        <v>231</v>
      </c>
      <c r="I989" s="45"/>
      <c r="J989" s="48">
        <v>2762390.2</v>
      </c>
      <c r="K989" s="50"/>
      <c r="L989" s="49">
        <f t="shared" si="587"/>
        <v>1615.99988299988</v>
      </c>
      <c r="M989" s="50">
        <v>1709.4</v>
      </c>
      <c r="N989" s="44">
        <v>7.26</v>
      </c>
      <c r="O989" s="45">
        <f t="shared" si="588"/>
        <v>12410.244</v>
      </c>
      <c r="P989" s="51"/>
      <c r="Q989" s="51"/>
      <c r="R989" s="74">
        <f t="shared" si="584"/>
        <v>10175.1366733467</v>
      </c>
      <c r="S989" s="108"/>
      <c r="T989" s="75">
        <f t="shared" si="585"/>
        <v>17.1838076152305</v>
      </c>
      <c r="U989" s="74"/>
      <c r="V989" s="74"/>
      <c r="W989" s="76">
        <f t="shared" si="580"/>
        <v>10192.3204809619</v>
      </c>
      <c r="X989" s="77">
        <f t="shared" si="586"/>
        <v>178.348136272545</v>
      </c>
      <c r="Y989" s="77"/>
      <c r="Z989" s="77"/>
      <c r="AA989" s="77">
        <f t="shared" si="577"/>
        <v>178.348136272545</v>
      </c>
      <c r="AB989" s="87">
        <v>7.26</v>
      </c>
      <c r="AC989" s="74">
        <f t="shared" si="581"/>
        <v>1294.80746933868</v>
      </c>
      <c r="AD989" s="74">
        <f t="shared" si="578"/>
        <v>11487.1279503006</v>
      </c>
      <c r="AE989" s="74">
        <f t="shared" si="579"/>
        <v>923.1160496994</v>
      </c>
    </row>
    <row r="990" customFormat="1" spans="1:31">
      <c r="A990" s="18"/>
      <c r="B990" s="19"/>
      <c r="C990" s="107">
        <v>240727000014</v>
      </c>
      <c r="D990" s="21">
        <v>45507</v>
      </c>
      <c r="E990" s="21" t="s">
        <v>44</v>
      </c>
      <c r="F990" s="19" t="s">
        <v>45</v>
      </c>
      <c r="G990" s="19" t="s">
        <v>585</v>
      </c>
      <c r="H990" s="19">
        <v>4.5</v>
      </c>
      <c r="I990" s="45"/>
      <c r="J990" s="48">
        <v>61469</v>
      </c>
      <c r="K990" s="43"/>
      <c r="L990" s="49">
        <f t="shared" si="587"/>
        <v>1624.01585204756</v>
      </c>
      <c r="M990" s="50">
        <v>37.85</v>
      </c>
      <c r="N990" s="44">
        <v>7.26</v>
      </c>
      <c r="O990" s="45">
        <f t="shared" si="588"/>
        <v>274.791</v>
      </c>
      <c r="P990" s="51"/>
      <c r="Q990" s="51"/>
      <c r="R990" s="74">
        <f t="shared" si="584"/>
        <v>198.216948182078</v>
      </c>
      <c r="S990" s="108"/>
      <c r="T990" s="75">
        <f t="shared" si="585"/>
        <v>0.334749498997996</v>
      </c>
      <c r="U990" s="74"/>
      <c r="V990" s="74"/>
      <c r="W990" s="76">
        <f t="shared" si="580"/>
        <v>198.551697681076</v>
      </c>
      <c r="X990" s="77">
        <f t="shared" si="586"/>
        <v>3.47431434297166</v>
      </c>
      <c r="Y990" s="77"/>
      <c r="Z990" s="77"/>
      <c r="AA990" s="77">
        <f t="shared" si="577"/>
        <v>3.47431434297166</v>
      </c>
      <c r="AB990" s="87">
        <v>7.26</v>
      </c>
      <c r="AC990" s="74">
        <f t="shared" si="581"/>
        <v>25.2235221299742</v>
      </c>
      <c r="AD990" s="74">
        <f t="shared" si="578"/>
        <v>223.775219811051</v>
      </c>
      <c r="AE990" s="74">
        <f t="shared" si="579"/>
        <v>51.0157801889493</v>
      </c>
    </row>
    <row r="991" customFormat="1" spans="1:31">
      <c r="A991" s="18"/>
      <c r="B991" s="19"/>
      <c r="C991" s="107">
        <v>240729000001</v>
      </c>
      <c r="D991" s="21">
        <v>45507</v>
      </c>
      <c r="E991" s="21" t="s">
        <v>58</v>
      </c>
      <c r="F991" s="19" t="s">
        <v>59</v>
      </c>
      <c r="G991" s="19" t="s">
        <v>76</v>
      </c>
      <c r="H991" s="19">
        <v>23.5</v>
      </c>
      <c r="I991" s="45"/>
      <c r="J991" s="48">
        <v>290556.8</v>
      </c>
      <c r="K991" s="43"/>
      <c r="L991" s="49">
        <f t="shared" si="587"/>
        <v>1616</v>
      </c>
      <c r="M991" s="50">
        <v>179.8</v>
      </c>
      <c r="N991" s="44">
        <v>7.26</v>
      </c>
      <c r="O991" s="45">
        <f t="shared" si="588"/>
        <v>1305.348</v>
      </c>
      <c r="P991" s="51"/>
      <c r="Q991" s="51"/>
      <c r="R991" s="74">
        <f t="shared" si="584"/>
        <v>1035.13295161752</v>
      </c>
      <c r="S991" s="108"/>
      <c r="T991" s="75">
        <f t="shared" si="585"/>
        <v>1.74813627254509</v>
      </c>
      <c r="U991" s="74"/>
      <c r="V991" s="74"/>
      <c r="W991" s="76">
        <f t="shared" si="580"/>
        <v>1036.88108789007</v>
      </c>
      <c r="X991" s="77">
        <f t="shared" si="586"/>
        <v>18.143641568852</v>
      </c>
      <c r="Y991" s="77"/>
      <c r="Z991" s="77"/>
      <c r="AA991" s="77">
        <f t="shared" si="577"/>
        <v>18.143641568852</v>
      </c>
      <c r="AB991" s="87">
        <v>7.26</v>
      </c>
      <c r="AC991" s="74">
        <f t="shared" si="581"/>
        <v>131.722837789865</v>
      </c>
      <c r="AD991" s="74">
        <f t="shared" si="578"/>
        <v>1168.60392567993</v>
      </c>
      <c r="AE991" s="74">
        <f t="shared" si="579"/>
        <v>136.744074320069</v>
      </c>
    </row>
    <row r="992" customFormat="1" spans="1:31">
      <c r="A992" s="18"/>
      <c r="B992" s="19"/>
      <c r="C992" s="107">
        <v>240729000002</v>
      </c>
      <c r="D992" s="21">
        <v>45507</v>
      </c>
      <c r="E992" s="21" t="s">
        <v>58</v>
      </c>
      <c r="F992" s="19" t="s">
        <v>59</v>
      </c>
      <c r="G992" s="19" t="s">
        <v>99</v>
      </c>
      <c r="H992" s="19">
        <v>249.5</v>
      </c>
      <c r="I992" s="41">
        <v>13722.5</v>
      </c>
      <c r="J992" s="42"/>
      <c r="K992" s="43"/>
      <c r="L992" s="19"/>
      <c r="M992" s="43"/>
      <c r="N992" s="44"/>
      <c r="O992" s="45">
        <f t="shared" ref="O992:O999" si="589">SUM(I992)</f>
        <v>13722.5</v>
      </c>
      <c r="P992" s="51"/>
      <c r="Q992" s="51"/>
      <c r="R992" s="74">
        <f t="shared" si="584"/>
        <v>10990.0285714286</v>
      </c>
      <c r="S992" s="108"/>
      <c r="T992" s="75">
        <f t="shared" si="585"/>
        <v>18.56</v>
      </c>
      <c r="U992" s="74"/>
      <c r="V992" s="74"/>
      <c r="W992" s="76">
        <f t="shared" si="580"/>
        <v>11008.5885714286</v>
      </c>
      <c r="X992" s="77">
        <f t="shared" si="586"/>
        <v>192.631428571429</v>
      </c>
      <c r="Y992" s="77"/>
      <c r="Z992" s="77"/>
      <c r="AA992" s="77">
        <f t="shared" si="577"/>
        <v>192.631428571429</v>
      </c>
      <c r="AB992" s="87">
        <v>7.26</v>
      </c>
      <c r="AC992" s="74">
        <f t="shared" si="581"/>
        <v>1398.50417142857</v>
      </c>
      <c r="AD992" s="74">
        <f t="shared" si="578"/>
        <v>12407.0927428571</v>
      </c>
      <c r="AE992" s="74">
        <f t="shared" si="579"/>
        <v>1315.40725714286</v>
      </c>
    </row>
    <row r="993" customFormat="1" spans="1:31">
      <c r="A993" s="18"/>
      <c r="B993" s="19"/>
      <c r="C993" s="107">
        <v>240729000005</v>
      </c>
      <c r="D993" s="21">
        <v>45507</v>
      </c>
      <c r="E993" s="21" t="s">
        <v>58</v>
      </c>
      <c r="F993" s="19" t="s">
        <v>59</v>
      </c>
      <c r="G993" s="19" t="s">
        <v>120</v>
      </c>
      <c r="H993" s="19">
        <v>1.5</v>
      </c>
      <c r="I993" s="47"/>
      <c r="J993" s="48">
        <v>28990</v>
      </c>
      <c r="K993" s="43"/>
      <c r="L993" s="49">
        <f t="shared" ref="L993:L996" si="590">SUM(J993/M993)</f>
        <v>1616.84327941997</v>
      </c>
      <c r="M993" s="50">
        <v>17.93</v>
      </c>
      <c r="N993" s="44">
        <v>7.26</v>
      </c>
      <c r="O993" s="45">
        <f>SUM(M993*N993)</f>
        <v>130.1718</v>
      </c>
      <c r="P993" s="51"/>
      <c r="Q993" s="51"/>
      <c r="R993" s="74">
        <f t="shared" si="584"/>
        <v>66.0723160606928</v>
      </c>
      <c r="S993" s="108"/>
      <c r="T993" s="75">
        <f t="shared" si="585"/>
        <v>0.111583166332665</v>
      </c>
      <c r="U993" s="74"/>
      <c r="V993" s="74"/>
      <c r="W993" s="76">
        <f t="shared" si="580"/>
        <v>66.1838992270255</v>
      </c>
      <c r="X993" s="77">
        <f t="shared" si="586"/>
        <v>1.15810478099055</v>
      </c>
      <c r="Y993" s="77"/>
      <c r="Z993" s="77"/>
      <c r="AA993" s="77">
        <f t="shared" si="577"/>
        <v>1.15810478099055</v>
      </c>
      <c r="AB993" s="87">
        <v>7.26</v>
      </c>
      <c r="AC993" s="74">
        <f t="shared" si="581"/>
        <v>8.40784070999141</v>
      </c>
      <c r="AD993" s="74">
        <f t="shared" si="578"/>
        <v>74.5917399370169</v>
      </c>
      <c r="AE993" s="74">
        <f t="shared" si="579"/>
        <v>55.5800600629831</v>
      </c>
    </row>
    <row r="994" customFormat="1" spans="1:31">
      <c r="A994" s="18"/>
      <c r="B994" s="19"/>
      <c r="C994" s="107">
        <v>240729000008</v>
      </c>
      <c r="D994" s="21">
        <v>45507</v>
      </c>
      <c r="E994" s="21" t="s">
        <v>58</v>
      </c>
      <c r="F994" s="19" t="s">
        <v>59</v>
      </c>
      <c r="G994" s="19" t="s">
        <v>97</v>
      </c>
      <c r="H994" s="19">
        <v>213.5</v>
      </c>
      <c r="I994" s="45"/>
      <c r="J994" s="48">
        <v>3450160</v>
      </c>
      <c r="K994" s="43"/>
      <c r="L994" s="49">
        <f t="shared" si="590"/>
        <v>1616</v>
      </c>
      <c r="M994" s="50">
        <v>2135</v>
      </c>
      <c r="N994" s="44">
        <v>7.26</v>
      </c>
      <c r="O994" s="45">
        <f>SUM(M994*N994)</f>
        <v>15500.1</v>
      </c>
      <c r="P994" s="51"/>
      <c r="Q994" s="51"/>
      <c r="R994" s="74">
        <f t="shared" si="584"/>
        <v>9404.29298597194</v>
      </c>
      <c r="S994" s="108"/>
      <c r="T994" s="75">
        <f t="shared" si="585"/>
        <v>15.882004008016</v>
      </c>
      <c r="U994" s="74"/>
      <c r="V994" s="74"/>
      <c r="W994" s="76">
        <f t="shared" si="580"/>
        <v>9420.17498997996</v>
      </c>
      <c r="X994" s="77">
        <f t="shared" si="586"/>
        <v>164.836913827655</v>
      </c>
      <c r="Y994" s="77"/>
      <c r="Z994" s="77"/>
      <c r="AA994" s="77">
        <f t="shared" si="577"/>
        <v>164.836913827655</v>
      </c>
      <c r="AB994" s="87">
        <v>7.26</v>
      </c>
      <c r="AC994" s="74">
        <f t="shared" si="581"/>
        <v>1196.71599438878</v>
      </c>
      <c r="AD994" s="74">
        <f t="shared" si="578"/>
        <v>10616.8909843687</v>
      </c>
      <c r="AE994" s="74">
        <f t="shared" si="579"/>
        <v>4883.20901563126</v>
      </c>
    </row>
    <row r="995" customFormat="1" spans="1:31">
      <c r="A995" s="18"/>
      <c r="B995" s="19"/>
      <c r="C995" s="107">
        <v>240729000011</v>
      </c>
      <c r="D995" s="21">
        <v>45507</v>
      </c>
      <c r="E995" s="21" t="s">
        <v>40</v>
      </c>
      <c r="F995" s="19" t="s">
        <v>41</v>
      </c>
      <c r="G995" s="19" t="s">
        <v>86</v>
      </c>
      <c r="H995" s="19">
        <v>62.5</v>
      </c>
      <c r="I995" s="41">
        <v>140</v>
      </c>
      <c r="J995" s="48">
        <v>696875</v>
      </c>
      <c r="K995" s="43"/>
      <c r="L995" s="49">
        <f t="shared" si="590"/>
        <v>1618.98290121736</v>
      </c>
      <c r="M995" s="50">
        <v>430.44</v>
      </c>
      <c r="N995" s="44">
        <v>7.26</v>
      </c>
      <c r="O995" s="45">
        <f>SUM(M995*N995+I995)</f>
        <v>3264.9944</v>
      </c>
      <c r="P995" s="51"/>
      <c r="Q995" s="51"/>
      <c r="R995" s="74">
        <f t="shared" si="584"/>
        <v>2753.01316919553</v>
      </c>
      <c r="S995" s="108"/>
      <c r="T995" s="75">
        <f t="shared" si="585"/>
        <v>4.64929859719439</v>
      </c>
      <c r="U995" s="74"/>
      <c r="V995" s="75">
        <v>140</v>
      </c>
      <c r="W995" s="76">
        <f t="shared" si="580"/>
        <v>2897.66246779273</v>
      </c>
      <c r="X995" s="77">
        <f t="shared" si="586"/>
        <v>48.2543658746064</v>
      </c>
      <c r="Y995" s="77"/>
      <c r="Z995" s="77"/>
      <c r="AA995" s="77">
        <f t="shared" si="577"/>
        <v>48.2543658746064</v>
      </c>
      <c r="AB995" s="87">
        <v>7.26</v>
      </c>
      <c r="AC995" s="74">
        <f t="shared" si="581"/>
        <v>350.326696249642</v>
      </c>
      <c r="AD995" s="74">
        <f t="shared" si="578"/>
        <v>3247.98916404237</v>
      </c>
      <c r="AE995" s="74">
        <f t="shared" si="579"/>
        <v>17.0052359576293</v>
      </c>
    </row>
    <row r="996" customFormat="1" spans="1:31">
      <c r="A996" s="18"/>
      <c r="B996" s="19"/>
      <c r="C996" s="107">
        <v>240729000012</v>
      </c>
      <c r="D996" s="21">
        <v>45507</v>
      </c>
      <c r="E996" s="21" t="s">
        <v>40</v>
      </c>
      <c r="F996" s="19" t="s">
        <v>41</v>
      </c>
      <c r="G996" s="19" t="s">
        <v>91</v>
      </c>
      <c r="H996" s="19">
        <v>4.5</v>
      </c>
      <c r="I996" s="47"/>
      <c r="J996" s="48">
        <v>60637.5</v>
      </c>
      <c r="K996" s="43"/>
      <c r="L996" s="49">
        <f t="shared" si="590"/>
        <v>1778.74743326489</v>
      </c>
      <c r="M996" s="50">
        <v>34.09</v>
      </c>
      <c r="N996" s="44">
        <v>7.26</v>
      </c>
      <c r="O996" s="45">
        <f>SUM(M996*N996+I996)</f>
        <v>247.4934</v>
      </c>
      <c r="P996" s="51"/>
      <c r="Q996" s="51"/>
      <c r="R996" s="74">
        <f t="shared" si="584"/>
        <v>198.216948182078</v>
      </c>
      <c r="S996" s="108"/>
      <c r="T996" s="75">
        <f t="shared" si="585"/>
        <v>0.334749498997996</v>
      </c>
      <c r="U996" s="74"/>
      <c r="V996" s="74"/>
      <c r="W996" s="76">
        <f t="shared" si="580"/>
        <v>198.551697681076</v>
      </c>
      <c r="X996" s="77">
        <f t="shared" si="586"/>
        <v>3.47431434297166</v>
      </c>
      <c r="Y996" s="77"/>
      <c r="Z996" s="77"/>
      <c r="AA996" s="77">
        <f t="shared" si="577"/>
        <v>3.47431434297166</v>
      </c>
      <c r="AB996" s="87">
        <v>7.26</v>
      </c>
      <c r="AC996" s="74">
        <f t="shared" si="581"/>
        <v>25.2235221299742</v>
      </c>
      <c r="AD996" s="74">
        <f t="shared" si="578"/>
        <v>223.775219811051</v>
      </c>
      <c r="AE996" s="74">
        <f t="shared" si="579"/>
        <v>23.7181801889493</v>
      </c>
    </row>
    <row r="997" customFormat="1" spans="1:31">
      <c r="A997" s="18"/>
      <c r="B997" s="19"/>
      <c r="C997" s="107">
        <v>240729000014</v>
      </c>
      <c r="D997" s="21">
        <v>45507</v>
      </c>
      <c r="E997" s="21" t="s">
        <v>40</v>
      </c>
      <c r="F997" s="19" t="s">
        <v>41</v>
      </c>
      <c r="G997" s="19" t="s">
        <v>119</v>
      </c>
      <c r="H997" s="19">
        <v>5</v>
      </c>
      <c r="I997" s="41">
        <v>300</v>
      </c>
      <c r="J997" s="42"/>
      <c r="K997" s="43"/>
      <c r="L997" s="19"/>
      <c r="M997" s="43"/>
      <c r="N997" s="44"/>
      <c r="O997" s="45">
        <f t="shared" si="589"/>
        <v>300</v>
      </c>
      <c r="P997" s="51"/>
      <c r="Q997" s="51"/>
      <c r="R997" s="74">
        <f t="shared" si="584"/>
        <v>220.241053535643</v>
      </c>
      <c r="S997" s="108"/>
      <c r="T997" s="75">
        <f t="shared" si="585"/>
        <v>0.371943887775551</v>
      </c>
      <c r="U997" s="74"/>
      <c r="V997" s="74"/>
      <c r="W997" s="76">
        <f t="shared" si="580"/>
        <v>220.612997423418</v>
      </c>
      <c r="X997" s="77">
        <f t="shared" si="586"/>
        <v>3.86034926996851</v>
      </c>
      <c r="Y997" s="77"/>
      <c r="Z997" s="77"/>
      <c r="AA997" s="77">
        <f t="shared" si="577"/>
        <v>3.86034926996851</v>
      </c>
      <c r="AB997" s="87">
        <v>7.26</v>
      </c>
      <c r="AC997" s="74">
        <f t="shared" si="581"/>
        <v>28.0261356999714</v>
      </c>
      <c r="AD997" s="74">
        <f t="shared" si="578"/>
        <v>248.63913312339</v>
      </c>
      <c r="AE997" s="74">
        <f t="shared" si="579"/>
        <v>51.3608668766104</v>
      </c>
    </row>
    <row r="998" customFormat="1" spans="1:31">
      <c r="A998" s="18"/>
      <c r="B998" s="19"/>
      <c r="C998" s="107">
        <v>240729000015</v>
      </c>
      <c r="D998" s="21">
        <v>45507</v>
      </c>
      <c r="E998" s="21" t="s">
        <v>44</v>
      </c>
      <c r="F998" s="19" t="s">
        <v>45</v>
      </c>
      <c r="G998" s="19" t="s">
        <v>451</v>
      </c>
      <c r="H998" s="19">
        <v>10.5</v>
      </c>
      <c r="I998" s="41">
        <v>667.5</v>
      </c>
      <c r="J998" s="42"/>
      <c r="K998" s="43"/>
      <c r="L998" s="19"/>
      <c r="M998" s="43"/>
      <c r="N998" s="44"/>
      <c r="O998" s="45">
        <f t="shared" si="589"/>
        <v>667.5</v>
      </c>
      <c r="P998" s="51"/>
      <c r="Q998" s="51"/>
      <c r="R998" s="74">
        <f t="shared" si="584"/>
        <v>462.50621242485</v>
      </c>
      <c r="S998" s="108"/>
      <c r="T998" s="75">
        <f t="shared" si="585"/>
        <v>0.781082164328657</v>
      </c>
      <c r="U998" s="74"/>
      <c r="V998" s="74"/>
      <c r="W998" s="76">
        <f t="shared" si="580"/>
        <v>463.287294589178</v>
      </c>
      <c r="X998" s="77">
        <f t="shared" si="586"/>
        <v>8.10673346693387</v>
      </c>
      <c r="Y998" s="77"/>
      <c r="Z998" s="77"/>
      <c r="AA998" s="77">
        <f t="shared" si="577"/>
        <v>8.10673346693387</v>
      </c>
      <c r="AB998" s="87">
        <v>7.26</v>
      </c>
      <c r="AC998" s="74">
        <f t="shared" si="581"/>
        <v>58.8548849699399</v>
      </c>
      <c r="AD998" s="74">
        <f t="shared" si="578"/>
        <v>522.142179559118</v>
      </c>
      <c r="AE998" s="74">
        <f t="shared" si="579"/>
        <v>145.357820440882</v>
      </c>
    </row>
    <row r="999" customFormat="1" spans="1:31">
      <c r="A999" s="18"/>
      <c r="B999" s="19"/>
      <c r="C999" s="107">
        <v>240729000018</v>
      </c>
      <c r="D999" s="21">
        <v>45507</v>
      </c>
      <c r="E999" s="21" t="s">
        <v>44</v>
      </c>
      <c r="F999" s="19" t="s">
        <v>45</v>
      </c>
      <c r="G999" s="19" t="s">
        <v>121</v>
      </c>
      <c r="H999" s="19">
        <v>1</v>
      </c>
      <c r="I999" s="41">
        <v>79.5</v>
      </c>
      <c r="J999" s="42"/>
      <c r="K999" s="43"/>
      <c r="L999" s="19"/>
      <c r="M999" s="43"/>
      <c r="N999" s="44"/>
      <c r="O999" s="45">
        <f t="shared" si="589"/>
        <v>79.5</v>
      </c>
      <c r="P999" s="51"/>
      <c r="Q999" s="51"/>
      <c r="R999" s="74">
        <f t="shared" si="584"/>
        <v>44.0482107071285</v>
      </c>
      <c r="S999" s="108"/>
      <c r="T999" s="75">
        <f t="shared" si="585"/>
        <v>0.0743887775551102</v>
      </c>
      <c r="U999" s="74"/>
      <c r="V999" s="74"/>
      <c r="W999" s="76">
        <f t="shared" si="580"/>
        <v>44.1225994846836</v>
      </c>
      <c r="X999" s="77">
        <f t="shared" si="586"/>
        <v>0.772069853993702</v>
      </c>
      <c r="Y999" s="77"/>
      <c r="Z999" s="77"/>
      <c r="AA999" s="77">
        <f t="shared" si="577"/>
        <v>0.772069853993702</v>
      </c>
      <c r="AB999" s="87">
        <v>7.26</v>
      </c>
      <c r="AC999" s="74">
        <f t="shared" si="581"/>
        <v>5.60522713999428</v>
      </c>
      <c r="AD999" s="74">
        <f t="shared" si="578"/>
        <v>49.7278266246779</v>
      </c>
      <c r="AE999" s="74">
        <f t="shared" si="579"/>
        <v>29.7721733753221</v>
      </c>
    </row>
    <row r="1000" customFormat="1" spans="1:31">
      <c r="A1000" s="18"/>
      <c r="B1000" s="19"/>
      <c r="C1000" s="107">
        <v>240729000030</v>
      </c>
      <c r="D1000" s="21">
        <v>45507</v>
      </c>
      <c r="E1000" s="21" t="s">
        <v>44</v>
      </c>
      <c r="F1000" s="19" t="s">
        <v>45</v>
      </c>
      <c r="G1000" s="19" t="s">
        <v>325</v>
      </c>
      <c r="H1000" s="19">
        <v>7</v>
      </c>
      <c r="I1000" s="47"/>
      <c r="J1000" s="48">
        <v>93483</v>
      </c>
      <c r="K1000" s="43"/>
      <c r="L1000" s="49">
        <f>SUM(J1000/M1000)</f>
        <v>1675.92326998924</v>
      </c>
      <c r="M1000" s="50">
        <v>55.78</v>
      </c>
      <c r="N1000" s="44">
        <v>7.26</v>
      </c>
      <c r="O1000" s="45">
        <f>SUM(M1000*N1000)</f>
        <v>404.9628</v>
      </c>
      <c r="P1000" s="51"/>
      <c r="Q1000" s="51"/>
      <c r="R1000" s="74">
        <f t="shared" si="584"/>
        <v>308.3374749499</v>
      </c>
      <c r="S1000" s="108"/>
      <c r="T1000" s="75">
        <f t="shared" si="585"/>
        <v>0.520721442885771</v>
      </c>
      <c r="U1000" s="74"/>
      <c r="V1000" s="74"/>
      <c r="W1000" s="76">
        <f t="shared" si="580"/>
        <v>308.858196392786</v>
      </c>
      <c r="X1000" s="77">
        <f t="shared" si="586"/>
        <v>5.40448897795591</v>
      </c>
      <c r="Y1000" s="77"/>
      <c r="Z1000" s="77"/>
      <c r="AA1000" s="77">
        <f t="shared" si="577"/>
        <v>5.40448897795591</v>
      </c>
      <c r="AB1000" s="87">
        <v>7.26</v>
      </c>
      <c r="AC1000" s="74">
        <f t="shared" si="581"/>
        <v>39.2365899799599</v>
      </c>
      <c r="AD1000" s="74">
        <f t="shared" si="578"/>
        <v>348.094786372745</v>
      </c>
      <c r="AE1000" s="74">
        <f t="shared" si="579"/>
        <v>56.8680136272545</v>
      </c>
    </row>
    <row r="1001" customFormat="1" spans="1:31">
      <c r="A1001" s="18"/>
      <c r="B1001" s="19"/>
      <c r="C1001" s="107">
        <v>240729000034</v>
      </c>
      <c r="D1001" s="23">
        <v>45507</v>
      </c>
      <c r="E1001" s="21" t="s">
        <v>47</v>
      </c>
      <c r="F1001" s="24" t="s">
        <v>48</v>
      </c>
      <c r="G1001" s="24" t="s">
        <v>586</v>
      </c>
      <c r="H1001" s="24">
        <v>7</v>
      </c>
      <c r="I1001" s="47"/>
      <c r="J1001" s="113"/>
      <c r="K1001" s="55">
        <v>56</v>
      </c>
      <c r="L1001" s="49">
        <f>SUM(J1001/M1001)</f>
        <v>0</v>
      </c>
      <c r="M1001" s="55">
        <v>56</v>
      </c>
      <c r="N1001" s="44">
        <v>7.26</v>
      </c>
      <c r="O1001" s="45">
        <f>SUM(M1001*N1001)</f>
        <v>406.56</v>
      </c>
      <c r="P1001" s="51"/>
      <c r="Q1001" s="51"/>
      <c r="R1001" s="74">
        <f t="shared" si="584"/>
        <v>308.3374749499</v>
      </c>
      <c r="S1001" s="108"/>
      <c r="T1001" s="75">
        <f t="shared" si="585"/>
        <v>0.520721442885771</v>
      </c>
      <c r="U1001" s="74"/>
      <c r="V1001" s="74"/>
      <c r="W1001" s="76">
        <f t="shared" si="580"/>
        <v>308.858196392786</v>
      </c>
      <c r="X1001" s="77">
        <f t="shared" si="586"/>
        <v>5.40448897795591</v>
      </c>
      <c r="Y1001" s="77"/>
      <c r="Z1001" s="77"/>
      <c r="AA1001" s="77">
        <f t="shared" si="577"/>
        <v>5.40448897795591</v>
      </c>
      <c r="AB1001" s="87">
        <v>7.26</v>
      </c>
      <c r="AC1001" s="74">
        <f t="shared" si="581"/>
        <v>39.2365899799599</v>
      </c>
      <c r="AD1001" s="74">
        <f t="shared" si="578"/>
        <v>348.094786372745</v>
      </c>
      <c r="AE1001" s="74">
        <f t="shared" si="579"/>
        <v>58.4652136272545</v>
      </c>
    </row>
    <row r="1002" customFormat="1" spans="1:31">
      <c r="A1002" s="18"/>
      <c r="B1002" s="19"/>
      <c r="C1002" s="107">
        <v>240729000035</v>
      </c>
      <c r="D1002" s="21">
        <v>45507</v>
      </c>
      <c r="E1002" s="21" t="s">
        <v>44</v>
      </c>
      <c r="F1002" s="19" t="s">
        <v>45</v>
      </c>
      <c r="G1002" s="19" t="s">
        <v>587</v>
      </c>
      <c r="H1002" s="19">
        <v>3</v>
      </c>
      <c r="I1002" s="41">
        <v>183</v>
      </c>
      <c r="J1002" s="42"/>
      <c r="K1002" s="43"/>
      <c r="L1002" s="19"/>
      <c r="M1002" s="43"/>
      <c r="N1002" s="44"/>
      <c r="O1002" s="45">
        <f t="shared" ref="O1002:O1006" si="591">SUM(I1002)</f>
        <v>183</v>
      </c>
      <c r="P1002" s="51"/>
      <c r="Q1002" s="51"/>
      <c r="R1002" s="74">
        <f t="shared" si="584"/>
        <v>132.144632121386</v>
      </c>
      <c r="S1002" s="108"/>
      <c r="T1002" s="75">
        <f t="shared" si="585"/>
        <v>0.223166332665331</v>
      </c>
      <c r="U1002" s="74"/>
      <c r="V1002" s="74"/>
      <c r="W1002" s="76">
        <f t="shared" si="580"/>
        <v>132.367798454051</v>
      </c>
      <c r="X1002" s="77">
        <f t="shared" si="586"/>
        <v>2.31620956198111</v>
      </c>
      <c r="Y1002" s="77"/>
      <c r="Z1002" s="77"/>
      <c r="AA1002" s="77">
        <f t="shared" si="577"/>
        <v>2.31620956198111</v>
      </c>
      <c r="AB1002" s="87">
        <v>7.26</v>
      </c>
      <c r="AC1002" s="74">
        <f t="shared" si="581"/>
        <v>16.8156814199828</v>
      </c>
      <c r="AD1002" s="74">
        <f t="shared" si="578"/>
        <v>149.183479874034</v>
      </c>
      <c r="AE1002" s="74">
        <f t="shared" si="579"/>
        <v>33.8165201259662</v>
      </c>
    </row>
    <row r="1003" customFormat="1" spans="1:31">
      <c r="A1003" s="18"/>
      <c r="B1003" s="19"/>
      <c r="C1003" s="107">
        <v>240729000036</v>
      </c>
      <c r="D1003" s="21">
        <v>45507</v>
      </c>
      <c r="E1003" s="21" t="s">
        <v>37</v>
      </c>
      <c r="F1003" s="19" t="s">
        <v>37</v>
      </c>
      <c r="G1003" s="19" t="s">
        <v>466</v>
      </c>
      <c r="H1003" s="19">
        <v>56.5</v>
      </c>
      <c r="I1003" s="47">
        <v>4664</v>
      </c>
      <c r="J1003" s="42"/>
      <c r="K1003" s="43"/>
      <c r="L1003" s="19"/>
      <c r="M1003" s="43"/>
      <c r="N1003" s="44"/>
      <c r="O1003" s="45">
        <f t="shared" si="591"/>
        <v>4664</v>
      </c>
      <c r="P1003" s="51"/>
      <c r="Q1003" s="51"/>
      <c r="R1003" s="74">
        <f t="shared" si="584"/>
        <v>2488.72390495276</v>
      </c>
      <c r="S1003" s="108"/>
      <c r="T1003" s="75">
        <f t="shared" si="585"/>
        <v>4.20296593186373</v>
      </c>
      <c r="U1003" s="74"/>
      <c r="V1003" s="75">
        <v>245</v>
      </c>
      <c r="W1003" s="76">
        <f t="shared" si="580"/>
        <v>2737.92687088463</v>
      </c>
      <c r="X1003" s="77">
        <f t="shared" si="586"/>
        <v>43.6219467506441</v>
      </c>
      <c r="Y1003" s="77"/>
      <c r="Z1003" s="77"/>
      <c r="AA1003" s="77">
        <f t="shared" si="577"/>
        <v>43.6219467506441</v>
      </c>
      <c r="AB1003" s="87">
        <v>7.26</v>
      </c>
      <c r="AC1003" s="74">
        <f t="shared" si="581"/>
        <v>316.695333409676</v>
      </c>
      <c r="AD1003" s="74">
        <f t="shared" si="578"/>
        <v>3054.6222042943</v>
      </c>
      <c r="AE1003" s="74">
        <f t="shared" si="579"/>
        <v>1609.3777957057</v>
      </c>
    </row>
    <row r="1004" customFormat="1" spans="1:31">
      <c r="A1004" s="18"/>
      <c r="B1004" s="19"/>
      <c r="C1004" s="107">
        <v>240729000039</v>
      </c>
      <c r="D1004" s="21">
        <v>45507</v>
      </c>
      <c r="E1004" s="21" t="s">
        <v>40</v>
      </c>
      <c r="F1004" s="19" t="s">
        <v>41</v>
      </c>
      <c r="G1004" s="19" t="s">
        <v>279</v>
      </c>
      <c r="H1004" s="19">
        <v>11.5</v>
      </c>
      <c r="I1004" s="41">
        <v>632.5</v>
      </c>
      <c r="J1004" s="42"/>
      <c r="K1004" s="43"/>
      <c r="L1004" s="19"/>
      <c r="M1004" s="43"/>
      <c r="N1004" s="44"/>
      <c r="O1004" s="45">
        <f t="shared" si="591"/>
        <v>632.5</v>
      </c>
      <c r="P1004" s="51"/>
      <c r="Q1004" s="51"/>
      <c r="R1004" s="74">
        <f t="shared" si="584"/>
        <v>506.554423131978</v>
      </c>
      <c r="S1004" s="108"/>
      <c r="T1004" s="75">
        <f t="shared" si="585"/>
        <v>0.855470941883767</v>
      </c>
      <c r="U1004" s="74"/>
      <c r="V1004" s="74"/>
      <c r="W1004" s="76">
        <f t="shared" si="580"/>
        <v>507.409894073862</v>
      </c>
      <c r="X1004" s="77">
        <f t="shared" si="586"/>
        <v>8.87880332092757</v>
      </c>
      <c r="Y1004" s="77"/>
      <c r="Z1004" s="77"/>
      <c r="AA1004" s="77">
        <f t="shared" si="577"/>
        <v>8.87880332092757</v>
      </c>
      <c r="AB1004" s="87">
        <v>7.26</v>
      </c>
      <c r="AC1004" s="74">
        <f t="shared" si="581"/>
        <v>64.4601121099342</v>
      </c>
      <c r="AD1004" s="74">
        <f t="shared" si="578"/>
        <v>571.870006183796</v>
      </c>
      <c r="AE1004" s="74">
        <f t="shared" si="579"/>
        <v>60.6299938162039</v>
      </c>
    </row>
    <row r="1005" customFormat="1" spans="1:31">
      <c r="A1005" s="18"/>
      <c r="B1005" s="19"/>
      <c r="C1005" s="107">
        <v>240729000040</v>
      </c>
      <c r="D1005" s="21">
        <v>45507</v>
      </c>
      <c r="E1005" s="21" t="s">
        <v>40</v>
      </c>
      <c r="F1005" s="19" t="s">
        <v>41</v>
      </c>
      <c r="G1005" s="19" t="s">
        <v>279</v>
      </c>
      <c r="H1005" s="19">
        <v>18</v>
      </c>
      <c r="I1005" s="47">
        <v>1032</v>
      </c>
      <c r="J1005" s="42"/>
      <c r="K1005" s="43"/>
      <c r="L1005" s="19"/>
      <c r="M1005" s="43"/>
      <c r="N1005" s="44"/>
      <c r="O1005" s="45">
        <f t="shared" si="591"/>
        <v>1032</v>
      </c>
      <c r="P1005" s="51"/>
      <c r="Q1005" s="51"/>
      <c r="R1005" s="74">
        <f t="shared" si="584"/>
        <v>792.867792728314</v>
      </c>
      <c r="S1005" s="108"/>
      <c r="T1005" s="75">
        <f t="shared" si="585"/>
        <v>1.33899799599198</v>
      </c>
      <c r="U1005" s="74"/>
      <c r="V1005" s="74"/>
      <c r="W1005" s="76">
        <f t="shared" si="580"/>
        <v>794.206790724306</v>
      </c>
      <c r="X1005" s="77">
        <f t="shared" si="586"/>
        <v>13.8972573718866</v>
      </c>
      <c r="Y1005" s="77"/>
      <c r="Z1005" s="77"/>
      <c r="AA1005" s="77">
        <f t="shared" si="577"/>
        <v>13.8972573718866</v>
      </c>
      <c r="AB1005" s="87">
        <v>7.26</v>
      </c>
      <c r="AC1005" s="74">
        <f t="shared" si="581"/>
        <v>100.894088519897</v>
      </c>
      <c r="AD1005" s="74">
        <f t="shared" si="578"/>
        <v>895.100879244203</v>
      </c>
      <c r="AE1005" s="74">
        <f t="shared" si="579"/>
        <v>136.899120755797</v>
      </c>
    </row>
    <row r="1006" customFormat="1" spans="1:31">
      <c r="A1006" s="18"/>
      <c r="B1006" s="19"/>
      <c r="C1006" s="107">
        <v>240729000042</v>
      </c>
      <c r="D1006" s="21">
        <v>45507</v>
      </c>
      <c r="E1006" s="21" t="s">
        <v>40</v>
      </c>
      <c r="F1006" s="19" t="s">
        <v>41</v>
      </c>
      <c r="G1006" s="19" t="s">
        <v>588</v>
      </c>
      <c r="H1006" s="19">
        <v>2</v>
      </c>
      <c r="I1006" s="41">
        <v>160</v>
      </c>
      <c r="J1006" s="42"/>
      <c r="K1006" s="43"/>
      <c r="L1006" s="19"/>
      <c r="M1006" s="43"/>
      <c r="N1006" s="44"/>
      <c r="O1006" s="45">
        <f t="shared" si="591"/>
        <v>160</v>
      </c>
      <c r="P1006" s="51"/>
      <c r="Q1006" s="51"/>
      <c r="R1006" s="74">
        <f t="shared" si="584"/>
        <v>88.0964214142571</v>
      </c>
      <c r="S1006" s="108"/>
      <c r="T1006" s="75">
        <f t="shared" si="585"/>
        <v>0.14877755511022</v>
      </c>
      <c r="U1006" s="74"/>
      <c r="V1006" s="74"/>
      <c r="W1006" s="76">
        <f t="shared" si="580"/>
        <v>88.2451989693673</v>
      </c>
      <c r="X1006" s="77">
        <f t="shared" si="586"/>
        <v>1.5441397079874</v>
      </c>
      <c r="Y1006" s="77">
        <v>3.44</v>
      </c>
      <c r="Z1006" s="77"/>
      <c r="AA1006" s="77">
        <f t="shared" si="577"/>
        <v>4.9841397079874</v>
      </c>
      <c r="AB1006" s="87">
        <v>7.26</v>
      </c>
      <c r="AC1006" s="74">
        <f t="shared" si="581"/>
        <v>36.1848542799885</v>
      </c>
      <c r="AD1006" s="74">
        <f t="shared" si="578"/>
        <v>124.430053249356</v>
      </c>
      <c r="AE1006" s="74">
        <f t="shared" si="579"/>
        <v>35.5699467506442</v>
      </c>
    </row>
    <row r="1007" customFormat="1" spans="1:31">
      <c r="A1007" s="18"/>
      <c r="B1007" s="19"/>
      <c r="C1007" s="107">
        <v>240729000043</v>
      </c>
      <c r="D1007" s="21">
        <v>45507</v>
      </c>
      <c r="E1007" s="21" t="s">
        <v>40</v>
      </c>
      <c r="F1007" s="19" t="s">
        <v>41</v>
      </c>
      <c r="G1007" s="19" t="s">
        <v>87</v>
      </c>
      <c r="H1007" s="19">
        <v>262.5</v>
      </c>
      <c r="I1007" s="47"/>
      <c r="J1007" s="48">
        <v>3456075</v>
      </c>
      <c r="K1007" s="43"/>
      <c r="L1007" s="49">
        <f>SUM(J1007/M1007)</f>
        <v>1648.02584521482</v>
      </c>
      <c r="M1007" s="50">
        <v>2097.1</v>
      </c>
      <c r="N1007" s="44">
        <v>7.26</v>
      </c>
      <c r="O1007" s="45">
        <f t="shared" ref="O1007:O1015" si="592">SUM(M1007*N1007)</f>
        <v>15224.946</v>
      </c>
      <c r="P1007" s="51"/>
      <c r="Q1007" s="51"/>
      <c r="R1007" s="74">
        <f t="shared" si="584"/>
        <v>11562.6553106212</v>
      </c>
      <c r="S1007" s="108"/>
      <c r="T1007" s="75">
        <f t="shared" si="585"/>
        <v>19.5270541082164</v>
      </c>
      <c r="U1007" s="74"/>
      <c r="V1007" s="74"/>
      <c r="W1007" s="76">
        <f t="shared" si="580"/>
        <v>11582.1823647295</v>
      </c>
      <c r="X1007" s="77">
        <f t="shared" si="586"/>
        <v>202.668336673347</v>
      </c>
      <c r="Y1007" s="77"/>
      <c r="Z1007" s="77"/>
      <c r="AA1007" s="77">
        <f t="shared" si="577"/>
        <v>202.668336673347</v>
      </c>
      <c r="AB1007" s="87">
        <v>7.26</v>
      </c>
      <c r="AC1007" s="74">
        <f t="shared" si="581"/>
        <v>1471.3721242485</v>
      </c>
      <c r="AD1007" s="74">
        <f t="shared" si="578"/>
        <v>13053.554488978</v>
      </c>
      <c r="AE1007" s="74">
        <f t="shared" si="579"/>
        <v>2171.39151102204</v>
      </c>
    </row>
    <row r="1008" customFormat="1" spans="1:31">
      <c r="A1008" s="18"/>
      <c r="B1008" s="19"/>
      <c r="C1008" s="107">
        <v>240729000051</v>
      </c>
      <c r="D1008" s="21">
        <v>45507</v>
      </c>
      <c r="E1008" s="21" t="s">
        <v>40</v>
      </c>
      <c r="F1008" s="19" t="s">
        <v>41</v>
      </c>
      <c r="G1008" s="19" t="s">
        <v>165</v>
      </c>
      <c r="H1008" s="19">
        <v>1</v>
      </c>
      <c r="I1008" s="47"/>
      <c r="J1008" s="48">
        <v>12667</v>
      </c>
      <c r="K1008" s="43"/>
      <c r="L1008" s="49">
        <f>SUM(J1008/M1008)</f>
        <v>1735.20547945205</v>
      </c>
      <c r="M1008" s="50">
        <v>7.3</v>
      </c>
      <c r="N1008" s="44">
        <v>7.26</v>
      </c>
      <c r="O1008" s="45">
        <f t="shared" si="592"/>
        <v>52.998</v>
      </c>
      <c r="P1008" s="51"/>
      <c r="Q1008" s="51"/>
      <c r="R1008" s="74">
        <f t="shared" si="584"/>
        <v>44.0482107071285</v>
      </c>
      <c r="S1008" s="108"/>
      <c r="T1008" s="75">
        <f t="shared" si="585"/>
        <v>0.0743887775551102</v>
      </c>
      <c r="U1008" s="74"/>
      <c r="V1008" s="74"/>
      <c r="W1008" s="76">
        <f t="shared" si="580"/>
        <v>44.1225994846836</v>
      </c>
      <c r="X1008" s="77">
        <f t="shared" si="586"/>
        <v>0.772069853993702</v>
      </c>
      <c r="Y1008" s="77"/>
      <c r="Z1008" s="77"/>
      <c r="AA1008" s="77">
        <f t="shared" si="577"/>
        <v>0.772069853993702</v>
      </c>
      <c r="AB1008" s="87">
        <v>7.26</v>
      </c>
      <c r="AC1008" s="74">
        <f t="shared" si="581"/>
        <v>5.60522713999428</v>
      </c>
      <c r="AD1008" s="74">
        <f t="shared" si="578"/>
        <v>49.7278266246779</v>
      </c>
      <c r="AE1008" s="74">
        <f t="shared" si="579"/>
        <v>3.27017337532207</v>
      </c>
    </row>
    <row r="1009" customFormat="1" spans="1:31">
      <c r="A1009" s="18"/>
      <c r="B1009" s="19"/>
      <c r="C1009" s="107">
        <v>240729000052</v>
      </c>
      <c r="D1009" s="21">
        <v>45507</v>
      </c>
      <c r="E1009" s="21" t="s">
        <v>47</v>
      </c>
      <c r="F1009" s="19" t="s">
        <v>48</v>
      </c>
      <c r="G1009" s="19" t="s">
        <v>589</v>
      </c>
      <c r="H1009" s="19">
        <v>23.5</v>
      </c>
      <c r="I1009" s="41">
        <v>1300.5</v>
      </c>
      <c r="J1009" s="42"/>
      <c r="K1009" s="43"/>
      <c r="L1009" s="19"/>
      <c r="M1009" s="43"/>
      <c r="N1009" s="44"/>
      <c r="O1009" s="45">
        <f t="shared" ref="O1009:O1011" si="593">SUM(I1009)</f>
        <v>1300.5</v>
      </c>
      <c r="P1009" s="51"/>
      <c r="Q1009" s="51"/>
      <c r="R1009" s="74">
        <f t="shared" si="584"/>
        <v>1035.13295161752</v>
      </c>
      <c r="S1009" s="108"/>
      <c r="T1009" s="75">
        <f t="shared" si="585"/>
        <v>1.74813627254509</v>
      </c>
      <c r="U1009" s="74"/>
      <c r="V1009" s="74"/>
      <c r="W1009" s="76">
        <f t="shared" si="580"/>
        <v>1036.88108789007</v>
      </c>
      <c r="X1009" s="77">
        <f t="shared" si="586"/>
        <v>18.143641568852</v>
      </c>
      <c r="Y1009" s="77"/>
      <c r="Z1009" s="77"/>
      <c r="AA1009" s="77">
        <f t="shared" si="577"/>
        <v>18.143641568852</v>
      </c>
      <c r="AB1009" s="87">
        <v>7.26</v>
      </c>
      <c r="AC1009" s="74">
        <f t="shared" si="581"/>
        <v>131.722837789865</v>
      </c>
      <c r="AD1009" s="74">
        <f t="shared" si="578"/>
        <v>1168.60392567993</v>
      </c>
      <c r="AE1009" s="74">
        <f t="shared" si="579"/>
        <v>131.896074320069</v>
      </c>
    </row>
    <row r="1010" customFormat="1" spans="1:31">
      <c r="A1010" s="18"/>
      <c r="B1010" s="19"/>
      <c r="C1010" s="107">
        <v>240729000053</v>
      </c>
      <c r="D1010" s="21">
        <v>45507</v>
      </c>
      <c r="E1010" s="21" t="s">
        <v>47</v>
      </c>
      <c r="F1010" s="19" t="s">
        <v>48</v>
      </c>
      <c r="G1010" s="19" t="s">
        <v>280</v>
      </c>
      <c r="H1010" s="19">
        <v>5.5</v>
      </c>
      <c r="I1010" s="41">
        <v>333</v>
      </c>
      <c r="J1010" s="42"/>
      <c r="K1010" s="43"/>
      <c r="L1010" s="19"/>
      <c r="M1010" s="43"/>
      <c r="N1010" s="44"/>
      <c r="O1010" s="45">
        <f t="shared" si="593"/>
        <v>333</v>
      </c>
      <c r="P1010" s="51"/>
      <c r="Q1010" s="51"/>
      <c r="R1010" s="74">
        <f t="shared" si="584"/>
        <v>242.265158889207</v>
      </c>
      <c r="S1010" s="108"/>
      <c r="T1010" s="75">
        <f t="shared" si="585"/>
        <v>0.409138276553106</v>
      </c>
      <c r="U1010" s="74"/>
      <c r="V1010" s="74"/>
      <c r="W1010" s="76">
        <f t="shared" si="580"/>
        <v>242.67429716576</v>
      </c>
      <c r="X1010" s="77">
        <f t="shared" si="586"/>
        <v>4.24638419696536</v>
      </c>
      <c r="Y1010" s="77"/>
      <c r="Z1010" s="77"/>
      <c r="AA1010" s="77">
        <f t="shared" ref="AA1010:AA1038" si="594">SUM(X1010:Z1010)</f>
        <v>4.24638419696536</v>
      </c>
      <c r="AB1010" s="87">
        <v>7.26</v>
      </c>
      <c r="AC1010" s="74">
        <f t="shared" si="581"/>
        <v>30.8287492699685</v>
      </c>
      <c r="AD1010" s="74">
        <f t="shared" ref="AD1010:AD1038" si="595">SUM(W1010+AC1010)</f>
        <v>273.503046435729</v>
      </c>
      <c r="AE1010" s="74">
        <f t="shared" ref="AE1010:AE1036" si="596">SUM(O1010-AD1010)</f>
        <v>59.4969535642715</v>
      </c>
    </row>
    <row r="1011" customFormat="1" spans="1:31">
      <c r="A1011" s="18"/>
      <c r="B1011" s="19"/>
      <c r="C1011" s="107">
        <v>240729000056</v>
      </c>
      <c r="D1011" s="21">
        <v>45507</v>
      </c>
      <c r="E1011" s="21" t="s">
        <v>44</v>
      </c>
      <c r="F1011" s="19" t="s">
        <v>260</v>
      </c>
      <c r="G1011" s="19" t="s">
        <v>330</v>
      </c>
      <c r="H1011" s="19">
        <v>17</v>
      </c>
      <c r="I1011" s="41">
        <v>1503</v>
      </c>
      <c r="J1011" s="42"/>
      <c r="K1011" s="43"/>
      <c r="L1011" s="19"/>
      <c r="M1011" s="43"/>
      <c r="N1011" s="44"/>
      <c r="O1011" s="45">
        <f t="shared" si="593"/>
        <v>1503</v>
      </c>
      <c r="P1011" s="51"/>
      <c r="Q1011" s="51"/>
      <c r="R1011" s="74">
        <f t="shared" si="584"/>
        <v>748.819582021185</v>
      </c>
      <c r="S1011" s="108"/>
      <c r="T1011" s="75">
        <f t="shared" si="585"/>
        <v>1.26460921843687</v>
      </c>
      <c r="U1011" s="74"/>
      <c r="V1011" s="74"/>
      <c r="W1011" s="76">
        <f t="shared" ref="W1011:W1038" si="597">SUM(R1011:V1011)</f>
        <v>750.084191239622</v>
      </c>
      <c r="X1011" s="77">
        <f t="shared" si="586"/>
        <v>13.1251875178929</v>
      </c>
      <c r="Y1011" s="77"/>
      <c r="Z1011" s="77"/>
      <c r="AA1011" s="77">
        <f t="shared" si="594"/>
        <v>13.1251875178929</v>
      </c>
      <c r="AB1011" s="87">
        <v>7.26</v>
      </c>
      <c r="AC1011" s="74">
        <f t="shared" ref="AC1011:AC1038" si="598">SUM(AA1011*AB1011)</f>
        <v>95.2888613799027</v>
      </c>
      <c r="AD1011" s="74">
        <f t="shared" si="595"/>
        <v>845.373052619525</v>
      </c>
      <c r="AE1011" s="74">
        <f t="shared" si="596"/>
        <v>657.626947380475</v>
      </c>
    </row>
    <row r="1012" customFormat="1" spans="1:31">
      <c r="A1012" s="18"/>
      <c r="B1012" s="19"/>
      <c r="C1012" s="107">
        <v>240729000057</v>
      </c>
      <c r="D1012" s="21">
        <v>45507</v>
      </c>
      <c r="E1012" s="21" t="s">
        <v>40</v>
      </c>
      <c r="F1012" s="19" t="s">
        <v>41</v>
      </c>
      <c r="G1012" s="19" t="s">
        <v>89</v>
      </c>
      <c r="H1012" s="19">
        <v>13.5</v>
      </c>
      <c r="I1012" s="47"/>
      <c r="J1012" s="48">
        <v>276507.9</v>
      </c>
      <c r="K1012" s="43"/>
      <c r="L1012" s="49">
        <f>SUM(J1012/M1012)</f>
        <v>1720.64654635968</v>
      </c>
      <c r="M1012" s="50">
        <v>160.7</v>
      </c>
      <c r="N1012" s="44">
        <v>7.26</v>
      </c>
      <c r="O1012" s="45">
        <f t="shared" si="592"/>
        <v>1166.682</v>
      </c>
      <c r="P1012" s="51"/>
      <c r="Q1012" s="51"/>
      <c r="R1012" s="74">
        <f t="shared" si="584"/>
        <v>594.650844546235</v>
      </c>
      <c r="S1012" s="108"/>
      <c r="T1012" s="75">
        <f t="shared" si="585"/>
        <v>1.00424849699399</v>
      </c>
      <c r="U1012" s="74"/>
      <c r="V1012" s="74"/>
      <c r="W1012" s="76">
        <f t="shared" si="597"/>
        <v>595.655093043229</v>
      </c>
      <c r="X1012" s="77">
        <f t="shared" si="586"/>
        <v>10.422943028915</v>
      </c>
      <c r="Y1012" s="77"/>
      <c r="Z1012" s="77"/>
      <c r="AA1012" s="77">
        <f t="shared" si="594"/>
        <v>10.422943028915</v>
      </c>
      <c r="AB1012" s="87">
        <v>7.26</v>
      </c>
      <c r="AC1012" s="74">
        <f t="shared" si="598"/>
        <v>75.6705663899227</v>
      </c>
      <c r="AD1012" s="74">
        <f t="shared" si="595"/>
        <v>671.325659433152</v>
      </c>
      <c r="AE1012" s="74">
        <f t="shared" si="596"/>
        <v>495.356340566848</v>
      </c>
    </row>
    <row r="1013" customFormat="1" spans="1:31">
      <c r="A1013" s="18"/>
      <c r="B1013" s="19"/>
      <c r="C1013" s="107">
        <v>240729000058</v>
      </c>
      <c r="D1013" s="21">
        <v>45507</v>
      </c>
      <c r="E1013" s="21" t="s">
        <v>40</v>
      </c>
      <c r="F1013" s="19" t="s">
        <v>41</v>
      </c>
      <c r="G1013" s="19" t="s">
        <v>89</v>
      </c>
      <c r="H1013" s="19">
        <v>5.5</v>
      </c>
      <c r="I1013" s="47"/>
      <c r="J1013" s="48">
        <v>86031</v>
      </c>
      <c r="K1013" s="43"/>
      <c r="L1013" s="49">
        <f>SUM(J1013/M1013)</f>
        <v>1720.62</v>
      </c>
      <c r="M1013" s="50">
        <v>50</v>
      </c>
      <c r="N1013" s="44">
        <v>7.26</v>
      </c>
      <c r="O1013" s="45">
        <f t="shared" si="592"/>
        <v>363</v>
      </c>
      <c r="P1013" s="51"/>
      <c r="Q1013" s="51"/>
      <c r="R1013" s="74">
        <f t="shared" ref="R1013:R1036" si="599">SUM(153860.4/3493)*H1013</f>
        <v>242.265158889207</v>
      </c>
      <c r="S1013" s="108"/>
      <c r="T1013" s="75">
        <f t="shared" ref="T1013:T1036" si="600">SUM(259.84/3493)*H1013</f>
        <v>0.409138276553106</v>
      </c>
      <c r="U1013" s="74"/>
      <c r="V1013" s="74"/>
      <c r="W1013" s="76">
        <f t="shared" si="597"/>
        <v>242.67429716576</v>
      </c>
      <c r="X1013" s="77">
        <f t="shared" ref="X1013:X1036" si="601">SUM(2696.84/3493)*H1013</f>
        <v>4.24638419696536</v>
      </c>
      <c r="Y1013" s="77"/>
      <c r="Z1013" s="77"/>
      <c r="AA1013" s="77">
        <f t="shared" si="594"/>
        <v>4.24638419696536</v>
      </c>
      <c r="AB1013" s="87">
        <v>7.26</v>
      </c>
      <c r="AC1013" s="74">
        <f t="shared" si="598"/>
        <v>30.8287492699685</v>
      </c>
      <c r="AD1013" s="74">
        <f t="shared" si="595"/>
        <v>273.503046435729</v>
      </c>
      <c r="AE1013" s="74">
        <f t="shared" si="596"/>
        <v>89.4969535642715</v>
      </c>
    </row>
    <row r="1014" customFormat="1" spans="1:31">
      <c r="A1014" s="18"/>
      <c r="B1014" s="19"/>
      <c r="C1014" s="107">
        <v>240729000060</v>
      </c>
      <c r="D1014" s="21">
        <v>45507</v>
      </c>
      <c r="E1014" s="21" t="s">
        <v>40</v>
      </c>
      <c r="F1014" s="19" t="s">
        <v>41</v>
      </c>
      <c r="G1014" s="19" t="s">
        <v>87</v>
      </c>
      <c r="H1014" s="19">
        <v>99</v>
      </c>
      <c r="I1014" s="47"/>
      <c r="J1014" s="48">
        <v>1303434</v>
      </c>
      <c r="K1014" s="43"/>
      <c r="L1014" s="49">
        <f t="shared" ref="L1014:L1021" si="602">SUM(J1014/M1014)</f>
        <v>1648.03894297636</v>
      </c>
      <c r="M1014" s="50">
        <v>790.9</v>
      </c>
      <c r="N1014" s="44">
        <v>7.26</v>
      </c>
      <c r="O1014" s="45">
        <f t="shared" si="592"/>
        <v>5741.934</v>
      </c>
      <c r="P1014" s="51"/>
      <c r="Q1014" s="51"/>
      <c r="R1014" s="74">
        <f t="shared" si="599"/>
        <v>4360.77286000573</v>
      </c>
      <c r="S1014" s="108"/>
      <c r="T1014" s="75">
        <f t="shared" si="600"/>
        <v>7.36448897795591</v>
      </c>
      <c r="U1014" s="74"/>
      <c r="V1014" s="74"/>
      <c r="W1014" s="76">
        <f t="shared" si="597"/>
        <v>4368.13734898368</v>
      </c>
      <c r="X1014" s="77">
        <f t="shared" si="601"/>
        <v>76.4349155453765</v>
      </c>
      <c r="Y1014" s="77"/>
      <c r="Z1014" s="77"/>
      <c r="AA1014" s="77">
        <f t="shared" si="594"/>
        <v>76.4349155453765</v>
      </c>
      <c r="AB1014" s="87">
        <v>7.26</v>
      </c>
      <c r="AC1014" s="74">
        <f t="shared" si="598"/>
        <v>554.917486859433</v>
      </c>
      <c r="AD1014" s="74">
        <f t="shared" si="595"/>
        <v>4923.05483584311</v>
      </c>
      <c r="AE1014" s="74">
        <f t="shared" si="596"/>
        <v>818.879164156886</v>
      </c>
    </row>
    <row r="1015" customFormat="1" spans="1:31">
      <c r="A1015" s="18"/>
      <c r="B1015" s="19"/>
      <c r="C1015" s="107">
        <v>240729000063</v>
      </c>
      <c r="D1015" s="21">
        <v>45507</v>
      </c>
      <c r="E1015" s="21" t="s">
        <v>81</v>
      </c>
      <c r="F1015" s="19" t="s">
        <v>270</v>
      </c>
      <c r="G1015" s="19" t="s">
        <v>590</v>
      </c>
      <c r="H1015" s="19">
        <v>50.5</v>
      </c>
      <c r="I1015" s="45"/>
      <c r="J1015" s="48">
        <v>692498.4</v>
      </c>
      <c r="K1015" s="43"/>
      <c r="L1015" s="49">
        <f t="shared" si="602"/>
        <v>1798.74386347697</v>
      </c>
      <c r="M1015" s="50">
        <v>384.99</v>
      </c>
      <c r="N1015" s="44">
        <v>7.26</v>
      </c>
      <c r="O1015" s="45">
        <f t="shared" si="592"/>
        <v>2795.0274</v>
      </c>
      <c r="P1015" s="51"/>
      <c r="Q1015" s="51"/>
      <c r="R1015" s="74">
        <f t="shared" si="599"/>
        <v>2224.43464070999</v>
      </c>
      <c r="S1015" s="108"/>
      <c r="T1015" s="75">
        <f t="shared" si="600"/>
        <v>3.75663326653307</v>
      </c>
      <c r="U1015" s="74"/>
      <c r="V1015" s="74"/>
      <c r="W1015" s="76">
        <f t="shared" si="597"/>
        <v>2228.19127397652</v>
      </c>
      <c r="X1015" s="77">
        <f t="shared" si="601"/>
        <v>38.9895276266819</v>
      </c>
      <c r="Y1015" s="77"/>
      <c r="Z1015" s="77"/>
      <c r="AA1015" s="77">
        <f t="shared" si="594"/>
        <v>38.9895276266819</v>
      </c>
      <c r="AB1015" s="87">
        <v>7.26</v>
      </c>
      <c r="AC1015" s="74">
        <f t="shared" si="598"/>
        <v>283.063970569711</v>
      </c>
      <c r="AD1015" s="74">
        <f t="shared" si="595"/>
        <v>2511.25524454623</v>
      </c>
      <c r="AE1015" s="74">
        <f t="shared" si="596"/>
        <v>283.772155453765</v>
      </c>
    </row>
    <row r="1016" customFormat="1" spans="1:31">
      <c r="A1016" s="18"/>
      <c r="B1016" s="19"/>
      <c r="C1016" s="107">
        <v>240729000064</v>
      </c>
      <c r="D1016" s="21">
        <v>45507</v>
      </c>
      <c r="E1016" s="21" t="s">
        <v>44</v>
      </c>
      <c r="F1016" s="19" t="s">
        <v>209</v>
      </c>
      <c r="G1016" s="19" t="s">
        <v>210</v>
      </c>
      <c r="H1016" s="19">
        <v>28</v>
      </c>
      <c r="I1016" s="41">
        <v>1689</v>
      </c>
      <c r="J1016" s="42"/>
      <c r="K1016" s="43"/>
      <c r="L1016" s="19"/>
      <c r="M1016" s="43"/>
      <c r="N1016" s="44"/>
      <c r="O1016" s="45">
        <f>SUM(I1016)</f>
        <v>1689</v>
      </c>
      <c r="P1016" s="51"/>
      <c r="Q1016" s="51"/>
      <c r="R1016" s="74">
        <f t="shared" si="599"/>
        <v>1233.3498997996</v>
      </c>
      <c r="S1016" s="108"/>
      <c r="T1016" s="75">
        <f t="shared" si="600"/>
        <v>2.08288577154309</v>
      </c>
      <c r="U1016" s="74"/>
      <c r="V1016" s="74"/>
      <c r="W1016" s="76">
        <f t="shared" si="597"/>
        <v>1235.43278557114</v>
      </c>
      <c r="X1016" s="77">
        <f t="shared" si="601"/>
        <v>21.6179559118236</v>
      </c>
      <c r="Y1016" s="77"/>
      <c r="Z1016" s="77"/>
      <c r="AA1016" s="77">
        <f t="shared" si="594"/>
        <v>21.6179559118236</v>
      </c>
      <c r="AB1016" s="87">
        <v>7.26</v>
      </c>
      <c r="AC1016" s="74">
        <f t="shared" si="598"/>
        <v>156.94635991984</v>
      </c>
      <c r="AD1016" s="74">
        <f t="shared" si="595"/>
        <v>1392.37914549098</v>
      </c>
      <c r="AE1016" s="74">
        <f t="shared" si="596"/>
        <v>296.620854509018</v>
      </c>
    </row>
    <row r="1017" customFormat="1" spans="1:31">
      <c r="A1017" s="18"/>
      <c r="B1017" s="19"/>
      <c r="C1017" s="107">
        <v>240730000001</v>
      </c>
      <c r="D1017" s="21">
        <v>45507</v>
      </c>
      <c r="E1017" s="21" t="s">
        <v>44</v>
      </c>
      <c r="F1017" s="19" t="s">
        <v>45</v>
      </c>
      <c r="G1017" s="19" t="s">
        <v>72</v>
      </c>
      <c r="H1017" s="19">
        <v>6.5</v>
      </c>
      <c r="I1017" s="41">
        <v>376.5</v>
      </c>
      <c r="J1017" s="42"/>
      <c r="K1017" s="43"/>
      <c r="L1017" s="19"/>
      <c r="M1017" s="43"/>
      <c r="N1017" s="44"/>
      <c r="O1017" s="45">
        <f>SUM(I1017)</f>
        <v>376.5</v>
      </c>
      <c r="P1017" s="51"/>
      <c r="Q1017" s="51"/>
      <c r="R1017" s="74">
        <f t="shared" si="599"/>
        <v>286.313369596336</v>
      </c>
      <c r="S1017" s="108"/>
      <c r="T1017" s="75">
        <f t="shared" si="600"/>
        <v>0.483527054108216</v>
      </c>
      <c r="U1017" s="74"/>
      <c r="V1017" s="74"/>
      <c r="W1017" s="76">
        <f t="shared" si="597"/>
        <v>286.796896650444</v>
      </c>
      <c r="X1017" s="77">
        <f t="shared" si="601"/>
        <v>5.01845405095906</v>
      </c>
      <c r="Y1017" s="77"/>
      <c r="Z1017" s="77"/>
      <c r="AA1017" s="77">
        <f t="shared" si="594"/>
        <v>5.01845405095906</v>
      </c>
      <c r="AB1017" s="87">
        <v>7.26</v>
      </c>
      <c r="AC1017" s="74">
        <f t="shared" si="598"/>
        <v>36.4339764099628</v>
      </c>
      <c r="AD1017" s="74">
        <f t="shared" si="595"/>
        <v>323.230873060407</v>
      </c>
      <c r="AE1017" s="74">
        <f t="shared" si="596"/>
        <v>53.2691269395935</v>
      </c>
    </row>
    <row r="1018" customFormat="1" spans="1:31">
      <c r="A1018" s="18"/>
      <c r="B1018" s="19"/>
      <c r="C1018" s="107">
        <v>240730000002</v>
      </c>
      <c r="D1018" s="21">
        <v>45507</v>
      </c>
      <c r="E1018" s="21" t="s">
        <v>47</v>
      </c>
      <c r="F1018" s="19" t="s">
        <v>48</v>
      </c>
      <c r="G1018" s="19" t="s">
        <v>208</v>
      </c>
      <c r="H1018" s="19">
        <v>20</v>
      </c>
      <c r="I1018" s="45"/>
      <c r="J1018" s="48">
        <v>243048</v>
      </c>
      <c r="K1018" s="43"/>
      <c r="L1018" s="49">
        <f t="shared" si="602"/>
        <v>1640</v>
      </c>
      <c r="M1018" s="50">
        <v>148.2</v>
      </c>
      <c r="N1018" s="44">
        <v>7.26</v>
      </c>
      <c r="O1018" s="45">
        <f t="shared" ref="O1018:O1021" si="603">SUM(M1018*N1018)</f>
        <v>1075.932</v>
      </c>
      <c r="P1018" s="51"/>
      <c r="Q1018" s="51"/>
      <c r="R1018" s="74">
        <f t="shared" si="599"/>
        <v>880.964214142571</v>
      </c>
      <c r="S1018" s="108"/>
      <c r="T1018" s="75">
        <f t="shared" si="600"/>
        <v>1.4877755511022</v>
      </c>
      <c r="U1018" s="74"/>
      <c r="V1018" s="74"/>
      <c r="W1018" s="76">
        <f t="shared" si="597"/>
        <v>882.451989693673</v>
      </c>
      <c r="X1018" s="77">
        <f t="shared" si="601"/>
        <v>15.441397079874</v>
      </c>
      <c r="Y1018" s="77"/>
      <c r="Z1018" s="77"/>
      <c r="AA1018" s="77">
        <f t="shared" si="594"/>
        <v>15.441397079874</v>
      </c>
      <c r="AB1018" s="87">
        <v>7.26</v>
      </c>
      <c r="AC1018" s="74">
        <f t="shared" si="598"/>
        <v>112.104542799885</v>
      </c>
      <c r="AD1018" s="74">
        <f t="shared" si="595"/>
        <v>994.556532493559</v>
      </c>
      <c r="AE1018" s="74">
        <f t="shared" si="596"/>
        <v>81.3754675064415</v>
      </c>
    </row>
    <row r="1019" customFormat="1" spans="1:31">
      <c r="A1019" s="18"/>
      <c r="B1019" s="19"/>
      <c r="C1019" s="107">
        <v>240730000007</v>
      </c>
      <c r="D1019" s="21">
        <v>45507</v>
      </c>
      <c r="E1019" s="21" t="s">
        <v>58</v>
      </c>
      <c r="F1019" s="19" t="s">
        <v>59</v>
      </c>
      <c r="G1019" s="19" t="s">
        <v>76</v>
      </c>
      <c r="H1019" s="19">
        <v>1.5</v>
      </c>
      <c r="I1019" s="45"/>
      <c r="J1019" s="48">
        <v>14291</v>
      </c>
      <c r="K1019" s="43"/>
      <c r="L1019" s="49">
        <f t="shared" si="602"/>
        <v>1623.97727272727</v>
      </c>
      <c r="M1019" s="50">
        <v>8.8</v>
      </c>
      <c r="N1019" s="44">
        <v>7.26</v>
      </c>
      <c r="O1019" s="45">
        <f t="shared" si="603"/>
        <v>63.888</v>
      </c>
      <c r="P1019" s="51"/>
      <c r="Q1019" s="51"/>
      <c r="R1019" s="74">
        <f t="shared" si="599"/>
        <v>66.0723160606928</v>
      </c>
      <c r="S1019" s="108"/>
      <c r="T1019" s="75">
        <f t="shared" si="600"/>
        <v>0.111583166332665</v>
      </c>
      <c r="U1019" s="74"/>
      <c r="V1019" s="74"/>
      <c r="W1019" s="76">
        <f t="shared" si="597"/>
        <v>66.1838992270255</v>
      </c>
      <c r="X1019" s="77">
        <f t="shared" si="601"/>
        <v>1.15810478099055</v>
      </c>
      <c r="Y1019" s="77"/>
      <c r="Z1019" s="77"/>
      <c r="AA1019" s="77">
        <f t="shared" si="594"/>
        <v>1.15810478099055</v>
      </c>
      <c r="AB1019" s="87">
        <v>7.26</v>
      </c>
      <c r="AC1019" s="74">
        <f t="shared" si="598"/>
        <v>8.40784070999141</v>
      </c>
      <c r="AD1019" s="74">
        <f t="shared" si="595"/>
        <v>74.5917399370169</v>
      </c>
      <c r="AE1019" s="74">
        <f t="shared" si="596"/>
        <v>-10.7037399370169</v>
      </c>
    </row>
    <row r="1020" customFormat="1" spans="1:31">
      <c r="A1020" s="18"/>
      <c r="B1020" s="19"/>
      <c r="C1020" s="107">
        <v>240730000023</v>
      </c>
      <c r="D1020" s="21">
        <v>45507</v>
      </c>
      <c r="E1020" s="21" t="s">
        <v>40</v>
      </c>
      <c r="F1020" s="19" t="s">
        <v>41</v>
      </c>
      <c r="G1020" s="19" t="s">
        <v>165</v>
      </c>
      <c r="H1020" s="19">
        <v>3.5</v>
      </c>
      <c r="I1020" s="47"/>
      <c r="J1020" s="48">
        <v>43963.5</v>
      </c>
      <c r="K1020" s="43"/>
      <c r="L1020" s="49">
        <f t="shared" si="602"/>
        <v>1720.68493150685</v>
      </c>
      <c r="M1020" s="50">
        <v>25.55</v>
      </c>
      <c r="N1020" s="44">
        <v>7.26</v>
      </c>
      <c r="O1020" s="45">
        <f t="shared" si="603"/>
        <v>185.493</v>
      </c>
      <c r="P1020" s="51"/>
      <c r="Q1020" s="51"/>
      <c r="R1020" s="74">
        <f t="shared" si="599"/>
        <v>154.16873747495</v>
      </c>
      <c r="S1020" s="108"/>
      <c r="T1020" s="75">
        <f t="shared" si="600"/>
        <v>0.260360721442886</v>
      </c>
      <c r="U1020" s="74"/>
      <c r="V1020" s="74"/>
      <c r="W1020" s="76">
        <f t="shared" si="597"/>
        <v>154.429098196393</v>
      </c>
      <c r="X1020" s="77">
        <f t="shared" si="601"/>
        <v>2.70224448897796</v>
      </c>
      <c r="Y1020" s="77"/>
      <c r="Z1020" s="77"/>
      <c r="AA1020" s="77">
        <f t="shared" si="594"/>
        <v>2.70224448897796</v>
      </c>
      <c r="AB1020" s="87">
        <v>7.26</v>
      </c>
      <c r="AC1020" s="74">
        <f t="shared" si="598"/>
        <v>19.61829498998</v>
      </c>
      <c r="AD1020" s="74">
        <f t="shared" si="595"/>
        <v>174.047393186373</v>
      </c>
      <c r="AE1020" s="74">
        <f t="shared" si="596"/>
        <v>11.4456068136273</v>
      </c>
    </row>
    <row r="1021" customFormat="1" spans="1:31">
      <c r="A1021" s="18"/>
      <c r="B1021" s="19"/>
      <c r="C1021" s="107">
        <v>240730000024</v>
      </c>
      <c r="D1021" s="21">
        <v>45507</v>
      </c>
      <c r="E1021" s="21" t="s">
        <v>127</v>
      </c>
      <c r="F1021" s="19" t="s">
        <v>128</v>
      </c>
      <c r="G1021" s="19" t="s">
        <v>591</v>
      </c>
      <c r="H1021" s="19">
        <v>0.68</v>
      </c>
      <c r="I1021" s="47"/>
      <c r="J1021" s="48">
        <v>14000</v>
      </c>
      <c r="K1021" s="43"/>
      <c r="L1021" s="49">
        <f t="shared" si="602"/>
        <v>1614.76355247982</v>
      </c>
      <c r="M1021" s="50">
        <v>8.67</v>
      </c>
      <c r="N1021" s="44">
        <v>7.26</v>
      </c>
      <c r="O1021" s="45">
        <f t="shared" si="603"/>
        <v>62.9442</v>
      </c>
      <c r="P1021" s="51"/>
      <c r="Q1021" s="51"/>
      <c r="R1021" s="74">
        <f t="shared" si="599"/>
        <v>29.9527832808474</v>
      </c>
      <c r="S1021" s="108"/>
      <c r="T1021" s="75">
        <f t="shared" si="600"/>
        <v>0.0505843687374749</v>
      </c>
      <c r="U1021" s="74"/>
      <c r="V1021" s="74"/>
      <c r="W1021" s="76">
        <f t="shared" si="597"/>
        <v>30.0033676495849</v>
      </c>
      <c r="X1021" s="77">
        <f t="shared" si="601"/>
        <v>0.525007500715717</v>
      </c>
      <c r="Y1021" s="77"/>
      <c r="Z1021" s="77"/>
      <c r="AA1021" s="77">
        <f t="shared" si="594"/>
        <v>0.525007500715717</v>
      </c>
      <c r="AB1021" s="87">
        <v>7.26</v>
      </c>
      <c r="AC1021" s="74">
        <f t="shared" si="598"/>
        <v>3.81155445519611</v>
      </c>
      <c r="AD1021" s="74">
        <f t="shared" si="595"/>
        <v>33.814922104781</v>
      </c>
      <c r="AE1021" s="74">
        <f t="shared" si="596"/>
        <v>29.129277895219</v>
      </c>
    </row>
    <row r="1022" customFormat="1" spans="1:31">
      <c r="A1022" s="18"/>
      <c r="B1022" s="19"/>
      <c r="C1022" s="107">
        <v>240730000025</v>
      </c>
      <c r="D1022" s="21">
        <v>45507</v>
      </c>
      <c r="E1022" s="21" t="s">
        <v>40</v>
      </c>
      <c r="F1022" s="19" t="s">
        <v>41</v>
      </c>
      <c r="G1022" s="19" t="s">
        <v>93</v>
      </c>
      <c r="H1022" s="19">
        <v>362.5</v>
      </c>
      <c r="I1022" s="41">
        <v>24258</v>
      </c>
      <c r="J1022" s="42"/>
      <c r="K1022" s="43"/>
      <c r="L1022" s="19"/>
      <c r="M1022" s="43"/>
      <c r="N1022" s="44"/>
      <c r="O1022" s="45">
        <f t="shared" ref="O1022:O1030" si="604">SUM(I1022)</f>
        <v>24258</v>
      </c>
      <c r="P1022" s="51"/>
      <c r="Q1022" s="51"/>
      <c r="R1022" s="74">
        <f t="shared" si="599"/>
        <v>15967.4763813341</v>
      </c>
      <c r="S1022" s="108"/>
      <c r="T1022" s="75">
        <f t="shared" si="600"/>
        <v>26.9659318637275</v>
      </c>
      <c r="U1022" s="74"/>
      <c r="V1022" s="74"/>
      <c r="W1022" s="76">
        <f t="shared" si="597"/>
        <v>15994.4423131978</v>
      </c>
      <c r="X1022" s="77">
        <f t="shared" si="601"/>
        <v>279.875322072717</v>
      </c>
      <c r="Y1022" s="77">
        <v>31.68</v>
      </c>
      <c r="Z1022" s="77"/>
      <c r="AA1022" s="77">
        <f t="shared" si="594"/>
        <v>311.555322072717</v>
      </c>
      <c r="AB1022" s="87">
        <v>7.26</v>
      </c>
      <c r="AC1022" s="74">
        <f t="shared" si="598"/>
        <v>2261.89163824792</v>
      </c>
      <c r="AD1022" s="74">
        <f t="shared" si="595"/>
        <v>18256.3339514457</v>
      </c>
      <c r="AE1022" s="74">
        <f t="shared" si="596"/>
        <v>6001.66604855425</v>
      </c>
    </row>
    <row r="1023" customFormat="1" spans="1:31">
      <c r="A1023" s="18"/>
      <c r="B1023" s="19"/>
      <c r="C1023" s="107">
        <v>240730000026</v>
      </c>
      <c r="D1023" s="23">
        <v>45507</v>
      </c>
      <c r="E1023" s="21" t="s">
        <v>40</v>
      </c>
      <c r="F1023" s="24" t="s">
        <v>41</v>
      </c>
      <c r="G1023" s="24" t="s">
        <v>277</v>
      </c>
      <c r="H1023" s="24">
        <v>166</v>
      </c>
      <c r="I1023" s="41">
        <v>8380</v>
      </c>
      <c r="J1023" s="42"/>
      <c r="K1023" s="43"/>
      <c r="L1023" s="19"/>
      <c r="M1023" s="43"/>
      <c r="N1023" s="44"/>
      <c r="O1023" s="45">
        <f t="shared" si="604"/>
        <v>8380</v>
      </c>
      <c r="P1023" s="51"/>
      <c r="Q1023" s="51"/>
      <c r="R1023" s="74">
        <f t="shared" si="599"/>
        <v>7312.00297738334</v>
      </c>
      <c r="S1023" s="108"/>
      <c r="T1023" s="75">
        <f t="shared" si="600"/>
        <v>12.3485370741483</v>
      </c>
      <c r="U1023" s="74">
        <f>SUM(40+40)</f>
        <v>80</v>
      </c>
      <c r="V1023" s="74"/>
      <c r="W1023" s="76">
        <f t="shared" si="597"/>
        <v>7404.35151445749</v>
      </c>
      <c r="X1023" s="77">
        <f t="shared" si="601"/>
        <v>128.163595762954</v>
      </c>
      <c r="Y1023" s="77"/>
      <c r="Z1023" s="77"/>
      <c r="AA1023" s="77">
        <f t="shared" si="594"/>
        <v>128.163595762954</v>
      </c>
      <c r="AB1023" s="87">
        <v>7.26</v>
      </c>
      <c r="AC1023" s="74">
        <f t="shared" si="598"/>
        <v>930.46770523905</v>
      </c>
      <c r="AD1023" s="74">
        <f t="shared" si="595"/>
        <v>8334.81921969654</v>
      </c>
      <c r="AE1023" s="74">
        <f t="shared" si="596"/>
        <v>45.1807803034644</v>
      </c>
    </row>
    <row r="1024" customFormat="1" spans="1:31">
      <c r="A1024" s="18"/>
      <c r="B1024" s="19"/>
      <c r="C1024" s="107">
        <v>240730000027</v>
      </c>
      <c r="D1024" s="21">
        <v>45507</v>
      </c>
      <c r="E1024" s="21" t="s">
        <v>40</v>
      </c>
      <c r="F1024" s="19" t="s">
        <v>41</v>
      </c>
      <c r="G1024" s="19" t="s">
        <v>255</v>
      </c>
      <c r="H1024" s="19">
        <v>1.5</v>
      </c>
      <c r="I1024" s="41">
        <v>90</v>
      </c>
      <c r="J1024" s="42"/>
      <c r="K1024" s="43"/>
      <c r="L1024" s="19"/>
      <c r="M1024" s="43"/>
      <c r="N1024" s="44"/>
      <c r="O1024" s="45">
        <f t="shared" si="604"/>
        <v>90</v>
      </c>
      <c r="P1024" s="51"/>
      <c r="Q1024" s="51"/>
      <c r="R1024" s="74">
        <f t="shared" si="599"/>
        <v>66.0723160606928</v>
      </c>
      <c r="S1024" s="108"/>
      <c r="T1024" s="75">
        <f t="shared" si="600"/>
        <v>0.111583166332665</v>
      </c>
      <c r="U1024" s="74"/>
      <c r="V1024" s="74"/>
      <c r="W1024" s="76">
        <f t="shared" si="597"/>
        <v>66.1838992270255</v>
      </c>
      <c r="X1024" s="77">
        <f t="shared" si="601"/>
        <v>1.15810478099055</v>
      </c>
      <c r="Y1024" s="77"/>
      <c r="Z1024" s="77"/>
      <c r="AA1024" s="77">
        <f t="shared" si="594"/>
        <v>1.15810478099055</v>
      </c>
      <c r="AB1024" s="87">
        <v>7.26</v>
      </c>
      <c r="AC1024" s="74">
        <f t="shared" si="598"/>
        <v>8.40784070999141</v>
      </c>
      <c r="AD1024" s="74">
        <f t="shared" si="595"/>
        <v>74.5917399370169</v>
      </c>
      <c r="AE1024" s="74">
        <f t="shared" si="596"/>
        <v>15.4082600629831</v>
      </c>
    </row>
    <row r="1025" customFormat="1" spans="1:31">
      <c r="A1025" s="18"/>
      <c r="B1025" s="19"/>
      <c r="C1025" s="107">
        <v>240730000029</v>
      </c>
      <c r="D1025" s="21">
        <v>45507</v>
      </c>
      <c r="E1025" s="21" t="s">
        <v>40</v>
      </c>
      <c r="F1025" s="19" t="s">
        <v>41</v>
      </c>
      <c r="G1025" s="19" t="s">
        <v>592</v>
      </c>
      <c r="H1025" s="19">
        <v>2.5</v>
      </c>
      <c r="I1025" s="41">
        <v>178</v>
      </c>
      <c r="J1025" s="42"/>
      <c r="K1025" s="43"/>
      <c r="L1025" s="19"/>
      <c r="M1025" s="43"/>
      <c r="N1025" s="44"/>
      <c r="O1025" s="45">
        <f t="shared" si="604"/>
        <v>178</v>
      </c>
      <c r="P1025" s="51"/>
      <c r="Q1025" s="51"/>
      <c r="R1025" s="74">
        <f t="shared" si="599"/>
        <v>110.120526767821</v>
      </c>
      <c r="S1025" s="108"/>
      <c r="T1025" s="75">
        <f t="shared" si="600"/>
        <v>0.185971943887776</v>
      </c>
      <c r="U1025" s="74"/>
      <c r="V1025" s="74"/>
      <c r="W1025" s="76">
        <f t="shared" si="597"/>
        <v>110.306498711709</v>
      </c>
      <c r="X1025" s="77">
        <f t="shared" si="601"/>
        <v>1.93017463498425</v>
      </c>
      <c r="Y1025" s="77">
        <v>3.44</v>
      </c>
      <c r="Z1025" s="77"/>
      <c r="AA1025" s="77">
        <f t="shared" si="594"/>
        <v>5.37017463498425</v>
      </c>
      <c r="AB1025" s="87">
        <v>7.26</v>
      </c>
      <c r="AC1025" s="74">
        <f t="shared" si="598"/>
        <v>38.9874678499857</v>
      </c>
      <c r="AD1025" s="74">
        <f t="shared" si="595"/>
        <v>149.293966561695</v>
      </c>
      <c r="AE1025" s="74">
        <f t="shared" si="596"/>
        <v>28.7060334383052</v>
      </c>
    </row>
    <row r="1026" customFormat="1" spans="1:31">
      <c r="A1026" s="18"/>
      <c r="B1026" s="19"/>
      <c r="C1026" s="107">
        <v>240730000030</v>
      </c>
      <c r="D1026" s="21">
        <v>45507</v>
      </c>
      <c r="E1026" s="21" t="s">
        <v>40</v>
      </c>
      <c r="F1026" s="19" t="s">
        <v>41</v>
      </c>
      <c r="G1026" s="19" t="s">
        <v>165</v>
      </c>
      <c r="H1026" s="19">
        <v>5</v>
      </c>
      <c r="I1026" s="41">
        <v>300</v>
      </c>
      <c r="J1026" s="42"/>
      <c r="K1026" s="43"/>
      <c r="L1026" s="19"/>
      <c r="M1026" s="43"/>
      <c r="N1026" s="44"/>
      <c r="O1026" s="45">
        <f t="shared" si="604"/>
        <v>300</v>
      </c>
      <c r="P1026" s="51"/>
      <c r="Q1026" s="51"/>
      <c r="R1026" s="74">
        <f t="shared" si="599"/>
        <v>220.241053535643</v>
      </c>
      <c r="S1026" s="108"/>
      <c r="T1026" s="75">
        <f t="shared" si="600"/>
        <v>0.371943887775551</v>
      </c>
      <c r="U1026" s="74"/>
      <c r="V1026" s="75">
        <v>35</v>
      </c>
      <c r="W1026" s="76">
        <f t="shared" si="597"/>
        <v>255.612997423418</v>
      </c>
      <c r="X1026" s="77">
        <f t="shared" si="601"/>
        <v>3.86034926996851</v>
      </c>
      <c r="Y1026" s="77"/>
      <c r="Z1026" s="77"/>
      <c r="AA1026" s="77">
        <f t="shared" si="594"/>
        <v>3.86034926996851</v>
      </c>
      <c r="AB1026" s="87">
        <v>7.26</v>
      </c>
      <c r="AC1026" s="74">
        <f t="shared" si="598"/>
        <v>28.0261356999714</v>
      </c>
      <c r="AD1026" s="74">
        <f t="shared" si="595"/>
        <v>283.63913312339</v>
      </c>
      <c r="AE1026" s="74">
        <f t="shared" si="596"/>
        <v>16.3608668766104</v>
      </c>
    </row>
    <row r="1027" customFormat="1" spans="1:31">
      <c r="A1027" s="18"/>
      <c r="B1027" s="19"/>
      <c r="C1027" s="107">
        <v>240730000033</v>
      </c>
      <c r="D1027" s="21">
        <v>45507</v>
      </c>
      <c r="E1027" s="21" t="s">
        <v>44</v>
      </c>
      <c r="F1027" s="19" t="s">
        <v>45</v>
      </c>
      <c r="G1027" s="19" t="s">
        <v>593</v>
      </c>
      <c r="H1027" s="19">
        <v>3</v>
      </c>
      <c r="I1027" s="41">
        <v>281</v>
      </c>
      <c r="J1027" s="42"/>
      <c r="K1027" s="43"/>
      <c r="L1027" s="19"/>
      <c r="M1027" s="43"/>
      <c r="N1027" s="44"/>
      <c r="O1027" s="45">
        <f t="shared" si="604"/>
        <v>281</v>
      </c>
      <c r="P1027" s="51"/>
      <c r="Q1027" s="51"/>
      <c r="R1027" s="74">
        <f t="shared" si="599"/>
        <v>132.144632121386</v>
      </c>
      <c r="S1027" s="108"/>
      <c r="T1027" s="75">
        <f t="shared" si="600"/>
        <v>0.223166332665331</v>
      </c>
      <c r="U1027" s="74"/>
      <c r="V1027" s="74"/>
      <c r="W1027" s="76">
        <f t="shared" si="597"/>
        <v>132.367798454051</v>
      </c>
      <c r="X1027" s="77">
        <f t="shared" si="601"/>
        <v>2.31620956198111</v>
      </c>
      <c r="Y1027" s="77">
        <v>13.49</v>
      </c>
      <c r="Z1027" s="77"/>
      <c r="AA1027" s="77">
        <f t="shared" si="594"/>
        <v>15.8062095619811</v>
      </c>
      <c r="AB1027" s="87">
        <v>7.26</v>
      </c>
      <c r="AC1027" s="74">
        <f t="shared" si="598"/>
        <v>114.753081419983</v>
      </c>
      <c r="AD1027" s="74">
        <f t="shared" si="595"/>
        <v>247.120879874034</v>
      </c>
      <c r="AE1027" s="74">
        <f t="shared" si="596"/>
        <v>33.8791201259662</v>
      </c>
    </row>
    <row r="1028" customFormat="1" spans="1:31">
      <c r="A1028" s="18"/>
      <c r="B1028" s="19"/>
      <c r="C1028" s="107">
        <v>240730000036</v>
      </c>
      <c r="D1028" s="21">
        <v>45507</v>
      </c>
      <c r="E1028" s="21" t="s">
        <v>37</v>
      </c>
      <c r="F1028" s="19" t="s">
        <v>37</v>
      </c>
      <c r="G1028" s="19" t="s">
        <v>594</v>
      </c>
      <c r="H1028" s="19">
        <v>4.5</v>
      </c>
      <c r="I1028" s="41">
        <v>300</v>
      </c>
      <c r="J1028" s="42"/>
      <c r="K1028" s="43"/>
      <c r="L1028" s="19"/>
      <c r="M1028" s="43"/>
      <c r="N1028" s="44"/>
      <c r="O1028" s="45">
        <f t="shared" si="604"/>
        <v>300</v>
      </c>
      <c r="P1028" s="51"/>
      <c r="Q1028" s="51"/>
      <c r="R1028" s="74">
        <f t="shared" si="599"/>
        <v>198.216948182078</v>
      </c>
      <c r="S1028" s="108"/>
      <c r="T1028" s="75">
        <f t="shared" si="600"/>
        <v>0.334749498997996</v>
      </c>
      <c r="U1028" s="74"/>
      <c r="V1028" s="74"/>
      <c r="W1028" s="76">
        <f t="shared" si="597"/>
        <v>198.551697681076</v>
      </c>
      <c r="X1028" s="77">
        <f t="shared" si="601"/>
        <v>3.47431434297166</v>
      </c>
      <c r="Y1028" s="77"/>
      <c r="Z1028" s="77"/>
      <c r="AA1028" s="77">
        <f t="shared" si="594"/>
        <v>3.47431434297166</v>
      </c>
      <c r="AB1028" s="87">
        <v>7.26</v>
      </c>
      <c r="AC1028" s="74">
        <f t="shared" si="598"/>
        <v>25.2235221299742</v>
      </c>
      <c r="AD1028" s="74">
        <f t="shared" si="595"/>
        <v>223.775219811051</v>
      </c>
      <c r="AE1028" s="74">
        <f t="shared" si="596"/>
        <v>76.2247801889493</v>
      </c>
    </row>
    <row r="1029" customFormat="1" spans="1:31">
      <c r="A1029" s="18"/>
      <c r="B1029" s="19"/>
      <c r="C1029" s="107">
        <v>240730000048</v>
      </c>
      <c r="D1029" s="21">
        <v>45507</v>
      </c>
      <c r="E1029" s="21" t="s">
        <v>47</v>
      </c>
      <c r="F1029" s="19" t="s">
        <v>48</v>
      </c>
      <c r="G1029" s="19" t="s">
        <v>107</v>
      </c>
      <c r="H1029" s="19">
        <v>2</v>
      </c>
      <c r="I1029" s="41">
        <v>148</v>
      </c>
      <c r="J1029" s="42"/>
      <c r="K1029" s="43"/>
      <c r="L1029" s="19"/>
      <c r="M1029" s="43"/>
      <c r="N1029" s="44"/>
      <c r="O1029" s="45">
        <f t="shared" si="604"/>
        <v>148</v>
      </c>
      <c r="P1029" s="51"/>
      <c r="Q1029" s="51"/>
      <c r="R1029" s="74">
        <f t="shared" si="599"/>
        <v>88.0964214142571</v>
      </c>
      <c r="S1029" s="108"/>
      <c r="T1029" s="75">
        <f t="shared" si="600"/>
        <v>0.14877755511022</v>
      </c>
      <c r="U1029" s="74"/>
      <c r="V1029" s="74"/>
      <c r="W1029" s="76">
        <f t="shared" si="597"/>
        <v>88.2451989693673</v>
      </c>
      <c r="X1029" s="77">
        <f t="shared" si="601"/>
        <v>1.5441397079874</v>
      </c>
      <c r="Y1029" s="77"/>
      <c r="Z1029" s="77"/>
      <c r="AA1029" s="77">
        <f t="shared" si="594"/>
        <v>1.5441397079874</v>
      </c>
      <c r="AB1029" s="87">
        <v>7.26</v>
      </c>
      <c r="AC1029" s="74">
        <f t="shared" si="598"/>
        <v>11.2104542799886</v>
      </c>
      <c r="AD1029" s="74">
        <f t="shared" si="595"/>
        <v>99.4556532493558</v>
      </c>
      <c r="AE1029" s="74">
        <f t="shared" si="596"/>
        <v>48.5443467506442</v>
      </c>
    </row>
    <row r="1030" customFormat="1" spans="1:31">
      <c r="A1030" s="18"/>
      <c r="B1030" s="19"/>
      <c r="C1030" s="107">
        <v>240730000050</v>
      </c>
      <c r="D1030" s="21">
        <v>45507</v>
      </c>
      <c r="E1030" s="21" t="s">
        <v>37</v>
      </c>
      <c r="F1030" s="19" t="s">
        <v>37</v>
      </c>
      <c r="G1030" s="19" t="s">
        <v>71</v>
      </c>
      <c r="H1030" s="19">
        <v>131.5</v>
      </c>
      <c r="I1030" s="41">
        <v>7240.5</v>
      </c>
      <c r="J1030" s="42"/>
      <c r="K1030" s="43"/>
      <c r="L1030" s="19"/>
      <c r="M1030" s="43"/>
      <c r="N1030" s="44"/>
      <c r="O1030" s="45">
        <f t="shared" si="604"/>
        <v>7240.5</v>
      </c>
      <c r="P1030" s="51"/>
      <c r="Q1030" s="51"/>
      <c r="R1030" s="74">
        <f t="shared" si="599"/>
        <v>5792.3397079874</v>
      </c>
      <c r="S1030" s="108"/>
      <c r="T1030" s="75">
        <f t="shared" si="600"/>
        <v>9.78212424849699</v>
      </c>
      <c r="U1030" s="74"/>
      <c r="V1030" s="74"/>
      <c r="W1030" s="76">
        <f t="shared" si="597"/>
        <v>5802.1218322359</v>
      </c>
      <c r="X1030" s="77">
        <f t="shared" si="601"/>
        <v>101.527185800172</v>
      </c>
      <c r="Y1030" s="77"/>
      <c r="Z1030" s="77"/>
      <c r="AA1030" s="77">
        <f t="shared" si="594"/>
        <v>101.527185800172</v>
      </c>
      <c r="AB1030" s="87">
        <v>7.26</v>
      </c>
      <c r="AC1030" s="74">
        <f t="shared" si="598"/>
        <v>737.087368909247</v>
      </c>
      <c r="AD1030" s="74">
        <f t="shared" si="595"/>
        <v>6539.20920114515</v>
      </c>
      <c r="AE1030" s="74">
        <f t="shared" si="596"/>
        <v>701.290798854853</v>
      </c>
    </row>
    <row r="1031" customFormat="1" spans="1:31">
      <c r="A1031" s="18"/>
      <c r="B1031" s="19"/>
      <c r="C1031" s="107">
        <v>240730000051</v>
      </c>
      <c r="D1031" s="21">
        <v>45507</v>
      </c>
      <c r="E1031" s="21" t="s">
        <v>58</v>
      </c>
      <c r="F1031" s="19" t="s">
        <v>59</v>
      </c>
      <c r="G1031" s="19" t="s">
        <v>595</v>
      </c>
      <c r="H1031" s="19">
        <v>0.7</v>
      </c>
      <c r="I1031" s="45"/>
      <c r="J1031" s="48">
        <v>14300</v>
      </c>
      <c r="K1031" s="43"/>
      <c r="L1031" s="19"/>
      <c r="M1031" s="50">
        <v>8.8</v>
      </c>
      <c r="N1031" s="44">
        <v>7.26</v>
      </c>
      <c r="O1031" s="45">
        <f>SUM(M1031*N1031)</f>
        <v>63.888</v>
      </c>
      <c r="P1031" s="51"/>
      <c r="Q1031" s="51"/>
      <c r="R1031" s="74">
        <f t="shared" si="599"/>
        <v>30.83374749499</v>
      </c>
      <c r="S1031" s="108"/>
      <c r="T1031" s="75">
        <f t="shared" si="600"/>
        <v>0.0520721442885771</v>
      </c>
      <c r="U1031" s="74"/>
      <c r="V1031" s="74"/>
      <c r="W1031" s="76">
        <f t="shared" si="597"/>
        <v>30.8858196392786</v>
      </c>
      <c r="X1031" s="77">
        <f t="shared" si="601"/>
        <v>0.540448897795591</v>
      </c>
      <c r="Y1031" s="77"/>
      <c r="Z1031" s="77"/>
      <c r="AA1031" s="77">
        <f t="shared" si="594"/>
        <v>0.540448897795591</v>
      </c>
      <c r="AB1031" s="87">
        <v>7.26</v>
      </c>
      <c r="AC1031" s="74">
        <f t="shared" si="598"/>
        <v>3.92365899799599</v>
      </c>
      <c r="AD1031" s="74">
        <f t="shared" si="595"/>
        <v>34.8094786372745</v>
      </c>
      <c r="AE1031" s="74">
        <f t="shared" si="596"/>
        <v>29.0785213627255</v>
      </c>
    </row>
    <row r="1032" customFormat="1" spans="1:31">
      <c r="A1032" s="18"/>
      <c r="B1032" s="19"/>
      <c r="C1032" s="107">
        <v>240731000003</v>
      </c>
      <c r="D1032" s="21">
        <v>45507</v>
      </c>
      <c r="E1032" s="21" t="s">
        <v>58</v>
      </c>
      <c r="F1032" s="19" t="s">
        <v>59</v>
      </c>
      <c r="G1032" s="19" t="s">
        <v>120</v>
      </c>
      <c r="H1032" s="19">
        <v>2</v>
      </c>
      <c r="I1032" s="47"/>
      <c r="J1032" s="48">
        <v>27429</v>
      </c>
      <c r="K1032" s="43"/>
      <c r="L1032" s="49">
        <f t="shared" ref="L1032:L1037" si="605">SUM(J1032/M1032)</f>
        <v>1619.18536009445</v>
      </c>
      <c r="M1032" s="50">
        <v>16.94</v>
      </c>
      <c r="N1032" s="44">
        <v>7.26</v>
      </c>
      <c r="O1032" s="45">
        <f t="shared" ref="O1031:O1033" si="606">SUM(M1032*N1032)</f>
        <v>122.9844</v>
      </c>
      <c r="P1032" s="51"/>
      <c r="Q1032" s="51"/>
      <c r="R1032" s="74">
        <f t="shared" si="599"/>
        <v>88.0964214142571</v>
      </c>
      <c r="S1032" s="108"/>
      <c r="T1032" s="75">
        <f t="shared" si="600"/>
        <v>0.14877755511022</v>
      </c>
      <c r="U1032" s="74"/>
      <c r="V1032" s="74"/>
      <c r="W1032" s="76">
        <f t="shared" si="597"/>
        <v>88.2451989693673</v>
      </c>
      <c r="X1032" s="77">
        <f t="shared" si="601"/>
        <v>1.5441397079874</v>
      </c>
      <c r="Y1032" s="77"/>
      <c r="Z1032" s="77"/>
      <c r="AA1032" s="77">
        <f t="shared" si="594"/>
        <v>1.5441397079874</v>
      </c>
      <c r="AB1032" s="87">
        <v>7.26</v>
      </c>
      <c r="AC1032" s="74">
        <f t="shared" si="598"/>
        <v>11.2104542799886</v>
      </c>
      <c r="AD1032" s="74">
        <f t="shared" si="595"/>
        <v>99.4556532493558</v>
      </c>
      <c r="AE1032" s="74">
        <f t="shared" si="596"/>
        <v>23.5287467506441</v>
      </c>
    </row>
    <row r="1033" customFormat="1" spans="1:31">
      <c r="A1033" s="18"/>
      <c r="B1033" s="19"/>
      <c r="C1033" s="107">
        <v>240731000010</v>
      </c>
      <c r="D1033" s="21">
        <v>45507</v>
      </c>
      <c r="E1033" s="21" t="s">
        <v>40</v>
      </c>
      <c r="F1033" s="19" t="s">
        <v>41</v>
      </c>
      <c r="G1033" s="19" t="s">
        <v>574</v>
      </c>
      <c r="H1033" s="19">
        <v>6</v>
      </c>
      <c r="I1033" s="47"/>
      <c r="J1033" s="48">
        <v>181260</v>
      </c>
      <c r="K1033" s="43"/>
      <c r="L1033" s="49">
        <f t="shared" si="605"/>
        <v>1655.34246575342</v>
      </c>
      <c r="M1033" s="50">
        <v>109.5</v>
      </c>
      <c r="N1033" s="44">
        <v>7.26</v>
      </c>
      <c r="O1033" s="45">
        <f t="shared" si="606"/>
        <v>794.97</v>
      </c>
      <c r="P1033" s="51"/>
      <c r="Q1033" s="51"/>
      <c r="R1033" s="74">
        <f t="shared" si="599"/>
        <v>264.289264242771</v>
      </c>
      <c r="S1033" s="108"/>
      <c r="T1033" s="75">
        <f t="shared" si="600"/>
        <v>0.446332665330661</v>
      </c>
      <c r="U1033" s="74"/>
      <c r="V1033" s="74"/>
      <c r="W1033" s="76">
        <f t="shared" si="597"/>
        <v>264.735596908102</v>
      </c>
      <c r="X1033" s="77">
        <f t="shared" si="601"/>
        <v>4.63241912396221</v>
      </c>
      <c r="Y1033" s="77"/>
      <c r="Z1033" s="77"/>
      <c r="AA1033" s="77">
        <f t="shared" si="594"/>
        <v>4.63241912396221</v>
      </c>
      <c r="AB1033" s="87">
        <v>7.26</v>
      </c>
      <c r="AC1033" s="74">
        <f t="shared" si="598"/>
        <v>33.6313628399656</v>
      </c>
      <c r="AD1033" s="74">
        <f t="shared" si="595"/>
        <v>298.366959748068</v>
      </c>
      <c r="AE1033" s="74">
        <f t="shared" ref="AE1033:AE1038" si="607">SUM(O1033-AD1033)</f>
        <v>496.603040251932</v>
      </c>
    </row>
    <row r="1034" customFormat="1" spans="1:31">
      <c r="A1034" s="18"/>
      <c r="B1034" s="19"/>
      <c r="C1034" s="107">
        <v>240731000014</v>
      </c>
      <c r="D1034" s="21">
        <v>45507</v>
      </c>
      <c r="E1034" s="21" t="s">
        <v>44</v>
      </c>
      <c r="F1034" s="19" t="s">
        <v>45</v>
      </c>
      <c r="G1034" s="19" t="s">
        <v>596</v>
      </c>
      <c r="H1034" s="19">
        <v>50</v>
      </c>
      <c r="I1034" s="41">
        <v>2650</v>
      </c>
      <c r="J1034" s="42"/>
      <c r="K1034" s="43"/>
      <c r="L1034" s="19"/>
      <c r="M1034" s="43"/>
      <c r="N1034" s="44"/>
      <c r="O1034" s="45">
        <f t="shared" ref="O1034:O1036" si="608">SUM(I1034)</f>
        <v>2650</v>
      </c>
      <c r="P1034" s="51"/>
      <c r="Q1034" s="51"/>
      <c r="R1034" s="74">
        <f t="shared" si="599"/>
        <v>2202.41053535643</v>
      </c>
      <c r="S1034" s="108"/>
      <c r="T1034" s="75">
        <f t="shared" si="600"/>
        <v>3.71943887775551</v>
      </c>
      <c r="U1034" s="74"/>
      <c r="V1034" s="74"/>
      <c r="W1034" s="76">
        <f t="shared" si="597"/>
        <v>2206.12997423418</v>
      </c>
      <c r="X1034" s="77">
        <f t="shared" si="601"/>
        <v>38.6034926996851</v>
      </c>
      <c r="Y1034" s="77"/>
      <c r="Z1034" s="77"/>
      <c r="AA1034" s="77">
        <f t="shared" si="594"/>
        <v>38.6034926996851</v>
      </c>
      <c r="AB1034" s="87">
        <v>7.26</v>
      </c>
      <c r="AC1034" s="74">
        <f t="shared" si="598"/>
        <v>280.261356999714</v>
      </c>
      <c r="AD1034" s="74">
        <f t="shared" si="595"/>
        <v>2486.3913312339</v>
      </c>
      <c r="AE1034" s="74">
        <f t="shared" si="607"/>
        <v>163.608668766104</v>
      </c>
    </row>
    <row r="1035" customFormat="1" spans="1:31">
      <c r="A1035" s="18"/>
      <c r="B1035" s="19"/>
      <c r="C1035" s="107">
        <v>240731000024</v>
      </c>
      <c r="D1035" s="21">
        <v>45507</v>
      </c>
      <c r="E1035" s="21" t="s">
        <v>37</v>
      </c>
      <c r="F1035" s="19" t="s">
        <v>37</v>
      </c>
      <c r="G1035" s="19" t="s">
        <v>404</v>
      </c>
      <c r="H1035" s="19">
        <v>20</v>
      </c>
      <c r="I1035" s="47">
        <v>1047</v>
      </c>
      <c r="J1035" s="42"/>
      <c r="K1035" s="43"/>
      <c r="L1035" s="19"/>
      <c r="M1035" s="43"/>
      <c r="N1035" s="44"/>
      <c r="O1035" s="45">
        <f t="shared" si="608"/>
        <v>1047</v>
      </c>
      <c r="P1035" s="51"/>
      <c r="Q1035" s="51"/>
      <c r="R1035" s="74">
        <f t="shared" si="599"/>
        <v>880.964214142571</v>
      </c>
      <c r="S1035" s="108"/>
      <c r="T1035" s="75">
        <f t="shared" si="600"/>
        <v>1.4877755511022</v>
      </c>
      <c r="U1035" s="74"/>
      <c r="V1035" s="74"/>
      <c r="W1035" s="76">
        <f t="shared" si="597"/>
        <v>882.451989693673</v>
      </c>
      <c r="X1035" s="77">
        <f t="shared" si="601"/>
        <v>15.441397079874</v>
      </c>
      <c r="Y1035" s="77"/>
      <c r="Z1035" s="77"/>
      <c r="AA1035" s="77">
        <f t="shared" si="594"/>
        <v>15.441397079874</v>
      </c>
      <c r="AB1035" s="87">
        <v>7.26</v>
      </c>
      <c r="AC1035" s="74">
        <f t="shared" si="598"/>
        <v>112.104542799885</v>
      </c>
      <c r="AD1035" s="74">
        <f t="shared" si="595"/>
        <v>994.556532493559</v>
      </c>
      <c r="AE1035" s="74">
        <f t="shared" si="607"/>
        <v>52.4434675064415</v>
      </c>
    </row>
    <row r="1036" customFormat="1" spans="1:31">
      <c r="A1036" s="18"/>
      <c r="B1036" s="19"/>
      <c r="C1036" s="107">
        <v>240731000032</v>
      </c>
      <c r="D1036" s="21">
        <v>45507</v>
      </c>
      <c r="E1036" s="21" t="s">
        <v>40</v>
      </c>
      <c r="F1036" s="19" t="s">
        <v>41</v>
      </c>
      <c r="G1036" s="19" t="s">
        <v>597</v>
      </c>
      <c r="H1036" s="19">
        <v>46.5</v>
      </c>
      <c r="I1036" s="41">
        <v>2502</v>
      </c>
      <c r="J1036" s="42"/>
      <c r="K1036" s="43"/>
      <c r="L1036" s="19"/>
      <c r="M1036" s="43"/>
      <c r="N1036" s="44"/>
      <c r="O1036" s="45">
        <f t="shared" si="608"/>
        <v>2502</v>
      </c>
      <c r="P1036" s="52"/>
      <c r="Q1036" s="52"/>
      <c r="R1036" s="74">
        <f t="shared" si="599"/>
        <v>2048.24179788148</v>
      </c>
      <c r="S1036" s="108"/>
      <c r="T1036" s="75">
        <f t="shared" si="600"/>
        <v>3.45907815631262</v>
      </c>
      <c r="U1036" s="74"/>
      <c r="V1036" s="75">
        <v>43</v>
      </c>
      <c r="W1036" s="76">
        <f t="shared" si="597"/>
        <v>2094.70087603779</v>
      </c>
      <c r="X1036" s="77">
        <f t="shared" si="601"/>
        <v>35.9012482107071</v>
      </c>
      <c r="Y1036" s="77"/>
      <c r="Z1036" s="77"/>
      <c r="AA1036" s="77">
        <f t="shared" si="594"/>
        <v>35.9012482107071</v>
      </c>
      <c r="AB1036" s="87">
        <v>7.26</v>
      </c>
      <c r="AC1036" s="74">
        <f t="shared" si="598"/>
        <v>260.643062009734</v>
      </c>
      <c r="AD1036" s="74">
        <f t="shared" si="595"/>
        <v>2355.34393804752</v>
      </c>
      <c r="AE1036" s="74">
        <f t="shared" si="607"/>
        <v>146.656061952477</v>
      </c>
    </row>
    <row r="1037" customFormat="1" spans="1:31">
      <c r="A1037" s="18" t="s">
        <v>598</v>
      </c>
      <c r="B1037" s="19" t="s">
        <v>599</v>
      </c>
      <c r="C1037" s="107">
        <v>240726000047</v>
      </c>
      <c r="D1037" s="21">
        <v>45507</v>
      </c>
      <c r="E1037" s="21" t="s">
        <v>44</v>
      </c>
      <c r="F1037" s="19" t="s">
        <v>45</v>
      </c>
      <c r="G1037" s="19" t="s">
        <v>600</v>
      </c>
      <c r="H1037" s="19">
        <v>114</v>
      </c>
      <c r="I1037" s="45"/>
      <c r="J1037" s="48">
        <v>1581747.62</v>
      </c>
      <c r="K1037" s="43"/>
      <c r="L1037" s="49">
        <f t="shared" si="605"/>
        <v>1616.00696771557</v>
      </c>
      <c r="M1037" s="50">
        <v>978.8</v>
      </c>
      <c r="N1037" s="44">
        <v>7.26</v>
      </c>
      <c r="O1037" s="45">
        <f>SUM(M1037*N1037)</f>
        <v>7106.088</v>
      </c>
      <c r="P1037" s="46">
        <f>SUM(O1037:O1038)</f>
        <v>73672.088</v>
      </c>
      <c r="Q1037" s="46" t="s">
        <v>130</v>
      </c>
      <c r="R1037" s="74">
        <f>SUM(36293/826)*H1037</f>
        <v>5008.9612590799</v>
      </c>
      <c r="S1037" s="74"/>
      <c r="T1037" s="75">
        <f>SUM(185.75/826)*H1037</f>
        <v>25.6361985472155</v>
      </c>
      <c r="U1037" s="74"/>
      <c r="V1037" s="74"/>
      <c r="W1037" s="76">
        <f t="shared" si="597"/>
        <v>5034.59745762712</v>
      </c>
      <c r="X1037" s="77">
        <v>167.26</v>
      </c>
      <c r="Y1037" s="77"/>
      <c r="Z1037" s="77"/>
      <c r="AA1037" s="77">
        <f t="shared" si="594"/>
        <v>167.26</v>
      </c>
      <c r="AB1037" s="87">
        <v>7.26</v>
      </c>
      <c r="AC1037" s="74">
        <f t="shared" si="598"/>
        <v>1214.3076</v>
      </c>
      <c r="AD1037" s="74">
        <f t="shared" si="595"/>
        <v>6248.90505762712</v>
      </c>
      <c r="AE1037" s="74">
        <f t="shared" si="607"/>
        <v>857.18294237288</v>
      </c>
    </row>
    <row r="1038" customFormat="1" spans="1:31">
      <c r="A1038" s="18"/>
      <c r="B1038" s="19"/>
      <c r="C1038" s="107">
        <v>240730000018</v>
      </c>
      <c r="D1038" s="21">
        <v>45507</v>
      </c>
      <c r="E1038" s="21" t="s">
        <v>37</v>
      </c>
      <c r="F1038" s="19" t="s">
        <v>37</v>
      </c>
      <c r="G1038" s="19" t="s">
        <v>318</v>
      </c>
      <c r="H1038" s="19">
        <v>712</v>
      </c>
      <c r="I1038" s="41">
        <v>66566</v>
      </c>
      <c r="J1038" s="42"/>
      <c r="K1038" s="43"/>
      <c r="L1038" s="19"/>
      <c r="M1038" s="43"/>
      <c r="N1038" s="44"/>
      <c r="O1038" s="45">
        <f>SUM(I1038)</f>
        <v>66566</v>
      </c>
      <c r="P1038" s="52"/>
      <c r="Q1038" s="52"/>
      <c r="R1038" s="74">
        <f>SUM(36293/826)*H1038</f>
        <v>31284.0387409201</v>
      </c>
      <c r="S1038" s="74"/>
      <c r="T1038" s="75">
        <f>SUM(185.75/826)*H1038</f>
        <v>160.113801452784</v>
      </c>
      <c r="U1038" s="74"/>
      <c r="V1038" s="74"/>
      <c r="W1038" s="76">
        <f t="shared" si="597"/>
        <v>31444.1525423729</v>
      </c>
      <c r="X1038" s="77">
        <v>2413.8</v>
      </c>
      <c r="Y1038" s="77"/>
      <c r="Z1038" s="77"/>
      <c r="AA1038" s="77">
        <f t="shared" si="594"/>
        <v>2413.8</v>
      </c>
      <c r="AB1038" s="87">
        <v>7.26</v>
      </c>
      <c r="AC1038" s="74">
        <f t="shared" si="598"/>
        <v>17524.188</v>
      </c>
      <c r="AD1038" s="74">
        <f t="shared" si="595"/>
        <v>48968.3405423729</v>
      </c>
      <c r="AE1038" s="74">
        <f t="shared" si="607"/>
        <v>17597.6594576271</v>
      </c>
    </row>
    <row r="1039" spans="1:32">
      <c r="A1039" s="114" t="s">
        <v>601</v>
      </c>
      <c r="B1039" s="115"/>
      <c r="C1039" s="115"/>
      <c r="D1039" s="115"/>
      <c r="E1039" s="115"/>
      <c r="F1039" s="115"/>
      <c r="G1039" s="115"/>
      <c r="H1039" s="115"/>
      <c r="I1039" s="115">
        <f>SUM(I3:I1038)</f>
        <v>2218619.46015</v>
      </c>
      <c r="J1039" s="116"/>
      <c r="K1039" s="117"/>
      <c r="L1039" s="116"/>
      <c r="M1039" s="116">
        <f>SUM(M3:M1038)</f>
        <v>128161.370416</v>
      </c>
      <c r="N1039" s="115"/>
      <c r="O1039" s="115">
        <f>SUM(O3:O1038)</f>
        <v>3149071.00937016</v>
      </c>
      <c r="P1039" s="115">
        <f>SUM(P3:P1038)</f>
        <v>3149071.00937016</v>
      </c>
      <c r="Q1039" s="115"/>
      <c r="R1039" s="115"/>
      <c r="S1039" s="115"/>
      <c r="T1039" s="115"/>
      <c r="U1039" s="115"/>
      <c r="V1039" s="115"/>
      <c r="W1039" s="76">
        <f>SUM(W3:W3)</f>
        <v>0</v>
      </c>
      <c r="X1039" s="117"/>
      <c r="Y1039" s="117"/>
      <c r="Z1039" s="117"/>
      <c r="AA1039" s="117"/>
      <c r="AB1039" s="116"/>
      <c r="AC1039" s="115">
        <f>SUM(AC3:AC3)</f>
        <v>0</v>
      </c>
      <c r="AD1039" s="115"/>
      <c r="AE1039" s="114">
        <f>SUM(AE4:AE1038)</f>
        <v>448677.380071841</v>
      </c>
      <c r="AF1039" s="114"/>
    </row>
    <row r="1043" customFormat="1" spans="4:28">
      <c r="D1043" s="2"/>
      <c r="E1043" s="2"/>
      <c r="J1043" s="3"/>
      <c r="K1043" s="4"/>
      <c r="L1043" s="3"/>
      <c r="W1043" s="6"/>
      <c r="X1043" s="4"/>
      <c r="Y1043" s="4"/>
      <c r="Z1043" s="4"/>
      <c r="AA1043" s="4"/>
      <c r="AB1043" s="3"/>
    </row>
    <row r="1044" customFormat="1" spans="4:28">
      <c r="D1044" s="2"/>
      <c r="E1044" s="2"/>
      <c r="J1044" s="3"/>
      <c r="K1044" s="89">
        <v>127378.600517</v>
      </c>
      <c r="L1044" s="3">
        <v>7.26</v>
      </c>
      <c r="M1044">
        <f>SUM(K1044*L1044)</f>
        <v>924768.63975342</v>
      </c>
      <c r="W1044" s="6"/>
      <c r="X1044" s="4"/>
      <c r="Y1044" s="4"/>
      <c r="Z1044" s="4"/>
      <c r="AA1044" s="4"/>
      <c r="AB1044" s="3"/>
    </row>
    <row r="1045" customFormat="1" spans="4:28">
      <c r="D1045" s="2"/>
      <c r="E1045" s="2"/>
      <c r="J1045" s="3"/>
      <c r="K1045" s="4"/>
      <c r="L1045" s="3"/>
      <c r="M1045">
        <v>2273280.91015</v>
      </c>
      <c r="W1045" s="6"/>
      <c r="X1045" s="4"/>
      <c r="Y1045" s="4"/>
      <c r="Z1045" s="4"/>
      <c r="AA1045" s="4"/>
      <c r="AB1045" s="3"/>
    </row>
    <row r="1046" customFormat="1" spans="4:28">
      <c r="D1046" s="2"/>
      <c r="E1046" s="2"/>
      <c r="J1046" s="3"/>
      <c r="K1046" s="4"/>
      <c r="L1046" s="3"/>
      <c r="M1046">
        <f>SUM(M1044:M1045)</f>
        <v>3198049.54990342</v>
      </c>
      <c r="W1046" s="6"/>
      <c r="X1046" s="4"/>
      <c r="Y1046" s="4"/>
      <c r="Z1046" s="4"/>
      <c r="AA1046" s="4"/>
      <c r="AB1046" s="3"/>
    </row>
    <row r="1047" customFormat="1" spans="4:28">
      <c r="D1047" s="2"/>
      <c r="E1047" s="2"/>
      <c r="J1047" s="3"/>
      <c r="K1047" s="4"/>
      <c r="L1047" s="3"/>
      <c r="W1047" s="6"/>
      <c r="X1047" s="4"/>
      <c r="Y1047" s="4"/>
      <c r="Z1047" s="4"/>
      <c r="AA1047" s="4"/>
      <c r="AB1047" s="3"/>
    </row>
    <row r="1048" customFormat="1" spans="4:28">
      <c r="D1048" s="2"/>
      <c r="E1048" s="2"/>
      <c r="J1048" s="3"/>
      <c r="K1048" s="4"/>
      <c r="L1048" s="3"/>
      <c r="W1048" s="6"/>
      <c r="X1048" s="4"/>
      <c r="Y1048" s="4"/>
      <c r="Z1048" s="4"/>
      <c r="AA1048" s="4"/>
      <c r="AB1048" s="3"/>
    </row>
    <row r="1049" customFormat="1" spans="4:28">
      <c r="D1049" s="2"/>
      <c r="E1049" s="2"/>
      <c r="J1049" s="3"/>
      <c r="K1049" s="4"/>
      <c r="L1049" s="3"/>
      <c r="W1049" s="6"/>
      <c r="X1049" s="4"/>
      <c r="Y1049" s="4"/>
      <c r="Z1049" s="4"/>
      <c r="AA1049" s="4"/>
      <c r="AB1049" s="3"/>
    </row>
    <row r="1050" customFormat="1" spans="4:28">
      <c r="D1050" s="2"/>
      <c r="E1050" s="2"/>
      <c r="J1050" s="3"/>
      <c r="K1050" s="4"/>
      <c r="L1050" s="3"/>
      <c r="W1050" s="6"/>
      <c r="X1050" s="4"/>
      <c r="Y1050" s="4"/>
      <c r="Z1050" s="4"/>
      <c r="AA1050" s="4"/>
      <c r="AB1050" s="3"/>
    </row>
    <row r="1051" customFormat="1" spans="4:28">
      <c r="D1051" s="2"/>
      <c r="E1051" s="2"/>
      <c r="J1051" s="3"/>
      <c r="K1051" s="4"/>
      <c r="L1051" s="3"/>
      <c r="W1051" s="6"/>
      <c r="X1051" s="4"/>
      <c r="Y1051" s="4"/>
      <c r="Z1051" s="4"/>
      <c r="AA1051" s="4"/>
      <c r="AB1051" s="3"/>
    </row>
    <row r="1052" customFormat="1" spans="4:28">
      <c r="D1052" s="2"/>
      <c r="E1052" s="2"/>
      <c r="J1052" s="3"/>
      <c r="K1052" s="4"/>
      <c r="L1052" s="3"/>
      <c r="W1052" s="6"/>
      <c r="X1052" s="4"/>
      <c r="Y1052" s="4"/>
      <c r="Z1052" s="4"/>
      <c r="AA1052" s="4"/>
      <c r="AB1052" s="3"/>
    </row>
    <row r="1053" customFormat="1" spans="4:28">
      <c r="D1053" s="2"/>
      <c r="E1053" s="2"/>
      <c r="J1053" s="3"/>
      <c r="K1053" s="4"/>
      <c r="L1053" s="3"/>
      <c r="W1053" s="6"/>
      <c r="X1053" s="4"/>
      <c r="Y1053" s="4"/>
      <c r="Z1053" s="4"/>
      <c r="AA1053" s="4"/>
      <c r="AB1053" s="3"/>
    </row>
    <row r="1054" customFormat="1" spans="4:28">
      <c r="D1054" s="2"/>
      <c r="E1054" s="2"/>
      <c r="J1054" s="3"/>
      <c r="K1054" s="4"/>
      <c r="L1054" s="3"/>
      <c r="W1054" s="6"/>
      <c r="X1054" s="4"/>
      <c r="Y1054" s="4"/>
      <c r="Z1054" s="4"/>
      <c r="AA1054" s="4"/>
      <c r="AB1054" s="3"/>
    </row>
    <row r="1055" customFormat="1" spans="4:28">
      <c r="D1055" s="2"/>
      <c r="E1055" s="2"/>
      <c r="J1055" s="3"/>
      <c r="K1055" s="4"/>
      <c r="L1055" s="3"/>
      <c r="W1055" s="6"/>
      <c r="X1055" s="4"/>
      <c r="Y1055" s="4"/>
      <c r="Z1055" s="4"/>
      <c r="AA1055" s="4"/>
      <c r="AB1055" s="3"/>
    </row>
    <row r="1056" customFormat="1" spans="4:28">
      <c r="D1056" s="2"/>
      <c r="E1056" s="2"/>
      <c r="J1056" s="3"/>
      <c r="K1056" s="4"/>
      <c r="L1056" s="3"/>
      <c r="W1056" s="6"/>
      <c r="X1056" s="4"/>
      <c r="Y1056" s="4"/>
      <c r="Z1056" s="4"/>
      <c r="AA1056" s="4"/>
      <c r="AB1056" s="3"/>
    </row>
    <row r="1057" customFormat="1" spans="4:28">
      <c r="D1057" s="2"/>
      <c r="E1057" s="2"/>
      <c r="J1057" s="3"/>
      <c r="K1057" s="4"/>
      <c r="L1057" s="3"/>
      <c r="W1057" s="6"/>
      <c r="X1057" s="4"/>
      <c r="Y1057" s="4"/>
      <c r="Z1057" s="4"/>
      <c r="AA1057" s="4"/>
      <c r="AB1057" s="3"/>
    </row>
    <row r="1058" customFormat="1" spans="4:28">
      <c r="D1058" s="2"/>
      <c r="E1058" s="2"/>
      <c r="J1058" s="3"/>
      <c r="K1058" s="4"/>
      <c r="L1058" s="3"/>
      <c r="W1058" s="6"/>
      <c r="X1058" s="4"/>
      <c r="Y1058" s="4"/>
      <c r="Z1058" s="4"/>
      <c r="AA1058" s="4"/>
      <c r="AB1058" s="3"/>
    </row>
    <row r="1059" customFormat="1" spans="4:28">
      <c r="D1059" s="2"/>
      <c r="E1059" s="2"/>
      <c r="J1059" s="3"/>
      <c r="K1059" s="4"/>
      <c r="L1059" s="3"/>
      <c r="W1059" s="6"/>
      <c r="X1059" s="4"/>
      <c r="Y1059" s="4"/>
      <c r="Z1059" s="4"/>
      <c r="AA1059" s="4"/>
      <c r="AB1059" s="3"/>
    </row>
    <row r="1060" customFormat="1" spans="4:28">
      <c r="D1060" s="2"/>
      <c r="E1060" s="2"/>
      <c r="J1060" s="3"/>
      <c r="K1060" s="4"/>
      <c r="L1060" s="3"/>
      <c r="W1060" s="6"/>
      <c r="X1060" s="4"/>
      <c r="Y1060" s="4"/>
      <c r="Z1060" s="4"/>
      <c r="AA1060" s="4"/>
      <c r="AB1060" s="3"/>
    </row>
    <row r="1061" customFormat="1" spans="4:28">
      <c r="D1061" s="2"/>
      <c r="E1061" s="2"/>
      <c r="J1061" s="3"/>
      <c r="K1061" s="4"/>
      <c r="L1061" s="3"/>
      <c r="W1061" s="6"/>
      <c r="X1061" s="4"/>
      <c r="Y1061" s="4"/>
      <c r="Z1061" s="4"/>
      <c r="AA1061" s="4"/>
      <c r="AB1061" s="3"/>
    </row>
    <row r="1062" customFormat="1" spans="4:28">
      <c r="D1062" s="2"/>
      <c r="E1062" s="2"/>
      <c r="J1062" s="3"/>
      <c r="K1062" s="4"/>
      <c r="L1062" s="3"/>
      <c r="W1062" s="6"/>
      <c r="X1062" s="4"/>
      <c r="Y1062" s="4"/>
      <c r="Z1062" s="4"/>
      <c r="AA1062" s="4"/>
      <c r="AB1062" s="3"/>
    </row>
    <row r="1063" customFormat="1" spans="4:28">
      <c r="D1063" s="2"/>
      <c r="E1063" s="2"/>
      <c r="J1063" s="3"/>
      <c r="K1063" s="4"/>
      <c r="L1063" s="3"/>
      <c r="W1063" s="6"/>
      <c r="X1063" s="4"/>
      <c r="Y1063" s="4"/>
      <c r="Z1063" s="4"/>
      <c r="AA1063" s="4"/>
      <c r="AB1063" s="3"/>
    </row>
    <row r="1064" customFormat="1" spans="4:28">
      <c r="D1064" s="2"/>
      <c r="E1064" s="2"/>
      <c r="J1064" s="3"/>
      <c r="K1064" s="4"/>
      <c r="L1064" s="3"/>
      <c r="W1064" s="6"/>
      <c r="X1064" s="4"/>
      <c r="Y1064" s="4"/>
      <c r="Z1064" s="4"/>
      <c r="AA1064" s="4"/>
      <c r="AB1064" s="3"/>
    </row>
    <row r="1065" customFormat="1" spans="4:28">
      <c r="D1065" s="2"/>
      <c r="E1065" s="2"/>
      <c r="J1065" s="3"/>
      <c r="K1065" s="4"/>
      <c r="L1065" s="3"/>
      <c r="W1065" s="6"/>
      <c r="X1065" s="4"/>
      <c r="Y1065" s="4"/>
      <c r="Z1065" s="4"/>
      <c r="AA1065" s="4"/>
      <c r="AB1065" s="3"/>
    </row>
    <row r="1066" customFormat="1" spans="4:28">
      <c r="D1066" s="2"/>
      <c r="E1066" s="2"/>
      <c r="J1066" s="3"/>
      <c r="K1066" s="4"/>
      <c r="L1066" s="3"/>
      <c r="W1066" s="6"/>
      <c r="X1066" s="4"/>
      <c r="Y1066" s="4"/>
      <c r="Z1066" s="4"/>
      <c r="AA1066" s="4"/>
      <c r="AB1066" s="3"/>
    </row>
    <row r="1067" customFormat="1" spans="4:28">
      <c r="D1067" s="2"/>
      <c r="E1067" s="2"/>
      <c r="J1067" s="3"/>
      <c r="K1067" s="4"/>
      <c r="L1067" s="3"/>
      <c r="W1067" s="6"/>
      <c r="X1067" s="4"/>
      <c r="Y1067" s="4"/>
      <c r="Z1067" s="4"/>
      <c r="AA1067" s="4"/>
      <c r="AB1067" s="3"/>
    </row>
    <row r="1068" customFormat="1" spans="4:28">
      <c r="D1068" s="2"/>
      <c r="E1068" s="2"/>
      <c r="J1068" s="3"/>
      <c r="K1068" s="4"/>
      <c r="L1068" s="3"/>
      <c r="W1068" s="6"/>
      <c r="X1068" s="4"/>
      <c r="Y1068" s="4"/>
      <c r="Z1068" s="4"/>
      <c r="AA1068" s="4"/>
      <c r="AB1068" s="3"/>
    </row>
    <row r="1069" customFormat="1" spans="4:28">
      <c r="D1069" s="2"/>
      <c r="E1069" s="2"/>
      <c r="J1069" s="3"/>
      <c r="K1069" s="4"/>
      <c r="L1069" s="3"/>
      <c r="W1069" s="6"/>
      <c r="X1069" s="4"/>
      <c r="Y1069" s="4"/>
      <c r="Z1069" s="4"/>
      <c r="AA1069" s="4"/>
      <c r="AB1069" s="3"/>
    </row>
    <row r="1070" customFormat="1" spans="4:28">
      <c r="D1070" s="2"/>
      <c r="E1070" s="2"/>
      <c r="J1070" s="3"/>
      <c r="K1070" s="4"/>
      <c r="L1070" s="3"/>
      <c r="W1070" s="6"/>
      <c r="X1070" s="4"/>
      <c r="Y1070" s="4"/>
      <c r="Z1070" s="4"/>
      <c r="AA1070" s="4"/>
      <c r="AB1070" s="3"/>
    </row>
    <row r="1071" customFormat="1" spans="4:28">
      <c r="D1071" s="2"/>
      <c r="E1071" s="2"/>
      <c r="J1071" s="3"/>
      <c r="K1071" s="4"/>
      <c r="L1071" s="3"/>
      <c r="W1071" s="6"/>
      <c r="X1071" s="4"/>
      <c r="Y1071" s="4"/>
      <c r="Z1071" s="4"/>
      <c r="AA1071" s="4"/>
      <c r="AB1071" s="3"/>
    </row>
    <row r="1072" customFormat="1" spans="4:28">
      <c r="D1072" s="2"/>
      <c r="E1072" s="2"/>
      <c r="J1072" s="3"/>
      <c r="K1072" s="4"/>
      <c r="L1072" s="3"/>
      <c r="W1072" s="6"/>
      <c r="X1072" s="4"/>
      <c r="Y1072" s="4"/>
      <c r="Z1072" s="4"/>
      <c r="AA1072" s="4"/>
      <c r="AB1072" s="3"/>
    </row>
    <row r="1073" customFormat="1" spans="4:28">
      <c r="D1073" s="2"/>
      <c r="E1073" s="2"/>
      <c r="J1073" s="3"/>
      <c r="K1073" s="4"/>
      <c r="L1073" s="3"/>
      <c r="W1073" s="6"/>
      <c r="X1073" s="4"/>
      <c r="Y1073" s="4"/>
      <c r="Z1073" s="4"/>
      <c r="AA1073" s="4"/>
      <c r="AB1073" s="3"/>
    </row>
    <row r="1074" customFormat="1" spans="4:28">
      <c r="D1074" s="2"/>
      <c r="E1074" s="2"/>
      <c r="J1074" s="3"/>
      <c r="K1074" s="4"/>
      <c r="L1074" s="3"/>
      <c r="W1074" s="6"/>
      <c r="X1074" s="4"/>
      <c r="Y1074" s="4"/>
      <c r="Z1074" s="4"/>
      <c r="AA1074" s="4"/>
      <c r="AB1074" s="3"/>
    </row>
    <row r="1075" customFormat="1" spans="4:28">
      <c r="D1075" s="2"/>
      <c r="E1075" s="2"/>
      <c r="J1075" s="3"/>
      <c r="K1075" s="4"/>
      <c r="L1075" s="3"/>
      <c r="W1075" s="6"/>
      <c r="X1075" s="4"/>
      <c r="Y1075" s="4"/>
      <c r="Z1075" s="4"/>
      <c r="AA1075" s="4"/>
      <c r="AB1075" s="3"/>
    </row>
    <row r="1076" customFormat="1" spans="4:28">
      <c r="D1076" s="2"/>
      <c r="E1076" s="2"/>
      <c r="J1076" s="3"/>
      <c r="K1076" s="4"/>
      <c r="L1076" s="3"/>
      <c r="W1076" s="6"/>
      <c r="X1076" s="4"/>
      <c r="Y1076" s="4"/>
      <c r="Z1076" s="4"/>
      <c r="AA1076" s="4"/>
      <c r="AB1076" s="3"/>
    </row>
    <row r="1077" customFormat="1" spans="4:28">
      <c r="D1077" s="2"/>
      <c r="E1077" s="2"/>
      <c r="J1077" s="3"/>
      <c r="K1077" s="4"/>
      <c r="L1077" s="3"/>
      <c r="W1077" s="6"/>
      <c r="X1077" s="4"/>
      <c r="Y1077" s="4"/>
      <c r="Z1077" s="4"/>
      <c r="AA1077" s="4"/>
      <c r="AB1077" s="3"/>
    </row>
    <row r="1078" customFormat="1" spans="4:28">
      <c r="D1078" s="2"/>
      <c r="E1078" s="2"/>
      <c r="J1078" s="3"/>
      <c r="K1078" s="4"/>
      <c r="L1078" s="3"/>
      <c r="W1078" s="6"/>
      <c r="X1078" s="4"/>
      <c r="Y1078" s="4"/>
      <c r="Z1078" s="4"/>
      <c r="AA1078" s="4"/>
      <c r="AB1078" s="3"/>
    </row>
    <row r="1079" customFormat="1" spans="4:28">
      <c r="D1079" s="2"/>
      <c r="E1079" s="2"/>
      <c r="J1079" s="3"/>
      <c r="K1079" s="4"/>
      <c r="L1079" s="3"/>
      <c r="W1079" s="6"/>
      <c r="X1079" s="4"/>
      <c r="Y1079" s="4"/>
      <c r="Z1079" s="4"/>
      <c r="AA1079" s="4"/>
      <c r="AB1079" s="3"/>
    </row>
    <row r="1080" customFormat="1" spans="4:28">
      <c r="D1080" s="2"/>
      <c r="E1080" s="2"/>
      <c r="J1080" s="3"/>
      <c r="K1080" s="4"/>
      <c r="L1080" s="3"/>
      <c r="W1080" s="6"/>
      <c r="X1080" s="4"/>
      <c r="Y1080" s="4"/>
      <c r="Z1080" s="4"/>
      <c r="AA1080" s="4"/>
      <c r="AB1080" s="3"/>
    </row>
    <row r="1081" customFormat="1" spans="4:28">
      <c r="D1081" s="2"/>
      <c r="E1081" s="2"/>
      <c r="J1081" s="3"/>
      <c r="K1081" s="4"/>
      <c r="L1081" s="3"/>
      <c r="W1081" s="6"/>
      <c r="X1081" s="4"/>
      <c r="Y1081" s="4"/>
      <c r="Z1081" s="4"/>
      <c r="AA1081" s="4"/>
      <c r="AB1081" s="3"/>
    </row>
    <row r="1082" customFormat="1" spans="4:28">
      <c r="D1082" s="2"/>
      <c r="E1082" s="2"/>
      <c r="J1082" s="3"/>
      <c r="K1082" s="4"/>
      <c r="L1082" s="3"/>
      <c r="W1082" s="6"/>
      <c r="X1082" s="4"/>
      <c r="Y1082" s="4"/>
      <c r="Z1082" s="4"/>
      <c r="AA1082" s="4"/>
      <c r="AB1082" s="3"/>
    </row>
    <row r="1083" customFormat="1" spans="4:28">
      <c r="D1083" s="2"/>
      <c r="E1083" s="2"/>
      <c r="J1083" s="3"/>
      <c r="K1083" s="4"/>
      <c r="L1083" s="3"/>
      <c r="W1083" s="6"/>
      <c r="X1083" s="4"/>
      <c r="Y1083" s="4"/>
      <c r="Z1083" s="4"/>
      <c r="AA1083" s="4"/>
      <c r="AB1083" s="3"/>
    </row>
    <row r="1084" customFormat="1" spans="4:28">
      <c r="D1084" s="2"/>
      <c r="E1084" s="2"/>
      <c r="J1084" s="3"/>
      <c r="K1084" s="4"/>
      <c r="L1084" s="3"/>
      <c r="W1084" s="6"/>
      <c r="X1084" s="4"/>
      <c r="Y1084" s="4"/>
      <c r="Z1084" s="4"/>
      <c r="AA1084" s="4"/>
      <c r="AB1084" s="3"/>
    </row>
    <row r="1085" customFormat="1" spans="4:28">
      <c r="D1085" s="2"/>
      <c r="E1085" s="2"/>
      <c r="J1085" s="3"/>
      <c r="K1085" s="4"/>
      <c r="L1085" s="3"/>
      <c r="W1085" s="6"/>
      <c r="X1085" s="4"/>
      <c r="Y1085" s="4"/>
      <c r="Z1085" s="4"/>
      <c r="AA1085" s="4"/>
      <c r="AB1085" s="3"/>
    </row>
  </sheetData>
  <autoFilter xmlns:etc="http://www.wps.cn/officeDocument/2017/etCustomData" ref="A2:AE1039" etc:filterBottomFollowUsedRange="0">
    <extLst/>
  </autoFilter>
  <mergeCells count="170">
    <mergeCell ref="A1:AE1"/>
    <mergeCell ref="I2:O2"/>
    <mergeCell ref="Q2:U2"/>
    <mergeCell ref="X2:AC2"/>
    <mergeCell ref="A2:A3"/>
    <mergeCell ref="A4:A19"/>
    <mergeCell ref="A20:A80"/>
    <mergeCell ref="A81:A104"/>
    <mergeCell ref="A105:A115"/>
    <mergeCell ref="A116:A129"/>
    <mergeCell ref="A130:A136"/>
    <mergeCell ref="A137:A169"/>
    <mergeCell ref="A171:A205"/>
    <mergeCell ref="A206:A219"/>
    <mergeCell ref="A220:A226"/>
    <mergeCell ref="A227:A257"/>
    <mergeCell ref="A258:A297"/>
    <mergeCell ref="A298:A328"/>
    <mergeCell ref="A329:A339"/>
    <mergeCell ref="A340:A355"/>
    <mergeCell ref="A357:A398"/>
    <mergeCell ref="A399:A415"/>
    <mergeCell ref="A416:A467"/>
    <mergeCell ref="A469:A475"/>
    <mergeCell ref="A476:A522"/>
    <mergeCell ref="A523:A568"/>
    <mergeCell ref="A569:A581"/>
    <mergeCell ref="A582:A587"/>
    <mergeCell ref="A588:A594"/>
    <mergeCell ref="A595:A649"/>
    <mergeCell ref="A650:A661"/>
    <mergeCell ref="A662:A716"/>
    <mergeCell ref="A717:A781"/>
    <mergeCell ref="A782:A797"/>
    <mergeCell ref="A798:A807"/>
    <mergeCell ref="A808:A811"/>
    <mergeCell ref="A812:A815"/>
    <mergeCell ref="A816:A825"/>
    <mergeCell ref="A826:A884"/>
    <mergeCell ref="A885:A926"/>
    <mergeCell ref="A927:A967"/>
    <mergeCell ref="A968:A979"/>
    <mergeCell ref="A980:A1036"/>
    <mergeCell ref="A1037:A1038"/>
    <mergeCell ref="B2:B3"/>
    <mergeCell ref="B4:B19"/>
    <mergeCell ref="B20:B80"/>
    <mergeCell ref="B81:B104"/>
    <mergeCell ref="B105:B115"/>
    <mergeCell ref="B116:B129"/>
    <mergeCell ref="B130:B136"/>
    <mergeCell ref="B137:B169"/>
    <mergeCell ref="B171:B205"/>
    <mergeCell ref="B206:B219"/>
    <mergeCell ref="B220:B226"/>
    <mergeCell ref="B227:B257"/>
    <mergeCell ref="B258:B297"/>
    <mergeCell ref="B298:B328"/>
    <mergeCell ref="B329:B339"/>
    <mergeCell ref="B340:B355"/>
    <mergeCell ref="B357:B398"/>
    <mergeCell ref="B399:B415"/>
    <mergeCell ref="B416:B467"/>
    <mergeCell ref="B469:B475"/>
    <mergeCell ref="B476:B522"/>
    <mergeCell ref="B523:B568"/>
    <mergeCell ref="B569:B581"/>
    <mergeCell ref="B582:B587"/>
    <mergeCell ref="B588:B594"/>
    <mergeCell ref="B595:B649"/>
    <mergeCell ref="B650:B661"/>
    <mergeCell ref="B662:B716"/>
    <mergeCell ref="B717:B781"/>
    <mergeCell ref="B782:B797"/>
    <mergeCell ref="B798:B807"/>
    <mergeCell ref="B808:B811"/>
    <mergeCell ref="B812:B815"/>
    <mergeCell ref="B816:B825"/>
    <mergeCell ref="B826:B884"/>
    <mergeCell ref="B885:B926"/>
    <mergeCell ref="B927:B967"/>
    <mergeCell ref="B968:B979"/>
    <mergeCell ref="B980:B1036"/>
    <mergeCell ref="B1037:B1038"/>
    <mergeCell ref="C2:C3"/>
    <mergeCell ref="D2:D3"/>
    <mergeCell ref="E2:E3"/>
    <mergeCell ref="F2:F3"/>
    <mergeCell ref="G2:G3"/>
    <mergeCell ref="H2:H3"/>
    <mergeCell ref="P2:P3"/>
    <mergeCell ref="P4:P19"/>
    <mergeCell ref="P20:P80"/>
    <mergeCell ref="P81:P104"/>
    <mergeCell ref="P105:P115"/>
    <mergeCell ref="P116:P129"/>
    <mergeCell ref="P130:P136"/>
    <mergeCell ref="P137:P169"/>
    <mergeCell ref="P171:P205"/>
    <mergeCell ref="P206:P219"/>
    <mergeCell ref="P220:P226"/>
    <mergeCell ref="P227:P257"/>
    <mergeCell ref="P258:P297"/>
    <mergeCell ref="P298:P328"/>
    <mergeCell ref="P329:P339"/>
    <mergeCell ref="P357:P398"/>
    <mergeCell ref="P399:P415"/>
    <mergeCell ref="P416:P467"/>
    <mergeCell ref="P469:P475"/>
    <mergeCell ref="P476:P522"/>
    <mergeCell ref="P523:P568"/>
    <mergeCell ref="P569:P581"/>
    <mergeCell ref="P582:P587"/>
    <mergeCell ref="P588:P594"/>
    <mergeCell ref="P595:P649"/>
    <mergeCell ref="P650:P661"/>
    <mergeCell ref="P662:P716"/>
    <mergeCell ref="P717:P781"/>
    <mergeCell ref="P782:P797"/>
    <mergeCell ref="P798:P807"/>
    <mergeCell ref="P808:P811"/>
    <mergeCell ref="P812:P815"/>
    <mergeCell ref="P816:P825"/>
    <mergeCell ref="P826:P884"/>
    <mergeCell ref="P885:P926"/>
    <mergeCell ref="P927:P967"/>
    <mergeCell ref="P968:P979"/>
    <mergeCell ref="P980:P1036"/>
    <mergeCell ref="P1037:P1038"/>
    <mergeCell ref="Q4:Q19"/>
    <mergeCell ref="Q20:Q80"/>
    <mergeCell ref="Q81:Q104"/>
    <mergeCell ref="Q105:Q115"/>
    <mergeCell ref="Q116:Q129"/>
    <mergeCell ref="Q130:Q136"/>
    <mergeCell ref="Q137:Q169"/>
    <mergeCell ref="Q171:Q205"/>
    <mergeCell ref="Q206:Q219"/>
    <mergeCell ref="Q220:Q226"/>
    <mergeCell ref="Q227:Q257"/>
    <mergeCell ref="Q258:Q297"/>
    <mergeCell ref="Q298:Q328"/>
    <mergeCell ref="Q329:Q339"/>
    <mergeCell ref="Q357:Q398"/>
    <mergeCell ref="Q399:Q415"/>
    <mergeCell ref="Q416:Q467"/>
    <mergeCell ref="Q469:Q475"/>
    <mergeCell ref="Q476:Q522"/>
    <mergeCell ref="Q523:Q568"/>
    <mergeCell ref="Q569:Q581"/>
    <mergeCell ref="Q582:Q587"/>
    <mergeCell ref="Q588:Q594"/>
    <mergeCell ref="Q595:Q649"/>
    <mergeCell ref="Q650:Q661"/>
    <mergeCell ref="Q662:Q716"/>
    <mergeCell ref="Q717:Q781"/>
    <mergeCell ref="Q782:Q797"/>
    <mergeCell ref="Q798:Q807"/>
    <mergeCell ref="Q808:Q811"/>
    <mergeCell ref="Q812:Q815"/>
    <mergeCell ref="Q816:Q825"/>
    <mergeCell ref="Q826:Q884"/>
    <mergeCell ref="Q885:Q926"/>
    <mergeCell ref="Q927:Q967"/>
    <mergeCell ref="Q968:Q979"/>
    <mergeCell ref="Q980:Q1036"/>
    <mergeCell ref="Q1037:Q1038"/>
    <mergeCell ref="V2:V3"/>
    <mergeCell ref="W2:W3"/>
    <mergeCell ref="AE2:AE3"/>
  </mergeCells>
  <hyperlinks>
    <hyperlink ref="C340" r:id="rId3" display="240403000032" tooltip="http://www.mailmailexp.com/Logistics_Admin/javascript:openDetail('240403000032');"/>
    <hyperlink ref="C341" r:id="rId4" display="240407000015" tooltip="http://www.mailmailexp.com/Logistics_Admin/javascript:openDetail('240407000015');"/>
    <hyperlink ref="C342" r:id="rId5" display="240409000027" tooltip="http://www.mailmailexp.com/Logistics_Admin/javascript:openDetail('240409000027');"/>
    <hyperlink ref="C343" r:id="rId6" display="240409000028" tooltip="http://www.mailmailexp.com/Logistics_Admin/javascript:openDetail('240409000028');"/>
    <hyperlink ref="C344" r:id="rId7" display="240417000035" tooltip="http://www.mailmailexp.com/Logistics_Admin/javascript:openDetail('240417000035');"/>
    <hyperlink ref="C345" r:id="rId8" display="240417000038" tooltip="http://www.mailmailexp.com/Logistics_Admin/javascript:openDetail('240417000038');"/>
    <hyperlink ref="C346" r:id="rId9" display="240418000019" tooltip="http://www.mailmailexp.com/Logistics_Admin/javascript:openDetail('240418000019');"/>
    <hyperlink ref="C347" r:id="rId10" display="240418000026" tooltip="http://www.mailmailexp.com/Logistics_Admin/javascript:openDetail('240418000026');"/>
    <hyperlink ref="C348" r:id="rId11" display="240513000036" tooltip="http://www.mailmailexp.com/Logistics_Admin/javascript:openDetail('240513000036');"/>
    <hyperlink ref="C349" r:id="rId12" display="240625000030" tooltip="http://www.mailmailexp.com/Logistics_Admin/javascript:openDetail('240625000030');"/>
    <hyperlink ref="C350" r:id="rId13" display="240625000031" tooltip="http://www.mailmailexp.com/Logistics_Admin/javascript:openDetail('240625000031');"/>
    <hyperlink ref="C351" r:id="rId14" display="240627000017" tooltip="http://www.mailmailexp.com/Logistics_Admin/javascript:openDetail('240627000017');"/>
    <hyperlink ref="C352" r:id="rId15" display="240701000027" tooltip="http://www.mailmailexp.com/Logistics_Admin/javascript:openDetail('240701000027');"/>
    <hyperlink ref="C353" r:id="rId16" display="240702000033" tooltip="http://www.mailmailexp.com/Logistics_Admin/javascript:openDetail('240702000033');"/>
    <hyperlink ref="C354" r:id="rId17" display="240703000010" tooltip="http://www.mailmailexp.com/Logistics_Admin/javascript:openDetail('240703000010');"/>
    <hyperlink ref="C355" r:id="rId18" display="240703000013" tooltip="http://www.mailmailexp.com/Logistics_Admin/javascript:openDetail('240703000013');"/>
    <hyperlink ref="C469" r:id="rId19" display="240715000002" tooltip="http://www.mailmailexp.com/Logistics_Admin/javascript:openDetail('240715000002');"/>
    <hyperlink ref="C470" r:id="rId20" display="240715000021" tooltip="http://www.mailmailexp.com/Logistics_Admin/javascript:openDetail('240715000021');"/>
    <hyperlink ref="C471" r:id="rId21" display="240716000021" tooltip="http://www.mailmailexp.com/Logistics_Admin/javascript:openDetail('240716000021');"/>
    <hyperlink ref="C472" r:id="rId22" display="240716000029" tooltip="http://www.mailmailexp.com/Logistics_Admin/javascript:openDetail('240716000029');"/>
    <hyperlink ref="C473" r:id="rId23" display="240717000009" tooltip="http://www.mailmailexp.com/Logistics_Admin/javascript:openDetail('240717000009');"/>
    <hyperlink ref="C474" r:id="rId24" display="240717000011" tooltip="http://www.mailmailexp.com/Logistics_Admin/javascript:openDetail('240717000011');"/>
    <hyperlink ref="C475" r:id="rId25" display="240717000032" tooltip="http://www.mailmailexp.com/Logistics_Admin/javascript:openDetail('240717000032');"/>
    <hyperlink ref="C476" r:id="rId26" display="240711000003" tooltip="http://www.mailmailexp.com/Logistics_Admin/javascript:openDetail('240711000003');"/>
    <hyperlink ref="C477" r:id="rId27" display="240711000005" tooltip="http://www.mailmailexp.com/Logistics_Admin/javascript:openDetail('240711000005');"/>
    <hyperlink ref="C478" r:id="rId28" display="240711000008" tooltip="http://www.mailmailexp.com/Logistics_Admin/javascript:openDetail('240711000008');"/>
    <hyperlink ref="C479" r:id="rId29" display="240711000020" tooltip="http://www.mailmailexp.com/Logistics_Admin/javascript:openDetail('240711000020');"/>
    <hyperlink ref="C480" r:id="rId30" display="240712000006" tooltip="http://www.mailmailexp.com/Logistics_Admin/javascript:openDetail('240712000006');"/>
    <hyperlink ref="C481" r:id="rId31" display="240712000009" tooltip="http://www.mailmailexp.com/Logistics_Admin/javascript:openDetail('240712000009');"/>
    <hyperlink ref="C482" r:id="rId32" display="240712000011" tooltip="http://www.mailmailexp.com/Logistics_Admin/javascript:openDetail('240712000011');"/>
    <hyperlink ref="C483" r:id="rId33" display="240712000012" tooltip="http://www.mailmailexp.com/Logistics_Admin/javascript:openDetail('240712000012');"/>
    <hyperlink ref="C484" r:id="rId34" display="240712000013" tooltip="http://www.mailmailexp.com/Logistics_Admin/javascript:openDetail('240712000013');"/>
    <hyperlink ref="C485" r:id="rId35" display="240712000015" tooltip="http://www.mailmailexp.com/Logistics_Admin/javascript:openDetail('240712000015');"/>
    <hyperlink ref="C486" r:id="rId36" display="240712000029" tooltip="http://www.mailmailexp.com/Logistics_Admin/javascript:openDetail('240712000029');"/>
    <hyperlink ref="C487" r:id="rId37" display="240712000031" tooltip="http://www.mailmailexp.com/Logistics_Admin/javascript:openDetail('240712000031');"/>
    <hyperlink ref="C488" r:id="rId38" display="240712000032" tooltip="http://www.mailmailexp.com/Logistics_Admin/javascript:openDetail('240712000032');"/>
    <hyperlink ref="C489" r:id="rId39" display="240712000033" tooltip="http://www.mailmailexp.com/Logistics_Admin/javascript:openDetail('240712000033');"/>
    <hyperlink ref="C490" r:id="rId40" display="240712000034" tooltip="http://www.mailmailexp.com/Logistics_Admin/javascript:openDetail('240712000034');"/>
    <hyperlink ref="C491" r:id="rId41" display="240712000037" tooltip="http://www.mailmailexp.com/Logistics_Admin/javascript:openDetail('240712000037');"/>
    <hyperlink ref="C492" r:id="rId42" display="240713000001" tooltip="http://www.mailmailexp.com/Logistics_Admin/javascript:openDetail('240713000001');"/>
    <hyperlink ref="C493" r:id="rId43" display="240713000005" tooltip="http://www.mailmailexp.com/Logistics_Admin/javascript:openDetail('240713000005');"/>
    <hyperlink ref="C494" r:id="rId44" display="240713000012" tooltip="http://www.mailmailexp.com/Logistics_Admin/javascript:openDetail('240713000012');"/>
    <hyperlink ref="C495" r:id="rId45" display="240713000014" tooltip="http://www.mailmailexp.com/Logistics_Admin/javascript:openDetail('240713000014');"/>
    <hyperlink ref="C496" r:id="rId46" display="240714000004" tooltip="http://www.mailmailexp.com/Logistics_Admin/javascript:openDetail('240714000004');"/>
    <hyperlink ref="C497" r:id="rId47" display="240714000009" tooltip="http://www.mailmailexp.com/Logistics_Admin/javascript:openDetail('240714000009');"/>
    <hyperlink ref="C498" r:id="rId48" display="240715000005" tooltip="http://www.mailmailexp.com/Logistics_Admin/javascript:openDetail('240715000005');"/>
    <hyperlink ref="C499" r:id="rId49" display="240715000006" tooltip="http://www.mailmailexp.com/Logistics_Admin/javascript:openDetail('240715000006');"/>
    <hyperlink ref="C500" r:id="rId50" display="240715000012" tooltip="http://www.mailmailexp.com/Logistics_Admin/javascript:openDetail('240715000012');"/>
    <hyperlink ref="C501" r:id="rId51" display="240715000014" tooltip="http://www.mailmailexp.com/Logistics_Admin/javascript:openDetail('240715000014');"/>
    <hyperlink ref="C502" r:id="rId52" display="240715000015" tooltip="http://www.mailmailexp.com/Logistics_Admin/javascript:openDetail('240715000015');"/>
    <hyperlink ref="C503" r:id="rId53" display="240715000016" tooltip="http://www.mailmailexp.com/Logistics_Admin/javascript:openDetail('240715000016');"/>
    <hyperlink ref="C504" r:id="rId54" display="240715000019" tooltip="http://www.mailmailexp.com/Logistics_Admin/javascript:openDetail('240715000019');"/>
    <hyperlink ref="C505" r:id="rId55" display="240715000020" tooltip="http://www.mailmailexp.com/Logistics_Admin/javascript:openDetail('240715000020');"/>
    <hyperlink ref="C506" r:id="rId56" display="240715000025" tooltip="http://www.mailmailexp.com/Logistics_Admin/javascript:openDetail('240715000025');"/>
    <hyperlink ref="C507" r:id="rId57" display="240715000026" tooltip="http://www.mailmailexp.com/Logistics_Admin/javascript:openDetail('240715000026');"/>
    <hyperlink ref="C508" r:id="rId58" display="240715000027" tooltip="http://www.mailmailexp.com/Logistics_Admin/javascript:openDetail('240715000027');"/>
    <hyperlink ref="C509" r:id="rId59" display="240715000033" tooltip="http://www.mailmailexp.com/Logistics_Admin/javascript:openDetail('240715000033');"/>
    <hyperlink ref="C510" r:id="rId60" display="240715000035" tooltip="http://www.mailmailexp.com/Logistics_Admin/javascript:openDetail('240715000035');"/>
    <hyperlink ref="C511" r:id="rId61" display="240715000036" tooltip="http://www.mailmailexp.com/Logistics_Admin/javascript:openDetail('240715000036');"/>
    <hyperlink ref="C512" r:id="rId62" display="240715000040" tooltip="http://www.mailmailexp.com/Logistics_Admin/javascript:openDetail('240715000040');"/>
    <hyperlink ref="C513" r:id="rId63" display="240715000041" tooltip="http://www.mailmailexp.com/Logistics_Admin/javascript:openDetail('240715000041');"/>
    <hyperlink ref="C514" r:id="rId64" display="240715000045" tooltip="http://www.mailmailexp.com/Logistics_Admin/javascript:openDetail('240715000045');"/>
    <hyperlink ref="C515" r:id="rId65" display="240715000047" tooltip="http://www.mailmailexp.com/Logistics_Admin/javascript:openDetail('240715000047');"/>
    <hyperlink ref="C516" r:id="rId66" display="240715000050" tooltip="http://www.mailmailexp.com/Logistics_Admin/javascript:openDetail('240715000050');"/>
    <hyperlink ref="C517" r:id="rId67" display="240716000011" tooltip="http://www.mailmailexp.com/Logistics_Admin/javascript:openDetail('240716000011');"/>
    <hyperlink ref="C518" r:id="rId68" display="240716000012" tooltip="http://www.mailmailexp.com/Logistics_Admin/javascript:openDetail('240716000012');"/>
    <hyperlink ref="C519" r:id="rId69" display="240716000015" tooltip="http://www.mailmailexp.com/Logistics_Admin/javascript:openDetail('240716000015');"/>
    <hyperlink ref="C520" r:id="rId70" display="240716000018" tooltip="http://www.mailmailexp.com/Logistics_Admin/javascript:openDetail('240716000018');"/>
    <hyperlink ref="C521" r:id="rId71" display="240716000026" tooltip="http://www.mailmailexp.com/Logistics_Admin/javascript:openDetail('240716000026');"/>
    <hyperlink ref="C522" r:id="rId72" display="240716000030" tooltip="http://www.mailmailexp.com/Logistics_Admin/javascript:openDetail('240716000030');"/>
    <hyperlink ref="C523" r:id="rId73" display="240710000032" tooltip="http://www.mailmailexp.com/Logistics_Admin/javascript:openDetail('240710000032');"/>
    <hyperlink ref="C524" r:id="rId74" display="240711000013" tooltip="http://www.mailmailexp.com/Logistics_Admin/javascript:openDetail('240711000013');"/>
    <hyperlink ref="C525" r:id="rId75" display="240711000025" tooltip="http://www.mailmailexp.com/Logistics_Admin/javascript:openDetail('240711000025');"/>
    <hyperlink ref="C526" r:id="rId76" display="240712000008" tooltip="http://www.mailmailexp.com/Logistics_Admin/javascript:openDetail('240712000008');"/>
    <hyperlink ref="C527" r:id="rId77" display="240712000018" tooltip="http://www.mailmailexp.com/Logistics_Admin/javascript:openDetail('240712000018');"/>
    <hyperlink ref="C528" r:id="rId78" display="240712000024" tooltip="http://www.mailmailexp.com/Logistics_Admin/javascript:openDetail('240712000024');"/>
    <hyperlink ref="C529" r:id="rId79" display="240712000027" tooltip="http://www.mailmailexp.com/Logistics_Admin/javascript:openDetail('240712000027');"/>
    <hyperlink ref="C530" r:id="rId80" display="240712000028" tooltip="http://www.mailmailexp.com/Logistics_Admin/javascript:openDetail('240712000028');"/>
    <hyperlink ref="C531" r:id="rId81" display="240712000039" tooltip="http://www.mailmailexp.com/Logistics_Admin/javascript:openDetail('240712000039');"/>
    <hyperlink ref="C532" r:id="rId82" display="240712000042" tooltip="http://www.mailmailexp.com/Logistics_Admin/javascript:openDetail('240712000042');"/>
    <hyperlink ref="C533" r:id="rId83" display="240712000046" tooltip="http://www.mailmailexp.com/Logistics_Admin/javascript:openDetail('240712000046');"/>
    <hyperlink ref="C534" r:id="rId84" display="240713000004" tooltip="http://www.mailmailexp.com/Logistics_Admin/javascript:openDetail('240713000004');"/>
    <hyperlink ref="C535" r:id="rId85" display="240713000007" tooltip="http://www.mailmailexp.com/Logistics_Admin/javascript:openDetail('240713000007');"/>
    <hyperlink ref="C536" r:id="rId86" display="240713000009" tooltip="http://www.mailmailexp.com/Logistics_Admin/javascript:openDetail('240713000009');"/>
    <hyperlink ref="C537" r:id="rId87" display="240713000011" tooltip="http://www.mailmailexp.com/Logistics_Admin/javascript:openDetail('240713000011');"/>
    <hyperlink ref="C538" r:id="rId88" display="240714000002" tooltip="http://www.mailmailexp.com/Logistics_Admin/javascript:openDetail('240714000002');"/>
    <hyperlink ref="C539" r:id="rId89" display="240714000003" tooltip="http://www.mailmailexp.com/Logistics_Admin/javascript:openDetail('240714000003');"/>
    <hyperlink ref="C540" r:id="rId90" display="240714000008" tooltip="http://www.mailmailexp.com/Logistics_Admin/javascript:openDetail('240714000008');"/>
    <hyperlink ref="C541" r:id="rId91" display="240715000003" tooltip="http://www.mailmailexp.com/Logistics_Admin/javascript:openDetail('240715000003');"/>
    <hyperlink ref="C542" r:id="rId92" display="240715000004" tooltip="http://www.mailmailexp.com/Logistics_Admin/javascript:openDetail('240715000004');"/>
    <hyperlink ref="C543" r:id="rId93" display="240715000009" tooltip="http://www.mailmailexp.com/Logistics_Admin/javascript:openDetail('240715000009');"/>
    <hyperlink ref="C544" r:id="rId94" display="240715000013" tooltip="http://www.mailmailexp.com/Logistics_Admin/javascript:openDetail('240715000013');"/>
    <hyperlink ref="C545" r:id="rId95" display="240715000017" tooltip="http://www.mailmailexp.com/Logistics_Admin/javascript:openDetail('240715000017');"/>
    <hyperlink ref="C546" r:id="rId96" display="240715000022" tooltip="http://www.mailmailexp.com/Logistics_Admin/javascript:openDetail('240715000022');"/>
    <hyperlink ref="C547" r:id="rId97" display="240715000030" tooltip="http://www.mailmailexp.com/Logistics_Admin/javascript:openDetail('240715000030');"/>
    <hyperlink ref="C548" r:id="rId98" display="240715000031" tooltip="http://www.mailmailexp.com/Logistics_Admin/javascript:openDetail('240715000031');"/>
    <hyperlink ref="C549" r:id="rId99" display="240715000034" tooltip="http://www.mailmailexp.com/Logistics_Admin/javascript:openDetail('240715000034');"/>
    <hyperlink ref="C550" r:id="rId100" display="240715000046" tooltip="http://www.mailmailexp.com/Logistics_Admin/javascript:openDetail('240715000046');"/>
    <hyperlink ref="C551" r:id="rId101" display="240716000002" tooltip="http://www.mailmailexp.com/Logistics_Admin/javascript:openDetail('240716000002');"/>
    <hyperlink ref="C552" r:id="rId102" display="240716000003" tooltip="http://www.mailmailexp.com/Logistics_Admin/javascript:openDetail('240716000003');"/>
    <hyperlink ref="C553" r:id="rId103" display="240716000004" tooltip="http://www.mailmailexp.com/Logistics_Admin/javascript:openDetail('240716000004');"/>
    <hyperlink ref="C554" r:id="rId104" display="240716000013" tooltip="http://www.mailmailexp.com/Logistics_Admin/javascript:openDetail('240716000013');"/>
    <hyperlink ref="C555" r:id="rId105" display="240716000017" tooltip="http://www.mailmailexp.com/Logistics_Admin/javascript:openDetail('240716000017');"/>
    <hyperlink ref="C556" r:id="rId106" display="240716000027" tooltip="http://www.mailmailexp.com/Logistics_Admin/javascript:openDetail('240716000027');"/>
    <hyperlink ref="C557" r:id="rId107" display="240716000028" tooltip="http://www.mailmailexp.com/Logistics_Admin/javascript:openDetail('240716000028');"/>
    <hyperlink ref="C558" r:id="rId108" display="240716000031" tooltip="http://www.mailmailexp.com/Logistics_Admin/javascript:openDetail('240716000031');"/>
    <hyperlink ref="C559" r:id="rId109" display="240716000035" tooltip="http://www.mailmailexp.com/Logistics_Admin/javascript:openDetail('240716000035');"/>
    <hyperlink ref="C560" r:id="rId110" display="240716000038" tooltip="http://www.mailmailexp.com/Logistics_Admin/javascript:openDetail('240716000038');"/>
    <hyperlink ref="C561" r:id="rId111" display="240716000040" tooltip="http://www.mailmailexp.com/Logistics_Admin/javascript:openDetail('240716000040');"/>
    <hyperlink ref="C562" r:id="rId112" display="240717000004" tooltip="http://www.mailmailexp.com/Logistics_Admin/javascript:openDetail('240717000004');"/>
    <hyperlink ref="C563" r:id="rId113" display="240717000014" tooltip="http://www.mailmailexp.com/Logistics_Admin/javascript:openDetail('240717000014');"/>
    <hyperlink ref="C564" r:id="rId114" display="240717000022" tooltip="http://www.mailmailexp.com/Logistics_Admin/javascript:openDetail('240717000022');"/>
    <hyperlink ref="C565" r:id="rId115" display="240717000023" tooltip="http://www.mailmailexp.com/Logistics_Admin/javascript:openDetail('240717000023');"/>
    <hyperlink ref="C566" r:id="rId116" display="240717000030" tooltip="http://www.mailmailexp.com/Logistics_Admin/javascript:openDetail('240717000030');"/>
    <hyperlink ref="C567" r:id="rId117" display="240717000033" tooltip="http://www.mailmailexp.com/Logistics_Admin/javascript:openDetail('240717000033');"/>
    <hyperlink ref="C568" r:id="rId118" display="240718000042" tooltip="http://www.mailmailexp.com/Logistics_Admin/javascript:openDetail('240718000042');"/>
    <hyperlink ref="C569" r:id="rId119" display="240717000018" tooltip="http://www.mailmailexp.com/Logistics_Admin/javascript:openDetail('240717000018');"/>
    <hyperlink ref="C570" r:id="rId120" display="240717000019" tooltip="http://www.mailmailexp.com/Logistics_Admin/javascript:openDetail('240717000019');"/>
    <hyperlink ref="C571" r:id="rId121" display="240717000027" tooltip="http://www.mailmailexp.com/Logistics_Admin/javascript:openDetail('240717000027');"/>
    <hyperlink ref="C572" r:id="rId122" display="240717000036" tooltip="http://www.mailmailexp.com/Logistics_Admin/javascript:openDetail('240717000036');"/>
    <hyperlink ref="C573" r:id="rId123" display="240718000006" tooltip="http://www.mailmailexp.com/Logistics_Admin/javascript:openDetail('240718000006');"/>
    <hyperlink ref="C574" r:id="rId124" display="240718000009" tooltip="http://www.mailmailexp.com/Logistics_Admin/javascript:openDetail('240718000009');"/>
    <hyperlink ref="C575" r:id="rId125" display="240718000010" tooltip="http://www.mailmailexp.com/Logistics_Admin/javascript:openDetail('240718000010');"/>
    <hyperlink ref="C576" r:id="rId126" display="240718000017" tooltip="http://www.mailmailexp.com/Logistics_Admin/javascript:openDetail('240718000017');"/>
    <hyperlink ref="C577" r:id="rId127" display="240718000021" tooltip="http://www.mailmailexp.com/Logistics_Admin/javascript:openDetail('240718000021');"/>
    <hyperlink ref="C578" r:id="rId128" display="240718000032" tooltip="http://www.mailmailexp.com/Logistics_Admin/javascript:openDetail('240718000032');"/>
    <hyperlink ref="C579" r:id="rId129" display="240719000004" tooltip="http://www.mailmailexp.com/Logistics_Admin/javascript:openDetail('240719000004');"/>
    <hyperlink ref="C580" r:id="rId130" display="240719000030" tooltip="http://www.mailmailexp.com/Logistics_Admin/javascript:openDetail('240719000030');"/>
    <hyperlink ref="C581" r:id="rId131" display="240719000031" tooltip="http://www.mailmailexp.com/Logistics_Admin/javascript:openDetail('240719000031');"/>
    <hyperlink ref="C582" r:id="rId132" display="240718000003" tooltip="http://www.mailmailexp.com/Logistics_Admin/javascript:openDetail('240718000003');"/>
    <hyperlink ref="C583" r:id="rId133" display="240719000012" tooltip="http://www.mailmailexp.com/Logistics_Admin/javascript:openDetail('240719000012');"/>
    <hyperlink ref="C584" r:id="rId134" display="240719000016" tooltip="http://www.mailmailexp.com/Logistics_Admin/javascript:openDetail('240719000016');"/>
    <hyperlink ref="C585" r:id="rId135" display="240719000027" tooltip="http://www.mailmailexp.com/Logistics_Admin/javascript:openDetail('240719000027');"/>
    <hyperlink ref="C586" r:id="rId136" display="240720000013" tooltip="http://www.mailmailexp.com/Logistics_Admin/javascript:openDetail('240720000013');"/>
    <hyperlink ref="C587" r:id="rId137" display="240721000003" tooltip="http://www.mailmailexp.com/Logistics_Admin/javascript:openDetail('240721000003');"/>
    <hyperlink ref="C588" r:id="rId138" display="240719000022" tooltip="http://www.mailmailexp.com/Logistics_Admin/javascript:openDetail('240719000022');"/>
    <hyperlink ref="C589" r:id="rId139" display="240719000023" tooltip="http://www.mailmailexp.com/Logistics_Admin/javascript:openDetail('240719000023');"/>
    <hyperlink ref="C590" r:id="rId140" display="240719000033" tooltip="http://www.mailmailexp.com/Logistics_Admin/javascript:openDetail('240719000033');"/>
    <hyperlink ref="C591" r:id="rId141" display="240720000016" tooltip="http://www.mailmailexp.com/Logistics_Admin/javascript:openDetail('240720000016');"/>
    <hyperlink ref="C592" r:id="rId142" display="240722000009" tooltip="http://www.mailmailexp.com/Logistics_Admin/javascript:openDetail('240722000009');"/>
    <hyperlink ref="C593" r:id="rId143" display="240722000010" tooltip="http://www.mailmailexp.com/Logistics_Admin/javascript:openDetail('240722000010');"/>
    <hyperlink ref="C594" r:id="rId144" display="240722000030" tooltip="http://www.mailmailexp.com/Logistics_Admin/javascript:openDetail('240722000030');"/>
  </hyperlink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2020-12-16T06:30:00Z</dcterms:created>
  <dcterms:modified xsi:type="dcterms:W3CDTF">2025-07-21T08:59:25Z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