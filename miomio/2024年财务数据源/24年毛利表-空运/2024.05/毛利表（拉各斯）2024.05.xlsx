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Sheet1!$A$2:$AE$1159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9" authorId="0">
      <text>
        <r>
          <rPr>
            <sz val="9"/>
            <rFont val="宋体"/>
            <charset val="134"/>
          </rPr>
          <t xml:space="preserve">预付300转到付USD41.55
</t>
        </r>
      </text>
    </comment>
    <comment ref="M14" authorId="0">
      <text>
        <r>
          <rPr>
            <sz val="9"/>
            <rFont val="宋体"/>
            <charset val="134"/>
          </rPr>
          <t xml:space="preserve">预付184.8转到付USD25.59
</t>
        </r>
      </text>
    </comment>
    <comment ref="M28" authorId="0">
      <text>
        <r>
          <rPr>
            <sz val="9"/>
            <rFont val="宋体"/>
            <charset val="134"/>
          </rPr>
          <t xml:space="preserve">预付63.8转到付USD8.83
</t>
        </r>
      </text>
    </comment>
    <comment ref="M31" authorId="0">
      <text>
        <r>
          <rPr>
            <sz val="9"/>
            <rFont val="宋体"/>
            <charset val="134"/>
          </rPr>
          <t xml:space="preserve">预付460.35转到付USD63.76.
</t>
        </r>
      </text>
    </comment>
    <comment ref="M32" authorId="0">
      <text>
        <r>
          <rPr>
            <sz val="9"/>
            <rFont val="宋体"/>
            <charset val="134"/>
          </rPr>
          <t>预付297.6转到付USD41.21.</t>
        </r>
      </text>
    </comment>
    <comment ref="M38" authorId="0">
      <text>
        <r>
          <rPr>
            <sz val="9"/>
            <rFont val="宋体"/>
            <charset val="134"/>
          </rPr>
          <t xml:space="preserve">预付1870转到付USD259.
</t>
        </r>
      </text>
    </comment>
    <comment ref="M58" authorId="0">
      <text>
        <r>
          <rPr>
            <sz val="9"/>
            <rFont val="宋体"/>
            <charset val="134"/>
          </rPr>
          <t xml:space="preserve">预付973转到付USD134.76
.
</t>
        </r>
      </text>
    </comment>
    <comment ref="M60" authorId="0">
      <text>
        <r>
          <rPr>
            <sz val="9"/>
            <rFont val="宋体"/>
            <charset val="134"/>
          </rPr>
          <t xml:space="preserve">预付486转到付USD67.31
</t>
        </r>
      </text>
    </comment>
    <comment ref="M63" authorId="0">
      <text>
        <r>
          <rPr>
            <sz val="9"/>
            <rFont val="宋体"/>
            <charset val="134"/>
          </rPr>
          <t xml:space="preserve">预付6345.5转到付USD878.87.
</t>
        </r>
      </text>
    </comment>
    <comment ref="M73" authorId="0">
      <text>
        <r>
          <rPr>
            <sz val="9"/>
            <rFont val="宋体"/>
            <charset val="134"/>
          </rPr>
          <t xml:space="preserve">预付94.5转到付USD13.08.
</t>
        </r>
      </text>
    </comment>
    <comment ref="M75" authorId="0">
      <text>
        <r>
          <rPr>
            <sz val="9"/>
            <rFont val="宋体"/>
            <charset val="134"/>
          </rPr>
          <t xml:space="preserve">预付64转到付USD8.86.
</t>
        </r>
      </text>
    </comment>
    <comment ref="I87" authorId="0">
      <text>
        <r>
          <rPr>
            <sz val="9"/>
            <rFont val="宋体"/>
            <charset val="134"/>
          </rPr>
          <t>货物有部分损坏，要赔偿客户1170元。在24042500004这个单的运费1192.5元抵扣.实收22.5.12月的毛利表已更改。</t>
        </r>
      </text>
    </comment>
    <comment ref="M89" authorId="0">
      <text>
        <r>
          <rPr>
            <sz val="9"/>
            <rFont val="宋体"/>
            <charset val="134"/>
          </rPr>
          <t xml:space="preserve">预付58转到位USD8.03
</t>
        </r>
      </text>
    </comment>
    <comment ref="M90" authorId="0">
      <text>
        <r>
          <rPr>
            <sz val="9"/>
            <rFont val="宋体"/>
            <charset val="134"/>
          </rPr>
          <t xml:space="preserve">预付2782转到付USD383.31.
</t>
        </r>
      </text>
    </comment>
    <comment ref="M93" authorId="0">
      <text>
        <r>
          <rPr>
            <sz val="9"/>
            <rFont val="宋体"/>
            <charset val="134"/>
          </rPr>
          <t xml:space="preserve">预付13224转到付USD1829.04.
</t>
        </r>
      </text>
    </comment>
    <comment ref="M94" authorId="0">
      <text>
        <r>
          <rPr>
            <sz val="9"/>
            <rFont val="宋体"/>
            <charset val="134"/>
          </rPr>
          <t xml:space="preserve">预付4452转到付USD616.62.
</t>
        </r>
      </text>
    </comment>
    <comment ref="M97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M98" authorId="0">
      <text>
        <r>
          <rPr>
            <sz val="9"/>
            <rFont val="宋体"/>
            <charset val="134"/>
          </rPr>
          <t xml:space="preserve">预付12700转到付USD1759.
</t>
        </r>
      </text>
    </comment>
    <comment ref="M100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M107" authorId="0">
      <text>
        <r>
          <rPr>
            <sz val="9"/>
            <rFont val="宋体"/>
            <charset val="134"/>
          </rPr>
          <t xml:space="preserve">预付783转到付USD108.29.
</t>
        </r>
      </text>
    </comment>
    <comment ref="M111" authorId="0">
      <text>
        <r>
          <rPr>
            <sz val="9"/>
            <rFont val="宋体"/>
            <charset val="134"/>
          </rPr>
          <t xml:space="preserve">预付291转到付USD61110.
</t>
        </r>
      </text>
    </comment>
    <comment ref="M112" authorId="0">
      <text>
        <r>
          <rPr>
            <sz val="9"/>
            <rFont val="宋体"/>
            <charset val="134"/>
          </rPr>
          <t xml:space="preserve">预付901转到付USD124.79.
</t>
        </r>
      </text>
    </comment>
    <comment ref="M116" authorId="0">
      <text>
        <r>
          <rPr>
            <sz val="9"/>
            <rFont val="宋体"/>
            <charset val="134"/>
          </rPr>
          <t xml:space="preserve">预付2320转到付USD321.32.
</t>
        </r>
      </text>
    </comment>
    <comment ref="M121" authorId="0">
      <text>
        <r>
          <rPr>
            <sz val="9"/>
            <rFont val="宋体"/>
            <charset val="134"/>
          </rPr>
          <t xml:space="preserve">预付1351.5转到付USD187.18.
</t>
        </r>
      </text>
    </comment>
    <comment ref="M122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M127" authorId="0">
      <text>
        <r>
          <rPr>
            <sz val="9"/>
            <rFont val="宋体"/>
            <charset val="134"/>
          </rPr>
          <t xml:space="preserve">预付17890转到付USD2477.83
</t>
        </r>
      </text>
    </comment>
    <comment ref="M140" authorId="0">
      <text>
        <r>
          <rPr>
            <sz val="9"/>
            <rFont val="宋体"/>
            <charset val="134"/>
          </rPr>
          <t xml:space="preserve">坏账处理
</t>
        </r>
      </text>
    </comment>
    <comment ref="M156" authorId="0">
      <text>
        <r>
          <rPr>
            <sz val="9"/>
            <rFont val="宋体"/>
            <charset val="134"/>
          </rPr>
          <t xml:space="preserve">预付435转到付USD60.24
</t>
        </r>
      </text>
    </comment>
    <comment ref="M158" authorId="0">
      <text>
        <r>
          <rPr>
            <sz val="9"/>
            <rFont val="宋体"/>
            <charset val="134"/>
          </rPr>
          <t xml:space="preserve">预付768.5转到付USD106.44
</t>
        </r>
      </text>
    </comment>
    <comment ref="M159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M166" authorId="0">
      <text>
        <r>
          <rPr>
            <sz val="9"/>
            <rFont val="宋体"/>
            <charset val="134"/>
          </rPr>
          <t xml:space="preserve">坏账处理
</t>
        </r>
      </text>
    </comment>
    <comment ref="M172" authorId="0">
      <text>
        <r>
          <rPr>
            <sz val="9"/>
            <rFont val="宋体"/>
            <charset val="134"/>
          </rPr>
          <t xml:space="preserve">预付6384.35转到付USD884.25
</t>
        </r>
      </text>
    </comment>
    <comment ref="I179" authorId="0">
      <text>
        <r>
          <rPr>
            <sz val="9"/>
            <rFont val="宋体"/>
            <charset val="134"/>
          </rPr>
          <t xml:space="preserve">金额是1550元，微信转800元，其他750元预付转到付。
</t>
        </r>
      </text>
    </comment>
    <comment ref="M179" authorId="0">
      <text>
        <r>
          <rPr>
            <sz val="9"/>
            <rFont val="宋体"/>
            <charset val="134"/>
          </rPr>
          <t xml:space="preserve">预付750转到付USD103.87
</t>
        </r>
      </text>
    </comment>
    <comment ref="I184" authorId="0">
      <text>
        <r>
          <rPr>
            <sz val="9"/>
            <rFont val="宋体"/>
            <charset val="134"/>
          </rPr>
          <t xml:space="preserve">到付USD216.2转预付1578.26.
</t>
        </r>
      </text>
    </comment>
    <comment ref="M187" authorId="0">
      <text>
        <r>
          <rPr>
            <sz val="9"/>
            <rFont val="宋体"/>
            <charset val="134"/>
          </rPr>
          <t xml:space="preserve">预付85.4转到付USD11.82.
</t>
        </r>
      </text>
    </comment>
    <comment ref="M188" authorId="0">
      <text>
        <r>
          <rPr>
            <sz val="9"/>
            <rFont val="宋体"/>
            <charset val="134"/>
          </rPr>
          <t xml:space="preserve">预付2102.5转到付USD291.2
</t>
        </r>
      </text>
    </comment>
    <comment ref="M197" authorId="0">
      <text>
        <r>
          <rPr>
            <sz val="9"/>
            <rFont val="宋体"/>
            <charset val="134"/>
          </rPr>
          <t xml:space="preserve">预付120转到付USD16.62
</t>
        </r>
      </text>
    </comment>
    <comment ref="M215" authorId="0">
      <text>
        <r>
          <rPr>
            <b/>
            <sz val="9"/>
            <rFont val="宋体"/>
            <charset val="134"/>
          </rPr>
          <t>预付195转到付USD27.</t>
        </r>
      </text>
    </comment>
    <comment ref="M219" authorId="0">
      <text>
        <r>
          <rPr>
            <sz val="9"/>
            <rFont val="宋体"/>
            <charset val="134"/>
          </rPr>
          <t xml:space="preserve">预付1769转到付USD245.01
</t>
        </r>
      </text>
    </comment>
    <comment ref="M223" authorId="0">
      <text>
        <r>
          <rPr>
            <sz val="9"/>
            <rFont val="宋体"/>
            <charset val="134"/>
          </rPr>
          <t xml:space="preserve">预付5055转到付USD700.13
</t>
        </r>
      </text>
    </comment>
    <comment ref="M225" authorId="0">
      <text>
        <r>
          <rPr>
            <sz val="9"/>
            <rFont val="宋体"/>
            <charset val="134"/>
          </rPr>
          <t xml:space="preserve">预付996转到付USD137.95.
</t>
        </r>
      </text>
    </comment>
    <comment ref="M228" authorId="0">
      <text>
        <r>
          <rPr>
            <sz val="9"/>
            <rFont val="宋体"/>
            <charset val="134"/>
          </rPr>
          <t xml:space="preserve">预付4060转到付USD562.32.
</t>
        </r>
      </text>
    </comment>
    <comment ref="M229" authorId="0">
      <text>
        <r>
          <rPr>
            <sz val="9"/>
            <rFont val="宋体"/>
            <charset val="134"/>
          </rPr>
          <t xml:space="preserve">预付1696转到付USD234.9
</t>
        </r>
      </text>
    </comment>
    <comment ref="M232" authorId="0">
      <text>
        <r>
          <rPr>
            <sz val="9"/>
            <rFont val="宋体"/>
            <charset val="134"/>
          </rPr>
          <t xml:space="preserve">预付322转到付USD44.59.
</t>
        </r>
      </text>
    </comment>
    <comment ref="M240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M245" authorId="0">
      <text>
        <r>
          <rPr>
            <sz val="9"/>
            <rFont val="宋体"/>
            <charset val="134"/>
          </rPr>
          <t xml:space="preserve">预付1643转到付USD227.56.
</t>
        </r>
      </text>
    </comment>
    <comment ref="M253" authorId="0">
      <text>
        <r>
          <rPr>
            <sz val="9"/>
            <rFont val="宋体"/>
            <charset val="134"/>
          </rPr>
          <t xml:space="preserve">预付473.5转到付USD65.58.
</t>
        </r>
      </text>
    </comment>
    <comment ref="M255" authorId="0">
      <text>
        <r>
          <rPr>
            <sz val="9"/>
            <rFont val="宋体"/>
            <charset val="134"/>
          </rPr>
          <t xml:space="preserve">预付1802转到付USD249.58.
</t>
        </r>
      </text>
    </comment>
    <comment ref="M257" authorId="0">
      <text>
        <r>
          <rPr>
            <sz val="9"/>
            <rFont val="宋体"/>
            <charset val="134"/>
          </rPr>
          <t xml:space="preserve">预付10073转到付USD1395.15.
</t>
        </r>
      </text>
    </comment>
    <comment ref="M262" authorId="0">
      <text>
        <r>
          <rPr>
            <sz val="9"/>
            <rFont val="宋体"/>
            <charset val="134"/>
          </rPr>
          <t xml:space="preserve">预付363.5转到付USD50.34
</t>
        </r>
      </text>
    </comment>
    <comment ref="M264" authorId="0">
      <text>
        <r>
          <rPr>
            <sz val="9"/>
            <rFont val="宋体"/>
            <charset val="134"/>
          </rPr>
          <t xml:space="preserve">预付344.5转到付USD47.71.
</t>
        </r>
      </text>
    </comment>
    <comment ref="M267" authorId="0">
      <text>
        <r>
          <rPr>
            <b/>
            <sz val="9"/>
            <rFont val="宋体"/>
            <charset val="134"/>
          </rPr>
          <t>预付738.5转到付USD102.28.:</t>
        </r>
        <r>
          <rPr>
            <sz val="9"/>
            <rFont val="宋体"/>
            <charset val="134"/>
          </rPr>
          <t xml:space="preserve">
</t>
        </r>
      </text>
    </comment>
    <comment ref="M270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M276" authorId="0">
      <text>
        <r>
          <rPr>
            <sz val="9"/>
            <rFont val="宋体"/>
            <charset val="134"/>
          </rPr>
          <t xml:space="preserve">预付2097.5转到付USD290.51
</t>
        </r>
      </text>
    </comment>
    <comment ref="M289" authorId="0">
      <text>
        <r>
          <rPr>
            <sz val="9"/>
            <rFont val="宋体"/>
            <charset val="134"/>
          </rPr>
          <t xml:space="preserve">预付2080转到付USD288.08.
</t>
        </r>
      </text>
    </comment>
    <comment ref="M301" authorId="0">
      <text>
        <r>
          <rPr>
            <sz val="9"/>
            <rFont val="宋体"/>
            <charset val="134"/>
          </rPr>
          <t xml:space="preserve">预付439.2转到付USD60.83.
</t>
        </r>
      </text>
    </comment>
    <comment ref="M302" authorId="0">
      <text>
        <r>
          <rPr>
            <sz val="9"/>
            <rFont val="宋体"/>
            <charset val="134"/>
          </rPr>
          <t>预付1156.1转到付USD160.12.</t>
        </r>
      </text>
    </comment>
    <comment ref="M305" authorId="0">
      <text>
        <r>
          <rPr>
            <sz val="9"/>
            <rFont val="宋体"/>
            <charset val="134"/>
          </rPr>
          <t>预付85.4转到付USD11.82.</t>
        </r>
      </text>
    </comment>
    <comment ref="M320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M321" authorId="0">
      <text>
        <r>
          <rPr>
            <sz val="9"/>
            <rFont val="宋体"/>
            <charset val="134"/>
          </rPr>
          <t xml:space="preserve">预付248转到付USD34.34.
</t>
        </r>
      </text>
    </comment>
    <comment ref="M332" authorId="0">
      <text>
        <r>
          <rPr>
            <sz val="9"/>
            <rFont val="宋体"/>
            <charset val="134"/>
          </rPr>
          <t xml:space="preserve">预付165转到付USD22.85.
</t>
        </r>
      </text>
    </comment>
    <comment ref="M335" authorId="0">
      <text>
        <r>
          <rPr>
            <sz val="9"/>
            <rFont val="宋体"/>
            <charset val="134"/>
          </rPr>
          <t xml:space="preserve">预付1140转到付USD157.89.
</t>
        </r>
      </text>
    </comment>
    <comment ref="M336" authorId="0">
      <text>
        <r>
          <rPr>
            <sz val="9"/>
            <rFont val="宋体"/>
            <charset val="134"/>
          </rPr>
          <t xml:space="preserve">预付1246转到付USD172.57.
</t>
        </r>
      </text>
    </comment>
    <comment ref="M356" authorId="0">
      <text>
        <r>
          <rPr>
            <sz val="9"/>
            <rFont val="宋体"/>
            <charset val="134"/>
          </rPr>
          <t xml:space="preserve">预付1984转到付USD274.79.
</t>
        </r>
      </text>
    </comment>
    <comment ref="M359" authorId="0">
      <text>
        <r>
          <rPr>
            <sz val="9"/>
            <rFont val="宋体"/>
            <charset val="134"/>
          </rPr>
          <t xml:space="preserve">预付67.1转到付USD9.29
</t>
        </r>
      </text>
    </comment>
    <comment ref="M366" authorId="0">
      <text>
        <r>
          <rPr>
            <sz val="9"/>
            <rFont val="宋体"/>
            <charset val="134"/>
          </rPr>
          <t xml:space="preserve">预付85.4转到付USD11.82
</t>
        </r>
      </text>
    </comment>
    <comment ref="I375" authorId="0">
      <text>
        <r>
          <rPr>
            <sz val="9"/>
            <rFont val="宋体"/>
            <charset val="134"/>
          </rPr>
          <t xml:space="preserve">到付USD53转预付385.
</t>
        </r>
      </text>
    </comment>
    <comment ref="M381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M387" authorId="0">
      <text>
        <r>
          <rPr>
            <sz val="9"/>
            <rFont val="宋体"/>
            <charset val="134"/>
          </rPr>
          <t xml:space="preserve">预付207.2转到付USD28.69.
</t>
        </r>
      </text>
    </comment>
    <comment ref="M393" authorId="0">
      <text>
        <r>
          <rPr>
            <sz val="9"/>
            <rFont val="宋体"/>
            <charset val="134"/>
          </rPr>
          <t xml:space="preserve">预付1665转到付SD230.6.
</t>
        </r>
      </text>
    </comment>
    <comment ref="M404" authorId="0">
      <text>
        <r>
          <rPr>
            <sz val="9"/>
            <rFont val="宋体"/>
            <charset val="134"/>
          </rPr>
          <t xml:space="preserve">预付140转至USD19.39.
</t>
        </r>
      </text>
    </comment>
    <comment ref="M408" authorId="0">
      <text>
        <r>
          <rPr>
            <sz val="9"/>
            <rFont val="宋体"/>
            <charset val="134"/>
          </rPr>
          <t xml:space="preserve">预付10209转到付USD1413.98.
</t>
        </r>
      </text>
    </comment>
    <comment ref="M428" authorId="0">
      <text>
        <r>
          <rPr>
            <sz val="9"/>
            <rFont val="宋体"/>
            <charset val="134"/>
          </rPr>
          <t xml:space="preserve">预付115转到付USD15.92.
</t>
        </r>
      </text>
    </comment>
    <comment ref="M431" authorId="0">
      <text>
        <r>
          <rPr>
            <sz val="9"/>
            <rFont val="宋体"/>
            <charset val="134"/>
          </rPr>
          <t xml:space="preserve">预付119转到付USD16.48.
</t>
        </r>
      </text>
    </comment>
    <comment ref="M434" authorId="0">
      <text>
        <r>
          <rPr>
            <sz val="9"/>
            <rFont val="宋体"/>
            <charset val="134"/>
          </rPr>
          <t xml:space="preserve">预付7453转到付USD1032.27.
</t>
        </r>
      </text>
    </comment>
    <comment ref="M436" authorId="0">
      <text>
        <r>
          <rPr>
            <sz val="9"/>
            <rFont val="宋体"/>
            <charset val="134"/>
          </rPr>
          <t xml:space="preserve">预付502转到付USD69.52.
</t>
        </r>
      </text>
    </comment>
    <comment ref="M438" authorId="0">
      <text>
        <r>
          <rPr>
            <sz val="9"/>
            <rFont val="宋体"/>
            <charset val="134"/>
          </rPr>
          <t xml:space="preserve">预付1914转到付USD265.09.
</t>
        </r>
      </text>
    </comment>
    <comment ref="M441" authorId="0">
      <text>
        <r>
          <rPr>
            <sz val="9"/>
            <rFont val="宋体"/>
            <charset val="134"/>
          </rPr>
          <t xml:space="preserve">预付1033.5转到位USD143.14.
</t>
        </r>
      </text>
    </comment>
    <comment ref="M452" authorId="0">
      <text>
        <r>
          <rPr>
            <sz val="9"/>
            <rFont val="宋体"/>
            <charset val="134"/>
          </rPr>
          <t xml:space="preserve">预付5789.6转到付USD801.88
</t>
        </r>
      </text>
    </comment>
    <comment ref="M457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M459" authorId="0">
      <text>
        <r>
          <rPr>
            <sz val="9"/>
            <rFont val="宋体"/>
            <charset val="134"/>
          </rPr>
          <t>预付1131转到付USD156.64.</t>
        </r>
      </text>
    </comment>
    <comment ref="M460" authorId="0">
      <text>
        <r>
          <rPr>
            <sz val="9"/>
            <rFont val="宋体"/>
            <charset val="134"/>
          </rPr>
          <t xml:space="preserve">预付662.5转到付USD91.75.
</t>
        </r>
      </text>
    </comment>
    <comment ref="M461" authorId="0">
      <text>
        <r>
          <rPr>
            <sz val="9"/>
            <rFont val="宋体"/>
            <charset val="134"/>
          </rPr>
          <t xml:space="preserve">预付1457.5转到付USD201.86.
</t>
        </r>
      </text>
    </comment>
    <comment ref="M463" authorId="0">
      <text>
        <r>
          <rPr>
            <sz val="9"/>
            <rFont val="宋体"/>
            <charset val="134"/>
          </rPr>
          <t xml:space="preserve">预付2040.5转到付USD282.61.
</t>
        </r>
      </text>
    </comment>
    <comment ref="M473" authorId="0">
      <text>
        <r>
          <rPr>
            <sz val="9"/>
            <rFont val="宋体"/>
            <charset val="134"/>
          </rPr>
          <t xml:space="preserve">预付742转到付USD102.77.
</t>
        </r>
      </text>
    </comment>
    <comment ref="M474" authorId="0">
      <text>
        <r>
          <rPr>
            <sz val="9"/>
            <rFont val="宋体"/>
            <charset val="134"/>
          </rPr>
          <t>预付106转到付USD14.68</t>
        </r>
      </text>
    </comment>
    <comment ref="M475" authorId="0">
      <text>
        <r>
          <rPr>
            <sz val="9"/>
            <rFont val="宋体"/>
            <charset val="134"/>
          </rPr>
          <t xml:space="preserve">预付15283转到付USD2116.75
</t>
        </r>
      </text>
    </comment>
    <comment ref="M479" authorId="0">
      <text>
        <r>
          <rPr>
            <sz val="9"/>
            <rFont val="宋体"/>
            <charset val="134"/>
          </rPr>
          <t>预付1861转到付USD257.75.</t>
        </r>
      </text>
    </comment>
    <comment ref="M480" authorId="0">
      <text>
        <r>
          <rPr>
            <sz val="9"/>
            <rFont val="宋体"/>
            <charset val="134"/>
          </rPr>
          <t xml:space="preserve">预付611转到付USD84.5.
</t>
        </r>
      </text>
    </comment>
    <comment ref="M485" authorId="0">
      <text>
        <r>
          <rPr>
            <sz val="9"/>
            <rFont val="宋体"/>
            <charset val="134"/>
          </rPr>
          <t xml:space="preserve">预付2947.5转到付USD408.24.
</t>
        </r>
      </text>
    </comment>
    <comment ref="M493" authorId="0">
      <text>
        <r>
          <rPr>
            <sz val="9"/>
            <rFont val="宋体"/>
            <charset val="134"/>
          </rPr>
          <t xml:space="preserve">预付2697转到付USD373.54.
</t>
        </r>
      </text>
    </comment>
    <comment ref="I496" authorId="0">
      <text>
        <r>
          <rPr>
            <b/>
            <sz val="9"/>
            <rFont val="宋体"/>
            <charset val="134"/>
          </rPr>
          <t>31/5支付宝支付多收运费540元.</t>
        </r>
        <r>
          <rPr>
            <sz val="9"/>
            <rFont val="宋体"/>
            <charset val="134"/>
          </rPr>
          <t xml:space="preserve">
</t>
        </r>
      </text>
    </comment>
    <comment ref="M498" authorId="0">
      <text>
        <r>
          <rPr>
            <sz val="9"/>
            <rFont val="宋体"/>
            <charset val="134"/>
          </rPr>
          <t xml:space="preserve">预付95转到付USD13.15.
</t>
        </r>
      </text>
    </comment>
    <comment ref="M499" authorId="0">
      <text>
        <r>
          <rPr>
            <sz val="9"/>
            <rFont val="宋体"/>
            <charset val="134"/>
          </rPr>
          <t xml:space="preserve">预付4057.5转到付USD561.98.
</t>
        </r>
      </text>
    </comment>
    <comment ref="M506" authorId="0">
      <text>
        <r>
          <rPr>
            <sz val="9"/>
            <rFont val="宋体"/>
            <charset val="134"/>
          </rPr>
          <t xml:space="preserve">预付264转到付USD36.56
</t>
        </r>
      </text>
    </comment>
    <comment ref="M509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M511" authorId="0">
      <text>
        <r>
          <rPr>
            <sz val="9"/>
            <rFont val="宋体"/>
            <charset val="134"/>
          </rPr>
          <t xml:space="preserve">预付377转到付USD52.21.
</t>
        </r>
      </text>
    </comment>
    <comment ref="M512" authorId="0">
      <text>
        <r>
          <rPr>
            <sz val="9"/>
            <rFont val="宋体"/>
            <charset val="134"/>
          </rPr>
          <t xml:space="preserve">预付1421转到付USD196.81.
</t>
        </r>
      </text>
    </comment>
    <comment ref="I517" authorId="0">
      <text>
        <r>
          <rPr>
            <sz val="9"/>
            <rFont val="宋体"/>
            <charset val="134"/>
          </rPr>
          <t xml:space="preserve">到付USD472.25转预付3432.
</t>
        </r>
      </text>
    </comment>
    <comment ref="M532" authorId="0">
      <text>
        <r>
          <rPr>
            <sz val="9"/>
            <rFont val="宋体"/>
            <charset val="134"/>
          </rPr>
          <t xml:space="preserve">预付12667转到付USD1754.43.
</t>
        </r>
      </text>
    </comment>
    <comment ref="M544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M546" authorId="0">
      <text>
        <r>
          <rPr>
            <sz val="9"/>
            <rFont val="宋体"/>
            <charset val="134"/>
          </rPr>
          <t xml:space="preserve">预付1500转到付USD207.75.
</t>
        </r>
      </text>
    </comment>
    <comment ref="M549" authorId="0">
      <text>
        <r>
          <rPr>
            <sz val="9"/>
            <rFont val="宋体"/>
            <charset val="134"/>
          </rPr>
          <t xml:space="preserve">预付400转到付USD55.40.
</t>
        </r>
      </text>
    </comment>
    <comment ref="M565" authorId="0">
      <text>
        <r>
          <rPr>
            <sz val="9"/>
            <rFont val="宋体"/>
            <charset val="134"/>
          </rPr>
          <t xml:space="preserve">预付622转到付USD86.14
</t>
        </r>
      </text>
    </comment>
    <comment ref="M570" authorId="0">
      <text>
        <r>
          <rPr>
            <sz val="9"/>
            <rFont val="宋体"/>
            <charset val="134"/>
          </rPr>
          <t>预付430转到付USD59.55.</t>
        </r>
      </text>
    </comment>
    <comment ref="I573" authorId="0">
      <text>
        <r>
          <rPr>
            <sz val="9"/>
            <rFont val="宋体"/>
            <charset val="134"/>
          </rPr>
          <t xml:space="preserve">到付USD13.16转预付95.
</t>
        </r>
      </text>
    </comment>
    <comment ref="M579" authorId="0">
      <text>
        <r>
          <rPr>
            <sz val="9"/>
            <rFont val="宋体"/>
            <charset val="134"/>
          </rPr>
          <t xml:space="preserve">预付617转到付USD85.45.
</t>
        </r>
      </text>
    </comment>
    <comment ref="M588" authorId="0">
      <text>
        <r>
          <rPr>
            <sz val="9"/>
            <rFont val="宋体"/>
            <charset val="134"/>
          </rPr>
          <t xml:space="preserve">预付162.8转到位SD22.54
</t>
        </r>
      </text>
    </comment>
    <comment ref="M589" authorId="0">
      <text>
        <r>
          <rPr>
            <sz val="9"/>
            <rFont val="宋体"/>
            <charset val="134"/>
          </rPr>
          <t xml:space="preserve">预付520.85转到付USD72.13.
</t>
        </r>
      </text>
    </comment>
    <comment ref="M591" authorId="0">
      <text>
        <r>
          <rPr>
            <sz val="9"/>
            <rFont val="宋体"/>
            <charset val="134"/>
          </rPr>
          <t xml:space="preserve">预付476.3转到付USD65.96.
</t>
        </r>
      </text>
    </comment>
    <comment ref="M604" authorId="0">
      <text>
        <r>
          <rPr>
            <sz val="9"/>
            <rFont val="宋体"/>
            <charset val="134"/>
          </rPr>
          <t xml:space="preserve">预付513转到付USD71.05.
</t>
        </r>
      </text>
    </comment>
    <comment ref="M605" authorId="0">
      <text>
        <r>
          <rPr>
            <sz val="9"/>
            <rFont val="宋体"/>
            <charset val="134"/>
          </rPr>
          <t xml:space="preserve">预付58转到付USD8.03.
</t>
        </r>
      </text>
    </comment>
    <comment ref="I606" authorId="0">
      <text>
        <r>
          <rPr>
            <b/>
            <sz val="9"/>
            <rFont val="宋体"/>
            <charset val="134"/>
          </rPr>
          <t>1/7兴业收到16811.2 8/7结清</t>
        </r>
      </text>
    </comment>
    <comment ref="M608" authorId="0">
      <text>
        <r>
          <rPr>
            <sz val="9"/>
            <rFont val="宋体"/>
            <charset val="134"/>
          </rPr>
          <t>预付1035.1转到付USD143.36</t>
        </r>
      </text>
    </comment>
    <comment ref="M612" authorId="0">
      <text>
        <r>
          <rPr>
            <sz val="9"/>
            <rFont val="宋体"/>
            <charset val="134"/>
          </rPr>
          <t xml:space="preserve">预付1247.95转到付USD172.84.
</t>
        </r>
      </text>
    </comment>
    <comment ref="M623" authorId="0">
      <text>
        <r>
          <rPr>
            <sz val="9"/>
            <rFont val="宋体"/>
            <charset val="134"/>
          </rPr>
          <t xml:space="preserve">预付460.35转到付USD63.76
</t>
        </r>
      </text>
    </comment>
    <comment ref="I629" authorId="0">
      <text>
        <r>
          <rPr>
            <sz val="9"/>
            <rFont val="宋体"/>
            <charset val="134"/>
          </rPr>
          <t xml:space="preserve">到付USD100.8转预付730.
</t>
        </r>
      </text>
    </comment>
    <comment ref="M638" authorId="0">
      <text>
        <r>
          <rPr>
            <sz val="9"/>
            <rFont val="宋体"/>
            <charset val="134"/>
          </rPr>
          <t xml:space="preserve">预付1354.5转到付USD187.6
</t>
        </r>
      </text>
    </comment>
    <comment ref="M646" authorId="0">
      <text>
        <r>
          <rPr>
            <sz val="9"/>
            <rFont val="宋体"/>
            <charset val="134"/>
          </rPr>
          <t xml:space="preserve">预付644.05转到付USD89.08.
</t>
        </r>
      </text>
    </comment>
    <comment ref="M650" authorId="0">
      <text>
        <r>
          <rPr>
            <sz val="9"/>
            <rFont val="宋体"/>
            <charset val="134"/>
          </rPr>
          <t>预付10540转到付USD1459.83</t>
        </r>
      </text>
    </comment>
    <comment ref="M663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M664" authorId="0">
      <text>
        <r>
          <rPr>
            <sz val="9"/>
            <rFont val="宋体"/>
            <charset val="134"/>
          </rPr>
          <t xml:space="preserve">预付583.5转到付USD80.81.
</t>
        </r>
      </text>
    </comment>
    <comment ref="M666" authorId="0">
      <text>
        <r>
          <rPr>
            <sz val="9"/>
            <rFont val="宋体"/>
            <charset val="134"/>
          </rPr>
          <t xml:space="preserve">预付2233转到付USD309.27.
</t>
        </r>
      </text>
    </comment>
    <comment ref="M668" authorId="0">
      <text>
        <r>
          <rPr>
            <sz val="9"/>
            <rFont val="宋体"/>
            <charset val="134"/>
          </rPr>
          <t xml:space="preserve">预付61转到付USD8.44.
</t>
        </r>
      </text>
    </comment>
    <comment ref="M671" authorId="0">
      <text>
        <r>
          <rPr>
            <sz val="9"/>
            <rFont val="宋体"/>
            <charset val="134"/>
          </rPr>
          <t xml:space="preserve">预付2419.5转到付USD335.11.
</t>
        </r>
      </text>
    </comment>
    <comment ref="M681" authorId="0">
      <text>
        <r>
          <rPr>
            <sz val="9"/>
            <rFont val="宋体"/>
            <charset val="134"/>
          </rPr>
          <t xml:space="preserve">预付14000转到付USD1939.05.
</t>
        </r>
      </text>
    </comment>
    <comment ref="M683" authorId="0">
      <text>
        <r>
          <rPr>
            <sz val="9"/>
            <rFont val="宋体"/>
            <charset val="134"/>
          </rPr>
          <t xml:space="preserve">预付185.5转到付USD25.69.
</t>
        </r>
      </text>
    </comment>
    <comment ref="M686" authorId="0">
      <text>
        <r>
          <rPr>
            <sz val="9"/>
            <rFont val="宋体"/>
            <charset val="134"/>
          </rPr>
          <t xml:space="preserve">预付90转到付USD12.46.
</t>
        </r>
      </text>
    </comment>
    <comment ref="M690" authorId="0">
      <text>
        <r>
          <rPr>
            <sz val="9"/>
            <rFont val="宋体"/>
            <charset val="134"/>
          </rPr>
          <t xml:space="preserve">预付921转到付USD127.56.
</t>
        </r>
      </text>
    </comment>
    <comment ref="M692" authorId="0">
      <text>
        <r>
          <rPr>
            <sz val="9"/>
            <rFont val="宋体"/>
            <charset val="134"/>
          </rPr>
          <t xml:space="preserve">预付88650转到付USD12278.39.
</t>
        </r>
      </text>
    </comment>
    <comment ref="M710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M713" authorId="0">
      <text>
        <r>
          <rPr>
            <sz val="9"/>
            <rFont val="宋体"/>
            <charset val="134"/>
          </rPr>
          <t xml:space="preserve">预付690转到付USD95.56.
</t>
        </r>
      </text>
    </comment>
    <comment ref="M718" authorId="0">
      <text>
        <r>
          <rPr>
            <sz val="9"/>
            <rFont val="宋体"/>
            <charset val="134"/>
          </rPr>
          <t xml:space="preserve">预付928转到付USD128.53
</t>
        </r>
      </text>
    </comment>
    <comment ref="M726" authorId="0">
      <text>
        <r>
          <rPr>
            <sz val="9"/>
            <rFont val="宋体"/>
            <charset val="134"/>
          </rPr>
          <t xml:space="preserve">预付258.5转到付USD35.8.
</t>
        </r>
      </text>
    </comment>
    <comment ref="M728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M734" authorId="0">
      <text>
        <r>
          <rPr>
            <sz val="9"/>
            <rFont val="宋体"/>
            <charset val="134"/>
          </rPr>
          <t xml:space="preserve">预付630转到付USD87.25.
</t>
        </r>
      </text>
    </comment>
    <comment ref="M736" authorId="0">
      <text>
        <r>
          <rPr>
            <sz val="9"/>
            <rFont val="宋体"/>
            <charset val="134"/>
          </rPr>
          <t xml:space="preserve">预付2070转到付USD287.6.
</t>
        </r>
      </text>
    </comment>
    <comment ref="M738" authorId="0">
      <text>
        <r>
          <rPr>
            <sz val="9"/>
            <rFont val="宋体"/>
            <charset val="134"/>
          </rPr>
          <t xml:space="preserve">预付490.6转到付USD67.95.
</t>
        </r>
      </text>
    </comment>
    <comment ref="M739" authorId="0">
      <text>
        <r>
          <rPr>
            <sz val="9"/>
            <rFont val="宋体"/>
            <charset val="134"/>
          </rPr>
          <t xml:space="preserve">预付1534转到付USD212.46.
</t>
        </r>
      </text>
    </comment>
    <comment ref="M741" authorId="0">
      <text>
        <r>
          <rPr>
            <sz val="9"/>
            <rFont val="宋体"/>
            <charset val="134"/>
          </rPr>
          <t xml:space="preserve">预付412.5转到付USD57.13.
</t>
        </r>
      </text>
    </comment>
    <comment ref="M749" authorId="0">
      <text>
        <r>
          <rPr>
            <sz val="9"/>
            <rFont val="宋体"/>
            <charset val="134"/>
          </rPr>
          <t xml:space="preserve">预付1344转到位USD186.14
</t>
        </r>
      </text>
    </comment>
    <comment ref="M753" authorId="0">
      <text>
        <r>
          <rPr>
            <sz val="9"/>
            <rFont val="宋体"/>
            <charset val="134"/>
          </rPr>
          <t xml:space="preserve">预付10933转到付USD1514.26.
</t>
        </r>
      </text>
    </comment>
    <comment ref="M758" authorId="0">
      <text>
        <r>
          <rPr>
            <sz val="9"/>
            <rFont val="宋体"/>
            <charset val="134"/>
          </rPr>
          <t xml:space="preserve">预付477转到付USD66.06.
</t>
        </r>
      </text>
    </comment>
    <comment ref="M759" authorId="0">
      <text>
        <r>
          <rPr>
            <sz val="9"/>
            <rFont val="宋体"/>
            <charset val="134"/>
          </rPr>
          <t xml:space="preserve">预付2252.5转到付USD311.98.
</t>
        </r>
      </text>
    </comment>
    <comment ref="M764" authorId="0">
      <text>
        <r>
          <rPr>
            <sz val="9"/>
            <rFont val="宋体"/>
            <charset val="134"/>
          </rPr>
          <t xml:space="preserve">预付596转到付USD82.54.
</t>
        </r>
      </text>
    </comment>
    <comment ref="M766" authorId="0">
      <text>
        <r>
          <rPr>
            <sz val="9"/>
            <rFont val="宋体"/>
            <charset val="134"/>
          </rPr>
          <t xml:space="preserve">预付2968转到付USD411.08.
</t>
        </r>
      </text>
    </comment>
    <comment ref="M773" authorId="0">
      <text>
        <r>
          <rPr>
            <sz val="9"/>
            <rFont val="宋体"/>
            <charset val="134"/>
          </rPr>
          <t xml:space="preserve">预付13059转到付USD1808.72.
</t>
        </r>
      </text>
    </comment>
    <comment ref="M780" authorId="0">
      <text>
        <r>
          <rPr>
            <sz val="9"/>
            <rFont val="宋体"/>
            <charset val="134"/>
          </rPr>
          <t xml:space="preserve">预付1401转到付USD194.04
</t>
        </r>
      </text>
    </comment>
    <comment ref="I786" authorId="0">
      <text>
        <r>
          <rPr>
            <sz val="9"/>
            <rFont val="宋体"/>
            <charset val="134"/>
          </rPr>
          <t xml:space="preserve">到付USD9.4转预付67.
</t>
        </r>
      </text>
    </comment>
    <comment ref="M796" authorId="0">
      <text>
        <r>
          <rPr>
            <sz val="9"/>
            <rFont val="宋体"/>
            <charset val="134"/>
          </rPr>
          <t xml:space="preserve">预付206转USD28.53.
</t>
        </r>
      </text>
    </comment>
    <comment ref="M799" authorId="0">
      <text>
        <r>
          <rPr>
            <sz val="9"/>
            <rFont val="宋体"/>
            <charset val="134"/>
          </rPr>
          <t xml:space="preserve">预付418.5到位USD57.96.
</t>
        </r>
      </text>
    </comment>
    <comment ref="M806" authorId="0">
      <text>
        <r>
          <rPr>
            <sz val="9"/>
            <rFont val="宋体"/>
            <charset val="134"/>
          </rPr>
          <t xml:space="preserve">预付556.5转到付USD77.07
</t>
        </r>
      </text>
    </comment>
    <comment ref="M807" authorId="0">
      <text>
        <r>
          <rPr>
            <sz val="9"/>
            <rFont val="宋体"/>
            <charset val="134"/>
          </rPr>
          <t xml:space="preserve">预付8851转到付USD1225.9.
</t>
        </r>
      </text>
    </comment>
    <comment ref="M809" authorId="0">
      <text>
        <r>
          <rPr>
            <sz val="9"/>
            <rFont val="宋体"/>
            <charset val="134"/>
          </rPr>
          <t xml:space="preserve">预付11571转到付USD1602.63.
</t>
        </r>
      </text>
    </comment>
    <comment ref="M813" authorId="0">
      <text>
        <r>
          <rPr>
            <sz val="9"/>
            <rFont val="宋体"/>
            <charset val="134"/>
          </rPr>
          <t xml:space="preserve">预付206转到付USD28.53.
</t>
        </r>
      </text>
    </comment>
    <comment ref="M830" authorId="0">
      <text>
        <r>
          <rPr>
            <sz val="9"/>
            <rFont val="宋体"/>
            <charset val="134"/>
          </rPr>
          <t xml:space="preserve">预付230转到付USD31.85.
</t>
        </r>
      </text>
    </comment>
    <comment ref="M840" authorId="0">
      <text>
        <r>
          <rPr>
            <sz val="9"/>
            <rFont val="宋体"/>
            <charset val="134"/>
          </rPr>
          <t>预付2140转到付USD296.39.</t>
        </r>
      </text>
    </comment>
    <comment ref="M843" authorId="0">
      <text>
        <r>
          <rPr>
            <sz val="9"/>
            <rFont val="宋体"/>
            <charset val="134"/>
          </rPr>
          <t xml:space="preserve">预付145转到付USD20.08
</t>
        </r>
      </text>
    </comment>
    <comment ref="M847" authorId="0">
      <text>
        <r>
          <rPr>
            <sz val="9"/>
            <rFont val="宋体"/>
            <charset val="134"/>
          </rPr>
          <t xml:space="preserve">预付1060转到付USD146.81.
</t>
        </r>
      </text>
    </comment>
    <comment ref="M848" authorId="0">
      <text>
        <r>
          <rPr>
            <sz val="9"/>
            <rFont val="宋体"/>
            <charset val="134"/>
          </rPr>
          <t xml:space="preserve">预付678.5转到付USD93.97.
</t>
        </r>
      </text>
    </comment>
    <comment ref="M859" authorId="0">
      <text>
        <r>
          <rPr>
            <sz val="9"/>
            <rFont val="宋体"/>
            <charset val="134"/>
          </rPr>
          <t xml:space="preserve">预付870转到付USD120.49.
</t>
        </r>
      </text>
    </comment>
    <comment ref="I864" authorId="0">
      <text>
        <r>
          <rPr>
            <sz val="9"/>
            <rFont val="宋体"/>
            <charset val="134"/>
          </rPr>
          <t xml:space="preserve">收运费99元。货物丢失赔偿288.64元。实收运费-189.64元
</t>
        </r>
      </text>
    </comment>
    <comment ref="I866" authorId="0">
      <text>
        <r>
          <rPr>
            <sz val="9"/>
            <rFont val="宋体"/>
            <charset val="134"/>
          </rPr>
          <t xml:space="preserve">到付USD8.6转预付61.
</t>
        </r>
      </text>
    </comment>
    <comment ref="M867" authorId="0">
      <text>
        <r>
          <rPr>
            <sz val="9"/>
            <rFont val="宋体"/>
            <charset val="134"/>
          </rPr>
          <t xml:space="preserve">预付2822转到付USD390.85
</t>
        </r>
      </text>
    </comment>
    <comment ref="M869" authorId="0">
      <text>
        <r>
          <rPr>
            <sz val="9"/>
            <rFont val="宋体"/>
            <charset val="134"/>
          </rPr>
          <t xml:space="preserve">预付1272转到付USD176.17
</t>
        </r>
      </text>
    </comment>
    <comment ref="M875" authorId="0">
      <text>
        <r>
          <rPr>
            <sz val="9"/>
            <rFont val="宋体"/>
            <charset val="134"/>
          </rPr>
          <t xml:space="preserve">预付1421转到付USD196.95.
</t>
        </r>
      </text>
    </comment>
    <comment ref="M876" authorId="0">
      <text>
        <r>
          <rPr>
            <sz val="9"/>
            <rFont val="宋体"/>
            <charset val="134"/>
          </rPr>
          <t xml:space="preserve">预付5035转到付USD697.36.
</t>
        </r>
      </text>
    </comment>
    <comment ref="M877" authorId="0">
      <text>
        <r>
          <rPr>
            <sz val="9"/>
            <rFont val="宋体"/>
            <charset val="134"/>
          </rPr>
          <t xml:space="preserve">预付2517.5转到付USD348.68.
</t>
        </r>
      </text>
    </comment>
    <comment ref="M878" authorId="0">
      <text>
        <r>
          <rPr>
            <sz val="9"/>
            <rFont val="宋体"/>
            <charset val="134"/>
          </rPr>
          <t xml:space="preserve">预付1686转到付USD233.51.
</t>
        </r>
      </text>
    </comment>
    <comment ref="M887" authorId="0">
      <text>
        <r>
          <rPr>
            <sz val="9"/>
            <rFont val="宋体"/>
            <charset val="134"/>
          </rPr>
          <t xml:space="preserve">预付2552转到付USD353.46.
</t>
        </r>
      </text>
    </comment>
    <comment ref="M892" authorId="0">
      <text>
        <r>
          <rPr>
            <sz val="9"/>
            <rFont val="宋体"/>
            <charset val="134"/>
          </rPr>
          <t xml:space="preserve">预付3691.5转到付USD511.28.
</t>
        </r>
      </text>
    </comment>
    <comment ref="M893" authorId="0">
      <text>
        <r>
          <rPr>
            <sz val="9"/>
            <rFont val="宋体"/>
            <charset val="134"/>
          </rPr>
          <t xml:space="preserve">预付11875.5转到付USD1644.8.
</t>
        </r>
      </text>
    </comment>
    <comment ref="M896" authorId="0">
      <text>
        <r>
          <rPr>
            <sz val="9"/>
            <rFont val="宋体"/>
            <charset val="134"/>
          </rPr>
          <t xml:space="preserve">预付1298.5转到付USD179.84
</t>
        </r>
      </text>
    </comment>
    <comment ref="M897" authorId="0">
      <text>
        <r>
          <rPr>
            <sz val="9"/>
            <rFont val="宋体"/>
            <charset val="134"/>
          </rPr>
          <t xml:space="preserve">预付928转到付USD128.53.
</t>
        </r>
      </text>
    </comment>
    <comment ref="M898" authorId="0">
      <text>
        <r>
          <rPr>
            <sz val="9"/>
            <rFont val="宋体"/>
            <charset val="134"/>
          </rPr>
          <t xml:space="preserve">预付116转到付SD16.06.
</t>
        </r>
      </text>
    </comment>
    <comment ref="M901" authorId="0">
      <text>
        <r>
          <rPr>
            <sz val="9"/>
            <rFont val="宋体"/>
            <charset val="134"/>
          </rPr>
          <t>预付1439转到付USD199.3</t>
        </r>
      </text>
    </comment>
    <comment ref="M903" authorId="0">
      <text>
        <r>
          <rPr>
            <sz val="9"/>
            <rFont val="宋体"/>
            <charset val="134"/>
          </rPr>
          <t xml:space="preserve">预付528.5转到付USD73.19
</t>
        </r>
      </text>
    </comment>
    <comment ref="M907" authorId="0">
      <text>
        <r>
          <rPr>
            <sz val="9"/>
            <rFont val="宋体"/>
            <charset val="134"/>
          </rPr>
          <t xml:space="preserve">预付397.5转到付USD55.05
</t>
        </r>
      </text>
    </comment>
    <comment ref="M908" authorId="0">
      <text>
        <r>
          <rPr>
            <sz val="9"/>
            <rFont val="宋体"/>
            <charset val="134"/>
          </rPr>
          <t xml:space="preserve">预付16719.5转到付USD2315.72.
</t>
        </r>
      </text>
    </comment>
    <comment ref="M918" authorId="0">
      <text>
        <r>
          <rPr>
            <sz val="9"/>
            <rFont val="宋体"/>
            <charset val="134"/>
          </rPr>
          <t xml:space="preserve">预付1028.5转到付USD142.45.
</t>
        </r>
      </text>
    </comment>
    <comment ref="M920" authorId="0">
      <text>
        <r>
          <rPr>
            <sz val="9"/>
            <rFont val="宋体"/>
            <charset val="134"/>
          </rPr>
          <t xml:space="preserve">预付520.85转USD72.13.
</t>
        </r>
      </text>
    </comment>
    <comment ref="M922" authorId="0">
      <text>
        <r>
          <rPr>
            <sz val="9"/>
            <rFont val="宋体"/>
            <charset val="134"/>
          </rPr>
          <t xml:space="preserve">预付945转到位USD130.88.
</t>
        </r>
      </text>
    </comment>
    <comment ref="I928" authorId="0">
      <text>
        <r>
          <rPr>
            <sz val="9"/>
            <rFont val="宋体"/>
            <charset val="134"/>
          </rPr>
          <t xml:space="preserve">到付USD31.74转预付118.
</t>
        </r>
      </text>
    </comment>
    <comment ref="M935" authorId="0">
      <text>
        <r>
          <rPr>
            <sz val="9"/>
            <rFont val="宋体"/>
            <charset val="134"/>
          </rPr>
          <t xml:space="preserve">预付811.8转到付USD112.43.
</t>
        </r>
      </text>
    </comment>
    <comment ref="M940" authorId="0">
      <text>
        <r>
          <rPr>
            <sz val="9"/>
            <rFont val="宋体"/>
            <charset val="134"/>
          </rPr>
          <t xml:space="preserve">预付232转到付USD32.13.
</t>
        </r>
      </text>
    </comment>
    <comment ref="M945" authorId="0">
      <text>
        <r>
          <rPr>
            <sz val="9"/>
            <rFont val="宋体"/>
            <charset val="134"/>
          </rPr>
          <t xml:space="preserve">预付227转到付SD31.44.
</t>
        </r>
      </text>
    </comment>
    <comment ref="M948" authorId="0">
      <text>
        <r>
          <rPr>
            <sz val="9"/>
            <rFont val="宋体"/>
            <charset val="134"/>
          </rPr>
          <t xml:space="preserve">预付1035.1转到付USD143.36
</t>
        </r>
      </text>
    </comment>
    <comment ref="M953" authorId="0">
      <text>
        <r>
          <rPr>
            <sz val="9"/>
            <rFont val="宋体"/>
            <charset val="134"/>
          </rPr>
          <t xml:space="preserve">预付67.1转到付USD9.29.
</t>
        </r>
      </text>
    </comment>
    <comment ref="M957" authorId="0">
      <text>
        <r>
          <rPr>
            <sz val="9"/>
            <rFont val="宋体"/>
            <charset val="134"/>
          </rPr>
          <t xml:space="preserve">预付672.1转到付USD93.08.
</t>
        </r>
      </text>
    </comment>
    <comment ref="M959" authorId="0">
      <text>
        <r>
          <rPr>
            <sz val="9"/>
            <rFont val="宋体"/>
            <charset val="134"/>
          </rPr>
          <t xml:space="preserve">预付279转到付USD38.64.
</t>
        </r>
      </text>
    </comment>
    <comment ref="M965" authorId="0">
      <text>
        <r>
          <rPr>
            <sz val="9"/>
            <rFont val="宋体"/>
            <charset val="134"/>
          </rPr>
          <t xml:space="preserve">预付509.85转到付USD70.61.
</t>
        </r>
      </text>
    </comment>
    <comment ref="M970" authorId="0">
      <text>
        <r>
          <rPr>
            <sz val="9"/>
            <rFont val="宋体"/>
            <charset val="134"/>
          </rPr>
          <t xml:space="preserve">预付260转到付USD36.01
</t>
        </r>
      </text>
    </comment>
    <comment ref="M974" authorId="0">
      <text>
        <r>
          <rPr>
            <sz val="9"/>
            <rFont val="宋体"/>
            <charset val="134"/>
          </rPr>
          <t xml:space="preserve">预付1095.1转到付USD150.84.
</t>
        </r>
      </text>
    </comment>
    <comment ref="M982" authorId="0">
      <text>
        <r>
          <rPr>
            <sz val="9"/>
            <rFont val="宋体"/>
            <charset val="134"/>
          </rPr>
          <t xml:space="preserve">预付1320.55转到付USD182.9
</t>
        </r>
      </text>
    </comment>
    <comment ref="M992" authorId="0">
      <text>
        <r>
          <rPr>
            <sz val="9"/>
            <rFont val="宋体"/>
            <charset val="134"/>
          </rPr>
          <t xml:space="preserve">预付150转到付USD20.77
</t>
        </r>
      </text>
    </comment>
    <comment ref="M993" authorId="0">
      <text>
        <r>
          <rPr>
            <sz val="9"/>
            <rFont val="宋体"/>
            <charset val="134"/>
          </rPr>
          <t xml:space="preserve">预付148转到付USD20.49.
</t>
        </r>
      </text>
    </comment>
    <comment ref="M998" authorId="0">
      <text>
        <r>
          <rPr>
            <sz val="9"/>
            <rFont val="宋体"/>
            <charset val="134"/>
          </rPr>
          <t xml:space="preserve">预付158.4转到付USD21.93.
</t>
        </r>
      </text>
    </comment>
    <comment ref="M1005" authorId="0">
      <text>
        <r>
          <rPr>
            <sz val="9"/>
            <rFont val="宋体"/>
            <charset val="134"/>
          </rPr>
          <t xml:space="preserve">预付120转到付USD16.62.
</t>
        </r>
      </text>
    </comment>
    <comment ref="M1006" authorId="0">
      <text>
        <r>
          <rPr>
            <sz val="9"/>
            <rFont val="宋体"/>
            <charset val="134"/>
          </rPr>
          <t xml:space="preserve">预付1920转到付USD265.92.
</t>
        </r>
      </text>
    </comment>
    <comment ref="I1008" authorId="0">
      <text>
        <r>
          <rPr>
            <b/>
            <sz val="9"/>
            <rFont val="宋体"/>
            <charset val="134"/>
          </rPr>
          <t>21/8广州银行支付货物丢失赔偿3885元.</t>
        </r>
        <r>
          <rPr>
            <sz val="9"/>
            <rFont val="宋体"/>
            <charset val="134"/>
          </rPr>
          <t xml:space="preserve">
</t>
        </r>
      </text>
    </comment>
    <comment ref="M1020" authorId="0">
      <text>
        <r>
          <rPr>
            <sz val="9"/>
            <rFont val="宋体"/>
            <charset val="134"/>
          </rPr>
          <t xml:space="preserve">预付61转到付USD8.44
</t>
        </r>
      </text>
    </comment>
    <comment ref="M1021" authorId="0">
      <text>
        <r>
          <rPr>
            <sz val="9"/>
            <rFont val="宋体"/>
            <charset val="134"/>
          </rPr>
          <t xml:space="preserve">预付2532转到付USD350.69
</t>
        </r>
      </text>
    </comment>
    <comment ref="M1028" authorId="0">
      <text>
        <r>
          <rPr>
            <sz val="9"/>
            <rFont val="宋体"/>
            <charset val="134"/>
          </rPr>
          <t xml:space="preserve">预付463.5转到付USD64.19.
</t>
        </r>
      </text>
    </comment>
    <comment ref="M1033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M1034" authorId="0">
      <text>
        <r>
          <rPr>
            <sz val="9"/>
            <rFont val="宋体"/>
            <charset val="134"/>
          </rPr>
          <t xml:space="preserve">预付3014.5转到付USD417.52.
</t>
        </r>
      </text>
    </comment>
    <comment ref="I1035" authorId="0">
      <text>
        <r>
          <rPr>
            <sz val="9"/>
            <rFont val="宋体"/>
            <charset val="134"/>
          </rPr>
          <t xml:space="preserve">货物丢失，赔偿209元.
</t>
        </r>
      </text>
    </comment>
    <comment ref="M1035" authorId="0">
      <text>
        <r>
          <rPr>
            <sz val="9"/>
            <rFont val="宋体"/>
            <charset val="134"/>
          </rPr>
          <t xml:space="preserve">预付138转到付USD19.11
</t>
        </r>
      </text>
    </comment>
    <comment ref="M1036" authorId="0">
      <text>
        <r>
          <rPr>
            <sz val="9"/>
            <rFont val="宋体"/>
            <charset val="134"/>
          </rPr>
          <t xml:space="preserve">预付493转到付USD68.28.
</t>
        </r>
      </text>
    </comment>
    <comment ref="M1037" authorId="0">
      <text>
        <r>
          <rPr>
            <sz val="9"/>
            <rFont val="宋体"/>
            <charset val="134"/>
          </rPr>
          <t xml:space="preserve">预付53转到付USD7.34.
</t>
        </r>
      </text>
    </comment>
    <comment ref="M1040" authorId="0">
      <text>
        <r>
          <rPr>
            <sz val="9"/>
            <rFont val="宋体"/>
            <charset val="134"/>
          </rPr>
          <t xml:space="preserve">预付424转到位USD58.72.
</t>
        </r>
      </text>
    </comment>
    <comment ref="M1042" authorId="0">
      <text>
        <r>
          <rPr>
            <sz val="9"/>
            <rFont val="宋体"/>
            <charset val="134"/>
          </rPr>
          <t>预付256转到付SD35.45.</t>
        </r>
      </text>
    </comment>
    <comment ref="M1053" authorId="0">
      <text>
        <r>
          <rPr>
            <sz val="9"/>
            <rFont val="宋体"/>
            <charset val="134"/>
          </rPr>
          <t xml:space="preserve">预付291.5转USD40.37.
</t>
        </r>
      </text>
    </comment>
    <comment ref="M1054" authorId="0">
      <text>
        <r>
          <rPr>
            <sz val="9"/>
            <rFont val="宋体"/>
            <charset val="134"/>
          </rPr>
          <t xml:space="preserve">预付1404.5转到付USD194.52.
</t>
        </r>
      </text>
    </comment>
    <comment ref="M1057" authorId="0">
      <text>
        <r>
          <rPr>
            <sz val="9"/>
            <rFont val="宋体"/>
            <charset val="134"/>
          </rPr>
          <t xml:space="preserve">预付1139.5转到付USD157.82.
</t>
        </r>
      </text>
    </comment>
    <comment ref="M1058" authorId="0">
      <text>
        <r>
          <rPr>
            <sz val="9"/>
            <rFont val="宋体"/>
            <charset val="134"/>
          </rPr>
          <t xml:space="preserve">预付3460转到付USD479.22.
</t>
        </r>
      </text>
    </comment>
    <comment ref="M1066" authorId="0">
      <text>
        <r>
          <rPr>
            <sz val="9"/>
            <rFont val="宋体"/>
            <charset val="134"/>
          </rPr>
          <t>预付172转到付SD23.82.</t>
        </r>
      </text>
    </comment>
    <comment ref="M1069" authorId="0">
      <text>
        <r>
          <rPr>
            <sz val="9"/>
            <rFont val="宋体"/>
            <charset val="134"/>
          </rPr>
          <t xml:space="preserve">预付53900转到付USD7465.38.
</t>
        </r>
      </text>
    </comment>
    <comment ref="M1080" authorId="0">
      <text>
        <r>
          <rPr>
            <sz val="9"/>
            <rFont val="宋体"/>
            <charset val="134"/>
          </rPr>
          <t xml:space="preserve">预付611转到付USD84.62.
</t>
        </r>
      </text>
    </comment>
    <comment ref="M1082" authorId="0">
      <text>
        <r>
          <rPr>
            <sz val="9"/>
            <rFont val="宋体"/>
            <charset val="134"/>
          </rPr>
          <t xml:space="preserve">预付2781.5转到付USD385.24.
</t>
        </r>
      </text>
    </comment>
    <comment ref="M1085" authorId="0">
      <text>
        <r>
          <rPr>
            <sz val="9"/>
            <rFont val="宋体"/>
            <charset val="134"/>
          </rPr>
          <t xml:space="preserve">预付132.5转到付USD18.35.
</t>
        </r>
      </text>
    </comment>
    <comment ref="M1088" authorId="0">
      <text>
        <r>
          <rPr>
            <sz val="9"/>
            <rFont val="宋体"/>
            <charset val="134"/>
          </rPr>
          <t>预付716转到付USD99.16.</t>
        </r>
      </text>
    </comment>
    <comment ref="M1089" authorId="0">
      <text>
        <r>
          <rPr>
            <sz val="9"/>
            <rFont val="宋体"/>
            <charset val="134"/>
          </rPr>
          <t xml:space="preserve">预付235转到付USD32.54.
</t>
        </r>
      </text>
    </comment>
    <comment ref="M1092" authorId="0">
      <text>
        <r>
          <rPr>
            <sz val="9"/>
            <rFont val="宋体"/>
            <charset val="134"/>
          </rPr>
          <t xml:space="preserve">预付212转到付USD29.36
</t>
        </r>
      </text>
    </comment>
    <comment ref="M1096" authorId="0">
      <text>
        <r>
          <rPr>
            <sz val="9"/>
            <rFont val="宋体"/>
            <charset val="134"/>
          </rPr>
          <t xml:space="preserve">预付264转到付USD36.56.
</t>
        </r>
      </text>
    </comment>
    <comment ref="M1102" authorId="0">
      <text>
        <r>
          <rPr>
            <sz val="9"/>
            <rFont val="宋体"/>
            <charset val="134"/>
          </rPr>
          <t>预付163转到付USD22.71.</t>
        </r>
      </text>
    </comment>
    <comment ref="M1105" authorId="0">
      <text>
        <r>
          <rPr>
            <sz val="9"/>
            <rFont val="宋体"/>
            <charset val="134"/>
          </rPr>
          <t>预付424转到付USD58.72.</t>
        </r>
      </text>
    </comment>
    <comment ref="M1112" authorId="0">
      <text>
        <r>
          <rPr>
            <sz val="9"/>
            <rFont val="宋体"/>
            <charset val="134"/>
          </rPr>
          <t xml:space="preserve">预付5406转到付USD748.75.
</t>
        </r>
      </text>
    </comment>
    <comment ref="M1113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M1118" authorId="0">
      <text>
        <r>
          <rPr>
            <sz val="9"/>
            <rFont val="宋体"/>
            <charset val="134"/>
          </rPr>
          <t xml:space="preserve">预付406.7转到付USD56.32
</t>
        </r>
      </text>
    </comment>
    <comment ref="M1121" authorId="0">
      <text>
        <r>
          <rPr>
            <sz val="9"/>
            <rFont val="宋体"/>
            <charset val="134"/>
          </rPr>
          <t xml:space="preserve">预付4084.61转到付USD565.73.
</t>
        </r>
      </text>
    </comment>
    <comment ref="M1123" authorId="0">
      <text>
        <r>
          <rPr>
            <sz val="9"/>
            <rFont val="宋体"/>
            <charset val="134"/>
          </rPr>
          <t xml:space="preserve">预付556.5转到付USD77.07.
</t>
        </r>
      </text>
    </comment>
    <comment ref="M1124" authorId="0">
      <text>
        <r>
          <rPr>
            <sz val="9"/>
            <rFont val="宋体"/>
            <charset val="134"/>
          </rPr>
          <t xml:space="preserve">预付106转到付SD14.68.
</t>
        </r>
      </text>
    </comment>
    <comment ref="M1126" authorId="0">
      <text>
        <r>
          <rPr>
            <sz val="9"/>
            <rFont val="宋体"/>
            <charset val="134"/>
          </rPr>
          <t xml:space="preserve">预付979.57转到付USD135.67.
</t>
        </r>
      </text>
    </comment>
    <comment ref="M1128" authorId="0">
      <text>
        <r>
          <rPr>
            <sz val="9"/>
            <rFont val="宋体"/>
            <charset val="134"/>
          </rPr>
          <t xml:space="preserve">预付99转到付USD13.71.
</t>
        </r>
      </text>
    </comment>
    <comment ref="M1137" authorId="0">
      <text>
        <r>
          <rPr>
            <sz val="9"/>
            <rFont val="宋体"/>
            <charset val="134"/>
          </rPr>
          <t xml:space="preserve">预付255转到付SD35.31.
</t>
        </r>
      </text>
    </comment>
  </commentList>
</comments>
</file>

<file path=xl/sharedStrings.xml><?xml version="1.0" encoding="utf-8"?>
<sst xmlns="http://schemas.openxmlformats.org/spreadsheetml/2006/main" count="3601" uniqueCount="643">
  <si>
    <t>2024年05月份LOS毛利表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</si>
  <si>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</si>
  <si>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</si>
  <si>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</si>
  <si>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</si>
  <si>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</si>
  <si>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</si>
  <si>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</si>
  <si>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</si>
  <si>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</si>
  <si>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</si>
  <si>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</si>
  <si>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</si>
  <si>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</si>
  <si>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</si>
  <si>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</si>
  <si>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</si>
  <si>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</si>
  <si>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</si>
  <si>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</si>
  <si>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</si>
  <si>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</si>
  <si>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</si>
  <si>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</si>
  <si>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</si>
  <si>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</si>
  <si>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</si>
  <si>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</si>
  <si>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</si>
  <si>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</si>
  <si>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</si>
  <si>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</si>
  <si>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</si>
  <si>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</si>
  <si>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</si>
  <si>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JOB050323</t>
  </si>
  <si>
    <t>COLL003928</t>
  </si>
  <si>
    <t>朱小飞</t>
  </si>
  <si>
    <t>Isabel Zhu</t>
  </si>
  <si>
    <t>Kelly He</t>
  </si>
  <si>
    <t>富姐</t>
  </si>
  <si>
    <t>吕沛霖</t>
  </si>
  <si>
    <t>喵喵速运-Layne</t>
  </si>
  <si>
    <t>CHENG ZHONG</t>
  </si>
  <si>
    <t>黄颖</t>
  </si>
  <si>
    <t>ying</t>
  </si>
  <si>
    <t>leoyang</t>
  </si>
  <si>
    <t>Bella</t>
  </si>
  <si>
    <t>Bella Chan</t>
  </si>
  <si>
    <t>shangyafei</t>
  </si>
  <si>
    <t>weng zixian</t>
  </si>
  <si>
    <t>IVAN</t>
  </si>
  <si>
    <t>YEMI</t>
  </si>
  <si>
    <t>huang peng</t>
  </si>
  <si>
    <t>Sam.Pao</t>
  </si>
  <si>
    <t>SHI</t>
  </si>
  <si>
    <t>JOB050324</t>
  </si>
  <si>
    <t>COLL003920</t>
  </si>
  <si>
    <t>Brian</t>
  </si>
  <si>
    <t>顶派</t>
  </si>
  <si>
    <t>GONG</t>
  </si>
  <si>
    <t>Ajibola Awojobi</t>
  </si>
  <si>
    <t>Japhia 于佳慧</t>
  </si>
  <si>
    <t>chenhuaping</t>
  </si>
  <si>
    <t>罗伟健</t>
  </si>
  <si>
    <t>MailMail速运-演员</t>
  </si>
  <si>
    <t>Steve</t>
  </si>
  <si>
    <t>kasle</t>
  </si>
  <si>
    <t>Effiong Okonessien</t>
  </si>
  <si>
    <t>Kola</t>
  </si>
  <si>
    <t>Allen Answer</t>
  </si>
  <si>
    <t>ShanShan</t>
  </si>
  <si>
    <t>Mr Atama CSO</t>
  </si>
  <si>
    <t>Engr. Kola Balogun</t>
  </si>
  <si>
    <t>zhang yong chong</t>
  </si>
  <si>
    <t>MR HU</t>
  </si>
  <si>
    <t>ChenGaoHong</t>
  </si>
  <si>
    <t>fast hours DM NIGHT LED</t>
  </si>
  <si>
    <t>Lukas</t>
  </si>
  <si>
    <t>SHD-Egbe</t>
  </si>
  <si>
    <t>Mr. Jiang</t>
  </si>
  <si>
    <t>曾永平</t>
  </si>
  <si>
    <t>Kaylee Tan</t>
  </si>
  <si>
    <t>EY</t>
  </si>
  <si>
    <t>Gao Yang</t>
  </si>
  <si>
    <t>袁安医生 Dr. Andy</t>
  </si>
  <si>
    <t>Andy Yuan</t>
  </si>
  <si>
    <t>Hu Hai Liang</t>
  </si>
  <si>
    <t>Dou Dou</t>
  </si>
  <si>
    <t>Halifa Success</t>
  </si>
  <si>
    <t>Nkechi</t>
  </si>
  <si>
    <t>Obinna Peter</t>
  </si>
  <si>
    <t>SKY JET</t>
  </si>
  <si>
    <t>亚丽</t>
  </si>
  <si>
    <t>Mr zhang</t>
  </si>
  <si>
    <t>Declan</t>
  </si>
  <si>
    <t>OTW 埃德维</t>
  </si>
  <si>
    <t>LuZhiLong</t>
  </si>
  <si>
    <t>Yangbin</t>
  </si>
  <si>
    <t>Xue</t>
  </si>
  <si>
    <t>MaiKaiNian</t>
  </si>
  <si>
    <t>DengYaDi</t>
  </si>
  <si>
    <t>JOB050325</t>
  </si>
  <si>
    <t>COLL003921</t>
  </si>
  <si>
    <t>Vicky Kuo</t>
  </si>
  <si>
    <t>HWANI INDUSTRY (NIGERIA) CO.,LTD</t>
  </si>
  <si>
    <t>Lawson Gbola</t>
  </si>
  <si>
    <t>Yusky</t>
  </si>
  <si>
    <t>Julie LEE</t>
  </si>
  <si>
    <t>Julie lee</t>
  </si>
  <si>
    <t>Ye Hui</t>
  </si>
  <si>
    <t>adeniyi</t>
  </si>
  <si>
    <t>Wen Yi Min</t>
  </si>
  <si>
    <t>Wilson Liang</t>
  </si>
  <si>
    <t>Mrs Chen</t>
  </si>
  <si>
    <t>Kim</t>
  </si>
  <si>
    <t>Cherry</t>
  </si>
  <si>
    <t>JOB050326</t>
  </si>
  <si>
    <t>COLL003925</t>
  </si>
  <si>
    <t>Sunday Adelena</t>
  </si>
  <si>
    <t>fengshaozheng</t>
  </si>
  <si>
    <t>james</t>
  </si>
  <si>
    <t>Emmanuela Ndinwa</t>
  </si>
  <si>
    <t>Eberechukwu Agwu</t>
  </si>
  <si>
    <t>Charles</t>
  </si>
  <si>
    <t>Josen</t>
  </si>
  <si>
    <t>AFRAB-CHEM Ltd.</t>
  </si>
  <si>
    <t>慌慌</t>
  </si>
  <si>
    <t>Hillter</t>
  </si>
  <si>
    <t>Mr Xu</t>
  </si>
  <si>
    <t>Kelly</t>
  </si>
  <si>
    <t>Lee Ming</t>
  </si>
  <si>
    <t>Ope Olofinjana</t>
  </si>
  <si>
    <t>YI</t>
  </si>
  <si>
    <t>li tao</t>
  </si>
  <si>
    <t>los徐周鹏</t>
  </si>
  <si>
    <t>Chen Quan</t>
  </si>
  <si>
    <t>Michael Ma</t>
  </si>
  <si>
    <t>Kong Lei</t>
  </si>
  <si>
    <t>SHAEK</t>
  </si>
  <si>
    <t>Lily</t>
  </si>
  <si>
    <t>William Xu</t>
  </si>
  <si>
    <t>ZHENWEI YUE</t>
  </si>
  <si>
    <t>Wu Jiao Xing</t>
  </si>
  <si>
    <t>Shiana</t>
  </si>
  <si>
    <t>Lin Qing Yuan</t>
  </si>
  <si>
    <t>Adeyinka Rasheed</t>
  </si>
  <si>
    <t>REMI</t>
  </si>
  <si>
    <t>Lucy</t>
  </si>
  <si>
    <t>JAMES Felicity</t>
  </si>
  <si>
    <t>chenxiaoru</t>
  </si>
  <si>
    <t>Hellen</t>
  </si>
  <si>
    <t>Mr Guan</t>
  </si>
  <si>
    <t>zhong zi xin</t>
  </si>
  <si>
    <t>Tom chen</t>
  </si>
  <si>
    <t>Musa Mohammed</t>
  </si>
  <si>
    <t>Jerry Zhang</t>
  </si>
  <si>
    <t>无人</t>
  </si>
  <si>
    <t>Jinggang Pan</t>
  </si>
  <si>
    <t>dejare James</t>
  </si>
  <si>
    <t>Adam e</t>
  </si>
  <si>
    <t>Hu Wen Cheng</t>
  </si>
  <si>
    <t>Huangpu</t>
  </si>
  <si>
    <t>SHAN DONG KUANG YE</t>
  </si>
  <si>
    <t>hanzong</t>
  </si>
  <si>
    <t>LEO WEI</t>
  </si>
  <si>
    <t>Victor</t>
  </si>
  <si>
    <t>MA ZONG</t>
  </si>
  <si>
    <t>WangXianTao</t>
  </si>
  <si>
    <t>panda</t>
  </si>
  <si>
    <t>Maureen Kingsley</t>
  </si>
  <si>
    <t>zhangjincheng</t>
  </si>
  <si>
    <t>David Wei</t>
  </si>
  <si>
    <t>Tim</t>
  </si>
  <si>
    <t>Ke Ren</t>
  </si>
  <si>
    <t>liangyu</t>
  </si>
  <si>
    <t>Ngassa Audewy Gaelle</t>
  </si>
  <si>
    <t>Zhang Xin Jian</t>
  </si>
  <si>
    <t>Chiboy</t>
  </si>
  <si>
    <t>Jason</t>
  </si>
  <si>
    <t>Gbenga</t>
  </si>
  <si>
    <t>Nwachukwu victor</t>
  </si>
  <si>
    <t>Mr Wang</t>
  </si>
  <si>
    <t>Sowsco Well Services Nig Ltd</t>
  </si>
  <si>
    <t>steven</t>
  </si>
  <si>
    <t>CHADON INTERNATIONAL LIMITED</t>
  </si>
  <si>
    <t>fang ming</t>
  </si>
  <si>
    <t>yusuf</t>
  </si>
  <si>
    <t>Olushola Fanimi</t>
  </si>
  <si>
    <t>Leo Liang</t>
  </si>
  <si>
    <t>LI LING BO</t>
  </si>
  <si>
    <t>JOB050327</t>
  </si>
  <si>
    <t>COLL003927</t>
  </si>
  <si>
    <t>Blur Beauty Cosmetics</t>
  </si>
  <si>
    <t>Li 明亮</t>
  </si>
  <si>
    <t>dong wu lin</t>
  </si>
  <si>
    <t>Teddy Cao</t>
  </si>
  <si>
    <t>CHIGBO CHIDOZIE CHRISTIAN</t>
  </si>
  <si>
    <t>Peng Yong Tao</t>
  </si>
  <si>
    <t>Guo Hui 郭总</t>
  </si>
  <si>
    <t>Alina 二喵</t>
  </si>
  <si>
    <t>Li Duo Duo</t>
  </si>
  <si>
    <t>Leke</t>
  </si>
  <si>
    <t>Stephen</t>
  </si>
  <si>
    <t>lu tong liu</t>
  </si>
  <si>
    <t>Lu Zong</t>
  </si>
  <si>
    <t>Emmanuel</t>
  </si>
  <si>
    <t>yuwang</t>
  </si>
  <si>
    <t>Jocelyn</t>
  </si>
  <si>
    <t>Zhou Jia Liang</t>
  </si>
  <si>
    <t>Jonathan Liveth</t>
  </si>
  <si>
    <t>JOB050328</t>
  </si>
  <si>
    <t>COLL003930</t>
  </si>
  <si>
    <t>ANTHONY</t>
  </si>
  <si>
    <t>cheng</t>
  </si>
  <si>
    <t>jinwenda</t>
  </si>
  <si>
    <t>James</t>
  </si>
  <si>
    <t>Emilia</t>
  </si>
  <si>
    <t>JOB050329</t>
  </si>
  <si>
    <t>COLL003932</t>
  </si>
  <si>
    <t>Zhu Ming</t>
  </si>
  <si>
    <t>JOB050330</t>
  </si>
  <si>
    <t>COLL003929</t>
  </si>
  <si>
    <t>sofia</t>
  </si>
  <si>
    <t>顶派=102945
广州通达=5753</t>
  </si>
  <si>
    <t>chief kenneco</t>
  </si>
  <si>
    <t>ouyang</t>
  </si>
  <si>
    <t>Chloe</t>
  </si>
  <si>
    <t>weiweisheng</t>
  </si>
  <si>
    <t>AiGeLi</t>
  </si>
  <si>
    <t>Seman</t>
  </si>
  <si>
    <t>Wa Liu</t>
  </si>
  <si>
    <t>Wang Jiu Lin</t>
  </si>
  <si>
    <t>lituo</t>
  </si>
  <si>
    <t>Nicole li</t>
  </si>
  <si>
    <t>MIranda</t>
  </si>
  <si>
    <t>CHENG QI</t>
  </si>
  <si>
    <t>Tang Li</t>
  </si>
  <si>
    <t>Mr.ken</t>
  </si>
  <si>
    <t>Mailmail Abv sales person 1</t>
  </si>
  <si>
    <t>Mr Olatunde</t>
  </si>
  <si>
    <t>Jessica</t>
  </si>
  <si>
    <t>Innocent Ugela</t>
  </si>
  <si>
    <t>Gold Tech</t>
  </si>
  <si>
    <t>Dawn</t>
  </si>
  <si>
    <t>Mr.Richard 志强</t>
  </si>
  <si>
    <t>Spring 盛世飞扬</t>
  </si>
  <si>
    <t>Lin Kai</t>
  </si>
  <si>
    <t>Mr.Abubaka</t>
  </si>
  <si>
    <t>WU ZONG</t>
  </si>
  <si>
    <t>ChenBin</t>
  </si>
  <si>
    <t>wang rui</t>
  </si>
  <si>
    <t>PuNing</t>
  </si>
  <si>
    <t>Mikey</t>
  </si>
  <si>
    <t>Robin Tai</t>
  </si>
  <si>
    <t>felix</t>
  </si>
  <si>
    <t>Eric Qu</t>
  </si>
  <si>
    <t>Simon Liu</t>
  </si>
  <si>
    <t>yunus</t>
  </si>
  <si>
    <t>Mamuda Beverages Nigeria</t>
  </si>
  <si>
    <t>SF Jerry 顾</t>
  </si>
  <si>
    <t>Jhon</t>
  </si>
  <si>
    <t>maohaiming</t>
  </si>
  <si>
    <t>JOB050331</t>
  </si>
  <si>
    <t>COLL003933</t>
  </si>
  <si>
    <t>WEI PING</t>
  </si>
  <si>
    <t>XIE ZI QING</t>
  </si>
  <si>
    <t>Tensam-谢</t>
  </si>
  <si>
    <t>Toyin Adekunle</t>
  </si>
  <si>
    <t>eve</t>
  </si>
  <si>
    <t>Rachel</t>
  </si>
  <si>
    <t>JOB050332</t>
  </si>
  <si>
    <t>COLL003936</t>
  </si>
  <si>
    <t>Wangjianshe</t>
  </si>
  <si>
    <t>JOB050333</t>
  </si>
  <si>
    <t>COLL003931</t>
  </si>
  <si>
    <t>jason</t>
  </si>
  <si>
    <t xml:space="preserve">顶派
</t>
  </si>
  <si>
    <t>Panda</t>
  </si>
  <si>
    <t>xiaohanbing</t>
  </si>
  <si>
    <t>zhuxiaobing</t>
  </si>
  <si>
    <t>Zhao Xin</t>
  </si>
  <si>
    <t>东东</t>
  </si>
  <si>
    <t>Yang</t>
  </si>
  <si>
    <t>zhangyu</t>
  </si>
  <si>
    <t>Emma YE</t>
  </si>
  <si>
    <t>clarkzeng2</t>
  </si>
  <si>
    <t>zengyugui</t>
  </si>
  <si>
    <t>Ayodele Oyebanji</t>
  </si>
  <si>
    <t>LAN</t>
  </si>
  <si>
    <t>Charles zhao</t>
  </si>
  <si>
    <t>Winnie</t>
  </si>
  <si>
    <t>nie chang</t>
  </si>
  <si>
    <t>zhou jia jun</t>
  </si>
  <si>
    <t>Crescent Amuodofin</t>
  </si>
  <si>
    <t>Lisa</t>
  </si>
  <si>
    <t>Stephen Bi</t>
  </si>
  <si>
    <t>Hao Peng</t>
  </si>
  <si>
    <t>Mr.Cheng</t>
  </si>
  <si>
    <t>Felix</t>
  </si>
  <si>
    <t>Xu Hao ke</t>
  </si>
  <si>
    <t>Xieziqing谢紫清</t>
  </si>
  <si>
    <t>musa birma</t>
  </si>
  <si>
    <t>umbugadu haruna</t>
  </si>
  <si>
    <t>JOB050334</t>
  </si>
  <si>
    <t>COLL003938</t>
  </si>
  <si>
    <t>Mr.Yu</t>
  </si>
  <si>
    <t>JOB050335</t>
  </si>
  <si>
    <t>COLL003935</t>
  </si>
  <si>
    <t>san pao</t>
  </si>
  <si>
    <t>Fidelis ashinegwani</t>
  </si>
  <si>
    <t>LII XING MAO</t>
  </si>
  <si>
    <t>OLOOLU YUNUS BIOLA</t>
  </si>
  <si>
    <t>gaotian</t>
  </si>
  <si>
    <t>Mrs.Katia Garden</t>
  </si>
  <si>
    <t>du wei</t>
  </si>
  <si>
    <t>baozi</t>
  </si>
  <si>
    <t>Kalio Edith</t>
  </si>
  <si>
    <t>Joy</t>
  </si>
  <si>
    <t>SYJ</t>
  </si>
  <si>
    <t>yehua</t>
  </si>
  <si>
    <t>Maurice Comfort</t>
  </si>
  <si>
    <t>Oloche Israel Adama</t>
  </si>
  <si>
    <t>Paul</t>
  </si>
  <si>
    <t>zhou ji kao rou</t>
  </si>
  <si>
    <t>CH</t>
  </si>
  <si>
    <t>muji</t>
  </si>
  <si>
    <t>JOB050336</t>
  </si>
  <si>
    <t>COLL003940</t>
  </si>
  <si>
    <t>jackson</t>
  </si>
  <si>
    <t>MS.Sherry</t>
  </si>
  <si>
    <t>xiao mei chao shi</t>
  </si>
  <si>
    <t>JOB050337</t>
  </si>
  <si>
    <t>COLL003934</t>
  </si>
  <si>
    <t>顶派=63894
广州通达=4257.6</t>
  </si>
  <si>
    <t>Jing Li</t>
  </si>
  <si>
    <t>Feng Wei</t>
  </si>
  <si>
    <t>iliyasu</t>
  </si>
  <si>
    <t>Li Chang Rong</t>
  </si>
  <si>
    <t>Idris</t>
  </si>
  <si>
    <t>鸿</t>
  </si>
  <si>
    <t>Mr.Leo</t>
  </si>
  <si>
    <t>zhang jian fei</t>
  </si>
  <si>
    <t>JOB050339</t>
  </si>
  <si>
    <t>COLL003942</t>
  </si>
  <si>
    <t>Johnson</t>
  </si>
  <si>
    <t>Adams</t>
  </si>
  <si>
    <t>Mary Oyebade</t>
  </si>
  <si>
    <t>JOB050340</t>
  </si>
  <si>
    <t>COLL003937</t>
  </si>
  <si>
    <t>SAMPAO</t>
  </si>
  <si>
    <t>顶派=144255.5
广州通达=4018.7</t>
  </si>
  <si>
    <t>JOB050341</t>
  </si>
  <si>
    <t>COLL003941</t>
  </si>
  <si>
    <t>顶派=160796.5
广州通达=10203.8</t>
  </si>
  <si>
    <t>Xu Jie</t>
  </si>
  <si>
    <t>Zhang Chao Yang</t>
  </si>
  <si>
    <t>Wu Guo Jian</t>
  </si>
  <si>
    <t>Atten Engr Kola Balogun</t>
  </si>
  <si>
    <t>a niu ge</t>
  </si>
  <si>
    <t>Pritish dey</t>
  </si>
  <si>
    <t>Tomonsachi</t>
  </si>
  <si>
    <t>Cheaf</t>
  </si>
  <si>
    <t>Alex</t>
  </si>
  <si>
    <t>zhang feng</t>
  </si>
  <si>
    <t>LIXINGMAO</t>
  </si>
  <si>
    <t>zhang</t>
  </si>
  <si>
    <t>zhounengquan</t>
  </si>
  <si>
    <t>Ka Ka 4分部</t>
  </si>
  <si>
    <t>FRANK</t>
  </si>
  <si>
    <t>Adam Labaran</t>
  </si>
  <si>
    <t>Alice08105750388</t>
  </si>
  <si>
    <t>James Mr.Yuan</t>
  </si>
  <si>
    <t>ABV 胡立新</t>
  </si>
  <si>
    <t>Anny</t>
  </si>
  <si>
    <t>LEE</t>
  </si>
  <si>
    <t>TOYIN S. ADEKUNLE</t>
  </si>
  <si>
    <t>Xin Ting</t>
  </si>
  <si>
    <t>Rose 徐艳秋</t>
  </si>
  <si>
    <t>Reuben</t>
  </si>
  <si>
    <t>MC</t>
  </si>
  <si>
    <t>jiangnan</t>
  </si>
  <si>
    <t>JOSIAS/ZHANGZHAO</t>
  </si>
  <si>
    <t>A0君</t>
  </si>
  <si>
    <t>Carol</t>
  </si>
  <si>
    <t>Zhang Wen Hao</t>
  </si>
  <si>
    <t>Lynda</t>
  </si>
  <si>
    <t>ma dong</t>
  </si>
  <si>
    <t>MICHELLE</t>
  </si>
  <si>
    <t>Fafunso</t>
  </si>
  <si>
    <t>CAO PENG</t>
  </si>
  <si>
    <t>JOB050342</t>
  </si>
  <si>
    <t>COLL003946</t>
  </si>
  <si>
    <t>lyke</t>
  </si>
  <si>
    <t>Li-CDDN</t>
  </si>
  <si>
    <t>wang mo bao</t>
  </si>
  <si>
    <t>chi de jian</t>
  </si>
  <si>
    <t>Yao</t>
  </si>
  <si>
    <t>KeKe</t>
  </si>
  <si>
    <t>Long Er</t>
  </si>
  <si>
    <t>Unique Desh logistics</t>
  </si>
  <si>
    <t>Mailmail/Taiwo</t>
  </si>
  <si>
    <t>Tia</t>
  </si>
  <si>
    <t>JOB050343</t>
  </si>
  <si>
    <t>COLL003939</t>
  </si>
  <si>
    <t>YaYa</t>
  </si>
  <si>
    <t>Jr.Feng.Shiue</t>
  </si>
  <si>
    <t>abubakar</t>
  </si>
  <si>
    <t>Felix Lee</t>
  </si>
  <si>
    <t>xiaoxiao晓晓</t>
  </si>
  <si>
    <t>MR</t>
  </si>
  <si>
    <t>wei hui zhu</t>
  </si>
  <si>
    <t>wanghe</t>
  </si>
  <si>
    <t>jiang jiang</t>
  </si>
  <si>
    <t>zhaoguo</t>
  </si>
  <si>
    <t>Jahnson</t>
  </si>
  <si>
    <t>Zhang Hao</t>
  </si>
  <si>
    <t>Miaomiao Dogu</t>
  </si>
  <si>
    <t>Weiwei</t>
  </si>
  <si>
    <t>John 张</t>
  </si>
  <si>
    <t>xin jian tang</t>
  </si>
  <si>
    <t>QS 青速</t>
  </si>
  <si>
    <t>lilaijuan</t>
  </si>
  <si>
    <t>Mr.zhang</t>
  </si>
  <si>
    <t>Joe</t>
  </si>
  <si>
    <t>wushengda</t>
  </si>
  <si>
    <t>JACK</t>
  </si>
  <si>
    <t>xiaozhiyuan</t>
  </si>
  <si>
    <t>JOB050344</t>
  </si>
  <si>
    <t>COLL003944</t>
  </si>
  <si>
    <t>yezhi</t>
  </si>
  <si>
    <t>Xiao Zhuang</t>
  </si>
  <si>
    <t>victor</t>
  </si>
  <si>
    <t>wangquanlei</t>
  </si>
  <si>
    <t>liuzhenji</t>
  </si>
  <si>
    <t>laikesi</t>
  </si>
  <si>
    <t>Zhang Jin Long</t>
  </si>
  <si>
    <t>Chinwe</t>
  </si>
  <si>
    <t>Terry Zhang</t>
  </si>
  <si>
    <t>LianYuHeng</t>
  </si>
  <si>
    <t>RONKE BLESSING OLUWAMUIYIWA</t>
  </si>
  <si>
    <t>Youssef Kaado</t>
  </si>
  <si>
    <t>Mr. Umar</t>
  </si>
  <si>
    <t>Chukwudi Ibe</t>
  </si>
  <si>
    <t>Wangxiangru</t>
  </si>
  <si>
    <t>Maggie</t>
  </si>
  <si>
    <t>Zhou Ji BBQ</t>
  </si>
  <si>
    <t>MR LI</t>
  </si>
  <si>
    <t>Shen Xiao Hong</t>
  </si>
  <si>
    <t>zhaochuanhong</t>
  </si>
  <si>
    <t>Kristy Liu</t>
  </si>
  <si>
    <t>JOB050345</t>
  </si>
  <si>
    <t>COLL003945</t>
  </si>
  <si>
    <t>Cindy</t>
  </si>
  <si>
    <t>Zeng Xiu Zhuang</t>
  </si>
  <si>
    <t>Emelder Eshiowula</t>
  </si>
  <si>
    <t>Oba Adeoriyomi Oyebo</t>
  </si>
  <si>
    <t>胡蝶</t>
  </si>
  <si>
    <t>Mr. Gideon Anya</t>
  </si>
  <si>
    <t>Ding Hui Fang</t>
  </si>
  <si>
    <t>zou qiyang</t>
  </si>
  <si>
    <t>Francis</t>
  </si>
  <si>
    <t>Mr Chen</t>
  </si>
  <si>
    <t>Eric Ren</t>
  </si>
  <si>
    <t>los 牛晨晖</t>
  </si>
  <si>
    <t>Amy</t>
  </si>
  <si>
    <t>Mohamed</t>
  </si>
  <si>
    <t>Ugochukwu</t>
  </si>
  <si>
    <t>ShiYuLiu</t>
  </si>
  <si>
    <t>飞鸟</t>
  </si>
  <si>
    <t>FENG</t>
  </si>
  <si>
    <t>haowangjun</t>
  </si>
  <si>
    <t>koya</t>
  </si>
  <si>
    <t>JOB050346</t>
  </si>
  <si>
    <t>COLL003948</t>
  </si>
  <si>
    <t>JOB050347</t>
  </si>
  <si>
    <t>COLL003950</t>
  </si>
  <si>
    <t>maoqibin</t>
  </si>
  <si>
    <t>陆总</t>
  </si>
  <si>
    <t>lin wei hui</t>
  </si>
  <si>
    <t>JOB050348</t>
  </si>
  <si>
    <t>COLL003949</t>
  </si>
  <si>
    <t>MR li</t>
  </si>
  <si>
    <t>chike</t>
  </si>
  <si>
    <t>Chen Chun Zhu</t>
  </si>
  <si>
    <t>wangweijun</t>
  </si>
  <si>
    <t>xujianyun</t>
  </si>
  <si>
    <t>MISS YEMISI</t>
  </si>
  <si>
    <t>Precious Chidi</t>
  </si>
  <si>
    <t>luxiaowei</t>
  </si>
  <si>
    <t>WEI</t>
  </si>
  <si>
    <t>Cooler Zhang</t>
  </si>
  <si>
    <t>Mustahsan</t>
  </si>
  <si>
    <t>Mr Folabidayo</t>
  </si>
  <si>
    <t>JOB050349</t>
  </si>
  <si>
    <t>COLL003947</t>
  </si>
  <si>
    <t>Chidi Ejimkeonye</t>
  </si>
  <si>
    <t>Jason Zhou</t>
  </si>
  <si>
    <t>Yu Ning</t>
  </si>
  <si>
    <t>Loria</t>
  </si>
  <si>
    <t>Steven</t>
  </si>
  <si>
    <t>Jubrin Bala Magaji</t>
  </si>
  <si>
    <t>Jeason Hu</t>
  </si>
  <si>
    <t>Chen Xiao Ru</t>
  </si>
  <si>
    <t>Ms Li</t>
  </si>
  <si>
    <t>huangdan</t>
  </si>
  <si>
    <t>Segun Babatunde</t>
  </si>
  <si>
    <t>Gene</t>
  </si>
  <si>
    <t>val</t>
  </si>
  <si>
    <t>new hope 边鹏飞</t>
  </si>
  <si>
    <t>Adindu</t>
  </si>
  <si>
    <t>ZOU Qiyang</t>
  </si>
  <si>
    <t>Funtua Mr Lee</t>
  </si>
  <si>
    <t>David Zhao</t>
  </si>
  <si>
    <t>God win</t>
  </si>
  <si>
    <t>JOB050350</t>
  </si>
  <si>
    <t>COLL003953</t>
  </si>
  <si>
    <t>Ogechukwu Lilian</t>
  </si>
  <si>
    <t>MR.YU:</t>
  </si>
  <si>
    <t>CJ</t>
  </si>
  <si>
    <t>los郭泽西</t>
  </si>
  <si>
    <t>Jossie</t>
  </si>
  <si>
    <t>los孙龙飞</t>
  </si>
  <si>
    <t>LUO XIANG DONG</t>
  </si>
  <si>
    <t>ELOSON</t>
  </si>
  <si>
    <t>OGODO AGNES</t>
  </si>
  <si>
    <t>Mrs Peace</t>
  </si>
  <si>
    <t>sun li</t>
  </si>
  <si>
    <t>JiaFeng</t>
  </si>
  <si>
    <t>jiafeng</t>
  </si>
  <si>
    <t>JOB050355</t>
  </si>
  <si>
    <t>COLL003951</t>
  </si>
  <si>
    <t>Mr.Bernie</t>
  </si>
  <si>
    <t>yanghanhong</t>
  </si>
  <si>
    <t>shaodong</t>
  </si>
  <si>
    <t>姚黄</t>
  </si>
  <si>
    <t>Jack</t>
  </si>
  <si>
    <t>Eric Wang</t>
  </si>
  <si>
    <t>lingxiang</t>
  </si>
  <si>
    <t>啃樱桃的小丸子</t>
  </si>
  <si>
    <t>nick.wang</t>
  </si>
  <si>
    <t>Wang Fei</t>
  </si>
  <si>
    <t>judy</t>
  </si>
  <si>
    <t>A Lan</t>
  </si>
  <si>
    <t>Lin Bao Zhen</t>
  </si>
  <si>
    <t>Oxford Niu</t>
  </si>
  <si>
    <t>Miss Yemisi</t>
  </si>
  <si>
    <t>Yang Li Long</t>
  </si>
  <si>
    <t>los李涛</t>
  </si>
  <si>
    <t>Yang Peng Tao</t>
  </si>
  <si>
    <t>JOB050362</t>
  </si>
  <si>
    <t>COLL003952</t>
  </si>
  <si>
    <t>AINEKEME</t>
  </si>
  <si>
    <t>Liu Ming Rui</t>
  </si>
  <si>
    <t>shaosen yin</t>
  </si>
  <si>
    <t>liangdawei</t>
  </si>
  <si>
    <t>bob marley</t>
  </si>
  <si>
    <t>Laura</t>
  </si>
  <si>
    <t>xiang shu en</t>
  </si>
  <si>
    <t>Ephraim Micheal</t>
  </si>
  <si>
    <t>sean</t>
  </si>
  <si>
    <t>David</t>
  </si>
  <si>
    <t>wanghui</t>
  </si>
  <si>
    <t>gaoguohua</t>
  </si>
  <si>
    <t>Eason Cai</t>
  </si>
  <si>
    <t>Andy</t>
  </si>
  <si>
    <t>Ye Zheng Rong</t>
  </si>
  <si>
    <t>JOB050363</t>
  </si>
  <si>
    <t>COLL003966</t>
  </si>
  <si>
    <t>JOB050364</t>
  </si>
  <si>
    <t>COLL003964</t>
  </si>
  <si>
    <t>Charly</t>
  </si>
  <si>
    <t>shuai ge</t>
  </si>
  <si>
    <t>Li Ce</t>
  </si>
  <si>
    <t>Li Jian Hong</t>
  </si>
  <si>
    <t>chen hong jing</t>
  </si>
  <si>
    <t>lengshihong</t>
  </si>
  <si>
    <t>zhang jian</t>
  </si>
  <si>
    <t>hedianhua</t>
  </si>
  <si>
    <t>ChenGuoYao</t>
  </si>
  <si>
    <t>Fang Yu Lan</t>
  </si>
  <si>
    <t>JOB050365</t>
  </si>
  <si>
    <t>COLL003967</t>
  </si>
  <si>
    <t>William Wei</t>
  </si>
  <si>
    <t>Abigail Ekeke</t>
  </si>
  <si>
    <t>Tony</t>
  </si>
  <si>
    <t>Yao Xin Ze</t>
  </si>
  <si>
    <t>wangguohui</t>
  </si>
  <si>
    <t>Kinsley</t>
  </si>
  <si>
    <t>CHEN + SHUI</t>
  </si>
  <si>
    <t>JOB050366</t>
  </si>
  <si>
    <t>COLL003963</t>
  </si>
  <si>
    <t>Mr.  Musa Saliu. O</t>
  </si>
  <si>
    <t>Chen Bao Ming</t>
  </si>
  <si>
    <t>LOS李涛</t>
  </si>
  <si>
    <t>Fang lijuan</t>
  </si>
  <si>
    <t>Tobias Ibe</t>
  </si>
  <si>
    <t>atoloye olayiwola</t>
  </si>
  <si>
    <t>Zhang yong chong</t>
  </si>
  <si>
    <t>Mr</t>
  </si>
  <si>
    <t>Kevin.Wang</t>
  </si>
  <si>
    <t>Derrick</t>
  </si>
  <si>
    <t>A&amp;K Construction Ltd</t>
  </si>
  <si>
    <t>Hakeem AEM</t>
  </si>
  <si>
    <t>gbenga</t>
  </si>
  <si>
    <t>los牛晨晖</t>
  </si>
  <si>
    <t>Liu Xiao Yun</t>
  </si>
  <si>
    <t>WuTao</t>
  </si>
  <si>
    <t>JOB050367</t>
  </si>
  <si>
    <t>COLL003968</t>
  </si>
  <si>
    <t>AISHATU Jampi</t>
  </si>
  <si>
    <t>JOB050371</t>
  </si>
  <si>
    <t>COLL003972</t>
  </si>
  <si>
    <t>Buky</t>
  </si>
  <si>
    <t>YING HUIHUI</t>
  </si>
  <si>
    <t>Forrest</t>
  </si>
  <si>
    <t>FEDEC</t>
  </si>
  <si>
    <t>Jimmy</t>
  </si>
  <si>
    <t>DIKE</t>
  </si>
  <si>
    <t>Li Si Zhe</t>
  </si>
  <si>
    <t>Zhang Jie Bo</t>
  </si>
  <si>
    <t>Yang Jun Jie</t>
  </si>
  <si>
    <t>MR HE</t>
  </si>
  <si>
    <t>Victor Tang</t>
  </si>
  <si>
    <t>Aliyu</t>
  </si>
  <si>
    <t>liuting</t>
  </si>
  <si>
    <t>Rotimi</t>
  </si>
  <si>
    <t>Chris</t>
  </si>
  <si>
    <t>JOB050372</t>
  </si>
  <si>
    <t>COLL003973</t>
  </si>
  <si>
    <t>WEI XIANG JIAN</t>
  </si>
  <si>
    <t>Omolade</t>
  </si>
  <si>
    <t>Mr.Yang</t>
  </si>
  <si>
    <t>Lissi</t>
  </si>
  <si>
    <t>Zhang Xin Yu</t>
  </si>
  <si>
    <t>Dean</t>
  </si>
  <si>
    <t>Doris Xie</t>
  </si>
  <si>
    <t>YES AHAMED TIJANI DANMALLAM</t>
  </si>
  <si>
    <t>JOB050374</t>
  </si>
  <si>
    <t>COLL003975</t>
  </si>
  <si>
    <t>Mr Zhuan</t>
  </si>
  <si>
    <t>ZhuYunLian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</si>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</sst>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7" fillId="2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81" fontId="7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82" fontId="2" fillId="0" borderId="3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82" fontId="2" fillId="0" borderId="7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182" fontId="15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3" fontId="16" fillId="5" borderId="2" xfId="4" applyNumberFormat="1" applyFont="1" applyFill="1" applyBorder="1" applyAlignment="1">
      <alignment horizontal="center" vertical="center"/>
    </xf>
    <xf numFmtId="182" fontId="13" fillId="5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182" fontId="15" fillId="3" borderId="3" xfId="0" applyNumberFormat="1" applyFont="1" applyFill="1" applyBorder="1" applyAlignment="1">
      <alignment horizontal="center" vertical="center" wrapText="1"/>
    </xf>
    <xf numFmtId="177" fontId="17" fillId="3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3" borderId="2" xfId="0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76" fontId="12" fillId="3" borderId="2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5" fillId="3" borderId="2" xfId="0" applyNumberFormat="1" applyFont="1" applyFill="1" applyBorder="1" applyAlignment="1">
      <alignment horizontal="center" vertical="center"/>
    </xf>
    <xf numFmtId="182" fontId="12" fillId="3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82" fontId="7" fillId="0" borderId="2" xfId="0" applyNumberFormat="1" applyFont="1" applyFill="1" applyBorder="1">
      <alignment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14" fillId="3" borderId="2" xfId="0" applyNumberFormat="1" applyFont="1" applyFill="1" applyBorder="1">
      <alignment vertical="center"/>
    </xf>
    <xf numFmtId="182" fontId="7" fillId="3" borderId="2" xfId="0" applyNumberFormat="1" applyFont="1" applyFill="1" applyBorder="1" applyAlignment="1">
      <alignment vertical="center"/>
    </xf>
    <xf numFmtId="176" fontId="18" fillId="2" borderId="2" xfId="0" applyNumberFormat="1" applyFont="1" applyFill="1" applyBorder="1" applyAlignment="1">
      <alignment horizontal="center" vertical="center"/>
    </xf>
    <xf numFmtId="182" fontId="14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 applyAlignment="1">
      <alignment horizontal="center" vertical="center"/>
    </xf>
    <xf numFmtId="182" fontId="7" fillId="2" borderId="3" xfId="0" applyNumberFormat="1" applyFont="1" applyFill="1" applyBorder="1" applyAlignment="1">
      <alignment horizontal="center" vertical="center"/>
    </xf>
    <xf numFmtId="182" fontId="7" fillId="2" borderId="7" xfId="0" applyNumberFormat="1" applyFont="1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 applyAlignment="1">
      <alignment vertical="center"/>
    </xf>
    <xf numFmtId="177" fontId="7" fillId="2" borderId="2" xfId="0" applyNumberFormat="1" applyFont="1" applyFill="1" applyBorder="1" applyAlignment="1">
      <alignment vertical="center"/>
    </xf>
    <xf numFmtId="182" fontId="7" fillId="2" borderId="1" xfId="0" applyNumberFormat="1" applyFont="1" applyFill="1" applyBorder="1" applyAlignment="1">
      <alignment horizontal="center" vertical="center" wrapText="1"/>
    </xf>
    <xf numFmtId="58" fontId="19" fillId="0" borderId="2" xfId="0" applyNumberFormat="1" applyFont="1" applyBorder="1" applyAlignment="1">
      <alignment horizontal="center" vertical="center"/>
    </xf>
    <xf numFmtId="182" fontId="14" fillId="3" borderId="2" xfId="0" applyNumberFormat="1" applyFont="1" applyFill="1" applyBorder="1">
      <alignment vertical="center"/>
    </xf>
    <xf numFmtId="182" fontId="18" fillId="2" borderId="2" xfId="0" applyNumberFormat="1" applyFont="1" applyFill="1" applyBorder="1">
      <alignment vertical="center"/>
    </xf>
    <xf numFmtId="182" fontId="18" fillId="3" borderId="2" xfId="0" applyNumberFormat="1" applyFont="1" applyFill="1" applyBorder="1">
      <alignment vertical="center"/>
    </xf>
    <xf numFmtId="181" fontId="7" fillId="0" borderId="2" xfId="0" applyNumberFormat="1" applyFont="1" applyFill="1" applyBorder="1">
      <alignment vertical="center"/>
    </xf>
    <xf numFmtId="58" fontId="8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81" fontId="7" fillId="2" borderId="1" xfId="0" applyNumberFormat="1" applyFont="1" applyFill="1" applyBorder="1">
      <alignment vertical="center"/>
    </xf>
    <xf numFmtId="182" fontId="14" fillId="0" borderId="1" xfId="0" applyNumberFormat="1" applyFont="1" applyFill="1" applyBorder="1">
      <alignment vertical="center"/>
    </xf>
    <xf numFmtId="177" fontId="7" fillId="2" borderId="1" xfId="0" applyNumberFormat="1" applyFont="1" applyFill="1" applyBorder="1">
      <alignment vertical="center"/>
    </xf>
    <xf numFmtId="176" fontId="7" fillId="2" borderId="1" xfId="0" applyNumberFormat="1" applyFont="1" applyFill="1" applyBorder="1" applyAlignment="1">
      <alignment horizontal="center"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 wrapText="1"/>
    </xf>
    <xf numFmtId="182" fontId="8" fillId="0" borderId="2" xfId="0" applyNumberFormat="1" applyFont="1" applyBorder="1" applyAlignment="1">
      <alignment horizontal="center" vertical="center" wrapText="1"/>
    </xf>
    <xf numFmtId="182" fontId="2" fillId="3" borderId="2" xfId="0" applyNumberFormat="1" applyFont="1" applyFill="1" applyBorder="1" applyAlignment="1">
      <alignment horizontal="center" vertical="center"/>
    </xf>
    <xf numFmtId="182" fontId="7" fillId="3" borderId="2" xfId="0" applyNumberFormat="1" applyFont="1" applyFill="1" applyBorder="1" applyAlignment="1">
      <alignment horizontal="right" vertical="center"/>
    </xf>
    <xf numFmtId="176" fontId="2" fillId="3" borderId="2" xfId="0" applyNumberFormat="1" applyFont="1" applyFill="1" applyBorder="1" applyAlignment="1">
      <alignment horizontal="center" vertical="center"/>
    </xf>
    <xf numFmtId="177" fontId="7" fillId="3" borderId="2" xfId="0" applyNumberFormat="1" applyFont="1" applyFill="1" applyBorder="1">
      <alignment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right" vertical="center"/>
    </xf>
    <xf numFmtId="0" fontId="14" fillId="2" borderId="2" xfId="0" applyFont="1" applyFill="1" applyBorder="1">
      <alignment vertical="center"/>
    </xf>
    <xf numFmtId="176" fontId="18" fillId="2" borderId="4" xfId="0" applyNumberFormat="1" applyFont="1" applyFill="1" applyBorder="1" applyAlignment="1">
      <alignment horizontal="center" vertical="center"/>
    </xf>
    <xf numFmtId="182" fontId="7" fillId="3" borderId="1" xfId="0" applyNumberFormat="1" applyFont="1" applyFill="1" applyBorder="1">
      <alignment vertical="center"/>
    </xf>
    <xf numFmtId="176" fontId="20" fillId="0" borderId="0" xfId="0" applyNumberFormat="1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182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1205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E703" sqref="E703:E76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3.875" style="4"/>
    <col min="12" max="12" width="13.875" style="3"/>
    <col min="13" max="13" width="13.625"/>
    <col min="14" max="14" width="12.625"/>
    <col min="15" max="15" width="13.875"/>
    <col min="16" max="16" width="12.375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25" style="4"/>
    <col min="27" max="27" width="12.625" style="4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5"/>
      <c r="K1" s="26"/>
      <c r="L1" s="25"/>
      <c r="M1" s="7"/>
      <c r="N1" s="27"/>
      <c r="O1" s="7"/>
      <c r="P1" s="7"/>
      <c r="Q1" s="7"/>
      <c r="R1" s="7"/>
      <c r="S1" s="55"/>
      <c r="T1" s="55"/>
      <c r="U1" s="56"/>
      <c r="V1" s="55"/>
      <c r="W1" s="57"/>
      <c r="X1" s="26"/>
      <c r="Y1" s="26"/>
      <c r="Z1" s="26"/>
      <c r="AA1" s="26"/>
      <c r="AB1" s="25"/>
      <c r="AC1" s="26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8" t="s">
        <v>9</v>
      </c>
      <c r="J2" s="29"/>
      <c r="K2" s="30"/>
      <c r="L2" s="29"/>
      <c r="M2" s="30"/>
      <c r="N2" s="31"/>
      <c r="O2" s="32"/>
      <c r="P2" s="33" t="s">
        <v>10</v>
      </c>
      <c r="Q2" s="58" t="s">
        <v>11</v>
      </c>
      <c r="R2" s="59"/>
      <c r="S2" s="60"/>
      <c r="T2" s="61"/>
      <c r="U2" s="62"/>
      <c r="V2" s="63" t="s">
        <v>12</v>
      </c>
      <c r="W2" s="64" t="s">
        <v>13</v>
      </c>
      <c r="X2" s="65" t="s">
        <v>14</v>
      </c>
      <c r="Y2" s="65"/>
      <c r="Z2" s="65"/>
      <c r="AA2" s="65"/>
      <c r="AB2" s="76"/>
      <c r="AC2" s="65"/>
      <c r="AD2" s="77" t="s">
        <v>15</v>
      </c>
      <c r="AE2" s="78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4" t="s">
        <v>17</v>
      </c>
      <c r="J3" s="35" t="s">
        <v>18</v>
      </c>
      <c r="K3" s="36" t="s">
        <v>19</v>
      </c>
      <c r="L3" s="35" t="s">
        <v>20</v>
      </c>
      <c r="M3" s="37" t="s">
        <v>21</v>
      </c>
      <c r="N3" s="38" t="s">
        <v>22</v>
      </c>
      <c r="O3" s="39" t="s">
        <v>23</v>
      </c>
      <c r="P3" s="40"/>
      <c r="Q3" s="66" t="s">
        <v>24</v>
      </c>
      <c r="R3" s="67" t="s">
        <v>25</v>
      </c>
      <c r="S3" s="68" t="s">
        <v>26</v>
      </c>
      <c r="T3" s="69" t="s">
        <v>27</v>
      </c>
      <c r="U3" s="68" t="s">
        <v>28</v>
      </c>
      <c r="V3" s="70"/>
      <c r="W3" s="71"/>
      <c r="X3" s="72" t="s">
        <v>29</v>
      </c>
      <c r="Y3" s="72" t="s">
        <v>30</v>
      </c>
      <c r="Z3" s="72" t="s">
        <v>31</v>
      </c>
      <c r="AA3" s="79" t="s">
        <v>32</v>
      </c>
      <c r="AB3" s="80" t="s">
        <v>33</v>
      </c>
      <c r="AC3" s="81" t="s">
        <v>23</v>
      </c>
      <c r="AD3" s="82" t="s">
        <v>34</v>
      </c>
      <c r="AE3" s="83"/>
    </row>
    <row r="4" customFormat="1" spans="1:31">
      <c r="A4" s="18" t="s">
        <v>35</v>
      </c>
      <c r="B4" s="19" t="s">
        <v>36</v>
      </c>
      <c r="C4" s="20">
        <v>240426000049</v>
      </c>
      <c r="D4" s="21">
        <v>45413</v>
      </c>
      <c r="E4" s="21" t="s">
        <v>37</v>
      </c>
      <c r="F4" s="19" t="s">
        <v>38</v>
      </c>
      <c r="G4" s="19" t="s">
        <v>39</v>
      </c>
      <c r="H4" s="19">
        <v>2.5</v>
      </c>
      <c r="I4" s="41">
        <v>287</v>
      </c>
      <c r="J4" s="42"/>
      <c r="K4" s="43"/>
      <c r="L4" s="42"/>
      <c r="M4" s="44"/>
      <c r="N4" s="45"/>
      <c r="O4" s="46">
        <f t="shared" ref="O4:O7" si="0">SUM(I4)</f>
        <v>287</v>
      </c>
      <c r="P4" s="47">
        <f>SUM(O4:O13)</f>
        <v>4185.1776</v>
      </c>
      <c r="Q4" s="47" t="s">
        <v>40</v>
      </c>
      <c r="R4" s="73">
        <f>SUM(1600/32)*H4</f>
        <v>125</v>
      </c>
      <c r="S4" s="73"/>
      <c r="T4" s="74">
        <f>SUM(69.27/32)*H4</f>
        <v>5.41171875</v>
      </c>
      <c r="U4" s="73"/>
      <c r="V4" s="73"/>
      <c r="W4" s="73">
        <f>SUM(R4:V4)</f>
        <v>130.41171875</v>
      </c>
      <c r="X4" s="75">
        <f>SUM(77.9/32)*H4</f>
        <v>6.0859375</v>
      </c>
      <c r="Y4" s="75"/>
      <c r="Z4" s="75"/>
      <c r="AA4" s="75">
        <f>SUM(X4:Z4)</f>
        <v>6.0859375</v>
      </c>
      <c r="AB4" s="84">
        <v>7.22</v>
      </c>
      <c r="AC4" s="73">
        <f>SUM(AA4*AB4)</f>
        <v>43.94046875</v>
      </c>
      <c r="AD4" s="73">
        <f>SUM(W4+AC4)</f>
        <v>174.3521875</v>
      </c>
      <c r="AE4" s="73">
        <f>SUM(O4-AD4)</f>
        <v>112.6478125</v>
      </c>
    </row>
    <row r="5" customFormat="1" spans="1:31">
      <c r="A5" s="18"/>
      <c r="B5" s="19"/>
      <c r="C5" s="20">
        <v>240428000011</v>
      </c>
      <c r="D5" s="21">
        <v>45413</v>
      </c>
      <c r="E5" s="21" t="s">
        <v>41</v>
      </c>
      <c r="F5" s="19" t="s">
        <v>42</v>
      </c>
      <c r="G5" s="19" t="s">
        <v>43</v>
      </c>
      <c r="H5" s="19">
        <v>1.5</v>
      </c>
      <c r="I5" s="46"/>
      <c r="J5" s="48">
        <v>32564</v>
      </c>
      <c r="K5" s="43"/>
      <c r="L5" s="49">
        <f>SUM(J5/M5)</f>
        <v>1488.98033836305</v>
      </c>
      <c r="M5" s="50">
        <v>21.87</v>
      </c>
      <c r="N5" s="45">
        <v>7.22</v>
      </c>
      <c r="O5" s="46">
        <f t="shared" ref="O5:O9" si="1">SUM(M5*N5)</f>
        <v>157.9014</v>
      </c>
      <c r="P5" s="51"/>
      <c r="Q5" s="51"/>
      <c r="R5" s="73">
        <f t="shared" ref="R5:R13" si="2">SUM(1600/32)*H5</f>
        <v>75</v>
      </c>
      <c r="S5" s="73"/>
      <c r="T5" s="74">
        <f t="shared" ref="T5:T13" si="3">SUM(69.27/32)*H5</f>
        <v>3.24703125</v>
      </c>
      <c r="U5" s="73"/>
      <c r="V5" s="73"/>
      <c r="W5" s="73">
        <f t="shared" ref="W5:W13" si="4">SUM(R5:V5)</f>
        <v>78.24703125</v>
      </c>
      <c r="X5" s="75">
        <f t="shared" ref="X5:X13" si="5">SUM(77.9/32)*H5</f>
        <v>3.6515625</v>
      </c>
      <c r="Y5" s="75"/>
      <c r="Z5" s="75"/>
      <c r="AA5" s="75">
        <f t="shared" ref="AA5:AA13" si="6">SUM(X5:Z5)</f>
        <v>3.6515625</v>
      </c>
      <c r="AB5" s="84">
        <v>7.22</v>
      </c>
      <c r="AC5" s="73">
        <f t="shared" ref="AC5:AC13" si="7">SUM(AA5*AB5)</f>
        <v>26.36428125</v>
      </c>
      <c r="AD5" s="73">
        <f t="shared" ref="AD5:AD13" si="8">SUM(W5+AC5)</f>
        <v>104.6113125</v>
      </c>
      <c r="AE5" s="73">
        <f t="shared" ref="AE5:AE13" si="9">SUM(O5-AD5)</f>
        <v>53.2900875</v>
      </c>
    </row>
    <row r="6" customFormat="1" spans="1:31">
      <c r="A6" s="18"/>
      <c r="B6" s="19"/>
      <c r="C6" s="20">
        <v>240428000022</v>
      </c>
      <c r="D6" s="21">
        <v>45413</v>
      </c>
      <c r="E6" s="21" t="s">
        <v>44</v>
      </c>
      <c r="F6" s="19" t="s">
        <v>45</v>
      </c>
      <c r="G6" s="19" t="s">
        <v>46</v>
      </c>
      <c r="H6" s="19">
        <v>2.5</v>
      </c>
      <c r="I6" s="41">
        <v>397</v>
      </c>
      <c r="J6" s="42"/>
      <c r="K6" s="43"/>
      <c r="L6" s="42"/>
      <c r="M6" s="44"/>
      <c r="N6" s="45"/>
      <c r="O6" s="46">
        <f t="shared" si="0"/>
        <v>397</v>
      </c>
      <c r="P6" s="51"/>
      <c r="Q6" s="51"/>
      <c r="R6" s="73">
        <f t="shared" si="2"/>
        <v>125</v>
      </c>
      <c r="S6" s="73"/>
      <c r="T6" s="74">
        <f t="shared" si="3"/>
        <v>5.41171875</v>
      </c>
      <c r="U6" s="73"/>
      <c r="V6" s="73"/>
      <c r="W6" s="73">
        <f t="shared" si="4"/>
        <v>130.41171875</v>
      </c>
      <c r="X6" s="75">
        <f t="shared" si="5"/>
        <v>6.0859375</v>
      </c>
      <c r="Y6" s="75"/>
      <c r="Z6" s="75"/>
      <c r="AA6" s="75">
        <f t="shared" si="6"/>
        <v>6.0859375</v>
      </c>
      <c r="AB6" s="84">
        <v>7.22</v>
      </c>
      <c r="AC6" s="73">
        <f t="shared" si="7"/>
        <v>43.94046875</v>
      </c>
      <c r="AD6" s="73">
        <f t="shared" si="8"/>
        <v>174.3521875</v>
      </c>
      <c r="AE6" s="73">
        <f t="shared" si="9"/>
        <v>222.6478125</v>
      </c>
    </row>
    <row r="7" customFormat="1" spans="1:31">
      <c r="A7" s="18"/>
      <c r="B7" s="19"/>
      <c r="C7" s="20">
        <v>240428000039</v>
      </c>
      <c r="D7" s="21">
        <v>45413</v>
      </c>
      <c r="E7" s="21" t="s">
        <v>47</v>
      </c>
      <c r="F7" s="19" t="s">
        <v>48</v>
      </c>
      <c r="G7" s="19" t="s">
        <v>49</v>
      </c>
      <c r="H7" s="19">
        <v>4</v>
      </c>
      <c r="I7" s="41">
        <v>472</v>
      </c>
      <c r="J7" s="42"/>
      <c r="K7" s="43"/>
      <c r="L7" s="42"/>
      <c r="M7" s="44"/>
      <c r="N7" s="45"/>
      <c r="O7" s="46">
        <f t="shared" si="0"/>
        <v>472</v>
      </c>
      <c r="P7" s="51"/>
      <c r="Q7" s="51"/>
      <c r="R7" s="73">
        <f t="shared" si="2"/>
        <v>200</v>
      </c>
      <c r="S7" s="73"/>
      <c r="T7" s="74">
        <f t="shared" si="3"/>
        <v>8.65875</v>
      </c>
      <c r="U7" s="73"/>
      <c r="V7" s="73"/>
      <c r="W7" s="73">
        <f t="shared" si="4"/>
        <v>208.65875</v>
      </c>
      <c r="X7" s="75">
        <f t="shared" si="5"/>
        <v>9.7375</v>
      </c>
      <c r="Y7" s="75"/>
      <c r="Z7" s="75"/>
      <c r="AA7" s="75">
        <f t="shared" si="6"/>
        <v>9.7375</v>
      </c>
      <c r="AB7" s="84">
        <v>7.22</v>
      </c>
      <c r="AC7" s="73">
        <f t="shared" si="7"/>
        <v>70.30475</v>
      </c>
      <c r="AD7" s="73">
        <f t="shared" si="8"/>
        <v>278.9635</v>
      </c>
      <c r="AE7" s="73">
        <f t="shared" si="9"/>
        <v>193.0365</v>
      </c>
    </row>
    <row r="8" customFormat="1" spans="1:31">
      <c r="A8" s="18"/>
      <c r="B8" s="19"/>
      <c r="C8" s="20">
        <v>240428000047</v>
      </c>
      <c r="D8" s="21">
        <v>45413</v>
      </c>
      <c r="E8" s="21" t="s">
        <v>47</v>
      </c>
      <c r="F8" s="19">
        <v>13635229849</v>
      </c>
      <c r="G8" s="19" t="s">
        <v>50</v>
      </c>
      <c r="H8" s="19">
        <v>0.98</v>
      </c>
      <c r="I8" s="46"/>
      <c r="J8" s="48">
        <v>23540</v>
      </c>
      <c r="K8" s="43"/>
      <c r="L8" s="49">
        <f>SUM(J8/M8)</f>
        <v>1412.96518607443</v>
      </c>
      <c r="M8" s="50">
        <v>16.66</v>
      </c>
      <c r="N8" s="45">
        <v>7.22</v>
      </c>
      <c r="O8" s="46">
        <f t="shared" si="1"/>
        <v>120.2852</v>
      </c>
      <c r="P8" s="51"/>
      <c r="Q8" s="51"/>
      <c r="R8" s="73">
        <f t="shared" si="2"/>
        <v>49</v>
      </c>
      <c r="S8" s="73"/>
      <c r="T8" s="74">
        <f t="shared" si="3"/>
        <v>2.12139375</v>
      </c>
      <c r="U8" s="73"/>
      <c r="V8" s="73"/>
      <c r="W8" s="73">
        <f t="shared" si="4"/>
        <v>51.12139375</v>
      </c>
      <c r="X8" s="75">
        <f t="shared" si="5"/>
        <v>2.3856875</v>
      </c>
      <c r="Y8" s="75"/>
      <c r="Z8" s="75"/>
      <c r="AA8" s="75">
        <f t="shared" si="6"/>
        <v>2.3856875</v>
      </c>
      <c r="AB8" s="84">
        <v>7.22</v>
      </c>
      <c r="AC8" s="73">
        <f t="shared" si="7"/>
        <v>17.22466375</v>
      </c>
      <c r="AD8" s="73">
        <f t="shared" si="8"/>
        <v>68.3460575</v>
      </c>
      <c r="AE8" s="73">
        <f t="shared" si="9"/>
        <v>51.9391425</v>
      </c>
    </row>
    <row r="9" customFormat="1" spans="1:31">
      <c r="A9" s="18"/>
      <c r="B9" s="19"/>
      <c r="C9" s="20">
        <v>240429000016</v>
      </c>
      <c r="D9" s="21">
        <v>45413</v>
      </c>
      <c r="E9" s="21" t="s">
        <v>44</v>
      </c>
      <c r="F9" s="19" t="s">
        <v>45</v>
      </c>
      <c r="G9" s="19" t="s">
        <v>51</v>
      </c>
      <c r="H9" s="19">
        <v>2.5</v>
      </c>
      <c r="I9" s="52"/>
      <c r="J9" s="48">
        <v>59400</v>
      </c>
      <c r="K9" s="43"/>
      <c r="L9" s="49">
        <f>SUM(J9/M9)</f>
        <v>1429.60288808664</v>
      </c>
      <c r="M9" s="50">
        <v>41.55</v>
      </c>
      <c r="N9" s="45">
        <v>7.22</v>
      </c>
      <c r="O9" s="46">
        <f t="shared" si="1"/>
        <v>299.991</v>
      </c>
      <c r="P9" s="51"/>
      <c r="Q9" s="51"/>
      <c r="R9" s="73">
        <f t="shared" si="2"/>
        <v>125</v>
      </c>
      <c r="S9" s="73"/>
      <c r="T9" s="74">
        <f t="shared" si="3"/>
        <v>5.41171875</v>
      </c>
      <c r="U9" s="73"/>
      <c r="V9" s="73"/>
      <c r="W9" s="73">
        <f t="shared" si="4"/>
        <v>130.41171875</v>
      </c>
      <c r="X9" s="75">
        <f t="shared" si="5"/>
        <v>6.0859375</v>
      </c>
      <c r="Y9" s="75"/>
      <c r="Z9" s="75"/>
      <c r="AA9" s="75">
        <f t="shared" si="6"/>
        <v>6.0859375</v>
      </c>
      <c r="AB9" s="84">
        <v>7.22</v>
      </c>
      <c r="AC9" s="73">
        <f t="shared" si="7"/>
        <v>43.94046875</v>
      </c>
      <c r="AD9" s="73">
        <f t="shared" si="8"/>
        <v>174.3521875</v>
      </c>
      <c r="AE9" s="73">
        <f t="shared" si="9"/>
        <v>125.6388125</v>
      </c>
    </row>
    <row r="10" customFormat="1" spans="1:31">
      <c r="A10" s="18"/>
      <c r="B10" s="19"/>
      <c r="C10" s="20">
        <v>240429000022</v>
      </c>
      <c r="D10" s="21">
        <v>45413</v>
      </c>
      <c r="E10" s="21" t="s">
        <v>47</v>
      </c>
      <c r="F10" s="19" t="s">
        <v>48</v>
      </c>
      <c r="G10" s="19" t="s">
        <v>52</v>
      </c>
      <c r="H10" s="19">
        <v>2.5</v>
      </c>
      <c r="I10" s="41">
        <v>303.5</v>
      </c>
      <c r="J10" s="42"/>
      <c r="K10" s="43"/>
      <c r="L10" s="42"/>
      <c r="M10" s="44"/>
      <c r="N10" s="45"/>
      <c r="O10" s="46">
        <f t="shared" ref="O10:O13" si="10">SUM(I10)</f>
        <v>303.5</v>
      </c>
      <c r="P10" s="51"/>
      <c r="Q10" s="51"/>
      <c r="R10" s="73">
        <f t="shared" si="2"/>
        <v>125</v>
      </c>
      <c r="S10" s="73"/>
      <c r="T10" s="74">
        <f t="shared" si="3"/>
        <v>5.41171875</v>
      </c>
      <c r="U10" s="73"/>
      <c r="V10" s="74">
        <v>16</v>
      </c>
      <c r="W10" s="73">
        <f t="shared" si="4"/>
        <v>146.41171875</v>
      </c>
      <c r="X10" s="75">
        <f t="shared" si="5"/>
        <v>6.0859375</v>
      </c>
      <c r="Y10" s="75"/>
      <c r="Z10" s="75"/>
      <c r="AA10" s="75">
        <f t="shared" si="6"/>
        <v>6.0859375</v>
      </c>
      <c r="AB10" s="84">
        <v>7.22</v>
      </c>
      <c r="AC10" s="73">
        <f t="shared" si="7"/>
        <v>43.94046875</v>
      </c>
      <c r="AD10" s="73">
        <f t="shared" si="8"/>
        <v>190.3521875</v>
      </c>
      <c r="AE10" s="73">
        <f t="shared" si="9"/>
        <v>113.1478125</v>
      </c>
    </row>
    <row r="11" customFormat="1" spans="1:31">
      <c r="A11" s="18"/>
      <c r="B11" s="19"/>
      <c r="C11" s="20">
        <v>240429000024</v>
      </c>
      <c r="D11" s="21">
        <v>45413</v>
      </c>
      <c r="E11" s="21" t="s">
        <v>47</v>
      </c>
      <c r="F11" s="19" t="s">
        <v>48</v>
      </c>
      <c r="G11" s="19" t="s">
        <v>49</v>
      </c>
      <c r="H11" s="19">
        <v>3</v>
      </c>
      <c r="I11" s="41">
        <v>360</v>
      </c>
      <c r="J11" s="42"/>
      <c r="K11" s="43"/>
      <c r="L11" s="42"/>
      <c r="M11" s="44"/>
      <c r="N11" s="45"/>
      <c r="O11" s="46">
        <f t="shared" si="10"/>
        <v>360</v>
      </c>
      <c r="P11" s="51"/>
      <c r="Q11" s="51"/>
      <c r="R11" s="73">
        <f t="shared" si="2"/>
        <v>150</v>
      </c>
      <c r="S11" s="73"/>
      <c r="T11" s="74">
        <f t="shared" si="3"/>
        <v>6.4940625</v>
      </c>
      <c r="U11" s="73"/>
      <c r="V11" s="73"/>
      <c r="W11" s="73">
        <f t="shared" si="4"/>
        <v>156.4940625</v>
      </c>
      <c r="X11" s="75">
        <f t="shared" si="5"/>
        <v>7.303125</v>
      </c>
      <c r="Y11" s="75"/>
      <c r="Z11" s="75"/>
      <c r="AA11" s="75">
        <f t="shared" si="6"/>
        <v>7.303125</v>
      </c>
      <c r="AB11" s="84">
        <v>7.22</v>
      </c>
      <c r="AC11" s="73">
        <f t="shared" si="7"/>
        <v>52.7285625</v>
      </c>
      <c r="AD11" s="73">
        <f t="shared" si="8"/>
        <v>209.222625</v>
      </c>
      <c r="AE11" s="73">
        <f t="shared" si="9"/>
        <v>150.777375</v>
      </c>
    </row>
    <row r="12" customFormat="1" spans="1:31">
      <c r="A12" s="18"/>
      <c r="B12" s="19"/>
      <c r="C12" s="20">
        <v>240430000004</v>
      </c>
      <c r="D12" s="21">
        <v>45413</v>
      </c>
      <c r="E12" s="21" t="s">
        <v>47</v>
      </c>
      <c r="F12" s="19" t="s">
        <v>48</v>
      </c>
      <c r="G12" s="19" t="s">
        <v>53</v>
      </c>
      <c r="H12" s="19">
        <v>14.5</v>
      </c>
      <c r="I12" s="41">
        <v>1667.5</v>
      </c>
      <c r="J12" s="42"/>
      <c r="K12" s="43"/>
      <c r="L12" s="42"/>
      <c r="M12" s="44"/>
      <c r="N12" s="45"/>
      <c r="O12" s="46">
        <f t="shared" si="10"/>
        <v>1667.5</v>
      </c>
      <c r="P12" s="51"/>
      <c r="Q12" s="51"/>
      <c r="R12" s="73">
        <f t="shared" si="2"/>
        <v>725</v>
      </c>
      <c r="S12" s="73"/>
      <c r="T12" s="74">
        <f t="shared" si="3"/>
        <v>31.38796875</v>
      </c>
      <c r="U12" s="73"/>
      <c r="V12" s="73"/>
      <c r="W12" s="73">
        <f t="shared" si="4"/>
        <v>756.38796875</v>
      </c>
      <c r="X12" s="75">
        <f t="shared" si="5"/>
        <v>35.2984375</v>
      </c>
      <c r="Y12" s="75"/>
      <c r="Z12" s="75"/>
      <c r="AA12" s="75">
        <f t="shared" si="6"/>
        <v>35.2984375</v>
      </c>
      <c r="AB12" s="84">
        <v>7.22</v>
      </c>
      <c r="AC12" s="73">
        <f t="shared" ref="AC12:AC53" si="11">SUM(AA12*AB12)</f>
        <v>254.85471875</v>
      </c>
      <c r="AD12" s="73">
        <f t="shared" si="8"/>
        <v>1011.2426875</v>
      </c>
      <c r="AE12" s="73">
        <f t="shared" ref="AE12:AE52" si="12">SUM(O12-AD12)</f>
        <v>656.2573125</v>
      </c>
    </row>
    <row r="13" customFormat="1" spans="1:31">
      <c r="A13" s="18"/>
      <c r="B13" s="19"/>
      <c r="C13" s="20">
        <v>240430000027</v>
      </c>
      <c r="D13" s="21">
        <v>45413</v>
      </c>
      <c r="E13" s="21" t="s">
        <v>54</v>
      </c>
      <c r="F13" s="19" t="s">
        <v>54</v>
      </c>
      <c r="G13" s="19" t="s">
        <v>55</v>
      </c>
      <c r="H13" s="19">
        <v>0.64</v>
      </c>
      <c r="I13" s="52">
        <v>120</v>
      </c>
      <c r="J13" s="42"/>
      <c r="K13" s="43"/>
      <c r="L13" s="42"/>
      <c r="M13" s="44"/>
      <c r="N13" s="45"/>
      <c r="O13" s="46">
        <f t="shared" si="10"/>
        <v>120</v>
      </c>
      <c r="P13" s="53"/>
      <c r="Q13" s="53"/>
      <c r="R13" s="73">
        <f t="shared" si="2"/>
        <v>32</v>
      </c>
      <c r="S13" s="73"/>
      <c r="T13" s="74">
        <f t="shared" si="3"/>
        <v>1.3854</v>
      </c>
      <c r="U13" s="73"/>
      <c r="V13" s="73"/>
      <c r="W13" s="73">
        <f t="shared" ref="W13:W52" si="13">SUM(R13:V13)</f>
        <v>33.3854</v>
      </c>
      <c r="X13" s="75">
        <f t="shared" si="5"/>
        <v>1.558</v>
      </c>
      <c r="Y13" s="75"/>
      <c r="Z13" s="75"/>
      <c r="AA13" s="75">
        <f t="shared" si="6"/>
        <v>1.558</v>
      </c>
      <c r="AB13" s="84">
        <v>7.22</v>
      </c>
      <c r="AC13" s="73">
        <f t="shared" si="11"/>
        <v>11.24876</v>
      </c>
      <c r="AD13" s="73">
        <f t="shared" ref="AD13:AD53" si="14">SUM(W13+AC13)</f>
        <v>44.63416</v>
      </c>
      <c r="AE13" s="73">
        <f t="shared" si="12"/>
        <v>75.36584</v>
      </c>
    </row>
    <row r="14" customFormat="1" spans="1:31">
      <c r="A14" s="18" t="s">
        <v>56</v>
      </c>
      <c r="B14" s="19" t="s">
        <v>57</v>
      </c>
      <c r="C14" s="20">
        <v>240423000032</v>
      </c>
      <c r="D14" s="21">
        <v>45413</v>
      </c>
      <c r="E14" s="21" t="s">
        <v>41</v>
      </c>
      <c r="F14" s="19" t="s">
        <v>42</v>
      </c>
      <c r="G14" s="19" t="s">
        <v>58</v>
      </c>
      <c r="H14" s="19">
        <v>3</v>
      </c>
      <c r="I14" s="52"/>
      <c r="J14" s="48">
        <v>37515</v>
      </c>
      <c r="K14" s="43"/>
      <c r="L14" s="49">
        <f>SUM(J14/M14)</f>
        <v>1466.00234466589</v>
      </c>
      <c r="M14" s="50">
        <v>25.59</v>
      </c>
      <c r="N14" s="45">
        <v>7.22</v>
      </c>
      <c r="O14" s="46">
        <f>SUM(M14*N14)</f>
        <v>184.7598</v>
      </c>
      <c r="P14" s="47">
        <f>SUM(O14:O52)</f>
        <v>152511.01741</v>
      </c>
      <c r="Q14" s="47" t="s">
        <v>59</v>
      </c>
      <c r="R14" s="73">
        <f>SUM(108643.8/2338)*H14</f>
        <v>139.406073567151</v>
      </c>
      <c r="S14" s="73"/>
      <c r="T14" s="74">
        <f>SUM(130/2338)*H14</f>
        <v>0.166809238665526</v>
      </c>
      <c r="U14" s="73"/>
      <c r="V14" s="73"/>
      <c r="W14" s="73">
        <f t="shared" si="13"/>
        <v>139.572882805817</v>
      </c>
      <c r="X14" s="75">
        <f>SUM(2475.24/2338)*H14</f>
        <v>3.17609923011121</v>
      </c>
      <c r="Y14" s="75"/>
      <c r="Z14" s="75"/>
      <c r="AA14" s="75">
        <f t="shared" ref="AA14:AA52" si="15">SUM(X14:Z14)</f>
        <v>3.17609923011121</v>
      </c>
      <c r="AB14" s="84">
        <v>7.22</v>
      </c>
      <c r="AC14" s="73">
        <f t="shared" si="11"/>
        <v>22.9314364414029</v>
      </c>
      <c r="AD14" s="73">
        <f t="shared" si="14"/>
        <v>162.50431924722</v>
      </c>
      <c r="AE14" s="73">
        <f t="shared" si="12"/>
        <v>22.2554807527801</v>
      </c>
    </row>
    <row r="15" customFormat="1" spans="1:31">
      <c r="A15" s="18"/>
      <c r="B15" s="19"/>
      <c r="C15" s="20">
        <v>240423000041</v>
      </c>
      <c r="D15" s="21">
        <v>45413</v>
      </c>
      <c r="E15" s="21" t="s">
        <v>41</v>
      </c>
      <c r="F15" s="19" t="s">
        <v>42</v>
      </c>
      <c r="G15" s="19" t="s">
        <v>60</v>
      </c>
      <c r="H15" s="19">
        <v>34.5</v>
      </c>
      <c r="I15" s="41">
        <v>1878.5</v>
      </c>
      <c r="J15" s="42"/>
      <c r="K15" s="43"/>
      <c r="L15" s="42"/>
      <c r="M15" s="44"/>
      <c r="N15" s="45"/>
      <c r="O15" s="46">
        <f t="shared" ref="O15:O23" si="16">SUM(I15)</f>
        <v>1878.5</v>
      </c>
      <c r="P15" s="51"/>
      <c r="Q15" s="51"/>
      <c r="R15" s="73">
        <f t="shared" ref="R15:R52" si="17">SUM(108643.8/2338)*H15</f>
        <v>1603.16984602224</v>
      </c>
      <c r="S15" s="73"/>
      <c r="T15" s="74">
        <f t="shared" ref="T15:T52" si="18">SUM(130/2338)*H15</f>
        <v>1.91830624465355</v>
      </c>
      <c r="U15" s="73">
        <v>50</v>
      </c>
      <c r="V15" s="73"/>
      <c r="W15" s="73">
        <f t="shared" si="13"/>
        <v>1655.0881522669</v>
      </c>
      <c r="X15" s="75">
        <f t="shared" ref="X15:X52" si="19">SUM(2475.24/2338)*H15</f>
        <v>36.5251411462789</v>
      </c>
      <c r="Y15" s="75"/>
      <c r="Z15" s="75"/>
      <c r="AA15" s="75">
        <f t="shared" si="15"/>
        <v>36.5251411462789</v>
      </c>
      <c r="AB15" s="84">
        <v>7.22</v>
      </c>
      <c r="AC15" s="73">
        <f t="shared" si="11"/>
        <v>263.711519076134</v>
      </c>
      <c r="AD15" s="73">
        <f t="shared" si="14"/>
        <v>1918.79967134303</v>
      </c>
      <c r="AE15" s="73">
        <f t="shared" si="12"/>
        <v>-40.2996713430334</v>
      </c>
    </row>
    <row r="16" customFormat="1" spans="1:31">
      <c r="A16" s="18"/>
      <c r="B16" s="19"/>
      <c r="C16" s="20">
        <v>240424000007</v>
      </c>
      <c r="D16" s="21">
        <v>45413</v>
      </c>
      <c r="E16" s="21" t="s">
        <v>44</v>
      </c>
      <c r="F16" s="19" t="s">
        <v>45</v>
      </c>
      <c r="G16" s="19" t="s">
        <v>61</v>
      </c>
      <c r="H16" s="19">
        <v>171</v>
      </c>
      <c r="I16" s="41">
        <v>17756</v>
      </c>
      <c r="J16" s="42"/>
      <c r="K16" s="43"/>
      <c r="L16" s="42"/>
      <c r="M16" s="44"/>
      <c r="N16" s="45"/>
      <c r="O16" s="46">
        <f t="shared" si="16"/>
        <v>17756</v>
      </c>
      <c r="P16" s="51"/>
      <c r="Q16" s="51"/>
      <c r="R16" s="73">
        <f t="shared" si="17"/>
        <v>7946.14619332763</v>
      </c>
      <c r="S16" s="73"/>
      <c r="T16" s="74">
        <f t="shared" si="18"/>
        <v>9.50812660393499</v>
      </c>
      <c r="U16" s="73"/>
      <c r="V16" s="73"/>
      <c r="W16" s="73">
        <f t="shared" si="13"/>
        <v>7955.65431993157</v>
      </c>
      <c r="X16" s="75">
        <f t="shared" si="19"/>
        <v>181.037656116339</v>
      </c>
      <c r="Y16" s="75"/>
      <c r="Z16" s="75"/>
      <c r="AA16" s="75">
        <f t="shared" si="15"/>
        <v>181.037656116339</v>
      </c>
      <c r="AB16" s="84">
        <v>7.22</v>
      </c>
      <c r="AC16" s="73">
        <f t="shared" si="11"/>
        <v>1307.09187715997</v>
      </c>
      <c r="AD16" s="73">
        <f t="shared" si="14"/>
        <v>9262.74619709154</v>
      </c>
      <c r="AE16" s="73">
        <f t="shared" si="12"/>
        <v>8493.25380290846</v>
      </c>
    </row>
    <row r="17" customFormat="1" spans="1:31">
      <c r="A17" s="18"/>
      <c r="B17" s="19"/>
      <c r="C17" s="20">
        <v>240424000019</v>
      </c>
      <c r="D17" s="21">
        <v>45413</v>
      </c>
      <c r="E17" s="21" t="s">
        <v>41</v>
      </c>
      <c r="F17" s="19" t="s">
        <v>42</v>
      </c>
      <c r="G17" s="19" t="s">
        <v>62</v>
      </c>
      <c r="H17" s="19">
        <v>3</v>
      </c>
      <c r="I17" s="41">
        <v>184.8</v>
      </c>
      <c r="J17" s="42"/>
      <c r="K17" s="43"/>
      <c r="L17" s="42"/>
      <c r="M17" s="44"/>
      <c r="N17" s="45"/>
      <c r="O17" s="46">
        <f t="shared" si="16"/>
        <v>184.8</v>
      </c>
      <c r="P17" s="51"/>
      <c r="Q17" s="51"/>
      <c r="R17" s="73">
        <f t="shared" si="17"/>
        <v>139.406073567151</v>
      </c>
      <c r="S17" s="73"/>
      <c r="T17" s="74">
        <f t="shared" si="18"/>
        <v>0.166809238665526</v>
      </c>
      <c r="U17" s="73"/>
      <c r="V17" s="73"/>
      <c r="W17" s="73">
        <f t="shared" si="13"/>
        <v>139.572882805817</v>
      </c>
      <c r="X17" s="75">
        <f t="shared" si="19"/>
        <v>3.17609923011121</v>
      </c>
      <c r="Y17" s="75"/>
      <c r="Z17" s="75"/>
      <c r="AA17" s="75">
        <f t="shared" si="15"/>
        <v>3.17609923011121</v>
      </c>
      <c r="AB17" s="84">
        <v>7.22</v>
      </c>
      <c r="AC17" s="73">
        <f t="shared" si="11"/>
        <v>22.9314364414029</v>
      </c>
      <c r="AD17" s="73">
        <f t="shared" si="14"/>
        <v>162.50431924722</v>
      </c>
      <c r="AE17" s="73">
        <f t="shared" si="12"/>
        <v>22.2956807527801</v>
      </c>
    </row>
    <row r="18" customFormat="1" spans="1:31">
      <c r="A18" s="18"/>
      <c r="B18" s="19"/>
      <c r="C18" s="20">
        <v>240424000022</v>
      </c>
      <c r="D18" s="21">
        <v>45413</v>
      </c>
      <c r="E18" s="21" t="s">
        <v>44</v>
      </c>
      <c r="F18" s="19" t="s">
        <v>45</v>
      </c>
      <c r="G18" s="19" t="s">
        <v>63</v>
      </c>
      <c r="H18" s="19">
        <v>10</v>
      </c>
      <c r="I18" s="41">
        <v>550</v>
      </c>
      <c r="J18" s="42"/>
      <c r="K18" s="43"/>
      <c r="L18" s="42"/>
      <c r="M18" s="44"/>
      <c r="N18" s="45"/>
      <c r="O18" s="46">
        <f t="shared" si="16"/>
        <v>550</v>
      </c>
      <c r="P18" s="51"/>
      <c r="Q18" s="51"/>
      <c r="R18" s="73">
        <f t="shared" si="17"/>
        <v>464.686911890505</v>
      </c>
      <c r="S18" s="73"/>
      <c r="T18" s="74">
        <f t="shared" si="18"/>
        <v>0.556030795551754</v>
      </c>
      <c r="U18" s="73"/>
      <c r="V18" s="73"/>
      <c r="W18" s="73">
        <f t="shared" si="13"/>
        <v>465.242942686056</v>
      </c>
      <c r="X18" s="75">
        <f t="shared" si="19"/>
        <v>10.586997433704</v>
      </c>
      <c r="Y18" s="75"/>
      <c r="Z18" s="75"/>
      <c r="AA18" s="75">
        <f t="shared" si="15"/>
        <v>10.586997433704</v>
      </c>
      <c r="AB18" s="84">
        <v>7.22</v>
      </c>
      <c r="AC18" s="73">
        <f t="shared" si="11"/>
        <v>76.4381214713429</v>
      </c>
      <c r="AD18" s="73">
        <f t="shared" si="14"/>
        <v>541.681064157399</v>
      </c>
      <c r="AE18" s="73">
        <f t="shared" si="12"/>
        <v>8.31893584260115</v>
      </c>
    </row>
    <row r="19" customFormat="1" spans="1:31">
      <c r="A19" s="18"/>
      <c r="B19" s="19"/>
      <c r="C19" s="20">
        <v>240424000025</v>
      </c>
      <c r="D19" s="21">
        <v>45413</v>
      </c>
      <c r="E19" s="21" t="s">
        <v>64</v>
      </c>
      <c r="F19" s="19" t="s">
        <v>65</v>
      </c>
      <c r="G19" s="19" t="s">
        <v>66</v>
      </c>
      <c r="H19" s="19">
        <v>3</v>
      </c>
      <c r="I19" s="41">
        <v>184.8</v>
      </c>
      <c r="J19" s="42"/>
      <c r="K19" s="43"/>
      <c r="L19" s="42"/>
      <c r="M19" s="44"/>
      <c r="N19" s="45"/>
      <c r="O19" s="46">
        <f t="shared" si="16"/>
        <v>184.8</v>
      </c>
      <c r="P19" s="51"/>
      <c r="Q19" s="51"/>
      <c r="R19" s="73">
        <f t="shared" si="17"/>
        <v>139.406073567151</v>
      </c>
      <c r="S19" s="73"/>
      <c r="T19" s="74">
        <f t="shared" si="18"/>
        <v>0.166809238665526</v>
      </c>
      <c r="U19" s="73"/>
      <c r="V19" s="73"/>
      <c r="W19" s="73">
        <f t="shared" si="13"/>
        <v>139.572882805817</v>
      </c>
      <c r="X19" s="75">
        <f t="shared" si="19"/>
        <v>3.17609923011121</v>
      </c>
      <c r="Y19" s="75"/>
      <c r="Z19" s="75"/>
      <c r="AA19" s="75">
        <f t="shared" si="15"/>
        <v>3.17609923011121</v>
      </c>
      <c r="AB19" s="84">
        <v>7.22</v>
      </c>
      <c r="AC19" s="73">
        <f t="shared" si="11"/>
        <v>22.9314364414029</v>
      </c>
      <c r="AD19" s="73">
        <f t="shared" si="14"/>
        <v>162.50431924722</v>
      </c>
      <c r="AE19" s="73">
        <f t="shared" si="12"/>
        <v>22.2956807527801</v>
      </c>
    </row>
    <row r="20" customFormat="1" spans="1:31">
      <c r="A20" s="18"/>
      <c r="B20" s="19"/>
      <c r="C20" s="20">
        <v>240424000027</v>
      </c>
      <c r="D20" s="21">
        <v>45413</v>
      </c>
      <c r="E20" s="21" t="s">
        <v>44</v>
      </c>
      <c r="F20" s="19" t="s">
        <v>45</v>
      </c>
      <c r="G20" s="19" t="s">
        <v>67</v>
      </c>
      <c r="H20" s="19">
        <v>0.32</v>
      </c>
      <c r="I20" s="41">
        <v>63.8</v>
      </c>
      <c r="J20" s="42"/>
      <c r="K20" s="43"/>
      <c r="L20" s="42"/>
      <c r="M20" s="44"/>
      <c r="N20" s="45"/>
      <c r="O20" s="46">
        <f t="shared" si="16"/>
        <v>63.8</v>
      </c>
      <c r="P20" s="51"/>
      <c r="Q20" s="51"/>
      <c r="R20" s="73">
        <f t="shared" si="17"/>
        <v>14.8699811804962</v>
      </c>
      <c r="S20" s="73"/>
      <c r="T20" s="74">
        <f t="shared" si="18"/>
        <v>0.0177929854576561</v>
      </c>
      <c r="U20" s="73"/>
      <c r="V20" s="73"/>
      <c r="W20" s="73">
        <f t="shared" si="13"/>
        <v>14.8877741659538</v>
      </c>
      <c r="X20" s="75">
        <f t="shared" si="19"/>
        <v>0.338783917878529</v>
      </c>
      <c r="Y20" s="75"/>
      <c r="Z20" s="75"/>
      <c r="AA20" s="75">
        <f t="shared" si="15"/>
        <v>0.338783917878529</v>
      </c>
      <c r="AB20" s="84">
        <v>7.22</v>
      </c>
      <c r="AC20" s="73">
        <f t="shared" si="11"/>
        <v>2.44601988708298</v>
      </c>
      <c r="AD20" s="73">
        <f t="shared" si="14"/>
        <v>17.3337940530368</v>
      </c>
      <c r="AE20" s="73">
        <f t="shared" si="12"/>
        <v>46.4662059469632</v>
      </c>
    </row>
    <row r="21" customFormat="1" spans="1:31">
      <c r="A21" s="18"/>
      <c r="B21" s="19"/>
      <c r="C21" s="20">
        <v>240424000031</v>
      </c>
      <c r="D21" s="21">
        <v>45413</v>
      </c>
      <c r="E21" s="21" t="s">
        <v>44</v>
      </c>
      <c r="F21" s="19" t="s">
        <v>45</v>
      </c>
      <c r="G21" s="19" t="s">
        <v>68</v>
      </c>
      <c r="H21" s="19">
        <v>7.5</v>
      </c>
      <c r="I21" s="41">
        <v>565</v>
      </c>
      <c r="J21" s="42"/>
      <c r="K21" s="43"/>
      <c r="L21" s="42"/>
      <c r="M21" s="44"/>
      <c r="N21" s="45"/>
      <c r="O21" s="46">
        <f t="shared" si="16"/>
        <v>565</v>
      </c>
      <c r="P21" s="51"/>
      <c r="Q21" s="51"/>
      <c r="R21" s="73">
        <f t="shared" si="17"/>
        <v>348.515183917879</v>
      </c>
      <c r="S21" s="73"/>
      <c r="T21" s="74">
        <f t="shared" si="18"/>
        <v>0.417023096663815</v>
      </c>
      <c r="U21" s="73">
        <v>30</v>
      </c>
      <c r="V21" s="73"/>
      <c r="W21" s="73">
        <f t="shared" si="13"/>
        <v>378.932207014542</v>
      </c>
      <c r="X21" s="75">
        <f t="shared" si="19"/>
        <v>7.94024807527801</v>
      </c>
      <c r="Y21" s="75"/>
      <c r="Z21" s="75"/>
      <c r="AA21" s="75">
        <f t="shared" si="15"/>
        <v>7.94024807527801</v>
      </c>
      <c r="AB21" s="84">
        <v>7.22</v>
      </c>
      <c r="AC21" s="73">
        <f t="shared" si="11"/>
        <v>57.3285911035072</v>
      </c>
      <c r="AD21" s="73">
        <f t="shared" si="14"/>
        <v>436.260798118049</v>
      </c>
      <c r="AE21" s="73">
        <f t="shared" si="12"/>
        <v>128.739201881951</v>
      </c>
    </row>
    <row r="22" customFormat="1" spans="1:31">
      <c r="A22" s="18"/>
      <c r="B22" s="19"/>
      <c r="C22" s="20">
        <v>240425000008</v>
      </c>
      <c r="D22" s="21">
        <v>45413</v>
      </c>
      <c r="E22" s="21" t="s">
        <v>41</v>
      </c>
      <c r="F22" s="19" t="s">
        <v>42</v>
      </c>
      <c r="G22" s="19" t="s">
        <v>69</v>
      </c>
      <c r="H22" s="19">
        <v>10.5</v>
      </c>
      <c r="I22" s="41">
        <v>651</v>
      </c>
      <c r="J22" s="42"/>
      <c r="K22" s="43"/>
      <c r="L22" s="42"/>
      <c r="M22" s="44"/>
      <c r="N22" s="45"/>
      <c r="O22" s="46">
        <f t="shared" si="16"/>
        <v>651</v>
      </c>
      <c r="P22" s="51"/>
      <c r="Q22" s="51"/>
      <c r="R22" s="73">
        <f t="shared" si="17"/>
        <v>487.92125748503</v>
      </c>
      <c r="S22" s="73"/>
      <c r="T22" s="74">
        <f t="shared" si="18"/>
        <v>0.583832335329341</v>
      </c>
      <c r="U22" s="73"/>
      <c r="V22" s="73"/>
      <c r="W22" s="73">
        <f t="shared" si="13"/>
        <v>488.505089820359</v>
      </c>
      <c r="X22" s="75">
        <f t="shared" si="19"/>
        <v>11.1163473053892</v>
      </c>
      <c r="Y22" s="75"/>
      <c r="Z22" s="75"/>
      <c r="AA22" s="75">
        <f t="shared" si="15"/>
        <v>11.1163473053892</v>
      </c>
      <c r="AB22" s="84">
        <v>7.22</v>
      </c>
      <c r="AC22" s="73">
        <f t="shared" si="11"/>
        <v>80.26002754491</v>
      </c>
      <c r="AD22" s="73">
        <f t="shared" si="14"/>
        <v>568.765117365269</v>
      </c>
      <c r="AE22" s="73">
        <f t="shared" si="12"/>
        <v>82.234882634731</v>
      </c>
    </row>
    <row r="23" customFormat="1" spans="1:31">
      <c r="A23" s="18"/>
      <c r="B23" s="19"/>
      <c r="C23" s="20">
        <v>240425000009</v>
      </c>
      <c r="D23" s="21">
        <v>45413</v>
      </c>
      <c r="E23" s="21" t="s">
        <v>41</v>
      </c>
      <c r="F23" s="19" t="s">
        <v>42</v>
      </c>
      <c r="G23" s="19" t="s">
        <v>70</v>
      </c>
      <c r="H23" s="19">
        <v>8</v>
      </c>
      <c r="I23" s="41">
        <v>464.2</v>
      </c>
      <c r="J23" s="42"/>
      <c r="K23" s="43"/>
      <c r="L23" s="42"/>
      <c r="M23" s="44"/>
      <c r="N23" s="45"/>
      <c r="O23" s="46">
        <f t="shared" si="16"/>
        <v>464.2</v>
      </c>
      <c r="P23" s="51"/>
      <c r="Q23" s="51"/>
      <c r="R23" s="73">
        <f t="shared" si="17"/>
        <v>371.749529512404</v>
      </c>
      <c r="S23" s="73"/>
      <c r="T23" s="74">
        <f t="shared" si="18"/>
        <v>0.444824636441403</v>
      </c>
      <c r="U23" s="73"/>
      <c r="V23" s="73"/>
      <c r="W23" s="73">
        <f t="shared" si="13"/>
        <v>372.194354148845</v>
      </c>
      <c r="X23" s="75">
        <f t="shared" si="19"/>
        <v>8.46959794696322</v>
      </c>
      <c r="Y23" s="75"/>
      <c r="Z23" s="75"/>
      <c r="AA23" s="75">
        <f t="shared" si="15"/>
        <v>8.46959794696322</v>
      </c>
      <c r="AB23" s="84">
        <v>7.22</v>
      </c>
      <c r="AC23" s="73">
        <f t="shared" si="11"/>
        <v>61.1504971770744</v>
      </c>
      <c r="AD23" s="73">
        <f t="shared" si="14"/>
        <v>433.344851325919</v>
      </c>
      <c r="AE23" s="73">
        <f t="shared" si="12"/>
        <v>30.8551486740806</v>
      </c>
    </row>
    <row r="24" customFormat="1" spans="1:31">
      <c r="A24" s="18"/>
      <c r="B24" s="19"/>
      <c r="C24" s="20">
        <v>240425000014</v>
      </c>
      <c r="D24" s="21">
        <v>45413</v>
      </c>
      <c r="E24" s="21" t="s">
        <v>41</v>
      </c>
      <c r="F24" s="19" t="s">
        <v>42</v>
      </c>
      <c r="G24" s="19" t="s">
        <v>43</v>
      </c>
      <c r="H24" s="19">
        <v>3</v>
      </c>
      <c r="I24" s="46"/>
      <c r="J24" s="48">
        <v>38431</v>
      </c>
      <c r="K24" s="43"/>
      <c r="L24" s="49">
        <f>SUM(J24/M24)</f>
        <v>1480.9633911368</v>
      </c>
      <c r="M24" s="50">
        <v>25.95</v>
      </c>
      <c r="N24" s="45">
        <v>7.22</v>
      </c>
      <c r="O24" s="46">
        <f>SUM(M24*N24)</f>
        <v>187.359</v>
      </c>
      <c r="P24" s="51"/>
      <c r="Q24" s="51"/>
      <c r="R24" s="73">
        <f t="shared" si="17"/>
        <v>139.406073567151</v>
      </c>
      <c r="S24" s="73"/>
      <c r="T24" s="74">
        <f t="shared" si="18"/>
        <v>0.166809238665526</v>
      </c>
      <c r="U24" s="73"/>
      <c r="V24" s="73"/>
      <c r="W24" s="73">
        <f t="shared" si="13"/>
        <v>139.572882805817</v>
      </c>
      <c r="X24" s="75">
        <f t="shared" si="19"/>
        <v>3.17609923011121</v>
      </c>
      <c r="Y24" s="75"/>
      <c r="Z24" s="75"/>
      <c r="AA24" s="75">
        <f t="shared" si="15"/>
        <v>3.17609923011121</v>
      </c>
      <c r="AB24" s="84">
        <v>7.22</v>
      </c>
      <c r="AC24" s="73">
        <f t="shared" si="11"/>
        <v>22.9314364414029</v>
      </c>
      <c r="AD24" s="73">
        <f t="shared" si="14"/>
        <v>162.50431924722</v>
      </c>
      <c r="AE24" s="73">
        <f t="shared" si="12"/>
        <v>24.8546807527801</v>
      </c>
    </row>
    <row r="25" customFormat="1" spans="1:31">
      <c r="A25" s="18"/>
      <c r="B25" s="19"/>
      <c r="C25" s="20">
        <v>240425000016</v>
      </c>
      <c r="D25" s="21">
        <v>45413</v>
      </c>
      <c r="E25" s="21" t="s">
        <v>54</v>
      </c>
      <c r="F25" s="19" t="s">
        <v>54</v>
      </c>
      <c r="G25" s="19" t="s">
        <v>71</v>
      </c>
      <c r="H25" s="19">
        <v>366</v>
      </c>
      <c r="I25" s="41">
        <v>26290</v>
      </c>
      <c r="J25" s="42"/>
      <c r="K25" s="43"/>
      <c r="L25" s="42"/>
      <c r="M25" s="44"/>
      <c r="N25" s="45"/>
      <c r="O25" s="46">
        <f t="shared" ref="O25:O30" si="20">SUM(I25)</f>
        <v>26290</v>
      </c>
      <c r="P25" s="51"/>
      <c r="Q25" s="51"/>
      <c r="R25" s="73">
        <f t="shared" si="17"/>
        <v>17007.5409751925</v>
      </c>
      <c r="S25" s="73"/>
      <c r="T25" s="74">
        <f t="shared" si="18"/>
        <v>20.3507271171942</v>
      </c>
      <c r="U25" s="74">
        <v>400</v>
      </c>
      <c r="V25" s="73"/>
      <c r="W25" s="73">
        <f t="shared" si="13"/>
        <v>17427.8917023097</v>
      </c>
      <c r="X25" s="75">
        <f t="shared" si="19"/>
        <v>387.484106073567</v>
      </c>
      <c r="Y25" s="75"/>
      <c r="Z25" s="75"/>
      <c r="AA25" s="75">
        <f t="shared" si="15"/>
        <v>387.484106073567</v>
      </c>
      <c r="AB25" s="84">
        <v>7.22</v>
      </c>
      <c r="AC25" s="73">
        <f t="shared" si="11"/>
        <v>2797.63524585115</v>
      </c>
      <c r="AD25" s="73">
        <f t="shared" si="14"/>
        <v>20225.5269481609</v>
      </c>
      <c r="AE25" s="73">
        <f t="shared" si="12"/>
        <v>6064.47305183915</v>
      </c>
    </row>
    <row r="26" customFormat="1" spans="1:31">
      <c r="A26" s="18"/>
      <c r="B26" s="19"/>
      <c r="C26" s="20">
        <v>240425000017</v>
      </c>
      <c r="D26" s="21">
        <v>45413</v>
      </c>
      <c r="E26" s="21" t="s">
        <v>37</v>
      </c>
      <c r="F26" s="19" t="s">
        <v>38</v>
      </c>
      <c r="G26" s="19" t="s">
        <v>72</v>
      </c>
      <c r="H26" s="19">
        <v>10</v>
      </c>
      <c r="I26" s="41">
        <v>700</v>
      </c>
      <c r="J26" s="42"/>
      <c r="K26" s="43"/>
      <c r="L26" s="42"/>
      <c r="M26" s="44"/>
      <c r="N26" s="45"/>
      <c r="O26" s="46">
        <f t="shared" si="20"/>
        <v>700</v>
      </c>
      <c r="P26" s="51"/>
      <c r="Q26" s="51"/>
      <c r="R26" s="73">
        <f t="shared" si="17"/>
        <v>464.686911890505</v>
      </c>
      <c r="S26" s="73"/>
      <c r="T26" s="74">
        <f t="shared" si="18"/>
        <v>0.556030795551754</v>
      </c>
      <c r="U26" s="73"/>
      <c r="V26" s="73"/>
      <c r="W26" s="73">
        <f t="shared" si="13"/>
        <v>465.242942686056</v>
      </c>
      <c r="X26" s="75">
        <f t="shared" si="19"/>
        <v>10.586997433704</v>
      </c>
      <c r="Y26" s="75"/>
      <c r="Z26" s="75"/>
      <c r="AA26" s="75">
        <f t="shared" si="15"/>
        <v>10.586997433704</v>
      </c>
      <c r="AB26" s="84">
        <v>7.22</v>
      </c>
      <c r="AC26" s="73">
        <f t="shared" si="11"/>
        <v>76.4381214713429</v>
      </c>
      <c r="AD26" s="73">
        <f t="shared" si="14"/>
        <v>541.681064157399</v>
      </c>
      <c r="AE26" s="73">
        <f t="shared" si="12"/>
        <v>158.318935842601</v>
      </c>
    </row>
    <row r="27" customFormat="1" spans="1:31">
      <c r="A27" s="18"/>
      <c r="B27" s="19"/>
      <c r="C27" s="20">
        <v>240425000018</v>
      </c>
      <c r="D27" s="21">
        <v>45413</v>
      </c>
      <c r="E27" s="21" t="s">
        <v>44</v>
      </c>
      <c r="F27" s="19" t="s">
        <v>45</v>
      </c>
      <c r="G27" s="19" t="s">
        <v>73</v>
      </c>
      <c r="H27" s="19">
        <v>3</v>
      </c>
      <c r="I27" s="41">
        <v>320</v>
      </c>
      <c r="J27" s="42"/>
      <c r="K27" s="43"/>
      <c r="L27" s="42"/>
      <c r="M27" s="44"/>
      <c r="N27" s="45"/>
      <c r="O27" s="46">
        <f t="shared" si="20"/>
        <v>320</v>
      </c>
      <c r="P27" s="51"/>
      <c r="Q27" s="51"/>
      <c r="R27" s="73">
        <f t="shared" si="17"/>
        <v>139.406073567151</v>
      </c>
      <c r="S27" s="73"/>
      <c r="T27" s="74">
        <f t="shared" si="18"/>
        <v>0.166809238665526</v>
      </c>
      <c r="U27" s="73"/>
      <c r="V27" s="73"/>
      <c r="W27" s="73">
        <f t="shared" si="13"/>
        <v>139.572882805817</v>
      </c>
      <c r="X27" s="75">
        <f t="shared" si="19"/>
        <v>3.17609923011121</v>
      </c>
      <c r="Y27" s="75">
        <v>6.23</v>
      </c>
      <c r="Z27" s="75"/>
      <c r="AA27" s="75">
        <f t="shared" si="15"/>
        <v>9.40609923011121</v>
      </c>
      <c r="AB27" s="84">
        <v>7.22</v>
      </c>
      <c r="AC27" s="73">
        <f t="shared" si="11"/>
        <v>67.9120364414029</v>
      </c>
      <c r="AD27" s="73">
        <f t="shared" si="14"/>
        <v>207.48491924722</v>
      </c>
      <c r="AE27" s="73">
        <f t="shared" si="12"/>
        <v>112.51508075278</v>
      </c>
    </row>
    <row r="28" customFormat="1" spans="1:31">
      <c r="A28" s="18"/>
      <c r="B28" s="19"/>
      <c r="C28" s="20">
        <v>240425000019</v>
      </c>
      <c r="D28" s="21">
        <v>45413</v>
      </c>
      <c r="E28" s="21" t="s">
        <v>47</v>
      </c>
      <c r="F28" s="19" t="s">
        <v>48</v>
      </c>
      <c r="G28" s="19" t="s">
        <v>74</v>
      </c>
      <c r="H28" s="19">
        <v>0.89</v>
      </c>
      <c r="I28" s="52"/>
      <c r="J28" s="48">
        <v>12950.53</v>
      </c>
      <c r="K28" s="43"/>
      <c r="L28" s="49">
        <f t="shared" ref="L28:L32" si="21">SUM(J28/M28)</f>
        <v>1466.65118912797</v>
      </c>
      <c r="M28" s="50">
        <v>8.83</v>
      </c>
      <c r="N28" s="45">
        <v>7.22</v>
      </c>
      <c r="O28" s="46">
        <f>SUM(M28*N28)</f>
        <v>63.7526</v>
      </c>
      <c r="P28" s="51"/>
      <c r="Q28" s="51"/>
      <c r="R28" s="73">
        <f t="shared" si="17"/>
        <v>41.3571351582549</v>
      </c>
      <c r="S28" s="73"/>
      <c r="T28" s="74">
        <f t="shared" si="18"/>
        <v>0.0494867408041061</v>
      </c>
      <c r="U28" s="73"/>
      <c r="V28" s="73"/>
      <c r="W28" s="73">
        <f t="shared" si="13"/>
        <v>41.406621899059</v>
      </c>
      <c r="X28" s="75">
        <f t="shared" si="19"/>
        <v>0.942242771599658</v>
      </c>
      <c r="Y28" s="75"/>
      <c r="Z28" s="75"/>
      <c r="AA28" s="75">
        <f t="shared" si="15"/>
        <v>0.942242771599658</v>
      </c>
      <c r="AB28" s="84">
        <v>7.22</v>
      </c>
      <c r="AC28" s="73">
        <f t="shared" si="11"/>
        <v>6.80299281094953</v>
      </c>
      <c r="AD28" s="73">
        <f t="shared" si="14"/>
        <v>48.2096147100085</v>
      </c>
      <c r="AE28" s="73">
        <f t="shared" si="12"/>
        <v>15.5429852899915</v>
      </c>
    </row>
    <row r="29" customFormat="1" spans="1:31">
      <c r="A29" s="18"/>
      <c r="B29" s="19"/>
      <c r="C29" s="20">
        <v>240425000027</v>
      </c>
      <c r="D29" s="21">
        <v>45413</v>
      </c>
      <c r="E29" s="21" t="s">
        <v>54</v>
      </c>
      <c r="F29" s="19" t="s">
        <v>54</v>
      </c>
      <c r="G29" s="19" t="s">
        <v>75</v>
      </c>
      <c r="H29" s="19">
        <v>92.5</v>
      </c>
      <c r="I29" s="41">
        <v>5596</v>
      </c>
      <c r="J29" s="42"/>
      <c r="K29" s="43"/>
      <c r="L29" s="42"/>
      <c r="M29" s="44"/>
      <c r="N29" s="45"/>
      <c r="O29" s="46">
        <f t="shared" si="20"/>
        <v>5596</v>
      </c>
      <c r="P29" s="51"/>
      <c r="Q29" s="51"/>
      <c r="R29" s="73">
        <f t="shared" si="17"/>
        <v>4298.35393498717</v>
      </c>
      <c r="S29" s="73"/>
      <c r="T29" s="74">
        <f t="shared" si="18"/>
        <v>5.14328485885372</v>
      </c>
      <c r="U29" s="73"/>
      <c r="V29" s="73"/>
      <c r="W29" s="73">
        <f t="shared" si="13"/>
        <v>4303.49721984602</v>
      </c>
      <c r="X29" s="75">
        <f t="shared" si="19"/>
        <v>97.9297262617622</v>
      </c>
      <c r="Y29" s="75"/>
      <c r="Z29" s="75"/>
      <c r="AA29" s="75">
        <f t="shared" si="15"/>
        <v>97.9297262617622</v>
      </c>
      <c r="AB29" s="84">
        <v>7.22</v>
      </c>
      <c r="AC29" s="73">
        <f t="shared" si="11"/>
        <v>707.052623609923</v>
      </c>
      <c r="AD29" s="73">
        <f t="shared" si="14"/>
        <v>5010.54984345594</v>
      </c>
      <c r="AE29" s="73">
        <f t="shared" si="12"/>
        <v>585.450156544057</v>
      </c>
    </row>
    <row r="30" customFormat="1" spans="1:31">
      <c r="A30" s="18"/>
      <c r="B30" s="19"/>
      <c r="C30" s="20">
        <v>240425000028</v>
      </c>
      <c r="D30" s="21">
        <v>45413</v>
      </c>
      <c r="E30" s="21" t="s">
        <v>54</v>
      </c>
      <c r="F30" s="19" t="s">
        <v>54</v>
      </c>
      <c r="G30" s="19" t="s">
        <v>76</v>
      </c>
      <c r="H30" s="19">
        <v>182.5</v>
      </c>
      <c r="I30" s="41">
        <v>10682.65</v>
      </c>
      <c r="J30" s="42"/>
      <c r="K30" s="43"/>
      <c r="L30" s="42"/>
      <c r="M30" s="44"/>
      <c r="N30" s="45"/>
      <c r="O30" s="46">
        <f t="shared" si="20"/>
        <v>10682.65</v>
      </c>
      <c r="P30" s="51"/>
      <c r="Q30" s="51"/>
      <c r="R30" s="73">
        <f t="shared" si="17"/>
        <v>8480.53614200171</v>
      </c>
      <c r="S30" s="73"/>
      <c r="T30" s="74">
        <f t="shared" si="18"/>
        <v>10.1475620188195</v>
      </c>
      <c r="U30" s="73">
        <v>50</v>
      </c>
      <c r="V30" s="73"/>
      <c r="W30" s="73">
        <f t="shared" si="13"/>
        <v>8540.68370402053</v>
      </c>
      <c r="X30" s="75">
        <f t="shared" si="19"/>
        <v>193.212703165098</v>
      </c>
      <c r="Y30" s="75"/>
      <c r="Z30" s="75"/>
      <c r="AA30" s="75">
        <f t="shared" si="15"/>
        <v>193.212703165098</v>
      </c>
      <c r="AB30" s="84">
        <v>7.22</v>
      </c>
      <c r="AC30" s="73">
        <f t="shared" si="11"/>
        <v>1394.99571685201</v>
      </c>
      <c r="AD30" s="73">
        <f t="shared" si="14"/>
        <v>9935.67942087254</v>
      </c>
      <c r="AE30" s="73">
        <f t="shared" si="12"/>
        <v>746.970579127463</v>
      </c>
    </row>
    <row r="31" customFormat="1" spans="1:31">
      <c r="A31" s="18"/>
      <c r="B31" s="19"/>
      <c r="C31" s="20">
        <v>240426000003</v>
      </c>
      <c r="D31" s="21">
        <v>45413</v>
      </c>
      <c r="E31" s="21" t="s">
        <v>41</v>
      </c>
      <c r="F31" s="19" t="s">
        <v>42</v>
      </c>
      <c r="G31" s="19" t="s">
        <v>77</v>
      </c>
      <c r="H31" s="19">
        <v>7.5</v>
      </c>
      <c r="I31" s="52"/>
      <c r="J31" s="48">
        <v>93415</v>
      </c>
      <c r="K31" s="43"/>
      <c r="L31" s="49">
        <f t="shared" si="21"/>
        <v>1465.1035131744</v>
      </c>
      <c r="M31" s="50">
        <v>63.76</v>
      </c>
      <c r="N31" s="45">
        <v>7.22</v>
      </c>
      <c r="O31" s="46">
        <f>SUM(M31*N31)</f>
        <v>460.3472</v>
      </c>
      <c r="P31" s="51"/>
      <c r="Q31" s="51"/>
      <c r="R31" s="73">
        <f t="shared" si="17"/>
        <v>348.515183917879</v>
      </c>
      <c r="S31" s="73"/>
      <c r="T31" s="74">
        <f t="shared" si="18"/>
        <v>0.417023096663815</v>
      </c>
      <c r="U31" s="73"/>
      <c r="V31" s="73"/>
      <c r="W31" s="73">
        <f t="shared" si="13"/>
        <v>348.932207014542</v>
      </c>
      <c r="X31" s="75">
        <f t="shared" si="19"/>
        <v>7.94024807527801</v>
      </c>
      <c r="Y31" s="75"/>
      <c r="Z31" s="75"/>
      <c r="AA31" s="75">
        <f t="shared" si="15"/>
        <v>7.94024807527801</v>
      </c>
      <c r="AB31" s="84">
        <v>7.22</v>
      </c>
      <c r="AC31" s="73">
        <f t="shared" si="11"/>
        <v>57.3285911035072</v>
      </c>
      <c r="AD31" s="73">
        <f t="shared" si="14"/>
        <v>406.260798118049</v>
      </c>
      <c r="AE31" s="73">
        <f t="shared" si="12"/>
        <v>54.0864018819508</v>
      </c>
    </row>
    <row r="32" customFormat="1" spans="1:31">
      <c r="A32" s="18"/>
      <c r="B32" s="19"/>
      <c r="C32" s="20">
        <v>240426000014</v>
      </c>
      <c r="D32" s="21">
        <v>45413</v>
      </c>
      <c r="E32" s="21" t="s">
        <v>41</v>
      </c>
      <c r="F32" s="19" t="s">
        <v>42</v>
      </c>
      <c r="G32" s="19" t="s">
        <v>78</v>
      </c>
      <c r="H32" s="19">
        <v>3</v>
      </c>
      <c r="I32" s="52"/>
      <c r="J32" s="48">
        <v>62496</v>
      </c>
      <c r="K32" s="43"/>
      <c r="L32" s="49">
        <f t="shared" si="21"/>
        <v>1516.52511526329</v>
      </c>
      <c r="M32" s="50">
        <v>41.21</v>
      </c>
      <c r="N32" s="45">
        <v>7.22</v>
      </c>
      <c r="O32" s="46">
        <f>SUM(M32*N32)</f>
        <v>297.5362</v>
      </c>
      <c r="P32" s="51"/>
      <c r="Q32" s="51"/>
      <c r="R32" s="73">
        <f t="shared" si="17"/>
        <v>139.406073567151</v>
      </c>
      <c r="S32" s="73"/>
      <c r="T32" s="74">
        <f t="shared" si="18"/>
        <v>0.166809238665526</v>
      </c>
      <c r="U32" s="73"/>
      <c r="V32" s="73"/>
      <c r="W32" s="73">
        <f t="shared" si="13"/>
        <v>139.572882805817</v>
      </c>
      <c r="X32" s="75">
        <f t="shared" si="19"/>
        <v>3.17609923011121</v>
      </c>
      <c r="Y32" s="75"/>
      <c r="Z32" s="75"/>
      <c r="AA32" s="75">
        <f t="shared" si="15"/>
        <v>3.17609923011121</v>
      </c>
      <c r="AB32" s="84">
        <v>7.22</v>
      </c>
      <c r="AC32" s="73">
        <f t="shared" si="11"/>
        <v>22.9314364414029</v>
      </c>
      <c r="AD32" s="73">
        <f t="shared" si="14"/>
        <v>162.50431924722</v>
      </c>
      <c r="AE32" s="73">
        <f t="shared" si="12"/>
        <v>135.03188075278</v>
      </c>
    </row>
    <row r="33" customFormat="1" spans="1:31">
      <c r="A33" s="18"/>
      <c r="B33" s="19"/>
      <c r="C33" s="20">
        <v>240426000018</v>
      </c>
      <c r="D33" s="21">
        <v>45413</v>
      </c>
      <c r="E33" s="21" t="s">
        <v>41</v>
      </c>
      <c r="F33" s="19" t="s">
        <v>42</v>
      </c>
      <c r="G33" s="19" t="s">
        <v>79</v>
      </c>
      <c r="H33" s="19">
        <v>68.5</v>
      </c>
      <c r="I33" s="41">
        <v>4110</v>
      </c>
      <c r="J33" s="42"/>
      <c r="K33" s="43"/>
      <c r="L33" s="42"/>
      <c r="M33" s="44"/>
      <c r="N33" s="45"/>
      <c r="O33" s="46">
        <f t="shared" ref="O33:O36" si="22">SUM(I33)</f>
        <v>4110</v>
      </c>
      <c r="P33" s="51"/>
      <c r="Q33" s="51"/>
      <c r="R33" s="73">
        <f t="shared" si="17"/>
        <v>3183.10534644996</v>
      </c>
      <c r="S33" s="73"/>
      <c r="T33" s="74">
        <f t="shared" si="18"/>
        <v>3.80881094952951</v>
      </c>
      <c r="U33" s="73"/>
      <c r="V33" s="73"/>
      <c r="W33" s="73">
        <f t="shared" si="13"/>
        <v>3186.91415739949</v>
      </c>
      <c r="X33" s="75">
        <f t="shared" si="19"/>
        <v>72.5209324208725</v>
      </c>
      <c r="Y33" s="75"/>
      <c r="Z33" s="75"/>
      <c r="AA33" s="75">
        <f t="shared" si="15"/>
        <v>72.5209324208725</v>
      </c>
      <c r="AB33" s="84">
        <v>7.22</v>
      </c>
      <c r="AC33" s="73">
        <f t="shared" si="11"/>
        <v>523.601132078699</v>
      </c>
      <c r="AD33" s="73">
        <f t="shared" si="14"/>
        <v>3710.51528947819</v>
      </c>
      <c r="AE33" s="73">
        <f t="shared" si="12"/>
        <v>399.484710521811</v>
      </c>
    </row>
    <row r="34" customFormat="1" spans="1:31">
      <c r="A34" s="18"/>
      <c r="B34" s="19"/>
      <c r="C34" s="20">
        <v>240426000019</v>
      </c>
      <c r="D34" s="21">
        <v>45413</v>
      </c>
      <c r="E34" s="21" t="s">
        <v>54</v>
      </c>
      <c r="F34" s="19" t="s">
        <v>54</v>
      </c>
      <c r="G34" s="19" t="s">
        <v>80</v>
      </c>
      <c r="H34" s="19">
        <v>163</v>
      </c>
      <c r="I34" s="41">
        <v>13979</v>
      </c>
      <c r="J34" s="42"/>
      <c r="K34" s="43"/>
      <c r="L34" s="42"/>
      <c r="M34" s="44"/>
      <c r="N34" s="45"/>
      <c r="O34" s="46">
        <f t="shared" si="22"/>
        <v>13979</v>
      </c>
      <c r="P34" s="51"/>
      <c r="Q34" s="51"/>
      <c r="R34" s="73">
        <f t="shared" si="17"/>
        <v>7574.39666381523</v>
      </c>
      <c r="S34" s="73"/>
      <c r="T34" s="74">
        <f t="shared" si="18"/>
        <v>9.06330196749358</v>
      </c>
      <c r="U34" s="73"/>
      <c r="V34" s="73"/>
      <c r="W34" s="73">
        <f t="shared" si="13"/>
        <v>7583.45996578272</v>
      </c>
      <c r="X34" s="75">
        <f t="shared" si="19"/>
        <v>172.568058169376</v>
      </c>
      <c r="Y34" s="75"/>
      <c r="Z34" s="75"/>
      <c r="AA34" s="75">
        <f t="shared" si="15"/>
        <v>172.568058169376</v>
      </c>
      <c r="AB34" s="84">
        <v>7.22</v>
      </c>
      <c r="AC34" s="73">
        <f t="shared" si="11"/>
        <v>1245.94137998289</v>
      </c>
      <c r="AD34" s="73">
        <f t="shared" si="14"/>
        <v>8829.40134576561</v>
      </c>
      <c r="AE34" s="73">
        <f t="shared" si="12"/>
        <v>5149.59865423439</v>
      </c>
    </row>
    <row r="35" customFormat="1" spans="1:31">
      <c r="A35" s="18"/>
      <c r="B35" s="19"/>
      <c r="C35" s="22">
        <v>240426000020</v>
      </c>
      <c r="D35" s="23">
        <v>45413</v>
      </c>
      <c r="E35" s="23" t="s">
        <v>81</v>
      </c>
      <c r="F35" s="24" t="s">
        <v>82</v>
      </c>
      <c r="G35" s="24" t="s">
        <v>83</v>
      </c>
      <c r="H35" s="24">
        <v>6.5</v>
      </c>
      <c r="I35" s="41">
        <v>508</v>
      </c>
      <c r="J35" s="42"/>
      <c r="K35" s="43"/>
      <c r="L35" s="42"/>
      <c r="M35" s="44"/>
      <c r="N35" s="45"/>
      <c r="O35" s="46">
        <f t="shared" si="22"/>
        <v>508</v>
      </c>
      <c r="P35" s="51"/>
      <c r="Q35" s="51"/>
      <c r="R35" s="73">
        <f t="shared" si="17"/>
        <v>302.046492728828</v>
      </c>
      <c r="S35" s="73"/>
      <c r="T35" s="74">
        <f t="shared" si="18"/>
        <v>0.36142001710864</v>
      </c>
      <c r="U35" s="73"/>
      <c r="V35" s="73"/>
      <c r="W35" s="73">
        <f t="shared" si="13"/>
        <v>302.407912745937</v>
      </c>
      <c r="X35" s="75">
        <f t="shared" si="19"/>
        <v>6.88154833190761</v>
      </c>
      <c r="Y35" s="75"/>
      <c r="Z35" s="75"/>
      <c r="AA35" s="75">
        <f t="shared" si="15"/>
        <v>6.88154833190761</v>
      </c>
      <c r="AB35" s="84">
        <v>7.22</v>
      </c>
      <c r="AC35" s="73">
        <f t="shared" si="11"/>
        <v>49.6847789563729</v>
      </c>
      <c r="AD35" s="73">
        <f t="shared" si="14"/>
        <v>352.09269170231</v>
      </c>
      <c r="AE35" s="73">
        <f t="shared" si="12"/>
        <v>155.90730829769</v>
      </c>
    </row>
    <row r="36" customFormat="1" spans="1:31">
      <c r="A36" s="18"/>
      <c r="B36" s="19"/>
      <c r="C36" s="20">
        <v>240426000023</v>
      </c>
      <c r="D36" s="21">
        <v>45413</v>
      </c>
      <c r="E36" s="21" t="s">
        <v>37</v>
      </c>
      <c r="F36" s="19" t="s">
        <v>38</v>
      </c>
      <c r="G36" s="19" t="s">
        <v>84</v>
      </c>
      <c r="H36" s="19">
        <v>2</v>
      </c>
      <c r="I36" s="41">
        <v>158</v>
      </c>
      <c r="J36" s="42"/>
      <c r="K36" s="43"/>
      <c r="L36" s="42"/>
      <c r="M36" s="44"/>
      <c r="N36" s="45"/>
      <c r="O36" s="46">
        <f t="shared" si="22"/>
        <v>158</v>
      </c>
      <c r="P36" s="51"/>
      <c r="Q36" s="51"/>
      <c r="R36" s="73">
        <f t="shared" si="17"/>
        <v>92.9373823781009</v>
      </c>
      <c r="S36" s="73"/>
      <c r="T36" s="74">
        <f t="shared" si="18"/>
        <v>0.111206159110351</v>
      </c>
      <c r="U36" s="73"/>
      <c r="V36" s="73"/>
      <c r="W36" s="73">
        <f t="shared" si="13"/>
        <v>93.0485885372113</v>
      </c>
      <c r="X36" s="75">
        <f t="shared" si="19"/>
        <v>2.1173994867408</v>
      </c>
      <c r="Y36" s="75"/>
      <c r="Z36" s="75"/>
      <c r="AA36" s="75">
        <f t="shared" si="15"/>
        <v>2.1173994867408</v>
      </c>
      <c r="AB36" s="84">
        <v>7.22</v>
      </c>
      <c r="AC36" s="73">
        <f t="shared" si="11"/>
        <v>15.2876242942686</v>
      </c>
      <c r="AD36" s="73">
        <f t="shared" si="14"/>
        <v>108.33621283148</v>
      </c>
      <c r="AE36" s="73">
        <f t="shared" si="12"/>
        <v>49.6637871685201</v>
      </c>
    </row>
    <row r="37" customFormat="1" spans="1:31">
      <c r="A37" s="18"/>
      <c r="B37" s="19"/>
      <c r="C37" s="20">
        <v>240426000029</v>
      </c>
      <c r="D37" s="21">
        <v>45413</v>
      </c>
      <c r="E37" s="21" t="s">
        <v>41</v>
      </c>
      <c r="F37" s="19" t="s">
        <v>85</v>
      </c>
      <c r="G37" s="19" t="s">
        <v>86</v>
      </c>
      <c r="H37" s="19">
        <v>10</v>
      </c>
      <c r="I37" s="46"/>
      <c r="J37" s="48">
        <v>171678</v>
      </c>
      <c r="K37" s="43"/>
      <c r="L37" s="49">
        <f>SUM(J37/M37)</f>
        <v>1481.00414078675</v>
      </c>
      <c r="M37" s="50">
        <v>115.92</v>
      </c>
      <c r="N37" s="45">
        <v>7.22</v>
      </c>
      <c r="O37" s="46">
        <f>SUM(M37*N37)</f>
        <v>836.9424</v>
      </c>
      <c r="P37" s="51"/>
      <c r="Q37" s="51"/>
      <c r="R37" s="73">
        <f t="shared" si="17"/>
        <v>464.686911890505</v>
      </c>
      <c r="S37" s="73"/>
      <c r="T37" s="74">
        <f t="shared" si="18"/>
        <v>0.556030795551754</v>
      </c>
      <c r="U37" s="73"/>
      <c r="V37" s="73"/>
      <c r="W37" s="73">
        <f t="shared" si="13"/>
        <v>465.242942686056</v>
      </c>
      <c r="X37" s="75">
        <f t="shared" si="19"/>
        <v>10.586997433704</v>
      </c>
      <c r="Y37" s="75"/>
      <c r="Z37" s="75"/>
      <c r="AA37" s="75">
        <f t="shared" si="15"/>
        <v>10.586997433704</v>
      </c>
      <c r="AB37" s="84">
        <v>7.22</v>
      </c>
      <c r="AC37" s="73">
        <f t="shared" si="11"/>
        <v>76.4381214713429</v>
      </c>
      <c r="AD37" s="73">
        <f t="shared" si="14"/>
        <v>541.681064157399</v>
      </c>
      <c r="AE37" s="73">
        <f t="shared" si="12"/>
        <v>295.261335842601</v>
      </c>
    </row>
    <row r="38" customFormat="1" spans="1:31">
      <c r="A38" s="18"/>
      <c r="B38" s="19"/>
      <c r="C38" s="20">
        <v>240426000032</v>
      </c>
      <c r="D38" s="21">
        <v>45413</v>
      </c>
      <c r="E38" s="21" t="s">
        <v>41</v>
      </c>
      <c r="F38" s="19" t="s">
        <v>42</v>
      </c>
      <c r="G38" s="19" t="s">
        <v>87</v>
      </c>
      <c r="H38" s="19">
        <v>26</v>
      </c>
      <c r="I38" s="52"/>
      <c r="J38" s="48">
        <v>392700</v>
      </c>
      <c r="K38" s="43"/>
      <c r="L38" s="49">
        <f>SUM(J38/M38)</f>
        <v>1516.21621621622</v>
      </c>
      <c r="M38" s="50">
        <v>259</v>
      </c>
      <c r="N38" s="45">
        <v>7.22</v>
      </c>
      <c r="O38" s="46">
        <f>SUM(M38*N38)</f>
        <v>1869.98</v>
      </c>
      <c r="P38" s="51"/>
      <c r="Q38" s="51"/>
      <c r="R38" s="73">
        <f t="shared" si="17"/>
        <v>1208.18597091531</v>
      </c>
      <c r="S38" s="73"/>
      <c r="T38" s="74">
        <f t="shared" si="18"/>
        <v>1.44568006843456</v>
      </c>
      <c r="U38" s="73">
        <v>50</v>
      </c>
      <c r="V38" s="73"/>
      <c r="W38" s="73">
        <f t="shared" si="13"/>
        <v>1259.63165098375</v>
      </c>
      <c r="X38" s="75">
        <f t="shared" si="19"/>
        <v>27.5261933276305</v>
      </c>
      <c r="Y38" s="75"/>
      <c r="Z38" s="75"/>
      <c r="AA38" s="75">
        <f t="shared" si="15"/>
        <v>27.5261933276305</v>
      </c>
      <c r="AB38" s="84">
        <v>7.22</v>
      </c>
      <c r="AC38" s="73">
        <f t="shared" si="11"/>
        <v>198.739115825492</v>
      </c>
      <c r="AD38" s="73">
        <f t="shared" si="14"/>
        <v>1458.37076680924</v>
      </c>
      <c r="AE38" s="73">
        <f t="shared" si="12"/>
        <v>411.609233190758</v>
      </c>
    </row>
    <row r="39" customFormat="1" spans="1:31">
      <c r="A39" s="18"/>
      <c r="B39" s="19"/>
      <c r="C39" s="20">
        <v>240426000033</v>
      </c>
      <c r="D39" s="21">
        <v>45413</v>
      </c>
      <c r="E39" s="21" t="s">
        <v>37</v>
      </c>
      <c r="F39" s="19" t="s">
        <v>38</v>
      </c>
      <c r="G39" s="19" t="s">
        <v>88</v>
      </c>
      <c r="H39" s="19">
        <v>12.5</v>
      </c>
      <c r="I39" s="41">
        <v>762</v>
      </c>
      <c r="J39" s="42"/>
      <c r="K39" s="43"/>
      <c r="L39" s="42"/>
      <c r="M39" s="44"/>
      <c r="N39" s="45"/>
      <c r="O39" s="46">
        <f t="shared" ref="O39:O42" si="23">SUM(I39)</f>
        <v>762</v>
      </c>
      <c r="P39" s="51"/>
      <c r="Q39" s="51"/>
      <c r="R39" s="73">
        <f t="shared" si="17"/>
        <v>580.858639863131</v>
      </c>
      <c r="S39" s="73"/>
      <c r="T39" s="74">
        <f t="shared" si="18"/>
        <v>0.695038494439692</v>
      </c>
      <c r="U39" s="73"/>
      <c r="V39" s="73"/>
      <c r="W39" s="73">
        <f t="shared" si="13"/>
        <v>581.553678357571</v>
      </c>
      <c r="X39" s="75">
        <f t="shared" si="19"/>
        <v>13.23374679213</v>
      </c>
      <c r="Y39" s="75"/>
      <c r="Z39" s="75"/>
      <c r="AA39" s="75">
        <f t="shared" si="15"/>
        <v>13.23374679213</v>
      </c>
      <c r="AB39" s="84">
        <v>7.22</v>
      </c>
      <c r="AC39" s="73">
        <f t="shared" si="11"/>
        <v>95.5476518391786</v>
      </c>
      <c r="AD39" s="73">
        <f t="shared" si="14"/>
        <v>677.10133019675</v>
      </c>
      <c r="AE39" s="73">
        <f t="shared" si="12"/>
        <v>84.8986698032504</v>
      </c>
    </row>
    <row r="40" customFormat="1" spans="1:31">
      <c r="A40" s="18"/>
      <c r="B40" s="19"/>
      <c r="C40" s="20">
        <v>240426000035</v>
      </c>
      <c r="D40" s="21">
        <v>45413</v>
      </c>
      <c r="E40" s="21" t="s">
        <v>37</v>
      </c>
      <c r="F40" s="19" t="s">
        <v>38</v>
      </c>
      <c r="G40" s="19" t="s">
        <v>89</v>
      </c>
      <c r="H40" s="19">
        <v>7.5</v>
      </c>
      <c r="I40" s="41">
        <v>561</v>
      </c>
      <c r="J40" s="42"/>
      <c r="K40" s="43"/>
      <c r="L40" s="42"/>
      <c r="M40" s="44"/>
      <c r="N40" s="45"/>
      <c r="O40" s="46">
        <f t="shared" si="23"/>
        <v>561</v>
      </c>
      <c r="P40" s="51"/>
      <c r="Q40" s="51"/>
      <c r="R40" s="73">
        <f t="shared" si="17"/>
        <v>348.515183917879</v>
      </c>
      <c r="S40" s="73"/>
      <c r="T40" s="74">
        <f t="shared" si="18"/>
        <v>0.417023096663815</v>
      </c>
      <c r="U40" s="73"/>
      <c r="V40" s="73"/>
      <c r="W40" s="73">
        <f t="shared" si="13"/>
        <v>348.932207014542</v>
      </c>
      <c r="X40" s="75">
        <f t="shared" si="19"/>
        <v>7.94024807527801</v>
      </c>
      <c r="Y40" s="75"/>
      <c r="Z40" s="75"/>
      <c r="AA40" s="75">
        <f t="shared" si="15"/>
        <v>7.94024807527801</v>
      </c>
      <c r="AB40" s="84">
        <v>7.22</v>
      </c>
      <c r="AC40" s="73">
        <f t="shared" si="11"/>
        <v>57.3285911035072</v>
      </c>
      <c r="AD40" s="73">
        <f t="shared" si="14"/>
        <v>406.260798118049</v>
      </c>
      <c r="AE40" s="73">
        <f t="shared" si="12"/>
        <v>154.739201881951</v>
      </c>
    </row>
    <row r="41" customFormat="1" spans="1:31">
      <c r="A41" s="18"/>
      <c r="B41" s="19"/>
      <c r="C41" s="20">
        <v>240426000036</v>
      </c>
      <c r="D41" s="21">
        <v>45413</v>
      </c>
      <c r="E41" s="21" t="s">
        <v>37</v>
      </c>
      <c r="F41" s="19" t="s">
        <v>38</v>
      </c>
      <c r="G41" s="19" t="s">
        <v>89</v>
      </c>
      <c r="H41" s="19">
        <v>1.5</v>
      </c>
      <c r="I41" s="41">
        <v>155.25</v>
      </c>
      <c r="J41" s="42"/>
      <c r="K41" s="43"/>
      <c r="L41" s="42"/>
      <c r="M41" s="44"/>
      <c r="N41" s="45"/>
      <c r="O41" s="46">
        <f t="shared" si="23"/>
        <v>155.25</v>
      </c>
      <c r="P41" s="51"/>
      <c r="Q41" s="51"/>
      <c r="R41" s="73">
        <f t="shared" si="17"/>
        <v>69.7030367835757</v>
      </c>
      <c r="S41" s="73"/>
      <c r="T41" s="74">
        <f t="shared" si="18"/>
        <v>0.0834046193327631</v>
      </c>
      <c r="U41" s="73"/>
      <c r="V41" s="73"/>
      <c r="W41" s="73">
        <f t="shared" si="13"/>
        <v>69.7864414029085</v>
      </c>
      <c r="X41" s="75">
        <f t="shared" si="19"/>
        <v>1.5880496150556</v>
      </c>
      <c r="Y41" s="75"/>
      <c r="Z41" s="75"/>
      <c r="AA41" s="75">
        <f t="shared" si="15"/>
        <v>1.5880496150556</v>
      </c>
      <c r="AB41" s="84">
        <v>7.22</v>
      </c>
      <c r="AC41" s="73">
        <f t="shared" si="11"/>
        <v>11.4657182207014</v>
      </c>
      <c r="AD41" s="73">
        <f t="shared" si="14"/>
        <v>81.2521596236099</v>
      </c>
      <c r="AE41" s="73">
        <f t="shared" si="12"/>
        <v>73.9978403763901</v>
      </c>
    </row>
    <row r="42" customFormat="1" spans="1:31">
      <c r="A42" s="18"/>
      <c r="B42" s="19"/>
      <c r="C42" s="20">
        <v>240426000039</v>
      </c>
      <c r="D42" s="21">
        <v>45413</v>
      </c>
      <c r="E42" s="21" t="s">
        <v>54</v>
      </c>
      <c r="F42" s="19" t="s">
        <v>54</v>
      </c>
      <c r="G42" s="19" t="s">
        <v>90</v>
      </c>
      <c r="H42" s="19">
        <v>344.5</v>
      </c>
      <c r="I42" s="41">
        <v>17756.5</v>
      </c>
      <c r="J42" s="42"/>
      <c r="K42" s="43"/>
      <c r="L42" s="42"/>
      <c r="M42" s="44"/>
      <c r="N42" s="45"/>
      <c r="O42" s="46">
        <f t="shared" si="23"/>
        <v>17756.5</v>
      </c>
      <c r="P42" s="51"/>
      <c r="Q42" s="51"/>
      <c r="R42" s="73">
        <f t="shared" si="17"/>
        <v>16008.4641146279</v>
      </c>
      <c r="S42" s="73"/>
      <c r="T42" s="74">
        <f t="shared" si="18"/>
        <v>19.1552609067579</v>
      </c>
      <c r="U42" s="73"/>
      <c r="V42" s="73"/>
      <c r="W42" s="73">
        <f t="shared" si="13"/>
        <v>16027.6193755346</v>
      </c>
      <c r="X42" s="75">
        <f t="shared" si="19"/>
        <v>364.722061591103</v>
      </c>
      <c r="Y42" s="75"/>
      <c r="Z42" s="75"/>
      <c r="AA42" s="75">
        <f t="shared" si="15"/>
        <v>364.722061591103</v>
      </c>
      <c r="AB42" s="84">
        <v>7.22</v>
      </c>
      <c r="AC42" s="73">
        <f t="shared" si="11"/>
        <v>2633.29328468776</v>
      </c>
      <c r="AD42" s="73">
        <f t="shared" si="14"/>
        <v>18660.9126602224</v>
      </c>
      <c r="AE42" s="73">
        <f t="shared" si="12"/>
        <v>-904.412660222362</v>
      </c>
    </row>
    <row r="43" customFormat="1" spans="1:31">
      <c r="A43" s="18"/>
      <c r="B43" s="19"/>
      <c r="C43" s="20">
        <v>240426000043</v>
      </c>
      <c r="D43" s="21">
        <v>45413</v>
      </c>
      <c r="E43" s="21" t="s">
        <v>37</v>
      </c>
      <c r="F43" s="19" t="s">
        <v>38</v>
      </c>
      <c r="G43" s="19" t="s">
        <v>91</v>
      </c>
      <c r="H43" s="19">
        <v>28</v>
      </c>
      <c r="I43" s="46"/>
      <c r="J43" s="48">
        <v>371598</v>
      </c>
      <c r="K43" s="43"/>
      <c r="L43" s="49">
        <f>SUM(J43/M43)</f>
        <v>1481.00115579291</v>
      </c>
      <c r="M43" s="50">
        <v>250.91</v>
      </c>
      <c r="N43" s="45">
        <v>7.22</v>
      </c>
      <c r="O43" s="46">
        <f>SUM(M43*N43)</f>
        <v>1811.5702</v>
      </c>
      <c r="P43" s="51"/>
      <c r="Q43" s="51"/>
      <c r="R43" s="73">
        <f t="shared" si="17"/>
        <v>1301.12335329341</v>
      </c>
      <c r="S43" s="73"/>
      <c r="T43" s="74">
        <f t="shared" si="18"/>
        <v>1.55688622754491</v>
      </c>
      <c r="U43" s="73"/>
      <c r="V43" s="73"/>
      <c r="W43" s="73">
        <f t="shared" si="13"/>
        <v>1302.68023952096</v>
      </c>
      <c r="X43" s="75">
        <f t="shared" si="19"/>
        <v>29.6435928143713</v>
      </c>
      <c r="Y43" s="75"/>
      <c r="Z43" s="75"/>
      <c r="AA43" s="75">
        <f t="shared" si="15"/>
        <v>29.6435928143713</v>
      </c>
      <c r="AB43" s="84">
        <v>7.22</v>
      </c>
      <c r="AC43" s="73">
        <f t="shared" si="11"/>
        <v>214.026740119761</v>
      </c>
      <c r="AD43" s="73">
        <f t="shared" si="14"/>
        <v>1516.70697964072</v>
      </c>
      <c r="AE43" s="73">
        <f t="shared" si="12"/>
        <v>294.863220359279</v>
      </c>
    </row>
    <row r="44" customFormat="1" spans="1:31">
      <c r="A44" s="18"/>
      <c r="B44" s="19"/>
      <c r="C44" s="20">
        <v>240427000003</v>
      </c>
      <c r="D44" s="21">
        <v>45413</v>
      </c>
      <c r="E44" s="21" t="s">
        <v>54</v>
      </c>
      <c r="F44" s="19" t="s">
        <v>54</v>
      </c>
      <c r="G44" s="19" t="s">
        <v>92</v>
      </c>
      <c r="H44" s="19">
        <v>797</v>
      </c>
      <c r="I44" s="41">
        <v>39451.5</v>
      </c>
      <c r="J44" s="42"/>
      <c r="K44" s="43"/>
      <c r="L44" s="42"/>
      <c r="M44" s="44"/>
      <c r="N44" s="45"/>
      <c r="O44" s="46">
        <f t="shared" ref="O44:O54" si="24">SUM(I44)</f>
        <v>39451.5</v>
      </c>
      <c r="P44" s="51"/>
      <c r="Q44" s="51"/>
      <c r="R44" s="73">
        <f t="shared" si="17"/>
        <v>37035.5468776732</v>
      </c>
      <c r="S44" s="73"/>
      <c r="T44" s="74">
        <f t="shared" si="18"/>
        <v>44.3156544054748</v>
      </c>
      <c r="U44" s="73"/>
      <c r="V44" s="73"/>
      <c r="W44" s="73">
        <f t="shared" si="13"/>
        <v>37079.8625320787</v>
      </c>
      <c r="X44" s="75">
        <f t="shared" si="19"/>
        <v>843.78369546621</v>
      </c>
      <c r="Y44" s="75"/>
      <c r="Z44" s="75"/>
      <c r="AA44" s="75">
        <f t="shared" si="15"/>
        <v>843.78369546621</v>
      </c>
      <c r="AB44" s="84">
        <v>7.22</v>
      </c>
      <c r="AC44" s="73">
        <f t="shared" si="11"/>
        <v>6092.11828126604</v>
      </c>
      <c r="AD44" s="73">
        <f t="shared" si="14"/>
        <v>43171.9808133447</v>
      </c>
      <c r="AE44" s="73">
        <f t="shared" si="12"/>
        <v>-3720.4808133447</v>
      </c>
    </row>
    <row r="45" customFormat="1" spans="1:31">
      <c r="A45" s="18"/>
      <c r="B45" s="19"/>
      <c r="C45" s="20">
        <v>240427000004</v>
      </c>
      <c r="D45" s="21">
        <v>45413</v>
      </c>
      <c r="E45" s="21" t="s">
        <v>47</v>
      </c>
      <c r="F45" s="19" t="s">
        <v>93</v>
      </c>
      <c r="G45" s="19" t="s">
        <v>94</v>
      </c>
      <c r="H45" s="19">
        <v>1.5</v>
      </c>
      <c r="I45" s="41">
        <v>91.07001</v>
      </c>
      <c r="J45" s="42"/>
      <c r="K45" s="43"/>
      <c r="L45" s="42"/>
      <c r="M45" s="44"/>
      <c r="N45" s="45"/>
      <c r="O45" s="46">
        <f t="shared" si="24"/>
        <v>91.07001</v>
      </c>
      <c r="P45" s="51"/>
      <c r="Q45" s="51"/>
      <c r="R45" s="73">
        <f t="shared" si="17"/>
        <v>69.7030367835757</v>
      </c>
      <c r="S45" s="73"/>
      <c r="T45" s="74">
        <f t="shared" si="18"/>
        <v>0.0834046193327631</v>
      </c>
      <c r="U45" s="73"/>
      <c r="V45" s="73"/>
      <c r="W45" s="73">
        <f t="shared" si="13"/>
        <v>69.7864414029085</v>
      </c>
      <c r="X45" s="75">
        <f t="shared" si="19"/>
        <v>1.5880496150556</v>
      </c>
      <c r="Y45" s="75"/>
      <c r="Z45" s="75"/>
      <c r="AA45" s="75">
        <f t="shared" si="15"/>
        <v>1.5880496150556</v>
      </c>
      <c r="AB45" s="84">
        <v>7.22</v>
      </c>
      <c r="AC45" s="73">
        <f t="shared" si="11"/>
        <v>11.4657182207014</v>
      </c>
      <c r="AD45" s="73">
        <f t="shared" si="14"/>
        <v>81.2521596236099</v>
      </c>
      <c r="AE45" s="73">
        <f t="shared" si="12"/>
        <v>9.8178503763901</v>
      </c>
    </row>
    <row r="46" customFormat="1" spans="1:31">
      <c r="A46" s="18"/>
      <c r="B46" s="19"/>
      <c r="C46" s="20">
        <v>240428000006</v>
      </c>
      <c r="D46" s="21">
        <v>45413</v>
      </c>
      <c r="E46" s="21" t="s">
        <v>37</v>
      </c>
      <c r="F46" s="19" t="s">
        <v>38</v>
      </c>
      <c r="G46" s="19" t="s">
        <v>95</v>
      </c>
      <c r="H46" s="19">
        <v>0.64</v>
      </c>
      <c r="I46" s="41">
        <v>68</v>
      </c>
      <c r="J46" s="42"/>
      <c r="K46" s="43"/>
      <c r="L46" s="42"/>
      <c r="M46" s="44"/>
      <c r="N46" s="45"/>
      <c r="O46" s="46">
        <f t="shared" si="24"/>
        <v>68</v>
      </c>
      <c r="P46" s="51"/>
      <c r="Q46" s="51"/>
      <c r="R46" s="73">
        <f t="shared" si="17"/>
        <v>29.7399623609923</v>
      </c>
      <c r="S46" s="73"/>
      <c r="T46" s="74">
        <f t="shared" si="18"/>
        <v>0.0355859709153122</v>
      </c>
      <c r="U46" s="73"/>
      <c r="V46" s="73"/>
      <c r="W46" s="73">
        <f t="shared" si="13"/>
        <v>29.7755483319076</v>
      </c>
      <c r="X46" s="75">
        <f t="shared" si="19"/>
        <v>0.677567835757057</v>
      </c>
      <c r="Y46" s="75"/>
      <c r="Z46" s="75"/>
      <c r="AA46" s="75">
        <f t="shared" si="15"/>
        <v>0.677567835757057</v>
      </c>
      <c r="AB46" s="84">
        <v>7.22</v>
      </c>
      <c r="AC46" s="73">
        <f t="shared" si="11"/>
        <v>4.89203977416595</v>
      </c>
      <c r="AD46" s="73">
        <f t="shared" si="14"/>
        <v>34.6675881060736</v>
      </c>
      <c r="AE46" s="73">
        <f t="shared" si="12"/>
        <v>33.3324118939264</v>
      </c>
    </row>
    <row r="47" customFormat="1" spans="1:31">
      <c r="A47" s="18"/>
      <c r="B47" s="19"/>
      <c r="C47" s="20">
        <v>240428000024</v>
      </c>
      <c r="D47" s="21">
        <v>45413</v>
      </c>
      <c r="E47" s="21" t="s">
        <v>41</v>
      </c>
      <c r="F47" s="19" t="s">
        <v>42</v>
      </c>
      <c r="G47" s="19" t="s">
        <v>96</v>
      </c>
      <c r="H47" s="19">
        <v>0.58</v>
      </c>
      <c r="I47" s="41">
        <v>65</v>
      </c>
      <c r="J47" s="42"/>
      <c r="K47" s="43"/>
      <c r="L47" s="42"/>
      <c r="M47" s="44"/>
      <c r="N47" s="45"/>
      <c r="O47" s="46">
        <f t="shared" si="24"/>
        <v>65</v>
      </c>
      <c r="P47" s="51"/>
      <c r="Q47" s="51"/>
      <c r="R47" s="73">
        <f t="shared" si="17"/>
        <v>26.9518408896493</v>
      </c>
      <c r="S47" s="73"/>
      <c r="T47" s="74">
        <f t="shared" si="18"/>
        <v>0.0322497861420017</v>
      </c>
      <c r="U47" s="73"/>
      <c r="V47" s="73"/>
      <c r="W47" s="73">
        <f t="shared" si="13"/>
        <v>26.9840906757913</v>
      </c>
      <c r="X47" s="75">
        <f t="shared" si="19"/>
        <v>0.614045851154833</v>
      </c>
      <c r="Y47" s="75"/>
      <c r="Z47" s="75"/>
      <c r="AA47" s="75">
        <f t="shared" si="15"/>
        <v>0.614045851154833</v>
      </c>
      <c r="AB47" s="84">
        <v>7.22</v>
      </c>
      <c r="AC47" s="73">
        <f t="shared" si="11"/>
        <v>4.43341104533789</v>
      </c>
      <c r="AD47" s="73">
        <f t="shared" si="14"/>
        <v>31.4175017211292</v>
      </c>
      <c r="AE47" s="73">
        <f t="shared" si="12"/>
        <v>33.5824982788708</v>
      </c>
    </row>
    <row r="48" customFormat="1" spans="1:31">
      <c r="A48" s="18"/>
      <c r="B48" s="19"/>
      <c r="C48" s="20">
        <v>240428000030</v>
      </c>
      <c r="D48" s="21">
        <v>45413</v>
      </c>
      <c r="E48" s="21" t="s">
        <v>54</v>
      </c>
      <c r="F48" s="19" t="s">
        <v>54</v>
      </c>
      <c r="G48" s="19" t="s">
        <v>97</v>
      </c>
      <c r="H48" s="19">
        <v>12.5</v>
      </c>
      <c r="I48" s="41">
        <v>970.9</v>
      </c>
      <c r="J48" s="42"/>
      <c r="K48" s="43"/>
      <c r="L48" s="42"/>
      <c r="M48" s="44"/>
      <c r="N48" s="45"/>
      <c r="O48" s="46">
        <f t="shared" si="24"/>
        <v>970.9</v>
      </c>
      <c r="P48" s="51"/>
      <c r="Q48" s="51"/>
      <c r="R48" s="73">
        <f t="shared" si="17"/>
        <v>580.858639863131</v>
      </c>
      <c r="S48" s="73"/>
      <c r="T48" s="74">
        <f t="shared" si="18"/>
        <v>0.695038494439692</v>
      </c>
      <c r="U48" s="73"/>
      <c r="V48" s="73"/>
      <c r="W48" s="73">
        <f t="shared" si="13"/>
        <v>581.553678357571</v>
      </c>
      <c r="X48" s="75">
        <f t="shared" si="19"/>
        <v>13.23374679213</v>
      </c>
      <c r="Y48" s="75"/>
      <c r="Z48" s="75"/>
      <c r="AA48" s="75">
        <f t="shared" si="15"/>
        <v>13.23374679213</v>
      </c>
      <c r="AB48" s="84">
        <v>7.22</v>
      </c>
      <c r="AC48" s="73">
        <f t="shared" si="11"/>
        <v>95.5476518391786</v>
      </c>
      <c r="AD48" s="73">
        <f t="shared" si="14"/>
        <v>677.10133019675</v>
      </c>
      <c r="AE48" s="73">
        <f t="shared" si="12"/>
        <v>293.79866980325</v>
      </c>
    </row>
    <row r="49" customFormat="1" spans="1:31">
      <c r="A49" s="18"/>
      <c r="B49" s="19"/>
      <c r="C49" s="20">
        <v>240428000033</v>
      </c>
      <c r="D49" s="21">
        <v>45413</v>
      </c>
      <c r="E49" s="21" t="s">
        <v>54</v>
      </c>
      <c r="F49" s="19" t="s">
        <v>54</v>
      </c>
      <c r="G49" s="19" t="s">
        <v>98</v>
      </c>
      <c r="H49" s="19">
        <v>11</v>
      </c>
      <c r="I49" s="41">
        <v>744.7</v>
      </c>
      <c r="J49" s="42"/>
      <c r="K49" s="43"/>
      <c r="L49" s="42"/>
      <c r="M49" s="44"/>
      <c r="N49" s="45"/>
      <c r="O49" s="46">
        <f t="shared" si="24"/>
        <v>744.7</v>
      </c>
      <c r="P49" s="51"/>
      <c r="Q49" s="51"/>
      <c r="R49" s="73">
        <f t="shared" si="17"/>
        <v>511.155603079555</v>
      </c>
      <c r="S49" s="73"/>
      <c r="T49" s="74">
        <f t="shared" si="18"/>
        <v>0.611633875106929</v>
      </c>
      <c r="U49" s="73"/>
      <c r="V49" s="73"/>
      <c r="W49" s="73">
        <f t="shared" si="13"/>
        <v>511.767236954662</v>
      </c>
      <c r="X49" s="75">
        <f t="shared" si="19"/>
        <v>11.6456971770744</v>
      </c>
      <c r="Y49" s="75"/>
      <c r="Z49" s="75"/>
      <c r="AA49" s="75">
        <f t="shared" si="15"/>
        <v>11.6456971770744</v>
      </c>
      <c r="AB49" s="84">
        <v>7.22</v>
      </c>
      <c r="AC49" s="73">
        <f t="shared" si="11"/>
        <v>84.0819336184772</v>
      </c>
      <c r="AD49" s="73">
        <f t="shared" si="14"/>
        <v>595.849170573139</v>
      </c>
      <c r="AE49" s="73">
        <f t="shared" si="12"/>
        <v>148.850829426861</v>
      </c>
    </row>
    <row r="50" customFormat="1" spans="1:31">
      <c r="A50" s="18"/>
      <c r="B50" s="19"/>
      <c r="C50" s="20">
        <v>240428000034</v>
      </c>
      <c r="D50" s="21">
        <v>45413</v>
      </c>
      <c r="E50" s="21" t="s">
        <v>54</v>
      </c>
      <c r="F50" s="19" t="s">
        <v>54</v>
      </c>
      <c r="G50" s="19" t="s">
        <v>99</v>
      </c>
      <c r="H50" s="19">
        <v>6</v>
      </c>
      <c r="I50" s="41">
        <v>369.6</v>
      </c>
      <c r="J50" s="42"/>
      <c r="K50" s="43"/>
      <c r="L50" s="42"/>
      <c r="M50" s="44"/>
      <c r="N50" s="45"/>
      <c r="O50" s="46">
        <f t="shared" si="24"/>
        <v>369.6</v>
      </c>
      <c r="P50" s="51"/>
      <c r="Q50" s="51"/>
      <c r="R50" s="73">
        <f t="shared" si="17"/>
        <v>278.812147134303</v>
      </c>
      <c r="S50" s="73"/>
      <c r="T50" s="74">
        <f t="shared" si="18"/>
        <v>0.333618477331052</v>
      </c>
      <c r="U50" s="73"/>
      <c r="V50" s="73"/>
      <c r="W50" s="73">
        <f t="shared" si="13"/>
        <v>279.145765611634</v>
      </c>
      <c r="X50" s="75">
        <f t="shared" si="19"/>
        <v>6.35219846022241</v>
      </c>
      <c r="Y50" s="75"/>
      <c r="Z50" s="75"/>
      <c r="AA50" s="75">
        <f t="shared" si="15"/>
        <v>6.35219846022241</v>
      </c>
      <c r="AB50" s="84">
        <v>7.22</v>
      </c>
      <c r="AC50" s="73">
        <f t="shared" si="11"/>
        <v>45.8628728828058</v>
      </c>
      <c r="AD50" s="73">
        <f t="shared" si="14"/>
        <v>325.00863849444</v>
      </c>
      <c r="AE50" s="73">
        <f t="shared" si="12"/>
        <v>44.59136150556</v>
      </c>
    </row>
    <row r="51" customFormat="1" spans="1:31">
      <c r="A51" s="18"/>
      <c r="B51" s="19"/>
      <c r="C51" s="20">
        <v>240428000036</v>
      </c>
      <c r="D51" s="21">
        <v>45413</v>
      </c>
      <c r="E51" s="21" t="s">
        <v>54</v>
      </c>
      <c r="F51" s="19" t="s">
        <v>54</v>
      </c>
      <c r="G51" s="19" t="s">
        <v>100</v>
      </c>
      <c r="H51" s="19">
        <v>12.5</v>
      </c>
      <c r="I51" s="41">
        <v>1062.5</v>
      </c>
      <c r="J51" s="42"/>
      <c r="K51" s="43"/>
      <c r="L51" s="42"/>
      <c r="M51" s="44"/>
      <c r="N51" s="45"/>
      <c r="O51" s="46">
        <f t="shared" si="24"/>
        <v>1062.5</v>
      </c>
      <c r="P51" s="51"/>
      <c r="Q51" s="51"/>
      <c r="R51" s="73">
        <f t="shared" si="17"/>
        <v>580.858639863131</v>
      </c>
      <c r="S51" s="73"/>
      <c r="T51" s="74">
        <f t="shared" si="18"/>
        <v>0.695038494439692</v>
      </c>
      <c r="U51" s="73"/>
      <c r="V51" s="73"/>
      <c r="W51" s="73">
        <f t="shared" si="13"/>
        <v>581.553678357571</v>
      </c>
      <c r="X51" s="75">
        <f t="shared" si="19"/>
        <v>13.23374679213</v>
      </c>
      <c r="Y51" s="75"/>
      <c r="Z51" s="75"/>
      <c r="AA51" s="75">
        <f t="shared" si="15"/>
        <v>13.23374679213</v>
      </c>
      <c r="AB51" s="84">
        <v>7.22</v>
      </c>
      <c r="AC51" s="73">
        <f t="shared" si="11"/>
        <v>95.5476518391786</v>
      </c>
      <c r="AD51" s="73">
        <f t="shared" si="14"/>
        <v>677.10133019675</v>
      </c>
      <c r="AE51" s="73">
        <f t="shared" si="12"/>
        <v>385.39866980325</v>
      </c>
    </row>
    <row r="52" customFormat="1" spans="1:31">
      <c r="A52" s="18"/>
      <c r="B52" s="19"/>
      <c r="C52" s="20">
        <v>240428000040</v>
      </c>
      <c r="D52" s="21">
        <v>45413</v>
      </c>
      <c r="E52" s="21" t="s">
        <v>54</v>
      </c>
      <c r="F52" s="19" t="s">
        <v>54</v>
      </c>
      <c r="G52" s="19" t="s">
        <v>101</v>
      </c>
      <c r="H52" s="19">
        <v>1.5</v>
      </c>
      <c r="I52" s="41">
        <v>99</v>
      </c>
      <c r="J52" s="42"/>
      <c r="K52" s="43"/>
      <c r="L52" s="42"/>
      <c r="M52" s="44"/>
      <c r="N52" s="45"/>
      <c r="O52" s="46">
        <f t="shared" si="24"/>
        <v>99</v>
      </c>
      <c r="P52" s="53"/>
      <c r="Q52" s="53"/>
      <c r="R52" s="73">
        <f t="shared" si="17"/>
        <v>69.7030367835757</v>
      </c>
      <c r="S52" s="73"/>
      <c r="T52" s="74">
        <f t="shared" si="18"/>
        <v>0.0834046193327631</v>
      </c>
      <c r="U52" s="73"/>
      <c r="V52" s="73"/>
      <c r="W52" s="73">
        <f t="shared" ref="W52:W65" si="25">SUM(R52:V52)</f>
        <v>69.7864414029085</v>
      </c>
      <c r="X52" s="75">
        <f t="shared" si="19"/>
        <v>1.5880496150556</v>
      </c>
      <c r="Y52" s="75"/>
      <c r="Z52" s="75"/>
      <c r="AA52" s="75">
        <f t="shared" ref="AA52:AA65" si="26">SUM(X52:Z52)</f>
        <v>1.5880496150556</v>
      </c>
      <c r="AB52" s="84">
        <v>7.22</v>
      </c>
      <c r="AC52" s="73">
        <f t="shared" ref="AC52:AC65" si="27">SUM(AA52*AB52)</f>
        <v>11.4657182207014</v>
      </c>
      <c r="AD52" s="73">
        <f t="shared" ref="AD52:AD65" si="28">SUM(W52+AC52)</f>
        <v>81.2521596236099</v>
      </c>
      <c r="AE52" s="73">
        <f t="shared" ref="AE52:AE65" si="29">SUM(O52-AD52)</f>
        <v>17.7478403763901</v>
      </c>
    </row>
    <row r="53" customFormat="1" spans="1:31">
      <c r="A53" s="18" t="s">
        <v>102</v>
      </c>
      <c r="B53" s="19" t="s">
        <v>103</v>
      </c>
      <c r="C53" s="20">
        <v>240423000050</v>
      </c>
      <c r="D53" s="21">
        <v>45413</v>
      </c>
      <c r="E53" s="21" t="s">
        <v>44</v>
      </c>
      <c r="F53" s="19" t="s">
        <v>45</v>
      </c>
      <c r="G53" s="19" t="s">
        <v>104</v>
      </c>
      <c r="H53" s="19">
        <v>156.5</v>
      </c>
      <c r="I53" s="41">
        <v>7825</v>
      </c>
      <c r="J53" s="42"/>
      <c r="K53" s="43"/>
      <c r="L53" s="42"/>
      <c r="M53" s="44"/>
      <c r="N53" s="45"/>
      <c r="O53" s="46">
        <f t="shared" si="24"/>
        <v>7825</v>
      </c>
      <c r="P53" s="47">
        <f>SUM(O53:O65)</f>
        <v>196050.858088</v>
      </c>
      <c r="Q53" s="47" t="s">
        <v>59</v>
      </c>
      <c r="R53" s="73">
        <f>SUM(153022/3762)*H53</f>
        <v>6365.74774056353</v>
      </c>
      <c r="S53" s="73"/>
      <c r="T53" s="74">
        <f>SUM(657.99/3762)*H53</f>
        <v>27.372523923445</v>
      </c>
      <c r="U53" s="73"/>
      <c r="V53" s="73"/>
      <c r="W53" s="73">
        <f t="shared" si="25"/>
        <v>6393.12026448697</v>
      </c>
      <c r="X53" s="75">
        <f>SUM(2696.39/3762)*H53</f>
        <v>112.170397395003</v>
      </c>
      <c r="Y53" s="75"/>
      <c r="Z53" s="75"/>
      <c r="AA53" s="75">
        <f t="shared" si="26"/>
        <v>112.170397395003</v>
      </c>
      <c r="AB53" s="84">
        <v>7.22</v>
      </c>
      <c r="AC53" s="73">
        <f t="shared" si="27"/>
        <v>809.870269191919</v>
      </c>
      <c r="AD53" s="73">
        <f t="shared" si="28"/>
        <v>7202.99053367889</v>
      </c>
      <c r="AE53" s="73">
        <f t="shared" si="29"/>
        <v>622.00946632111</v>
      </c>
    </row>
    <row r="54" customFormat="1" spans="1:31">
      <c r="A54" s="18"/>
      <c r="B54" s="19"/>
      <c r="C54" s="20">
        <v>240424000021</v>
      </c>
      <c r="D54" s="21">
        <v>45413</v>
      </c>
      <c r="E54" s="21" t="s">
        <v>44</v>
      </c>
      <c r="F54" s="19" t="s">
        <v>45</v>
      </c>
      <c r="G54" s="19" t="s">
        <v>105</v>
      </c>
      <c r="H54" s="19">
        <v>375</v>
      </c>
      <c r="I54" s="41">
        <v>19818</v>
      </c>
      <c r="J54" s="42"/>
      <c r="K54" s="43"/>
      <c r="L54" s="42"/>
      <c r="M54" s="44"/>
      <c r="N54" s="45"/>
      <c r="O54" s="46">
        <f t="shared" si="24"/>
        <v>19818</v>
      </c>
      <c r="P54" s="51"/>
      <c r="Q54" s="51"/>
      <c r="R54" s="73">
        <f t="shared" ref="R54:R65" si="30">SUM(153022/3762)*H54</f>
        <v>15253.3891547049</v>
      </c>
      <c r="S54" s="73"/>
      <c r="T54" s="74">
        <f t="shared" ref="T54:T65" si="31">SUM(657.99/3762)*H54</f>
        <v>65.5891148325359</v>
      </c>
      <c r="U54" s="73"/>
      <c r="V54" s="74">
        <f>SUM(573+495)</f>
        <v>1068</v>
      </c>
      <c r="W54" s="73">
        <f t="shared" si="25"/>
        <v>16386.9782695375</v>
      </c>
      <c r="X54" s="75">
        <f t="shared" ref="X54:X65" si="32">SUM(2696.39/3762)*H54</f>
        <v>268.778907496013</v>
      </c>
      <c r="Y54" s="75"/>
      <c r="Z54" s="75"/>
      <c r="AA54" s="75">
        <f t="shared" si="26"/>
        <v>268.778907496013</v>
      </c>
      <c r="AB54" s="84">
        <v>7.22</v>
      </c>
      <c r="AC54" s="73">
        <f t="shared" si="27"/>
        <v>1940.58371212121</v>
      </c>
      <c r="AD54" s="73">
        <f t="shared" si="28"/>
        <v>18327.5619816587</v>
      </c>
      <c r="AE54" s="73">
        <f t="shared" si="29"/>
        <v>1490.4380183413</v>
      </c>
    </row>
    <row r="55" customFormat="1" spans="1:31">
      <c r="A55" s="18"/>
      <c r="B55" s="19"/>
      <c r="C55" s="20">
        <v>240424000026</v>
      </c>
      <c r="D55" s="21">
        <v>45413</v>
      </c>
      <c r="E55" s="21" t="s">
        <v>54</v>
      </c>
      <c r="F55" s="19" t="s">
        <v>54</v>
      </c>
      <c r="G55" s="19" t="s">
        <v>106</v>
      </c>
      <c r="H55" s="19">
        <v>33.5</v>
      </c>
      <c r="I55" s="46"/>
      <c r="J55" s="48">
        <v>449194</v>
      </c>
      <c r="K55" s="54"/>
      <c r="L55" s="49">
        <f>SUM(J55/M55)</f>
        <v>1580</v>
      </c>
      <c r="M55" s="50">
        <v>284.3</v>
      </c>
      <c r="N55" s="45">
        <v>7.22</v>
      </c>
      <c r="O55" s="46">
        <f t="shared" ref="O55:O61" si="33">SUM(M55*N55)</f>
        <v>2052.646</v>
      </c>
      <c r="P55" s="51"/>
      <c r="Q55" s="51"/>
      <c r="R55" s="73">
        <f t="shared" si="30"/>
        <v>1362.63609782031</v>
      </c>
      <c r="S55" s="73"/>
      <c r="T55" s="74">
        <f t="shared" si="31"/>
        <v>5.85929425837321</v>
      </c>
      <c r="U55" s="73"/>
      <c r="V55" s="73"/>
      <c r="W55" s="73">
        <f t="shared" si="25"/>
        <v>1368.49539207868</v>
      </c>
      <c r="X55" s="75">
        <f t="shared" si="32"/>
        <v>24.0109157363105</v>
      </c>
      <c r="Y55" s="75"/>
      <c r="Z55" s="75"/>
      <c r="AA55" s="75">
        <f t="shared" si="26"/>
        <v>24.0109157363105</v>
      </c>
      <c r="AB55" s="84">
        <v>7.22</v>
      </c>
      <c r="AC55" s="73">
        <f t="shared" si="27"/>
        <v>173.358811616162</v>
      </c>
      <c r="AD55" s="73">
        <f t="shared" si="28"/>
        <v>1541.85420369484</v>
      </c>
      <c r="AE55" s="73">
        <f t="shared" si="29"/>
        <v>510.791796305157</v>
      </c>
    </row>
    <row r="56" customFormat="1" spans="1:31">
      <c r="A56" s="18"/>
      <c r="B56" s="19"/>
      <c r="C56" s="20">
        <v>240424000036</v>
      </c>
      <c r="D56" s="21">
        <v>45413</v>
      </c>
      <c r="E56" s="21" t="s">
        <v>54</v>
      </c>
      <c r="F56" s="19" t="s">
        <v>54</v>
      </c>
      <c r="G56" s="19" t="s">
        <v>107</v>
      </c>
      <c r="H56" s="19">
        <v>730</v>
      </c>
      <c r="I56" s="52">
        <v>35720</v>
      </c>
      <c r="J56" s="42"/>
      <c r="K56" s="43"/>
      <c r="L56" s="42"/>
      <c r="M56" s="44"/>
      <c r="N56" s="45"/>
      <c r="O56" s="46">
        <f t="shared" ref="O56:O59" si="34">SUM(I56)</f>
        <v>35720</v>
      </c>
      <c r="P56" s="51"/>
      <c r="Q56" s="51"/>
      <c r="R56" s="73">
        <f t="shared" si="30"/>
        <v>29693.264221159</v>
      </c>
      <c r="S56" s="73"/>
      <c r="T56" s="74">
        <f t="shared" si="31"/>
        <v>127.68014354067</v>
      </c>
      <c r="U56" s="73"/>
      <c r="V56" s="73"/>
      <c r="W56" s="73">
        <f t="shared" si="25"/>
        <v>29820.9443646996</v>
      </c>
      <c r="X56" s="75">
        <f t="shared" si="32"/>
        <v>523.222939925571</v>
      </c>
      <c r="Y56" s="75"/>
      <c r="Z56" s="75"/>
      <c r="AA56" s="75">
        <f t="shared" si="26"/>
        <v>523.222939925571</v>
      </c>
      <c r="AB56" s="84">
        <v>7.22</v>
      </c>
      <c r="AC56" s="73">
        <f t="shared" si="27"/>
        <v>3777.66962626263</v>
      </c>
      <c r="AD56" s="73">
        <f t="shared" si="28"/>
        <v>33598.6139909623</v>
      </c>
      <c r="AE56" s="73">
        <f t="shared" si="29"/>
        <v>2121.38600903775</v>
      </c>
    </row>
    <row r="57" customFormat="1" spans="1:31">
      <c r="A57" s="18"/>
      <c r="B57" s="19"/>
      <c r="C57" s="20">
        <v>240425000001</v>
      </c>
      <c r="D57" s="21">
        <v>45413</v>
      </c>
      <c r="E57" s="21" t="s">
        <v>54</v>
      </c>
      <c r="F57" s="19" t="s">
        <v>108</v>
      </c>
      <c r="G57" s="19" t="s">
        <v>109</v>
      </c>
      <c r="H57" s="19">
        <v>16.5</v>
      </c>
      <c r="I57" s="41">
        <v>1003</v>
      </c>
      <c r="J57" s="42"/>
      <c r="K57" s="43"/>
      <c r="L57" s="42"/>
      <c r="M57" s="44"/>
      <c r="N57" s="45"/>
      <c r="O57" s="46">
        <f t="shared" si="34"/>
        <v>1003</v>
      </c>
      <c r="P57" s="51"/>
      <c r="Q57" s="51"/>
      <c r="R57" s="73">
        <f t="shared" si="30"/>
        <v>671.149122807018</v>
      </c>
      <c r="S57" s="73"/>
      <c r="T57" s="74">
        <f t="shared" si="31"/>
        <v>2.88592105263158</v>
      </c>
      <c r="U57" s="73">
        <v>40</v>
      </c>
      <c r="V57" s="73"/>
      <c r="W57" s="73">
        <f t="shared" si="25"/>
        <v>714.035043859649</v>
      </c>
      <c r="X57" s="75">
        <f t="shared" si="32"/>
        <v>11.8262719298246</v>
      </c>
      <c r="Y57" s="75"/>
      <c r="Z57" s="75"/>
      <c r="AA57" s="75">
        <f t="shared" si="26"/>
        <v>11.8262719298246</v>
      </c>
      <c r="AB57" s="84">
        <v>7.22</v>
      </c>
      <c r="AC57" s="73">
        <f t="shared" si="27"/>
        <v>85.3856833333333</v>
      </c>
      <c r="AD57" s="73">
        <f t="shared" si="28"/>
        <v>799.420727192982</v>
      </c>
      <c r="AE57" s="73">
        <f t="shared" si="29"/>
        <v>203.579272807018</v>
      </c>
    </row>
    <row r="58" customFormat="1" spans="1:31">
      <c r="A58" s="18"/>
      <c r="B58" s="19"/>
      <c r="C58" s="20">
        <v>240425000007</v>
      </c>
      <c r="D58" s="21">
        <v>45413</v>
      </c>
      <c r="E58" s="21" t="s">
        <v>41</v>
      </c>
      <c r="F58" s="19" t="s">
        <v>42</v>
      </c>
      <c r="G58" s="19" t="s">
        <v>110</v>
      </c>
      <c r="H58" s="19">
        <v>14</v>
      </c>
      <c r="I58" s="52"/>
      <c r="J58" s="48">
        <v>204330</v>
      </c>
      <c r="K58" s="43"/>
      <c r="L58" s="49">
        <f t="shared" ref="L58:L63" si="35">SUM(J58/M58)</f>
        <v>1516.25111308994</v>
      </c>
      <c r="M58" s="50">
        <v>134.76</v>
      </c>
      <c r="N58" s="45">
        <v>7.22</v>
      </c>
      <c r="O58" s="46">
        <f t="shared" si="33"/>
        <v>972.9672</v>
      </c>
      <c r="P58" s="51"/>
      <c r="Q58" s="51"/>
      <c r="R58" s="73">
        <f t="shared" si="30"/>
        <v>569.459861775651</v>
      </c>
      <c r="S58" s="73"/>
      <c r="T58" s="74">
        <f t="shared" si="31"/>
        <v>2.44866028708134</v>
      </c>
      <c r="U58" s="73"/>
      <c r="V58" s="74">
        <f>SUM(76+79)</f>
        <v>155</v>
      </c>
      <c r="W58" s="73">
        <f t="shared" si="25"/>
        <v>726.908522062733</v>
      </c>
      <c r="X58" s="75">
        <f t="shared" si="32"/>
        <v>10.0344125465178</v>
      </c>
      <c r="Y58" s="75"/>
      <c r="Z58" s="75"/>
      <c r="AA58" s="75">
        <f t="shared" si="26"/>
        <v>10.0344125465178</v>
      </c>
      <c r="AB58" s="84">
        <v>7.22</v>
      </c>
      <c r="AC58" s="73">
        <f t="shared" si="27"/>
        <v>72.4484585858586</v>
      </c>
      <c r="AD58" s="73">
        <f t="shared" si="28"/>
        <v>799.356980648591</v>
      </c>
      <c r="AE58" s="73">
        <f t="shared" si="29"/>
        <v>173.610219351409</v>
      </c>
    </row>
    <row r="59" customFormat="1" spans="1:31">
      <c r="A59" s="18"/>
      <c r="B59" s="19"/>
      <c r="C59" s="20">
        <v>240425000010</v>
      </c>
      <c r="D59" s="21">
        <v>45413</v>
      </c>
      <c r="E59" s="21" t="s">
        <v>47</v>
      </c>
      <c r="F59" s="19" t="s">
        <v>48</v>
      </c>
      <c r="G59" s="19" t="s">
        <v>111</v>
      </c>
      <c r="H59" s="19">
        <v>116</v>
      </c>
      <c r="I59" s="41">
        <v>6032</v>
      </c>
      <c r="J59" s="42"/>
      <c r="K59" s="43"/>
      <c r="L59" s="42"/>
      <c r="M59" s="44"/>
      <c r="N59" s="45"/>
      <c r="O59" s="46">
        <f t="shared" si="34"/>
        <v>6032</v>
      </c>
      <c r="P59" s="51"/>
      <c r="Q59" s="51"/>
      <c r="R59" s="73">
        <f t="shared" si="30"/>
        <v>4718.3817118554</v>
      </c>
      <c r="S59" s="73"/>
      <c r="T59" s="74">
        <f t="shared" si="31"/>
        <v>20.2888995215311</v>
      </c>
      <c r="U59" s="73"/>
      <c r="V59" s="73"/>
      <c r="W59" s="73">
        <f t="shared" si="25"/>
        <v>4738.67061137693</v>
      </c>
      <c r="X59" s="75">
        <f t="shared" si="32"/>
        <v>83.1422753854333</v>
      </c>
      <c r="Y59" s="75"/>
      <c r="Z59" s="75"/>
      <c r="AA59" s="75">
        <f t="shared" si="26"/>
        <v>83.1422753854333</v>
      </c>
      <c r="AB59" s="84">
        <v>7.22</v>
      </c>
      <c r="AC59" s="73">
        <f t="shared" si="27"/>
        <v>600.287228282828</v>
      </c>
      <c r="AD59" s="73">
        <f t="shared" si="28"/>
        <v>5338.95783965976</v>
      </c>
      <c r="AE59" s="73">
        <f t="shared" si="29"/>
        <v>693.042160340245</v>
      </c>
    </row>
    <row r="60" customFormat="1" spans="1:31">
      <c r="A60" s="18"/>
      <c r="B60" s="19"/>
      <c r="C60" s="20">
        <v>240425000012</v>
      </c>
      <c r="D60" s="21">
        <v>45413</v>
      </c>
      <c r="E60" s="21" t="s">
        <v>41</v>
      </c>
      <c r="F60" s="19" t="s">
        <v>42</v>
      </c>
      <c r="G60" s="19" t="s">
        <v>112</v>
      </c>
      <c r="H60" s="19">
        <v>8</v>
      </c>
      <c r="I60" s="52"/>
      <c r="J60" s="48">
        <v>99630</v>
      </c>
      <c r="K60" s="43"/>
      <c r="L60" s="49">
        <f t="shared" si="35"/>
        <v>1480.16639429505</v>
      </c>
      <c r="M60" s="50">
        <v>67.31</v>
      </c>
      <c r="N60" s="45">
        <v>7.22</v>
      </c>
      <c r="O60" s="46">
        <f t="shared" si="33"/>
        <v>485.9782</v>
      </c>
      <c r="P60" s="51"/>
      <c r="Q60" s="51"/>
      <c r="R60" s="73">
        <f t="shared" si="30"/>
        <v>325.405635300372</v>
      </c>
      <c r="S60" s="73"/>
      <c r="T60" s="74">
        <f t="shared" si="31"/>
        <v>1.39923444976077</v>
      </c>
      <c r="U60" s="73">
        <v>30</v>
      </c>
      <c r="V60" s="73"/>
      <c r="W60" s="73">
        <f t="shared" si="25"/>
        <v>356.804869750133</v>
      </c>
      <c r="X60" s="75">
        <f t="shared" si="32"/>
        <v>5.73395002658161</v>
      </c>
      <c r="Y60" s="75"/>
      <c r="Z60" s="75"/>
      <c r="AA60" s="75">
        <f t="shared" si="26"/>
        <v>5.73395002658161</v>
      </c>
      <c r="AB60" s="84">
        <v>7.22</v>
      </c>
      <c r="AC60" s="73">
        <f t="shared" si="27"/>
        <v>41.3991191919192</v>
      </c>
      <c r="AD60" s="73">
        <f t="shared" si="28"/>
        <v>398.203988942052</v>
      </c>
      <c r="AE60" s="73">
        <f t="shared" si="29"/>
        <v>87.774211057948</v>
      </c>
    </row>
    <row r="61" customFormat="1" spans="1:31">
      <c r="A61" s="18"/>
      <c r="B61" s="19"/>
      <c r="C61" s="20">
        <v>240426000016</v>
      </c>
      <c r="D61" s="21">
        <v>45413</v>
      </c>
      <c r="E61" s="21" t="s">
        <v>54</v>
      </c>
      <c r="F61" s="19" t="s">
        <v>54</v>
      </c>
      <c r="G61" s="19" t="s">
        <v>113</v>
      </c>
      <c r="H61" s="19">
        <v>628.5</v>
      </c>
      <c r="I61" s="46"/>
      <c r="J61" s="48">
        <v>6993688</v>
      </c>
      <c r="K61" s="43"/>
      <c r="L61" s="49">
        <f t="shared" si="35"/>
        <v>1497.60325679213</v>
      </c>
      <c r="M61" s="50">
        <v>4669.9204</v>
      </c>
      <c r="N61" s="45">
        <v>7.22</v>
      </c>
      <c r="O61" s="46">
        <f t="shared" si="33"/>
        <v>33716.825288</v>
      </c>
      <c r="P61" s="51"/>
      <c r="Q61" s="51"/>
      <c r="R61" s="73">
        <f t="shared" si="30"/>
        <v>25564.6802232855</v>
      </c>
      <c r="S61" s="73"/>
      <c r="T61" s="74">
        <f t="shared" si="31"/>
        <v>109.92735645933</v>
      </c>
      <c r="U61" s="73"/>
      <c r="V61" s="73"/>
      <c r="W61" s="73">
        <f t="shared" si="25"/>
        <v>25674.6075797448</v>
      </c>
      <c r="X61" s="75">
        <f t="shared" si="32"/>
        <v>450.473448963317</v>
      </c>
      <c r="Y61" s="75"/>
      <c r="Z61" s="75"/>
      <c r="AA61" s="75">
        <f t="shared" si="26"/>
        <v>450.473448963317</v>
      </c>
      <c r="AB61" s="84">
        <v>7.22</v>
      </c>
      <c r="AC61" s="73">
        <f t="shared" si="27"/>
        <v>3252.41830151515</v>
      </c>
      <c r="AD61" s="73">
        <f t="shared" ref="AD61:AD92" si="36">SUM(W61+AC61)</f>
        <v>28927.02588126</v>
      </c>
      <c r="AE61" s="73">
        <f t="shared" si="29"/>
        <v>4789.79940674003</v>
      </c>
    </row>
    <row r="62" customFormat="1" spans="1:31">
      <c r="A62" s="18"/>
      <c r="B62" s="19"/>
      <c r="C62" s="20">
        <v>240426000022</v>
      </c>
      <c r="D62" s="21">
        <v>45413</v>
      </c>
      <c r="E62" s="21" t="s">
        <v>54</v>
      </c>
      <c r="F62" s="19" t="s">
        <v>54</v>
      </c>
      <c r="G62" s="19" t="s">
        <v>114</v>
      </c>
      <c r="H62" s="19">
        <v>731</v>
      </c>
      <c r="I62" s="41">
        <v>39093</v>
      </c>
      <c r="J62" s="42"/>
      <c r="K62" s="43"/>
      <c r="L62" s="42"/>
      <c r="M62" s="44"/>
      <c r="N62" s="45"/>
      <c r="O62" s="46">
        <f t="shared" ref="O62:O65" si="37">SUM(I62)</f>
        <v>39093</v>
      </c>
      <c r="P62" s="51"/>
      <c r="Q62" s="51"/>
      <c r="R62" s="73">
        <f t="shared" si="30"/>
        <v>29733.9399255715</v>
      </c>
      <c r="S62" s="73"/>
      <c r="T62" s="74">
        <f t="shared" si="31"/>
        <v>127.85504784689</v>
      </c>
      <c r="U62" s="73"/>
      <c r="V62" s="73"/>
      <c r="W62" s="73">
        <f t="shared" si="25"/>
        <v>29861.7949734184</v>
      </c>
      <c r="X62" s="75">
        <f t="shared" si="32"/>
        <v>523.939683678894</v>
      </c>
      <c r="Y62" s="75"/>
      <c r="Z62" s="75"/>
      <c r="AA62" s="75">
        <f t="shared" si="26"/>
        <v>523.939683678894</v>
      </c>
      <c r="AB62" s="84">
        <v>7.22</v>
      </c>
      <c r="AC62" s="73">
        <f t="shared" ref="AC62:AC93" si="38">SUM(AA62*AB62)</f>
        <v>3782.84451616162</v>
      </c>
      <c r="AD62" s="73">
        <f t="shared" si="36"/>
        <v>33644.63948958</v>
      </c>
      <c r="AE62" s="73">
        <f t="shared" si="29"/>
        <v>5448.36051041999</v>
      </c>
    </row>
    <row r="63" customFormat="1" spans="1:31">
      <c r="A63" s="18"/>
      <c r="B63" s="19"/>
      <c r="C63" s="20">
        <v>240426000024</v>
      </c>
      <c r="D63" s="21">
        <v>45413</v>
      </c>
      <c r="E63" s="21" t="s">
        <v>41</v>
      </c>
      <c r="F63" s="19" t="s">
        <v>42</v>
      </c>
      <c r="G63" s="19" t="s">
        <v>115</v>
      </c>
      <c r="H63" s="19">
        <v>111.5</v>
      </c>
      <c r="I63" s="52"/>
      <c r="J63" s="48">
        <v>1300827.5</v>
      </c>
      <c r="K63" s="43"/>
      <c r="L63" s="49">
        <f t="shared" si="35"/>
        <v>1480.1136686882</v>
      </c>
      <c r="M63" s="50">
        <v>878.87</v>
      </c>
      <c r="N63" s="45">
        <v>7.22</v>
      </c>
      <c r="O63" s="46">
        <f t="shared" ref="O63:O67" si="39">SUM(M63*N63)</f>
        <v>6345.4414</v>
      </c>
      <c r="P63" s="51"/>
      <c r="Q63" s="51"/>
      <c r="R63" s="73">
        <f t="shared" si="30"/>
        <v>4535.34104199894</v>
      </c>
      <c r="S63" s="73"/>
      <c r="T63" s="74">
        <f t="shared" si="31"/>
        <v>19.5018301435407</v>
      </c>
      <c r="U63" s="73"/>
      <c r="V63" s="73"/>
      <c r="W63" s="73">
        <f t="shared" si="25"/>
        <v>4554.84287214248</v>
      </c>
      <c r="X63" s="75">
        <f t="shared" si="32"/>
        <v>79.9169284954811</v>
      </c>
      <c r="Y63" s="75"/>
      <c r="Z63" s="75"/>
      <c r="AA63" s="75">
        <f t="shared" si="26"/>
        <v>79.9169284954811</v>
      </c>
      <c r="AB63" s="84">
        <v>7.22</v>
      </c>
      <c r="AC63" s="73">
        <f t="shared" si="38"/>
        <v>577.000223737374</v>
      </c>
      <c r="AD63" s="73">
        <f t="shared" si="36"/>
        <v>5131.84309587985</v>
      </c>
      <c r="AE63" s="73">
        <f t="shared" si="29"/>
        <v>1213.59830412015</v>
      </c>
    </row>
    <row r="64" customFormat="1" spans="1:31">
      <c r="A64" s="18"/>
      <c r="B64" s="19"/>
      <c r="C64" s="20">
        <v>240426000038</v>
      </c>
      <c r="D64" s="21">
        <v>45413</v>
      </c>
      <c r="E64" s="21" t="s">
        <v>54</v>
      </c>
      <c r="F64" s="19" t="s">
        <v>54</v>
      </c>
      <c r="G64" s="19" t="s">
        <v>116</v>
      </c>
      <c r="H64" s="19">
        <v>78</v>
      </c>
      <c r="I64" s="41">
        <v>3908</v>
      </c>
      <c r="J64" s="42"/>
      <c r="K64" s="43"/>
      <c r="L64" s="42"/>
      <c r="M64" s="44"/>
      <c r="N64" s="45"/>
      <c r="O64" s="46">
        <f t="shared" si="37"/>
        <v>3908</v>
      </c>
      <c r="P64" s="51"/>
      <c r="Q64" s="51"/>
      <c r="R64" s="73">
        <f t="shared" si="30"/>
        <v>3172.70494417863</v>
      </c>
      <c r="S64" s="73"/>
      <c r="T64" s="74">
        <f t="shared" si="31"/>
        <v>13.6425358851675</v>
      </c>
      <c r="U64" s="73"/>
      <c r="V64" s="73"/>
      <c r="W64" s="73">
        <f t="shared" si="25"/>
        <v>3186.3474800638</v>
      </c>
      <c r="X64" s="75">
        <f t="shared" si="32"/>
        <v>55.9060127591707</v>
      </c>
      <c r="Y64" s="75"/>
      <c r="Z64" s="75"/>
      <c r="AA64" s="75">
        <f t="shared" si="26"/>
        <v>55.9060127591707</v>
      </c>
      <c r="AB64" s="84">
        <v>7.22</v>
      </c>
      <c r="AC64" s="73">
        <f t="shared" si="38"/>
        <v>403.641412121212</v>
      </c>
      <c r="AD64" s="73">
        <f t="shared" si="36"/>
        <v>3589.98889218501</v>
      </c>
      <c r="AE64" s="73">
        <f t="shared" ref="AE64:AE95" si="40">SUM(O64-AD64)</f>
        <v>318.01110781499</v>
      </c>
    </row>
    <row r="65" customFormat="1" spans="1:31">
      <c r="A65" s="18"/>
      <c r="B65" s="19"/>
      <c r="C65" s="20">
        <v>240426000052</v>
      </c>
      <c r="D65" s="21">
        <v>45413</v>
      </c>
      <c r="E65" s="21" t="s">
        <v>54</v>
      </c>
      <c r="F65" s="19" t="s">
        <v>54</v>
      </c>
      <c r="G65" s="19" t="s">
        <v>107</v>
      </c>
      <c r="H65" s="19">
        <v>824</v>
      </c>
      <c r="I65" s="52">
        <v>39078</v>
      </c>
      <c r="J65" s="42"/>
      <c r="K65" s="43"/>
      <c r="L65" s="42"/>
      <c r="M65" s="44"/>
      <c r="N65" s="45"/>
      <c r="O65" s="46">
        <f t="shared" si="37"/>
        <v>39078</v>
      </c>
      <c r="P65" s="53"/>
      <c r="Q65" s="53"/>
      <c r="R65" s="73">
        <f t="shared" si="30"/>
        <v>33516.7804359383</v>
      </c>
      <c r="S65" s="73"/>
      <c r="T65" s="74">
        <f t="shared" si="31"/>
        <v>144.121148325359</v>
      </c>
      <c r="U65" s="73"/>
      <c r="V65" s="73"/>
      <c r="W65" s="73">
        <f t="shared" ref="W65:W96" si="41">SUM(R65:V65)</f>
        <v>33660.9015842637</v>
      </c>
      <c r="X65" s="75">
        <f t="shared" si="32"/>
        <v>590.596852737905</v>
      </c>
      <c r="Y65" s="75"/>
      <c r="Z65" s="75"/>
      <c r="AA65" s="75">
        <f t="shared" si="26"/>
        <v>590.596852737905</v>
      </c>
      <c r="AB65" s="84">
        <v>7.22</v>
      </c>
      <c r="AC65" s="73">
        <f t="shared" si="38"/>
        <v>4264.10927676768</v>
      </c>
      <c r="AD65" s="73">
        <f t="shared" si="36"/>
        <v>37925.0108610314</v>
      </c>
      <c r="AE65" s="73">
        <f t="shared" si="40"/>
        <v>1152.9891389686</v>
      </c>
    </row>
    <row r="66" customFormat="1" spans="1:31">
      <c r="A66" s="18" t="s">
        <v>117</v>
      </c>
      <c r="B66" s="19" t="s">
        <v>118</v>
      </c>
      <c r="C66" s="20">
        <v>240405000011</v>
      </c>
      <c r="D66" s="21">
        <v>45416</v>
      </c>
      <c r="E66" s="21" t="s">
        <v>47</v>
      </c>
      <c r="F66" s="19">
        <v>13635229849</v>
      </c>
      <c r="G66" s="19" t="s">
        <v>50</v>
      </c>
      <c r="H66" s="19">
        <v>1.5</v>
      </c>
      <c r="I66" s="46"/>
      <c r="J66" s="48">
        <v>20870</v>
      </c>
      <c r="K66" s="43"/>
      <c r="L66" s="49">
        <f>SUM(J66/M66)</f>
        <v>1507.94797687861</v>
      </c>
      <c r="M66" s="50">
        <v>13.84</v>
      </c>
      <c r="N66" s="45">
        <v>7.22</v>
      </c>
      <c r="O66" s="46">
        <f t="shared" si="39"/>
        <v>99.9248</v>
      </c>
      <c r="P66" s="47">
        <f>SUM(O66:O165)</f>
        <v>241752.544078</v>
      </c>
      <c r="Q66" s="47" t="s">
        <v>59</v>
      </c>
      <c r="R66" s="73">
        <f>SUM(176802/4374)*H66</f>
        <v>60.6316872427983</v>
      </c>
      <c r="S66" s="73"/>
      <c r="T66" s="88">
        <f>SUM(211/4374)*H66</f>
        <v>0.0723593964334705</v>
      </c>
      <c r="U66" s="73"/>
      <c r="V66" s="73"/>
      <c r="W66" s="73">
        <f t="shared" si="41"/>
        <v>60.7040466392318</v>
      </c>
      <c r="X66" s="75">
        <f>SUM(3021.6/4374)*H66</f>
        <v>1.03621399176955</v>
      </c>
      <c r="Y66" s="75"/>
      <c r="Z66" s="75"/>
      <c r="AA66" s="75">
        <f t="shared" ref="AA66:AA97" si="42">SUM(X66:Z66)</f>
        <v>1.03621399176955</v>
      </c>
      <c r="AB66" s="84">
        <v>7.22</v>
      </c>
      <c r="AC66" s="73">
        <f t="shared" si="38"/>
        <v>7.48146502057613</v>
      </c>
      <c r="AD66" s="73">
        <f t="shared" si="36"/>
        <v>68.1855116598079</v>
      </c>
      <c r="AE66" s="73">
        <f t="shared" si="40"/>
        <v>31.7392883401921</v>
      </c>
    </row>
    <row r="67" customFormat="1" spans="1:31">
      <c r="A67" s="18"/>
      <c r="B67" s="19"/>
      <c r="C67" s="20">
        <v>240422000063</v>
      </c>
      <c r="D67" s="21">
        <v>45416</v>
      </c>
      <c r="E67" s="21" t="s">
        <v>47</v>
      </c>
      <c r="F67" s="19">
        <v>13635229849</v>
      </c>
      <c r="G67" s="19" t="s">
        <v>50</v>
      </c>
      <c r="H67" s="19">
        <v>1.5</v>
      </c>
      <c r="I67" s="46"/>
      <c r="J67" s="48">
        <v>19965</v>
      </c>
      <c r="K67" s="43"/>
      <c r="L67" s="49">
        <f>SUM(J67/M67)</f>
        <v>1507.93051359517</v>
      </c>
      <c r="M67" s="50">
        <v>13.24</v>
      </c>
      <c r="N67" s="45">
        <v>7.22</v>
      </c>
      <c r="O67" s="46">
        <f t="shared" si="39"/>
        <v>95.5928</v>
      </c>
      <c r="P67" s="51"/>
      <c r="Q67" s="51"/>
      <c r="R67" s="73">
        <f t="shared" ref="R67:R98" si="43">SUM(176802/4374)*H67</f>
        <v>60.6316872427983</v>
      </c>
      <c r="S67" s="73"/>
      <c r="T67" s="88">
        <f t="shared" ref="T67:T98" si="44">SUM(211/4374)*H67</f>
        <v>0.0723593964334705</v>
      </c>
      <c r="U67" s="73"/>
      <c r="V67" s="73"/>
      <c r="W67" s="73">
        <f t="shared" si="41"/>
        <v>60.7040466392318</v>
      </c>
      <c r="X67" s="75">
        <f t="shared" ref="X67:X98" si="45">SUM(3021.6/4374)*H67</f>
        <v>1.03621399176955</v>
      </c>
      <c r="Y67" s="75"/>
      <c r="Z67" s="75"/>
      <c r="AA67" s="75">
        <f t="shared" si="42"/>
        <v>1.03621399176955</v>
      </c>
      <c r="AB67" s="84">
        <v>7.22</v>
      </c>
      <c r="AC67" s="73">
        <f t="shared" si="38"/>
        <v>7.48146502057613</v>
      </c>
      <c r="AD67" s="73">
        <f t="shared" si="36"/>
        <v>68.1855116598079</v>
      </c>
      <c r="AE67" s="73">
        <f t="shared" si="40"/>
        <v>27.4072883401921</v>
      </c>
    </row>
    <row r="68" customFormat="1" spans="1:31">
      <c r="A68" s="18"/>
      <c r="B68" s="19"/>
      <c r="C68" s="20">
        <v>240423000019</v>
      </c>
      <c r="D68" s="21">
        <v>45416</v>
      </c>
      <c r="E68" s="21" t="s">
        <v>44</v>
      </c>
      <c r="F68" s="19" t="s">
        <v>45</v>
      </c>
      <c r="G68" s="19" t="s">
        <v>119</v>
      </c>
      <c r="H68" s="19">
        <v>430</v>
      </c>
      <c r="I68" s="41">
        <v>22544.22</v>
      </c>
      <c r="J68" s="42"/>
      <c r="K68" s="43"/>
      <c r="L68" s="42"/>
      <c r="M68" s="44"/>
      <c r="N68" s="45"/>
      <c r="O68" s="46">
        <f t="shared" ref="O68:O72" si="46">SUM(I68)</f>
        <v>22544.22</v>
      </c>
      <c r="P68" s="51"/>
      <c r="Q68" s="51"/>
      <c r="R68" s="73">
        <f t="shared" si="43"/>
        <v>17381.0836762689</v>
      </c>
      <c r="S68" s="73"/>
      <c r="T68" s="88">
        <f t="shared" si="44"/>
        <v>20.7430269775949</v>
      </c>
      <c r="U68" s="73"/>
      <c r="V68" s="73"/>
      <c r="W68" s="73">
        <f t="shared" si="41"/>
        <v>17401.8267032465</v>
      </c>
      <c r="X68" s="75">
        <f t="shared" si="45"/>
        <v>297.048010973937</v>
      </c>
      <c r="Y68" s="75"/>
      <c r="Z68" s="75"/>
      <c r="AA68" s="75">
        <f t="shared" si="42"/>
        <v>297.048010973937</v>
      </c>
      <c r="AB68" s="84">
        <v>7.22</v>
      </c>
      <c r="AC68" s="73">
        <f t="shared" si="38"/>
        <v>2144.68663923182</v>
      </c>
      <c r="AD68" s="73">
        <f t="shared" si="36"/>
        <v>19546.5133424783</v>
      </c>
      <c r="AE68" s="73">
        <f t="shared" si="40"/>
        <v>2997.7066575217</v>
      </c>
    </row>
    <row r="69" customFormat="1" spans="1:31">
      <c r="A69" s="18"/>
      <c r="B69" s="19"/>
      <c r="C69" s="20">
        <v>240423000024</v>
      </c>
      <c r="D69" s="21">
        <v>45416</v>
      </c>
      <c r="E69" s="21" t="s">
        <v>64</v>
      </c>
      <c r="F69" s="19" t="s">
        <v>65</v>
      </c>
      <c r="G69" s="19" t="s">
        <v>120</v>
      </c>
      <c r="H69" s="19">
        <v>2.5</v>
      </c>
      <c r="I69" s="41">
        <v>220.5</v>
      </c>
      <c r="J69" s="42"/>
      <c r="K69" s="43"/>
      <c r="L69" s="42"/>
      <c r="M69" s="44"/>
      <c r="N69" s="45"/>
      <c r="O69" s="46">
        <f t="shared" si="46"/>
        <v>220.5</v>
      </c>
      <c r="P69" s="51"/>
      <c r="Q69" s="51"/>
      <c r="R69" s="73">
        <f t="shared" si="43"/>
        <v>101.052812071331</v>
      </c>
      <c r="S69" s="73"/>
      <c r="T69" s="88">
        <f t="shared" si="44"/>
        <v>0.120598994055784</v>
      </c>
      <c r="U69" s="73"/>
      <c r="V69" s="73"/>
      <c r="W69" s="73">
        <f t="shared" si="41"/>
        <v>101.173411065386</v>
      </c>
      <c r="X69" s="75">
        <f t="shared" si="45"/>
        <v>1.72702331961591</v>
      </c>
      <c r="Y69" s="75"/>
      <c r="Z69" s="75"/>
      <c r="AA69" s="75">
        <f t="shared" si="42"/>
        <v>1.72702331961591</v>
      </c>
      <c r="AB69" s="84">
        <v>7.22</v>
      </c>
      <c r="AC69" s="73">
        <f t="shared" si="38"/>
        <v>12.4691083676269</v>
      </c>
      <c r="AD69" s="73">
        <f t="shared" si="36"/>
        <v>113.642519433013</v>
      </c>
      <c r="AE69" s="73">
        <f t="shared" si="40"/>
        <v>106.857480566987</v>
      </c>
    </row>
    <row r="70" customFormat="1" spans="1:31">
      <c r="A70" s="18"/>
      <c r="B70" s="19"/>
      <c r="C70" s="20">
        <v>240423000028</v>
      </c>
      <c r="D70" s="21">
        <v>45416</v>
      </c>
      <c r="E70" s="21" t="s">
        <v>47</v>
      </c>
      <c r="F70" s="19" t="s">
        <v>48</v>
      </c>
      <c r="G70" s="19" t="s">
        <v>121</v>
      </c>
      <c r="H70" s="19">
        <v>8</v>
      </c>
      <c r="I70" s="46"/>
      <c r="J70" s="42"/>
      <c r="K70" s="54">
        <v>62.5</v>
      </c>
      <c r="L70" s="48"/>
      <c r="M70" s="50">
        <v>62.5</v>
      </c>
      <c r="N70" s="45">
        <v>7.22</v>
      </c>
      <c r="O70" s="46">
        <f t="shared" ref="O70:O73" si="47">SUM(M70*N70)</f>
        <v>451.25</v>
      </c>
      <c r="P70" s="51"/>
      <c r="Q70" s="51"/>
      <c r="R70" s="73">
        <f t="shared" si="43"/>
        <v>323.368998628258</v>
      </c>
      <c r="S70" s="73"/>
      <c r="T70" s="88">
        <f t="shared" si="44"/>
        <v>0.385916780978509</v>
      </c>
      <c r="U70" s="73"/>
      <c r="V70" s="73"/>
      <c r="W70" s="73">
        <f t="shared" si="41"/>
        <v>323.754915409236</v>
      </c>
      <c r="X70" s="75">
        <f t="shared" si="45"/>
        <v>5.52647462277092</v>
      </c>
      <c r="Y70" s="75"/>
      <c r="Z70" s="75"/>
      <c r="AA70" s="75">
        <f t="shared" si="42"/>
        <v>5.52647462277092</v>
      </c>
      <c r="AB70" s="84">
        <v>7.22</v>
      </c>
      <c r="AC70" s="73">
        <f t="shared" si="38"/>
        <v>39.901146776406</v>
      </c>
      <c r="AD70" s="73">
        <f t="shared" si="36"/>
        <v>363.656062185642</v>
      </c>
      <c r="AE70" s="73">
        <f t="shared" si="40"/>
        <v>87.593937814358</v>
      </c>
    </row>
    <row r="71" customFormat="1" spans="1:31">
      <c r="A71" s="18"/>
      <c r="B71" s="19"/>
      <c r="C71" s="20">
        <v>240423000034</v>
      </c>
      <c r="D71" s="21">
        <v>45416</v>
      </c>
      <c r="E71" s="21" t="s">
        <v>47</v>
      </c>
      <c r="F71" s="19" t="s">
        <v>48</v>
      </c>
      <c r="G71" s="19" t="s">
        <v>122</v>
      </c>
      <c r="H71" s="19">
        <v>1.5</v>
      </c>
      <c r="I71" s="46"/>
      <c r="J71" s="48">
        <v>14235</v>
      </c>
      <c r="K71" s="43"/>
      <c r="L71" s="49">
        <f>SUM(J71/M71)</f>
        <v>1300</v>
      </c>
      <c r="M71" s="50">
        <v>10.95</v>
      </c>
      <c r="N71" s="45">
        <v>7.22</v>
      </c>
      <c r="O71" s="46">
        <f t="shared" si="47"/>
        <v>79.059</v>
      </c>
      <c r="P71" s="51"/>
      <c r="Q71" s="51"/>
      <c r="R71" s="73">
        <f t="shared" si="43"/>
        <v>60.6316872427983</v>
      </c>
      <c r="S71" s="73"/>
      <c r="T71" s="88">
        <f t="shared" si="44"/>
        <v>0.0723593964334705</v>
      </c>
      <c r="U71" s="73"/>
      <c r="V71" s="73"/>
      <c r="W71" s="73">
        <f t="shared" si="41"/>
        <v>60.7040466392318</v>
      </c>
      <c r="X71" s="75">
        <f t="shared" si="45"/>
        <v>1.03621399176955</v>
      </c>
      <c r="Y71" s="75"/>
      <c r="Z71" s="75"/>
      <c r="AA71" s="75">
        <f t="shared" si="42"/>
        <v>1.03621399176955</v>
      </c>
      <c r="AB71" s="84">
        <v>7.22</v>
      </c>
      <c r="AC71" s="73">
        <f t="shared" si="38"/>
        <v>7.48146502057613</v>
      </c>
      <c r="AD71" s="73">
        <f t="shared" si="36"/>
        <v>68.1855116598079</v>
      </c>
      <c r="AE71" s="73">
        <f t="shared" si="40"/>
        <v>10.8734883401921</v>
      </c>
    </row>
    <row r="72" customFormat="1" spans="1:31">
      <c r="A72" s="18"/>
      <c r="B72" s="19"/>
      <c r="C72" s="20">
        <v>240423000036</v>
      </c>
      <c r="D72" s="21">
        <v>45416</v>
      </c>
      <c r="E72" s="21" t="s">
        <v>44</v>
      </c>
      <c r="F72" s="19" t="s">
        <v>45</v>
      </c>
      <c r="G72" s="19" t="s">
        <v>68</v>
      </c>
      <c r="H72" s="19">
        <v>72</v>
      </c>
      <c r="I72" s="41">
        <v>3840</v>
      </c>
      <c r="J72" s="42"/>
      <c r="K72" s="43"/>
      <c r="L72" s="42"/>
      <c r="M72" s="44"/>
      <c r="N72" s="45"/>
      <c r="O72" s="46">
        <f t="shared" si="46"/>
        <v>3840</v>
      </c>
      <c r="P72" s="51"/>
      <c r="Q72" s="51"/>
      <c r="R72" s="73">
        <f t="shared" si="43"/>
        <v>2910.32098765432</v>
      </c>
      <c r="S72" s="73"/>
      <c r="T72" s="88">
        <f t="shared" si="44"/>
        <v>3.47325102880658</v>
      </c>
      <c r="U72" s="73">
        <f>SUM(60+80)</f>
        <v>140</v>
      </c>
      <c r="V72" s="73"/>
      <c r="W72" s="73">
        <f t="shared" si="41"/>
        <v>3053.79423868313</v>
      </c>
      <c r="X72" s="75">
        <f t="shared" si="45"/>
        <v>49.7382716049383</v>
      </c>
      <c r="Y72" s="75"/>
      <c r="Z72" s="75"/>
      <c r="AA72" s="75">
        <f t="shared" si="42"/>
        <v>49.7382716049383</v>
      </c>
      <c r="AB72" s="84">
        <v>7.22</v>
      </c>
      <c r="AC72" s="73">
        <f t="shared" si="38"/>
        <v>359.110320987654</v>
      </c>
      <c r="AD72" s="73">
        <f t="shared" si="36"/>
        <v>3412.90455967078</v>
      </c>
      <c r="AE72" s="73">
        <f t="shared" si="40"/>
        <v>427.09544032922</v>
      </c>
    </row>
    <row r="73" customFormat="1" spans="1:31">
      <c r="A73" s="18"/>
      <c r="B73" s="19"/>
      <c r="C73" s="20">
        <v>240423000040</v>
      </c>
      <c r="D73" s="21">
        <v>45416</v>
      </c>
      <c r="E73" s="21" t="s">
        <v>44</v>
      </c>
      <c r="F73" s="19" t="s">
        <v>45</v>
      </c>
      <c r="G73" s="19" t="s">
        <v>123</v>
      </c>
      <c r="H73" s="19">
        <v>1.5</v>
      </c>
      <c r="I73" s="52"/>
      <c r="J73" s="48">
        <v>20600</v>
      </c>
      <c r="K73" s="43"/>
      <c r="L73" s="49">
        <f>SUM(J73/M73)</f>
        <v>1574.92354740061</v>
      </c>
      <c r="M73" s="50">
        <v>13.08</v>
      </c>
      <c r="N73" s="45">
        <v>7.22</v>
      </c>
      <c r="O73" s="46">
        <f t="shared" si="47"/>
        <v>94.4376</v>
      </c>
      <c r="P73" s="51"/>
      <c r="Q73" s="51"/>
      <c r="R73" s="73">
        <f t="shared" si="43"/>
        <v>60.6316872427983</v>
      </c>
      <c r="S73" s="73"/>
      <c r="T73" s="88">
        <f t="shared" si="44"/>
        <v>0.0723593964334705</v>
      </c>
      <c r="U73" s="73"/>
      <c r="V73" s="73"/>
      <c r="W73" s="73">
        <f t="shared" si="41"/>
        <v>60.7040466392318</v>
      </c>
      <c r="X73" s="75">
        <f t="shared" si="45"/>
        <v>1.03621399176955</v>
      </c>
      <c r="Y73" s="75"/>
      <c r="Z73" s="75"/>
      <c r="AA73" s="75">
        <f t="shared" si="42"/>
        <v>1.03621399176955</v>
      </c>
      <c r="AB73" s="84">
        <v>7.22</v>
      </c>
      <c r="AC73" s="73">
        <f t="shared" si="38"/>
        <v>7.48146502057613</v>
      </c>
      <c r="AD73" s="73">
        <f t="shared" si="36"/>
        <v>68.1855116598079</v>
      </c>
      <c r="AE73" s="73">
        <f t="shared" si="40"/>
        <v>26.2520883401921</v>
      </c>
    </row>
    <row r="74" customFormat="1" spans="1:31">
      <c r="A74" s="18"/>
      <c r="B74" s="19"/>
      <c r="C74" s="20">
        <v>240423000042</v>
      </c>
      <c r="D74" s="21">
        <v>45416</v>
      </c>
      <c r="E74" s="21" t="s">
        <v>44</v>
      </c>
      <c r="F74" s="19" t="s">
        <v>45</v>
      </c>
      <c r="G74" s="19" t="s">
        <v>124</v>
      </c>
      <c r="H74" s="19">
        <v>0.62</v>
      </c>
      <c r="I74" s="41">
        <v>67</v>
      </c>
      <c r="J74" s="42"/>
      <c r="K74" s="43"/>
      <c r="L74" s="42"/>
      <c r="M74" s="44"/>
      <c r="N74" s="45"/>
      <c r="O74" s="46">
        <f t="shared" ref="O74:O78" si="48">SUM(I74)</f>
        <v>67</v>
      </c>
      <c r="P74" s="51"/>
      <c r="Q74" s="51"/>
      <c r="R74" s="73">
        <f t="shared" si="43"/>
        <v>25.06109739369</v>
      </c>
      <c r="S74" s="73"/>
      <c r="T74" s="88">
        <f t="shared" si="44"/>
        <v>0.0299085505258345</v>
      </c>
      <c r="U74" s="73"/>
      <c r="V74" s="73"/>
      <c r="W74" s="73">
        <f t="shared" si="41"/>
        <v>25.0910059442158</v>
      </c>
      <c r="X74" s="75">
        <f t="shared" si="45"/>
        <v>0.428301783264746</v>
      </c>
      <c r="Y74" s="75"/>
      <c r="Z74" s="75"/>
      <c r="AA74" s="75">
        <f t="shared" si="42"/>
        <v>0.428301783264746</v>
      </c>
      <c r="AB74" s="84">
        <v>7.22</v>
      </c>
      <c r="AC74" s="73">
        <f t="shared" si="38"/>
        <v>3.09233887517147</v>
      </c>
      <c r="AD74" s="73">
        <f t="shared" si="36"/>
        <v>28.1833448193873</v>
      </c>
      <c r="AE74" s="73">
        <f t="shared" si="40"/>
        <v>38.8166551806127</v>
      </c>
    </row>
    <row r="75" customFormat="1" spans="1:31">
      <c r="A75" s="18"/>
      <c r="B75" s="19"/>
      <c r="C75" s="20">
        <v>240423000044</v>
      </c>
      <c r="D75" s="21">
        <v>45416</v>
      </c>
      <c r="E75" s="21" t="s">
        <v>37</v>
      </c>
      <c r="F75" s="19" t="s">
        <v>38</v>
      </c>
      <c r="G75" s="19" t="s">
        <v>125</v>
      </c>
      <c r="H75" s="19">
        <v>0.56</v>
      </c>
      <c r="I75" s="52"/>
      <c r="J75" s="48">
        <v>13952</v>
      </c>
      <c r="K75" s="43"/>
      <c r="L75" s="42"/>
      <c r="M75" s="50">
        <v>8.86</v>
      </c>
      <c r="N75" s="45">
        <v>7.22</v>
      </c>
      <c r="O75" s="46">
        <f>SUM(M75*N75)</f>
        <v>63.9692</v>
      </c>
      <c r="P75" s="51"/>
      <c r="Q75" s="51"/>
      <c r="R75" s="73">
        <f t="shared" si="43"/>
        <v>22.6358299039781</v>
      </c>
      <c r="S75" s="73"/>
      <c r="T75" s="88">
        <f t="shared" si="44"/>
        <v>0.0270141746684957</v>
      </c>
      <c r="U75" s="73"/>
      <c r="V75" s="73"/>
      <c r="W75" s="73">
        <f t="shared" si="41"/>
        <v>22.6628440786465</v>
      </c>
      <c r="X75" s="75">
        <f t="shared" si="45"/>
        <v>0.386853223593964</v>
      </c>
      <c r="Y75" s="75"/>
      <c r="Z75" s="75"/>
      <c r="AA75" s="75">
        <f t="shared" si="42"/>
        <v>0.386853223593964</v>
      </c>
      <c r="AB75" s="84">
        <v>7.22</v>
      </c>
      <c r="AC75" s="73">
        <f t="shared" si="38"/>
        <v>2.79308027434842</v>
      </c>
      <c r="AD75" s="73">
        <f t="shared" si="36"/>
        <v>25.455924352995</v>
      </c>
      <c r="AE75" s="73">
        <f t="shared" si="40"/>
        <v>38.513275647005</v>
      </c>
    </row>
    <row r="76" customFormat="1" spans="1:31">
      <c r="A76" s="18"/>
      <c r="B76" s="19"/>
      <c r="C76" s="20">
        <v>240423000048</v>
      </c>
      <c r="D76" s="21">
        <v>45416</v>
      </c>
      <c r="E76" s="21" t="s">
        <v>47</v>
      </c>
      <c r="F76" s="19" t="s">
        <v>48</v>
      </c>
      <c r="G76" s="19" t="s">
        <v>126</v>
      </c>
      <c r="H76" s="19">
        <v>3</v>
      </c>
      <c r="I76" s="41">
        <v>150</v>
      </c>
      <c r="J76" s="42"/>
      <c r="K76" s="43"/>
      <c r="L76" s="42"/>
      <c r="M76" s="44"/>
      <c r="N76" s="45"/>
      <c r="O76" s="46">
        <f t="shared" si="48"/>
        <v>150</v>
      </c>
      <c r="P76" s="51"/>
      <c r="Q76" s="51"/>
      <c r="R76" s="73">
        <f t="shared" si="43"/>
        <v>121.263374485597</v>
      </c>
      <c r="S76" s="73"/>
      <c r="T76" s="88">
        <f t="shared" si="44"/>
        <v>0.144718792866941</v>
      </c>
      <c r="U76" s="73"/>
      <c r="V76" s="73"/>
      <c r="W76" s="73">
        <f t="shared" si="41"/>
        <v>121.408093278464</v>
      </c>
      <c r="X76" s="75">
        <f t="shared" si="45"/>
        <v>2.07242798353909</v>
      </c>
      <c r="Y76" s="75"/>
      <c r="Z76" s="75"/>
      <c r="AA76" s="75">
        <f t="shared" si="42"/>
        <v>2.07242798353909</v>
      </c>
      <c r="AB76" s="84">
        <v>7.22</v>
      </c>
      <c r="AC76" s="73">
        <f t="shared" si="38"/>
        <v>14.9629300411523</v>
      </c>
      <c r="AD76" s="73">
        <f t="shared" si="36"/>
        <v>136.371023319616</v>
      </c>
      <c r="AE76" s="73">
        <f t="shared" si="40"/>
        <v>13.628976680384</v>
      </c>
    </row>
    <row r="77" customFormat="1" spans="1:31">
      <c r="A77" s="18"/>
      <c r="B77" s="19"/>
      <c r="C77" s="20">
        <v>240424000003</v>
      </c>
      <c r="D77" s="21">
        <v>45416</v>
      </c>
      <c r="E77" s="21" t="s">
        <v>44</v>
      </c>
      <c r="F77" s="19" t="s">
        <v>127</v>
      </c>
      <c r="G77" s="19" t="s">
        <v>128</v>
      </c>
      <c r="H77" s="19">
        <v>0.2</v>
      </c>
      <c r="I77" s="41">
        <v>50</v>
      </c>
      <c r="J77" s="42"/>
      <c r="K77" s="43"/>
      <c r="L77" s="42"/>
      <c r="M77" s="44"/>
      <c r="N77" s="45"/>
      <c r="O77" s="46">
        <f t="shared" si="48"/>
        <v>50</v>
      </c>
      <c r="P77" s="51"/>
      <c r="Q77" s="51"/>
      <c r="R77" s="73">
        <f t="shared" si="43"/>
        <v>8.08422496570645</v>
      </c>
      <c r="S77" s="73"/>
      <c r="T77" s="88">
        <f t="shared" si="44"/>
        <v>0.00964791952446273</v>
      </c>
      <c r="U77" s="73"/>
      <c r="V77" s="73"/>
      <c r="W77" s="73">
        <f t="shared" si="41"/>
        <v>8.09387288523091</v>
      </c>
      <c r="X77" s="75">
        <f t="shared" si="45"/>
        <v>0.138161865569273</v>
      </c>
      <c r="Y77" s="75"/>
      <c r="Z77" s="75"/>
      <c r="AA77" s="75">
        <f t="shared" si="42"/>
        <v>0.138161865569273</v>
      </c>
      <c r="AB77" s="84">
        <v>7.22</v>
      </c>
      <c r="AC77" s="73">
        <f t="shared" si="38"/>
        <v>0.997528669410151</v>
      </c>
      <c r="AD77" s="73">
        <f t="shared" si="36"/>
        <v>9.09140155464106</v>
      </c>
      <c r="AE77" s="73">
        <f t="shared" si="40"/>
        <v>40.9085984453589</v>
      </c>
    </row>
    <row r="78" customFormat="1" spans="1:31">
      <c r="A78" s="18"/>
      <c r="B78" s="19"/>
      <c r="C78" s="20">
        <v>240424000005</v>
      </c>
      <c r="D78" s="21">
        <v>45416</v>
      </c>
      <c r="E78" s="21" t="s">
        <v>37</v>
      </c>
      <c r="F78" s="19" t="s">
        <v>38</v>
      </c>
      <c r="G78" s="19" t="s">
        <v>129</v>
      </c>
      <c r="H78" s="19">
        <v>0.4</v>
      </c>
      <c r="I78" s="41">
        <v>64</v>
      </c>
      <c r="J78" s="42"/>
      <c r="K78" s="43"/>
      <c r="L78" s="42"/>
      <c r="M78" s="44"/>
      <c r="N78" s="45"/>
      <c r="O78" s="46">
        <f t="shared" si="48"/>
        <v>64</v>
      </c>
      <c r="P78" s="51"/>
      <c r="Q78" s="51"/>
      <c r="R78" s="73">
        <f t="shared" si="43"/>
        <v>16.1684499314129</v>
      </c>
      <c r="S78" s="73"/>
      <c r="T78" s="88">
        <f t="shared" si="44"/>
        <v>0.0192958390489255</v>
      </c>
      <c r="U78" s="73"/>
      <c r="V78" s="73"/>
      <c r="W78" s="73">
        <f t="shared" si="41"/>
        <v>16.1877457704618</v>
      </c>
      <c r="X78" s="75">
        <f t="shared" si="45"/>
        <v>0.276323731138546</v>
      </c>
      <c r="Y78" s="75"/>
      <c r="Z78" s="75"/>
      <c r="AA78" s="75">
        <f t="shared" si="42"/>
        <v>0.276323731138546</v>
      </c>
      <c r="AB78" s="84">
        <v>7.22</v>
      </c>
      <c r="AC78" s="73">
        <f t="shared" si="38"/>
        <v>1.9950573388203</v>
      </c>
      <c r="AD78" s="73">
        <f t="shared" si="36"/>
        <v>18.1828031092821</v>
      </c>
      <c r="AE78" s="73">
        <f t="shared" si="40"/>
        <v>45.8171968907179</v>
      </c>
    </row>
    <row r="79" customFormat="1" spans="1:31">
      <c r="A79" s="18"/>
      <c r="B79" s="19"/>
      <c r="C79" s="20">
        <v>240424000009</v>
      </c>
      <c r="D79" s="21">
        <v>45416</v>
      </c>
      <c r="E79" s="21" t="s">
        <v>41</v>
      </c>
      <c r="F79" s="19" t="s">
        <v>130</v>
      </c>
      <c r="G79" s="19" t="s">
        <v>131</v>
      </c>
      <c r="H79" s="19">
        <v>0.68</v>
      </c>
      <c r="I79" s="46"/>
      <c r="J79" s="48">
        <v>11685</v>
      </c>
      <c r="K79" s="43"/>
      <c r="L79" s="42"/>
      <c r="M79" s="50">
        <v>8.2</v>
      </c>
      <c r="N79" s="45">
        <v>7.22</v>
      </c>
      <c r="O79" s="46">
        <f t="shared" ref="O79:O84" si="49">SUM(M79*N79)</f>
        <v>59.204</v>
      </c>
      <c r="P79" s="51"/>
      <c r="Q79" s="51"/>
      <c r="R79" s="73">
        <f t="shared" si="43"/>
        <v>27.4863648834019</v>
      </c>
      <c r="S79" s="73"/>
      <c r="T79" s="88">
        <f t="shared" si="44"/>
        <v>0.0328029263831733</v>
      </c>
      <c r="U79" s="73"/>
      <c r="V79" s="73"/>
      <c r="W79" s="73">
        <f t="shared" si="41"/>
        <v>27.5191678097851</v>
      </c>
      <c r="X79" s="75">
        <f t="shared" si="45"/>
        <v>0.469750342935528</v>
      </c>
      <c r="Y79" s="75"/>
      <c r="Z79" s="75"/>
      <c r="AA79" s="75">
        <f t="shared" si="42"/>
        <v>0.469750342935528</v>
      </c>
      <c r="AB79" s="84">
        <v>7.22</v>
      </c>
      <c r="AC79" s="73">
        <f t="shared" si="38"/>
        <v>3.39159747599451</v>
      </c>
      <c r="AD79" s="73">
        <f t="shared" si="36"/>
        <v>30.9107652857796</v>
      </c>
      <c r="AE79" s="73">
        <f t="shared" si="40"/>
        <v>28.2932347142204</v>
      </c>
    </row>
    <row r="80" customFormat="1" spans="1:31">
      <c r="A80" s="18"/>
      <c r="B80" s="19"/>
      <c r="C80" s="20">
        <v>240424000012</v>
      </c>
      <c r="D80" s="21">
        <v>45416</v>
      </c>
      <c r="E80" s="21" t="s">
        <v>37</v>
      </c>
      <c r="F80" s="19" t="s">
        <v>38</v>
      </c>
      <c r="G80" s="19" t="s">
        <v>132</v>
      </c>
      <c r="H80" s="19">
        <v>0.54</v>
      </c>
      <c r="I80" s="46"/>
      <c r="J80" s="48">
        <v>12480</v>
      </c>
      <c r="K80" s="43"/>
      <c r="L80" s="49">
        <f>SUM(J80/M80)</f>
        <v>1521.9512195122</v>
      </c>
      <c r="M80" s="50">
        <v>8.2</v>
      </c>
      <c r="N80" s="45">
        <v>7.22</v>
      </c>
      <c r="O80" s="46">
        <f t="shared" si="49"/>
        <v>59.204</v>
      </c>
      <c r="P80" s="51"/>
      <c r="Q80" s="51"/>
      <c r="R80" s="73">
        <f t="shared" si="43"/>
        <v>21.8274074074074</v>
      </c>
      <c r="S80" s="73"/>
      <c r="T80" s="88">
        <f t="shared" si="44"/>
        <v>0.0260493827160494</v>
      </c>
      <c r="U80" s="73"/>
      <c r="V80" s="73"/>
      <c r="W80" s="73">
        <f t="shared" si="41"/>
        <v>21.8534567901235</v>
      </c>
      <c r="X80" s="75">
        <f t="shared" si="45"/>
        <v>0.373037037037037</v>
      </c>
      <c r="Y80" s="75"/>
      <c r="Z80" s="75"/>
      <c r="AA80" s="75">
        <f t="shared" si="42"/>
        <v>0.373037037037037</v>
      </c>
      <c r="AB80" s="84">
        <v>7.22</v>
      </c>
      <c r="AC80" s="73">
        <f t="shared" si="38"/>
        <v>2.69332740740741</v>
      </c>
      <c r="AD80" s="73">
        <f t="shared" si="36"/>
        <v>24.5467841975309</v>
      </c>
      <c r="AE80" s="73">
        <f t="shared" si="40"/>
        <v>34.6572158024691</v>
      </c>
    </row>
    <row r="81" customFormat="1" spans="1:31">
      <c r="A81" s="18"/>
      <c r="B81" s="19"/>
      <c r="C81" s="20">
        <v>240424000018</v>
      </c>
      <c r="D81" s="21">
        <v>45416</v>
      </c>
      <c r="E81" s="21" t="s">
        <v>44</v>
      </c>
      <c r="F81" s="19" t="s">
        <v>127</v>
      </c>
      <c r="G81" s="19" t="s">
        <v>128</v>
      </c>
      <c r="H81" s="19">
        <v>4.5</v>
      </c>
      <c r="I81" s="41">
        <v>225</v>
      </c>
      <c r="J81" s="42"/>
      <c r="K81" s="43"/>
      <c r="L81" s="42"/>
      <c r="M81" s="44"/>
      <c r="N81" s="45"/>
      <c r="O81" s="46">
        <f t="shared" ref="O81:O83" si="50">SUM(I81)</f>
        <v>225</v>
      </c>
      <c r="P81" s="51"/>
      <c r="Q81" s="51"/>
      <c r="R81" s="73">
        <f t="shared" si="43"/>
        <v>181.895061728395</v>
      </c>
      <c r="S81" s="73"/>
      <c r="T81" s="88">
        <f t="shared" si="44"/>
        <v>0.217078189300412</v>
      </c>
      <c r="U81" s="73"/>
      <c r="V81" s="73"/>
      <c r="W81" s="73">
        <f t="shared" si="41"/>
        <v>182.112139917695</v>
      </c>
      <c r="X81" s="75">
        <f t="shared" si="45"/>
        <v>3.10864197530864</v>
      </c>
      <c r="Y81" s="75"/>
      <c r="Z81" s="75"/>
      <c r="AA81" s="75">
        <f t="shared" si="42"/>
        <v>3.10864197530864</v>
      </c>
      <c r="AB81" s="84">
        <v>7.22</v>
      </c>
      <c r="AC81" s="73">
        <f t="shared" si="38"/>
        <v>22.4443950617284</v>
      </c>
      <c r="AD81" s="73">
        <f t="shared" si="36"/>
        <v>204.556534979424</v>
      </c>
      <c r="AE81" s="73">
        <f t="shared" si="40"/>
        <v>20.443465020576</v>
      </c>
    </row>
    <row r="82" customFormat="1" spans="1:31">
      <c r="A82" s="18"/>
      <c r="B82" s="19"/>
      <c r="C82" s="20">
        <v>240424000020</v>
      </c>
      <c r="D82" s="21">
        <v>45416</v>
      </c>
      <c r="E82" s="21" t="s">
        <v>41</v>
      </c>
      <c r="F82" s="19" t="s">
        <v>42</v>
      </c>
      <c r="G82" s="19" t="s">
        <v>133</v>
      </c>
      <c r="H82" s="19">
        <v>5</v>
      </c>
      <c r="I82" s="41">
        <v>278</v>
      </c>
      <c r="J82" s="42"/>
      <c r="K82" s="43"/>
      <c r="L82" s="42"/>
      <c r="M82" s="44"/>
      <c r="N82" s="45"/>
      <c r="O82" s="46">
        <f t="shared" si="50"/>
        <v>278</v>
      </c>
      <c r="P82" s="51"/>
      <c r="Q82" s="51"/>
      <c r="R82" s="73">
        <f t="shared" si="43"/>
        <v>202.105624142661</v>
      </c>
      <c r="S82" s="73"/>
      <c r="T82" s="88">
        <f t="shared" si="44"/>
        <v>0.241197988111568</v>
      </c>
      <c r="U82" s="73"/>
      <c r="V82" s="73"/>
      <c r="W82" s="73">
        <f t="shared" si="41"/>
        <v>202.346822130773</v>
      </c>
      <c r="X82" s="75">
        <f t="shared" si="45"/>
        <v>3.45404663923182</v>
      </c>
      <c r="Y82" s="75"/>
      <c r="Z82" s="75"/>
      <c r="AA82" s="75">
        <f t="shared" si="42"/>
        <v>3.45404663923182</v>
      </c>
      <c r="AB82" s="84">
        <v>7.22</v>
      </c>
      <c r="AC82" s="73">
        <f t="shared" si="38"/>
        <v>24.9382167352538</v>
      </c>
      <c r="AD82" s="73">
        <f t="shared" si="36"/>
        <v>227.285038866027</v>
      </c>
      <c r="AE82" s="73">
        <f t="shared" si="40"/>
        <v>50.714961133973</v>
      </c>
    </row>
    <row r="83" customFormat="1" spans="1:31">
      <c r="A83" s="18"/>
      <c r="B83" s="19"/>
      <c r="C83" s="20">
        <v>240424000023</v>
      </c>
      <c r="D83" s="21">
        <v>45416</v>
      </c>
      <c r="E83" s="21" t="s">
        <v>47</v>
      </c>
      <c r="F83" s="19" t="s">
        <v>48</v>
      </c>
      <c r="G83" s="19" t="s">
        <v>134</v>
      </c>
      <c r="H83" s="19">
        <v>10</v>
      </c>
      <c r="I83" s="41">
        <v>526</v>
      </c>
      <c r="J83" s="42"/>
      <c r="K83" s="43"/>
      <c r="L83" s="42"/>
      <c r="M83" s="44"/>
      <c r="N83" s="45"/>
      <c r="O83" s="46">
        <f t="shared" si="50"/>
        <v>526</v>
      </c>
      <c r="P83" s="51"/>
      <c r="Q83" s="51"/>
      <c r="R83" s="73">
        <f t="shared" si="43"/>
        <v>404.211248285322</v>
      </c>
      <c r="S83" s="73"/>
      <c r="T83" s="88">
        <f t="shared" si="44"/>
        <v>0.482395976223137</v>
      </c>
      <c r="U83" s="73"/>
      <c r="V83" s="73"/>
      <c r="W83" s="73">
        <f t="shared" si="41"/>
        <v>404.693644261546</v>
      </c>
      <c r="X83" s="75">
        <f t="shared" si="45"/>
        <v>6.90809327846365</v>
      </c>
      <c r="Y83" s="75"/>
      <c r="Z83" s="75"/>
      <c r="AA83" s="75">
        <f t="shared" si="42"/>
        <v>6.90809327846365</v>
      </c>
      <c r="AB83" s="84">
        <v>7.22</v>
      </c>
      <c r="AC83" s="73">
        <f t="shared" si="38"/>
        <v>49.8764334705075</v>
      </c>
      <c r="AD83" s="73">
        <f t="shared" si="36"/>
        <v>454.570077732053</v>
      </c>
      <c r="AE83" s="73">
        <f t="shared" si="40"/>
        <v>71.429922267947</v>
      </c>
    </row>
    <row r="84" customFormat="1" spans="1:31">
      <c r="A84" s="18"/>
      <c r="B84" s="19"/>
      <c r="C84" s="20">
        <v>240424000029</v>
      </c>
      <c r="D84" s="21">
        <v>45416</v>
      </c>
      <c r="E84" s="21" t="s">
        <v>47</v>
      </c>
      <c r="F84" s="19" t="s">
        <v>48</v>
      </c>
      <c r="G84" s="19" t="s">
        <v>135</v>
      </c>
      <c r="H84" s="19">
        <v>235.5</v>
      </c>
      <c r="I84" s="46"/>
      <c r="J84" s="48">
        <v>2485838.4</v>
      </c>
      <c r="K84" s="43"/>
      <c r="L84" s="49">
        <f>SUM(J84/M84)</f>
        <v>1520.00009294249</v>
      </c>
      <c r="M84" s="50">
        <v>1635.4199</v>
      </c>
      <c r="N84" s="45">
        <v>7.22</v>
      </c>
      <c r="O84" s="52">
        <f t="shared" si="49"/>
        <v>11807.731678</v>
      </c>
      <c r="P84" s="51"/>
      <c r="Q84" s="51"/>
      <c r="R84" s="73">
        <f t="shared" si="43"/>
        <v>9519.17489711934</v>
      </c>
      <c r="S84" s="73"/>
      <c r="T84" s="88">
        <f t="shared" si="44"/>
        <v>11.3604252400549</v>
      </c>
      <c r="U84" s="73"/>
      <c r="V84" s="73"/>
      <c r="W84" s="73">
        <f t="shared" si="41"/>
        <v>9530.5353223594</v>
      </c>
      <c r="X84" s="75">
        <f t="shared" si="45"/>
        <v>162.685596707819</v>
      </c>
      <c r="Y84" s="75"/>
      <c r="Z84" s="75"/>
      <c r="AA84" s="75">
        <f t="shared" si="42"/>
        <v>162.685596707819</v>
      </c>
      <c r="AB84" s="84">
        <v>7.22</v>
      </c>
      <c r="AC84" s="73">
        <f t="shared" si="38"/>
        <v>1174.59000823045</v>
      </c>
      <c r="AD84" s="73">
        <f t="shared" si="36"/>
        <v>10705.1253305898</v>
      </c>
      <c r="AE84" s="73">
        <f t="shared" si="40"/>
        <v>1102.6063474102</v>
      </c>
    </row>
    <row r="85" customFormat="1" spans="1:31">
      <c r="A85" s="18"/>
      <c r="B85" s="19"/>
      <c r="C85" s="20">
        <v>240424000037</v>
      </c>
      <c r="D85" s="21">
        <v>45416</v>
      </c>
      <c r="E85" s="21" t="s">
        <v>64</v>
      </c>
      <c r="F85" s="19" t="s">
        <v>65</v>
      </c>
      <c r="G85" s="19" t="s">
        <v>136</v>
      </c>
      <c r="H85" s="19">
        <v>2</v>
      </c>
      <c r="I85" s="41">
        <v>113</v>
      </c>
      <c r="J85" s="42"/>
      <c r="K85" s="43"/>
      <c r="L85" s="42"/>
      <c r="M85" s="44"/>
      <c r="N85" s="45"/>
      <c r="O85" s="46">
        <f t="shared" ref="O85:O88" si="51">SUM(I85)</f>
        <v>113</v>
      </c>
      <c r="P85" s="51"/>
      <c r="Q85" s="51"/>
      <c r="R85" s="73">
        <f t="shared" si="43"/>
        <v>80.8422496570645</v>
      </c>
      <c r="S85" s="73"/>
      <c r="T85" s="88">
        <f t="shared" si="44"/>
        <v>0.0964791952446273</v>
      </c>
      <c r="U85" s="73"/>
      <c r="V85" s="73"/>
      <c r="W85" s="73">
        <f t="shared" si="41"/>
        <v>80.9387288523091</v>
      </c>
      <c r="X85" s="75">
        <f t="shared" si="45"/>
        <v>1.38161865569273</v>
      </c>
      <c r="Y85" s="75"/>
      <c r="Z85" s="75"/>
      <c r="AA85" s="75">
        <f t="shared" si="42"/>
        <v>1.38161865569273</v>
      </c>
      <c r="AB85" s="84">
        <v>7.22</v>
      </c>
      <c r="AC85" s="73">
        <f t="shared" si="38"/>
        <v>9.97528669410151</v>
      </c>
      <c r="AD85" s="73">
        <f t="shared" si="36"/>
        <v>90.9140155464106</v>
      </c>
      <c r="AE85" s="73">
        <f t="shared" si="40"/>
        <v>22.0859844535894</v>
      </c>
    </row>
    <row r="86" customFormat="1" spans="1:31">
      <c r="A86" s="18"/>
      <c r="B86" s="19"/>
      <c r="C86" s="20">
        <v>240425000003</v>
      </c>
      <c r="D86" s="21">
        <v>45416</v>
      </c>
      <c r="E86" s="21" t="s">
        <v>37</v>
      </c>
      <c r="F86" s="19" t="s">
        <v>38</v>
      </c>
      <c r="G86" s="19" t="s">
        <v>137</v>
      </c>
      <c r="H86" s="19">
        <v>2</v>
      </c>
      <c r="I86" s="41">
        <v>119</v>
      </c>
      <c r="J86" s="42"/>
      <c r="K86" s="43"/>
      <c r="L86" s="42"/>
      <c r="M86" s="44"/>
      <c r="N86" s="45"/>
      <c r="O86" s="46">
        <f t="shared" si="51"/>
        <v>119</v>
      </c>
      <c r="P86" s="51"/>
      <c r="Q86" s="51"/>
      <c r="R86" s="73">
        <f t="shared" si="43"/>
        <v>80.8422496570645</v>
      </c>
      <c r="S86" s="73"/>
      <c r="T86" s="88">
        <f t="shared" si="44"/>
        <v>0.0964791952446273</v>
      </c>
      <c r="U86" s="73"/>
      <c r="V86" s="73"/>
      <c r="W86" s="73">
        <f t="shared" si="41"/>
        <v>80.9387288523091</v>
      </c>
      <c r="X86" s="75">
        <f t="shared" si="45"/>
        <v>1.38161865569273</v>
      </c>
      <c r="Y86" s="75"/>
      <c r="Z86" s="75"/>
      <c r="AA86" s="75">
        <f t="shared" si="42"/>
        <v>1.38161865569273</v>
      </c>
      <c r="AB86" s="84">
        <v>7.22</v>
      </c>
      <c r="AC86" s="73">
        <f t="shared" si="38"/>
        <v>9.97528669410151</v>
      </c>
      <c r="AD86" s="73">
        <f t="shared" si="36"/>
        <v>90.9140155464106</v>
      </c>
      <c r="AE86" s="73">
        <f t="shared" si="40"/>
        <v>28.0859844535894</v>
      </c>
    </row>
    <row r="87" customFormat="1" spans="1:31">
      <c r="A87" s="18"/>
      <c r="B87" s="19"/>
      <c r="C87" s="22">
        <v>240425000004</v>
      </c>
      <c r="D87" s="23">
        <v>45416</v>
      </c>
      <c r="E87" s="21" t="s">
        <v>44</v>
      </c>
      <c r="F87" s="24" t="s">
        <v>45</v>
      </c>
      <c r="G87" s="24" t="s">
        <v>128</v>
      </c>
      <c r="H87" s="24">
        <v>22.5</v>
      </c>
      <c r="I87" s="41">
        <v>1192.5</v>
      </c>
      <c r="J87" s="42"/>
      <c r="K87" s="43"/>
      <c r="L87" s="42"/>
      <c r="M87" s="44"/>
      <c r="N87" s="45"/>
      <c r="O87" s="46">
        <f t="shared" si="51"/>
        <v>1192.5</v>
      </c>
      <c r="P87" s="51"/>
      <c r="Q87" s="51"/>
      <c r="R87" s="73">
        <f t="shared" si="43"/>
        <v>909.475308641975</v>
      </c>
      <c r="S87" s="73"/>
      <c r="T87" s="88">
        <f t="shared" si="44"/>
        <v>1.08539094650206</v>
      </c>
      <c r="U87" s="73"/>
      <c r="V87" s="73"/>
      <c r="W87" s="73">
        <f t="shared" si="41"/>
        <v>910.560699588477</v>
      </c>
      <c r="X87" s="75">
        <f t="shared" si="45"/>
        <v>15.5432098765432</v>
      </c>
      <c r="Y87" s="75"/>
      <c r="Z87" s="75"/>
      <c r="AA87" s="75">
        <f t="shared" si="42"/>
        <v>15.5432098765432</v>
      </c>
      <c r="AB87" s="84">
        <v>7.22</v>
      </c>
      <c r="AC87" s="73">
        <f t="shared" si="38"/>
        <v>112.221975308642</v>
      </c>
      <c r="AD87" s="73">
        <f t="shared" si="36"/>
        <v>1022.78267489712</v>
      </c>
      <c r="AE87" s="73">
        <f t="shared" si="40"/>
        <v>169.71732510288</v>
      </c>
    </row>
    <row r="88" customFormat="1" spans="1:31">
      <c r="A88" s="18"/>
      <c r="B88" s="19"/>
      <c r="C88" s="20">
        <v>240425000006</v>
      </c>
      <c r="D88" s="21">
        <v>45416</v>
      </c>
      <c r="E88" s="21" t="s">
        <v>44</v>
      </c>
      <c r="F88" s="19" t="s">
        <v>45</v>
      </c>
      <c r="G88" s="19" t="s">
        <v>46</v>
      </c>
      <c r="H88" s="19">
        <v>0.46</v>
      </c>
      <c r="I88" s="41">
        <v>58</v>
      </c>
      <c r="J88" s="42"/>
      <c r="K88" s="43"/>
      <c r="L88" s="42"/>
      <c r="M88" s="44"/>
      <c r="N88" s="45"/>
      <c r="O88" s="46">
        <f t="shared" si="51"/>
        <v>58</v>
      </c>
      <c r="P88" s="51"/>
      <c r="Q88" s="51"/>
      <c r="R88" s="73">
        <f t="shared" si="43"/>
        <v>18.5937174211248</v>
      </c>
      <c r="S88" s="73"/>
      <c r="T88" s="88">
        <f t="shared" si="44"/>
        <v>0.0221902149062643</v>
      </c>
      <c r="U88" s="73"/>
      <c r="V88" s="73"/>
      <c r="W88" s="73">
        <f t="shared" si="41"/>
        <v>18.6159076360311</v>
      </c>
      <c r="X88" s="75">
        <f t="shared" si="45"/>
        <v>0.317772290809328</v>
      </c>
      <c r="Y88" s="75"/>
      <c r="Z88" s="75"/>
      <c r="AA88" s="75">
        <f t="shared" si="42"/>
        <v>0.317772290809328</v>
      </c>
      <c r="AB88" s="84">
        <v>7.22</v>
      </c>
      <c r="AC88" s="73">
        <f t="shared" si="38"/>
        <v>2.29431593964335</v>
      </c>
      <c r="AD88" s="73">
        <f t="shared" si="36"/>
        <v>20.9102235756744</v>
      </c>
      <c r="AE88" s="73">
        <f t="shared" si="40"/>
        <v>37.0897764243256</v>
      </c>
    </row>
    <row r="89" customFormat="1" spans="1:31">
      <c r="A89" s="18"/>
      <c r="B89" s="19"/>
      <c r="C89" s="20">
        <v>240425000020</v>
      </c>
      <c r="D89" s="21">
        <v>45416</v>
      </c>
      <c r="E89" s="21" t="s">
        <v>37</v>
      </c>
      <c r="F89" s="19" t="s">
        <v>38</v>
      </c>
      <c r="G89" s="19" t="s">
        <v>138</v>
      </c>
      <c r="H89" s="19">
        <v>0.9</v>
      </c>
      <c r="I89" s="52"/>
      <c r="J89" s="48">
        <v>13000</v>
      </c>
      <c r="K89" s="43"/>
      <c r="L89" s="49">
        <f t="shared" ref="L89:L94" si="52">SUM(J89/M89)</f>
        <v>1618.92901618929</v>
      </c>
      <c r="M89" s="50">
        <v>8.03</v>
      </c>
      <c r="N89" s="45">
        <v>7.22</v>
      </c>
      <c r="O89" s="46">
        <f t="shared" ref="O89:O94" si="53">SUM(M89*N89)</f>
        <v>57.9766</v>
      </c>
      <c r="P89" s="51"/>
      <c r="Q89" s="51"/>
      <c r="R89" s="73">
        <f t="shared" si="43"/>
        <v>36.379012345679</v>
      </c>
      <c r="S89" s="73"/>
      <c r="T89" s="88">
        <f t="shared" si="44"/>
        <v>0.0434156378600823</v>
      </c>
      <c r="U89" s="73"/>
      <c r="V89" s="73"/>
      <c r="W89" s="73">
        <f t="shared" si="41"/>
        <v>36.4224279835391</v>
      </c>
      <c r="X89" s="75">
        <f t="shared" si="45"/>
        <v>0.621728395061728</v>
      </c>
      <c r="Y89" s="75"/>
      <c r="Z89" s="75"/>
      <c r="AA89" s="75">
        <f t="shared" si="42"/>
        <v>0.621728395061728</v>
      </c>
      <c r="AB89" s="84">
        <v>7.22</v>
      </c>
      <c r="AC89" s="73">
        <f t="shared" si="38"/>
        <v>4.48887901234568</v>
      </c>
      <c r="AD89" s="73">
        <f t="shared" si="36"/>
        <v>40.9113069958848</v>
      </c>
      <c r="AE89" s="73">
        <f t="shared" si="40"/>
        <v>17.0652930041152</v>
      </c>
    </row>
    <row r="90" customFormat="1" spans="1:31">
      <c r="A90" s="18"/>
      <c r="B90" s="19"/>
      <c r="C90" s="20">
        <v>240425000021</v>
      </c>
      <c r="D90" s="21">
        <v>45416</v>
      </c>
      <c r="E90" s="21" t="s">
        <v>41</v>
      </c>
      <c r="F90" s="19" t="s">
        <v>42</v>
      </c>
      <c r="G90" s="19" t="s">
        <v>139</v>
      </c>
      <c r="H90" s="19">
        <v>52.5</v>
      </c>
      <c r="I90" s="85"/>
      <c r="J90" s="48">
        <v>581438</v>
      </c>
      <c r="K90" s="43"/>
      <c r="L90" s="49">
        <f t="shared" si="52"/>
        <v>1509.01352158003</v>
      </c>
      <c r="M90" s="50">
        <v>385.31</v>
      </c>
      <c r="N90" s="45">
        <v>7.22</v>
      </c>
      <c r="O90" s="46">
        <f t="shared" si="53"/>
        <v>2781.9382</v>
      </c>
      <c r="P90" s="51"/>
      <c r="Q90" s="51"/>
      <c r="R90" s="73">
        <f t="shared" si="43"/>
        <v>2122.10905349794</v>
      </c>
      <c r="S90" s="73"/>
      <c r="T90" s="88">
        <f t="shared" si="44"/>
        <v>2.53257887517147</v>
      </c>
      <c r="U90" s="73"/>
      <c r="V90" s="73"/>
      <c r="W90" s="73">
        <f t="shared" si="41"/>
        <v>2124.64163237311</v>
      </c>
      <c r="X90" s="75">
        <f t="shared" si="45"/>
        <v>36.2674897119342</v>
      </c>
      <c r="Y90" s="75"/>
      <c r="Z90" s="75"/>
      <c r="AA90" s="75">
        <f t="shared" si="42"/>
        <v>36.2674897119342</v>
      </c>
      <c r="AB90" s="84">
        <v>7.22</v>
      </c>
      <c r="AC90" s="73">
        <f t="shared" si="38"/>
        <v>261.851275720165</v>
      </c>
      <c r="AD90" s="73">
        <f t="shared" si="36"/>
        <v>2386.49290809328</v>
      </c>
      <c r="AE90" s="73">
        <f t="shared" si="40"/>
        <v>395.44529190672</v>
      </c>
    </row>
    <row r="91" customFormat="1" spans="1:31">
      <c r="A91" s="18"/>
      <c r="B91" s="19"/>
      <c r="C91" s="20">
        <v>240425000022</v>
      </c>
      <c r="D91" s="21">
        <v>45416</v>
      </c>
      <c r="E91" s="21" t="s">
        <v>64</v>
      </c>
      <c r="F91" s="19" t="s">
        <v>65</v>
      </c>
      <c r="G91" s="19" t="s">
        <v>140</v>
      </c>
      <c r="H91" s="19">
        <v>4.5</v>
      </c>
      <c r="I91" s="41">
        <v>264</v>
      </c>
      <c r="J91" s="42"/>
      <c r="K91" s="43"/>
      <c r="L91" s="42"/>
      <c r="M91" s="44"/>
      <c r="N91" s="45"/>
      <c r="O91" s="46">
        <f t="shared" ref="O91:O95" si="54">SUM(I91)</f>
        <v>264</v>
      </c>
      <c r="P91" s="51"/>
      <c r="Q91" s="51"/>
      <c r="R91" s="73">
        <f t="shared" si="43"/>
        <v>181.895061728395</v>
      </c>
      <c r="S91" s="73"/>
      <c r="T91" s="88">
        <f t="shared" si="44"/>
        <v>0.217078189300412</v>
      </c>
      <c r="U91" s="73"/>
      <c r="V91" s="73"/>
      <c r="W91" s="73">
        <f t="shared" si="41"/>
        <v>182.112139917695</v>
      </c>
      <c r="X91" s="75">
        <f t="shared" si="45"/>
        <v>3.10864197530864</v>
      </c>
      <c r="Y91" s="75"/>
      <c r="Z91" s="75"/>
      <c r="AA91" s="75">
        <f t="shared" si="42"/>
        <v>3.10864197530864</v>
      </c>
      <c r="AB91" s="84">
        <v>7.22</v>
      </c>
      <c r="AC91" s="73">
        <f t="shared" si="38"/>
        <v>22.4443950617284</v>
      </c>
      <c r="AD91" s="73">
        <f t="shared" si="36"/>
        <v>204.556534979424</v>
      </c>
      <c r="AE91" s="73">
        <f t="shared" si="40"/>
        <v>59.443465020576</v>
      </c>
    </row>
    <row r="92" customFormat="1" spans="1:31">
      <c r="A92" s="18"/>
      <c r="B92" s="19"/>
      <c r="C92" s="20">
        <v>240425000023</v>
      </c>
      <c r="D92" s="21">
        <v>45416</v>
      </c>
      <c r="E92" s="21" t="s">
        <v>47</v>
      </c>
      <c r="F92" s="19" t="s">
        <v>48</v>
      </c>
      <c r="G92" s="19" t="s">
        <v>134</v>
      </c>
      <c r="H92" s="19">
        <v>4.5</v>
      </c>
      <c r="I92" s="41">
        <v>264</v>
      </c>
      <c r="J92" s="42"/>
      <c r="K92" s="43"/>
      <c r="L92" s="42"/>
      <c r="M92" s="44"/>
      <c r="N92" s="45"/>
      <c r="O92" s="46">
        <f t="shared" si="54"/>
        <v>264</v>
      </c>
      <c r="P92" s="51"/>
      <c r="Q92" s="51"/>
      <c r="R92" s="73">
        <f t="shared" si="43"/>
        <v>181.895061728395</v>
      </c>
      <c r="S92" s="73"/>
      <c r="T92" s="88">
        <f t="shared" si="44"/>
        <v>0.217078189300412</v>
      </c>
      <c r="U92" s="73"/>
      <c r="V92" s="73"/>
      <c r="W92" s="73">
        <f t="shared" si="41"/>
        <v>182.112139917695</v>
      </c>
      <c r="X92" s="75">
        <f t="shared" si="45"/>
        <v>3.10864197530864</v>
      </c>
      <c r="Y92" s="75"/>
      <c r="Z92" s="75"/>
      <c r="AA92" s="75">
        <f t="shared" si="42"/>
        <v>3.10864197530864</v>
      </c>
      <c r="AB92" s="84">
        <v>7.22</v>
      </c>
      <c r="AC92" s="73">
        <f t="shared" si="38"/>
        <v>22.4443950617284</v>
      </c>
      <c r="AD92" s="73">
        <f t="shared" si="36"/>
        <v>204.556534979424</v>
      </c>
      <c r="AE92" s="73">
        <f t="shared" si="40"/>
        <v>59.443465020576</v>
      </c>
    </row>
    <row r="93" customFormat="1" spans="1:31">
      <c r="A93" s="18"/>
      <c r="B93" s="19"/>
      <c r="C93" s="20">
        <v>240425000024</v>
      </c>
      <c r="D93" s="21">
        <v>45416</v>
      </c>
      <c r="E93" s="21" t="s">
        <v>41</v>
      </c>
      <c r="F93" s="19" t="s">
        <v>42</v>
      </c>
      <c r="G93" s="19" t="s">
        <v>141</v>
      </c>
      <c r="H93" s="19">
        <v>232</v>
      </c>
      <c r="I93" s="52"/>
      <c r="J93" s="48">
        <v>2684472</v>
      </c>
      <c r="K93" s="43"/>
      <c r="L93" s="49">
        <f t="shared" si="52"/>
        <v>1465.66715986831</v>
      </c>
      <c r="M93" s="50">
        <v>1831.57</v>
      </c>
      <c r="N93" s="45">
        <v>7.22</v>
      </c>
      <c r="O93" s="46">
        <f t="shared" si="53"/>
        <v>13223.9354</v>
      </c>
      <c r="P93" s="51"/>
      <c r="Q93" s="51"/>
      <c r="R93" s="73">
        <f t="shared" si="43"/>
        <v>9377.70096021948</v>
      </c>
      <c r="S93" s="73"/>
      <c r="T93" s="88">
        <f t="shared" si="44"/>
        <v>11.1915866483768</v>
      </c>
      <c r="U93" s="73"/>
      <c r="V93" s="73"/>
      <c r="W93" s="73">
        <f t="shared" si="41"/>
        <v>9388.89254686786</v>
      </c>
      <c r="X93" s="75">
        <f t="shared" si="45"/>
        <v>160.267764060357</v>
      </c>
      <c r="Y93" s="75"/>
      <c r="Z93" s="75"/>
      <c r="AA93" s="75">
        <f t="shared" si="42"/>
        <v>160.267764060357</v>
      </c>
      <c r="AB93" s="84">
        <v>7.22</v>
      </c>
      <c r="AC93" s="73">
        <f t="shared" si="38"/>
        <v>1157.13325651577</v>
      </c>
      <c r="AD93" s="73">
        <f t="shared" ref="AD93:AD124" si="55">SUM(W93+AC93)</f>
        <v>10546.0258033836</v>
      </c>
      <c r="AE93" s="73">
        <f t="shared" si="40"/>
        <v>2677.9095966164</v>
      </c>
    </row>
    <row r="94" customFormat="1" spans="1:31">
      <c r="A94" s="18"/>
      <c r="B94" s="19"/>
      <c r="C94" s="20">
        <v>240425000025</v>
      </c>
      <c r="D94" s="21">
        <v>45416</v>
      </c>
      <c r="E94" s="21" t="s">
        <v>41</v>
      </c>
      <c r="F94" s="19" t="s">
        <v>42</v>
      </c>
      <c r="G94" s="19" t="s">
        <v>142</v>
      </c>
      <c r="H94" s="19">
        <v>84</v>
      </c>
      <c r="I94" s="52"/>
      <c r="J94" s="48">
        <v>930468</v>
      </c>
      <c r="K94" s="43"/>
      <c r="L94" s="49">
        <f t="shared" si="52"/>
        <v>1508.98122020045</v>
      </c>
      <c r="M94" s="50">
        <v>616.62</v>
      </c>
      <c r="N94" s="45">
        <v>7.22</v>
      </c>
      <c r="O94" s="46">
        <f t="shared" si="53"/>
        <v>4451.9964</v>
      </c>
      <c r="P94" s="51"/>
      <c r="Q94" s="51"/>
      <c r="R94" s="73">
        <f t="shared" si="43"/>
        <v>3395.37448559671</v>
      </c>
      <c r="S94" s="73"/>
      <c r="T94" s="88">
        <f t="shared" si="44"/>
        <v>4.05212620027435</v>
      </c>
      <c r="U94" s="73"/>
      <c r="V94" s="73"/>
      <c r="W94" s="73">
        <f t="shared" si="41"/>
        <v>3399.42661179698</v>
      </c>
      <c r="X94" s="75">
        <f t="shared" si="45"/>
        <v>58.0279835390946</v>
      </c>
      <c r="Y94" s="75"/>
      <c r="Z94" s="75"/>
      <c r="AA94" s="75">
        <f t="shared" si="42"/>
        <v>58.0279835390946</v>
      </c>
      <c r="AB94" s="84">
        <v>7.22</v>
      </c>
      <c r="AC94" s="73">
        <f t="shared" ref="AC94:AC125" si="56">SUM(AA94*AB94)</f>
        <v>418.962041152263</v>
      </c>
      <c r="AD94" s="73">
        <f t="shared" si="55"/>
        <v>3818.38865294925</v>
      </c>
      <c r="AE94" s="73">
        <f t="shared" si="40"/>
        <v>633.60774705075</v>
      </c>
    </row>
    <row r="95" customFormat="1" spans="1:31">
      <c r="A95" s="18"/>
      <c r="B95" s="19"/>
      <c r="C95" s="20">
        <v>240426000001</v>
      </c>
      <c r="D95" s="21">
        <v>45416</v>
      </c>
      <c r="E95" s="21" t="s">
        <v>37</v>
      </c>
      <c r="F95" s="19" t="s">
        <v>38</v>
      </c>
      <c r="G95" s="19" t="s">
        <v>143</v>
      </c>
      <c r="H95" s="19">
        <v>0.12</v>
      </c>
      <c r="I95" s="41">
        <v>58</v>
      </c>
      <c r="J95" s="42"/>
      <c r="K95" s="43"/>
      <c r="L95" s="42"/>
      <c r="M95" s="44"/>
      <c r="N95" s="45"/>
      <c r="O95" s="46">
        <f t="shared" si="54"/>
        <v>58</v>
      </c>
      <c r="P95" s="51"/>
      <c r="Q95" s="51"/>
      <c r="R95" s="73">
        <f t="shared" si="43"/>
        <v>4.85053497942387</v>
      </c>
      <c r="S95" s="73"/>
      <c r="T95" s="88">
        <f t="shared" si="44"/>
        <v>0.00578875171467764</v>
      </c>
      <c r="U95" s="73"/>
      <c r="V95" s="73"/>
      <c r="W95" s="73">
        <f t="shared" si="41"/>
        <v>4.85632373113855</v>
      </c>
      <c r="X95" s="75">
        <f t="shared" si="45"/>
        <v>0.0828971193415638</v>
      </c>
      <c r="Y95" s="75"/>
      <c r="Z95" s="75"/>
      <c r="AA95" s="75">
        <f t="shared" si="42"/>
        <v>0.0828971193415638</v>
      </c>
      <c r="AB95" s="84">
        <v>7.22</v>
      </c>
      <c r="AC95" s="73">
        <f t="shared" si="56"/>
        <v>0.59851720164609</v>
      </c>
      <c r="AD95" s="73">
        <f t="shared" si="55"/>
        <v>5.45484093278464</v>
      </c>
      <c r="AE95" s="73">
        <f t="shared" si="40"/>
        <v>52.5451590672154</v>
      </c>
    </row>
    <row r="96" customFormat="1" spans="1:31">
      <c r="A96" s="18"/>
      <c r="B96" s="19"/>
      <c r="C96" s="20">
        <v>240426000002</v>
      </c>
      <c r="D96" s="21">
        <v>45416</v>
      </c>
      <c r="E96" s="21" t="s">
        <v>41</v>
      </c>
      <c r="F96" s="19" t="s">
        <v>130</v>
      </c>
      <c r="G96" s="19" t="s">
        <v>131</v>
      </c>
      <c r="H96" s="19">
        <v>1.5</v>
      </c>
      <c r="I96" s="46"/>
      <c r="J96" s="48">
        <v>19475.24</v>
      </c>
      <c r="K96" s="43"/>
      <c r="L96" s="42"/>
      <c r="M96" s="50">
        <v>13.67</v>
      </c>
      <c r="N96" s="45">
        <v>7.22</v>
      </c>
      <c r="O96" s="46">
        <f t="shared" ref="O96:O98" si="57">SUM(M96*N96)</f>
        <v>98.6974</v>
      </c>
      <c r="P96" s="51"/>
      <c r="Q96" s="51"/>
      <c r="R96" s="73">
        <f t="shared" si="43"/>
        <v>60.6316872427983</v>
      </c>
      <c r="S96" s="73"/>
      <c r="T96" s="88">
        <f t="shared" si="44"/>
        <v>0.0723593964334705</v>
      </c>
      <c r="U96" s="73"/>
      <c r="V96" s="74">
        <v>19</v>
      </c>
      <c r="W96" s="73">
        <f t="shared" si="41"/>
        <v>79.7040466392318</v>
      </c>
      <c r="X96" s="75">
        <f t="shared" si="45"/>
        <v>1.03621399176955</v>
      </c>
      <c r="Y96" s="75"/>
      <c r="Z96" s="75"/>
      <c r="AA96" s="75">
        <f t="shared" si="42"/>
        <v>1.03621399176955</v>
      </c>
      <c r="AB96" s="84">
        <v>7.22</v>
      </c>
      <c r="AC96" s="73">
        <f t="shared" si="56"/>
        <v>7.48146502057613</v>
      </c>
      <c r="AD96" s="73">
        <f t="shared" si="55"/>
        <v>87.1855116598079</v>
      </c>
      <c r="AE96" s="73">
        <f t="shared" ref="AE96:AE127" si="58">SUM(O96-AD96)</f>
        <v>11.5118883401921</v>
      </c>
    </row>
    <row r="97" customFormat="1" spans="1:31">
      <c r="A97" s="18"/>
      <c r="B97" s="19"/>
      <c r="C97" s="20">
        <v>240426000007</v>
      </c>
      <c r="D97" s="21">
        <v>45416</v>
      </c>
      <c r="E97" s="21" t="s">
        <v>41</v>
      </c>
      <c r="F97" s="19" t="s">
        <v>42</v>
      </c>
      <c r="G97" s="19" t="s">
        <v>144</v>
      </c>
      <c r="H97" s="19">
        <v>9</v>
      </c>
      <c r="I97" s="52"/>
      <c r="J97" s="48">
        <v>150420</v>
      </c>
      <c r="K97" s="43"/>
      <c r="L97" s="49">
        <f t="shared" ref="L97:L100" si="59">SUM(J97/M97)</f>
        <v>1574.08957722897</v>
      </c>
      <c r="M97" s="50">
        <v>95.56</v>
      </c>
      <c r="N97" s="45">
        <v>7.22</v>
      </c>
      <c r="O97" s="46">
        <f t="shared" si="57"/>
        <v>689.9432</v>
      </c>
      <c r="P97" s="51"/>
      <c r="Q97" s="51"/>
      <c r="R97" s="73">
        <f t="shared" si="43"/>
        <v>363.79012345679</v>
      </c>
      <c r="S97" s="73"/>
      <c r="T97" s="88">
        <f t="shared" si="44"/>
        <v>0.434156378600823</v>
      </c>
      <c r="U97" s="73">
        <v>40</v>
      </c>
      <c r="V97" s="73"/>
      <c r="W97" s="73">
        <f t="shared" ref="W97:W128" si="60">SUM(R97:V97)</f>
        <v>404.224279835391</v>
      </c>
      <c r="X97" s="75">
        <f t="shared" si="45"/>
        <v>6.21728395061728</v>
      </c>
      <c r="Y97" s="75"/>
      <c r="Z97" s="75"/>
      <c r="AA97" s="75">
        <f t="shared" si="42"/>
        <v>6.21728395061728</v>
      </c>
      <c r="AB97" s="84">
        <v>7.22</v>
      </c>
      <c r="AC97" s="73">
        <f t="shared" si="56"/>
        <v>44.8887901234568</v>
      </c>
      <c r="AD97" s="73">
        <f t="shared" si="55"/>
        <v>449.113069958848</v>
      </c>
      <c r="AE97" s="73">
        <f t="shared" si="58"/>
        <v>240.830130041152</v>
      </c>
    </row>
    <row r="98" customFormat="1" spans="1:31">
      <c r="A98" s="18"/>
      <c r="B98" s="19"/>
      <c r="C98" s="20">
        <v>240426000008</v>
      </c>
      <c r="D98" s="21">
        <v>45416</v>
      </c>
      <c r="E98" s="21" t="s">
        <v>41</v>
      </c>
      <c r="F98" s="19" t="s">
        <v>42</v>
      </c>
      <c r="G98" s="19" t="s">
        <v>145</v>
      </c>
      <c r="H98" s="19">
        <v>254.5</v>
      </c>
      <c r="I98" s="52"/>
      <c r="J98" s="48">
        <v>2667000</v>
      </c>
      <c r="K98" s="43"/>
      <c r="L98" s="49">
        <f t="shared" si="59"/>
        <v>1516.2023877203</v>
      </c>
      <c r="M98" s="50">
        <v>1759</v>
      </c>
      <c r="N98" s="45">
        <v>7.22</v>
      </c>
      <c r="O98" s="46">
        <f t="shared" si="57"/>
        <v>12699.98</v>
      </c>
      <c r="P98" s="51"/>
      <c r="Q98" s="51"/>
      <c r="R98" s="73">
        <f t="shared" si="43"/>
        <v>10287.1762688615</v>
      </c>
      <c r="S98" s="73"/>
      <c r="T98" s="88">
        <f t="shared" si="44"/>
        <v>12.2769775948788</v>
      </c>
      <c r="U98" s="73"/>
      <c r="V98" s="73"/>
      <c r="W98" s="73">
        <f t="shared" si="60"/>
        <v>10299.4532464563</v>
      </c>
      <c r="X98" s="75">
        <f t="shared" si="45"/>
        <v>175.8109739369</v>
      </c>
      <c r="Y98" s="75"/>
      <c r="Z98" s="75"/>
      <c r="AA98" s="75">
        <f t="shared" ref="AA98:AA129" si="61">SUM(X98:Z98)</f>
        <v>175.8109739369</v>
      </c>
      <c r="AB98" s="84">
        <v>7.22</v>
      </c>
      <c r="AC98" s="73">
        <f t="shared" si="56"/>
        <v>1269.35523182442</v>
      </c>
      <c r="AD98" s="73">
        <f t="shared" si="55"/>
        <v>11568.8084782807</v>
      </c>
      <c r="AE98" s="73">
        <f t="shared" si="58"/>
        <v>1131.17152171925</v>
      </c>
    </row>
    <row r="99" customFormat="1" spans="1:31">
      <c r="A99" s="18"/>
      <c r="B99" s="19"/>
      <c r="C99" s="20">
        <v>240426000009</v>
      </c>
      <c r="D99" s="21">
        <v>45416</v>
      </c>
      <c r="E99" s="21" t="s">
        <v>44</v>
      </c>
      <c r="F99" s="19" t="s">
        <v>45</v>
      </c>
      <c r="G99" s="19" t="s">
        <v>146</v>
      </c>
      <c r="H99" s="19">
        <v>8</v>
      </c>
      <c r="I99" s="41">
        <v>446</v>
      </c>
      <c r="J99" s="42"/>
      <c r="K99" s="43"/>
      <c r="L99" s="42"/>
      <c r="M99" s="44"/>
      <c r="N99" s="45"/>
      <c r="O99" s="46">
        <f t="shared" ref="O99:O106" si="62">SUM(I99)</f>
        <v>446</v>
      </c>
      <c r="P99" s="51"/>
      <c r="Q99" s="51"/>
      <c r="R99" s="73">
        <f t="shared" ref="R99:R130" si="63">SUM(176802/4374)*H99</f>
        <v>323.368998628258</v>
      </c>
      <c r="S99" s="73"/>
      <c r="T99" s="88">
        <f t="shared" ref="T99:T130" si="64">SUM(211/4374)*H99</f>
        <v>0.385916780978509</v>
      </c>
      <c r="U99" s="73"/>
      <c r="V99" s="73"/>
      <c r="W99" s="73">
        <f t="shared" si="60"/>
        <v>323.754915409236</v>
      </c>
      <c r="X99" s="75">
        <f t="shared" ref="X99:X130" si="65">SUM(3021.6/4374)*H99</f>
        <v>5.52647462277092</v>
      </c>
      <c r="Y99" s="75"/>
      <c r="Z99" s="75"/>
      <c r="AA99" s="75">
        <f t="shared" si="61"/>
        <v>5.52647462277092</v>
      </c>
      <c r="AB99" s="84">
        <v>7.22</v>
      </c>
      <c r="AC99" s="73">
        <f t="shared" si="56"/>
        <v>39.901146776406</v>
      </c>
      <c r="AD99" s="73">
        <f t="shared" si="55"/>
        <v>363.656062185642</v>
      </c>
      <c r="AE99" s="73">
        <f t="shared" si="58"/>
        <v>82.3439378143576</v>
      </c>
    </row>
    <row r="100" customFormat="1" spans="1:31">
      <c r="A100" s="18"/>
      <c r="B100" s="19"/>
      <c r="C100" s="20">
        <v>240426000011</v>
      </c>
      <c r="D100" s="21">
        <v>45416</v>
      </c>
      <c r="E100" s="21" t="s">
        <v>41</v>
      </c>
      <c r="F100" s="19" t="s">
        <v>42</v>
      </c>
      <c r="G100" s="19" t="s">
        <v>147</v>
      </c>
      <c r="H100" s="19">
        <v>0.17</v>
      </c>
      <c r="I100" s="52"/>
      <c r="J100" s="48">
        <v>11395</v>
      </c>
      <c r="K100" s="43"/>
      <c r="L100" s="49">
        <f t="shared" si="59"/>
        <v>1552.45231607629</v>
      </c>
      <c r="M100" s="50">
        <v>7.34</v>
      </c>
      <c r="N100" s="45">
        <v>7.22</v>
      </c>
      <c r="O100" s="46">
        <f>SUM(M100*N100)</f>
        <v>52.9948</v>
      </c>
      <c r="P100" s="51"/>
      <c r="Q100" s="51"/>
      <c r="R100" s="73">
        <f t="shared" si="63"/>
        <v>6.87159122085048</v>
      </c>
      <c r="S100" s="73"/>
      <c r="T100" s="88">
        <f t="shared" si="64"/>
        <v>0.00820073159579333</v>
      </c>
      <c r="U100" s="73"/>
      <c r="V100" s="73"/>
      <c r="W100" s="73">
        <f t="shared" si="60"/>
        <v>6.87979195244627</v>
      </c>
      <c r="X100" s="75">
        <f t="shared" si="65"/>
        <v>0.117437585733882</v>
      </c>
      <c r="Y100" s="75"/>
      <c r="Z100" s="75"/>
      <c r="AA100" s="75">
        <f t="shared" si="61"/>
        <v>0.117437585733882</v>
      </c>
      <c r="AB100" s="84">
        <v>7.22</v>
      </c>
      <c r="AC100" s="73">
        <f t="shared" si="56"/>
        <v>0.847899368998628</v>
      </c>
      <c r="AD100" s="73">
        <f t="shared" si="55"/>
        <v>7.7276913214449</v>
      </c>
      <c r="AE100" s="73">
        <f t="shared" si="58"/>
        <v>45.2671086785551</v>
      </c>
    </row>
    <row r="101" customFormat="1" spans="1:31">
      <c r="A101" s="18"/>
      <c r="B101" s="19"/>
      <c r="C101" s="20">
        <v>240426000012</v>
      </c>
      <c r="D101" s="21">
        <v>45416</v>
      </c>
      <c r="E101" s="21" t="s">
        <v>41</v>
      </c>
      <c r="F101" s="19" t="s">
        <v>42</v>
      </c>
      <c r="G101" s="19" t="s">
        <v>148</v>
      </c>
      <c r="H101" s="19">
        <v>2</v>
      </c>
      <c r="I101" s="41">
        <v>145.9</v>
      </c>
      <c r="J101" s="42"/>
      <c r="K101" s="43"/>
      <c r="L101" s="42"/>
      <c r="M101" s="44"/>
      <c r="N101" s="45"/>
      <c r="O101" s="46">
        <f t="shared" si="62"/>
        <v>145.9</v>
      </c>
      <c r="P101" s="51"/>
      <c r="Q101" s="51"/>
      <c r="R101" s="73">
        <f t="shared" si="63"/>
        <v>80.8422496570645</v>
      </c>
      <c r="S101" s="73"/>
      <c r="T101" s="88">
        <f t="shared" si="64"/>
        <v>0.0964791952446273</v>
      </c>
      <c r="U101" s="73"/>
      <c r="V101" s="73"/>
      <c r="W101" s="73">
        <f t="shared" si="60"/>
        <v>80.9387288523091</v>
      </c>
      <c r="X101" s="75">
        <f t="shared" si="65"/>
        <v>1.38161865569273</v>
      </c>
      <c r="Y101" s="75"/>
      <c r="Z101" s="75"/>
      <c r="AA101" s="75">
        <f t="shared" si="61"/>
        <v>1.38161865569273</v>
      </c>
      <c r="AB101" s="84">
        <v>7.22</v>
      </c>
      <c r="AC101" s="73">
        <f t="shared" si="56"/>
        <v>9.97528669410151</v>
      </c>
      <c r="AD101" s="73">
        <f t="shared" si="55"/>
        <v>90.9140155464106</v>
      </c>
      <c r="AE101" s="73">
        <f t="shared" si="58"/>
        <v>54.9859844535894</v>
      </c>
    </row>
    <row r="102" customFormat="1" spans="1:31">
      <c r="A102" s="18"/>
      <c r="B102" s="19"/>
      <c r="C102" s="20">
        <v>240426000013</v>
      </c>
      <c r="D102" s="21">
        <v>45416</v>
      </c>
      <c r="E102" s="21" t="s">
        <v>41</v>
      </c>
      <c r="F102" s="19" t="s">
        <v>42</v>
      </c>
      <c r="G102" s="19" t="s">
        <v>149</v>
      </c>
      <c r="H102" s="19">
        <v>28.5</v>
      </c>
      <c r="I102" s="41">
        <v>1425</v>
      </c>
      <c r="J102" s="42"/>
      <c r="K102" s="43"/>
      <c r="L102" s="42"/>
      <c r="M102" s="44"/>
      <c r="N102" s="45"/>
      <c r="O102" s="46">
        <f t="shared" si="62"/>
        <v>1425</v>
      </c>
      <c r="P102" s="51"/>
      <c r="Q102" s="51"/>
      <c r="R102" s="73">
        <f t="shared" si="63"/>
        <v>1152.00205761317</v>
      </c>
      <c r="S102" s="73"/>
      <c r="T102" s="88">
        <f t="shared" si="64"/>
        <v>1.37482853223594</v>
      </c>
      <c r="U102" s="73"/>
      <c r="V102" s="73"/>
      <c r="W102" s="73">
        <f t="shared" si="60"/>
        <v>1153.3768861454</v>
      </c>
      <c r="X102" s="75">
        <f t="shared" si="65"/>
        <v>19.6880658436214</v>
      </c>
      <c r="Y102" s="75"/>
      <c r="Z102" s="75"/>
      <c r="AA102" s="75">
        <f t="shared" si="61"/>
        <v>19.6880658436214</v>
      </c>
      <c r="AB102" s="84">
        <v>7.22</v>
      </c>
      <c r="AC102" s="73">
        <f t="shared" si="56"/>
        <v>142.147835390946</v>
      </c>
      <c r="AD102" s="73">
        <f t="shared" si="55"/>
        <v>1295.52472153635</v>
      </c>
      <c r="AE102" s="73">
        <f t="shared" si="58"/>
        <v>129.475278463649</v>
      </c>
    </row>
    <row r="103" customFormat="1" spans="1:31">
      <c r="A103" s="18"/>
      <c r="B103" s="19"/>
      <c r="C103" s="20">
        <v>240426000015</v>
      </c>
      <c r="D103" s="21">
        <v>45416</v>
      </c>
      <c r="E103" s="21" t="s">
        <v>64</v>
      </c>
      <c r="F103" s="19" t="s">
        <v>65</v>
      </c>
      <c r="G103" s="19" t="s">
        <v>150</v>
      </c>
      <c r="H103" s="19">
        <v>14.5</v>
      </c>
      <c r="I103" s="41">
        <v>810</v>
      </c>
      <c r="J103" s="42"/>
      <c r="K103" s="43"/>
      <c r="L103" s="42"/>
      <c r="M103" s="44"/>
      <c r="N103" s="45"/>
      <c r="O103" s="46">
        <f t="shared" si="62"/>
        <v>810</v>
      </c>
      <c r="P103" s="51"/>
      <c r="Q103" s="51"/>
      <c r="R103" s="73">
        <f t="shared" si="63"/>
        <v>586.106310013717</v>
      </c>
      <c r="S103" s="73"/>
      <c r="T103" s="88">
        <f t="shared" si="64"/>
        <v>0.699474165523548</v>
      </c>
      <c r="U103" s="73"/>
      <c r="V103" s="73"/>
      <c r="W103" s="73">
        <f t="shared" si="60"/>
        <v>586.805784179241</v>
      </c>
      <c r="X103" s="75">
        <f t="shared" si="65"/>
        <v>10.0167352537723</v>
      </c>
      <c r="Y103" s="75">
        <v>6.92</v>
      </c>
      <c r="Z103" s="75"/>
      <c r="AA103" s="75">
        <f t="shared" si="61"/>
        <v>16.9367352537723</v>
      </c>
      <c r="AB103" s="84">
        <v>7.22</v>
      </c>
      <c r="AC103" s="73">
        <f t="shared" si="56"/>
        <v>122.283228532236</v>
      </c>
      <c r="AD103" s="73">
        <f t="shared" si="55"/>
        <v>709.089012711477</v>
      </c>
      <c r="AE103" s="73">
        <f t="shared" si="58"/>
        <v>100.910987288523</v>
      </c>
    </row>
    <row r="104" customFormat="1" spans="1:31">
      <c r="A104" s="18"/>
      <c r="B104" s="19"/>
      <c r="C104" s="20">
        <v>240426000017</v>
      </c>
      <c r="D104" s="21">
        <v>45416</v>
      </c>
      <c r="E104" s="21" t="s">
        <v>54</v>
      </c>
      <c r="F104" s="19" t="s">
        <v>54</v>
      </c>
      <c r="G104" s="19" t="s">
        <v>151</v>
      </c>
      <c r="H104" s="19">
        <v>227</v>
      </c>
      <c r="I104" s="41">
        <v>11610</v>
      </c>
      <c r="J104" s="42"/>
      <c r="K104" s="43"/>
      <c r="L104" s="42"/>
      <c r="M104" s="44"/>
      <c r="N104" s="45"/>
      <c r="O104" s="46">
        <f t="shared" si="62"/>
        <v>11610</v>
      </c>
      <c r="P104" s="51"/>
      <c r="Q104" s="51"/>
      <c r="R104" s="73">
        <f t="shared" si="63"/>
        <v>9175.59533607682</v>
      </c>
      <c r="S104" s="73"/>
      <c r="T104" s="88">
        <f t="shared" si="64"/>
        <v>10.9503886602652</v>
      </c>
      <c r="U104" s="73"/>
      <c r="V104" s="73"/>
      <c r="W104" s="73">
        <f t="shared" si="60"/>
        <v>9186.54572473708</v>
      </c>
      <c r="X104" s="75">
        <f t="shared" si="65"/>
        <v>156.813717421125</v>
      </c>
      <c r="Y104" s="75"/>
      <c r="Z104" s="75"/>
      <c r="AA104" s="75">
        <f t="shared" si="61"/>
        <v>156.813717421125</v>
      </c>
      <c r="AB104" s="84">
        <v>7.22</v>
      </c>
      <c r="AC104" s="73">
        <f t="shared" si="56"/>
        <v>1132.19503978052</v>
      </c>
      <c r="AD104" s="73">
        <f t="shared" si="55"/>
        <v>10318.7407645176</v>
      </c>
      <c r="AE104" s="73">
        <f t="shared" si="58"/>
        <v>1291.2592354824</v>
      </c>
    </row>
    <row r="105" customFormat="1" spans="1:31">
      <c r="A105" s="18"/>
      <c r="B105" s="19"/>
      <c r="C105" s="20">
        <v>240426000021</v>
      </c>
      <c r="D105" s="21">
        <v>45416</v>
      </c>
      <c r="E105" s="21" t="s">
        <v>54</v>
      </c>
      <c r="F105" s="19" t="s">
        <v>54</v>
      </c>
      <c r="G105" s="19" t="s">
        <v>152</v>
      </c>
      <c r="H105" s="19">
        <v>52</v>
      </c>
      <c r="I105" s="41">
        <v>2868</v>
      </c>
      <c r="J105" s="42"/>
      <c r="K105" s="43"/>
      <c r="L105" s="42"/>
      <c r="M105" s="44"/>
      <c r="N105" s="45"/>
      <c r="O105" s="46">
        <f t="shared" si="62"/>
        <v>2868</v>
      </c>
      <c r="P105" s="51"/>
      <c r="Q105" s="51"/>
      <c r="R105" s="73">
        <f t="shared" si="63"/>
        <v>2101.89849108368</v>
      </c>
      <c r="S105" s="73"/>
      <c r="T105" s="88">
        <f t="shared" si="64"/>
        <v>2.50845907636031</v>
      </c>
      <c r="U105" s="73"/>
      <c r="V105" s="73"/>
      <c r="W105" s="73">
        <f t="shared" si="60"/>
        <v>2104.40695016004</v>
      </c>
      <c r="X105" s="75">
        <f t="shared" si="65"/>
        <v>35.922085048011</v>
      </c>
      <c r="Y105" s="75"/>
      <c r="Z105" s="75"/>
      <c r="AA105" s="75">
        <f t="shared" si="61"/>
        <v>35.922085048011</v>
      </c>
      <c r="AB105" s="84">
        <v>7.22</v>
      </c>
      <c r="AC105" s="73">
        <f t="shared" si="56"/>
        <v>259.357454046639</v>
      </c>
      <c r="AD105" s="73">
        <f t="shared" si="55"/>
        <v>2363.76440420668</v>
      </c>
      <c r="AE105" s="73">
        <f t="shared" si="58"/>
        <v>504.235595793324</v>
      </c>
    </row>
    <row r="106" customFormat="1" spans="1:31">
      <c r="A106" s="18"/>
      <c r="B106" s="19"/>
      <c r="C106" s="20">
        <v>240426000025</v>
      </c>
      <c r="D106" s="21">
        <v>45416</v>
      </c>
      <c r="E106" s="21" t="s">
        <v>47</v>
      </c>
      <c r="F106" s="19" t="s">
        <v>48</v>
      </c>
      <c r="G106" s="19" t="s">
        <v>153</v>
      </c>
      <c r="H106" s="19">
        <v>44</v>
      </c>
      <c r="I106" s="41">
        <v>2200</v>
      </c>
      <c r="J106" s="42"/>
      <c r="K106" s="43"/>
      <c r="L106" s="42"/>
      <c r="M106" s="44"/>
      <c r="N106" s="45"/>
      <c r="O106" s="46">
        <f t="shared" si="62"/>
        <v>2200</v>
      </c>
      <c r="P106" s="51"/>
      <c r="Q106" s="51"/>
      <c r="R106" s="73">
        <f t="shared" si="63"/>
        <v>1778.52949245542</v>
      </c>
      <c r="S106" s="73"/>
      <c r="T106" s="88">
        <f t="shared" si="64"/>
        <v>2.1225422953818</v>
      </c>
      <c r="U106" s="73"/>
      <c r="V106" s="73"/>
      <c r="W106" s="73">
        <f t="shared" si="60"/>
        <v>1780.6520347508</v>
      </c>
      <c r="X106" s="75">
        <f t="shared" si="65"/>
        <v>30.3956104252401</v>
      </c>
      <c r="Y106" s="75"/>
      <c r="Z106" s="75"/>
      <c r="AA106" s="75">
        <f t="shared" si="61"/>
        <v>30.3956104252401</v>
      </c>
      <c r="AB106" s="84">
        <v>7.22</v>
      </c>
      <c r="AC106" s="73">
        <f t="shared" si="56"/>
        <v>219.456307270233</v>
      </c>
      <c r="AD106" s="73">
        <f t="shared" si="55"/>
        <v>2000.10834202103</v>
      </c>
      <c r="AE106" s="73">
        <f t="shared" si="58"/>
        <v>199.891657978967</v>
      </c>
    </row>
    <row r="107" customFormat="1" spans="1:31">
      <c r="A107" s="18"/>
      <c r="B107" s="19"/>
      <c r="C107" s="20">
        <v>240426000026</v>
      </c>
      <c r="D107" s="21">
        <v>45416</v>
      </c>
      <c r="E107" s="21" t="s">
        <v>41</v>
      </c>
      <c r="F107" s="19" t="s">
        <v>42</v>
      </c>
      <c r="G107" s="19" t="s">
        <v>141</v>
      </c>
      <c r="H107" s="19">
        <v>13.5</v>
      </c>
      <c r="I107" s="52"/>
      <c r="J107" s="48">
        <v>158949</v>
      </c>
      <c r="K107" s="43"/>
      <c r="L107" s="49">
        <f>SUM(J107/M107)</f>
        <v>1465.7783105865</v>
      </c>
      <c r="M107" s="50">
        <v>108.44</v>
      </c>
      <c r="N107" s="45">
        <v>7.22</v>
      </c>
      <c r="O107" s="46">
        <f t="shared" ref="O107:O112" si="66">SUM(M107*N107)</f>
        <v>782.9368</v>
      </c>
      <c r="P107" s="51"/>
      <c r="Q107" s="51"/>
      <c r="R107" s="73">
        <f t="shared" si="63"/>
        <v>545.685185185185</v>
      </c>
      <c r="S107" s="73"/>
      <c r="T107" s="88">
        <f t="shared" si="64"/>
        <v>0.651234567901235</v>
      </c>
      <c r="U107" s="73"/>
      <c r="V107" s="73"/>
      <c r="W107" s="73">
        <f t="shared" si="60"/>
        <v>546.336419753086</v>
      </c>
      <c r="X107" s="75">
        <f t="shared" si="65"/>
        <v>9.32592592592593</v>
      </c>
      <c r="Y107" s="75"/>
      <c r="Z107" s="75"/>
      <c r="AA107" s="75">
        <f t="shared" si="61"/>
        <v>9.32592592592593</v>
      </c>
      <c r="AB107" s="84">
        <v>7.22</v>
      </c>
      <c r="AC107" s="73">
        <f t="shared" si="56"/>
        <v>67.3331851851852</v>
      </c>
      <c r="AD107" s="73">
        <f t="shared" si="55"/>
        <v>613.669604938272</v>
      </c>
      <c r="AE107" s="73">
        <f t="shared" si="58"/>
        <v>169.267195061728</v>
      </c>
    </row>
    <row r="108" customFormat="1" spans="1:31">
      <c r="A108" s="18"/>
      <c r="B108" s="19"/>
      <c r="C108" s="20">
        <v>240426000027</v>
      </c>
      <c r="D108" s="21">
        <v>45416</v>
      </c>
      <c r="E108" s="21" t="s">
        <v>41</v>
      </c>
      <c r="F108" s="19" t="s">
        <v>42</v>
      </c>
      <c r="G108" s="19" t="s">
        <v>60</v>
      </c>
      <c r="H108" s="19">
        <v>200</v>
      </c>
      <c r="I108" s="41">
        <v>11274</v>
      </c>
      <c r="J108" s="42"/>
      <c r="K108" s="43"/>
      <c r="L108" s="42"/>
      <c r="M108" s="44"/>
      <c r="N108" s="45"/>
      <c r="O108" s="46">
        <f t="shared" ref="O108:O115" si="67">SUM(I108)</f>
        <v>11274</v>
      </c>
      <c r="P108" s="51"/>
      <c r="Q108" s="51"/>
      <c r="R108" s="73">
        <f t="shared" si="63"/>
        <v>8084.22496570645</v>
      </c>
      <c r="S108" s="73"/>
      <c r="T108" s="88">
        <f t="shared" si="64"/>
        <v>9.64791952446273</v>
      </c>
      <c r="U108" s="74">
        <v>70</v>
      </c>
      <c r="V108" s="73"/>
      <c r="W108" s="73">
        <f t="shared" si="60"/>
        <v>8163.87288523091</v>
      </c>
      <c r="X108" s="75">
        <f t="shared" si="65"/>
        <v>138.161865569273</v>
      </c>
      <c r="Y108" s="75"/>
      <c r="Z108" s="75"/>
      <c r="AA108" s="75">
        <f t="shared" si="61"/>
        <v>138.161865569273</v>
      </c>
      <c r="AB108" s="84">
        <v>7.22</v>
      </c>
      <c r="AC108" s="73">
        <f t="shared" si="56"/>
        <v>997.528669410151</v>
      </c>
      <c r="AD108" s="73">
        <f t="shared" si="55"/>
        <v>9161.40155464106</v>
      </c>
      <c r="AE108" s="73">
        <f t="shared" si="58"/>
        <v>2112.59844535894</v>
      </c>
    </row>
    <row r="109" customFormat="1" spans="1:31">
      <c r="A109" s="18"/>
      <c r="B109" s="19"/>
      <c r="C109" s="22">
        <v>240426000031</v>
      </c>
      <c r="D109" s="23">
        <v>45416</v>
      </c>
      <c r="E109" s="21" t="s">
        <v>41</v>
      </c>
      <c r="F109" s="24" t="s">
        <v>85</v>
      </c>
      <c r="G109" s="24" t="s">
        <v>86</v>
      </c>
      <c r="H109" s="24">
        <v>0.34</v>
      </c>
      <c r="I109" s="52"/>
      <c r="J109" s="49">
        <v>14207</v>
      </c>
      <c r="K109" s="86"/>
      <c r="L109" s="49">
        <f>SUM(J109/M109)</f>
        <v>1511.3829787234</v>
      </c>
      <c r="M109" s="87">
        <v>9.4</v>
      </c>
      <c r="N109" s="45">
        <v>7.22</v>
      </c>
      <c r="O109" s="46">
        <f t="shared" si="66"/>
        <v>67.868</v>
      </c>
      <c r="P109" s="51"/>
      <c r="Q109" s="51"/>
      <c r="R109" s="73">
        <f t="shared" si="63"/>
        <v>13.743182441701</v>
      </c>
      <c r="S109" s="73"/>
      <c r="T109" s="88">
        <f t="shared" si="64"/>
        <v>0.0164014631915867</v>
      </c>
      <c r="U109" s="73"/>
      <c r="V109" s="73"/>
      <c r="W109" s="73">
        <f t="shared" si="60"/>
        <v>13.7595839048925</v>
      </c>
      <c r="X109" s="75">
        <f t="shared" si="65"/>
        <v>0.234875171467764</v>
      </c>
      <c r="Y109" s="75"/>
      <c r="Z109" s="75"/>
      <c r="AA109" s="75">
        <f t="shared" si="61"/>
        <v>0.234875171467764</v>
      </c>
      <c r="AB109" s="84">
        <v>7.22</v>
      </c>
      <c r="AC109" s="73">
        <f t="shared" si="56"/>
        <v>1.69579873799726</v>
      </c>
      <c r="AD109" s="73">
        <f t="shared" si="55"/>
        <v>15.4553826428898</v>
      </c>
      <c r="AE109" s="73">
        <f t="shared" si="58"/>
        <v>52.4126173571102</v>
      </c>
    </row>
    <row r="110" customFormat="1" spans="1:31">
      <c r="A110" s="18"/>
      <c r="B110" s="19"/>
      <c r="C110" s="20">
        <v>240426000034</v>
      </c>
      <c r="D110" s="21">
        <v>45416</v>
      </c>
      <c r="E110" s="21" t="s">
        <v>37</v>
      </c>
      <c r="F110" s="19" t="s">
        <v>38</v>
      </c>
      <c r="G110" s="19" t="s">
        <v>89</v>
      </c>
      <c r="H110" s="19">
        <v>2</v>
      </c>
      <c r="I110" s="41">
        <v>133</v>
      </c>
      <c r="J110" s="42"/>
      <c r="K110" s="43"/>
      <c r="L110" s="42"/>
      <c r="M110" s="44"/>
      <c r="N110" s="45"/>
      <c r="O110" s="46">
        <f t="shared" si="67"/>
        <v>133</v>
      </c>
      <c r="P110" s="51"/>
      <c r="Q110" s="51"/>
      <c r="R110" s="73">
        <f t="shared" si="63"/>
        <v>80.8422496570645</v>
      </c>
      <c r="S110" s="73"/>
      <c r="T110" s="88">
        <f t="shared" si="64"/>
        <v>0.0964791952446273</v>
      </c>
      <c r="U110" s="73"/>
      <c r="V110" s="73"/>
      <c r="W110" s="73">
        <f t="shared" si="60"/>
        <v>80.9387288523091</v>
      </c>
      <c r="X110" s="75">
        <f t="shared" si="65"/>
        <v>1.38161865569273</v>
      </c>
      <c r="Y110" s="75"/>
      <c r="Z110" s="75"/>
      <c r="AA110" s="75">
        <f t="shared" si="61"/>
        <v>1.38161865569273</v>
      </c>
      <c r="AB110" s="84">
        <v>7.22</v>
      </c>
      <c r="AC110" s="73">
        <f t="shared" si="56"/>
        <v>9.97528669410151</v>
      </c>
      <c r="AD110" s="73">
        <f t="shared" si="55"/>
        <v>90.9140155464106</v>
      </c>
      <c r="AE110" s="73">
        <f t="shared" si="58"/>
        <v>42.0859844535894</v>
      </c>
    </row>
    <row r="111" customFormat="1" spans="1:31">
      <c r="A111" s="18"/>
      <c r="B111" s="19"/>
      <c r="C111" s="20">
        <v>240426000037</v>
      </c>
      <c r="D111" s="21">
        <v>45416</v>
      </c>
      <c r="E111" s="21" t="s">
        <v>44</v>
      </c>
      <c r="F111" s="19" t="s">
        <v>45</v>
      </c>
      <c r="G111" s="19" t="s">
        <v>154</v>
      </c>
      <c r="H111" s="19">
        <v>4.5</v>
      </c>
      <c r="I111" s="52"/>
      <c r="J111" s="48">
        <v>61110</v>
      </c>
      <c r="K111" s="43"/>
      <c r="L111" s="49">
        <f>SUM(J111/M111)</f>
        <v>1516.37717121588</v>
      </c>
      <c r="M111" s="50">
        <v>40.3</v>
      </c>
      <c r="N111" s="45">
        <v>7.22</v>
      </c>
      <c r="O111" s="46">
        <f t="shared" si="66"/>
        <v>290.966</v>
      </c>
      <c r="P111" s="51"/>
      <c r="Q111" s="51"/>
      <c r="R111" s="73">
        <f t="shared" si="63"/>
        <v>181.895061728395</v>
      </c>
      <c r="S111" s="73"/>
      <c r="T111" s="88">
        <f t="shared" si="64"/>
        <v>0.217078189300412</v>
      </c>
      <c r="U111" s="73"/>
      <c r="V111" s="73"/>
      <c r="W111" s="73">
        <f t="shared" si="60"/>
        <v>182.112139917695</v>
      </c>
      <c r="X111" s="75">
        <f t="shared" si="65"/>
        <v>3.10864197530864</v>
      </c>
      <c r="Y111" s="75"/>
      <c r="Z111" s="75"/>
      <c r="AA111" s="75">
        <f t="shared" si="61"/>
        <v>3.10864197530864</v>
      </c>
      <c r="AB111" s="84">
        <v>7.22</v>
      </c>
      <c r="AC111" s="73">
        <f t="shared" si="56"/>
        <v>22.4443950617284</v>
      </c>
      <c r="AD111" s="73">
        <f t="shared" si="55"/>
        <v>204.556534979424</v>
      </c>
      <c r="AE111" s="73">
        <f t="shared" si="58"/>
        <v>86.4094650205761</v>
      </c>
    </row>
    <row r="112" customFormat="1" spans="1:31">
      <c r="A112" s="18"/>
      <c r="B112" s="19"/>
      <c r="C112" s="20">
        <v>240426000040</v>
      </c>
      <c r="D112" s="21">
        <v>45416</v>
      </c>
      <c r="E112" s="21" t="s">
        <v>41</v>
      </c>
      <c r="F112" s="19" t="s">
        <v>42</v>
      </c>
      <c r="G112" s="19" t="s">
        <v>139</v>
      </c>
      <c r="H112" s="19">
        <v>17</v>
      </c>
      <c r="I112" s="52"/>
      <c r="J112" s="48">
        <v>188309</v>
      </c>
      <c r="K112" s="43"/>
      <c r="L112" s="49">
        <f>SUM(J112/M112)</f>
        <v>1509.00713198173</v>
      </c>
      <c r="M112" s="50">
        <v>124.79</v>
      </c>
      <c r="N112" s="45">
        <v>7.22</v>
      </c>
      <c r="O112" s="46">
        <f t="shared" si="66"/>
        <v>900.9838</v>
      </c>
      <c r="P112" s="51"/>
      <c r="Q112" s="51"/>
      <c r="R112" s="73">
        <f t="shared" si="63"/>
        <v>687.159122085048</v>
      </c>
      <c r="S112" s="73"/>
      <c r="T112" s="88">
        <f t="shared" si="64"/>
        <v>0.820073159579332</v>
      </c>
      <c r="U112" s="73"/>
      <c r="V112" s="73"/>
      <c r="W112" s="73">
        <f t="shared" si="60"/>
        <v>687.979195244627</v>
      </c>
      <c r="X112" s="75">
        <f t="shared" si="65"/>
        <v>11.7437585733882</v>
      </c>
      <c r="Y112" s="75"/>
      <c r="Z112" s="75"/>
      <c r="AA112" s="75">
        <f t="shared" si="61"/>
        <v>11.7437585733882</v>
      </c>
      <c r="AB112" s="84">
        <v>7.22</v>
      </c>
      <c r="AC112" s="73">
        <f t="shared" si="56"/>
        <v>84.7899368998628</v>
      </c>
      <c r="AD112" s="73">
        <f t="shared" si="55"/>
        <v>772.76913214449</v>
      </c>
      <c r="AE112" s="73">
        <f t="shared" si="58"/>
        <v>128.21466785551</v>
      </c>
    </row>
    <row r="113" customFormat="1" spans="1:31">
      <c r="A113" s="18"/>
      <c r="B113" s="19"/>
      <c r="C113" s="20">
        <v>240426000041</v>
      </c>
      <c r="D113" s="21">
        <v>45416</v>
      </c>
      <c r="E113" s="21" t="s">
        <v>47</v>
      </c>
      <c r="F113" s="19" t="s">
        <v>48</v>
      </c>
      <c r="G113" s="19" t="s">
        <v>134</v>
      </c>
      <c r="H113" s="19">
        <v>4</v>
      </c>
      <c r="I113" s="41">
        <v>235</v>
      </c>
      <c r="J113" s="42"/>
      <c r="K113" s="43"/>
      <c r="L113" s="42"/>
      <c r="M113" s="44"/>
      <c r="N113" s="45"/>
      <c r="O113" s="46">
        <f t="shared" si="67"/>
        <v>235</v>
      </c>
      <c r="P113" s="51"/>
      <c r="Q113" s="51"/>
      <c r="R113" s="73">
        <f t="shared" si="63"/>
        <v>161.684499314129</v>
      </c>
      <c r="S113" s="73"/>
      <c r="T113" s="88">
        <f t="shared" si="64"/>
        <v>0.192958390489255</v>
      </c>
      <c r="U113" s="73"/>
      <c r="V113" s="73"/>
      <c r="W113" s="73">
        <f t="shared" si="60"/>
        <v>161.877457704618</v>
      </c>
      <c r="X113" s="75">
        <f t="shared" si="65"/>
        <v>2.76323731138546</v>
      </c>
      <c r="Y113" s="75"/>
      <c r="Z113" s="75"/>
      <c r="AA113" s="75">
        <f t="shared" si="61"/>
        <v>2.76323731138546</v>
      </c>
      <c r="AB113" s="84">
        <v>7.22</v>
      </c>
      <c r="AC113" s="73">
        <f t="shared" si="56"/>
        <v>19.950573388203</v>
      </c>
      <c r="AD113" s="73">
        <f t="shared" si="55"/>
        <v>181.828031092821</v>
      </c>
      <c r="AE113" s="73">
        <f t="shared" si="58"/>
        <v>53.1719689071788</v>
      </c>
    </row>
    <row r="114" customFormat="1" spans="1:31">
      <c r="A114" s="18"/>
      <c r="B114" s="19"/>
      <c r="C114" s="20">
        <v>240426000044</v>
      </c>
      <c r="D114" s="21">
        <v>45416</v>
      </c>
      <c r="E114" s="21" t="s">
        <v>37</v>
      </c>
      <c r="F114" s="19" t="s">
        <v>38</v>
      </c>
      <c r="G114" s="19" t="s">
        <v>155</v>
      </c>
      <c r="H114" s="19">
        <v>3.5</v>
      </c>
      <c r="I114" s="41">
        <v>253</v>
      </c>
      <c r="J114" s="42"/>
      <c r="K114" s="43"/>
      <c r="L114" s="42"/>
      <c r="M114" s="44"/>
      <c r="N114" s="45"/>
      <c r="O114" s="46">
        <f t="shared" si="67"/>
        <v>253</v>
      </c>
      <c r="P114" s="51"/>
      <c r="Q114" s="51"/>
      <c r="R114" s="73">
        <f t="shared" si="63"/>
        <v>141.473936899863</v>
      </c>
      <c r="S114" s="73"/>
      <c r="T114" s="88">
        <f t="shared" si="64"/>
        <v>0.168838591678098</v>
      </c>
      <c r="U114" s="73"/>
      <c r="V114" s="73"/>
      <c r="W114" s="73">
        <f t="shared" si="60"/>
        <v>141.642775491541</v>
      </c>
      <c r="X114" s="75">
        <f t="shared" si="65"/>
        <v>2.41783264746228</v>
      </c>
      <c r="Y114" s="75"/>
      <c r="Z114" s="75"/>
      <c r="AA114" s="75">
        <f t="shared" si="61"/>
        <v>2.41783264746228</v>
      </c>
      <c r="AB114" s="84">
        <v>7.22</v>
      </c>
      <c r="AC114" s="73">
        <f t="shared" si="56"/>
        <v>17.4567517146776</v>
      </c>
      <c r="AD114" s="73">
        <f t="shared" si="55"/>
        <v>159.099527206219</v>
      </c>
      <c r="AE114" s="73">
        <f t="shared" si="58"/>
        <v>93.9004727937814</v>
      </c>
    </row>
    <row r="115" customFormat="1" spans="1:31">
      <c r="A115" s="18"/>
      <c r="B115" s="19"/>
      <c r="C115" s="20">
        <v>240426000046</v>
      </c>
      <c r="D115" s="21">
        <v>45416</v>
      </c>
      <c r="E115" s="21" t="s">
        <v>47</v>
      </c>
      <c r="F115" s="19" t="s">
        <v>48</v>
      </c>
      <c r="G115" s="19" t="s">
        <v>134</v>
      </c>
      <c r="H115" s="19">
        <v>10</v>
      </c>
      <c r="I115" s="41">
        <v>556</v>
      </c>
      <c r="J115" s="42"/>
      <c r="K115" s="43"/>
      <c r="L115" s="42"/>
      <c r="M115" s="44"/>
      <c r="N115" s="45"/>
      <c r="O115" s="46">
        <f t="shared" si="67"/>
        <v>556</v>
      </c>
      <c r="P115" s="51"/>
      <c r="Q115" s="51"/>
      <c r="R115" s="73">
        <f t="shared" si="63"/>
        <v>404.211248285322</v>
      </c>
      <c r="S115" s="73"/>
      <c r="T115" s="88">
        <f t="shared" si="64"/>
        <v>0.482395976223137</v>
      </c>
      <c r="U115" s="73"/>
      <c r="V115" s="73"/>
      <c r="W115" s="73">
        <f t="shared" si="60"/>
        <v>404.693644261546</v>
      </c>
      <c r="X115" s="75">
        <f t="shared" si="65"/>
        <v>6.90809327846365</v>
      </c>
      <c r="Y115" s="75"/>
      <c r="Z115" s="75"/>
      <c r="AA115" s="75">
        <f t="shared" si="61"/>
        <v>6.90809327846365</v>
      </c>
      <c r="AB115" s="84">
        <v>7.22</v>
      </c>
      <c r="AC115" s="73">
        <f t="shared" si="56"/>
        <v>49.8764334705075</v>
      </c>
      <c r="AD115" s="73">
        <f t="shared" si="55"/>
        <v>454.570077732053</v>
      </c>
      <c r="AE115" s="73">
        <f t="shared" si="58"/>
        <v>101.429922267947</v>
      </c>
    </row>
    <row r="116" customFormat="1" spans="1:31">
      <c r="A116" s="18"/>
      <c r="B116" s="19"/>
      <c r="C116" s="20">
        <v>240426000047</v>
      </c>
      <c r="D116" s="21">
        <v>45416</v>
      </c>
      <c r="E116" s="21" t="s">
        <v>41</v>
      </c>
      <c r="F116" s="19" t="s">
        <v>42</v>
      </c>
      <c r="G116" s="19" t="s">
        <v>141</v>
      </c>
      <c r="H116" s="19">
        <v>40</v>
      </c>
      <c r="I116" s="52"/>
      <c r="J116" s="48">
        <v>470960</v>
      </c>
      <c r="K116" s="43"/>
      <c r="L116" s="49">
        <f>SUM(J116/M116)</f>
        <v>1465.70397111913</v>
      </c>
      <c r="M116" s="50">
        <v>321.32</v>
      </c>
      <c r="N116" s="45">
        <v>7.22</v>
      </c>
      <c r="O116" s="46">
        <f t="shared" ref="O116:O119" si="68">SUM(M116*N116)</f>
        <v>2319.9304</v>
      </c>
      <c r="P116" s="51"/>
      <c r="Q116" s="51"/>
      <c r="R116" s="73">
        <f t="shared" si="63"/>
        <v>1616.84499314129</v>
      </c>
      <c r="S116" s="73"/>
      <c r="T116" s="88">
        <f t="shared" si="64"/>
        <v>1.92958390489255</v>
      </c>
      <c r="U116" s="73"/>
      <c r="V116" s="73"/>
      <c r="W116" s="73">
        <f t="shared" si="60"/>
        <v>1618.77457704618</v>
      </c>
      <c r="X116" s="75">
        <f t="shared" si="65"/>
        <v>27.6323731138546</v>
      </c>
      <c r="Y116" s="75"/>
      <c r="Z116" s="75"/>
      <c r="AA116" s="75">
        <f t="shared" si="61"/>
        <v>27.6323731138546</v>
      </c>
      <c r="AB116" s="84">
        <v>7.22</v>
      </c>
      <c r="AC116" s="73">
        <f t="shared" si="56"/>
        <v>199.50573388203</v>
      </c>
      <c r="AD116" s="73">
        <f t="shared" si="55"/>
        <v>1818.28031092821</v>
      </c>
      <c r="AE116" s="73">
        <f t="shared" si="58"/>
        <v>501.650089071788</v>
      </c>
    </row>
    <row r="117" customFormat="1" spans="1:31">
      <c r="A117" s="18"/>
      <c r="B117" s="19"/>
      <c r="C117" s="20">
        <v>240426000050</v>
      </c>
      <c r="D117" s="21">
        <v>45416</v>
      </c>
      <c r="E117" s="21" t="s">
        <v>41</v>
      </c>
      <c r="F117" s="19" t="s">
        <v>42</v>
      </c>
      <c r="G117" s="19" t="s">
        <v>156</v>
      </c>
      <c r="H117" s="19">
        <v>4</v>
      </c>
      <c r="I117" s="41">
        <v>265</v>
      </c>
      <c r="J117" s="42"/>
      <c r="K117" s="43"/>
      <c r="L117" s="42"/>
      <c r="M117" s="44"/>
      <c r="N117" s="45"/>
      <c r="O117" s="46">
        <f>SUM(I117)</f>
        <v>265</v>
      </c>
      <c r="P117" s="51"/>
      <c r="Q117" s="51"/>
      <c r="R117" s="73">
        <f t="shared" si="63"/>
        <v>161.684499314129</v>
      </c>
      <c r="S117" s="73"/>
      <c r="T117" s="88">
        <f t="shared" si="64"/>
        <v>0.192958390489255</v>
      </c>
      <c r="U117" s="73"/>
      <c r="V117" s="73"/>
      <c r="W117" s="73">
        <f t="shared" si="60"/>
        <v>161.877457704618</v>
      </c>
      <c r="X117" s="75">
        <f t="shared" si="65"/>
        <v>2.76323731138546</v>
      </c>
      <c r="Y117" s="75"/>
      <c r="Z117" s="75"/>
      <c r="AA117" s="75">
        <f t="shared" si="61"/>
        <v>2.76323731138546</v>
      </c>
      <c r="AB117" s="84">
        <v>7.22</v>
      </c>
      <c r="AC117" s="73">
        <f t="shared" si="56"/>
        <v>19.950573388203</v>
      </c>
      <c r="AD117" s="73">
        <f t="shared" si="55"/>
        <v>181.828031092821</v>
      </c>
      <c r="AE117" s="73">
        <f t="shared" si="58"/>
        <v>83.1719689071788</v>
      </c>
    </row>
    <row r="118" customFormat="1" spans="1:31">
      <c r="A118" s="18"/>
      <c r="B118" s="19"/>
      <c r="C118" s="20">
        <v>240427000001</v>
      </c>
      <c r="D118" s="21">
        <v>45416</v>
      </c>
      <c r="E118" s="21" t="s">
        <v>157</v>
      </c>
      <c r="F118" s="19"/>
      <c r="G118" s="19" t="s">
        <v>158</v>
      </c>
      <c r="H118" s="19">
        <v>3</v>
      </c>
      <c r="I118" s="46"/>
      <c r="J118" s="48">
        <v>39184</v>
      </c>
      <c r="K118" s="43"/>
      <c r="L118" s="49">
        <f>SUM(J118/M118)</f>
        <v>1580</v>
      </c>
      <c r="M118" s="50">
        <v>24.8</v>
      </c>
      <c r="N118" s="45">
        <v>7.22</v>
      </c>
      <c r="O118" s="46">
        <f t="shared" si="68"/>
        <v>179.056</v>
      </c>
      <c r="P118" s="51"/>
      <c r="Q118" s="51"/>
      <c r="R118" s="73">
        <f t="shared" si="63"/>
        <v>121.263374485597</v>
      </c>
      <c r="S118" s="73"/>
      <c r="T118" s="88">
        <f t="shared" si="64"/>
        <v>0.144718792866941</v>
      </c>
      <c r="U118" s="73"/>
      <c r="V118" s="73"/>
      <c r="W118" s="73">
        <f t="shared" si="60"/>
        <v>121.408093278464</v>
      </c>
      <c r="X118" s="75">
        <f t="shared" si="65"/>
        <v>2.07242798353909</v>
      </c>
      <c r="Y118" s="75"/>
      <c r="Z118" s="75"/>
      <c r="AA118" s="75">
        <f t="shared" si="61"/>
        <v>2.07242798353909</v>
      </c>
      <c r="AB118" s="84">
        <v>7.22</v>
      </c>
      <c r="AC118" s="73">
        <f t="shared" si="56"/>
        <v>14.9629300411523</v>
      </c>
      <c r="AD118" s="73">
        <f t="shared" si="55"/>
        <v>136.371023319616</v>
      </c>
      <c r="AE118" s="73">
        <f t="shared" si="58"/>
        <v>42.6849766803841</v>
      </c>
    </row>
    <row r="119" customFormat="1" spans="1:31">
      <c r="A119" s="18"/>
      <c r="B119" s="19"/>
      <c r="C119" s="20">
        <v>240427000006</v>
      </c>
      <c r="D119" s="21">
        <v>45416</v>
      </c>
      <c r="E119" s="21" t="s">
        <v>157</v>
      </c>
      <c r="F119" s="19" t="s">
        <v>159</v>
      </c>
      <c r="G119" s="19" t="s">
        <v>160</v>
      </c>
      <c r="H119" s="19">
        <v>4</v>
      </c>
      <c r="I119" s="46"/>
      <c r="J119" s="42"/>
      <c r="K119" s="54">
        <v>32.9</v>
      </c>
      <c r="L119" s="48"/>
      <c r="M119" s="50">
        <v>32.9</v>
      </c>
      <c r="N119" s="45">
        <v>7.22</v>
      </c>
      <c r="O119" s="46">
        <f t="shared" si="68"/>
        <v>237.538</v>
      </c>
      <c r="P119" s="51"/>
      <c r="Q119" s="51"/>
      <c r="R119" s="73">
        <f t="shared" si="63"/>
        <v>161.684499314129</v>
      </c>
      <c r="S119" s="73"/>
      <c r="T119" s="88">
        <f t="shared" si="64"/>
        <v>0.192958390489255</v>
      </c>
      <c r="U119" s="73"/>
      <c r="V119" s="73"/>
      <c r="W119" s="73">
        <f t="shared" si="60"/>
        <v>161.877457704618</v>
      </c>
      <c r="X119" s="75">
        <f t="shared" si="65"/>
        <v>2.76323731138546</v>
      </c>
      <c r="Y119" s="75"/>
      <c r="Z119" s="75"/>
      <c r="AA119" s="75">
        <f t="shared" si="61"/>
        <v>2.76323731138546</v>
      </c>
      <c r="AB119" s="84">
        <v>7.22</v>
      </c>
      <c r="AC119" s="73">
        <f t="shared" si="56"/>
        <v>19.950573388203</v>
      </c>
      <c r="AD119" s="73">
        <f t="shared" si="55"/>
        <v>181.828031092821</v>
      </c>
      <c r="AE119" s="73">
        <f t="shared" si="58"/>
        <v>55.7099689071788</v>
      </c>
    </row>
    <row r="120" customFormat="1" spans="1:31">
      <c r="A120" s="18"/>
      <c r="B120" s="19"/>
      <c r="C120" s="20">
        <v>240428000004</v>
      </c>
      <c r="D120" s="21">
        <v>45416</v>
      </c>
      <c r="E120" s="21" t="s">
        <v>47</v>
      </c>
      <c r="F120" s="19" t="s">
        <v>48</v>
      </c>
      <c r="G120" s="19" t="s">
        <v>111</v>
      </c>
      <c r="H120" s="19">
        <v>63.5</v>
      </c>
      <c r="I120" s="41">
        <v>3429</v>
      </c>
      <c r="J120" s="42"/>
      <c r="K120" s="43"/>
      <c r="L120" s="42"/>
      <c r="M120" s="44"/>
      <c r="N120" s="45"/>
      <c r="O120" s="46">
        <f t="shared" ref="O120:O126" si="69">SUM(I120)</f>
        <v>3429</v>
      </c>
      <c r="P120" s="51"/>
      <c r="Q120" s="51"/>
      <c r="R120" s="73">
        <f t="shared" si="63"/>
        <v>2566.7414266118</v>
      </c>
      <c r="S120" s="73"/>
      <c r="T120" s="88">
        <f t="shared" si="64"/>
        <v>3.06321444901692</v>
      </c>
      <c r="U120" s="73"/>
      <c r="V120" s="73"/>
      <c r="W120" s="73">
        <f t="shared" si="60"/>
        <v>2569.80464106081</v>
      </c>
      <c r="X120" s="75">
        <f t="shared" si="65"/>
        <v>43.8663923182442</v>
      </c>
      <c r="Y120" s="75"/>
      <c r="Z120" s="75"/>
      <c r="AA120" s="75">
        <f t="shared" si="61"/>
        <v>43.8663923182442</v>
      </c>
      <c r="AB120" s="84">
        <v>7.22</v>
      </c>
      <c r="AC120" s="73">
        <f t="shared" si="56"/>
        <v>316.715352537723</v>
      </c>
      <c r="AD120" s="73">
        <f t="shared" si="55"/>
        <v>2886.51999359854</v>
      </c>
      <c r="AE120" s="73">
        <f t="shared" si="58"/>
        <v>542.480006401463</v>
      </c>
    </row>
    <row r="121" customFormat="1" spans="1:31">
      <c r="A121" s="18"/>
      <c r="B121" s="19"/>
      <c r="C121" s="20">
        <v>240428000009</v>
      </c>
      <c r="D121" s="21">
        <v>45416</v>
      </c>
      <c r="E121" s="21" t="s">
        <v>41</v>
      </c>
      <c r="F121" s="19" t="s">
        <v>42</v>
      </c>
      <c r="G121" s="19" t="s">
        <v>145</v>
      </c>
      <c r="H121" s="19">
        <v>23</v>
      </c>
      <c r="I121" s="52"/>
      <c r="J121" s="48">
        <v>283815</v>
      </c>
      <c r="K121" s="43"/>
      <c r="L121" s="49">
        <f>SUM(J121/M121)</f>
        <v>1516.26776364996</v>
      </c>
      <c r="M121" s="50">
        <v>187.18</v>
      </c>
      <c r="N121" s="45">
        <v>7.22</v>
      </c>
      <c r="O121" s="46">
        <f>SUM(M121*N121)</f>
        <v>1351.4396</v>
      </c>
      <c r="P121" s="51"/>
      <c r="Q121" s="51"/>
      <c r="R121" s="73">
        <f t="shared" si="63"/>
        <v>929.685871056241</v>
      </c>
      <c r="S121" s="73"/>
      <c r="T121" s="88">
        <f t="shared" si="64"/>
        <v>1.10951074531321</v>
      </c>
      <c r="U121" s="73"/>
      <c r="V121" s="73"/>
      <c r="W121" s="73">
        <f t="shared" si="60"/>
        <v>930.795381801555</v>
      </c>
      <c r="X121" s="75">
        <f t="shared" si="65"/>
        <v>15.8886145404664</v>
      </c>
      <c r="Y121" s="75"/>
      <c r="Z121" s="75"/>
      <c r="AA121" s="75">
        <f t="shared" si="61"/>
        <v>15.8886145404664</v>
      </c>
      <c r="AB121" s="84">
        <v>7.22</v>
      </c>
      <c r="AC121" s="73">
        <f t="shared" si="56"/>
        <v>114.715796982167</v>
      </c>
      <c r="AD121" s="73">
        <f t="shared" si="55"/>
        <v>1045.51117878372</v>
      </c>
      <c r="AE121" s="73">
        <f t="shared" si="58"/>
        <v>305.928421216278</v>
      </c>
    </row>
    <row r="122" customFormat="1" spans="1:31">
      <c r="A122" s="18"/>
      <c r="B122" s="19"/>
      <c r="C122" s="20">
        <v>240428000012</v>
      </c>
      <c r="D122" s="21">
        <v>45416</v>
      </c>
      <c r="E122" s="21" t="s">
        <v>41</v>
      </c>
      <c r="F122" s="19" t="s">
        <v>42</v>
      </c>
      <c r="G122" s="19" t="s">
        <v>161</v>
      </c>
      <c r="H122" s="19">
        <v>0.86</v>
      </c>
      <c r="I122" s="52"/>
      <c r="J122" s="48">
        <v>12505</v>
      </c>
      <c r="K122" s="43"/>
      <c r="L122" s="49">
        <f>SUM(J122/M122)</f>
        <v>1481.63507109005</v>
      </c>
      <c r="M122" s="50">
        <v>8.44</v>
      </c>
      <c r="N122" s="45">
        <v>7.22</v>
      </c>
      <c r="O122" s="46">
        <f>SUM(M122*N122)</f>
        <v>60.9368</v>
      </c>
      <c r="P122" s="51"/>
      <c r="Q122" s="51"/>
      <c r="R122" s="73">
        <f t="shared" si="63"/>
        <v>34.7621673525377</v>
      </c>
      <c r="S122" s="73"/>
      <c r="T122" s="88">
        <f t="shared" si="64"/>
        <v>0.0414860539551898</v>
      </c>
      <c r="U122" s="73"/>
      <c r="V122" s="73"/>
      <c r="W122" s="73">
        <f t="shared" si="60"/>
        <v>34.8036534064929</v>
      </c>
      <c r="X122" s="75">
        <f t="shared" si="65"/>
        <v>0.594096021947874</v>
      </c>
      <c r="Y122" s="75"/>
      <c r="Z122" s="75"/>
      <c r="AA122" s="75">
        <f t="shared" si="61"/>
        <v>0.594096021947874</v>
      </c>
      <c r="AB122" s="84">
        <v>7.22</v>
      </c>
      <c r="AC122" s="73">
        <f t="shared" si="56"/>
        <v>4.28937327846365</v>
      </c>
      <c r="AD122" s="73">
        <f t="shared" si="55"/>
        <v>39.0930266849566</v>
      </c>
      <c r="AE122" s="73">
        <f t="shared" si="58"/>
        <v>21.8437733150434</v>
      </c>
    </row>
    <row r="123" customFormat="1" spans="1:31">
      <c r="A123" s="18"/>
      <c r="B123" s="19"/>
      <c r="C123" s="20">
        <v>240428000013</v>
      </c>
      <c r="D123" s="21">
        <v>45416</v>
      </c>
      <c r="E123" s="21" t="s">
        <v>41</v>
      </c>
      <c r="F123" s="19" t="s">
        <v>42</v>
      </c>
      <c r="G123" s="19" t="s">
        <v>156</v>
      </c>
      <c r="H123" s="19">
        <v>25.5</v>
      </c>
      <c r="I123" s="41">
        <v>1411.5</v>
      </c>
      <c r="J123" s="42"/>
      <c r="K123" s="43"/>
      <c r="L123" s="42"/>
      <c r="M123" s="44"/>
      <c r="N123" s="45"/>
      <c r="O123" s="46">
        <f t="shared" si="69"/>
        <v>1411.5</v>
      </c>
      <c r="P123" s="51"/>
      <c r="Q123" s="51"/>
      <c r="R123" s="73">
        <f t="shared" si="63"/>
        <v>1030.73868312757</v>
      </c>
      <c r="S123" s="73"/>
      <c r="T123" s="88">
        <f t="shared" si="64"/>
        <v>1.230109739369</v>
      </c>
      <c r="U123" s="74">
        <v>60</v>
      </c>
      <c r="V123" s="73"/>
      <c r="W123" s="73">
        <f t="shared" si="60"/>
        <v>1091.96879286694</v>
      </c>
      <c r="X123" s="75">
        <f t="shared" si="65"/>
        <v>17.6156378600823</v>
      </c>
      <c r="Y123" s="75"/>
      <c r="Z123" s="75"/>
      <c r="AA123" s="75">
        <f t="shared" si="61"/>
        <v>17.6156378600823</v>
      </c>
      <c r="AB123" s="84">
        <v>7.22</v>
      </c>
      <c r="AC123" s="73">
        <f t="shared" si="56"/>
        <v>127.184905349794</v>
      </c>
      <c r="AD123" s="73">
        <f t="shared" si="55"/>
        <v>1219.15369821674</v>
      </c>
      <c r="AE123" s="73">
        <f t="shared" si="58"/>
        <v>192.346301783265</v>
      </c>
    </row>
    <row r="124" customFormat="1" spans="1:31">
      <c r="A124" s="18"/>
      <c r="B124" s="19"/>
      <c r="C124" s="20">
        <v>240428000014</v>
      </c>
      <c r="D124" s="21">
        <v>45416</v>
      </c>
      <c r="E124" s="21" t="s">
        <v>44</v>
      </c>
      <c r="F124" s="19" t="s">
        <v>45</v>
      </c>
      <c r="G124" s="19" t="s">
        <v>162</v>
      </c>
      <c r="H124" s="19">
        <v>0.46</v>
      </c>
      <c r="I124" s="41">
        <v>61</v>
      </c>
      <c r="J124" s="42"/>
      <c r="K124" s="43"/>
      <c r="L124" s="42"/>
      <c r="M124" s="44"/>
      <c r="N124" s="45"/>
      <c r="O124" s="46">
        <f t="shared" si="69"/>
        <v>61</v>
      </c>
      <c r="P124" s="51"/>
      <c r="Q124" s="51"/>
      <c r="R124" s="73">
        <f t="shared" si="63"/>
        <v>18.5937174211248</v>
      </c>
      <c r="S124" s="73"/>
      <c r="T124" s="88">
        <f t="shared" si="64"/>
        <v>0.0221902149062643</v>
      </c>
      <c r="U124" s="73"/>
      <c r="V124" s="73"/>
      <c r="W124" s="73">
        <f t="shared" si="60"/>
        <v>18.6159076360311</v>
      </c>
      <c r="X124" s="75">
        <f t="shared" si="65"/>
        <v>0.317772290809328</v>
      </c>
      <c r="Y124" s="75"/>
      <c r="Z124" s="75"/>
      <c r="AA124" s="75">
        <f t="shared" si="61"/>
        <v>0.317772290809328</v>
      </c>
      <c r="AB124" s="84">
        <v>7.22</v>
      </c>
      <c r="AC124" s="73">
        <f t="shared" si="56"/>
        <v>2.29431593964335</v>
      </c>
      <c r="AD124" s="73">
        <f t="shared" si="55"/>
        <v>20.9102235756744</v>
      </c>
      <c r="AE124" s="73">
        <f t="shared" si="58"/>
        <v>40.0897764243256</v>
      </c>
    </row>
    <row r="125" customFormat="1" spans="1:31">
      <c r="A125" s="18"/>
      <c r="B125" s="19"/>
      <c r="C125" s="20">
        <v>240428000015</v>
      </c>
      <c r="D125" s="21">
        <v>45416</v>
      </c>
      <c r="E125" s="21" t="s">
        <v>41</v>
      </c>
      <c r="F125" s="19" t="s">
        <v>42</v>
      </c>
      <c r="G125" s="19" t="s">
        <v>163</v>
      </c>
      <c r="H125" s="19">
        <v>4</v>
      </c>
      <c r="I125" s="41">
        <v>259</v>
      </c>
      <c r="J125" s="42"/>
      <c r="K125" s="43"/>
      <c r="L125" s="42"/>
      <c r="M125" s="44"/>
      <c r="N125" s="45"/>
      <c r="O125" s="46">
        <f t="shared" si="69"/>
        <v>259</v>
      </c>
      <c r="P125" s="51"/>
      <c r="Q125" s="51"/>
      <c r="R125" s="73">
        <f t="shared" si="63"/>
        <v>161.684499314129</v>
      </c>
      <c r="S125" s="73"/>
      <c r="T125" s="88">
        <f t="shared" si="64"/>
        <v>0.192958390489255</v>
      </c>
      <c r="U125" s="73"/>
      <c r="V125" s="73"/>
      <c r="W125" s="73">
        <f t="shared" si="60"/>
        <v>161.877457704618</v>
      </c>
      <c r="X125" s="75">
        <f t="shared" si="65"/>
        <v>2.76323731138546</v>
      </c>
      <c r="Y125" s="75"/>
      <c r="Z125" s="75"/>
      <c r="AA125" s="75">
        <f t="shared" si="61"/>
        <v>2.76323731138546</v>
      </c>
      <c r="AB125" s="84">
        <v>7.22</v>
      </c>
      <c r="AC125" s="73">
        <f t="shared" si="56"/>
        <v>19.950573388203</v>
      </c>
      <c r="AD125" s="73">
        <f t="shared" ref="AD125:AD164" si="70">SUM(W125+AC125)</f>
        <v>181.828031092821</v>
      </c>
      <c r="AE125" s="73">
        <f t="shared" si="58"/>
        <v>77.1719689071788</v>
      </c>
    </row>
    <row r="126" customFormat="1" spans="1:31">
      <c r="A126" s="18"/>
      <c r="B126" s="19"/>
      <c r="C126" s="20">
        <v>240428000017</v>
      </c>
      <c r="D126" s="21">
        <v>45416</v>
      </c>
      <c r="E126" s="21" t="s">
        <v>44</v>
      </c>
      <c r="F126" s="19" t="s">
        <v>45</v>
      </c>
      <c r="G126" s="19" t="s">
        <v>164</v>
      </c>
      <c r="H126" s="19">
        <v>48.5</v>
      </c>
      <c r="I126" s="41">
        <v>2570.5</v>
      </c>
      <c r="J126" s="42"/>
      <c r="K126" s="43"/>
      <c r="L126" s="42"/>
      <c r="M126" s="44"/>
      <c r="N126" s="45"/>
      <c r="O126" s="46">
        <f t="shared" si="69"/>
        <v>2570.5</v>
      </c>
      <c r="P126" s="51"/>
      <c r="Q126" s="51"/>
      <c r="R126" s="73">
        <f t="shared" si="63"/>
        <v>1960.42455418381</v>
      </c>
      <c r="S126" s="73"/>
      <c r="T126" s="88">
        <f t="shared" si="64"/>
        <v>2.33962048468221</v>
      </c>
      <c r="U126" s="73"/>
      <c r="V126" s="73"/>
      <c r="W126" s="73">
        <f t="shared" si="60"/>
        <v>1962.7641746685</v>
      </c>
      <c r="X126" s="75">
        <f t="shared" si="65"/>
        <v>33.5042524005487</v>
      </c>
      <c r="Y126" s="75"/>
      <c r="Z126" s="75"/>
      <c r="AA126" s="75">
        <f t="shared" si="61"/>
        <v>33.5042524005487</v>
      </c>
      <c r="AB126" s="84">
        <v>7.22</v>
      </c>
      <c r="AC126" s="73">
        <f t="shared" ref="AC126:AC164" si="71">SUM(AA126*AB126)</f>
        <v>241.900702331962</v>
      </c>
      <c r="AD126" s="73">
        <f t="shared" si="70"/>
        <v>2204.66487700046</v>
      </c>
      <c r="AE126" s="73">
        <f t="shared" si="58"/>
        <v>365.835122999543</v>
      </c>
    </row>
    <row r="127" customFormat="1" spans="1:31">
      <c r="A127" s="18"/>
      <c r="B127" s="19"/>
      <c r="C127" s="20">
        <v>240428000018</v>
      </c>
      <c r="D127" s="21">
        <v>45416</v>
      </c>
      <c r="E127" s="21" t="s">
        <v>41</v>
      </c>
      <c r="F127" s="19" t="s">
        <v>42</v>
      </c>
      <c r="G127" s="19" t="s">
        <v>165</v>
      </c>
      <c r="H127" s="19">
        <v>340</v>
      </c>
      <c r="I127" s="52"/>
      <c r="J127" s="48">
        <v>3826753</v>
      </c>
      <c r="K127" s="43"/>
      <c r="L127" s="49">
        <f>SUM(J127/M127)</f>
        <v>1544.39691181397</v>
      </c>
      <c r="M127" s="50">
        <v>2477.83</v>
      </c>
      <c r="N127" s="45">
        <v>7.22</v>
      </c>
      <c r="O127" s="46">
        <f>SUM(M127*N127)</f>
        <v>17889.9326</v>
      </c>
      <c r="P127" s="51"/>
      <c r="Q127" s="51"/>
      <c r="R127" s="73">
        <f t="shared" si="63"/>
        <v>13743.182441701</v>
      </c>
      <c r="S127" s="73"/>
      <c r="T127" s="88">
        <f t="shared" si="64"/>
        <v>16.4014631915867</v>
      </c>
      <c r="U127" s="74">
        <v>210</v>
      </c>
      <c r="V127" s="73"/>
      <c r="W127" s="73">
        <f t="shared" si="60"/>
        <v>13969.5839048925</v>
      </c>
      <c r="X127" s="75">
        <f t="shared" si="65"/>
        <v>234.875171467764</v>
      </c>
      <c r="Y127" s="75"/>
      <c r="Z127" s="75"/>
      <c r="AA127" s="75">
        <f t="shared" si="61"/>
        <v>234.875171467764</v>
      </c>
      <c r="AB127" s="84">
        <v>7.22</v>
      </c>
      <c r="AC127" s="73">
        <f t="shared" si="71"/>
        <v>1695.79873799726</v>
      </c>
      <c r="AD127" s="73">
        <f t="shared" si="70"/>
        <v>15665.3826428898</v>
      </c>
      <c r="AE127" s="73">
        <f t="shared" si="58"/>
        <v>2224.5499571102</v>
      </c>
    </row>
    <row r="128" customFormat="1" spans="1:31">
      <c r="A128" s="18"/>
      <c r="B128" s="19"/>
      <c r="C128" s="20">
        <v>240428000026</v>
      </c>
      <c r="D128" s="21">
        <v>45416</v>
      </c>
      <c r="E128" s="21" t="s">
        <v>54</v>
      </c>
      <c r="F128" s="19" t="s">
        <v>54</v>
      </c>
      <c r="G128" s="19" t="s">
        <v>166</v>
      </c>
      <c r="H128" s="19">
        <v>45.5</v>
      </c>
      <c r="I128" s="41">
        <v>2509.5</v>
      </c>
      <c r="J128" s="42"/>
      <c r="K128" s="43"/>
      <c r="L128" s="42"/>
      <c r="M128" s="44"/>
      <c r="N128" s="45"/>
      <c r="O128" s="46">
        <f t="shared" ref="O128:O130" si="72">SUM(I128)</f>
        <v>2509.5</v>
      </c>
      <c r="P128" s="51"/>
      <c r="Q128" s="51"/>
      <c r="R128" s="73">
        <f t="shared" si="63"/>
        <v>1839.16117969822</v>
      </c>
      <c r="S128" s="73"/>
      <c r="T128" s="88">
        <f t="shared" si="64"/>
        <v>2.19490169181527</v>
      </c>
      <c r="U128" s="73">
        <f>SUM(50+40)</f>
        <v>90</v>
      </c>
      <c r="V128" s="73"/>
      <c r="W128" s="73">
        <f t="shared" si="60"/>
        <v>1931.35608139003</v>
      </c>
      <c r="X128" s="75">
        <f t="shared" si="65"/>
        <v>31.4318244170096</v>
      </c>
      <c r="Y128" s="75"/>
      <c r="Z128" s="75"/>
      <c r="AA128" s="75">
        <f t="shared" si="61"/>
        <v>31.4318244170096</v>
      </c>
      <c r="AB128" s="84">
        <v>7.22</v>
      </c>
      <c r="AC128" s="73">
        <f t="shared" si="71"/>
        <v>226.937772290809</v>
      </c>
      <c r="AD128" s="73">
        <f t="shared" si="70"/>
        <v>2158.29385368084</v>
      </c>
      <c r="AE128" s="73">
        <f t="shared" ref="AE128:AE164" si="73">SUM(O128-AD128)</f>
        <v>351.206146319159</v>
      </c>
    </row>
    <row r="129" customFormat="1" spans="1:31">
      <c r="A129" s="18"/>
      <c r="B129" s="19"/>
      <c r="C129" s="20">
        <v>240428000029</v>
      </c>
      <c r="D129" s="21">
        <v>45416</v>
      </c>
      <c r="E129" s="21" t="s">
        <v>41</v>
      </c>
      <c r="F129" s="19" t="s">
        <v>42</v>
      </c>
      <c r="G129" s="19" t="s">
        <v>167</v>
      </c>
      <c r="H129" s="19">
        <v>127</v>
      </c>
      <c r="I129" s="41">
        <v>7367</v>
      </c>
      <c r="J129" s="42"/>
      <c r="K129" s="43"/>
      <c r="L129" s="42"/>
      <c r="M129" s="44"/>
      <c r="N129" s="45"/>
      <c r="O129" s="46">
        <f t="shared" si="72"/>
        <v>7367</v>
      </c>
      <c r="P129" s="51"/>
      <c r="Q129" s="51"/>
      <c r="R129" s="73">
        <f t="shared" si="63"/>
        <v>5133.48285322359</v>
      </c>
      <c r="S129" s="73"/>
      <c r="T129" s="88">
        <f t="shared" si="64"/>
        <v>6.12642889803384</v>
      </c>
      <c r="U129" s="73"/>
      <c r="V129" s="73"/>
      <c r="W129" s="73">
        <f t="shared" ref="W129:W165" si="74">SUM(R129:V129)</f>
        <v>5139.60928212163</v>
      </c>
      <c r="X129" s="75">
        <f t="shared" si="65"/>
        <v>87.7327846364883</v>
      </c>
      <c r="Y129" s="75"/>
      <c r="Z129" s="75"/>
      <c r="AA129" s="75">
        <f t="shared" si="61"/>
        <v>87.7327846364883</v>
      </c>
      <c r="AB129" s="84">
        <v>7.22</v>
      </c>
      <c r="AC129" s="73">
        <f t="shared" si="71"/>
        <v>633.430705075446</v>
      </c>
      <c r="AD129" s="73">
        <f t="shared" si="70"/>
        <v>5773.03998719707</v>
      </c>
      <c r="AE129" s="73">
        <f t="shared" si="73"/>
        <v>1593.96001280293</v>
      </c>
    </row>
    <row r="130" customFormat="1" spans="1:31">
      <c r="A130" s="18"/>
      <c r="B130" s="19"/>
      <c r="C130" s="20">
        <v>240428000031</v>
      </c>
      <c r="D130" s="21">
        <v>45416</v>
      </c>
      <c r="E130" s="21" t="s">
        <v>54</v>
      </c>
      <c r="F130" s="19" t="s">
        <v>54</v>
      </c>
      <c r="G130" s="19" t="s">
        <v>168</v>
      </c>
      <c r="H130" s="19">
        <v>28.5</v>
      </c>
      <c r="I130" s="41">
        <v>1653.5</v>
      </c>
      <c r="J130" s="42"/>
      <c r="K130" s="43"/>
      <c r="L130" s="42"/>
      <c r="M130" s="44"/>
      <c r="N130" s="45"/>
      <c r="O130" s="46">
        <f t="shared" si="72"/>
        <v>1653.5</v>
      </c>
      <c r="P130" s="51"/>
      <c r="Q130" s="51"/>
      <c r="R130" s="73">
        <f t="shared" si="63"/>
        <v>1152.00205761317</v>
      </c>
      <c r="S130" s="73"/>
      <c r="T130" s="88">
        <f t="shared" si="64"/>
        <v>1.37482853223594</v>
      </c>
      <c r="U130" s="73"/>
      <c r="V130" s="73"/>
      <c r="W130" s="73">
        <f t="shared" si="74"/>
        <v>1153.3768861454</v>
      </c>
      <c r="X130" s="75">
        <f t="shared" si="65"/>
        <v>19.6880658436214</v>
      </c>
      <c r="Y130" s="75"/>
      <c r="Z130" s="75"/>
      <c r="AA130" s="75">
        <f t="shared" ref="AA130:AA165" si="75">SUM(X130:Z130)</f>
        <v>19.6880658436214</v>
      </c>
      <c r="AB130" s="84">
        <v>7.22</v>
      </c>
      <c r="AC130" s="73">
        <f t="shared" si="71"/>
        <v>142.147835390946</v>
      </c>
      <c r="AD130" s="73">
        <f t="shared" si="70"/>
        <v>1295.52472153635</v>
      </c>
      <c r="AE130" s="73">
        <f t="shared" si="73"/>
        <v>357.975278463649</v>
      </c>
    </row>
    <row r="131" customFormat="1" spans="1:31">
      <c r="A131" s="18"/>
      <c r="B131" s="19"/>
      <c r="C131" s="22">
        <v>240428000035</v>
      </c>
      <c r="D131" s="23">
        <v>45416</v>
      </c>
      <c r="E131" s="21" t="s">
        <v>47</v>
      </c>
      <c r="F131" s="24" t="s">
        <v>48</v>
      </c>
      <c r="G131" s="24" t="s">
        <v>169</v>
      </c>
      <c r="H131" s="24">
        <v>12</v>
      </c>
      <c r="I131" s="52"/>
      <c r="J131" s="49">
        <v>158308</v>
      </c>
      <c r="K131" s="86"/>
      <c r="L131" s="49">
        <f t="shared" ref="L131:L136" si="76">SUM(J131/M131)</f>
        <v>1522.19230769231</v>
      </c>
      <c r="M131" s="87">
        <v>104</v>
      </c>
      <c r="N131" s="45">
        <v>7.22</v>
      </c>
      <c r="O131" s="46">
        <f t="shared" ref="O131:O136" si="77">SUM(M131*N131)</f>
        <v>750.88</v>
      </c>
      <c r="P131" s="51"/>
      <c r="Q131" s="51"/>
      <c r="R131" s="73">
        <f t="shared" ref="R131:R165" si="78">SUM(176802/4374)*H131</f>
        <v>485.053497942387</v>
      </c>
      <c r="S131" s="73"/>
      <c r="T131" s="88">
        <f t="shared" ref="T131:T165" si="79">SUM(211/4374)*H131</f>
        <v>0.578875171467764</v>
      </c>
      <c r="U131" s="73"/>
      <c r="V131" s="73"/>
      <c r="W131" s="73">
        <f t="shared" si="74"/>
        <v>485.632373113855</v>
      </c>
      <c r="X131" s="75">
        <f t="shared" ref="X131:X165" si="80">SUM(3021.6/4374)*H131</f>
        <v>8.28971193415638</v>
      </c>
      <c r="Y131" s="75"/>
      <c r="Z131" s="75"/>
      <c r="AA131" s="75">
        <f t="shared" si="75"/>
        <v>8.28971193415638</v>
      </c>
      <c r="AB131" s="84">
        <v>7.22</v>
      </c>
      <c r="AC131" s="73">
        <f t="shared" si="71"/>
        <v>59.851720164609</v>
      </c>
      <c r="AD131" s="73">
        <f t="shared" si="70"/>
        <v>545.484093278464</v>
      </c>
      <c r="AE131" s="73">
        <f t="shared" si="73"/>
        <v>205.395906721536</v>
      </c>
    </row>
    <row r="132" customFormat="1" spans="1:31">
      <c r="A132" s="18"/>
      <c r="B132" s="19"/>
      <c r="C132" s="20">
        <v>240428000038</v>
      </c>
      <c r="D132" s="21">
        <v>45416</v>
      </c>
      <c r="E132" s="21" t="s">
        <v>54</v>
      </c>
      <c r="F132" s="19" t="s">
        <v>54</v>
      </c>
      <c r="G132" s="19" t="s">
        <v>100</v>
      </c>
      <c r="H132" s="19">
        <v>2.5</v>
      </c>
      <c r="I132" s="41">
        <v>148</v>
      </c>
      <c r="J132" s="42"/>
      <c r="K132" s="43"/>
      <c r="L132" s="42"/>
      <c r="M132" s="44"/>
      <c r="N132" s="45"/>
      <c r="O132" s="46">
        <f t="shared" ref="O132:O135" si="81">SUM(I132)</f>
        <v>148</v>
      </c>
      <c r="P132" s="51"/>
      <c r="Q132" s="51"/>
      <c r="R132" s="73">
        <f t="shared" si="78"/>
        <v>101.052812071331</v>
      </c>
      <c r="S132" s="73"/>
      <c r="T132" s="88">
        <f t="shared" si="79"/>
        <v>0.120598994055784</v>
      </c>
      <c r="U132" s="73"/>
      <c r="V132" s="73"/>
      <c r="W132" s="73">
        <f t="shared" si="74"/>
        <v>101.173411065386</v>
      </c>
      <c r="X132" s="75">
        <f t="shared" si="80"/>
        <v>1.72702331961591</v>
      </c>
      <c r="Y132" s="75"/>
      <c r="Z132" s="75"/>
      <c r="AA132" s="75">
        <f t="shared" si="75"/>
        <v>1.72702331961591</v>
      </c>
      <c r="AB132" s="84">
        <v>7.22</v>
      </c>
      <c r="AC132" s="73">
        <f t="shared" si="71"/>
        <v>12.4691083676269</v>
      </c>
      <c r="AD132" s="73">
        <f t="shared" si="70"/>
        <v>113.642519433013</v>
      </c>
      <c r="AE132" s="73">
        <f t="shared" si="73"/>
        <v>34.3574805669867</v>
      </c>
    </row>
    <row r="133" customFormat="1" spans="1:31">
      <c r="A133" s="18"/>
      <c r="B133" s="19"/>
      <c r="C133" s="20">
        <v>240428000041</v>
      </c>
      <c r="D133" s="21">
        <v>45416</v>
      </c>
      <c r="E133" s="21" t="s">
        <v>64</v>
      </c>
      <c r="F133" s="19" t="s">
        <v>65</v>
      </c>
      <c r="G133" s="19" t="s">
        <v>170</v>
      </c>
      <c r="H133" s="19">
        <v>3</v>
      </c>
      <c r="I133" s="46"/>
      <c r="J133" s="48">
        <v>36728.8</v>
      </c>
      <c r="K133" s="43"/>
      <c r="L133" s="49">
        <f t="shared" si="76"/>
        <v>1481</v>
      </c>
      <c r="M133" s="50">
        <v>24.8</v>
      </c>
      <c r="N133" s="45">
        <v>7.22</v>
      </c>
      <c r="O133" s="46">
        <f t="shared" si="77"/>
        <v>179.056</v>
      </c>
      <c r="P133" s="51"/>
      <c r="Q133" s="51"/>
      <c r="R133" s="73">
        <f t="shared" si="78"/>
        <v>121.263374485597</v>
      </c>
      <c r="S133" s="73"/>
      <c r="T133" s="88">
        <f t="shared" si="79"/>
        <v>0.144718792866941</v>
      </c>
      <c r="U133" s="73"/>
      <c r="V133" s="73"/>
      <c r="W133" s="73">
        <f t="shared" si="74"/>
        <v>121.408093278464</v>
      </c>
      <c r="X133" s="75">
        <f t="shared" si="80"/>
        <v>2.07242798353909</v>
      </c>
      <c r="Y133" s="75"/>
      <c r="Z133" s="75"/>
      <c r="AA133" s="75">
        <f t="shared" si="75"/>
        <v>2.07242798353909</v>
      </c>
      <c r="AB133" s="84">
        <v>7.22</v>
      </c>
      <c r="AC133" s="73">
        <f t="shared" si="71"/>
        <v>14.9629300411523</v>
      </c>
      <c r="AD133" s="73">
        <f t="shared" si="70"/>
        <v>136.371023319616</v>
      </c>
      <c r="AE133" s="73">
        <f t="shared" si="73"/>
        <v>42.6849766803841</v>
      </c>
    </row>
    <row r="134" customFormat="1" spans="1:31">
      <c r="A134" s="18"/>
      <c r="B134" s="19"/>
      <c r="C134" s="20">
        <v>240428000042</v>
      </c>
      <c r="D134" s="21">
        <v>45416</v>
      </c>
      <c r="E134" s="21" t="s">
        <v>44</v>
      </c>
      <c r="F134" s="19" t="s">
        <v>45</v>
      </c>
      <c r="G134" s="19" t="s">
        <v>171</v>
      </c>
      <c r="H134" s="19">
        <v>7.5</v>
      </c>
      <c r="I134" s="41">
        <v>524.5</v>
      </c>
      <c r="J134" s="42"/>
      <c r="K134" s="43"/>
      <c r="L134" s="42"/>
      <c r="M134" s="44"/>
      <c r="N134" s="45"/>
      <c r="O134" s="46">
        <f t="shared" si="81"/>
        <v>524.5</v>
      </c>
      <c r="P134" s="51"/>
      <c r="Q134" s="51"/>
      <c r="R134" s="73">
        <f t="shared" si="78"/>
        <v>303.158436213992</v>
      </c>
      <c r="S134" s="73"/>
      <c r="T134" s="88">
        <f t="shared" si="79"/>
        <v>0.361796982167353</v>
      </c>
      <c r="U134" s="73"/>
      <c r="V134" s="74">
        <v>106</v>
      </c>
      <c r="W134" s="73">
        <f t="shared" si="74"/>
        <v>409.520233196159</v>
      </c>
      <c r="X134" s="75">
        <f t="shared" si="80"/>
        <v>5.18106995884774</v>
      </c>
      <c r="Y134" s="75"/>
      <c r="Z134" s="75"/>
      <c r="AA134" s="75">
        <f t="shared" si="75"/>
        <v>5.18106995884774</v>
      </c>
      <c r="AB134" s="84">
        <v>7.22</v>
      </c>
      <c r="AC134" s="73">
        <f t="shared" si="71"/>
        <v>37.4073251028807</v>
      </c>
      <c r="AD134" s="73">
        <f t="shared" si="70"/>
        <v>446.92755829904</v>
      </c>
      <c r="AE134" s="73">
        <f t="shared" si="73"/>
        <v>77.5724417009603</v>
      </c>
    </row>
    <row r="135" customFormat="1" spans="1:31">
      <c r="A135" s="18"/>
      <c r="B135" s="19"/>
      <c r="C135" s="20">
        <v>240428000043</v>
      </c>
      <c r="D135" s="21">
        <v>45416</v>
      </c>
      <c r="E135" s="21" t="s">
        <v>47</v>
      </c>
      <c r="F135" s="19" t="s">
        <v>48</v>
      </c>
      <c r="G135" s="19" t="s">
        <v>134</v>
      </c>
      <c r="H135" s="19">
        <v>4.5</v>
      </c>
      <c r="I135" s="41">
        <v>264</v>
      </c>
      <c r="J135" s="42"/>
      <c r="K135" s="43"/>
      <c r="L135" s="42"/>
      <c r="M135" s="44"/>
      <c r="N135" s="45"/>
      <c r="O135" s="46">
        <f t="shared" si="81"/>
        <v>264</v>
      </c>
      <c r="P135" s="51"/>
      <c r="Q135" s="51"/>
      <c r="R135" s="73">
        <f t="shared" si="78"/>
        <v>181.895061728395</v>
      </c>
      <c r="S135" s="73"/>
      <c r="T135" s="88">
        <f t="shared" si="79"/>
        <v>0.217078189300412</v>
      </c>
      <c r="U135" s="73"/>
      <c r="V135" s="73"/>
      <c r="W135" s="73">
        <f t="shared" si="74"/>
        <v>182.112139917695</v>
      </c>
      <c r="X135" s="75">
        <f t="shared" si="80"/>
        <v>3.10864197530864</v>
      </c>
      <c r="Y135" s="75"/>
      <c r="Z135" s="75"/>
      <c r="AA135" s="75">
        <f t="shared" si="75"/>
        <v>3.10864197530864</v>
      </c>
      <c r="AB135" s="84">
        <v>7.22</v>
      </c>
      <c r="AC135" s="73">
        <f t="shared" si="71"/>
        <v>22.4443950617284</v>
      </c>
      <c r="AD135" s="73">
        <f t="shared" si="70"/>
        <v>204.556534979424</v>
      </c>
      <c r="AE135" s="73">
        <f t="shared" si="73"/>
        <v>59.4434650205761</v>
      </c>
    </row>
    <row r="136" customFormat="1" spans="1:31">
      <c r="A136" s="18"/>
      <c r="B136" s="19"/>
      <c r="C136" s="20">
        <v>240428000048</v>
      </c>
      <c r="D136" s="21">
        <v>45416</v>
      </c>
      <c r="E136" s="21" t="s">
        <v>54</v>
      </c>
      <c r="F136" s="19" t="s">
        <v>54</v>
      </c>
      <c r="G136" s="19" t="s">
        <v>172</v>
      </c>
      <c r="H136" s="19">
        <v>52.5</v>
      </c>
      <c r="I136" s="46"/>
      <c r="J136" s="48">
        <v>649210</v>
      </c>
      <c r="K136" s="43"/>
      <c r="L136" s="49">
        <f t="shared" si="76"/>
        <v>1522.00210995194</v>
      </c>
      <c r="M136" s="50">
        <v>426.55</v>
      </c>
      <c r="N136" s="45">
        <v>7.22</v>
      </c>
      <c r="O136" s="46">
        <f t="shared" si="77"/>
        <v>3079.691</v>
      </c>
      <c r="P136" s="51"/>
      <c r="Q136" s="51"/>
      <c r="R136" s="73">
        <f t="shared" si="78"/>
        <v>2122.10905349794</v>
      </c>
      <c r="S136" s="73"/>
      <c r="T136" s="88">
        <f t="shared" si="79"/>
        <v>2.53257887517147</v>
      </c>
      <c r="U136" s="73"/>
      <c r="V136" s="73"/>
      <c r="W136" s="73">
        <f t="shared" si="74"/>
        <v>2124.64163237311</v>
      </c>
      <c r="X136" s="75">
        <f t="shared" si="80"/>
        <v>36.2674897119342</v>
      </c>
      <c r="Y136" s="75"/>
      <c r="Z136" s="75"/>
      <c r="AA136" s="75">
        <f t="shared" si="75"/>
        <v>36.2674897119342</v>
      </c>
      <c r="AB136" s="84">
        <v>7.22</v>
      </c>
      <c r="AC136" s="73">
        <f t="shared" si="71"/>
        <v>261.851275720165</v>
      </c>
      <c r="AD136" s="73">
        <f t="shared" si="70"/>
        <v>2386.49290809328</v>
      </c>
      <c r="AE136" s="73">
        <f t="shared" si="73"/>
        <v>693.198091906721</v>
      </c>
    </row>
    <row r="137" customFormat="1" spans="1:31">
      <c r="A137" s="18"/>
      <c r="B137" s="19"/>
      <c r="C137" s="20">
        <v>240428000049</v>
      </c>
      <c r="D137" s="21">
        <v>45416</v>
      </c>
      <c r="E137" s="21" t="s">
        <v>54</v>
      </c>
      <c r="F137" s="19" t="s">
        <v>54</v>
      </c>
      <c r="G137" s="19" t="s">
        <v>173</v>
      </c>
      <c r="H137" s="19">
        <v>17</v>
      </c>
      <c r="I137" s="41">
        <v>1005</v>
      </c>
      <c r="J137" s="42"/>
      <c r="K137" s="43"/>
      <c r="L137" s="42"/>
      <c r="M137" s="44"/>
      <c r="N137" s="45"/>
      <c r="O137" s="46">
        <f t="shared" ref="O137:O139" si="82">SUM(I137)</f>
        <v>1005</v>
      </c>
      <c r="P137" s="51"/>
      <c r="Q137" s="51"/>
      <c r="R137" s="73">
        <f t="shared" si="78"/>
        <v>687.159122085048</v>
      </c>
      <c r="S137" s="73"/>
      <c r="T137" s="88">
        <f t="shared" si="79"/>
        <v>0.820073159579332</v>
      </c>
      <c r="U137" s="73"/>
      <c r="V137" s="73"/>
      <c r="W137" s="73">
        <f t="shared" si="74"/>
        <v>687.979195244627</v>
      </c>
      <c r="X137" s="75">
        <f t="shared" si="80"/>
        <v>11.7437585733882</v>
      </c>
      <c r="Y137" s="75"/>
      <c r="Z137" s="75"/>
      <c r="AA137" s="75">
        <f t="shared" si="75"/>
        <v>11.7437585733882</v>
      </c>
      <c r="AB137" s="84">
        <v>7.22</v>
      </c>
      <c r="AC137" s="73">
        <f t="shared" si="71"/>
        <v>84.7899368998628</v>
      </c>
      <c r="AD137" s="73">
        <f t="shared" si="70"/>
        <v>772.76913214449</v>
      </c>
      <c r="AE137" s="73">
        <f t="shared" si="73"/>
        <v>232.23086785551</v>
      </c>
    </row>
    <row r="138" customFormat="1" spans="1:31">
      <c r="A138" s="18"/>
      <c r="B138" s="19"/>
      <c r="C138" s="20">
        <v>240429000003</v>
      </c>
      <c r="D138" s="21">
        <v>45416</v>
      </c>
      <c r="E138" s="21" t="s">
        <v>41</v>
      </c>
      <c r="F138" s="19" t="s">
        <v>42</v>
      </c>
      <c r="G138" s="19" t="s">
        <v>174</v>
      </c>
      <c r="H138" s="19">
        <v>0.96</v>
      </c>
      <c r="I138" s="41">
        <v>61</v>
      </c>
      <c r="J138" s="42"/>
      <c r="K138" s="43"/>
      <c r="L138" s="42"/>
      <c r="M138" s="44"/>
      <c r="N138" s="45"/>
      <c r="O138" s="46">
        <f t="shared" si="82"/>
        <v>61</v>
      </c>
      <c r="P138" s="51"/>
      <c r="Q138" s="51"/>
      <c r="R138" s="73">
        <f t="shared" si="78"/>
        <v>38.8042798353909</v>
      </c>
      <c r="S138" s="73"/>
      <c r="T138" s="88">
        <f t="shared" si="79"/>
        <v>0.0463100137174211</v>
      </c>
      <c r="U138" s="73"/>
      <c r="V138" s="73"/>
      <c r="W138" s="73">
        <f t="shared" si="74"/>
        <v>38.8505898491084</v>
      </c>
      <c r="X138" s="75">
        <f t="shared" si="80"/>
        <v>0.66317695473251</v>
      </c>
      <c r="Y138" s="75"/>
      <c r="Z138" s="75"/>
      <c r="AA138" s="75">
        <f t="shared" si="75"/>
        <v>0.66317695473251</v>
      </c>
      <c r="AB138" s="84">
        <v>7.22</v>
      </c>
      <c r="AC138" s="73">
        <f t="shared" si="71"/>
        <v>4.78813761316872</v>
      </c>
      <c r="AD138" s="73">
        <f t="shared" si="70"/>
        <v>43.6387274622771</v>
      </c>
      <c r="AE138" s="73">
        <f t="shared" si="73"/>
        <v>17.3612725377229</v>
      </c>
    </row>
    <row r="139" customFormat="1" spans="1:31">
      <c r="A139" s="18"/>
      <c r="B139" s="19"/>
      <c r="C139" s="20">
        <v>240429000006</v>
      </c>
      <c r="D139" s="21">
        <v>45416</v>
      </c>
      <c r="E139" s="21" t="s">
        <v>44</v>
      </c>
      <c r="F139" s="19" t="s">
        <v>45</v>
      </c>
      <c r="G139" s="19" t="s">
        <v>175</v>
      </c>
      <c r="H139" s="19">
        <v>15.5</v>
      </c>
      <c r="I139" s="41">
        <v>858.5</v>
      </c>
      <c r="J139" s="42"/>
      <c r="K139" s="43"/>
      <c r="L139" s="42"/>
      <c r="M139" s="44"/>
      <c r="N139" s="45"/>
      <c r="O139" s="46">
        <f t="shared" si="82"/>
        <v>858.5</v>
      </c>
      <c r="P139" s="51"/>
      <c r="Q139" s="51"/>
      <c r="R139" s="73">
        <f t="shared" si="78"/>
        <v>626.52743484225</v>
      </c>
      <c r="S139" s="73"/>
      <c r="T139" s="88">
        <f t="shared" si="79"/>
        <v>0.747713763145862</v>
      </c>
      <c r="U139" s="73"/>
      <c r="V139" s="73"/>
      <c r="W139" s="73">
        <f t="shared" si="74"/>
        <v>627.275148605396</v>
      </c>
      <c r="X139" s="75">
        <f t="shared" si="80"/>
        <v>10.7075445816187</v>
      </c>
      <c r="Y139" s="75"/>
      <c r="Z139" s="75"/>
      <c r="AA139" s="75">
        <f t="shared" si="75"/>
        <v>10.7075445816187</v>
      </c>
      <c r="AB139" s="84">
        <v>7.22</v>
      </c>
      <c r="AC139" s="73">
        <f t="shared" si="71"/>
        <v>77.3084718792867</v>
      </c>
      <c r="AD139" s="73">
        <f t="shared" si="70"/>
        <v>704.583620484682</v>
      </c>
      <c r="AE139" s="73">
        <f t="shared" si="73"/>
        <v>153.916379515318</v>
      </c>
    </row>
    <row r="140" customFormat="1" spans="1:31">
      <c r="A140" s="18"/>
      <c r="B140" s="19"/>
      <c r="C140" s="20">
        <v>240429000008</v>
      </c>
      <c r="D140" s="21">
        <v>45416</v>
      </c>
      <c r="E140" s="21" t="s">
        <v>47</v>
      </c>
      <c r="F140" s="19" t="s">
        <v>48</v>
      </c>
      <c r="G140" s="19" t="s">
        <v>176</v>
      </c>
      <c r="H140" s="19">
        <v>8</v>
      </c>
      <c r="I140" s="46"/>
      <c r="J140" s="42"/>
      <c r="K140" s="43"/>
      <c r="L140" s="42"/>
      <c r="M140" s="50">
        <v>0</v>
      </c>
      <c r="N140" s="45">
        <v>7.22</v>
      </c>
      <c r="O140" s="46">
        <f>SUM(M140*N140)</f>
        <v>0</v>
      </c>
      <c r="P140" s="51"/>
      <c r="Q140" s="51"/>
      <c r="R140" s="73">
        <f t="shared" si="78"/>
        <v>323.368998628258</v>
      </c>
      <c r="S140" s="73"/>
      <c r="T140" s="88">
        <f t="shared" si="79"/>
        <v>0.385916780978509</v>
      </c>
      <c r="U140" s="73"/>
      <c r="V140" s="73"/>
      <c r="W140" s="73">
        <f t="shared" si="74"/>
        <v>323.754915409236</v>
      </c>
      <c r="X140" s="75">
        <f t="shared" si="80"/>
        <v>5.52647462277092</v>
      </c>
      <c r="Y140" s="75"/>
      <c r="Z140" s="75"/>
      <c r="AA140" s="75">
        <f t="shared" si="75"/>
        <v>5.52647462277092</v>
      </c>
      <c r="AB140" s="84">
        <v>7.22</v>
      </c>
      <c r="AC140" s="73">
        <f t="shared" si="71"/>
        <v>39.901146776406</v>
      </c>
      <c r="AD140" s="73">
        <f t="shared" si="70"/>
        <v>363.656062185642</v>
      </c>
      <c r="AE140" s="73">
        <f t="shared" si="73"/>
        <v>-363.656062185642</v>
      </c>
    </row>
    <row r="141" customFormat="1" spans="1:31">
      <c r="A141" s="18"/>
      <c r="B141" s="19"/>
      <c r="C141" s="20">
        <v>240429000009</v>
      </c>
      <c r="D141" s="21">
        <v>45416</v>
      </c>
      <c r="E141" s="21" t="s">
        <v>41</v>
      </c>
      <c r="F141" s="19" t="s">
        <v>42</v>
      </c>
      <c r="G141" s="19" t="s">
        <v>177</v>
      </c>
      <c r="H141" s="19">
        <v>83.5</v>
      </c>
      <c r="I141" s="41">
        <v>4843</v>
      </c>
      <c r="J141" s="42"/>
      <c r="K141" s="43"/>
      <c r="L141" s="42"/>
      <c r="M141" s="44"/>
      <c r="N141" s="45"/>
      <c r="O141" s="46">
        <f t="shared" ref="O141:O143" si="83">SUM(I141)</f>
        <v>4843</v>
      </c>
      <c r="P141" s="51"/>
      <c r="Q141" s="51"/>
      <c r="R141" s="73">
        <f t="shared" si="78"/>
        <v>3375.16392318244</v>
      </c>
      <c r="S141" s="73"/>
      <c r="T141" s="88">
        <f t="shared" si="79"/>
        <v>4.02800640146319</v>
      </c>
      <c r="U141" s="73"/>
      <c r="V141" s="73"/>
      <c r="W141" s="73">
        <f t="shared" si="74"/>
        <v>3379.1919295839</v>
      </c>
      <c r="X141" s="75">
        <f t="shared" si="80"/>
        <v>57.6825788751715</v>
      </c>
      <c r="Y141" s="75"/>
      <c r="Z141" s="75"/>
      <c r="AA141" s="75">
        <f t="shared" si="75"/>
        <v>57.6825788751715</v>
      </c>
      <c r="AB141" s="84">
        <v>7.22</v>
      </c>
      <c r="AC141" s="73">
        <f t="shared" si="71"/>
        <v>416.468219478738</v>
      </c>
      <c r="AD141" s="73">
        <f t="shared" si="70"/>
        <v>3795.66014906264</v>
      </c>
      <c r="AE141" s="73">
        <f t="shared" si="73"/>
        <v>1047.33985093736</v>
      </c>
    </row>
    <row r="142" customFormat="1" spans="1:31">
      <c r="A142" s="18"/>
      <c r="B142" s="19"/>
      <c r="C142" s="20">
        <v>240429000011</v>
      </c>
      <c r="D142" s="21">
        <v>45416</v>
      </c>
      <c r="E142" s="21" t="s">
        <v>44</v>
      </c>
      <c r="F142" s="19" t="s">
        <v>45</v>
      </c>
      <c r="G142" s="19" t="s">
        <v>178</v>
      </c>
      <c r="H142" s="19">
        <v>842</v>
      </c>
      <c r="I142" s="41">
        <v>44626</v>
      </c>
      <c r="J142" s="42"/>
      <c r="K142" s="43"/>
      <c r="L142" s="42"/>
      <c r="M142" s="44"/>
      <c r="N142" s="45"/>
      <c r="O142" s="46">
        <f t="shared" si="83"/>
        <v>44626</v>
      </c>
      <c r="P142" s="51"/>
      <c r="Q142" s="51"/>
      <c r="R142" s="73">
        <f t="shared" si="78"/>
        <v>34034.5871056241</v>
      </c>
      <c r="S142" s="73"/>
      <c r="T142" s="88">
        <f t="shared" si="79"/>
        <v>40.6177411979881</v>
      </c>
      <c r="U142" s="73"/>
      <c r="V142" s="73"/>
      <c r="W142" s="73">
        <f t="shared" si="74"/>
        <v>34075.2048468221</v>
      </c>
      <c r="X142" s="75">
        <f t="shared" si="80"/>
        <v>581.661454046639</v>
      </c>
      <c r="Y142" s="75"/>
      <c r="Z142" s="75"/>
      <c r="AA142" s="75">
        <f t="shared" si="75"/>
        <v>581.661454046639</v>
      </c>
      <c r="AB142" s="84">
        <v>7.22</v>
      </c>
      <c r="AC142" s="73">
        <f t="shared" si="71"/>
        <v>4199.59569821673</v>
      </c>
      <c r="AD142" s="73">
        <f t="shared" si="70"/>
        <v>38274.8005450389</v>
      </c>
      <c r="AE142" s="73">
        <f t="shared" si="73"/>
        <v>6351.19945496113</v>
      </c>
    </row>
    <row r="143" customFormat="1" spans="1:31">
      <c r="A143" s="18"/>
      <c r="B143" s="19"/>
      <c r="C143" s="20">
        <v>240429000014</v>
      </c>
      <c r="D143" s="21">
        <v>45416</v>
      </c>
      <c r="E143" s="21" t="s">
        <v>37</v>
      </c>
      <c r="F143" s="19" t="s">
        <v>38</v>
      </c>
      <c r="G143" s="19" t="s">
        <v>179</v>
      </c>
      <c r="H143" s="19">
        <v>2.5</v>
      </c>
      <c r="I143" s="41">
        <v>148</v>
      </c>
      <c r="J143" s="42"/>
      <c r="K143" s="43"/>
      <c r="L143" s="42"/>
      <c r="M143" s="44"/>
      <c r="N143" s="45"/>
      <c r="O143" s="46">
        <f t="shared" si="83"/>
        <v>148</v>
      </c>
      <c r="P143" s="51"/>
      <c r="Q143" s="51"/>
      <c r="R143" s="73">
        <f t="shared" si="78"/>
        <v>101.052812071331</v>
      </c>
      <c r="S143" s="73"/>
      <c r="T143" s="88">
        <f t="shared" si="79"/>
        <v>0.120598994055784</v>
      </c>
      <c r="U143" s="73"/>
      <c r="V143" s="73"/>
      <c r="W143" s="73">
        <f t="shared" si="74"/>
        <v>101.173411065386</v>
      </c>
      <c r="X143" s="75">
        <f t="shared" si="80"/>
        <v>1.72702331961591</v>
      </c>
      <c r="Y143" s="75"/>
      <c r="Z143" s="75"/>
      <c r="AA143" s="75">
        <f t="shared" si="75"/>
        <v>1.72702331961591</v>
      </c>
      <c r="AB143" s="84">
        <v>7.22</v>
      </c>
      <c r="AC143" s="73">
        <f t="shared" si="71"/>
        <v>12.4691083676269</v>
      </c>
      <c r="AD143" s="73">
        <f t="shared" si="70"/>
        <v>113.642519433013</v>
      </c>
      <c r="AE143" s="73">
        <f t="shared" si="73"/>
        <v>34.3574805669867</v>
      </c>
    </row>
    <row r="144" customFormat="1" spans="1:31">
      <c r="A144" s="18"/>
      <c r="B144" s="19"/>
      <c r="C144" s="20">
        <v>240429000015</v>
      </c>
      <c r="D144" s="21">
        <v>45416</v>
      </c>
      <c r="E144" s="21" t="s">
        <v>37</v>
      </c>
      <c r="F144" s="19" t="s">
        <v>38</v>
      </c>
      <c r="G144" s="19" t="s">
        <v>180</v>
      </c>
      <c r="H144" s="19">
        <v>14</v>
      </c>
      <c r="I144" s="46"/>
      <c r="J144" s="48">
        <v>182459</v>
      </c>
      <c r="K144" s="43"/>
      <c r="L144" s="49">
        <f>SUM(J144/M144)</f>
        <v>1678.55565777369</v>
      </c>
      <c r="M144" s="50">
        <v>108.7</v>
      </c>
      <c r="N144" s="45">
        <v>7.22</v>
      </c>
      <c r="O144" s="46">
        <f t="shared" ref="O144:O149" si="84">SUM(M144*N144)</f>
        <v>784.814</v>
      </c>
      <c r="P144" s="51"/>
      <c r="Q144" s="51"/>
      <c r="R144" s="73">
        <f t="shared" si="78"/>
        <v>565.895747599451</v>
      </c>
      <c r="S144" s="73"/>
      <c r="T144" s="88">
        <f t="shared" si="79"/>
        <v>0.675354366712391</v>
      </c>
      <c r="U144" s="73"/>
      <c r="V144" s="73"/>
      <c r="W144" s="73">
        <f t="shared" si="74"/>
        <v>566.571101966164</v>
      </c>
      <c r="X144" s="75">
        <f t="shared" si="80"/>
        <v>9.67133058984911</v>
      </c>
      <c r="Y144" s="75"/>
      <c r="Z144" s="75"/>
      <c r="AA144" s="75">
        <f t="shared" si="75"/>
        <v>9.67133058984911</v>
      </c>
      <c r="AB144" s="84">
        <v>7.22</v>
      </c>
      <c r="AC144" s="73">
        <f t="shared" si="71"/>
        <v>69.8270068587105</v>
      </c>
      <c r="AD144" s="73">
        <f t="shared" si="70"/>
        <v>636.398108824874</v>
      </c>
      <c r="AE144" s="73">
        <f t="shared" si="73"/>
        <v>148.415891175126</v>
      </c>
    </row>
    <row r="145" customFormat="1" spans="1:31">
      <c r="A145" s="18"/>
      <c r="B145" s="19"/>
      <c r="C145" s="20">
        <v>240429000017</v>
      </c>
      <c r="D145" s="21">
        <v>45416</v>
      </c>
      <c r="E145" s="21" t="s">
        <v>41</v>
      </c>
      <c r="F145" s="19" t="s">
        <v>42</v>
      </c>
      <c r="G145" s="19" t="s">
        <v>181</v>
      </c>
      <c r="H145" s="19">
        <v>4</v>
      </c>
      <c r="I145" s="41">
        <v>232</v>
      </c>
      <c r="J145" s="42"/>
      <c r="K145" s="43"/>
      <c r="L145" s="42"/>
      <c r="M145" s="44"/>
      <c r="N145" s="45"/>
      <c r="O145" s="46">
        <f t="shared" ref="O145:O147" si="85">SUM(I145)</f>
        <v>232</v>
      </c>
      <c r="P145" s="51"/>
      <c r="Q145" s="51"/>
      <c r="R145" s="73">
        <f t="shared" si="78"/>
        <v>161.684499314129</v>
      </c>
      <c r="S145" s="73"/>
      <c r="T145" s="88">
        <f t="shared" si="79"/>
        <v>0.192958390489255</v>
      </c>
      <c r="U145" s="73"/>
      <c r="V145" s="73"/>
      <c r="W145" s="73">
        <f t="shared" si="74"/>
        <v>161.877457704618</v>
      </c>
      <c r="X145" s="75">
        <f t="shared" si="80"/>
        <v>2.76323731138546</v>
      </c>
      <c r="Y145" s="75"/>
      <c r="Z145" s="75"/>
      <c r="AA145" s="75">
        <f t="shared" si="75"/>
        <v>2.76323731138546</v>
      </c>
      <c r="AB145" s="84">
        <v>7.22</v>
      </c>
      <c r="AC145" s="73">
        <f t="shared" si="71"/>
        <v>19.950573388203</v>
      </c>
      <c r="AD145" s="73">
        <f t="shared" si="70"/>
        <v>181.828031092821</v>
      </c>
      <c r="AE145" s="73">
        <f t="shared" si="73"/>
        <v>50.1719689071788</v>
      </c>
    </row>
    <row r="146" customFormat="1" spans="1:31">
      <c r="A146" s="18"/>
      <c r="B146" s="19"/>
      <c r="C146" s="20">
        <v>240429000018</v>
      </c>
      <c r="D146" s="21">
        <v>45416</v>
      </c>
      <c r="E146" s="21" t="s">
        <v>44</v>
      </c>
      <c r="F146" s="19" t="s">
        <v>182</v>
      </c>
      <c r="G146" s="19" t="s">
        <v>183</v>
      </c>
      <c r="H146" s="19">
        <v>72</v>
      </c>
      <c r="I146" s="41">
        <v>5777</v>
      </c>
      <c r="J146" s="42"/>
      <c r="K146" s="43"/>
      <c r="L146" s="42"/>
      <c r="M146" s="44"/>
      <c r="N146" s="45"/>
      <c r="O146" s="46">
        <f t="shared" si="85"/>
        <v>5777</v>
      </c>
      <c r="P146" s="51"/>
      <c r="Q146" s="51"/>
      <c r="R146" s="73">
        <f t="shared" si="78"/>
        <v>2910.32098765432</v>
      </c>
      <c r="S146" s="73"/>
      <c r="T146" s="88">
        <f t="shared" si="79"/>
        <v>3.47325102880658</v>
      </c>
      <c r="U146" s="73"/>
      <c r="V146" s="73"/>
      <c r="W146" s="73">
        <f t="shared" si="74"/>
        <v>2913.79423868313</v>
      </c>
      <c r="X146" s="75">
        <f t="shared" si="80"/>
        <v>49.7382716049383</v>
      </c>
      <c r="Y146" s="75"/>
      <c r="Z146" s="75"/>
      <c r="AA146" s="75">
        <f t="shared" si="75"/>
        <v>49.7382716049383</v>
      </c>
      <c r="AB146" s="84">
        <v>7.22</v>
      </c>
      <c r="AC146" s="73">
        <f t="shared" si="71"/>
        <v>359.110320987654</v>
      </c>
      <c r="AD146" s="73">
        <f t="shared" si="70"/>
        <v>3272.90455967078</v>
      </c>
      <c r="AE146" s="73">
        <f t="shared" si="73"/>
        <v>2504.09544032922</v>
      </c>
    </row>
    <row r="147" customFormat="1" spans="1:31">
      <c r="A147" s="18"/>
      <c r="B147" s="19"/>
      <c r="C147" s="20">
        <v>240429000019</v>
      </c>
      <c r="D147" s="21">
        <v>45416</v>
      </c>
      <c r="E147" s="21" t="s">
        <v>47</v>
      </c>
      <c r="F147" s="19" t="s">
        <v>48</v>
      </c>
      <c r="G147" s="19" t="s">
        <v>184</v>
      </c>
      <c r="H147" s="19">
        <v>254</v>
      </c>
      <c r="I147" s="41">
        <v>13712</v>
      </c>
      <c r="J147" s="42"/>
      <c r="K147" s="43"/>
      <c r="L147" s="42"/>
      <c r="M147" s="44"/>
      <c r="N147" s="45"/>
      <c r="O147" s="46">
        <f t="shared" si="85"/>
        <v>13712</v>
      </c>
      <c r="P147" s="51"/>
      <c r="Q147" s="51"/>
      <c r="R147" s="73">
        <f t="shared" si="78"/>
        <v>10266.9657064472</v>
      </c>
      <c r="S147" s="73"/>
      <c r="T147" s="88">
        <f t="shared" si="79"/>
        <v>12.2528577960677</v>
      </c>
      <c r="U147" s="73"/>
      <c r="V147" s="73"/>
      <c r="W147" s="73">
        <f t="shared" si="74"/>
        <v>10279.2185642433</v>
      </c>
      <c r="X147" s="75">
        <f t="shared" si="80"/>
        <v>175.465569272977</v>
      </c>
      <c r="Y147" s="75">
        <v>34.62</v>
      </c>
      <c r="Z147" s="75"/>
      <c r="AA147" s="75">
        <f t="shared" si="75"/>
        <v>210.085569272977</v>
      </c>
      <c r="AB147" s="84">
        <v>7.22</v>
      </c>
      <c r="AC147" s="73">
        <f t="shared" si="71"/>
        <v>1516.81781015089</v>
      </c>
      <c r="AD147" s="73">
        <f t="shared" si="70"/>
        <v>11796.0363743941</v>
      </c>
      <c r="AE147" s="73">
        <f t="shared" si="73"/>
        <v>1915.96362560585</v>
      </c>
    </row>
    <row r="148" customFormat="1" spans="1:31">
      <c r="A148" s="18"/>
      <c r="B148" s="19"/>
      <c r="C148" s="20">
        <v>240429000021</v>
      </c>
      <c r="D148" s="21">
        <v>45416</v>
      </c>
      <c r="E148" s="21" t="s">
        <v>47</v>
      </c>
      <c r="F148" s="19" t="s">
        <v>48</v>
      </c>
      <c r="G148" s="19" t="s">
        <v>135</v>
      </c>
      <c r="H148" s="19">
        <v>43</v>
      </c>
      <c r="I148" s="46"/>
      <c r="J148" s="48">
        <v>503636.8</v>
      </c>
      <c r="K148" s="43"/>
      <c r="L148" s="49">
        <f>SUM(J148/M148)</f>
        <v>1520</v>
      </c>
      <c r="M148" s="50">
        <v>331.34</v>
      </c>
      <c r="N148" s="45">
        <v>7.22</v>
      </c>
      <c r="O148" s="46">
        <f t="shared" si="84"/>
        <v>2392.2748</v>
      </c>
      <c r="P148" s="51"/>
      <c r="Q148" s="51"/>
      <c r="R148" s="73">
        <f t="shared" si="78"/>
        <v>1738.10836762689</v>
      </c>
      <c r="S148" s="73"/>
      <c r="T148" s="88">
        <f t="shared" si="79"/>
        <v>2.07430269775949</v>
      </c>
      <c r="U148" s="73"/>
      <c r="V148" s="73"/>
      <c r="W148" s="73">
        <f t="shared" si="74"/>
        <v>1740.18267032465</v>
      </c>
      <c r="X148" s="75">
        <f t="shared" si="80"/>
        <v>29.7048010973937</v>
      </c>
      <c r="Y148" s="75"/>
      <c r="Z148" s="75"/>
      <c r="AA148" s="75">
        <f t="shared" si="75"/>
        <v>29.7048010973937</v>
      </c>
      <c r="AB148" s="84">
        <v>7.22</v>
      </c>
      <c r="AC148" s="73">
        <f t="shared" si="71"/>
        <v>214.468663923182</v>
      </c>
      <c r="AD148" s="73">
        <f t="shared" si="70"/>
        <v>1954.65133424783</v>
      </c>
      <c r="AE148" s="73">
        <f t="shared" si="73"/>
        <v>437.623465752172</v>
      </c>
    </row>
    <row r="149" customFormat="1" spans="1:31">
      <c r="A149" s="18"/>
      <c r="B149" s="19"/>
      <c r="C149" s="20">
        <v>240429000026</v>
      </c>
      <c r="D149" s="21">
        <v>45416</v>
      </c>
      <c r="E149" s="21" t="s">
        <v>47</v>
      </c>
      <c r="F149" s="19" t="s">
        <v>48</v>
      </c>
      <c r="G149" s="19" t="s">
        <v>121</v>
      </c>
      <c r="H149" s="19">
        <v>7</v>
      </c>
      <c r="I149" s="46"/>
      <c r="J149" s="42"/>
      <c r="K149" s="54">
        <v>54.8</v>
      </c>
      <c r="L149" s="48"/>
      <c r="M149" s="50">
        <v>54.8</v>
      </c>
      <c r="N149" s="45">
        <v>7.22</v>
      </c>
      <c r="O149" s="46">
        <f t="shared" si="84"/>
        <v>395.656</v>
      </c>
      <c r="P149" s="51"/>
      <c r="Q149" s="51"/>
      <c r="R149" s="73">
        <f t="shared" si="78"/>
        <v>282.947873799726</v>
      </c>
      <c r="S149" s="73"/>
      <c r="T149" s="88">
        <f t="shared" si="79"/>
        <v>0.337677183356196</v>
      </c>
      <c r="U149" s="73"/>
      <c r="V149" s="73"/>
      <c r="W149" s="73">
        <f t="shared" si="74"/>
        <v>283.285550983082</v>
      </c>
      <c r="X149" s="75">
        <f t="shared" si="80"/>
        <v>4.83566529492455</v>
      </c>
      <c r="Y149" s="75"/>
      <c r="Z149" s="75"/>
      <c r="AA149" s="75">
        <f t="shared" si="75"/>
        <v>4.83566529492455</v>
      </c>
      <c r="AB149" s="84">
        <v>7.22</v>
      </c>
      <c r="AC149" s="73">
        <f t="shared" si="71"/>
        <v>34.9135034293553</v>
      </c>
      <c r="AD149" s="73">
        <f t="shared" si="70"/>
        <v>318.199054412437</v>
      </c>
      <c r="AE149" s="73">
        <f t="shared" si="73"/>
        <v>77.4569455875629</v>
      </c>
    </row>
    <row r="150" customFormat="1" spans="1:31">
      <c r="A150" s="18"/>
      <c r="B150" s="19"/>
      <c r="C150" s="20">
        <v>240429000027</v>
      </c>
      <c r="D150" s="21">
        <v>45416</v>
      </c>
      <c r="E150" s="21" t="s">
        <v>64</v>
      </c>
      <c r="F150" s="19" t="s">
        <v>65</v>
      </c>
      <c r="G150" s="19" t="s">
        <v>66</v>
      </c>
      <c r="H150" s="19">
        <v>1.5</v>
      </c>
      <c r="I150" s="41">
        <v>115</v>
      </c>
      <c r="J150" s="42"/>
      <c r="K150" s="43"/>
      <c r="L150" s="42"/>
      <c r="M150" s="44"/>
      <c r="N150" s="45"/>
      <c r="O150" s="46">
        <f t="shared" ref="O150:O154" si="86">SUM(I150)</f>
        <v>115</v>
      </c>
      <c r="P150" s="51"/>
      <c r="Q150" s="51"/>
      <c r="R150" s="73">
        <f t="shared" si="78"/>
        <v>60.6316872427983</v>
      </c>
      <c r="S150" s="73"/>
      <c r="T150" s="88">
        <f t="shared" si="79"/>
        <v>0.0723593964334705</v>
      </c>
      <c r="U150" s="73"/>
      <c r="V150" s="73"/>
      <c r="W150" s="73">
        <f t="shared" si="74"/>
        <v>60.7040466392318</v>
      </c>
      <c r="X150" s="75">
        <f t="shared" si="80"/>
        <v>1.03621399176955</v>
      </c>
      <c r="Y150" s="75"/>
      <c r="Z150" s="75"/>
      <c r="AA150" s="75">
        <f t="shared" si="75"/>
        <v>1.03621399176955</v>
      </c>
      <c r="AB150" s="84">
        <v>7.22</v>
      </c>
      <c r="AC150" s="73">
        <f t="shared" si="71"/>
        <v>7.48146502057613</v>
      </c>
      <c r="AD150" s="73">
        <f t="shared" si="70"/>
        <v>68.1855116598079</v>
      </c>
      <c r="AE150" s="73">
        <f t="shared" si="73"/>
        <v>46.8144883401921</v>
      </c>
    </row>
    <row r="151" customFormat="1" spans="1:31">
      <c r="A151" s="18"/>
      <c r="B151" s="19"/>
      <c r="C151" s="20">
        <v>240429000028</v>
      </c>
      <c r="D151" s="21">
        <v>45416</v>
      </c>
      <c r="E151" s="21" t="s">
        <v>64</v>
      </c>
      <c r="F151" s="19" t="s">
        <v>65</v>
      </c>
      <c r="G151" s="19" t="s">
        <v>185</v>
      </c>
      <c r="H151" s="19">
        <v>0.78</v>
      </c>
      <c r="I151" s="41">
        <v>76</v>
      </c>
      <c r="J151" s="42"/>
      <c r="K151" s="43"/>
      <c r="L151" s="42"/>
      <c r="M151" s="44"/>
      <c r="N151" s="45"/>
      <c r="O151" s="46">
        <f t="shared" si="86"/>
        <v>76</v>
      </c>
      <c r="P151" s="51"/>
      <c r="Q151" s="51"/>
      <c r="R151" s="73">
        <f t="shared" si="78"/>
        <v>31.5284773662551</v>
      </c>
      <c r="S151" s="73"/>
      <c r="T151" s="88">
        <f t="shared" si="79"/>
        <v>0.0376268861454047</v>
      </c>
      <c r="U151" s="73"/>
      <c r="V151" s="73"/>
      <c r="W151" s="73">
        <f t="shared" si="74"/>
        <v>31.5661042524005</v>
      </c>
      <c r="X151" s="75">
        <f t="shared" si="80"/>
        <v>0.538831275720165</v>
      </c>
      <c r="Y151" s="75"/>
      <c r="Z151" s="75"/>
      <c r="AA151" s="75">
        <f t="shared" si="75"/>
        <v>0.538831275720165</v>
      </c>
      <c r="AB151" s="84">
        <v>7.22</v>
      </c>
      <c r="AC151" s="73">
        <f t="shared" si="71"/>
        <v>3.89036181069959</v>
      </c>
      <c r="AD151" s="73">
        <f t="shared" si="70"/>
        <v>35.4564660631001</v>
      </c>
      <c r="AE151" s="73">
        <f t="shared" si="73"/>
        <v>40.5435339368999</v>
      </c>
    </row>
    <row r="152" customFormat="1" spans="1:31">
      <c r="A152" s="18"/>
      <c r="B152" s="19"/>
      <c r="C152" s="20">
        <v>240430000003</v>
      </c>
      <c r="D152" s="21">
        <v>45416</v>
      </c>
      <c r="E152" s="21" t="s">
        <v>47</v>
      </c>
      <c r="F152" s="19" t="s">
        <v>48</v>
      </c>
      <c r="G152" s="19" t="s">
        <v>186</v>
      </c>
      <c r="H152" s="19">
        <v>3.5</v>
      </c>
      <c r="I152" s="41">
        <v>227</v>
      </c>
      <c r="J152" s="42"/>
      <c r="K152" s="43"/>
      <c r="L152" s="42"/>
      <c r="M152" s="44"/>
      <c r="N152" s="45"/>
      <c r="O152" s="46">
        <f t="shared" si="86"/>
        <v>227</v>
      </c>
      <c r="P152" s="51"/>
      <c r="Q152" s="51"/>
      <c r="R152" s="73">
        <f t="shared" si="78"/>
        <v>141.473936899863</v>
      </c>
      <c r="S152" s="73"/>
      <c r="T152" s="88">
        <f t="shared" si="79"/>
        <v>0.168838591678098</v>
      </c>
      <c r="U152" s="73"/>
      <c r="V152" s="73"/>
      <c r="W152" s="73">
        <f t="shared" si="74"/>
        <v>141.642775491541</v>
      </c>
      <c r="X152" s="75">
        <f t="shared" si="80"/>
        <v>2.41783264746228</v>
      </c>
      <c r="Y152" s="75"/>
      <c r="Z152" s="75"/>
      <c r="AA152" s="75">
        <f t="shared" si="75"/>
        <v>2.41783264746228</v>
      </c>
      <c r="AB152" s="84">
        <v>7.22</v>
      </c>
      <c r="AC152" s="73">
        <f t="shared" si="71"/>
        <v>17.4567517146776</v>
      </c>
      <c r="AD152" s="73">
        <f t="shared" si="70"/>
        <v>159.099527206219</v>
      </c>
      <c r="AE152" s="73">
        <f t="shared" si="73"/>
        <v>67.9004727937814</v>
      </c>
    </row>
    <row r="153" customFormat="1" spans="1:31">
      <c r="A153" s="18"/>
      <c r="B153" s="19"/>
      <c r="C153" s="22">
        <v>240430000007</v>
      </c>
      <c r="D153" s="23">
        <v>45416</v>
      </c>
      <c r="E153" s="21" t="s">
        <v>41</v>
      </c>
      <c r="F153" s="24" t="s">
        <v>42</v>
      </c>
      <c r="G153" s="24" t="s">
        <v>147</v>
      </c>
      <c r="H153" s="24">
        <v>19</v>
      </c>
      <c r="I153" s="41">
        <v>1007</v>
      </c>
      <c r="J153" s="42"/>
      <c r="K153" s="43"/>
      <c r="L153" s="42"/>
      <c r="M153" s="44"/>
      <c r="N153" s="45"/>
      <c r="O153" s="46">
        <f t="shared" si="86"/>
        <v>1007</v>
      </c>
      <c r="P153" s="51"/>
      <c r="Q153" s="51"/>
      <c r="R153" s="73">
        <f t="shared" si="78"/>
        <v>768.001371742112</v>
      </c>
      <c r="S153" s="73"/>
      <c r="T153" s="88">
        <f t="shared" si="79"/>
        <v>0.91655235482396</v>
      </c>
      <c r="U153" s="73"/>
      <c r="V153" s="73"/>
      <c r="W153" s="73">
        <f t="shared" si="74"/>
        <v>768.917924096936</v>
      </c>
      <c r="X153" s="75">
        <f t="shared" si="80"/>
        <v>13.1253772290809</v>
      </c>
      <c r="Y153" s="75"/>
      <c r="Z153" s="75"/>
      <c r="AA153" s="75">
        <f t="shared" si="75"/>
        <v>13.1253772290809</v>
      </c>
      <c r="AB153" s="84">
        <v>7.22</v>
      </c>
      <c r="AC153" s="73">
        <f t="shared" si="71"/>
        <v>94.7652235939643</v>
      </c>
      <c r="AD153" s="73">
        <f t="shared" si="70"/>
        <v>863.683147690901</v>
      </c>
      <c r="AE153" s="73">
        <f t="shared" si="73"/>
        <v>143.316852309099</v>
      </c>
    </row>
    <row r="154" customFormat="1" spans="1:31">
      <c r="A154" s="18"/>
      <c r="B154" s="19"/>
      <c r="C154" s="20">
        <v>240430000012</v>
      </c>
      <c r="D154" s="21">
        <v>45416</v>
      </c>
      <c r="E154" s="21" t="s">
        <v>44</v>
      </c>
      <c r="F154" s="19" t="s">
        <v>45</v>
      </c>
      <c r="G154" s="19" t="s">
        <v>187</v>
      </c>
      <c r="H154" s="19">
        <v>1.5</v>
      </c>
      <c r="I154" s="41">
        <v>175</v>
      </c>
      <c r="J154" s="42"/>
      <c r="K154" s="43"/>
      <c r="L154" s="42"/>
      <c r="M154" s="44"/>
      <c r="N154" s="45"/>
      <c r="O154" s="46">
        <f t="shared" si="86"/>
        <v>175</v>
      </c>
      <c r="P154" s="51"/>
      <c r="Q154" s="51"/>
      <c r="R154" s="73">
        <f t="shared" si="78"/>
        <v>60.6316872427983</v>
      </c>
      <c r="S154" s="73"/>
      <c r="T154" s="88">
        <f t="shared" si="79"/>
        <v>0.0723593964334705</v>
      </c>
      <c r="U154" s="73"/>
      <c r="V154" s="73"/>
      <c r="W154" s="73">
        <f t="shared" si="74"/>
        <v>60.7040466392318</v>
      </c>
      <c r="X154" s="75">
        <f t="shared" si="80"/>
        <v>1.03621399176955</v>
      </c>
      <c r="Y154" s="75">
        <v>11.75</v>
      </c>
      <c r="Z154" s="75"/>
      <c r="AA154" s="75">
        <f t="shared" si="75"/>
        <v>12.7862139917695</v>
      </c>
      <c r="AB154" s="84">
        <v>7.22</v>
      </c>
      <c r="AC154" s="73">
        <f t="shared" si="71"/>
        <v>92.3164650205761</v>
      </c>
      <c r="AD154" s="73">
        <f t="shared" si="70"/>
        <v>153.020511659808</v>
      </c>
      <c r="AE154" s="73">
        <f t="shared" si="73"/>
        <v>21.9794883401921</v>
      </c>
    </row>
    <row r="155" customFormat="1" spans="1:31">
      <c r="A155" s="18"/>
      <c r="B155" s="19"/>
      <c r="C155" s="20">
        <v>240430000013</v>
      </c>
      <c r="D155" s="21">
        <v>45416</v>
      </c>
      <c r="E155" s="21" t="s">
        <v>54</v>
      </c>
      <c r="F155" s="19" t="s">
        <v>54</v>
      </c>
      <c r="G155" s="19" t="s">
        <v>188</v>
      </c>
      <c r="H155" s="19">
        <v>53.5</v>
      </c>
      <c r="I155" s="46"/>
      <c r="J155" s="48">
        <v>591282</v>
      </c>
      <c r="K155" s="43"/>
      <c r="L155" s="49">
        <f t="shared" ref="L155:L159" si="87">SUM(J155/M155)</f>
        <v>1489.00025182574</v>
      </c>
      <c r="M155" s="50">
        <v>397.1</v>
      </c>
      <c r="N155" s="45">
        <v>7.22</v>
      </c>
      <c r="O155" s="46">
        <f t="shared" ref="O155:O159" si="88">SUM(M155*N155)</f>
        <v>2867.062</v>
      </c>
      <c r="P155" s="51"/>
      <c r="Q155" s="51"/>
      <c r="R155" s="73">
        <f t="shared" si="78"/>
        <v>2162.53017832647</v>
      </c>
      <c r="S155" s="73"/>
      <c r="T155" s="88">
        <f t="shared" si="79"/>
        <v>2.58081847279378</v>
      </c>
      <c r="U155" s="73"/>
      <c r="V155" s="73"/>
      <c r="W155" s="73">
        <f t="shared" si="74"/>
        <v>2165.11099679927</v>
      </c>
      <c r="X155" s="75">
        <f t="shared" si="80"/>
        <v>36.9582990397805</v>
      </c>
      <c r="Y155" s="75"/>
      <c r="Z155" s="75"/>
      <c r="AA155" s="75">
        <f t="shared" si="75"/>
        <v>36.9582990397805</v>
      </c>
      <c r="AB155" s="84">
        <v>7.22</v>
      </c>
      <c r="AC155" s="73">
        <f t="shared" si="71"/>
        <v>266.838919067215</v>
      </c>
      <c r="AD155" s="73">
        <f t="shared" si="70"/>
        <v>2431.94991586648</v>
      </c>
      <c r="AE155" s="73">
        <f t="shared" si="73"/>
        <v>435.112084133516</v>
      </c>
    </row>
    <row r="156" customFormat="1" spans="1:31">
      <c r="A156" s="18"/>
      <c r="B156" s="19"/>
      <c r="C156" s="20">
        <v>240430000017</v>
      </c>
      <c r="D156" s="21">
        <v>45416</v>
      </c>
      <c r="E156" s="21" t="s">
        <v>41</v>
      </c>
      <c r="F156" s="19" t="s">
        <v>42</v>
      </c>
      <c r="G156" s="19" t="s">
        <v>141</v>
      </c>
      <c r="H156" s="19">
        <v>7.5</v>
      </c>
      <c r="I156" s="52"/>
      <c r="J156" s="48">
        <v>88305</v>
      </c>
      <c r="K156" s="43"/>
      <c r="L156" s="49">
        <f t="shared" si="87"/>
        <v>1465.88645418327</v>
      </c>
      <c r="M156" s="50">
        <v>60.24</v>
      </c>
      <c r="N156" s="45">
        <v>7.22</v>
      </c>
      <c r="O156" s="46">
        <f t="shared" si="88"/>
        <v>434.9328</v>
      </c>
      <c r="P156" s="51"/>
      <c r="Q156" s="51"/>
      <c r="R156" s="73">
        <f t="shared" si="78"/>
        <v>303.158436213992</v>
      </c>
      <c r="S156" s="73"/>
      <c r="T156" s="88">
        <f t="shared" si="79"/>
        <v>0.361796982167353</v>
      </c>
      <c r="U156" s="73"/>
      <c r="V156" s="73"/>
      <c r="W156" s="73">
        <f t="shared" si="74"/>
        <v>303.520233196159</v>
      </c>
      <c r="X156" s="75">
        <f t="shared" si="80"/>
        <v>5.18106995884774</v>
      </c>
      <c r="Y156" s="75"/>
      <c r="Z156" s="75"/>
      <c r="AA156" s="75">
        <f t="shared" si="75"/>
        <v>5.18106995884774</v>
      </c>
      <c r="AB156" s="84">
        <v>7.22</v>
      </c>
      <c r="AC156" s="73">
        <f t="shared" si="71"/>
        <v>37.4073251028807</v>
      </c>
      <c r="AD156" s="73">
        <f t="shared" si="70"/>
        <v>340.92755829904</v>
      </c>
      <c r="AE156" s="73">
        <f t="shared" si="73"/>
        <v>94.0052417009603</v>
      </c>
    </row>
    <row r="157" customFormat="1" spans="1:31">
      <c r="A157" s="18"/>
      <c r="B157" s="19"/>
      <c r="C157" s="20">
        <v>240430000019</v>
      </c>
      <c r="D157" s="21">
        <v>45416</v>
      </c>
      <c r="E157" s="21" t="s">
        <v>47</v>
      </c>
      <c r="F157" s="19" t="s">
        <v>48</v>
      </c>
      <c r="G157" s="19" t="s">
        <v>121</v>
      </c>
      <c r="H157" s="19">
        <v>21</v>
      </c>
      <c r="I157" s="46"/>
      <c r="J157" s="42"/>
      <c r="K157" s="54">
        <v>156.6</v>
      </c>
      <c r="L157" s="48"/>
      <c r="M157" s="50">
        <v>156.6</v>
      </c>
      <c r="N157" s="45">
        <v>7.22</v>
      </c>
      <c r="O157" s="46">
        <f t="shared" si="88"/>
        <v>1130.652</v>
      </c>
      <c r="P157" s="51"/>
      <c r="Q157" s="51"/>
      <c r="R157" s="73">
        <f t="shared" si="78"/>
        <v>848.843621399177</v>
      </c>
      <c r="S157" s="73"/>
      <c r="T157" s="88">
        <f t="shared" si="79"/>
        <v>1.01303155006859</v>
      </c>
      <c r="U157" s="73"/>
      <c r="V157" s="73"/>
      <c r="W157" s="73">
        <f t="shared" si="74"/>
        <v>849.856652949246</v>
      </c>
      <c r="X157" s="75">
        <f t="shared" si="80"/>
        <v>14.5069958847737</v>
      </c>
      <c r="Y157" s="75"/>
      <c r="Z157" s="75"/>
      <c r="AA157" s="75">
        <f t="shared" si="75"/>
        <v>14.5069958847737</v>
      </c>
      <c r="AB157" s="84">
        <v>7.22</v>
      </c>
      <c r="AC157" s="73">
        <f t="shared" si="71"/>
        <v>104.740510288066</v>
      </c>
      <c r="AD157" s="73">
        <f t="shared" si="70"/>
        <v>954.597163237311</v>
      </c>
      <c r="AE157" s="73">
        <f t="shared" si="73"/>
        <v>176.054836762689</v>
      </c>
    </row>
    <row r="158" customFormat="1" spans="1:31">
      <c r="A158" s="18"/>
      <c r="B158" s="19"/>
      <c r="C158" s="20">
        <v>240430000020</v>
      </c>
      <c r="D158" s="21">
        <v>45416</v>
      </c>
      <c r="E158" s="21" t="s">
        <v>41</v>
      </c>
      <c r="F158" s="19" t="s">
        <v>42</v>
      </c>
      <c r="G158" s="19" t="s">
        <v>147</v>
      </c>
      <c r="H158" s="19">
        <v>14.5</v>
      </c>
      <c r="I158" s="52"/>
      <c r="J158" s="48">
        <v>165227.5</v>
      </c>
      <c r="K158" s="43"/>
      <c r="L158" s="49">
        <f t="shared" si="87"/>
        <v>1552.30646373544</v>
      </c>
      <c r="M158" s="50">
        <v>106.44</v>
      </c>
      <c r="N158" s="45">
        <v>7.22</v>
      </c>
      <c r="O158" s="46">
        <f t="shared" si="88"/>
        <v>768.4968</v>
      </c>
      <c r="P158" s="51"/>
      <c r="Q158" s="51"/>
      <c r="R158" s="73">
        <f t="shared" si="78"/>
        <v>586.106310013717</v>
      </c>
      <c r="S158" s="73"/>
      <c r="T158" s="88">
        <f t="shared" si="79"/>
        <v>0.699474165523548</v>
      </c>
      <c r="U158" s="73"/>
      <c r="V158" s="73"/>
      <c r="W158" s="73">
        <f t="shared" si="74"/>
        <v>586.805784179241</v>
      </c>
      <c r="X158" s="75">
        <f t="shared" si="80"/>
        <v>10.0167352537723</v>
      </c>
      <c r="Y158" s="75"/>
      <c r="Z158" s="75"/>
      <c r="AA158" s="75">
        <f t="shared" si="75"/>
        <v>10.0167352537723</v>
      </c>
      <c r="AB158" s="84">
        <v>7.22</v>
      </c>
      <c r="AC158" s="73">
        <f t="shared" si="71"/>
        <v>72.3208285322359</v>
      </c>
      <c r="AD158" s="73">
        <f t="shared" si="70"/>
        <v>659.126612711477</v>
      </c>
      <c r="AE158" s="73">
        <f t="shared" si="73"/>
        <v>109.370187288523</v>
      </c>
    </row>
    <row r="159" customFormat="1" spans="1:31">
      <c r="A159" s="18"/>
      <c r="B159" s="19"/>
      <c r="C159" s="20">
        <v>240430000022</v>
      </c>
      <c r="D159" s="21">
        <v>45416</v>
      </c>
      <c r="E159" s="21" t="s">
        <v>44</v>
      </c>
      <c r="F159" s="19" t="s">
        <v>45</v>
      </c>
      <c r="G159" s="19" t="s">
        <v>189</v>
      </c>
      <c r="H159" s="19">
        <v>2</v>
      </c>
      <c r="I159" s="52"/>
      <c r="J159" s="48">
        <v>25942</v>
      </c>
      <c r="K159" s="43"/>
      <c r="L159" s="49">
        <f t="shared" si="87"/>
        <v>1574.15048543689</v>
      </c>
      <c r="M159" s="50">
        <v>16.48</v>
      </c>
      <c r="N159" s="45">
        <v>7.22</v>
      </c>
      <c r="O159" s="46">
        <f t="shared" si="88"/>
        <v>118.9856</v>
      </c>
      <c r="P159" s="51"/>
      <c r="Q159" s="51"/>
      <c r="R159" s="73">
        <f t="shared" si="78"/>
        <v>80.8422496570645</v>
      </c>
      <c r="S159" s="73"/>
      <c r="T159" s="88">
        <f t="shared" si="79"/>
        <v>0.0964791952446273</v>
      </c>
      <c r="U159" s="73"/>
      <c r="V159" s="73"/>
      <c r="W159" s="73">
        <f t="shared" si="74"/>
        <v>80.9387288523091</v>
      </c>
      <c r="X159" s="75">
        <f t="shared" si="80"/>
        <v>1.38161865569273</v>
      </c>
      <c r="Y159" s="75"/>
      <c r="Z159" s="75"/>
      <c r="AA159" s="75">
        <f t="shared" si="75"/>
        <v>1.38161865569273</v>
      </c>
      <c r="AB159" s="84">
        <v>7.22</v>
      </c>
      <c r="AC159" s="73">
        <f t="shared" si="71"/>
        <v>9.97528669410151</v>
      </c>
      <c r="AD159" s="73">
        <f t="shared" si="70"/>
        <v>90.9140155464106</v>
      </c>
      <c r="AE159" s="73">
        <f t="shared" si="73"/>
        <v>28.0715844535894</v>
      </c>
    </row>
    <row r="160" customFormat="1" spans="1:31">
      <c r="A160" s="18"/>
      <c r="B160" s="19"/>
      <c r="C160" s="20">
        <v>240430000029</v>
      </c>
      <c r="D160" s="21">
        <v>45416</v>
      </c>
      <c r="E160" s="21" t="s">
        <v>37</v>
      </c>
      <c r="F160" s="19" t="s">
        <v>38</v>
      </c>
      <c r="G160" s="19" t="s">
        <v>143</v>
      </c>
      <c r="H160" s="19">
        <v>0.86</v>
      </c>
      <c r="I160" s="41">
        <v>61</v>
      </c>
      <c r="J160" s="42"/>
      <c r="K160" s="43"/>
      <c r="L160" s="42"/>
      <c r="M160" s="44"/>
      <c r="N160" s="45"/>
      <c r="O160" s="46">
        <f t="shared" ref="O160:O165" si="89">SUM(I160)</f>
        <v>61</v>
      </c>
      <c r="P160" s="51"/>
      <c r="Q160" s="51"/>
      <c r="R160" s="73">
        <f t="shared" si="78"/>
        <v>34.7621673525377</v>
      </c>
      <c r="S160" s="73"/>
      <c r="T160" s="88">
        <f t="shared" si="79"/>
        <v>0.0414860539551898</v>
      </c>
      <c r="U160" s="73"/>
      <c r="V160" s="73"/>
      <c r="W160" s="73">
        <f t="shared" si="74"/>
        <v>34.8036534064929</v>
      </c>
      <c r="X160" s="75">
        <f t="shared" si="80"/>
        <v>0.594096021947874</v>
      </c>
      <c r="Y160" s="75"/>
      <c r="Z160" s="75"/>
      <c r="AA160" s="75">
        <f t="shared" si="75"/>
        <v>0.594096021947874</v>
      </c>
      <c r="AB160" s="84">
        <v>7.22</v>
      </c>
      <c r="AC160" s="73">
        <f t="shared" si="71"/>
        <v>4.28937327846365</v>
      </c>
      <c r="AD160" s="73">
        <f t="shared" si="70"/>
        <v>39.0930266849566</v>
      </c>
      <c r="AE160" s="73">
        <f t="shared" si="73"/>
        <v>21.9069733150434</v>
      </c>
    </row>
    <row r="161" customFormat="1" spans="1:31">
      <c r="A161" s="18"/>
      <c r="B161" s="19"/>
      <c r="C161" s="20">
        <v>240430000031</v>
      </c>
      <c r="D161" s="21">
        <v>45416</v>
      </c>
      <c r="E161" s="21" t="s">
        <v>41</v>
      </c>
      <c r="F161" s="19" t="s">
        <v>42</v>
      </c>
      <c r="G161" s="19" t="s">
        <v>181</v>
      </c>
      <c r="H161" s="19">
        <v>1.5</v>
      </c>
      <c r="I161" s="41">
        <v>87</v>
      </c>
      <c r="J161" s="42"/>
      <c r="K161" s="43"/>
      <c r="L161" s="42"/>
      <c r="M161" s="44"/>
      <c r="N161" s="45"/>
      <c r="O161" s="46">
        <f t="shared" si="89"/>
        <v>87</v>
      </c>
      <c r="P161" s="51"/>
      <c r="Q161" s="51"/>
      <c r="R161" s="73">
        <f t="shared" si="78"/>
        <v>60.6316872427983</v>
      </c>
      <c r="S161" s="73"/>
      <c r="T161" s="88">
        <f t="shared" si="79"/>
        <v>0.0723593964334705</v>
      </c>
      <c r="U161" s="73"/>
      <c r="V161" s="73"/>
      <c r="W161" s="73">
        <f t="shared" si="74"/>
        <v>60.7040466392318</v>
      </c>
      <c r="X161" s="75">
        <f t="shared" si="80"/>
        <v>1.03621399176955</v>
      </c>
      <c r="Y161" s="75"/>
      <c r="Z161" s="75"/>
      <c r="AA161" s="75">
        <f t="shared" si="75"/>
        <v>1.03621399176955</v>
      </c>
      <c r="AB161" s="84">
        <v>7.22</v>
      </c>
      <c r="AC161" s="73">
        <f t="shared" si="71"/>
        <v>7.48146502057613</v>
      </c>
      <c r="AD161" s="73">
        <f t="shared" si="70"/>
        <v>68.1855116598079</v>
      </c>
      <c r="AE161" s="73">
        <f t="shared" si="73"/>
        <v>18.8144883401921</v>
      </c>
    </row>
    <row r="162" customFormat="1" spans="1:31">
      <c r="A162" s="18"/>
      <c r="B162" s="19"/>
      <c r="C162" s="20">
        <v>240430000032</v>
      </c>
      <c r="D162" s="21">
        <v>45416</v>
      </c>
      <c r="E162" s="21" t="s">
        <v>41</v>
      </c>
      <c r="F162" s="19" t="s">
        <v>42</v>
      </c>
      <c r="G162" s="19" t="s">
        <v>190</v>
      </c>
      <c r="H162" s="19">
        <v>1.5</v>
      </c>
      <c r="I162" s="41">
        <v>90</v>
      </c>
      <c r="J162" s="42"/>
      <c r="K162" s="43"/>
      <c r="L162" s="42"/>
      <c r="M162" s="44"/>
      <c r="N162" s="45"/>
      <c r="O162" s="46">
        <f t="shared" si="89"/>
        <v>90</v>
      </c>
      <c r="P162" s="51"/>
      <c r="Q162" s="51"/>
      <c r="R162" s="73">
        <f t="shared" si="78"/>
        <v>60.6316872427983</v>
      </c>
      <c r="S162" s="73"/>
      <c r="T162" s="88">
        <f t="shared" si="79"/>
        <v>0.0723593964334705</v>
      </c>
      <c r="U162" s="73"/>
      <c r="V162" s="73"/>
      <c r="W162" s="73">
        <f t="shared" si="74"/>
        <v>60.7040466392318</v>
      </c>
      <c r="X162" s="75">
        <f t="shared" si="80"/>
        <v>1.03621399176955</v>
      </c>
      <c r="Y162" s="75"/>
      <c r="Z162" s="75"/>
      <c r="AA162" s="75">
        <f t="shared" si="75"/>
        <v>1.03621399176955</v>
      </c>
      <c r="AB162" s="84">
        <v>7.22</v>
      </c>
      <c r="AC162" s="73">
        <f t="shared" si="71"/>
        <v>7.48146502057613</v>
      </c>
      <c r="AD162" s="73">
        <f t="shared" si="70"/>
        <v>68.1855116598079</v>
      </c>
      <c r="AE162" s="73">
        <f t="shared" si="73"/>
        <v>21.8144883401921</v>
      </c>
    </row>
    <row r="163" customFormat="1" spans="1:31">
      <c r="A163" s="18"/>
      <c r="B163" s="19"/>
      <c r="C163" s="20">
        <v>240430000035</v>
      </c>
      <c r="D163" s="21">
        <v>45416</v>
      </c>
      <c r="E163" s="21" t="s">
        <v>37</v>
      </c>
      <c r="F163" s="19" t="s">
        <v>38</v>
      </c>
      <c r="G163" s="19" t="s">
        <v>143</v>
      </c>
      <c r="H163" s="19">
        <v>0.36</v>
      </c>
      <c r="I163" s="41">
        <v>61</v>
      </c>
      <c r="J163" s="42"/>
      <c r="K163" s="43"/>
      <c r="L163" s="42"/>
      <c r="M163" s="44"/>
      <c r="N163" s="45"/>
      <c r="O163" s="46">
        <f t="shared" si="89"/>
        <v>61</v>
      </c>
      <c r="P163" s="51"/>
      <c r="Q163" s="51"/>
      <c r="R163" s="73">
        <f t="shared" si="78"/>
        <v>14.5516049382716</v>
      </c>
      <c r="S163" s="73"/>
      <c r="T163" s="88">
        <f t="shared" si="79"/>
        <v>0.0173662551440329</v>
      </c>
      <c r="U163" s="73"/>
      <c r="V163" s="73"/>
      <c r="W163" s="73">
        <f t="shared" si="74"/>
        <v>14.5689711934156</v>
      </c>
      <c r="X163" s="75">
        <f t="shared" si="80"/>
        <v>0.248691358024691</v>
      </c>
      <c r="Y163" s="75"/>
      <c r="Z163" s="75"/>
      <c r="AA163" s="75">
        <f t="shared" si="75"/>
        <v>0.248691358024691</v>
      </c>
      <c r="AB163" s="84">
        <v>7.22</v>
      </c>
      <c r="AC163" s="73">
        <f t="shared" si="71"/>
        <v>1.79555160493827</v>
      </c>
      <c r="AD163" s="73">
        <f t="shared" si="70"/>
        <v>16.3645227983539</v>
      </c>
      <c r="AE163" s="73">
        <f t="shared" si="73"/>
        <v>44.6354772016461</v>
      </c>
    </row>
    <row r="164" customFormat="1" spans="1:31">
      <c r="A164" s="18"/>
      <c r="B164" s="19"/>
      <c r="C164" s="20">
        <v>240430000036</v>
      </c>
      <c r="D164" s="21">
        <v>45416</v>
      </c>
      <c r="E164" s="21" t="s">
        <v>37</v>
      </c>
      <c r="F164" s="19" t="s">
        <v>38</v>
      </c>
      <c r="G164" s="19" t="s">
        <v>89</v>
      </c>
      <c r="H164" s="19">
        <v>2</v>
      </c>
      <c r="I164" s="41">
        <v>133</v>
      </c>
      <c r="J164" s="42"/>
      <c r="K164" s="43"/>
      <c r="L164" s="42"/>
      <c r="M164" s="44"/>
      <c r="N164" s="45"/>
      <c r="O164" s="46">
        <f t="shared" si="89"/>
        <v>133</v>
      </c>
      <c r="P164" s="51"/>
      <c r="Q164" s="51"/>
      <c r="R164" s="73">
        <f t="shared" si="78"/>
        <v>80.8422496570645</v>
      </c>
      <c r="S164" s="73"/>
      <c r="T164" s="88">
        <f t="shared" si="79"/>
        <v>0.0964791952446273</v>
      </c>
      <c r="U164" s="73"/>
      <c r="V164" s="73"/>
      <c r="W164" s="73">
        <f t="shared" si="74"/>
        <v>80.9387288523091</v>
      </c>
      <c r="X164" s="75">
        <f t="shared" si="80"/>
        <v>1.38161865569273</v>
      </c>
      <c r="Y164" s="75"/>
      <c r="Z164" s="75"/>
      <c r="AA164" s="75">
        <f t="shared" si="75"/>
        <v>1.38161865569273</v>
      </c>
      <c r="AB164" s="84">
        <v>7.22</v>
      </c>
      <c r="AC164" s="73">
        <f t="shared" si="71"/>
        <v>9.97528669410151</v>
      </c>
      <c r="AD164" s="73">
        <f t="shared" si="70"/>
        <v>90.9140155464106</v>
      </c>
      <c r="AE164" s="73">
        <f t="shared" si="73"/>
        <v>42.0859844535894</v>
      </c>
    </row>
    <row r="165" customFormat="1" spans="1:31">
      <c r="A165" s="18"/>
      <c r="B165" s="19"/>
      <c r="C165" s="20">
        <v>240430000038</v>
      </c>
      <c r="D165" s="21">
        <v>45416</v>
      </c>
      <c r="E165" s="21" t="s">
        <v>54</v>
      </c>
      <c r="F165" s="19" t="s">
        <v>54</v>
      </c>
      <c r="G165" s="19" t="s">
        <v>80</v>
      </c>
      <c r="H165" s="19">
        <v>40.5</v>
      </c>
      <c r="I165" s="41">
        <v>2154.5</v>
      </c>
      <c r="J165" s="42"/>
      <c r="K165" s="43"/>
      <c r="L165" s="42"/>
      <c r="M165" s="44"/>
      <c r="N165" s="45"/>
      <c r="O165" s="46">
        <f t="shared" si="89"/>
        <v>2154.5</v>
      </c>
      <c r="P165" s="53"/>
      <c r="Q165" s="53"/>
      <c r="R165" s="73">
        <f t="shared" si="78"/>
        <v>1637.05555555556</v>
      </c>
      <c r="S165" s="73"/>
      <c r="T165" s="88">
        <f t="shared" si="79"/>
        <v>1.9537037037037</v>
      </c>
      <c r="U165" s="73"/>
      <c r="V165" s="73"/>
      <c r="W165" s="73">
        <f t="shared" si="74"/>
        <v>1639.00925925926</v>
      </c>
      <c r="X165" s="75">
        <f t="shared" si="80"/>
        <v>27.9777777777778</v>
      </c>
      <c r="Y165" s="75"/>
      <c r="Z165" s="75"/>
      <c r="AA165" s="75">
        <f t="shared" si="75"/>
        <v>27.9777777777778</v>
      </c>
      <c r="AB165" s="84">
        <v>7.22</v>
      </c>
      <c r="AC165" s="73">
        <f t="shared" ref="AC165:AC192" si="90">SUM(AA165*AB165)</f>
        <v>201.999555555556</v>
      </c>
      <c r="AD165" s="73">
        <f t="shared" ref="AD165:AD192" si="91">SUM(W165+AC165)</f>
        <v>1841.00881481481</v>
      </c>
      <c r="AE165" s="73">
        <f t="shared" ref="AE165:AE192" si="92">SUM(O165-AD165)</f>
        <v>313.49118518519</v>
      </c>
    </row>
    <row r="166" customFormat="1" spans="1:31">
      <c r="A166" s="18" t="s">
        <v>191</v>
      </c>
      <c r="B166" s="19" t="s">
        <v>192</v>
      </c>
      <c r="C166" s="20">
        <v>240426000030</v>
      </c>
      <c r="D166" s="21">
        <v>45416</v>
      </c>
      <c r="E166" s="21" t="s">
        <v>47</v>
      </c>
      <c r="F166" s="19" t="s">
        <v>48</v>
      </c>
      <c r="G166" s="19" t="s">
        <v>193</v>
      </c>
      <c r="H166" s="19">
        <v>21.5</v>
      </c>
      <c r="I166" s="46"/>
      <c r="J166" s="42"/>
      <c r="K166" s="43"/>
      <c r="L166" s="49" t="e">
        <f>SUM(J166/M166)</f>
        <v>#DIV/0!</v>
      </c>
      <c r="M166" s="50">
        <v>0</v>
      </c>
      <c r="N166" s="89">
        <v>7.22</v>
      </c>
      <c r="O166" s="46">
        <f>SUM(M166*N166)</f>
        <v>0</v>
      </c>
      <c r="P166" s="47">
        <f>SUM(O166:O192)</f>
        <v>72401.68739278</v>
      </c>
      <c r="Q166" s="47" t="s">
        <v>59</v>
      </c>
      <c r="R166" s="73">
        <f>SUM(61167.7/1327)*H166</f>
        <v>991.036586284853</v>
      </c>
      <c r="S166" s="73"/>
      <c r="T166" s="74">
        <f>SUM(120/1327)*H166</f>
        <v>1.94423511680482</v>
      </c>
      <c r="U166" s="73"/>
      <c r="V166" s="73"/>
      <c r="W166" s="73">
        <f t="shared" ref="W166:W192" si="93">SUM(R166:V166)</f>
        <v>992.980821401658</v>
      </c>
      <c r="X166" s="75">
        <f>SUM(972.28/1327)*H166</f>
        <v>15.7528409947249</v>
      </c>
      <c r="Y166" s="75"/>
      <c r="Z166" s="75"/>
      <c r="AA166" s="75">
        <f t="shared" ref="AA166:AA192" si="94">SUM(X166:Z166)</f>
        <v>15.7528409947249</v>
      </c>
      <c r="AB166" s="84">
        <v>7.22</v>
      </c>
      <c r="AC166" s="73">
        <f t="shared" si="90"/>
        <v>113.735511981914</v>
      </c>
      <c r="AD166" s="73">
        <f t="shared" si="91"/>
        <v>1106.71633338357</v>
      </c>
      <c r="AE166" s="73">
        <f t="shared" si="92"/>
        <v>-1106.71633338357</v>
      </c>
    </row>
    <row r="167" customFormat="1" spans="1:31">
      <c r="A167" s="18"/>
      <c r="B167" s="19"/>
      <c r="C167" s="20">
        <v>240426000048</v>
      </c>
      <c r="D167" s="21">
        <v>45416</v>
      </c>
      <c r="E167" s="21" t="s">
        <v>41</v>
      </c>
      <c r="F167" s="19" t="s">
        <v>42</v>
      </c>
      <c r="G167" s="19" t="s">
        <v>194</v>
      </c>
      <c r="H167" s="19">
        <v>55.5</v>
      </c>
      <c r="I167" s="41">
        <v>3108</v>
      </c>
      <c r="J167" s="42"/>
      <c r="K167" s="43"/>
      <c r="L167" s="42"/>
      <c r="M167" s="44"/>
      <c r="N167" s="45"/>
      <c r="O167" s="46">
        <f t="shared" ref="O167:O171" si="95">SUM(I167)</f>
        <v>3108</v>
      </c>
      <c r="P167" s="51"/>
      <c r="Q167" s="51"/>
      <c r="R167" s="73">
        <f t="shared" ref="R167:R192" si="96">SUM(61167.7/1327)*H167</f>
        <v>2558.25723436323</v>
      </c>
      <c r="S167" s="73"/>
      <c r="T167" s="74">
        <f t="shared" ref="T167:T192" si="97">SUM(120/1327)*H167</f>
        <v>5.01883948756594</v>
      </c>
      <c r="U167" s="73"/>
      <c r="V167" s="73"/>
      <c r="W167" s="73">
        <f t="shared" si="93"/>
        <v>2563.27607385079</v>
      </c>
      <c r="X167" s="75">
        <f t="shared" ref="X167:X192" si="98">SUM(972.28/1327)*H167</f>
        <v>40.6643104747551</v>
      </c>
      <c r="Y167" s="75"/>
      <c r="Z167" s="75"/>
      <c r="AA167" s="75">
        <f t="shared" si="94"/>
        <v>40.6643104747551</v>
      </c>
      <c r="AB167" s="84">
        <v>7.22</v>
      </c>
      <c r="AC167" s="73">
        <f t="shared" si="90"/>
        <v>293.596321627732</v>
      </c>
      <c r="AD167" s="73">
        <f t="shared" si="91"/>
        <v>2856.87239547852</v>
      </c>
      <c r="AE167" s="73">
        <f t="shared" si="92"/>
        <v>251.12760452148</v>
      </c>
    </row>
    <row r="168" customFormat="1" spans="1:31">
      <c r="A168" s="18"/>
      <c r="B168" s="19"/>
      <c r="C168" s="20">
        <v>240428000005</v>
      </c>
      <c r="D168" s="21">
        <v>45416</v>
      </c>
      <c r="E168" s="21" t="s">
        <v>47</v>
      </c>
      <c r="F168" s="19" t="s">
        <v>48</v>
      </c>
      <c r="G168" s="19" t="s">
        <v>195</v>
      </c>
      <c r="H168" s="19">
        <v>2.5</v>
      </c>
      <c r="I168" s="46"/>
      <c r="J168" s="48">
        <v>33993.87</v>
      </c>
      <c r="K168" s="43"/>
      <c r="L168" s="49">
        <f>SUM(J168/M168)</f>
        <v>1489</v>
      </c>
      <c r="M168" s="50">
        <v>22.83</v>
      </c>
      <c r="N168" s="45">
        <v>7.22</v>
      </c>
      <c r="O168" s="46">
        <f>SUM(M168*N168)</f>
        <v>164.8326</v>
      </c>
      <c r="P168" s="51"/>
      <c r="Q168" s="51"/>
      <c r="R168" s="73">
        <f t="shared" si="96"/>
        <v>115.236812358704</v>
      </c>
      <c r="S168" s="73"/>
      <c r="T168" s="74">
        <f t="shared" si="97"/>
        <v>0.226073850791258</v>
      </c>
      <c r="U168" s="73"/>
      <c r="V168" s="73"/>
      <c r="W168" s="73">
        <f t="shared" si="93"/>
        <v>115.462886209495</v>
      </c>
      <c r="X168" s="75">
        <f t="shared" si="98"/>
        <v>1.83172569706104</v>
      </c>
      <c r="Y168" s="75"/>
      <c r="Z168" s="75"/>
      <c r="AA168" s="75">
        <f t="shared" si="94"/>
        <v>1.83172569706104</v>
      </c>
      <c r="AB168" s="84">
        <v>7.22</v>
      </c>
      <c r="AC168" s="73">
        <f t="shared" si="90"/>
        <v>13.2250595327807</v>
      </c>
      <c r="AD168" s="73">
        <f t="shared" si="91"/>
        <v>128.687945742276</v>
      </c>
      <c r="AE168" s="73">
        <f t="shared" si="92"/>
        <v>36.144654257724</v>
      </c>
    </row>
    <row r="169" customFormat="1" spans="1:31">
      <c r="A169" s="18"/>
      <c r="B169" s="19"/>
      <c r="C169" s="20">
        <v>240428000010</v>
      </c>
      <c r="D169" s="21">
        <v>45416</v>
      </c>
      <c r="E169" s="21" t="s">
        <v>41</v>
      </c>
      <c r="F169" s="19" t="s">
        <v>42</v>
      </c>
      <c r="G169" s="19" t="s">
        <v>156</v>
      </c>
      <c r="H169" s="19">
        <v>1.5</v>
      </c>
      <c r="I169" s="41">
        <v>82.5</v>
      </c>
      <c r="J169" s="42"/>
      <c r="K169" s="43"/>
      <c r="L169" s="42"/>
      <c r="M169" s="44"/>
      <c r="N169" s="45"/>
      <c r="O169" s="46">
        <f t="shared" si="95"/>
        <v>82.5</v>
      </c>
      <c r="P169" s="51"/>
      <c r="Q169" s="51"/>
      <c r="R169" s="73">
        <f t="shared" si="96"/>
        <v>69.1420874152223</v>
      </c>
      <c r="S169" s="73"/>
      <c r="T169" s="74">
        <f t="shared" si="97"/>
        <v>0.135644310474755</v>
      </c>
      <c r="U169" s="73"/>
      <c r="V169" s="73"/>
      <c r="W169" s="73">
        <f t="shared" si="93"/>
        <v>69.2777317256971</v>
      </c>
      <c r="X169" s="75">
        <f t="shared" si="98"/>
        <v>1.09903541823662</v>
      </c>
      <c r="Y169" s="75"/>
      <c r="Z169" s="75"/>
      <c r="AA169" s="75">
        <f t="shared" si="94"/>
        <v>1.09903541823662</v>
      </c>
      <c r="AB169" s="84">
        <v>7.22</v>
      </c>
      <c r="AC169" s="73">
        <f t="shared" si="90"/>
        <v>7.93503571966842</v>
      </c>
      <c r="AD169" s="73">
        <f t="shared" si="91"/>
        <v>77.2127674453655</v>
      </c>
      <c r="AE169" s="73">
        <f t="shared" si="92"/>
        <v>5.2872325546345</v>
      </c>
    </row>
    <row r="170" customFormat="1" spans="1:31">
      <c r="A170" s="18"/>
      <c r="B170" s="19"/>
      <c r="C170" s="20">
        <v>240428000021</v>
      </c>
      <c r="D170" s="21">
        <v>45416</v>
      </c>
      <c r="E170" s="21" t="s">
        <v>44</v>
      </c>
      <c r="F170" s="19" t="s">
        <v>45</v>
      </c>
      <c r="G170" s="19" t="s">
        <v>196</v>
      </c>
      <c r="H170" s="19">
        <v>4.5</v>
      </c>
      <c r="I170" s="41">
        <v>290.4</v>
      </c>
      <c r="J170" s="42"/>
      <c r="K170" s="43"/>
      <c r="L170" s="42"/>
      <c r="M170" s="44"/>
      <c r="N170" s="45"/>
      <c r="O170" s="46">
        <f t="shared" si="95"/>
        <v>290.4</v>
      </c>
      <c r="P170" s="51"/>
      <c r="Q170" s="51"/>
      <c r="R170" s="73">
        <f t="shared" si="96"/>
        <v>207.426262245667</v>
      </c>
      <c r="S170" s="73"/>
      <c r="T170" s="74">
        <f t="shared" si="97"/>
        <v>0.406932931424265</v>
      </c>
      <c r="U170" s="73"/>
      <c r="V170" s="73"/>
      <c r="W170" s="73">
        <f t="shared" si="93"/>
        <v>207.833195177091</v>
      </c>
      <c r="X170" s="75">
        <f t="shared" si="98"/>
        <v>3.29710625470987</v>
      </c>
      <c r="Y170" s="75"/>
      <c r="Z170" s="75"/>
      <c r="AA170" s="75">
        <f t="shared" si="94"/>
        <v>3.29710625470987</v>
      </c>
      <c r="AB170" s="84">
        <v>7.22</v>
      </c>
      <c r="AC170" s="73">
        <f t="shared" si="90"/>
        <v>23.8051071590053</v>
      </c>
      <c r="AD170" s="73">
        <f t="shared" si="91"/>
        <v>231.638302336096</v>
      </c>
      <c r="AE170" s="73">
        <f t="shared" si="92"/>
        <v>58.761697663904</v>
      </c>
    </row>
    <row r="171" customFormat="1" spans="1:31">
      <c r="A171" s="18"/>
      <c r="B171" s="19"/>
      <c r="C171" s="20">
        <v>240428000025</v>
      </c>
      <c r="D171" s="21">
        <v>45416</v>
      </c>
      <c r="E171" s="21" t="s">
        <v>44</v>
      </c>
      <c r="F171" s="19" t="s">
        <v>45</v>
      </c>
      <c r="G171" s="19" t="s">
        <v>197</v>
      </c>
      <c r="H171" s="19">
        <v>39.5</v>
      </c>
      <c r="I171" s="41">
        <v>2570</v>
      </c>
      <c r="J171" s="42"/>
      <c r="K171" s="43"/>
      <c r="L171" s="42"/>
      <c r="M171" s="44"/>
      <c r="N171" s="45"/>
      <c r="O171" s="46">
        <f t="shared" si="95"/>
        <v>2570</v>
      </c>
      <c r="P171" s="51"/>
      <c r="Q171" s="51"/>
      <c r="R171" s="73">
        <f t="shared" si="96"/>
        <v>1820.74163526752</v>
      </c>
      <c r="S171" s="73"/>
      <c r="T171" s="74">
        <f t="shared" si="97"/>
        <v>3.57196684250188</v>
      </c>
      <c r="U171" s="73"/>
      <c r="V171" s="73"/>
      <c r="W171" s="73">
        <f t="shared" si="93"/>
        <v>1824.31360211002</v>
      </c>
      <c r="X171" s="75">
        <f t="shared" si="98"/>
        <v>28.9412660135644</v>
      </c>
      <c r="Y171" s="75">
        <v>18</v>
      </c>
      <c r="Z171" s="75"/>
      <c r="AA171" s="75">
        <f t="shared" si="94"/>
        <v>46.9412660135644</v>
      </c>
      <c r="AB171" s="84">
        <v>7.22</v>
      </c>
      <c r="AC171" s="73">
        <f t="shared" si="90"/>
        <v>338.915940617935</v>
      </c>
      <c r="AD171" s="73">
        <f t="shared" si="91"/>
        <v>2163.22954272796</v>
      </c>
      <c r="AE171" s="73">
        <f t="shared" si="92"/>
        <v>406.77045727204</v>
      </c>
    </row>
    <row r="172" customFormat="1" spans="1:31">
      <c r="A172" s="18"/>
      <c r="B172" s="19"/>
      <c r="C172" s="20">
        <v>240428000032</v>
      </c>
      <c r="D172" s="21">
        <v>45416</v>
      </c>
      <c r="E172" s="21" t="s">
        <v>41</v>
      </c>
      <c r="F172" s="19" t="s">
        <v>42</v>
      </c>
      <c r="G172" s="19" t="s">
        <v>198</v>
      </c>
      <c r="H172" s="19">
        <v>93.5</v>
      </c>
      <c r="I172" s="52"/>
      <c r="J172" s="48">
        <v>1331862</v>
      </c>
      <c r="K172" s="43"/>
      <c r="L172" s="49">
        <f>SUM(J172/M172)</f>
        <v>1506.20525869381</v>
      </c>
      <c r="M172" s="50">
        <v>884.25</v>
      </c>
      <c r="N172" s="45">
        <v>7.22</v>
      </c>
      <c r="O172" s="46">
        <f>SUM(M172*N172)</f>
        <v>6384.285</v>
      </c>
      <c r="P172" s="51"/>
      <c r="Q172" s="51"/>
      <c r="R172" s="73">
        <f t="shared" si="96"/>
        <v>4309.85678221552</v>
      </c>
      <c r="S172" s="73"/>
      <c r="T172" s="74">
        <f t="shared" si="97"/>
        <v>8.45516201959307</v>
      </c>
      <c r="U172" s="74">
        <v>180</v>
      </c>
      <c r="V172" s="74">
        <v>42.15</v>
      </c>
      <c r="W172" s="73">
        <f t="shared" si="93"/>
        <v>4540.46194423512</v>
      </c>
      <c r="X172" s="75">
        <f t="shared" si="98"/>
        <v>68.5065410700829</v>
      </c>
      <c r="Y172" s="75"/>
      <c r="Z172" s="75"/>
      <c r="AA172" s="75">
        <f t="shared" si="94"/>
        <v>68.5065410700829</v>
      </c>
      <c r="AB172" s="84">
        <v>7.22</v>
      </c>
      <c r="AC172" s="73">
        <f t="shared" si="90"/>
        <v>494.617226525998</v>
      </c>
      <c r="AD172" s="73">
        <f t="shared" si="91"/>
        <v>5035.07917076112</v>
      </c>
      <c r="AE172" s="73">
        <f t="shared" si="92"/>
        <v>1349.20582923888</v>
      </c>
    </row>
    <row r="173" customFormat="1" spans="1:31">
      <c r="A173" s="18"/>
      <c r="B173" s="19"/>
      <c r="C173" s="20">
        <v>240428000044</v>
      </c>
      <c r="D173" s="21">
        <v>45416</v>
      </c>
      <c r="E173" s="21" t="s">
        <v>41</v>
      </c>
      <c r="F173" s="19" t="s">
        <v>42</v>
      </c>
      <c r="G173" s="19" t="s">
        <v>96</v>
      </c>
      <c r="H173" s="19">
        <v>12</v>
      </c>
      <c r="I173" s="41">
        <v>660</v>
      </c>
      <c r="J173" s="42"/>
      <c r="K173" s="43"/>
      <c r="L173" s="42"/>
      <c r="M173" s="44"/>
      <c r="N173" s="45"/>
      <c r="O173" s="46">
        <f t="shared" ref="O173:O178" si="99">SUM(I173)</f>
        <v>660</v>
      </c>
      <c r="P173" s="51"/>
      <c r="Q173" s="51"/>
      <c r="R173" s="73">
        <f t="shared" si="96"/>
        <v>553.136699321778</v>
      </c>
      <c r="S173" s="73"/>
      <c r="T173" s="74">
        <f t="shared" si="97"/>
        <v>1.08515448379804</v>
      </c>
      <c r="U173" s="73"/>
      <c r="V173" s="73"/>
      <c r="W173" s="73">
        <f t="shared" si="93"/>
        <v>554.221853805577</v>
      </c>
      <c r="X173" s="75">
        <f t="shared" si="98"/>
        <v>8.79228334589299</v>
      </c>
      <c r="Y173" s="75"/>
      <c r="Z173" s="75"/>
      <c r="AA173" s="75">
        <f t="shared" si="94"/>
        <v>8.79228334589299</v>
      </c>
      <c r="AB173" s="84">
        <v>7.22</v>
      </c>
      <c r="AC173" s="73">
        <f t="shared" si="90"/>
        <v>63.4802857573474</v>
      </c>
      <c r="AD173" s="73">
        <f t="shared" si="91"/>
        <v>617.702139562924</v>
      </c>
      <c r="AE173" s="73">
        <f t="shared" si="92"/>
        <v>42.297860437076</v>
      </c>
    </row>
    <row r="174" customFormat="1" spans="1:31">
      <c r="A174" s="18"/>
      <c r="B174" s="19"/>
      <c r="C174" s="20">
        <v>240428000045</v>
      </c>
      <c r="D174" s="21">
        <v>45416</v>
      </c>
      <c r="E174" s="23" t="s">
        <v>81</v>
      </c>
      <c r="F174" s="19" t="s">
        <v>82</v>
      </c>
      <c r="G174" s="19" t="s">
        <v>83</v>
      </c>
      <c r="H174" s="19">
        <v>0.8</v>
      </c>
      <c r="I174" s="41">
        <v>80</v>
      </c>
      <c r="J174" s="42"/>
      <c r="K174" s="43"/>
      <c r="L174" s="42"/>
      <c r="M174" s="44"/>
      <c r="N174" s="45"/>
      <c r="O174" s="46">
        <f t="shared" si="99"/>
        <v>80</v>
      </c>
      <c r="P174" s="51"/>
      <c r="Q174" s="51"/>
      <c r="R174" s="73">
        <f t="shared" si="96"/>
        <v>36.8757799547852</v>
      </c>
      <c r="S174" s="73"/>
      <c r="T174" s="74">
        <f t="shared" si="97"/>
        <v>0.0723436322532027</v>
      </c>
      <c r="U174" s="73"/>
      <c r="V174" s="73"/>
      <c r="W174" s="73">
        <f t="shared" si="93"/>
        <v>36.9481235870384</v>
      </c>
      <c r="X174" s="75">
        <f t="shared" si="98"/>
        <v>0.586152223059533</v>
      </c>
      <c r="Y174" s="75"/>
      <c r="Z174" s="75"/>
      <c r="AA174" s="75">
        <f t="shared" si="94"/>
        <v>0.586152223059533</v>
      </c>
      <c r="AB174" s="84">
        <v>7.22</v>
      </c>
      <c r="AC174" s="73">
        <f t="shared" si="90"/>
        <v>4.23201905048983</v>
      </c>
      <c r="AD174" s="73">
        <f t="shared" si="91"/>
        <v>41.1801426375283</v>
      </c>
      <c r="AE174" s="73">
        <f t="shared" si="92"/>
        <v>38.8198573624717</v>
      </c>
    </row>
    <row r="175" customFormat="1" spans="1:31">
      <c r="A175" s="18"/>
      <c r="B175" s="19"/>
      <c r="C175" s="20">
        <v>240428000046</v>
      </c>
      <c r="D175" s="21">
        <v>45416</v>
      </c>
      <c r="E175" s="21" t="s">
        <v>47</v>
      </c>
      <c r="F175" s="19">
        <v>13635229849</v>
      </c>
      <c r="G175" s="19" t="s">
        <v>50</v>
      </c>
      <c r="H175" s="19">
        <v>3</v>
      </c>
      <c r="I175" s="46"/>
      <c r="J175" s="48">
        <v>57846</v>
      </c>
      <c r="K175" s="43"/>
      <c r="L175" s="49">
        <f>SUM(J175/M175)</f>
        <v>1507.97705943691</v>
      </c>
      <c r="M175" s="50">
        <v>38.36</v>
      </c>
      <c r="N175" s="45">
        <v>7.22</v>
      </c>
      <c r="O175" s="46">
        <f>SUM(M175*N175)</f>
        <v>276.9592</v>
      </c>
      <c r="P175" s="51"/>
      <c r="Q175" s="51"/>
      <c r="R175" s="73">
        <f t="shared" si="96"/>
        <v>138.284174830445</v>
      </c>
      <c r="S175" s="73"/>
      <c r="T175" s="74">
        <f t="shared" si="97"/>
        <v>0.27128862094951</v>
      </c>
      <c r="U175" s="73"/>
      <c r="V175" s="73"/>
      <c r="W175" s="73">
        <f t="shared" si="93"/>
        <v>138.555463451394</v>
      </c>
      <c r="X175" s="75">
        <f t="shared" si="98"/>
        <v>2.19807083647325</v>
      </c>
      <c r="Y175" s="75"/>
      <c r="Z175" s="75"/>
      <c r="AA175" s="75">
        <f t="shared" si="94"/>
        <v>2.19807083647325</v>
      </c>
      <c r="AB175" s="84">
        <v>7.22</v>
      </c>
      <c r="AC175" s="73">
        <f t="shared" si="90"/>
        <v>15.8700714393368</v>
      </c>
      <c r="AD175" s="73">
        <f t="shared" si="91"/>
        <v>154.425534890731</v>
      </c>
      <c r="AE175" s="73">
        <f t="shared" si="92"/>
        <v>122.533665109269</v>
      </c>
    </row>
    <row r="176" customFormat="1" spans="1:31">
      <c r="A176" s="18"/>
      <c r="B176" s="19"/>
      <c r="C176" s="20">
        <v>240429000004</v>
      </c>
      <c r="D176" s="21">
        <v>45416</v>
      </c>
      <c r="E176" s="21" t="s">
        <v>41</v>
      </c>
      <c r="F176" s="19" t="s">
        <v>42</v>
      </c>
      <c r="G176" s="19" t="s">
        <v>199</v>
      </c>
      <c r="H176" s="19">
        <v>0.36</v>
      </c>
      <c r="I176" s="41">
        <v>60</v>
      </c>
      <c r="J176" s="42"/>
      <c r="K176" s="43"/>
      <c r="L176" s="42"/>
      <c r="M176" s="44"/>
      <c r="N176" s="45"/>
      <c r="O176" s="46">
        <f t="shared" si="99"/>
        <v>60</v>
      </c>
      <c r="P176" s="51"/>
      <c r="Q176" s="51"/>
      <c r="R176" s="73">
        <f t="shared" si="96"/>
        <v>16.5941009796534</v>
      </c>
      <c r="S176" s="73"/>
      <c r="T176" s="74">
        <f t="shared" si="97"/>
        <v>0.0325546345139412</v>
      </c>
      <c r="U176" s="73"/>
      <c r="V176" s="73"/>
      <c r="W176" s="73">
        <f t="shared" si="93"/>
        <v>16.6266556141673</v>
      </c>
      <c r="X176" s="75">
        <f t="shared" si="98"/>
        <v>0.26376850037679</v>
      </c>
      <c r="Y176" s="75"/>
      <c r="Z176" s="75"/>
      <c r="AA176" s="75">
        <f t="shared" si="94"/>
        <v>0.26376850037679</v>
      </c>
      <c r="AB176" s="84">
        <v>7.22</v>
      </c>
      <c r="AC176" s="73">
        <f t="shared" si="90"/>
        <v>1.90440857272042</v>
      </c>
      <c r="AD176" s="73">
        <f t="shared" si="91"/>
        <v>18.5310641868877</v>
      </c>
      <c r="AE176" s="73">
        <f t="shared" si="92"/>
        <v>41.4689358131123</v>
      </c>
    </row>
    <row r="177" customFormat="1" spans="1:31">
      <c r="A177" s="18"/>
      <c r="B177" s="19"/>
      <c r="C177" s="20">
        <v>240429000005</v>
      </c>
      <c r="D177" s="21">
        <v>45416</v>
      </c>
      <c r="E177" s="21" t="s">
        <v>41</v>
      </c>
      <c r="F177" s="19" t="s">
        <v>42</v>
      </c>
      <c r="G177" s="19" t="s">
        <v>200</v>
      </c>
      <c r="H177" s="19">
        <v>1.5</v>
      </c>
      <c r="I177" s="41">
        <v>120</v>
      </c>
      <c r="J177" s="42"/>
      <c r="K177" s="43"/>
      <c r="L177" s="42"/>
      <c r="M177" s="44"/>
      <c r="N177" s="45"/>
      <c r="O177" s="46">
        <f t="shared" si="99"/>
        <v>120</v>
      </c>
      <c r="P177" s="51"/>
      <c r="Q177" s="51"/>
      <c r="R177" s="73">
        <f t="shared" si="96"/>
        <v>69.1420874152223</v>
      </c>
      <c r="S177" s="73"/>
      <c r="T177" s="74">
        <f t="shared" si="97"/>
        <v>0.135644310474755</v>
      </c>
      <c r="U177" s="73"/>
      <c r="V177" s="73"/>
      <c r="W177" s="73">
        <f t="shared" si="93"/>
        <v>69.2777317256971</v>
      </c>
      <c r="X177" s="75">
        <f t="shared" si="98"/>
        <v>1.09903541823662</v>
      </c>
      <c r="Y177" s="75"/>
      <c r="Z177" s="75"/>
      <c r="AA177" s="75">
        <f t="shared" si="94"/>
        <v>1.09903541823662</v>
      </c>
      <c r="AB177" s="84">
        <v>7.22</v>
      </c>
      <c r="AC177" s="73">
        <f t="shared" si="90"/>
        <v>7.93503571966842</v>
      </c>
      <c r="AD177" s="73">
        <f t="shared" si="91"/>
        <v>77.2127674453655</v>
      </c>
      <c r="AE177" s="73">
        <f t="shared" si="92"/>
        <v>42.7872325546345</v>
      </c>
    </row>
    <row r="178" customFormat="1" spans="1:31">
      <c r="A178" s="18"/>
      <c r="B178" s="19"/>
      <c r="C178" s="20">
        <v>240429000010</v>
      </c>
      <c r="D178" s="21">
        <v>45416</v>
      </c>
      <c r="E178" s="21" t="s">
        <v>41</v>
      </c>
      <c r="F178" s="19" t="s">
        <v>42</v>
      </c>
      <c r="G178" s="19" t="s">
        <v>201</v>
      </c>
      <c r="H178" s="19">
        <v>7</v>
      </c>
      <c r="I178" s="41">
        <v>506</v>
      </c>
      <c r="J178" s="42"/>
      <c r="K178" s="43"/>
      <c r="L178" s="42"/>
      <c r="M178" s="44"/>
      <c r="N178" s="45"/>
      <c r="O178" s="46">
        <f t="shared" si="99"/>
        <v>506</v>
      </c>
      <c r="P178" s="51"/>
      <c r="Q178" s="51"/>
      <c r="R178" s="73">
        <f t="shared" si="96"/>
        <v>322.663074604371</v>
      </c>
      <c r="S178" s="73"/>
      <c r="T178" s="74">
        <f t="shared" si="97"/>
        <v>0.633006782215524</v>
      </c>
      <c r="U178" s="73">
        <v>30</v>
      </c>
      <c r="V178" s="73"/>
      <c r="W178" s="73">
        <f t="shared" si="93"/>
        <v>353.296081386586</v>
      </c>
      <c r="X178" s="75">
        <f t="shared" si="98"/>
        <v>5.12883195177091</v>
      </c>
      <c r="Y178" s="75"/>
      <c r="Z178" s="75"/>
      <c r="AA178" s="75">
        <f t="shared" si="94"/>
        <v>5.12883195177091</v>
      </c>
      <c r="AB178" s="84">
        <v>7.22</v>
      </c>
      <c r="AC178" s="73">
        <f t="shared" si="90"/>
        <v>37.030166691786</v>
      </c>
      <c r="AD178" s="73">
        <f t="shared" si="91"/>
        <v>390.326248078372</v>
      </c>
      <c r="AE178" s="73">
        <f t="shared" si="92"/>
        <v>115.673751921628</v>
      </c>
    </row>
    <row r="179" customFormat="1" spans="1:31">
      <c r="A179" s="18"/>
      <c r="B179" s="19"/>
      <c r="C179" s="20">
        <v>240429000012</v>
      </c>
      <c r="D179" s="21">
        <v>45416</v>
      </c>
      <c r="E179" s="21" t="s">
        <v>44</v>
      </c>
      <c r="F179" s="19" t="s">
        <v>45</v>
      </c>
      <c r="G179" s="19" t="s">
        <v>202</v>
      </c>
      <c r="H179" s="19">
        <v>25.5</v>
      </c>
      <c r="I179" s="41">
        <v>800</v>
      </c>
      <c r="J179" s="48">
        <v>153750</v>
      </c>
      <c r="K179" s="43"/>
      <c r="L179" s="49">
        <f>SUM(J179/M179)</f>
        <v>1480.21565418311</v>
      </c>
      <c r="M179" s="50">
        <v>103.87</v>
      </c>
      <c r="N179" s="45">
        <v>7.22</v>
      </c>
      <c r="O179" s="46">
        <f>SUM(M179*N179)+I179</f>
        <v>1549.9414</v>
      </c>
      <c r="P179" s="51"/>
      <c r="Q179" s="51"/>
      <c r="R179" s="73">
        <f t="shared" si="96"/>
        <v>1175.41548605878</v>
      </c>
      <c r="S179" s="73"/>
      <c r="T179" s="74">
        <f t="shared" si="97"/>
        <v>2.30595327807084</v>
      </c>
      <c r="U179" s="74">
        <v>60</v>
      </c>
      <c r="V179" s="73"/>
      <c r="W179" s="73">
        <f t="shared" si="93"/>
        <v>1237.72143933685</v>
      </c>
      <c r="X179" s="75">
        <f t="shared" si="98"/>
        <v>18.6836021100226</v>
      </c>
      <c r="Y179" s="75"/>
      <c r="Z179" s="75"/>
      <c r="AA179" s="75">
        <f t="shared" si="94"/>
        <v>18.6836021100226</v>
      </c>
      <c r="AB179" s="84">
        <v>7.22</v>
      </c>
      <c r="AC179" s="73">
        <f t="shared" si="90"/>
        <v>134.895607234363</v>
      </c>
      <c r="AD179" s="73">
        <f t="shared" si="91"/>
        <v>1372.61704657121</v>
      </c>
      <c r="AE179" s="73">
        <f t="shared" si="92"/>
        <v>177.32435342879</v>
      </c>
    </row>
    <row r="180" customFormat="1" spans="1:31">
      <c r="A180" s="18"/>
      <c r="B180" s="19"/>
      <c r="C180" s="20">
        <v>240429000020</v>
      </c>
      <c r="D180" s="21">
        <v>45416</v>
      </c>
      <c r="E180" s="21" t="s">
        <v>41</v>
      </c>
      <c r="F180" s="19" t="s">
        <v>42</v>
      </c>
      <c r="G180" s="19" t="s">
        <v>203</v>
      </c>
      <c r="H180" s="19">
        <v>3</v>
      </c>
      <c r="I180" s="41">
        <v>194.7</v>
      </c>
      <c r="J180" s="42"/>
      <c r="K180" s="43"/>
      <c r="L180" s="42"/>
      <c r="M180" s="44"/>
      <c r="N180" s="45"/>
      <c r="O180" s="46">
        <f t="shared" ref="O180:O183" si="100">SUM(I180)</f>
        <v>194.7</v>
      </c>
      <c r="P180" s="51"/>
      <c r="Q180" s="51"/>
      <c r="R180" s="73">
        <f t="shared" si="96"/>
        <v>138.284174830445</v>
      </c>
      <c r="S180" s="73"/>
      <c r="T180" s="74">
        <f t="shared" si="97"/>
        <v>0.27128862094951</v>
      </c>
      <c r="U180" s="73"/>
      <c r="V180" s="73"/>
      <c r="W180" s="73">
        <f t="shared" si="93"/>
        <v>138.555463451394</v>
      </c>
      <c r="X180" s="75">
        <f t="shared" si="98"/>
        <v>2.19807083647325</v>
      </c>
      <c r="Y180" s="75"/>
      <c r="Z180" s="75"/>
      <c r="AA180" s="75">
        <f t="shared" si="94"/>
        <v>2.19807083647325</v>
      </c>
      <c r="AB180" s="84">
        <v>7.22</v>
      </c>
      <c r="AC180" s="73">
        <f t="shared" si="90"/>
        <v>15.8700714393368</v>
      </c>
      <c r="AD180" s="73">
        <f t="shared" si="91"/>
        <v>154.425534890731</v>
      </c>
      <c r="AE180" s="73">
        <f t="shared" si="92"/>
        <v>40.274465109269</v>
      </c>
    </row>
    <row r="181" customFormat="1" spans="1:31">
      <c r="A181" s="18"/>
      <c r="B181" s="19"/>
      <c r="C181" s="20">
        <v>240429000023</v>
      </c>
      <c r="D181" s="21">
        <v>45416</v>
      </c>
      <c r="E181" s="21" t="s">
        <v>47</v>
      </c>
      <c r="F181" s="19" t="s">
        <v>48</v>
      </c>
      <c r="G181" s="19" t="s">
        <v>204</v>
      </c>
      <c r="H181" s="19">
        <v>34.5</v>
      </c>
      <c r="I181" s="41">
        <v>2020</v>
      </c>
      <c r="J181" s="42"/>
      <c r="K181" s="43"/>
      <c r="L181" s="42"/>
      <c r="M181" s="44"/>
      <c r="N181" s="45"/>
      <c r="O181" s="46">
        <f t="shared" si="100"/>
        <v>2020</v>
      </c>
      <c r="P181" s="51"/>
      <c r="Q181" s="51"/>
      <c r="R181" s="73">
        <f t="shared" si="96"/>
        <v>1590.26801055011</v>
      </c>
      <c r="S181" s="73"/>
      <c r="T181" s="74">
        <f t="shared" si="97"/>
        <v>3.11981914091937</v>
      </c>
      <c r="U181" s="73"/>
      <c r="V181" s="73"/>
      <c r="W181" s="73">
        <f t="shared" si="93"/>
        <v>1593.38782969103</v>
      </c>
      <c r="X181" s="75">
        <f t="shared" si="98"/>
        <v>25.2778146194423</v>
      </c>
      <c r="Y181" s="75"/>
      <c r="Z181" s="75"/>
      <c r="AA181" s="75">
        <f t="shared" si="94"/>
        <v>25.2778146194423</v>
      </c>
      <c r="AB181" s="84">
        <v>7.22</v>
      </c>
      <c r="AC181" s="73">
        <f t="shared" si="90"/>
        <v>182.505821552374</v>
      </c>
      <c r="AD181" s="73">
        <f t="shared" si="91"/>
        <v>1775.89365124341</v>
      </c>
      <c r="AE181" s="73">
        <f t="shared" si="92"/>
        <v>244.10634875659</v>
      </c>
    </row>
    <row r="182" customFormat="1" spans="1:31">
      <c r="A182" s="18"/>
      <c r="B182" s="19"/>
      <c r="C182" s="20">
        <v>240429000025</v>
      </c>
      <c r="D182" s="21">
        <v>45416</v>
      </c>
      <c r="E182" s="21" t="s">
        <v>47</v>
      </c>
      <c r="F182" s="19" t="s">
        <v>48</v>
      </c>
      <c r="G182" s="19" t="s">
        <v>134</v>
      </c>
      <c r="H182" s="19">
        <v>2</v>
      </c>
      <c r="I182" s="41">
        <v>130.9</v>
      </c>
      <c r="J182" s="42"/>
      <c r="K182" s="43"/>
      <c r="L182" s="42"/>
      <c r="M182" s="44"/>
      <c r="N182" s="45"/>
      <c r="O182" s="46">
        <f t="shared" si="100"/>
        <v>130.9</v>
      </c>
      <c r="P182" s="51"/>
      <c r="Q182" s="51"/>
      <c r="R182" s="73">
        <f t="shared" si="96"/>
        <v>92.1894498869631</v>
      </c>
      <c r="S182" s="73"/>
      <c r="T182" s="74">
        <f t="shared" si="97"/>
        <v>0.180859080633007</v>
      </c>
      <c r="U182" s="73"/>
      <c r="V182" s="73"/>
      <c r="W182" s="73">
        <f t="shared" si="93"/>
        <v>92.3703089675961</v>
      </c>
      <c r="X182" s="75">
        <f t="shared" si="98"/>
        <v>1.46538055764883</v>
      </c>
      <c r="Y182" s="75"/>
      <c r="Z182" s="75"/>
      <c r="AA182" s="75">
        <f t="shared" si="94"/>
        <v>1.46538055764883</v>
      </c>
      <c r="AB182" s="84">
        <v>7.22</v>
      </c>
      <c r="AC182" s="73">
        <f t="shared" si="90"/>
        <v>10.5800476262246</v>
      </c>
      <c r="AD182" s="73">
        <f t="shared" si="91"/>
        <v>102.950356593821</v>
      </c>
      <c r="AE182" s="73">
        <f t="shared" si="92"/>
        <v>27.949643406179</v>
      </c>
    </row>
    <row r="183" customFormat="1" spans="1:31">
      <c r="A183" s="18"/>
      <c r="B183" s="19"/>
      <c r="C183" s="20">
        <v>240430000005</v>
      </c>
      <c r="D183" s="21">
        <v>45416</v>
      </c>
      <c r="E183" s="21" t="s">
        <v>41</v>
      </c>
      <c r="F183" s="19" t="s">
        <v>42</v>
      </c>
      <c r="G183" s="19" t="s">
        <v>205</v>
      </c>
      <c r="H183" s="19">
        <v>0.65</v>
      </c>
      <c r="I183" s="41">
        <v>73.7</v>
      </c>
      <c r="J183" s="42"/>
      <c r="K183" s="43"/>
      <c r="L183" s="42"/>
      <c r="M183" s="44"/>
      <c r="N183" s="45"/>
      <c r="O183" s="46">
        <f t="shared" si="100"/>
        <v>73.7</v>
      </c>
      <c r="P183" s="51"/>
      <c r="Q183" s="51"/>
      <c r="R183" s="73">
        <f t="shared" si="96"/>
        <v>29.961571213263</v>
      </c>
      <c r="S183" s="73"/>
      <c r="T183" s="74">
        <f t="shared" si="97"/>
        <v>0.0587792012057272</v>
      </c>
      <c r="U183" s="73"/>
      <c r="V183" s="73"/>
      <c r="W183" s="73">
        <f t="shared" si="93"/>
        <v>30.0203504144687</v>
      </c>
      <c r="X183" s="75">
        <f t="shared" si="98"/>
        <v>0.47624868123587</v>
      </c>
      <c r="Y183" s="75"/>
      <c r="Z183" s="75"/>
      <c r="AA183" s="75">
        <f t="shared" si="94"/>
        <v>0.47624868123587</v>
      </c>
      <c r="AB183" s="84">
        <v>7.22</v>
      </c>
      <c r="AC183" s="73">
        <f t="shared" si="90"/>
        <v>3.43851547852298</v>
      </c>
      <c r="AD183" s="73">
        <f t="shared" si="91"/>
        <v>33.4588658929917</v>
      </c>
      <c r="AE183" s="73">
        <f t="shared" si="92"/>
        <v>40.2411341070083</v>
      </c>
    </row>
    <row r="184" customFormat="1" spans="1:31">
      <c r="A184" s="18"/>
      <c r="B184" s="19"/>
      <c r="C184" s="20">
        <v>240430000014</v>
      </c>
      <c r="D184" s="21">
        <v>45416</v>
      </c>
      <c r="E184" s="21" t="s">
        <v>54</v>
      </c>
      <c r="F184" s="19" t="s">
        <v>54</v>
      </c>
      <c r="G184" s="19" t="s">
        <v>206</v>
      </c>
      <c r="H184" s="19">
        <v>23</v>
      </c>
      <c r="I184" s="90">
        <v>1578.26</v>
      </c>
      <c r="J184" s="42"/>
      <c r="K184" s="43"/>
      <c r="L184" s="42"/>
      <c r="M184" s="44"/>
      <c r="N184" s="45"/>
      <c r="O184" s="46">
        <f>SUBTOTAL(9,I184)</f>
        <v>1578.26</v>
      </c>
      <c r="P184" s="51"/>
      <c r="Q184" s="51"/>
      <c r="R184" s="73">
        <f t="shared" si="96"/>
        <v>1060.17867370008</v>
      </c>
      <c r="S184" s="73"/>
      <c r="T184" s="74">
        <f t="shared" si="97"/>
        <v>2.07987942727958</v>
      </c>
      <c r="U184" s="73"/>
      <c r="V184" s="73"/>
      <c r="W184" s="73">
        <f t="shared" si="93"/>
        <v>1062.25855312735</v>
      </c>
      <c r="X184" s="75">
        <f t="shared" si="98"/>
        <v>16.8518764129616</v>
      </c>
      <c r="Y184" s="75"/>
      <c r="Z184" s="75"/>
      <c r="AA184" s="75">
        <f t="shared" si="94"/>
        <v>16.8518764129616</v>
      </c>
      <c r="AB184" s="84">
        <v>7.22</v>
      </c>
      <c r="AC184" s="73">
        <f t="shared" si="90"/>
        <v>121.670547701583</v>
      </c>
      <c r="AD184" s="73">
        <f t="shared" si="91"/>
        <v>1183.92910082894</v>
      </c>
      <c r="AE184" s="73">
        <f t="shared" si="92"/>
        <v>394.33089917106</v>
      </c>
    </row>
    <row r="185" customFormat="1" spans="1:31">
      <c r="A185" s="18"/>
      <c r="B185" s="19"/>
      <c r="C185" s="20">
        <v>240430000015</v>
      </c>
      <c r="D185" s="21">
        <v>45416</v>
      </c>
      <c r="E185" s="21" t="s">
        <v>54</v>
      </c>
      <c r="F185" s="19" t="s">
        <v>54</v>
      </c>
      <c r="G185" s="19" t="s">
        <v>90</v>
      </c>
      <c r="H185" s="19">
        <v>279.5</v>
      </c>
      <c r="I185" s="41">
        <v>14979</v>
      </c>
      <c r="J185" s="42"/>
      <c r="K185" s="43"/>
      <c r="L185" s="42"/>
      <c r="M185" s="44"/>
      <c r="N185" s="45"/>
      <c r="O185" s="46">
        <f t="shared" ref="O185:O196" si="101">SUM(I185)</f>
        <v>14979</v>
      </c>
      <c r="P185" s="51"/>
      <c r="Q185" s="51"/>
      <c r="R185" s="73">
        <f t="shared" si="96"/>
        <v>12883.4756217031</v>
      </c>
      <c r="S185" s="73"/>
      <c r="T185" s="74">
        <f t="shared" si="97"/>
        <v>25.2750565184627</v>
      </c>
      <c r="U185" s="73"/>
      <c r="V185" s="73"/>
      <c r="W185" s="73">
        <f t="shared" si="93"/>
        <v>12908.7506782216</v>
      </c>
      <c r="X185" s="75">
        <f t="shared" si="98"/>
        <v>204.786932931424</v>
      </c>
      <c r="Y185" s="75"/>
      <c r="Z185" s="75"/>
      <c r="AA185" s="75">
        <f t="shared" si="94"/>
        <v>204.786932931424</v>
      </c>
      <c r="AB185" s="84">
        <v>7.22</v>
      </c>
      <c r="AC185" s="73">
        <f t="shared" si="90"/>
        <v>1478.56165576488</v>
      </c>
      <c r="AD185" s="73">
        <f t="shared" si="91"/>
        <v>14387.3123339864</v>
      </c>
      <c r="AE185" s="73">
        <f t="shared" si="92"/>
        <v>591.6876660136</v>
      </c>
    </row>
    <row r="186" customFormat="1" spans="1:31">
      <c r="A186" s="18"/>
      <c r="B186" s="19"/>
      <c r="C186" s="20">
        <v>240430000016</v>
      </c>
      <c r="D186" s="21">
        <v>45416</v>
      </c>
      <c r="E186" s="21" t="s">
        <v>47</v>
      </c>
      <c r="F186" s="19" t="s">
        <v>48</v>
      </c>
      <c r="G186" s="19" t="s">
        <v>193</v>
      </c>
      <c r="H186" s="19">
        <v>0.69</v>
      </c>
      <c r="I186" s="46"/>
      <c r="J186" s="48">
        <v>15572</v>
      </c>
      <c r="K186" s="43"/>
      <c r="L186" s="49">
        <f t="shared" ref="L186:L188" si="102">SUM(J186/M186)</f>
        <v>1505.99627717566</v>
      </c>
      <c r="M186" s="50">
        <v>10.339999</v>
      </c>
      <c r="N186" s="45">
        <v>7.22</v>
      </c>
      <c r="O186" s="46">
        <f>SUM(M186*N186)</f>
        <v>74.65479278</v>
      </c>
      <c r="P186" s="51"/>
      <c r="Q186" s="51"/>
      <c r="R186" s="73">
        <f t="shared" si="96"/>
        <v>31.8053602110023</v>
      </c>
      <c r="S186" s="73"/>
      <c r="T186" s="74">
        <f t="shared" si="97"/>
        <v>0.0623963828183873</v>
      </c>
      <c r="U186" s="73"/>
      <c r="V186" s="73"/>
      <c r="W186" s="73">
        <f t="shared" si="93"/>
        <v>31.8677565938206</v>
      </c>
      <c r="X186" s="75">
        <f t="shared" si="98"/>
        <v>0.505556292388847</v>
      </c>
      <c r="Y186" s="75"/>
      <c r="Z186" s="75"/>
      <c r="AA186" s="75">
        <f t="shared" si="94"/>
        <v>0.505556292388847</v>
      </c>
      <c r="AB186" s="84">
        <v>7.22</v>
      </c>
      <c r="AC186" s="73">
        <f t="shared" si="90"/>
        <v>3.65011643104747</v>
      </c>
      <c r="AD186" s="73">
        <f t="shared" si="91"/>
        <v>35.5178730248681</v>
      </c>
      <c r="AE186" s="73">
        <f t="shared" si="92"/>
        <v>39.1369197551319</v>
      </c>
    </row>
    <row r="187" customFormat="1" spans="1:31">
      <c r="A187" s="18"/>
      <c r="B187" s="19"/>
      <c r="C187" s="22">
        <v>240430000024</v>
      </c>
      <c r="D187" s="23">
        <v>45416</v>
      </c>
      <c r="E187" s="21" t="s">
        <v>44</v>
      </c>
      <c r="F187" s="24" t="s">
        <v>45</v>
      </c>
      <c r="G187" s="24" t="s">
        <v>207</v>
      </c>
      <c r="H187" s="24">
        <v>0.85</v>
      </c>
      <c r="I187" s="52"/>
      <c r="J187" s="48">
        <v>18617</v>
      </c>
      <c r="K187" s="43"/>
      <c r="L187" s="49">
        <f t="shared" si="102"/>
        <v>1575.04230118443</v>
      </c>
      <c r="M187" s="50">
        <v>11.82</v>
      </c>
      <c r="N187" s="45">
        <v>7.22</v>
      </c>
      <c r="O187" s="46">
        <f>SUM(M187*N187)</f>
        <v>85.3404</v>
      </c>
      <c r="P187" s="51"/>
      <c r="Q187" s="51"/>
      <c r="R187" s="73">
        <f t="shared" si="96"/>
        <v>39.1805162019593</v>
      </c>
      <c r="S187" s="73"/>
      <c r="T187" s="74">
        <f t="shared" si="97"/>
        <v>0.0768651092690279</v>
      </c>
      <c r="U187" s="73"/>
      <c r="V187" s="73"/>
      <c r="W187" s="73">
        <f t="shared" si="93"/>
        <v>39.2573813112283</v>
      </c>
      <c r="X187" s="75">
        <f t="shared" si="98"/>
        <v>0.622786737000754</v>
      </c>
      <c r="Y187" s="75"/>
      <c r="Z187" s="75"/>
      <c r="AA187" s="75">
        <f t="shared" si="94"/>
        <v>0.622786737000754</v>
      </c>
      <c r="AB187" s="84">
        <v>7.22</v>
      </c>
      <c r="AC187" s="73">
        <f t="shared" si="90"/>
        <v>4.49652024114544</v>
      </c>
      <c r="AD187" s="73">
        <f t="shared" si="91"/>
        <v>43.7539015523738</v>
      </c>
      <c r="AE187" s="73">
        <f t="shared" si="92"/>
        <v>41.5864984476262</v>
      </c>
    </row>
    <row r="188" customFormat="1" spans="1:31">
      <c r="A188" s="18"/>
      <c r="B188" s="19"/>
      <c r="C188" s="20">
        <v>240430000025</v>
      </c>
      <c r="D188" s="21">
        <v>45416</v>
      </c>
      <c r="E188" s="21" t="s">
        <v>41</v>
      </c>
      <c r="F188" s="19" t="s">
        <v>42</v>
      </c>
      <c r="G188" s="19" t="s">
        <v>208</v>
      </c>
      <c r="H188" s="19">
        <v>38.5</v>
      </c>
      <c r="I188" s="52"/>
      <c r="J188" s="48">
        <v>458345</v>
      </c>
      <c r="K188" s="43"/>
      <c r="L188" s="49">
        <f t="shared" si="102"/>
        <v>1573.98695054945</v>
      </c>
      <c r="M188" s="50">
        <v>291.2</v>
      </c>
      <c r="N188" s="45">
        <v>7.22</v>
      </c>
      <c r="O188" s="46">
        <f>SUM(M188*N188)</f>
        <v>2102.464</v>
      </c>
      <c r="P188" s="51"/>
      <c r="Q188" s="51"/>
      <c r="R188" s="73">
        <f t="shared" si="96"/>
        <v>1774.64691032404</v>
      </c>
      <c r="S188" s="73"/>
      <c r="T188" s="74">
        <f t="shared" si="97"/>
        <v>3.48153730218538</v>
      </c>
      <c r="U188" s="73"/>
      <c r="V188" s="73"/>
      <c r="W188" s="73">
        <f t="shared" si="93"/>
        <v>1778.12844762622</v>
      </c>
      <c r="X188" s="75">
        <f t="shared" si="98"/>
        <v>28.20857573474</v>
      </c>
      <c r="Y188" s="75"/>
      <c r="Z188" s="75"/>
      <c r="AA188" s="75">
        <f t="shared" si="94"/>
        <v>28.20857573474</v>
      </c>
      <c r="AB188" s="84">
        <v>7.22</v>
      </c>
      <c r="AC188" s="73">
        <f t="shared" si="90"/>
        <v>203.665916804823</v>
      </c>
      <c r="AD188" s="73">
        <f t="shared" si="91"/>
        <v>1981.79436443105</v>
      </c>
      <c r="AE188" s="73">
        <f t="shared" si="92"/>
        <v>120.66963556895</v>
      </c>
    </row>
    <row r="189" customFormat="1" spans="1:31">
      <c r="A189" s="18"/>
      <c r="B189" s="19"/>
      <c r="C189" s="20">
        <v>240430000026</v>
      </c>
      <c r="D189" s="21">
        <v>45416</v>
      </c>
      <c r="E189" s="21" t="s">
        <v>37</v>
      </c>
      <c r="F189" s="19" t="s">
        <v>38</v>
      </c>
      <c r="G189" s="19" t="s">
        <v>209</v>
      </c>
      <c r="H189" s="19">
        <v>1.5</v>
      </c>
      <c r="I189" s="41">
        <v>99</v>
      </c>
      <c r="J189" s="42"/>
      <c r="K189" s="43"/>
      <c r="L189" s="42"/>
      <c r="M189" s="44"/>
      <c r="N189" s="45"/>
      <c r="O189" s="46">
        <f t="shared" si="101"/>
        <v>99</v>
      </c>
      <c r="P189" s="51"/>
      <c r="Q189" s="51"/>
      <c r="R189" s="73">
        <f t="shared" si="96"/>
        <v>69.1420874152223</v>
      </c>
      <c r="S189" s="73"/>
      <c r="T189" s="74">
        <f t="shared" si="97"/>
        <v>0.135644310474755</v>
      </c>
      <c r="U189" s="73"/>
      <c r="V189" s="73"/>
      <c r="W189" s="73">
        <f t="shared" si="93"/>
        <v>69.2777317256971</v>
      </c>
      <c r="X189" s="75">
        <f t="shared" si="98"/>
        <v>1.09903541823662</v>
      </c>
      <c r="Y189" s="75"/>
      <c r="Z189" s="75"/>
      <c r="AA189" s="75">
        <f t="shared" si="94"/>
        <v>1.09903541823662</v>
      </c>
      <c r="AB189" s="84">
        <v>7.22</v>
      </c>
      <c r="AC189" s="73">
        <f t="shared" si="90"/>
        <v>7.93503571966842</v>
      </c>
      <c r="AD189" s="73">
        <f t="shared" si="91"/>
        <v>77.2127674453655</v>
      </c>
      <c r="AE189" s="73">
        <f t="shared" si="92"/>
        <v>21.7872325546345</v>
      </c>
    </row>
    <row r="190" customFormat="1" spans="1:31">
      <c r="A190" s="18"/>
      <c r="B190" s="19"/>
      <c r="C190" s="20">
        <v>240430000030</v>
      </c>
      <c r="D190" s="21">
        <v>45416</v>
      </c>
      <c r="E190" s="21" t="s">
        <v>37</v>
      </c>
      <c r="F190" s="19" t="s">
        <v>38</v>
      </c>
      <c r="G190" s="19" t="s">
        <v>210</v>
      </c>
      <c r="H190" s="19">
        <v>0.7</v>
      </c>
      <c r="I190" s="41">
        <v>66</v>
      </c>
      <c r="J190" s="42"/>
      <c r="K190" s="43"/>
      <c r="L190" s="42"/>
      <c r="M190" s="44"/>
      <c r="N190" s="45"/>
      <c r="O190" s="46">
        <f t="shared" si="101"/>
        <v>66</v>
      </c>
      <c r="P190" s="51"/>
      <c r="Q190" s="51"/>
      <c r="R190" s="73">
        <f t="shared" si="96"/>
        <v>32.2663074604371</v>
      </c>
      <c r="S190" s="73"/>
      <c r="T190" s="74">
        <f t="shared" si="97"/>
        <v>0.0633006782215524</v>
      </c>
      <c r="U190" s="73"/>
      <c r="V190" s="73"/>
      <c r="W190" s="73">
        <f t="shared" si="93"/>
        <v>32.3296081386586</v>
      </c>
      <c r="X190" s="75">
        <f t="shared" si="98"/>
        <v>0.512883195177091</v>
      </c>
      <c r="Y190" s="75"/>
      <c r="Z190" s="75"/>
      <c r="AA190" s="75">
        <f t="shared" si="94"/>
        <v>0.512883195177091</v>
      </c>
      <c r="AB190" s="84">
        <v>7.22</v>
      </c>
      <c r="AC190" s="73">
        <f t="shared" si="90"/>
        <v>3.7030166691786</v>
      </c>
      <c r="AD190" s="73">
        <f t="shared" si="91"/>
        <v>36.0326248078372</v>
      </c>
      <c r="AE190" s="73">
        <f t="shared" si="92"/>
        <v>29.9673751921628</v>
      </c>
    </row>
    <row r="191" customFormat="1" spans="1:31">
      <c r="A191" s="18"/>
      <c r="B191" s="19"/>
      <c r="C191" s="20">
        <v>240430000037</v>
      </c>
      <c r="D191" s="21">
        <v>45416</v>
      </c>
      <c r="E191" s="21" t="s">
        <v>37</v>
      </c>
      <c r="F191" s="19" t="s">
        <v>38</v>
      </c>
      <c r="G191" s="19" t="s">
        <v>89</v>
      </c>
      <c r="H191" s="19">
        <v>9</v>
      </c>
      <c r="I191" s="41">
        <v>729</v>
      </c>
      <c r="J191" s="42"/>
      <c r="K191" s="43"/>
      <c r="L191" s="42"/>
      <c r="M191" s="44"/>
      <c r="N191" s="45"/>
      <c r="O191" s="46">
        <f t="shared" si="101"/>
        <v>729</v>
      </c>
      <c r="P191" s="51"/>
      <c r="Q191" s="51"/>
      <c r="R191" s="73">
        <f t="shared" si="96"/>
        <v>414.852524491334</v>
      </c>
      <c r="S191" s="73"/>
      <c r="T191" s="74">
        <f t="shared" si="97"/>
        <v>0.813865862848531</v>
      </c>
      <c r="U191" s="73"/>
      <c r="V191" s="73"/>
      <c r="W191" s="73">
        <f t="shared" si="93"/>
        <v>415.666390354182</v>
      </c>
      <c r="X191" s="75">
        <f t="shared" si="98"/>
        <v>6.59421250941974</v>
      </c>
      <c r="Y191" s="75"/>
      <c r="Z191" s="75"/>
      <c r="AA191" s="75">
        <f t="shared" si="94"/>
        <v>6.59421250941974</v>
      </c>
      <c r="AB191" s="84">
        <v>7.22</v>
      </c>
      <c r="AC191" s="73">
        <f t="shared" si="90"/>
        <v>47.6102143180105</v>
      </c>
      <c r="AD191" s="73">
        <f t="shared" ref="AD191:AD209" si="103">SUM(W191+AC191)</f>
        <v>463.276604672193</v>
      </c>
      <c r="AE191" s="73">
        <f t="shared" ref="AE191:AE209" si="104">SUM(O191-AD191)</f>
        <v>265.723395327807</v>
      </c>
    </row>
    <row r="192" customFormat="1" spans="1:31">
      <c r="A192" s="18"/>
      <c r="B192" s="19"/>
      <c r="C192" s="20">
        <v>240501000008</v>
      </c>
      <c r="D192" s="21">
        <v>45416</v>
      </c>
      <c r="E192" s="21" t="s">
        <v>54</v>
      </c>
      <c r="F192" s="19" t="s">
        <v>54</v>
      </c>
      <c r="G192" s="19" t="s">
        <v>92</v>
      </c>
      <c r="H192" s="19">
        <v>681.5</v>
      </c>
      <c r="I192" s="41">
        <v>34415.75</v>
      </c>
      <c r="J192" s="42"/>
      <c r="K192" s="43"/>
      <c r="L192" s="42"/>
      <c r="M192" s="44"/>
      <c r="N192" s="45"/>
      <c r="O192" s="46">
        <f t="shared" si="101"/>
        <v>34415.75</v>
      </c>
      <c r="P192" s="53"/>
      <c r="Q192" s="53"/>
      <c r="R192" s="73">
        <f t="shared" si="96"/>
        <v>31413.5550489827</v>
      </c>
      <c r="S192" s="73"/>
      <c r="T192" s="74">
        <f t="shared" si="97"/>
        <v>61.6277317256971</v>
      </c>
      <c r="U192" s="73"/>
      <c r="V192" s="73"/>
      <c r="W192" s="73">
        <f t="shared" ref="W192:W209" si="105">SUM(R192:V192)</f>
        <v>31475.1827807084</v>
      </c>
      <c r="X192" s="75">
        <f t="shared" si="98"/>
        <v>499.328425018839</v>
      </c>
      <c r="Y192" s="75"/>
      <c r="Z192" s="75"/>
      <c r="AA192" s="75">
        <f t="shared" ref="AA192:AA209" si="106">SUM(X192:Z192)</f>
        <v>499.328425018839</v>
      </c>
      <c r="AB192" s="84">
        <v>7.22</v>
      </c>
      <c r="AC192" s="73">
        <f t="shared" ref="AC192:AC209" si="107">SUM(AA192*AB192)</f>
        <v>3605.15122863602</v>
      </c>
      <c r="AD192" s="73">
        <f t="shared" si="103"/>
        <v>35080.3340093444</v>
      </c>
      <c r="AE192" s="73">
        <f t="shared" si="104"/>
        <v>-664.584009344399</v>
      </c>
    </row>
    <row r="193" customFormat="1" spans="1:31">
      <c r="A193" s="18" t="s">
        <v>211</v>
      </c>
      <c r="B193" s="19" t="s">
        <v>212</v>
      </c>
      <c r="C193" s="20">
        <v>240428000001</v>
      </c>
      <c r="D193" s="21">
        <v>45419</v>
      </c>
      <c r="E193" s="21" t="s">
        <v>54</v>
      </c>
      <c r="F193" s="19" t="s">
        <v>108</v>
      </c>
      <c r="G193" s="19" t="s">
        <v>109</v>
      </c>
      <c r="H193" s="19">
        <v>5</v>
      </c>
      <c r="I193" s="41">
        <v>600</v>
      </c>
      <c r="J193" s="42"/>
      <c r="K193" s="43"/>
      <c r="L193" s="42"/>
      <c r="M193" s="44"/>
      <c r="N193" s="45"/>
      <c r="O193" s="46">
        <f t="shared" si="101"/>
        <v>600</v>
      </c>
      <c r="P193" s="47">
        <f>SUM(O193:O209)</f>
        <v>9729.6918</v>
      </c>
      <c r="Q193" s="47" t="s">
        <v>40</v>
      </c>
      <c r="R193" s="73">
        <f>SUM(3800/64)*H193</f>
        <v>296.875</v>
      </c>
      <c r="S193" s="73"/>
      <c r="T193" s="74">
        <f>SUM(68.61/64)*H193</f>
        <v>5.36015625</v>
      </c>
      <c r="U193" s="73"/>
      <c r="V193" s="73"/>
      <c r="W193" s="73">
        <f t="shared" si="105"/>
        <v>302.23515625</v>
      </c>
      <c r="X193" s="75">
        <f>SUM(185.76/64)*H193</f>
        <v>14.5125</v>
      </c>
      <c r="Y193" s="75"/>
      <c r="Z193" s="75"/>
      <c r="AA193" s="75">
        <f t="shared" si="106"/>
        <v>14.5125</v>
      </c>
      <c r="AB193" s="84">
        <v>7.22</v>
      </c>
      <c r="AC193" s="73">
        <f t="shared" si="107"/>
        <v>104.78025</v>
      </c>
      <c r="AD193" s="73">
        <f t="shared" si="103"/>
        <v>407.01540625</v>
      </c>
      <c r="AE193" s="73">
        <f t="shared" si="104"/>
        <v>192.98459375</v>
      </c>
    </row>
    <row r="194" customFormat="1" spans="1:31">
      <c r="A194" s="18"/>
      <c r="B194" s="19"/>
      <c r="C194" s="20">
        <v>240428000028</v>
      </c>
      <c r="D194" s="21">
        <v>45419</v>
      </c>
      <c r="E194" s="21" t="s">
        <v>44</v>
      </c>
      <c r="F194" s="19" t="s">
        <v>45</v>
      </c>
      <c r="G194" s="19" t="s">
        <v>213</v>
      </c>
      <c r="H194" s="19">
        <v>0.57</v>
      </c>
      <c r="I194" s="41">
        <v>115</v>
      </c>
      <c r="J194" s="42"/>
      <c r="K194" s="43"/>
      <c r="L194" s="42"/>
      <c r="M194" s="44"/>
      <c r="N194" s="45"/>
      <c r="O194" s="46">
        <f t="shared" si="101"/>
        <v>115</v>
      </c>
      <c r="P194" s="51"/>
      <c r="Q194" s="51"/>
      <c r="R194" s="73">
        <f t="shared" ref="R194:R209" si="108">SUM(3800/64)*H194</f>
        <v>33.84375</v>
      </c>
      <c r="S194" s="73"/>
      <c r="T194" s="74">
        <f t="shared" ref="T194:T209" si="109">SUM(68.61/64)*H194</f>
        <v>0.6110578125</v>
      </c>
      <c r="U194" s="73"/>
      <c r="V194" s="73"/>
      <c r="W194" s="73">
        <f t="shared" si="105"/>
        <v>34.4548078125</v>
      </c>
      <c r="X194" s="75">
        <f t="shared" ref="X194:X209" si="110">SUM(185.76/64)*H194</f>
        <v>1.654425</v>
      </c>
      <c r="Y194" s="75"/>
      <c r="Z194" s="75"/>
      <c r="AA194" s="75">
        <f t="shared" si="106"/>
        <v>1.654425</v>
      </c>
      <c r="AB194" s="84">
        <v>7.22</v>
      </c>
      <c r="AC194" s="73">
        <f t="shared" si="107"/>
        <v>11.9449485</v>
      </c>
      <c r="AD194" s="73">
        <f t="shared" si="103"/>
        <v>46.3997563125</v>
      </c>
      <c r="AE194" s="73">
        <f t="shared" si="104"/>
        <v>68.6002436875</v>
      </c>
    </row>
    <row r="195" customFormat="1" spans="1:31">
      <c r="A195" s="18"/>
      <c r="B195" s="19"/>
      <c r="C195" s="20">
        <v>240429000002</v>
      </c>
      <c r="D195" s="21">
        <v>45419</v>
      </c>
      <c r="E195" s="21" t="s">
        <v>41</v>
      </c>
      <c r="F195" s="19" t="s">
        <v>42</v>
      </c>
      <c r="G195" s="19" t="s">
        <v>214</v>
      </c>
      <c r="H195" s="19">
        <v>3</v>
      </c>
      <c r="I195" s="41">
        <v>1040</v>
      </c>
      <c r="J195" s="42"/>
      <c r="K195" s="43"/>
      <c r="L195" s="42"/>
      <c r="M195" s="44"/>
      <c r="N195" s="45"/>
      <c r="O195" s="46">
        <f t="shared" si="101"/>
        <v>1040</v>
      </c>
      <c r="P195" s="51"/>
      <c r="Q195" s="51"/>
      <c r="R195" s="73">
        <f t="shared" si="108"/>
        <v>178.125</v>
      </c>
      <c r="S195" s="73"/>
      <c r="T195" s="74">
        <f t="shared" si="109"/>
        <v>3.21609375</v>
      </c>
      <c r="U195" s="73"/>
      <c r="V195" s="73"/>
      <c r="W195" s="73">
        <f t="shared" si="105"/>
        <v>181.34109375</v>
      </c>
      <c r="X195" s="75">
        <f t="shared" si="110"/>
        <v>8.7075</v>
      </c>
      <c r="Y195" s="75"/>
      <c r="Z195" s="75"/>
      <c r="AA195" s="75">
        <f t="shared" si="106"/>
        <v>8.7075</v>
      </c>
      <c r="AB195" s="84">
        <v>7.22</v>
      </c>
      <c r="AC195" s="73">
        <f t="shared" si="107"/>
        <v>62.86815</v>
      </c>
      <c r="AD195" s="73">
        <f t="shared" si="103"/>
        <v>244.20924375</v>
      </c>
      <c r="AE195" s="73">
        <f t="shared" si="104"/>
        <v>795.79075625</v>
      </c>
    </row>
    <row r="196" customFormat="1" spans="1:31">
      <c r="A196" s="18"/>
      <c r="B196" s="19"/>
      <c r="C196" s="20">
        <v>240430000001</v>
      </c>
      <c r="D196" s="21">
        <v>45419</v>
      </c>
      <c r="E196" s="21" t="s">
        <v>54</v>
      </c>
      <c r="F196" s="19" t="s">
        <v>108</v>
      </c>
      <c r="G196" s="19" t="s">
        <v>109</v>
      </c>
      <c r="H196" s="19">
        <v>2</v>
      </c>
      <c r="I196" s="41">
        <v>240</v>
      </c>
      <c r="J196" s="42"/>
      <c r="K196" s="43"/>
      <c r="L196" s="42"/>
      <c r="M196" s="44"/>
      <c r="N196" s="45"/>
      <c r="O196" s="46">
        <f t="shared" si="101"/>
        <v>240</v>
      </c>
      <c r="P196" s="51"/>
      <c r="Q196" s="51"/>
      <c r="R196" s="73">
        <f t="shared" si="108"/>
        <v>118.75</v>
      </c>
      <c r="S196" s="73"/>
      <c r="T196" s="74">
        <f t="shared" si="109"/>
        <v>2.1440625</v>
      </c>
      <c r="U196" s="73"/>
      <c r="V196" s="73"/>
      <c r="W196" s="73">
        <f t="shared" si="105"/>
        <v>120.8940625</v>
      </c>
      <c r="X196" s="75">
        <f t="shared" si="110"/>
        <v>5.805</v>
      </c>
      <c r="Y196" s="75"/>
      <c r="Z196" s="75"/>
      <c r="AA196" s="75">
        <f t="shared" si="106"/>
        <v>5.805</v>
      </c>
      <c r="AB196" s="84">
        <v>7.22</v>
      </c>
      <c r="AC196" s="73">
        <f t="shared" si="107"/>
        <v>41.9121</v>
      </c>
      <c r="AD196" s="73">
        <f t="shared" si="103"/>
        <v>162.8061625</v>
      </c>
      <c r="AE196" s="73">
        <f t="shared" si="104"/>
        <v>77.1938375</v>
      </c>
    </row>
    <row r="197" customFormat="1" spans="1:31">
      <c r="A197" s="18"/>
      <c r="B197" s="19"/>
      <c r="C197" s="20">
        <v>240430000011</v>
      </c>
      <c r="D197" s="21">
        <v>45419</v>
      </c>
      <c r="E197" s="21" t="s">
        <v>44</v>
      </c>
      <c r="F197" s="19" t="s">
        <v>45</v>
      </c>
      <c r="G197" s="19" t="s">
        <v>51</v>
      </c>
      <c r="H197" s="19">
        <v>0.62</v>
      </c>
      <c r="I197" s="52"/>
      <c r="J197" s="48">
        <v>24360</v>
      </c>
      <c r="K197" s="43"/>
      <c r="L197" s="49">
        <f>SUM(J197/M197)</f>
        <v>1465.70397111913</v>
      </c>
      <c r="M197" s="50">
        <v>16.62</v>
      </c>
      <c r="N197" s="45">
        <v>7.22</v>
      </c>
      <c r="O197" s="46">
        <f>SUM(M197*N197)</f>
        <v>119.9964</v>
      </c>
      <c r="P197" s="51"/>
      <c r="Q197" s="51"/>
      <c r="R197" s="73">
        <f t="shared" si="108"/>
        <v>36.8125</v>
      </c>
      <c r="S197" s="73"/>
      <c r="T197" s="74">
        <f t="shared" si="109"/>
        <v>0.664659375</v>
      </c>
      <c r="U197" s="73"/>
      <c r="V197" s="73"/>
      <c r="W197" s="73">
        <f t="shared" si="105"/>
        <v>37.477159375</v>
      </c>
      <c r="X197" s="75">
        <f t="shared" si="110"/>
        <v>1.79955</v>
      </c>
      <c r="Y197" s="75"/>
      <c r="Z197" s="75"/>
      <c r="AA197" s="75">
        <f t="shared" si="106"/>
        <v>1.79955</v>
      </c>
      <c r="AB197" s="84">
        <v>7.22</v>
      </c>
      <c r="AC197" s="73">
        <f t="shared" si="107"/>
        <v>12.992751</v>
      </c>
      <c r="AD197" s="73">
        <f t="shared" si="103"/>
        <v>50.469910375</v>
      </c>
      <c r="AE197" s="73">
        <f t="shared" si="104"/>
        <v>69.526489625</v>
      </c>
    </row>
    <row r="198" customFormat="1" spans="1:31">
      <c r="A198" s="18"/>
      <c r="B198" s="19"/>
      <c r="C198" s="20">
        <v>240430000039</v>
      </c>
      <c r="D198" s="21">
        <v>45419</v>
      </c>
      <c r="E198" s="21" t="s">
        <v>47</v>
      </c>
      <c r="F198" s="19" t="s">
        <v>48</v>
      </c>
      <c r="G198" s="19" t="s">
        <v>49</v>
      </c>
      <c r="H198" s="19">
        <v>7</v>
      </c>
      <c r="I198" s="41">
        <v>840</v>
      </c>
      <c r="J198" s="42"/>
      <c r="K198" s="43"/>
      <c r="L198" s="42"/>
      <c r="M198" s="44"/>
      <c r="N198" s="45"/>
      <c r="O198" s="46">
        <f t="shared" ref="O198:O205" si="111">SUM(I198)</f>
        <v>840</v>
      </c>
      <c r="P198" s="51"/>
      <c r="Q198" s="51"/>
      <c r="R198" s="73">
        <f t="shared" si="108"/>
        <v>415.625</v>
      </c>
      <c r="S198" s="73"/>
      <c r="T198" s="74">
        <f t="shared" si="109"/>
        <v>7.50421875</v>
      </c>
      <c r="U198" s="73"/>
      <c r="V198" s="73"/>
      <c r="W198" s="73">
        <f t="shared" si="105"/>
        <v>423.12921875</v>
      </c>
      <c r="X198" s="75">
        <f t="shared" si="110"/>
        <v>20.3175</v>
      </c>
      <c r="Y198" s="75"/>
      <c r="Z198" s="75"/>
      <c r="AA198" s="75">
        <f t="shared" si="106"/>
        <v>20.3175</v>
      </c>
      <c r="AB198" s="84">
        <v>7.22</v>
      </c>
      <c r="AC198" s="73">
        <f t="shared" si="107"/>
        <v>146.69235</v>
      </c>
      <c r="AD198" s="73">
        <f t="shared" si="103"/>
        <v>569.82156875</v>
      </c>
      <c r="AE198" s="73">
        <f t="shared" si="104"/>
        <v>270.17843125</v>
      </c>
    </row>
    <row r="199" customFormat="1" spans="1:31">
      <c r="A199" s="18"/>
      <c r="B199" s="19"/>
      <c r="C199" s="20">
        <v>240430000045</v>
      </c>
      <c r="D199" s="21">
        <v>45419</v>
      </c>
      <c r="E199" s="21" t="s">
        <v>54</v>
      </c>
      <c r="F199" s="19" t="s">
        <v>54</v>
      </c>
      <c r="G199" s="19" t="s">
        <v>166</v>
      </c>
      <c r="H199" s="19">
        <v>4</v>
      </c>
      <c r="I199" s="41">
        <v>460</v>
      </c>
      <c r="J199" s="42"/>
      <c r="K199" s="43"/>
      <c r="L199" s="42"/>
      <c r="M199" s="44"/>
      <c r="N199" s="45"/>
      <c r="O199" s="46">
        <f t="shared" si="111"/>
        <v>460</v>
      </c>
      <c r="P199" s="51"/>
      <c r="Q199" s="51"/>
      <c r="R199" s="73">
        <f t="shared" si="108"/>
        <v>237.5</v>
      </c>
      <c r="S199" s="73"/>
      <c r="T199" s="74">
        <f t="shared" si="109"/>
        <v>4.288125</v>
      </c>
      <c r="U199" s="73"/>
      <c r="V199" s="73"/>
      <c r="W199" s="73">
        <f t="shared" si="105"/>
        <v>241.788125</v>
      </c>
      <c r="X199" s="75">
        <f t="shared" si="110"/>
        <v>11.61</v>
      </c>
      <c r="Y199" s="75"/>
      <c r="Z199" s="75"/>
      <c r="AA199" s="75">
        <f t="shared" si="106"/>
        <v>11.61</v>
      </c>
      <c r="AB199" s="84">
        <v>7.22</v>
      </c>
      <c r="AC199" s="73">
        <f t="shared" si="107"/>
        <v>83.8242</v>
      </c>
      <c r="AD199" s="73">
        <f t="shared" si="103"/>
        <v>325.612325</v>
      </c>
      <c r="AE199" s="73">
        <f t="shared" si="104"/>
        <v>134.387675</v>
      </c>
    </row>
    <row r="200" customFormat="1" spans="1:31">
      <c r="A200" s="18"/>
      <c r="B200" s="19"/>
      <c r="C200" s="20">
        <v>240502000009</v>
      </c>
      <c r="D200" s="21">
        <v>45419</v>
      </c>
      <c r="E200" s="21" t="s">
        <v>54</v>
      </c>
      <c r="F200" s="19" t="s">
        <v>108</v>
      </c>
      <c r="G200" s="19" t="s">
        <v>109</v>
      </c>
      <c r="H200" s="19">
        <v>2.5</v>
      </c>
      <c r="I200" s="41">
        <v>300</v>
      </c>
      <c r="J200" s="42"/>
      <c r="K200" s="43"/>
      <c r="L200" s="42"/>
      <c r="M200" s="44"/>
      <c r="N200" s="45"/>
      <c r="O200" s="46">
        <f t="shared" si="111"/>
        <v>300</v>
      </c>
      <c r="P200" s="51"/>
      <c r="Q200" s="51"/>
      <c r="R200" s="73">
        <f t="shared" si="108"/>
        <v>148.4375</v>
      </c>
      <c r="S200" s="73"/>
      <c r="T200" s="74">
        <f t="shared" si="109"/>
        <v>2.680078125</v>
      </c>
      <c r="U200" s="73"/>
      <c r="V200" s="73"/>
      <c r="W200" s="73">
        <f t="shared" si="105"/>
        <v>151.117578125</v>
      </c>
      <c r="X200" s="75">
        <f t="shared" si="110"/>
        <v>7.25625</v>
      </c>
      <c r="Y200" s="75"/>
      <c r="Z200" s="75"/>
      <c r="AA200" s="75">
        <f t="shared" si="106"/>
        <v>7.25625</v>
      </c>
      <c r="AB200" s="84">
        <v>7.22</v>
      </c>
      <c r="AC200" s="73">
        <f t="shared" si="107"/>
        <v>52.390125</v>
      </c>
      <c r="AD200" s="73">
        <f t="shared" si="103"/>
        <v>203.507703125</v>
      </c>
      <c r="AE200" s="73">
        <f t="shared" si="104"/>
        <v>96.492296875</v>
      </c>
    </row>
    <row r="201" customFormat="1" spans="1:31">
      <c r="A201" s="18"/>
      <c r="B201" s="19"/>
      <c r="C201" s="20">
        <v>240502000010</v>
      </c>
      <c r="D201" s="21">
        <v>45419</v>
      </c>
      <c r="E201" s="21" t="s">
        <v>54</v>
      </c>
      <c r="F201" s="19" t="s">
        <v>108</v>
      </c>
      <c r="G201" s="19" t="s">
        <v>109</v>
      </c>
      <c r="H201" s="19">
        <v>5</v>
      </c>
      <c r="I201" s="41">
        <v>600</v>
      </c>
      <c r="J201" s="42"/>
      <c r="K201" s="43"/>
      <c r="L201" s="42"/>
      <c r="M201" s="44"/>
      <c r="N201" s="45"/>
      <c r="O201" s="46">
        <f t="shared" si="111"/>
        <v>600</v>
      </c>
      <c r="P201" s="51"/>
      <c r="Q201" s="51"/>
      <c r="R201" s="73">
        <f t="shared" si="108"/>
        <v>296.875</v>
      </c>
      <c r="S201" s="73"/>
      <c r="T201" s="74">
        <f t="shared" si="109"/>
        <v>5.36015625</v>
      </c>
      <c r="U201" s="73"/>
      <c r="V201" s="73"/>
      <c r="W201" s="73">
        <f t="shared" si="105"/>
        <v>302.23515625</v>
      </c>
      <c r="X201" s="75">
        <f t="shared" si="110"/>
        <v>14.5125</v>
      </c>
      <c r="Y201" s="75"/>
      <c r="Z201" s="75"/>
      <c r="AA201" s="75">
        <f t="shared" si="106"/>
        <v>14.5125</v>
      </c>
      <c r="AB201" s="84">
        <v>7.22</v>
      </c>
      <c r="AC201" s="73">
        <f t="shared" si="107"/>
        <v>104.78025</v>
      </c>
      <c r="AD201" s="73">
        <f t="shared" si="103"/>
        <v>407.01540625</v>
      </c>
      <c r="AE201" s="73">
        <f t="shared" si="104"/>
        <v>192.98459375</v>
      </c>
    </row>
    <row r="202" customFormat="1" spans="1:31">
      <c r="A202" s="18"/>
      <c r="B202" s="19"/>
      <c r="C202" s="20">
        <v>240503000001</v>
      </c>
      <c r="D202" s="21">
        <v>45419</v>
      </c>
      <c r="E202" s="21" t="s">
        <v>44</v>
      </c>
      <c r="F202" s="19" t="s">
        <v>45</v>
      </c>
      <c r="G202" s="19" t="s">
        <v>215</v>
      </c>
      <c r="H202" s="19">
        <v>2</v>
      </c>
      <c r="I202" s="41">
        <v>380</v>
      </c>
      <c r="J202" s="42"/>
      <c r="K202" s="43"/>
      <c r="L202" s="42"/>
      <c r="M202" s="44"/>
      <c r="N202" s="45"/>
      <c r="O202" s="46">
        <f t="shared" si="111"/>
        <v>380</v>
      </c>
      <c r="P202" s="51"/>
      <c r="Q202" s="51"/>
      <c r="R202" s="73">
        <f t="shared" si="108"/>
        <v>118.75</v>
      </c>
      <c r="S202" s="73"/>
      <c r="T202" s="74">
        <f t="shared" si="109"/>
        <v>2.1440625</v>
      </c>
      <c r="U202" s="73"/>
      <c r="V202" s="73"/>
      <c r="W202" s="73">
        <f t="shared" si="105"/>
        <v>120.8940625</v>
      </c>
      <c r="X202" s="75">
        <f t="shared" si="110"/>
        <v>5.805</v>
      </c>
      <c r="Y202" s="75"/>
      <c r="Z202" s="75"/>
      <c r="AA202" s="75">
        <f t="shared" si="106"/>
        <v>5.805</v>
      </c>
      <c r="AB202" s="84">
        <v>7.22</v>
      </c>
      <c r="AC202" s="73">
        <f t="shared" si="107"/>
        <v>41.9121</v>
      </c>
      <c r="AD202" s="73">
        <f t="shared" si="103"/>
        <v>162.8061625</v>
      </c>
      <c r="AE202" s="73">
        <f t="shared" si="104"/>
        <v>217.1938375</v>
      </c>
    </row>
    <row r="203" customFormat="1" spans="1:31">
      <c r="A203" s="18"/>
      <c r="B203" s="19"/>
      <c r="C203" s="20">
        <v>240503000013</v>
      </c>
      <c r="D203" s="21">
        <v>45419</v>
      </c>
      <c r="E203" s="21" t="s">
        <v>44</v>
      </c>
      <c r="F203" s="19" t="s">
        <v>45</v>
      </c>
      <c r="G203" s="19" t="s">
        <v>124</v>
      </c>
      <c r="H203" s="19">
        <v>0.32</v>
      </c>
      <c r="I203" s="41">
        <v>115</v>
      </c>
      <c r="J203" s="42"/>
      <c r="K203" s="43"/>
      <c r="L203" s="42"/>
      <c r="M203" s="44"/>
      <c r="N203" s="45"/>
      <c r="O203" s="46">
        <f t="shared" si="111"/>
        <v>115</v>
      </c>
      <c r="P203" s="51"/>
      <c r="Q203" s="51"/>
      <c r="R203" s="73">
        <f t="shared" si="108"/>
        <v>19</v>
      </c>
      <c r="S203" s="73"/>
      <c r="T203" s="74">
        <f t="shared" si="109"/>
        <v>0.34305</v>
      </c>
      <c r="U203" s="73"/>
      <c r="V203" s="73"/>
      <c r="W203" s="73">
        <f t="shared" si="105"/>
        <v>19.34305</v>
      </c>
      <c r="X203" s="75">
        <f t="shared" si="110"/>
        <v>0.9288</v>
      </c>
      <c r="Y203" s="75"/>
      <c r="Z203" s="75"/>
      <c r="AA203" s="75">
        <f t="shared" si="106"/>
        <v>0.9288</v>
      </c>
      <c r="AB203" s="84">
        <v>7.22</v>
      </c>
      <c r="AC203" s="73">
        <f t="shared" si="107"/>
        <v>6.705936</v>
      </c>
      <c r="AD203" s="73">
        <f t="shared" si="103"/>
        <v>26.048986</v>
      </c>
      <c r="AE203" s="73">
        <f t="shared" si="104"/>
        <v>88.951014</v>
      </c>
    </row>
    <row r="204" customFormat="1" spans="1:31">
      <c r="A204" s="18"/>
      <c r="B204" s="19"/>
      <c r="C204" s="20">
        <v>240503000014</v>
      </c>
      <c r="D204" s="21">
        <v>45419</v>
      </c>
      <c r="E204" s="21" t="s">
        <v>44</v>
      </c>
      <c r="F204" s="19" t="s">
        <v>45</v>
      </c>
      <c r="G204" s="19" t="s">
        <v>46</v>
      </c>
      <c r="H204" s="19">
        <v>2</v>
      </c>
      <c r="I204" s="41">
        <v>230</v>
      </c>
      <c r="J204" s="42"/>
      <c r="K204" s="43"/>
      <c r="L204" s="42"/>
      <c r="M204" s="44"/>
      <c r="N204" s="45"/>
      <c r="O204" s="46">
        <f t="shared" si="111"/>
        <v>230</v>
      </c>
      <c r="P204" s="51"/>
      <c r="Q204" s="51"/>
      <c r="R204" s="73">
        <f t="shared" si="108"/>
        <v>118.75</v>
      </c>
      <c r="S204" s="73"/>
      <c r="T204" s="74">
        <f t="shared" si="109"/>
        <v>2.1440625</v>
      </c>
      <c r="U204" s="73"/>
      <c r="V204" s="73"/>
      <c r="W204" s="73">
        <f t="shared" si="105"/>
        <v>120.8940625</v>
      </c>
      <c r="X204" s="75">
        <f t="shared" si="110"/>
        <v>5.805</v>
      </c>
      <c r="Y204" s="75"/>
      <c r="Z204" s="75"/>
      <c r="AA204" s="75">
        <f t="shared" si="106"/>
        <v>5.805</v>
      </c>
      <c r="AB204" s="84">
        <v>7.22</v>
      </c>
      <c r="AC204" s="73">
        <f t="shared" si="107"/>
        <v>41.9121</v>
      </c>
      <c r="AD204" s="73">
        <f t="shared" si="103"/>
        <v>162.8061625</v>
      </c>
      <c r="AE204" s="73">
        <f t="shared" si="104"/>
        <v>67.1938375</v>
      </c>
    </row>
    <row r="205" customFormat="1" spans="1:31">
      <c r="A205" s="18"/>
      <c r="B205" s="19"/>
      <c r="C205" s="20">
        <v>240505000004</v>
      </c>
      <c r="D205" s="21">
        <v>45419</v>
      </c>
      <c r="E205" s="21" t="s">
        <v>54</v>
      </c>
      <c r="F205" s="19" t="s">
        <v>54</v>
      </c>
      <c r="G205" s="19" t="s">
        <v>100</v>
      </c>
      <c r="H205" s="19">
        <v>5.5</v>
      </c>
      <c r="I205" s="41">
        <v>632.5</v>
      </c>
      <c r="J205" s="42"/>
      <c r="K205" s="43"/>
      <c r="L205" s="42"/>
      <c r="M205" s="44"/>
      <c r="N205" s="45"/>
      <c r="O205" s="46">
        <f t="shared" si="111"/>
        <v>632.5</v>
      </c>
      <c r="P205" s="51"/>
      <c r="Q205" s="51"/>
      <c r="R205" s="73">
        <f t="shared" si="108"/>
        <v>326.5625</v>
      </c>
      <c r="S205" s="73"/>
      <c r="T205" s="74">
        <f t="shared" si="109"/>
        <v>5.896171875</v>
      </c>
      <c r="U205" s="73"/>
      <c r="V205" s="73"/>
      <c r="W205" s="73">
        <f t="shared" si="105"/>
        <v>332.458671875</v>
      </c>
      <c r="X205" s="75">
        <f t="shared" si="110"/>
        <v>15.96375</v>
      </c>
      <c r="Y205" s="75"/>
      <c r="Z205" s="75"/>
      <c r="AA205" s="75">
        <f t="shared" si="106"/>
        <v>15.96375</v>
      </c>
      <c r="AB205" s="84">
        <v>7.22</v>
      </c>
      <c r="AC205" s="73">
        <f t="shared" si="107"/>
        <v>115.258275</v>
      </c>
      <c r="AD205" s="73">
        <f t="shared" si="103"/>
        <v>447.716946875</v>
      </c>
      <c r="AE205" s="73">
        <f t="shared" si="104"/>
        <v>184.783053125</v>
      </c>
    </row>
    <row r="206" customFormat="1" spans="1:31">
      <c r="A206" s="18"/>
      <c r="B206" s="19"/>
      <c r="C206" s="20">
        <v>240505000010</v>
      </c>
      <c r="D206" s="21">
        <v>45419</v>
      </c>
      <c r="E206" s="21" t="s">
        <v>157</v>
      </c>
      <c r="F206" s="19" t="s">
        <v>159</v>
      </c>
      <c r="G206" s="19" t="s">
        <v>216</v>
      </c>
      <c r="H206" s="19">
        <v>0.24</v>
      </c>
      <c r="I206" s="46"/>
      <c r="J206" s="42"/>
      <c r="K206" s="54">
        <v>15.97</v>
      </c>
      <c r="L206" s="48"/>
      <c r="M206" s="50">
        <v>15.97</v>
      </c>
      <c r="N206" s="45">
        <v>7.22</v>
      </c>
      <c r="O206" s="46">
        <f>SUM(M206*N206)</f>
        <v>115.3034</v>
      </c>
      <c r="P206" s="51"/>
      <c r="Q206" s="51"/>
      <c r="R206" s="73">
        <f t="shared" si="108"/>
        <v>14.25</v>
      </c>
      <c r="S206" s="73"/>
      <c r="T206" s="74">
        <f t="shared" si="109"/>
        <v>0.2572875</v>
      </c>
      <c r="U206" s="73"/>
      <c r="V206" s="73"/>
      <c r="W206" s="73">
        <f t="shared" si="105"/>
        <v>14.5072875</v>
      </c>
      <c r="X206" s="75">
        <f t="shared" si="110"/>
        <v>0.6966</v>
      </c>
      <c r="Y206" s="75"/>
      <c r="Z206" s="75"/>
      <c r="AA206" s="75">
        <f t="shared" si="106"/>
        <v>0.6966</v>
      </c>
      <c r="AB206" s="84">
        <v>7.22</v>
      </c>
      <c r="AC206" s="73">
        <f t="shared" si="107"/>
        <v>5.029452</v>
      </c>
      <c r="AD206" s="73">
        <f t="shared" si="103"/>
        <v>19.5367395</v>
      </c>
      <c r="AE206" s="73">
        <f t="shared" si="104"/>
        <v>95.7666605</v>
      </c>
    </row>
    <row r="207" customFormat="1" spans="1:31">
      <c r="A207" s="18"/>
      <c r="B207" s="19"/>
      <c r="C207" s="20">
        <v>240506000009</v>
      </c>
      <c r="D207" s="21">
        <v>45419</v>
      </c>
      <c r="E207" s="21" t="s">
        <v>37</v>
      </c>
      <c r="F207" s="19" t="s">
        <v>38</v>
      </c>
      <c r="G207" s="19" t="s">
        <v>217</v>
      </c>
      <c r="H207" s="19">
        <v>3</v>
      </c>
      <c r="I207" s="46"/>
      <c r="J207" s="48">
        <v>71976</v>
      </c>
      <c r="K207" s="43"/>
      <c r="L207" s="49">
        <f>SUM(J207/M207)</f>
        <v>1480.98765432099</v>
      </c>
      <c r="M207" s="50">
        <v>48.6</v>
      </c>
      <c r="N207" s="45">
        <v>7.22</v>
      </c>
      <c r="O207" s="46">
        <f>SUM(M207*N207)</f>
        <v>350.892</v>
      </c>
      <c r="P207" s="51"/>
      <c r="Q207" s="51"/>
      <c r="R207" s="73">
        <f t="shared" si="108"/>
        <v>178.125</v>
      </c>
      <c r="S207" s="73"/>
      <c r="T207" s="74">
        <f t="shared" si="109"/>
        <v>3.21609375</v>
      </c>
      <c r="U207" s="73"/>
      <c r="V207" s="73"/>
      <c r="W207" s="73">
        <f t="shared" si="105"/>
        <v>181.34109375</v>
      </c>
      <c r="X207" s="75">
        <f t="shared" si="110"/>
        <v>8.7075</v>
      </c>
      <c r="Y207" s="75"/>
      <c r="Z207" s="75"/>
      <c r="AA207" s="75">
        <f t="shared" si="106"/>
        <v>8.7075</v>
      </c>
      <c r="AB207" s="84">
        <v>7.22</v>
      </c>
      <c r="AC207" s="73">
        <f t="shared" si="107"/>
        <v>62.86815</v>
      </c>
      <c r="AD207" s="73">
        <f t="shared" si="103"/>
        <v>244.20924375</v>
      </c>
      <c r="AE207" s="73">
        <f t="shared" si="104"/>
        <v>106.68275625</v>
      </c>
    </row>
    <row r="208" customFormat="1" spans="1:31">
      <c r="A208" s="18"/>
      <c r="B208" s="19"/>
      <c r="C208" s="20">
        <v>240506000010</v>
      </c>
      <c r="D208" s="21">
        <v>45419</v>
      </c>
      <c r="E208" s="21" t="s">
        <v>41</v>
      </c>
      <c r="F208" s="19" t="s">
        <v>42</v>
      </c>
      <c r="G208" s="19" t="s">
        <v>167</v>
      </c>
      <c r="H208" s="19">
        <v>20</v>
      </c>
      <c r="I208" s="41">
        <v>2551</v>
      </c>
      <c r="J208" s="42"/>
      <c r="K208" s="43"/>
      <c r="L208" s="42"/>
      <c r="M208" s="44"/>
      <c r="N208" s="45"/>
      <c r="O208" s="46">
        <f t="shared" ref="O208:O212" si="112">SUM(I208)</f>
        <v>2551</v>
      </c>
      <c r="P208" s="51"/>
      <c r="Q208" s="51"/>
      <c r="R208" s="73">
        <f t="shared" si="108"/>
        <v>1187.5</v>
      </c>
      <c r="S208" s="73"/>
      <c r="T208" s="74">
        <f t="shared" si="109"/>
        <v>21.440625</v>
      </c>
      <c r="U208" s="73"/>
      <c r="V208" s="74">
        <v>151</v>
      </c>
      <c r="W208" s="73">
        <f t="shared" ref="W208:W214" si="113">SUM(R208:V208)</f>
        <v>1359.940625</v>
      </c>
      <c r="X208" s="75">
        <f t="shared" si="110"/>
        <v>58.05</v>
      </c>
      <c r="Y208" s="75"/>
      <c r="Z208" s="75"/>
      <c r="AA208" s="75">
        <f t="shared" si="106"/>
        <v>58.05</v>
      </c>
      <c r="AB208" s="84">
        <v>7.22</v>
      </c>
      <c r="AC208" s="73">
        <f t="shared" si="107"/>
        <v>419.121</v>
      </c>
      <c r="AD208" s="73">
        <f t="shared" si="103"/>
        <v>1779.061625</v>
      </c>
      <c r="AE208" s="73">
        <f t="shared" ref="AE208:AE214" si="114">SUM(O208-AD208)</f>
        <v>771.938375</v>
      </c>
    </row>
    <row r="209" customFormat="1" spans="1:31">
      <c r="A209" s="18"/>
      <c r="B209" s="19"/>
      <c r="C209" s="20">
        <v>240506000014</v>
      </c>
      <c r="D209" s="21">
        <v>45419</v>
      </c>
      <c r="E209" s="21" t="s">
        <v>41</v>
      </c>
      <c r="F209" s="19" t="s">
        <v>42</v>
      </c>
      <c r="G209" s="19" t="s">
        <v>167</v>
      </c>
      <c r="H209" s="19">
        <v>8.5</v>
      </c>
      <c r="I209" s="41">
        <v>1040</v>
      </c>
      <c r="J209" s="42"/>
      <c r="K209" s="43"/>
      <c r="L209" s="42"/>
      <c r="M209" s="44"/>
      <c r="N209" s="45"/>
      <c r="O209" s="46">
        <f t="shared" si="112"/>
        <v>1040</v>
      </c>
      <c r="P209" s="53"/>
      <c r="Q209" s="53"/>
      <c r="R209" s="73">
        <f t="shared" si="108"/>
        <v>504.6875</v>
      </c>
      <c r="S209" s="73"/>
      <c r="T209" s="74">
        <f t="shared" si="109"/>
        <v>9.112265625</v>
      </c>
      <c r="U209" s="73"/>
      <c r="V209" s="74">
        <v>41</v>
      </c>
      <c r="W209" s="73">
        <f t="shared" si="113"/>
        <v>554.799765625</v>
      </c>
      <c r="X209" s="75">
        <f t="shared" si="110"/>
        <v>24.67125</v>
      </c>
      <c r="Y209" s="75"/>
      <c r="Z209" s="75"/>
      <c r="AA209" s="75">
        <f t="shared" ref="AA209:AA214" si="115">SUM(X209:Z209)</f>
        <v>24.67125</v>
      </c>
      <c r="AB209" s="84">
        <v>7.22</v>
      </c>
      <c r="AC209" s="73">
        <f t="shared" ref="AC209:AC214" si="116">SUM(AA209*AB209)</f>
        <v>178.126425</v>
      </c>
      <c r="AD209" s="73">
        <f t="shared" ref="AD209:AD214" si="117">SUM(W209+AC209)</f>
        <v>732.926190625</v>
      </c>
      <c r="AE209" s="73">
        <f t="shared" si="114"/>
        <v>307.073809375</v>
      </c>
    </row>
    <row r="210" customFormat="1" spans="1:31">
      <c r="A210" s="18" t="s">
        <v>218</v>
      </c>
      <c r="B210" s="19" t="s">
        <v>219</v>
      </c>
      <c r="C210" s="20">
        <v>240506000016</v>
      </c>
      <c r="D210" s="21">
        <v>45420</v>
      </c>
      <c r="E210" s="21" t="s">
        <v>47</v>
      </c>
      <c r="F210" s="19" t="s">
        <v>48</v>
      </c>
      <c r="G210" s="19" t="s">
        <v>49</v>
      </c>
      <c r="H210" s="19">
        <v>7.5</v>
      </c>
      <c r="I210" s="41">
        <v>1125</v>
      </c>
      <c r="J210" s="42"/>
      <c r="K210" s="43"/>
      <c r="L210" s="42"/>
      <c r="M210" s="44"/>
      <c r="N210" s="45"/>
      <c r="O210" s="46">
        <f t="shared" si="112"/>
        <v>1125</v>
      </c>
      <c r="P210" s="91">
        <f>SUM(O210:O214)</f>
        <v>4914.5082</v>
      </c>
      <c r="Q210" s="91" t="s">
        <v>40</v>
      </c>
      <c r="R210" s="95">
        <f>SUM(1600/32)*H210</f>
        <v>375</v>
      </c>
      <c r="S210" s="95"/>
      <c r="T210" s="88">
        <f>SUM(60.61/32)*H210</f>
        <v>14.20546875</v>
      </c>
      <c r="U210" s="95"/>
      <c r="V210" s="95"/>
      <c r="W210" s="73">
        <f t="shared" si="113"/>
        <v>389.20546875</v>
      </c>
      <c r="X210" s="96">
        <f>SUM(141.82/32)*H210</f>
        <v>33.2390625</v>
      </c>
      <c r="Y210" s="96"/>
      <c r="Z210" s="96"/>
      <c r="AA210" s="75">
        <f t="shared" si="115"/>
        <v>33.2390625</v>
      </c>
      <c r="AB210" s="84">
        <v>7.22</v>
      </c>
      <c r="AC210" s="73">
        <f t="shared" si="116"/>
        <v>239.98603125</v>
      </c>
      <c r="AD210" s="73">
        <f t="shared" si="117"/>
        <v>629.1915</v>
      </c>
      <c r="AE210" s="73">
        <f t="shared" si="114"/>
        <v>495.8085</v>
      </c>
    </row>
    <row r="211" customFormat="1" spans="1:31">
      <c r="A211" s="18"/>
      <c r="B211" s="19"/>
      <c r="C211" s="20">
        <v>240506000017</v>
      </c>
      <c r="D211" s="21">
        <v>45420</v>
      </c>
      <c r="E211" s="21" t="s">
        <v>37</v>
      </c>
      <c r="F211" s="19" t="s">
        <v>38</v>
      </c>
      <c r="G211" s="19" t="s">
        <v>220</v>
      </c>
      <c r="H211" s="19">
        <v>2.5</v>
      </c>
      <c r="I211" s="41">
        <v>400</v>
      </c>
      <c r="J211" s="42"/>
      <c r="K211" s="43"/>
      <c r="L211" s="42"/>
      <c r="M211" s="44"/>
      <c r="N211" s="45"/>
      <c r="O211" s="46">
        <f t="shared" si="112"/>
        <v>400</v>
      </c>
      <c r="P211" s="92"/>
      <c r="Q211" s="92"/>
      <c r="R211" s="95">
        <f>SUM(1600/32)*H211</f>
        <v>125</v>
      </c>
      <c r="S211" s="95"/>
      <c r="T211" s="88">
        <f>SUM(60.61/32)*H211</f>
        <v>4.73515625</v>
      </c>
      <c r="U211" s="95"/>
      <c r="V211" s="95"/>
      <c r="W211" s="73">
        <f t="shared" si="113"/>
        <v>129.73515625</v>
      </c>
      <c r="X211" s="96">
        <f>SUM(141.82/32)*H211</f>
        <v>11.0796875</v>
      </c>
      <c r="Y211" s="96"/>
      <c r="Z211" s="96"/>
      <c r="AA211" s="75">
        <f t="shared" si="115"/>
        <v>11.0796875</v>
      </c>
      <c r="AB211" s="84">
        <v>7.22</v>
      </c>
      <c r="AC211" s="73">
        <f t="shared" si="116"/>
        <v>79.99534375</v>
      </c>
      <c r="AD211" s="73">
        <f t="shared" si="117"/>
        <v>209.7305</v>
      </c>
      <c r="AE211" s="73">
        <f t="shared" si="114"/>
        <v>190.2695</v>
      </c>
    </row>
    <row r="212" customFormat="1" spans="1:31">
      <c r="A212" s="18"/>
      <c r="B212" s="19"/>
      <c r="C212" s="20">
        <v>240507000004</v>
      </c>
      <c r="D212" s="21">
        <v>45420</v>
      </c>
      <c r="E212" s="21" t="s">
        <v>37</v>
      </c>
      <c r="F212" s="19" t="s">
        <v>38</v>
      </c>
      <c r="G212" s="19" t="s">
        <v>220</v>
      </c>
      <c r="H212" s="19">
        <v>2.5</v>
      </c>
      <c r="I212" s="41">
        <v>800</v>
      </c>
      <c r="J212" s="42"/>
      <c r="K212" s="43"/>
      <c r="L212" s="42"/>
      <c r="M212" s="44"/>
      <c r="N212" s="45"/>
      <c r="O212" s="46">
        <f t="shared" si="112"/>
        <v>800</v>
      </c>
      <c r="P212" s="92"/>
      <c r="Q212" s="92"/>
      <c r="R212" s="95">
        <f>SUM(1600/32)*H212</f>
        <v>125</v>
      </c>
      <c r="S212" s="95"/>
      <c r="T212" s="88">
        <f>SUM(60.61/32)*H212</f>
        <v>4.73515625</v>
      </c>
      <c r="U212" s="95"/>
      <c r="V212" s="95"/>
      <c r="W212" s="73">
        <f t="shared" si="113"/>
        <v>129.73515625</v>
      </c>
      <c r="X212" s="96">
        <f>SUM(141.82/32)*H212</f>
        <v>11.0796875</v>
      </c>
      <c r="Y212" s="96"/>
      <c r="Z212" s="96"/>
      <c r="AA212" s="75">
        <f t="shared" si="115"/>
        <v>11.0796875</v>
      </c>
      <c r="AB212" s="84">
        <v>7.22</v>
      </c>
      <c r="AC212" s="73">
        <f t="shared" si="116"/>
        <v>79.99534375</v>
      </c>
      <c r="AD212" s="73">
        <f t="shared" si="117"/>
        <v>209.7305</v>
      </c>
      <c r="AE212" s="73">
        <f t="shared" si="114"/>
        <v>590.2695</v>
      </c>
    </row>
    <row r="213" customFormat="1" spans="1:31">
      <c r="A213" s="18"/>
      <c r="B213" s="19"/>
      <c r="C213" s="20">
        <v>240507000005</v>
      </c>
      <c r="D213" s="21">
        <v>45420</v>
      </c>
      <c r="E213" s="21" t="s">
        <v>37</v>
      </c>
      <c r="F213" s="19" t="s">
        <v>38</v>
      </c>
      <c r="G213" s="19" t="s">
        <v>217</v>
      </c>
      <c r="H213" s="19">
        <v>6.5</v>
      </c>
      <c r="I213" s="46"/>
      <c r="J213" s="48">
        <v>153742</v>
      </c>
      <c r="K213" s="43"/>
      <c r="L213" s="49">
        <f>SUM(J213/M213)</f>
        <v>1480.99412388017</v>
      </c>
      <c r="M213" s="50">
        <v>103.81</v>
      </c>
      <c r="N213" s="45">
        <v>7.22</v>
      </c>
      <c r="O213" s="46">
        <f t="shared" ref="O213:O216" si="118">SUM(M213*N213)</f>
        <v>749.5082</v>
      </c>
      <c r="P213" s="92"/>
      <c r="Q213" s="92"/>
      <c r="R213" s="95">
        <f>SUM(1600/32)*H213</f>
        <v>325</v>
      </c>
      <c r="S213" s="95"/>
      <c r="T213" s="88">
        <f>SUM(60.61/32)*H213</f>
        <v>12.31140625</v>
      </c>
      <c r="U213" s="95"/>
      <c r="V213" s="95"/>
      <c r="W213" s="73">
        <f t="shared" si="113"/>
        <v>337.31140625</v>
      </c>
      <c r="X213" s="96">
        <f>SUM(141.82/32)*H213</f>
        <v>28.8071875</v>
      </c>
      <c r="Y213" s="96"/>
      <c r="Z213" s="96"/>
      <c r="AA213" s="75">
        <f t="shared" si="115"/>
        <v>28.8071875</v>
      </c>
      <c r="AB213" s="84">
        <v>7.22</v>
      </c>
      <c r="AC213" s="73">
        <f t="shared" si="116"/>
        <v>207.98789375</v>
      </c>
      <c r="AD213" s="73">
        <f t="shared" si="117"/>
        <v>545.2993</v>
      </c>
      <c r="AE213" s="73">
        <f t="shared" si="114"/>
        <v>204.2089</v>
      </c>
    </row>
    <row r="214" customFormat="1" spans="1:31">
      <c r="A214" s="18"/>
      <c r="B214" s="19"/>
      <c r="C214" s="20">
        <v>240507000033</v>
      </c>
      <c r="D214" s="21">
        <v>45420</v>
      </c>
      <c r="E214" s="21" t="s">
        <v>54</v>
      </c>
      <c r="F214" s="19" t="s">
        <v>54</v>
      </c>
      <c r="G214" s="19" t="s">
        <v>101</v>
      </c>
      <c r="H214" s="19">
        <v>16</v>
      </c>
      <c r="I214" s="41">
        <v>1840</v>
      </c>
      <c r="J214" s="42"/>
      <c r="K214" s="43"/>
      <c r="L214" s="42"/>
      <c r="M214" s="44"/>
      <c r="N214" s="45"/>
      <c r="O214" s="46">
        <f t="shared" ref="O214:O218" si="119">SUM(I214)</f>
        <v>1840</v>
      </c>
      <c r="P214" s="93"/>
      <c r="Q214" s="93"/>
      <c r="R214" s="95">
        <f>SUM(1600/32)*H214</f>
        <v>800</v>
      </c>
      <c r="S214" s="95"/>
      <c r="T214" s="88">
        <f>SUM(60.61/32)*H214</f>
        <v>30.305</v>
      </c>
      <c r="U214" s="95"/>
      <c r="V214" s="95"/>
      <c r="W214" s="73">
        <f t="shared" si="113"/>
        <v>830.305</v>
      </c>
      <c r="X214" s="96">
        <f>SUM(141.82/32)*H214</f>
        <v>70.91</v>
      </c>
      <c r="Y214" s="96"/>
      <c r="Z214" s="96"/>
      <c r="AA214" s="75">
        <f t="shared" ref="AA214:AA245" si="120">SUM(X214:Z214)</f>
        <v>70.91</v>
      </c>
      <c r="AB214" s="84">
        <v>7.22</v>
      </c>
      <c r="AC214" s="73">
        <f t="shared" ref="AC214:AC245" si="121">SUM(AA214*AB214)</f>
        <v>511.9702</v>
      </c>
      <c r="AD214" s="73">
        <f t="shared" ref="AD214:AD245" si="122">SUM(W214+AC214)</f>
        <v>1342.2752</v>
      </c>
      <c r="AE214" s="73">
        <f t="shared" si="114"/>
        <v>497.7248</v>
      </c>
    </row>
    <row r="215" customFormat="1" spans="1:31">
      <c r="A215" s="18" t="s">
        <v>221</v>
      </c>
      <c r="B215" s="19" t="s">
        <v>222</v>
      </c>
      <c r="C215" s="20">
        <v>240430000002</v>
      </c>
      <c r="D215" s="21">
        <v>45421</v>
      </c>
      <c r="E215" s="21" t="s">
        <v>47</v>
      </c>
      <c r="F215" s="19" t="s">
        <v>48</v>
      </c>
      <c r="G215" s="19" t="s">
        <v>223</v>
      </c>
      <c r="H215" s="19">
        <v>3</v>
      </c>
      <c r="I215" s="52"/>
      <c r="J215" s="48">
        <v>39975</v>
      </c>
      <c r="K215" s="43"/>
      <c r="L215" s="49">
        <f>SUM(J215/M215)</f>
        <v>1480.55555555556</v>
      </c>
      <c r="M215" s="50">
        <v>27</v>
      </c>
      <c r="N215" s="45">
        <v>7.22</v>
      </c>
      <c r="O215" s="46">
        <f t="shared" si="118"/>
        <v>194.94</v>
      </c>
      <c r="P215" s="91">
        <f>SUM(O215:O279)</f>
        <v>150157.2958</v>
      </c>
      <c r="Q215" s="97" t="s">
        <v>224</v>
      </c>
      <c r="R215" s="95">
        <f>SUM(108698/2670)*H215</f>
        <v>122.132584269663</v>
      </c>
      <c r="S215" s="88">
        <f>SUM(54/2670)*H215</f>
        <v>0.0606741573033708</v>
      </c>
      <c r="T215" s="88">
        <f>SUM(260.56/2670)*H215</f>
        <v>0.29276404494382</v>
      </c>
      <c r="U215" s="95"/>
      <c r="V215" s="95"/>
      <c r="W215" s="73">
        <f t="shared" ref="W215:W246" si="123">SUM(R215:V215)</f>
        <v>122.48602247191</v>
      </c>
      <c r="X215" s="96">
        <f>SUM(2011.23/2670)*H215</f>
        <v>2.25980898876404</v>
      </c>
      <c r="Y215" s="96"/>
      <c r="Z215" s="96"/>
      <c r="AA215" s="75">
        <f t="shared" si="120"/>
        <v>2.25980898876404</v>
      </c>
      <c r="AB215" s="84">
        <v>7.22</v>
      </c>
      <c r="AC215" s="73">
        <f t="shared" si="121"/>
        <v>16.3158208988764</v>
      </c>
      <c r="AD215" s="73">
        <f t="shared" si="122"/>
        <v>138.801843370787</v>
      </c>
      <c r="AE215" s="73">
        <f t="shared" ref="AE215:AE246" si="124">SUM(O215-AD215)</f>
        <v>56.1381566292135</v>
      </c>
    </row>
    <row r="216" customFormat="1" spans="1:31">
      <c r="A216" s="18"/>
      <c r="B216" s="19"/>
      <c r="C216" s="20">
        <v>240430000006</v>
      </c>
      <c r="D216" s="21">
        <v>45421</v>
      </c>
      <c r="E216" s="21" t="s">
        <v>41</v>
      </c>
      <c r="F216" s="19" t="s">
        <v>42</v>
      </c>
      <c r="G216" s="19" t="s">
        <v>225</v>
      </c>
      <c r="H216" s="19">
        <v>40.5</v>
      </c>
      <c r="I216" s="46"/>
      <c r="J216" s="42"/>
      <c r="K216" s="54">
        <v>300.9</v>
      </c>
      <c r="L216" s="42"/>
      <c r="M216" s="50">
        <v>300.9</v>
      </c>
      <c r="N216" s="45">
        <v>7.22</v>
      </c>
      <c r="O216" s="46">
        <f t="shared" si="118"/>
        <v>2172.498</v>
      </c>
      <c r="P216" s="92"/>
      <c r="Q216" s="92"/>
      <c r="R216" s="95">
        <f t="shared" ref="R216:R247" si="125">SUM(108698/2670)*H216</f>
        <v>1648.78988764045</v>
      </c>
      <c r="S216" s="88">
        <f t="shared" ref="S216:S247" si="126">SUM(54/2670)*H216</f>
        <v>0.819101123595506</v>
      </c>
      <c r="T216" s="88">
        <f t="shared" ref="T216:T247" si="127">SUM(260.56/2670)*H216</f>
        <v>3.95231460674157</v>
      </c>
      <c r="U216" s="95"/>
      <c r="V216" s="95"/>
      <c r="W216" s="73">
        <f t="shared" si="123"/>
        <v>1653.56130337079</v>
      </c>
      <c r="X216" s="96">
        <f t="shared" ref="X216:X247" si="128">SUM(2011.23/2670)*H216</f>
        <v>30.5074213483146</v>
      </c>
      <c r="Y216" s="96"/>
      <c r="Z216" s="96"/>
      <c r="AA216" s="75">
        <f t="shared" si="120"/>
        <v>30.5074213483146</v>
      </c>
      <c r="AB216" s="84">
        <v>7.22</v>
      </c>
      <c r="AC216" s="73">
        <f t="shared" si="121"/>
        <v>220.263582134831</v>
      </c>
      <c r="AD216" s="73">
        <f t="shared" si="122"/>
        <v>1873.82488550562</v>
      </c>
      <c r="AE216" s="73">
        <f t="shared" si="124"/>
        <v>298.673114494382</v>
      </c>
    </row>
    <row r="217" customFormat="1" spans="1:31">
      <c r="A217" s="18"/>
      <c r="B217" s="19"/>
      <c r="C217" s="20">
        <v>240430000008</v>
      </c>
      <c r="D217" s="21">
        <v>45421</v>
      </c>
      <c r="E217" s="21" t="s">
        <v>44</v>
      </c>
      <c r="F217" s="19" t="s">
        <v>45</v>
      </c>
      <c r="G217" s="19" t="s">
        <v>226</v>
      </c>
      <c r="H217" s="19">
        <v>42</v>
      </c>
      <c r="I217" s="41">
        <v>2310</v>
      </c>
      <c r="J217" s="42"/>
      <c r="K217" s="43"/>
      <c r="L217" s="42"/>
      <c r="M217" s="44"/>
      <c r="N217" s="45"/>
      <c r="O217" s="46">
        <f t="shared" si="119"/>
        <v>2310</v>
      </c>
      <c r="P217" s="92"/>
      <c r="Q217" s="92"/>
      <c r="R217" s="95">
        <f t="shared" si="125"/>
        <v>1709.85617977528</v>
      </c>
      <c r="S217" s="88">
        <f t="shared" si="126"/>
        <v>0.849438202247191</v>
      </c>
      <c r="T217" s="88">
        <f t="shared" si="127"/>
        <v>4.09869662921348</v>
      </c>
      <c r="U217" s="95"/>
      <c r="V217" s="95"/>
      <c r="W217" s="73">
        <f t="shared" si="123"/>
        <v>1714.80431460674</v>
      </c>
      <c r="X217" s="96">
        <f t="shared" si="128"/>
        <v>31.6373258426966</v>
      </c>
      <c r="Y217" s="96"/>
      <c r="Z217" s="96"/>
      <c r="AA217" s="75">
        <f t="shared" si="120"/>
        <v>31.6373258426966</v>
      </c>
      <c r="AB217" s="84">
        <v>7.22</v>
      </c>
      <c r="AC217" s="73">
        <f t="shared" si="121"/>
        <v>228.42149258427</v>
      </c>
      <c r="AD217" s="73">
        <f t="shared" si="122"/>
        <v>1943.22580719101</v>
      </c>
      <c r="AE217" s="73">
        <f t="shared" si="124"/>
        <v>366.774192808989</v>
      </c>
    </row>
    <row r="218" customFormat="1" spans="1:31">
      <c r="A218" s="18"/>
      <c r="B218" s="19"/>
      <c r="C218" s="20">
        <v>240430000010</v>
      </c>
      <c r="D218" s="21">
        <v>45421</v>
      </c>
      <c r="E218" s="21" t="s">
        <v>44</v>
      </c>
      <c r="F218" s="19" t="s">
        <v>45</v>
      </c>
      <c r="G218" s="19" t="s">
        <v>227</v>
      </c>
      <c r="H218" s="19">
        <v>93</v>
      </c>
      <c r="I218" s="41">
        <v>5255</v>
      </c>
      <c r="J218" s="42"/>
      <c r="K218" s="43"/>
      <c r="L218" s="42"/>
      <c r="M218" s="44"/>
      <c r="N218" s="45"/>
      <c r="O218" s="46">
        <f t="shared" si="119"/>
        <v>5255</v>
      </c>
      <c r="P218" s="92"/>
      <c r="Q218" s="92"/>
      <c r="R218" s="95">
        <f t="shared" si="125"/>
        <v>3786.11011235955</v>
      </c>
      <c r="S218" s="88">
        <f t="shared" si="126"/>
        <v>1.88089887640449</v>
      </c>
      <c r="T218" s="88">
        <f t="shared" si="127"/>
        <v>9.07568539325843</v>
      </c>
      <c r="U218" s="95"/>
      <c r="V218" s="88">
        <v>140</v>
      </c>
      <c r="W218" s="73">
        <f t="shared" si="123"/>
        <v>3937.06669662921</v>
      </c>
      <c r="X218" s="96">
        <f t="shared" si="128"/>
        <v>70.0540786516854</v>
      </c>
      <c r="Y218" s="96"/>
      <c r="Z218" s="96"/>
      <c r="AA218" s="75">
        <f t="shared" si="120"/>
        <v>70.0540786516854</v>
      </c>
      <c r="AB218" s="84">
        <v>7.22</v>
      </c>
      <c r="AC218" s="73">
        <f t="shared" si="121"/>
        <v>505.790447865169</v>
      </c>
      <c r="AD218" s="73">
        <f t="shared" si="122"/>
        <v>4442.85714449438</v>
      </c>
      <c r="AE218" s="73">
        <f t="shared" si="124"/>
        <v>812.142855505617</v>
      </c>
    </row>
    <row r="219" customFormat="1" spans="1:31">
      <c r="A219" s="18"/>
      <c r="B219" s="19"/>
      <c r="C219" s="20">
        <v>240430000018</v>
      </c>
      <c r="D219" s="21">
        <v>45421</v>
      </c>
      <c r="E219" s="21" t="s">
        <v>41</v>
      </c>
      <c r="F219" s="19" t="s">
        <v>42</v>
      </c>
      <c r="G219" s="19" t="s">
        <v>141</v>
      </c>
      <c r="H219" s="19">
        <v>31</v>
      </c>
      <c r="I219" s="52"/>
      <c r="J219" s="48">
        <v>359107</v>
      </c>
      <c r="K219" s="43"/>
      <c r="L219" s="49">
        <f t="shared" ref="L219:L225" si="129">SUM(J219/M219)</f>
        <v>1465.68303334558</v>
      </c>
      <c r="M219" s="50">
        <v>245.01</v>
      </c>
      <c r="N219" s="45">
        <v>7.22</v>
      </c>
      <c r="O219" s="46">
        <f t="shared" ref="O219:O225" si="130">SUM(M219*N219)</f>
        <v>1768.9722</v>
      </c>
      <c r="P219" s="92"/>
      <c r="Q219" s="92"/>
      <c r="R219" s="95">
        <f t="shared" si="125"/>
        <v>1262.03670411985</v>
      </c>
      <c r="S219" s="88">
        <f t="shared" si="126"/>
        <v>0.626966292134831</v>
      </c>
      <c r="T219" s="88">
        <f t="shared" si="127"/>
        <v>3.02522846441948</v>
      </c>
      <c r="U219" s="95"/>
      <c r="V219" s="95"/>
      <c r="W219" s="73">
        <f t="shared" si="123"/>
        <v>1265.6888988764</v>
      </c>
      <c r="X219" s="96">
        <f t="shared" si="128"/>
        <v>23.3513595505618</v>
      </c>
      <c r="Y219" s="96"/>
      <c r="Z219" s="96"/>
      <c r="AA219" s="75">
        <f t="shared" si="120"/>
        <v>23.3513595505618</v>
      </c>
      <c r="AB219" s="84">
        <v>7.22</v>
      </c>
      <c r="AC219" s="73">
        <f t="shared" si="121"/>
        <v>168.596815955056</v>
      </c>
      <c r="AD219" s="73">
        <f t="shared" si="122"/>
        <v>1434.28571483146</v>
      </c>
      <c r="AE219" s="73">
        <f t="shared" si="124"/>
        <v>334.686485168539</v>
      </c>
    </row>
    <row r="220" customFormat="1" spans="1:31">
      <c r="A220" s="18"/>
      <c r="B220" s="19"/>
      <c r="C220" s="20">
        <v>240430000021</v>
      </c>
      <c r="D220" s="21">
        <v>45421</v>
      </c>
      <c r="E220" s="21" t="s">
        <v>54</v>
      </c>
      <c r="F220" s="19" t="s">
        <v>54</v>
      </c>
      <c r="G220" s="19" t="s">
        <v>71</v>
      </c>
      <c r="H220" s="19">
        <v>18</v>
      </c>
      <c r="I220" s="41">
        <v>1076</v>
      </c>
      <c r="J220" s="42"/>
      <c r="K220" s="43"/>
      <c r="L220" s="42"/>
      <c r="M220" s="44"/>
      <c r="N220" s="45"/>
      <c r="O220" s="46">
        <f t="shared" ref="O220:O222" si="131">SUM(I220)</f>
        <v>1076</v>
      </c>
      <c r="P220" s="92"/>
      <c r="Q220" s="92"/>
      <c r="R220" s="95">
        <f t="shared" si="125"/>
        <v>732.795505617978</v>
      </c>
      <c r="S220" s="88">
        <f t="shared" si="126"/>
        <v>0.364044943820225</v>
      </c>
      <c r="T220" s="88">
        <f t="shared" si="127"/>
        <v>1.75658426966292</v>
      </c>
      <c r="U220" s="95">
        <v>40</v>
      </c>
      <c r="V220" s="95"/>
      <c r="W220" s="73">
        <f t="shared" si="123"/>
        <v>774.916134831461</v>
      </c>
      <c r="X220" s="96">
        <f t="shared" si="128"/>
        <v>13.5588539325843</v>
      </c>
      <c r="Y220" s="96"/>
      <c r="Z220" s="96"/>
      <c r="AA220" s="75">
        <f t="shared" si="120"/>
        <v>13.5588539325843</v>
      </c>
      <c r="AB220" s="84">
        <v>7.22</v>
      </c>
      <c r="AC220" s="73">
        <f t="shared" si="121"/>
        <v>97.8949253932584</v>
      </c>
      <c r="AD220" s="73">
        <f t="shared" si="122"/>
        <v>872.811060224719</v>
      </c>
      <c r="AE220" s="73">
        <f t="shared" si="124"/>
        <v>203.188939775281</v>
      </c>
    </row>
    <row r="221" customFormat="1" spans="1:31">
      <c r="A221" s="18"/>
      <c r="B221" s="19"/>
      <c r="C221" s="20">
        <v>240430000034</v>
      </c>
      <c r="D221" s="21">
        <v>45421</v>
      </c>
      <c r="E221" s="21" t="s">
        <v>44</v>
      </c>
      <c r="F221" s="19" t="s">
        <v>45</v>
      </c>
      <c r="G221" s="19" t="s">
        <v>228</v>
      </c>
      <c r="H221" s="19">
        <v>15.5</v>
      </c>
      <c r="I221" s="41">
        <v>858.5</v>
      </c>
      <c r="J221" s="42"/>
      <c r="K221" s="43"/>
      <c r="L221" s="42"/>
      <c r="M221" s="44"/>
      <c r="N221" s="45"/>
      <c r="O221" s="46">
        <f t="shared" si="131"/>
        <v>858.5</v>
      </c>
      <c r="P221" s="92"/>
      <c r="Q221" s="92"/>
      <c r="R221" s="95">
        <f t="shared" si="125"/>
        <v>631.018352059925</v>
      </c>
      <c r="S221" s="88">
        <f t="shared" si="126"/>
        <v>0.313483146067416</v>
      </c>
      <c r="T221" s="88">
        <f t="shared" si="127"/>
        <v>1.51261423220974</v>
      </c>
      <c r="U221" s="95"/>
      <c r="V221" s="95"/>
      <c r="W221" s="73">
        <f t="shared" si="123"/>
        <v>632.844449438202</v>
      </c>
      <c r="X221" s="96">
        <f t="shared" si="128"/>
        <v>11.6756797752809</v>
      </c>
      <c r="Y221" s="96"/>
      <c r="Z221" s="96"/>
      <c r="AA221" s="75">
        <f t="shared" si="120"/>
        <v>11.6756797752809</v>
      </c>
      <c r="AB221" s="84">
        <v>7.22</v>
      </c>
      <c r="AC221" s="73">
        <f t="shared" si="121"/>
        <v>84.2984079775281</v>
      </c>
      <c r="AD221" s="73">
        <f t="shared" si="122"/>
        <v>717.14285741573</v>
      </c>
      <c r="AE221" s="73">
        <f t="shared" si="124"/>
        <v>141.35714258427</v>
      </c>
    </row>
    <row r="222" customFormat="1" spans="1:31">
      <c r="A222" s="18"/>
      <c r="B222" s="19"/>
      <c r="C222" s="20">
        <v>240430000040</v>
      </c>
      <c r="D222" s="21">
        <v>45421</v>
      </c>
      <c r="E222" s="21" t="s">
        <v>54</v>
      </c>
      <c r="F222" s="19" t="s">
        <v>54</v>
      </c>
      <c r="G222" s="19" t="s">
        <v>229</v>
      </c>
      <c r="H222" s="19">
        <v>54.5</v>
      </c>
      <c r="I222" s="41">
        <v>3320</v>
      </c>
      <c r="J222" s="42"/>
      <c r="K222" s="43"/>
      <c r="L222" s="42"/>
      <c r="M222" s="44"/>
      <c r="N222" s="45"/>
      <c r="O222" s="46">
        <f t="shared" si="131"/>
        <v>3320</v>
      </c>
      <c r="P222" s="92"/>
      <c r="Q222" s="92"/>
      <c r="R222" s="95">
        <f t="shared" si="125"/>
        <v>2218.74194756554</v>
      </c>
      <c r="S222" s="88">
        <f t="shared" si="126"/>
        <v>1.10224719101124</v>
      </c>
      <c r="T222" s="88">
        <f t="shared" si="127"/>
        <v>5.3185468164794</v>
      </c>
      <c r="U222" s="95"/>
      <c r="V222" s="95"/>
      <c r="W222" s="73">
        <f t="shared" si="123"/>
        <v>2225.16274157303</v>
      </c>
      <c r="X222" s="96">
        <f t="shared" si="128"/>
        <v>41.0531966292135</v>
      </c>
      <c r="Y222" s="96"/>
      <c r="Z222" s="96"/>
      <c r="AA222" s="75">
        <f t="shared" si="120"/>
        <v>41.0531966292135</v>
      </c>
      <c r="AB222" s="84">
        <v>7.22</v>
      </c>
      <c r="AC222" s="73">
        <f t="shared" si="121"/>
        <v>296.404079662921</v>
      </c>
      <c r="AD222" s="73">
        <f t="shared" si="122"/>
        <v>2521.56682123596</v>
      </c>
      <c r="AE222" s="73">
        <f t="shared" si="124"/>
        <v>798.433178764044</v>
      </c>
    </row>
    <row r="223" customFormat="1" spans="1:31">
      <c r="A223" s="18"/>
      <c r="B223" s="19"/>
      <c r="C223" s="20">
        <v>240430000041</v>
      </c>
      <c r="D223" s="21">
        <v>45421</v>
      </c>
      <c r="E223" s="21" t="s">
        <v>54</v>
      </c>
      <c r="F223" s="19" t="s">
        <v>54</v>
      </c>
      <c r="G223" s="19" t="s">
        <v>172</v>
      </c>
      <c r="H223" s="19">
        <v>87</v>
      </c>
      <c r="I223" s="52"/>
      <c r="J223" s="48">
        <v>1036275</v>
      </c>
      <c r="K223" s="43"/>
      <c r="L223" s="49">
        <f t="shared" si="129"/>
        <v>1480.11797808978</v>
      </c>
      <c r="M223" s="50">
        <v>700.13</v>
      </c>
      <c r="N223" s="45">
        <v>7.22</v>
      </c>
      <c r="O223" s="52">
        <f t="shared" si="130"/>
        <v>5054.9386</v>
      </c>
      <c r="P223" s="92"/>
      <c r="Q223" s="92"/>
      <c r="R223" s="95">
        <f t="shared" si="125"/>
        <v>3541.84494382023</v>
      </c>
      <c r="S223" s="88">
        <f t="shared" si="126"/>
        <v>1.75955056179775</v>
      </c>
      <c r="T223" s="88">
        <f t="shared" si="127"/>
        <v>8.49015730337079</v>
      </c>
      <c r="U223" s="95"/>
      <c r="V223" s="95"/>
      <c r="W223" s="73">
        <f t="shared" si="123"/>
        <v>3552.09465168539</v>
      </c>
      <c r="X223" s="96">
        <f t="shared" si="128"/>
        <v>65.5344606741573</v>
      </c>
      <c r="Y223" s="96"/>
      <c r="Z223" s="96"/>
      <c r="AA223" s="75">
        <f t="shared" si="120"/>
        <v>65.5344606741573</v>
      </c>
      <c r="AB223" s="84">
        <v>7.22</v>
      </c>
      <c r="AC223" s="73">
        <f t="shared" si="121"/>
        <v>473.158806067416</v>
      </c>
      <c r="AD223" s="73">
        <f t="shared" si="122"/>
        <v>4025.25345775281</v>
      </c>
      <c r="AE223" s="73">
        <f t="shared" si="124"/>
        <v>1029.68514224719</v>
      </c>
    </row>
    <row r="224" customFormat="1" spans="1:31">
      <c r="A224" s="18"/>
      <c r="B224" s="19"/>
      <c r="C224" s="20">
        <v>240430000042</v>
      </c>
      <c r="D224" s="21">
        <v>45421</v>
      </c>
      <c r="E224" s="21" t="s">
        <v>37</v>
      </c>
      <c r="F224" s="19" t="s">
        <v>38</v>
      </c>
      <c r="G224" s="19" t="s">
        <v>132</v>
      </c>
      <c r="H224" s="19">
        <v>0.4</v>
      </c>
      <c r="I224" s="46"/>
      <c r="J224" s="48">
        <v>12805.4</v>
      </c>
      <c r="K224" s="43"/>
      <c r="L224" s="49">
        <f t="shared" si="129"/>
        <v>1489</v>
      </c>
      <c r="M224" s="50">
        <v>8.6</v>
      </c>
      <c r="N224" s="45">
        <v>7.22</v>
      </c>
      <c r="O224" s="46">
        <f t="shared" si="130"/>
        <v>62.092</v>
      </c>
      <c r="P224" s="92"/>
      <c r="Q224" s="92"/>
      <c r="R224" s="95">
        <f t="shared" si="125"/>
        <v>16.2843445692884</v>
      </c>
      <c r="S224" s="88">
        <f t="shared" si="126"/>
        <v>0.00808988764044944</v>
      </c>
      <c r="T224" s="88">
        <f t="shared" si="127"/>
        <v>0.0390352059925094</v>
      </c>
      <c r="U224" s="95"/>
      <c r="V224" s="95"/>
      <c r="W224" s="73">
        <f t="shared" si="123"/>
        <v>16.3314696629213</v>
      </c>
      <c r="X224" s="96">
        <f t="shared" si="128"/>
        <v>0.301307865168539</v>
      </c>
      <c r="Y224" s="96"/>
      <c r="Z224" s="96"/>
      <c r="AA224" s="75">
        <f t="shared" si="120"/>
        <v>0.301307865168539</v>
      </c>
      <c r="AB224" s="84">
        <v>7.22</v>
      </c>
      <c r="AC224" s="73">
        <f t="shared" si="121"/>
        <v>2.17544278651685</v>
      </c>
      <c r="AD224" s="73">
        <f t="shared" si="122"/>
        <v>18.5069124494382</v>
      </c>
      <c r="AE224" s="73">
        <f t="shared" si="124"/>
        <v>43.5850875505618</v>
      </c>
    </row>
    <row r="225" customFormat="1" spans="1:31">
      <c r="A225" s="18"/>
      <c r="B225" s="19"/>
      <c r="C225" s="20">
        <v>240430000043</v>
      </c>
      <c r="D225" s="21">
        <v>45421</v>
      </c>
      <c r="E225" s="21" t="s">
        <v>54</v>
      </c>
      <c r="F225" s="19" t="s">
        <v>54</v>
      </c>
      <c r="G225" s="19" t="s">
        <v>230</v>
      </c>
      <c r="H225" s="19">
        <v>18</v>
      </c>
      <c r="I225" s="52"/>
      <c r="J225" s="48">
        <v>217128</v>
      </c>
      <c r="K225" s="43"/>
      <c r="L225" s="49">
        <f t="shared" si="129"/>
        <v>1573.96158028271</v>
      </c>
      <c r="M225" s="50">
        <v>137.95</v>
      </c>
      <c r="N225" s="45">
        <v>7.22</v>
      </c>
      <c r="O225" s="46">
        <f t="shared" si="130"/>
        <v>995.999</v>
      </c>
      <c r="P225" s="92"/>
      <c r="Q225" s="92"/>
      <c r="R225" s="95">
        <f t="shared" si="125"/>
        <v>732.795505617978</v>
      </c>
      <c r="S225" s="88">
        <f t="shared" si="126"/>
        <v>0.364044943820225</v>
      </c>
      <c r="T225" s="88">
        <f t="shared" si="127"/>
        <v>1.75658426966292</v>
      </c>
      <c r="U225" s="95"/>
      <c r="V225" s="95"/>
      <c r="W225" s="73">
        <f t="shared" si="123"/>
        <v>734.916134831461</v>
      </c>
      <c r="X225" s="96">
        <f t="shared" si="128"/>
        <v>13.5588539325843</v>
      </c>
      <c r="Y225" s="96"/>
      <c r="Z225" s="96"/>
      <c r="AA225" s="75">
        <f t="shared" si="120"/>
        <v>13.5588539325843</v>
      </c>
      <c r="AB225" s="84">
        <v>7.22</v>
      </c>
      <c r="AC225" s="73">
        <f t="shared" si="121"/>
        <v>97.8949253932584</v>
      </c>
      <c r="AD225" s="73">
        <f t="shared" si="122"/>
        <v>832.811060224719</v>
      </c>
      <c r="AE225" s="73">
        <f t="shared" si="124"/>
        <v>163.187939775281</v>
      </c>
    </row>
    <row r="226" customFormat="1" spans="1:31">
      <c r="A226" s="18"/>
      <c r="B226" s="19"/>
      <c r="C226" s="20">
        <v>240430000044</v>
      </c>
      <c r="D226" s="21">
        <v>45421</v>
      </c>
      <c r="E226" s="21" t="s">
        <v>37</v>
      </c>
      <c r="F226" s="19" t="s">
        <v>38</v>
      </c>
      <c r="G226" s="19" t="s">
        <v>231</v>
      </c>
      <c r="H226" s="19">
        <v>7.5</v>
      </c>
      <c r="I226" s="41">
        <v>418</v>
      </c>
      <c r="J226" s="42"/>
      <c r="K226" s="43"/>
      <c r="L226" s="42"/>
      <c r="M226" s="44"/>
      <c r="N226" s="45"/>
      <c r="O226" s="46">
        <f t="shared" ref="O226:O231" si="132">SUM(I226)</f>
        <v>418</v>
      </c>
      <c r="P226" s="92"/>
      <c r="Q226" s="92"/>
      <c r="R226" s="95">
        <f t="shared" si="125"/>
        <v>305.331460674157</v>
      </c>
      <c r="S226" s="88">
        <f t="shared" si="126"/>
        <v>0.151685393258427</v>
      </c>
      <c r="T226" s="88">
        <f t="shared" si="127"/>
        <v>0.731910112359551</v>
      </c>
      <c r="U226" s="95"/>
      <c r="V226" s="95"/>
      <c r="W226" s="73">
        <f t="shared" si="123"/>
        <v>306.215056179775</v>
      </c>
      <c r="X226" s="96">
        <f t="shared" si="128"/>
        <v>5.64952247191011</v>
      </c>
      <c r="Y226" s="96"/>
      <c r="Z226" s="96"/>
      <c r="AA226" s="75">
        <f t="shared" si="120"/>
        <v>5.64952247191011</v>
      </c>
      <c r="AB226" s="84">
        <v>7.22</v>
      </c>
      <c r="AC226" s="73">
        <f t="shared" si="121"/>
        <v>40.789552247191</v>
      </c>
      <c r="AD226" s="73">
        <f t="shared" si="122"/>
        <v>347.004608426966</v>
      </c>
      <c r="AE226" s="73">
        <f t="shared" si="124"/>
        <v>70.9953915730337</v>
      </c>
    </row>
    <row r="227" customFormat="1" spans="1:31">
      <c r="A227" s="18"/>
      <c r="B227" s="19"/>
      <c r="C227" s="20">
        <v>240501000003</v>
      </c>
      <c r="D227" s="21">
        <v>45421</v>
      </c>
      <c r="E227" s="21" t="s">
        <v>41</v>
      </c>
      <c r="F227" s="19" t="s">
        <v>42</v>
      </c>
      <c r="G227" s="19" t="s">
        <v>232</v>
      </c>
      <c r="H227" s="19">
        <v>3</v>
      </c>
      <c r="I227" s="41">
        <v>195</v>
      </c>
      <c r="J227" s="42"/>
      <c r="K227" s="43"/>
      <c r="L227" s="42"/>
      <c r="M227" s="44"/>
      <c r="N227" s="45"/>
      <c r="O227" s="46">
        <f t="shared" si="132"/>
        <v>195</v>
      </c>
      <c r="P227" s="92"/>
      <c r="Q227" s="92"/>
      <c r="R227" s="95">
        <f t="shared" si="125"/>
        <v>122.132584269663</v>
      </c>
      <c r="S227" s="88">
        <f t="shared" si="126"/>
        <v>0.0606741573033708</v>
      </c>
      <c r="T227" s="88">
        <f t="shared" si="127"/>
        <v>0.29276404494382</v>
      </c>
      <c r="U227" s="95"/>
      <c r="V227" s="95"/>
      <c r="W227" s="73">
        <f t="shared" si="123"/>
        <v>122.48602247191</v>
      </c>
      <c r="X227" s="96">
        <f t="shared" si="128"/>
        <v>2.25980898876404</v>
      </c>
      <c r="Y227" s="96"/>
      <c r="Z227" s="96"/>
      <c r="AA227" s="75">
        <f t="shared" si="120"/>
        <v>2.25980898876404</v>
      </c>
      <c r="AB227" s="84">
        <v>7.22</v>
      </c>
      <c r="AC227" s="73">
        <f t="shared" si="121"/>
        <v>16.3158208988764</v>
      </c>
      <c r="AD227" s="73">
        <f t="shared" si="122"/>
        <v>138.801843370787</v>
      </c>
      <c r="AE227" s="73">
        <f t="shared" si="124"/>
        <v>56.1981566292135</v>
      </c>
    </row>
    <row r="228" customFormat="1" spans="1:31">
      <c r="A228" s="18"/>
      <c r="B228" s="19"/>
      <c r="C228" s="20">
        <v>240501000004</v>
      </c>
      <c r="D228" s="21">
        <v>45421</v>
      </c>
      <c r="E228" s="21" t="s">
        <v>41</v>
      </c>
      <c r="F228" s="19" t="s">
        <v>42</v>
      </c>
      <c r="G228" s="19" t="s">
        <v>141</v>
      </c>
      <c r="H228" s="19">
        <v>70</v>
      </c>
      <c r="I228" s="52"/>
      <c r="J228" s="48">
        <v>824180</v>
      </c>
      <c r="K228" s="43"/>
      <c r="L228" s="49">
        <f t="shared" ref="L228:L232" si="133">SUM(J228/M228)</f>
        <v>1465.67790581875</v>
      </c>
      <c r="M228" s="50">
        <v>562.32</v>
      </c>
      <c r="N228" s="45">
        <v>7.22</v>
      </c>
      <c r="O228" s="46">
        <f t="shared" ref="O228:O232" si="134">SUM(M228*N228)</f>
        <v>4059.9504</v>
      </c>
      <c r="P228" s="92"/>
      <c r="Q228" s="92"/>
      <c r="R228" s="95">
        <f t="shared" si="125"/>
        <v>2849.76029962547</v>
      </c>
      <c r="S228" s="88">
        <f t="shared" si="126"/>
        <v>1.41573033707865</v>
      </c>
      <c r="T228" s="88">
        <f t="shared" si="127"/>
        <v>6.83116104868914</v>
      </c>
      <c r="U228" s="95"/>
      <c r="V228" s="95"/>
      <c r="W228" s="73">
        <f t="shared" si="123"/>
        <v>2858.00719101124</v>
      </c>
      <c r="X228" s="96">
        <f t="shared" si="128"/>
        <v>52.7288764044944</v>
      </c>
      <c r="Y228" s="96"/>
      <c r="Z228" s="96"/>
      <c r="AA228" s="75">
        <f t="shared" si="120"/>
        <v>52.7288764044944</v>
      </c>
      <c r="AB228" s="84">
        <v>7.22</v>
      </c>
      <c r="AC228" s="73">
        <f t="shared" si="121"/>
        <v>380.702487640449</v>
      </c>
      <c r="AD228" s="73">
        <f t="shared" si="122"/>
        <v>3238.70967865168</v>
      </c>
      <c r="AE228" s="73">
        <f t="shared" si="124"/>
        <v>821.240721348315</v>
      </c>
    </row>
    <row r="229" customFormat="1" spans="1:31">
      <c r="A229" s="18"/>
      <c r="B229" s="19"/>
      <c r="C229" s="20">
        <v>240501000006</v>
      </c>
      <c r="D229" s="21">
        <v>45421</v>
      </c>
      <c r="E229" s="21" t="s">
        <v>41</v>
      </c>
      <c r="F229" s="19" t="s">
        <v>42</v>
      </c>
      <c r="G229" s="19" t="s">
        <v>142</v>
      </c>
      <c r="H229" s="19">
        <v>32</v>
      </c>
      <c r="I229" s="52"/>
      <c r="J229" s="48">
        <v>369728</v>
      </c>
      <c r="K229" s="43"/>
      <c r="L229" s="49">
        <f t="shared" si="133"/>
        <v>1573.98041719881</v>
      </c>
      <c r="M229" s="50">
        <v>234.9</v>
      </c>
      <c r="N229" s="45">
        <v>7.22</v>
      </c>
      <c r="O229" s="46">
        <f t="shared" si="134"/>
        <v>1695.978</v>
      </c>
      <c r="P229" s="92"/>
      <c r="Q229" s="92"/>
      <c r="R229" s="95">
        <f t="shared" si="125"/>
        <v>1302.74756554307</v>
      </c>
      <c r="S229" s="88">
        <f t="shared" si="126"/>
        <v>0.647191011235955</v>
      </c>
      <c r="T229" s="88">
        <f t="shared" si="127"/>
        <v>3.12281647940075</v>
      </c>
      <c r="U229" s="95"/>
      <c r="V229" s="95"/>
      <c r="W229" s="73">
        <f t="shared" si="123"/>
        <v>1306.51757303371</v>
      </c>
      <c r="X229" s="96">
        <f t="shared" si="128"/>
        <v>24.1046292134831</v>
      </c>
      <c r="Y229" s="96"/>
      <c r="Z229" s="96"/>
      <c r="AA229" s="75">
        <f t="shared" si="120"/>
        <v>24.1046292134831</v>
      </c>
      <c r="AB229" s="84">
        <v>7.22</v>
      </c>
      <c r="AC229" s="73">
        <f t="shared" si="121"/>
        <v>174.035422921348</v>
      </c>
      <c r="AD229" s="73">
        <f t="shared" si="122"/>
        <v>1480.55299595506</v>
      </c>
      <c r="AE229" s="73">
        <f t="shared" si="124"/>
        <v>215.425004044944</v>
      </c>
    </row>
    <row r="230" customFormat="1" spans="1:31">
      <c r="A230" s="18"/>
      <c r="B230" s="19"/>
      <c r="C230" s="20">
        <v>240502000004</v>
      </c>
      <c r="D230" s="21">
        <v>45421</v>
      </c>
      <c r="E230" s="21" t="s">
        <v>44</v>
      </c>
      <c r="F230" s="19" t="s">
        <v>45</v>
      </c>
      <c r="G230" s="19" t="s">
        <v>162</v>
      </c>
      <c r="H230" s="19">
        <v>6</v>
      </c>
      <c r="I230" s="41">
        <v>336</v>
      </c>
      <c r="J230" s="42"/>
      <c r="K230" s="43"/>
      <c r="L230" s="42"/>
      <c r="M230" s="44"/>
      <c r="N230" s="45"/>
      <c r="O230" s="46">
        <f t="shared" si="132"/>
        <v>336</v>
      </c>
      <c r="P230" s="92"/>
      <c r="Q230" s="92"/>
      <c r="R230" s="95">
        <f t="shared" si="125"/>
        <v>244.265168539326</v>
      </c>
      <c r="S230" s="88">
        <f t="shared" si="126"/>
        <v>0.121348314606742</v>
      </c>
      <c r="T230" s="88">
        <f t="shared" si="127"/>
        <v>0.58552808988764</v>
      </c>
      <c r="U230" s="95"/>
      <c r="V230" s="95"/>
      <c r="W230" s="73">
        <f t="shared" si="123"/>
        <v>244.97204494382</v>
      </c>
      <c r="X230" s="96">
        <f t="shared" si="128"/>
        <v>4.51961797752809</v>
      </c>
      <c r="Y230" s="96"/>
      <c r="Z230" s="96"/>
      <c r="AA230" s="75">
        <f t="shared" si="120"/>
        <v>4.51961797752809</v>
      </c>
      <c r="AB230" s="84">
        <v>7.22</v>
      </c>
      <c r="AC230" s="73">
        <f t="shared" si="121"/>
        <v>32.6316417977528</v>
      </c>
      <c r="AD230" s="73">
        <f t="shared" si="122"/>
        <v>277.603686741573</v>
      </c>
      <c r="AE230" s="73">
        <f t="shared" si="124"/>
        <v>58.396313258427</v>
      </c>
    </row>
    <row r="231" customFormat="1" spans="1:31">
      <c r="A231" s="18"/>
      <c r="B231" s="19"/>
      <c r="C231" s="20">
        <v>240503000002</v>
      </c>
      <c r="D231" s="21">
        <v>45421</v>
      </c>
      <c r="E231" s="21" t="s">
        <v>44</v>
      </c>
      <c r="F231" s="19" t="s">
        <v>45</v>
      </c>
      <c r="G231" s="19" t="s">
        <v>233</v>
      </c>
      <c r="H231" s="19">
        <v>2.5</v>
      </c>
      <c r="I231" s="41">
        <v>179.3</v>
      </c>
      <c r="J231" s="42"/>
      <c r="K231" s="43"/>
      <c r="L231" s="42"/>
      <c r="M231" s="44"/>
      <c r="N231" s="45"/>
      <c r="O231" s="46">
        <f t="shared" si="132"/>
        <v>179.3</v>
      </c>
      <c r="P231" s="92"/>
      <c r="Q231" s="92"/>
      <c r="R231" s="95">
        <f t="shared" si="125"/>
        <v>101.777153558052</v>
      </c>
      <c r="S231" s="88">
        <f t="shared" si="126"/>
        <v>0.050561797752809</v>
      </c>
      <c r="T231" s="88">
        <f t="shared" si="127"/>
        <v>0.243970037453184</v>
      </c>
      <c r="U231" s="95"/>
      <c r="V231" s="95"/>
      <c r="W231" s="73">
        <f t="shared" si="123"/>
        <v>102.071685393258</v>
      </c>
      <c r="X231" s="96">
        <f t="shared" si="128"/>
        <v>1.88317415730337</v>
      </c>
      <c r="Y231" s="96"/>
      <c r="Z231" s="96"/>
      <c r="AA231" s="75">
        <f t="shared" si="120"/>
        <v>1.88317415730337</v>
      </c>
      <c r="AB231" s="84">
        <v>7.22</v>
      </c>
      <c r="AC231" s="73">
        <f t="shared" si="121"/>
        <v>13.5965174157303</v>
      </c>
      <c r="AD231" s="73">
        <f t="shared" si="122"/>
        <v>115.668202808989</v>
      </c>
      <c r="AE231" s="73">
        <f t="shared" si="124"/>
        <v>63.6317971910112</v>
      </c>
    </row>
    <row r="232" customFormat="1" spans="1:31">
      <c r="A232" s="18"/>
      <c r="B232" s="19"/>
      <c r="C232" s="20">
        <v>240503000003</v>
      </c>
      <c r="D232" s="21">
        <v>45421</v>
      </c>
      <c r="E232" s="21" t="s">
        <v>44</v>
      </c>
      <c r="F232" s="19" t="s">
        <v>45</v>
      </c>
      <c r="G232" s="19" t="s">
        <v>234</v>
      </c>
      <c r="H232" s="19">
        <v>5.5</v>
      </c>
      <c r="I232" s="52"/>
      <c r="J232" s="48">
        <v>69230</v>
      </c>
      <c r="K232" s="43"/>
      <c r="L232" s="49">
        <f t="shared" si="133"/>
        <v>1552.59026687598</v>
      </c>
      <c r="M232" s="50">
        <v>44.59</v>
      </c>
      <c r="N232" s="45">
        <v>7.22</v>
      </c>
      <c r="O232" s="46">
        <f t="shared" si="134"/>
        <v>321.9398</v>
      </c>
      <c r="P232" s="92"/>
      <c r="Q232" s="92"/>
      <c r="R232" s="95">
        <f t="shared" si="125"/>
        <v>223.909737827715</v>
      </c>
      <c r="S232" s="88">
        <f t="shared" si="126"/>
        <v>0.11123595505618</v>
      </c>
      <c r="T232" s="88">
        <f t="shared" si="127"/>
        <v>0.536734082397004</v>
      </c>
      <c r="U232" s="95"/>
      <c r="V232" s="95"/>
      <c r="W232" s="73">
        <f t="shared" si="123"/>
        <v>224.557707865169</v>
      </c>
      <c r="X232" s="96">
        <f t="shared" si="128"/>
        <v>4.14298314606742</v>
      </c>
      <c r="Y232" s="96"/>
      <c r="Z232" s="96"/>
      <c r="AA232" s="75">
        <f t="shared" si="120"/>
        <v>4.14298314606742</v>
      </c>
      <c r="AB232" s="84">
        <v>7.22</v>
      </c>
      <c r="AC232" s="73">
        <f t="shared" si="121"/>
        <v>29.9123383146067</v>
      </c>
      <c r="AD232" s="73">
        <f t="shared" si="122"/>
        <v>254.470046179775</v>
      </c>
      <c r="AE232" s="73">
        <f t="shared" si="124"/>
        <v>67.4697538202247</v>
      </c>
    </row>
    <row r="233" customFormat="1" spans="1:31">
      <c r="A233" s="18"/>
      <c r="B233" s="19"/>
      <c r="C233" s="20">
        <v>240503000004</v>
      </c>
      <c r="D233" s="21">
        <v>45421</v>
      </c>
      <c r="E233" s="21" t="s">
        <v>44</v>
      </c>
      <c r="F233" s="19" t="s">
        <v>45</v>
      </c>
      <c r="G233" s="19" t="s">
        <v>235</v>
      </c>
      <c r="H233" s="19">
        <v>98</v>
      </c>
      <c r="I233" s="41">
        <v>7020</v>
      </c>
      <c r="J233" s="42"/>
      <c r="K233" s="43"/>
      <c r="L233" s="42"/>
      <c r="M233" s="44"/>
      <c r="N233" s="45"/>
      <c r="O233" s="46">
        <f t="shared" ref="O233:O237" si="135">SUM(I233)</f>
        <v>7020</v>
      </c>
      <c r="P233" s="92"/>
      <c r="Q233" s="92"/>
      <c r="R233" s="95">
        <f t="shared" si="125"/>
        <v>3989.66441947566</v>
      </c>
      <c r="S233" s="88">
        <f t="shared" si="126"/>
        <v>1.98202247191011</v>
      </c>
      <c r="T233" s="88">
        <f t="shared" si="127"/>
        <v>9.56362546816479</v>
      </c>
      <c r="U233" s="95"/>
      <c r="V233" s="95"/>
      <c r="W233" s="73">
        <f t="shared" si="123"/>
        <v>4001.21006741573</v>
      </c>
      <c r="X233" s="96">
        <f t="shared" si="128"/>
        <v>73.8204269662921</v>
      </c>
      <c r="Y233" s="96"/>
      <c r="Z233" s="96"/>
      <c r="AA233" s="75">
        <f t="shared" si="120"/>
        <v>73.8204269662921</v>
      </c>
      <c r="AB233" s="84">
        <v>7.22</v>
      </c>
      <c r="AC233" s="73">
        <f t="shared" si="121"/>
        <v>532.983482696629</v>
      </c>
      <c r="AD233" s="73">
        <f t="shared" si="122"/>
        <v>4534.19355011236</v>
      </c>
      <c r="AE233" s="73">
        <f t="shared" si="124"/>
        <v>2485.80644988764</v>
      </c>
    </row>
    <row r="234" customFormat="1" spans="1:31">
      <c r="A234" s="18"/>
      <c r="B234" s="19"/>
      <c r="C234" s="20">
        <v>240503000005</v>
      </c>
      <c r="D234" s="21">
        <v>45421</v>
      </c>
      <c r="E234" s="21" t="s">
        <v>44</v>
      </c>
      <c r="F234" s="19" t="s">
        <v>45</v>
      </c>
      <c r="G234" s="19" t="s">
        <v>236</v>
      </c>
      <c r="H234" s="19">
        <v>107</v>
      </c>
      <c r="I234" s="41">
        <v>5671</v>
      </c>
      <c r="J234" s="42"/>
      <c r="K234" s="43"/>
      <c r="L234" s="42"/>
      <c r="M234" s="44"/>
      <c r="N234" s="45"/>
      <c r="O234" s="46">
        <f t="shared" si="135"/>
        <v>5671</v>
      </c>
      <c r="P234" s="92"/>
      <c r="Q234" s="92"/>
      <c r="R234" s="95">
        <f t="shared" si="125"/>
        <v>4356.06217228464</v>
      </c>
      <c r="S234" s="88">
        <f t="shared" si="126"/>
        <v>2.16404494382022</v>
      </c>
      <c r="T234" s="88">
        <f t="shared" si="127"/>
        <v>10.4419176029963</v>
      </c>
      <c r="U234" s="95"/>
      <c r="V234" s="95"/>
      <c r="W234" s="73">
        <f t="shared" si="123"/>
        <v>4368.66813483146</v>
      </c>
      <c r="X234" s="96">
        <f t="shared" si="128"/>
        <v>80.5998539325843</v>
      </c>
      <c r="Y234" s="96"/>
      <c r="Z234" s="96"/>
      <c r="AA234" s="75">
        <f t="shared" si="120"/>
        <v>80.5998539325843</v>
      </c>
      <c r="AB234" s="84">
        <v>7.22</v>
      </c>
      <c r="AC234" s="73">
        <f t="shared" si="121"/>
        <v>581.930945393258</v>
      </c>
      <c r="AD234" s="73">
        <f t="shared" si="122"/>
        <v>4950.59908022472</v>
      </c>
      <c r="AE234" s="73">
        <f t="shared" si="124"/>
        <v>720.400919775281</v>
      </c>
    </row>
    <row r="235" customFormat="1" spans="1:31">
      <c r="A235" s="18"/>
      <c r="B235" s="19"/>
      <c r="C235" s="20">
        <v>240503000017</v>
      </c>
      <c r="D235" s="21">
        <v>45421</v>
      </c>
      <c r="E235" s="21" t="s">
        <v>37</v>
      </c>
      <c r="F235" s="19" t="s">
        <v>38</v>
      </c>
      <c r="G235" s="19" t="s">
        <v>237</v>
      </c>
      <c r="H235" s="19">
        <v>158</v>
      </c>
      <c r="I235" s="46"/>
      <c r="J235" s="48">
        <v>1880437</v>
      </c>
      <c r="K235" s="43"/>
      <c r="L235" s="49">
        <f t="shared" ref="L235:L240" si="136">SUM(J235/M235)</f>
        <v>1572.15343327007</v>
      </c>
      <c r="M235" s="50">
        <v>1196.09</v>
      </c>
      <c r="N235" s="45">
        <v>7.22</v>
      </c>
      <c r="O235" s="46">
        <f t="shared" ref="O235:O240" si="137">SUM(M235*N235)</f>
        <v>8635.7698</v>
      </c>
      <c r="P235" s="92"/>
      <c r="Q235" s="92"/>
      <c r="R235" s="95">
        <f t="shared" si="125"/>
        <v>6432.31610486891</v>
      </c>
      <c r="S235" s="88">
        <f t="shared" si="126"/>
        <v>3.19550561797753</v>
      </c>
      <c r="T235" s="88">
        <f t="shared" si="127"/>
        <v>15.4189063670412</v>
      </c>
      <c r="U235" s="95"/>
      <c r="V235" s="95">
        <f>SUM(140+45)</f>
        <v>185</v>
      </c>
      <c r="W235" s="73">
        <f t="shared" si="123"/>
        <v>6635.93051685393</v>
      </c>
      <c r="X235" s="96">
        <f t="shared" si="128"/>
        <v>119.016606741573</v>
      </c>
      <c r="Y235" s="96"/>
      <c r="Z235" s="96"/>
      <c r="AA235" s="75">
        <f t="shared" si="120"/>
        <v>119.016606741573</v>
      </c>
      <c r="AB235" s="84">
        <v>7.22</v>
      </c>
      <c r="AC235" s="73">
        <f t="shared" si="121"/>
        <v>859.299900674157</v>
      </c>
      <c r="AD235" s="73">
        <f t="shared" si="122"/>
        <v>7495.23041752809</v>
      </c>
      <c r="AE235" s="73">
        <f t="shared" si="124"/>
        <v>1140.53938247191</v>
      </c>
    </row>
    <row r="236" customFormat="1" spans="1:31">
      <c r="A236" s="18"/>
      <c r="B236" s="19"/>
      <c r="C236" s="22">
        <v>240503000018</v>
      </c>
      <c r="D236" s="23">
        <v>45421</v>
      </c>
      <c r="E236" s="21" t="s">
        <v>37</v>
      </c>
      <c r="F236" s="24" t="s">
        <v>38</v>
      </c>
      <c r="G236" s="24" t="s">
        <v>143</v>
      </c>
      <c r="H236" s="24">
        <v>1</v>
      </c>
      <c r="I236" s="41">
        <v>61</v>
      </c>
      <c r="J236" s="42"/>
      <c r="K236" s="43"/>
      <c r="L236" s="42"/>
      <c r="M236" s="44"/>
      <c r="N236" s="45"/>
      <c r="O236" s="46">
        <f t="shared" si="135"/>
        <v>61</v>
      </c>
      <c r="P236" s="92"/>
      <c r="Q236" s="92"/>
      <c r="R236" s="95">
        <f t="shared" si="125"/>
        <v>40.710861423221</v>
      </c>
      <c r="S236" s="88">
        <f t="shared" si="126"/>
        <v>0.0202247191011236</v>
      </c>
      <c r="T236" s="88">
        <f t="shared" si="127"/>
        <v>0.0975880149812734</v>
      </c>
      <c r="U236" s="95"/>
      <c r="V236" s="95"/>
      <c r="W236" s="73">
        <f t="shared" si="123"/>
        <v>40.8286741573034</v>
      </c>
      <c r="X236" s="96">
        <f t="shared" si="128"/>
        <v>0.753269662921348</v>
      </c>
      <c r="Y236" s="96"/>
      <c r="Z236" s="96"/>
      <c r="AA236" s="75">
        <f t="shared" si="120"/>
        <v>0.753269662921348</v>
      </c>
      <c r="AB236" s="84">
        <v>7.22</v>
      </c>
      <c r="AC236" s="73">
        <f t="shared" si="121"/>
        <v>5.43860696629214</v>
      </c>
      <c r="AD236" s="73">
        <f t="shared" si="122"/>
        <v>46.2672811235955</v>
      </c>
      <c r="AE236" s="73">
        <f t="shared" si="124"/>
        <v>14.7327188764045</v>
      </c>
    </row>
    <row r="237" customFormat="1" spans="1:31">
      <c r="A237" s="18"/>
      <c r="B237" s="19"/>
      <c r="C237" s="20">
        <v>240504000002</v>
      </c>
      <c r="D237" s="21">
        <v>45421</v>
      </c>
      <c r="E237" s="21" t="s">
        <v>64</v>
      </c>
      <c r="F237" s="19" t="s">
        <v>65</v>
      </c>
      <c r="G237" s="19" t="s">
        <v>238</v>
      </c>
      <c r="H237" s="19">
        <v>21</v>
      </c>
      <c r="I237" s="41">
        <v>1227</v>
      </c>
      <c r="J237" s="42"/>
      <c r="K237" s="43"/>
      <c r="L237" s="42"/>
      <c r="M237" s="44"/>
      <c r="N237" s="45"/>
      <c r="O237" s="46">
        <f t="shared" si="135"/>
        <v>1227</v>
      </c>
      <c r="P237" s="92"/>
      <c r="Q237" s="92"/>
      <c r="R237" s="95">
        <f t="shared" si="125"/>
        <v>854.92808988764</v>
      </c>
      <c r="S237" s="88">
        <f t="shared" si="126"/>
        <v>0.424719101123595</v>
      </c>
      <c r="T237" s="88">
        <f t="shared" si="127"/>
        <v>2.04934831460674</v>
      </c>
      <c r="U237" s="95"/>
      <c r="V237" s="95"/>
      <c r="W237" s="73">
        <f t="shared" si="123"/>
        <v>857.402157303371</v>
      </c>
      <c r="X237" s="96">
        <f t="shared" si="128"/>
        <v>15.8186629213483</v>
      </c>
      <c r="Y237" s="96"/>
      <c r="Z237" s="96"/>
      <c r="AA237" s="75">
        <f t="shared" si="120"/>
        <v>15.8186629213483</v>
      </c>
      <c r="AB237" s="84">
        <v>7.22</v>
      </c>
      <c r="AC237" s="73">
        <f t="shared" si="121"/>
        <v>114.210746292135</v>
      </c>
      <c r="AD237" s="73">
        <f t="shared" si="122"/>
        <v>971.612903595506</v>
      </c>
      <c r="AE237" s="73">
        <f t="shared" si="124"/>
        <v>255.387096404494</v>
      </c>
    </row>
    <row r="238" customFormat="1" spans="1:31">
      <c r="A238" s="18"/>
      <c r="B238" s="19"/>
      <c r="C238" s="20">
        <v>240504000003</v>
      </c>
      <c r="D238" s="21">
        <v>45421</v>
      </c>
      <c r="E238" s="21" t="s">
        <v>157</v>
      </c>
      <c r="F238" s="19"/>
      <c r="G238" s="19" t="s">
        <v>158</v>
      </c>
      <c r="H238" s="19">
        <v>2</v>
      </c>
      <c r="I238" s="46"/>
      <c r="J238" s="48">
        <v>24515.6</v>
      </c>
      <c r="K238" s="43"/>
      <c r="L238" s="42"/>
      <c r="M238" s="50">
        <v>16.7</v>
      </c>
      <c r="N238" s="45">
        <v>7.22</v>
      </c>
      <c r="O238" s="46">
        <f t="shared" si="137"/>
        <v>120.574</v>
      </c>
      <c r="P238" s="92"/>
      <c r="Q238" s="92"/>
      <c r="R238" s="95">
        <f t="shared" si="125"/>
        <v>81.421722846442</v>
      </c>
      <c r="S238" s="88">
        <f t="shared" si="126"/>
        <v>0.0404494382022472</v>
      </c>
      <c r="T238" s="88">
        <f t="shared" si="127"/>
        <v>0.195176029962547</v>
      </c>
      <c r="U238" s="95"/>
      <c r="V238" s="95"/>
      <c r="W238" s="73">
        <f t="shared" si="123"/>
        <v>81.6573483146068</v>
      </c>
      <c r="X238" s="96">
        <f t="shared" si="128"/>
        <v>1.5065393258427</v>
      </c>
      <c r="Y238" s="96"/>
      <c r="Z238" s="96"/>
      <c r="AA238" s="75">
        <f t="shared" si="120"/>
        <v>1.5065393258427</v>
      </c>
      <c r="AB238" s="84">
        <v>7.22</v>
      </c>
      <c r="AC238" s="73">
        <f t="shared" si="121"/>
        <v>10.8772139325843</v>
      </c>
      <c r="AD238" s="73">
        <f t="shared" si="122"/>
        <v>92.534562247191</v>
      </c>
      <c r="AE238" s="73">
        <f t="shared" si="124"/>
        <v>28.039437752809</v>
      </c>
    </row>
    <row r="239" customFormat="1" spans="1:31">
      <c r="A239" s="18"/>
      <c r="B239" s="19"/>
      <c r="C239" s="20">
        <v>240506000001</v>
      </c>
      <c r="D239" s="21">
        <v>45421</v>
      </c>
      <c r="E239" s="21" t="s">
        <v>157</v>
      </c>
      <c r="F239" s="19" t="s">
        <v>239</v>
      </c>
      <c r="G239" s="19" t="s">
        <v>240</v>
      </c>
      <c r="H239" s="19">
        <v>3</v>
      </c>
      <c r="I239" s="46"/>
      <c r="J239" s="48">
        <v>36927</v>
      </c>
      <c r="K239" s="43"/>
      <c r="L239" s="49">
        <f t="shared" si="136"/>
        <v>1488.99193548387</v>
      </c>
      <c r="M239" s="50">
        <v>24.8</v>
      </c>
      <c r="N239" s="45">
        <v>7.22</v>
      </c>
      <c r="O239" s="46">
        <f t="shared" si="137"/>
        <v>179.056</v>
      </c>
      <c r="P239" s="92"/>
      <c r="Q239" s="92"/>
      <c r="R239" s="95">
        <f t="shared" si="125"/>
        <v>122.132584269663</v>
      </c>
      <c r="S239" s="88">
        <f t="shared" si="126"/>
        <v>0.0606741573033708</v>
      </c>
      <c r="T239" s="88">
        <f t="shared" si="127"/>
        <v>0.29276404494382</v>
      </c>
      <c r="U239" s="95"/>
      <c r="V239" s="95"/>
      <c r="W239" s="73">
        <f t="shared" si="123"/>
        <v>122.48602247191</v>
      </c>
      <c r="X239" s="96">
        <f t="shared" si="128"/>
        <v>2.25980898876404</v>
      </c>
      <c r="Y239" s="96"/>
      <c r="Z239" s="96"/>
      <c r="AA239" s="75">
        <f t="shared" si="120"/>
        <v>2.25980898876404</v>
      </c>
      <c r="AB239" s="84">
        <v>7.22</v>
      </c>
      <c r="AC239" s="73">
        <f t="shared" si="121"/>
        <v>16.3158208988764</v>
      </c>
      <c r="AD239" s="73">
        <f t="shared" si="122"/>
        <v>138.801843370787</v>
      </c>
      <c r="AE239" s="73">
        <f t="shared" si="124"/>
        <v>40.2541566292135</v>
      </c>
    </row>
    <row r="240" customFormat="1" spans="1:31">
      <c r="A240" s="18"/>
      <c r="B240" s="19"/>
      <c r="C240" s="20">
        <v>240506000006</v>
      </c>
      <c r="D240" s="21">
        <v>45421</v>
      </c>
      <c r="E240" s="21" t="s">
        <v>37</v>
      </c>
      <c r="F240" s="19" t="s">
        <v>38</v>
      </c>
      <c r="G240" s="19" t="s">
        <v>241</v>
      </c>
      <c r="H240" s="19">
        <v>0.18666667</v>
      </c>
      <c r="I240" s="52"/>
      <c r="J240" s="48">
        <v>12500</v>
      </c>
      <c r="K240" s="43"/>
      <c r="L240" s="49">
        <f t="shared" si="136"/>
        <v>1481.04265402844</v>
      </c>
      <c r="M240" s="50">
        <v>8.44</v>
      </c>
      <c r="N240" s="45">
        <v>7.22</v>
      </c>
      <c r="O240" s="46">
        <f t="shared" si="137"/>
        <v>60.9368</v>
      </c>
      <c r="P240" s="92"/>
      <c r="Q240" s="92"/>
      <c r="R240" s="95">
        <f t="shared" si="125"/>
        <v>7.59936093470412</v>
      </c>
      <c r="S240" s="88">
        <f t="shared" si="126"/>
        <v>0.00377528096629213</v>
      </c>
      <c r="T240" s="88">
        <f t="shared" si="127"/>
        <v>0.0182164297884644</v>
      </c>
      <c r="U240" s="95"/>
      <c r="V240" s="95"/>
      <c r="W240" s="73">
        <f t="shared" si="123"/>
        <v>7.62135264545888</v>
      </c>
      <c r="X240" s="96">
        <f t="shared" si="128"/>
        <v>0.140610339589551</v>
      </c>
      <c r="Y240" s="96"/>
      <c r="Z240" s="96"/>
      <c r="AA240" s="75">
        <f t="shared" si="120"/>
        <v>0.140610339589551</v>
      </c>
      <c r="AB240" s="84">
        <v>7.22</v>
      </c>
      <c r="AC240" s="73">
        <f t="shared" si="121"/>
        <v>1.01520665183656</v>
      </c>
      <c r="AD240" s="73">
        <f t="shared" si="122"/>
        <v>8.63655929729543</v>
      </c>
      <c r="AE240" s="73">
        <f t="shared" si="124"/>
        <v>52.3002407027046</v>
      </c>
    </row>
    <row r="241" customFormat="1" spans="1:31">
      <c r="A241" s="18"/>
      <c r="B241" s="19"/>
      <c r="C241" s="20">
        <v>240506000013</v>
      </c>
      <c r="D241" s="21">
        <v>45421</v>
      </c>
      <c r="E241" s="21" t="s">
        <v>41</v>
      </c>
      <c r="F241" s="19" t="s">
        <v>42</v>
      </c>
      <c r="G241" s="19" t="s">
        <v>167</v>
      </c>
      <c r="H241" s="19">
        <v>12</v>
      </c>
      <c r="I241" s="41">
        <v>696</v>
      </c>
      <c r="J241" s="42"/>
      <c r="K241" s="43"/>
      <c r="L241" s="42"/>
      <c r="M241" s="44"/>
      <c r="N241" s="45"/>
      <c r="O241" s="46">
        <f t="shared" ref="O241:O244" si="138">SUM(I241)</f>
        <v>696</v>
      </c>
      <c r="P241" s="92"/>
      <c r="Q241" s="92"/>
      <c r="R241" s="95">
        <f t="shared" si="125"/>
        <v>488.530337078652</v>
      </c>
      <c r="S241" s="88">
        <f t="shared" si="126"/>
        <v>0.242696629213483</v>
      </c>
      <c r="T241" s="88">
        <f t="shared" si="127"/>
        <v>1.17105617977528</v>
      </c>
      <c r="U241" s="95"/>
      <c r="V241" s="95"/>
      <c r="W241" s="73">
        <f t="shared" si="123"/>
        <v>489.94408988764</v>
      </c>
      <c r="X241" s="96">
        <f t="shared" si="128"/>
        <v>9.03923595505618</v>
      </c>
      <c r="Y241" s="96"/>
      <c r="Z241" s="96"/>
      <c r="AA241" s="75">
        <f t="shared" si="120"/>
        <v>9.03923595505618</v>
      </c>
      <c r="AB241" s="84">
        <v>7.22</v>
      </c>
      <c r="AC241" s="73">
        <f t="shared" si="121"/>
        <v>65.2632835955056</v>
      </c>
      <c r="AD241" s="73">
        <f t="shared" si="122"/>
        <v>555.207373483146</v>
      </c>
      <c r="AE241" s="73">
        <f t="shared" si="124"/>
        <v>140.792626516854</v>
      </c>
    </row>
    <row r="242" customFormat="1" spans="1:31">
      <c r="A242" s="18"/>
      <c r="B242" s="19"/>
      <c r="C242" s="20">
        <v>240506000018</v>
      </c>
      <c r="D242" s="21">
        <v>45421</v>
      </c>
      <c r="E242" s="21" t="s">
        <v>47</v>
      </c>
      <c r="F242" s="19" t="s">
        <v>48</v>
      </c>
      <c r="G242" s="19" t="s">
        <v>242</v>
      </c>
      <c r="H242" s="19">
        <v>30</v>
      </c>
      <c r="I242" s="41">
        <v>2990</v>
      </c>
      <c r="J242" s="42"/>
      <c r="K242" s="43"/>
      <c r="L242" s="42"/>
      <c r="M242" s="44"/>
      <c r="N242" s="45"/>
      <c r="O242" s="46">
        <f t="shared" si="138"/>
        <v>2990</v>
      </c>
      <c r="P242" s="92"/>
      <c r="Q242" s="92"/>
      <c r="R242" s="95">
        <f t="shared" si="125"/>
        <v>1221.32584269663</v>
      </c>
      <c r="S242" s="88">
        <f t="shared" si="126"/>
        <v>0.606741573033708</v>
      </c>
      <c r="T242" s="88">
        <f t="shared" si="127"/>
        <v>2.9276404494382</v>
      </c>
      <c r="U242" s="95"/>
      <c r="V242" s="95"/>
      <c r="W242" s="73">
        <f t="shared" si="123"/>
        <v>1224.8602247191</v>
      </c>
      <c r="X242" s="96">
        <f t="shared" si="128"/>
        <v>22.5980898876405</v>
      </c>
      <c r="Y242" s="96"/>
      <c r="Z242" s="96"/>
      <c r="AA242" s="75">
        <f t="shared" si="120"/>
        <v>22.5980898876405</v>
      </c>
      <c r="AB242" s="84">
        <v>7.22</v>
      </c>
      <c r="AC242" s="73">
        <f t="shared" si="121"/>
        <v>163.158208988764</v>
      </c>
      <c r="AD242" s="73">
        <f t="shared" si="122"/>
        <v>1388.01843370787</v>
      </c>
      <c r="AE242" s="73">
        <f t="shared" si="124"/>
        <v>1601.98156629213</v>
      </c>
    </row>
    <row r="243" customFormat="1" spans="1:31">
      <c r="A243" s="18"/>
      <c r="B243" s="19"/>
      <c r="C243" s="20">
        <v>240506000021</v>
      </c>
      <c r="D243" s="21">
        <v>45421</v>
      </c>
      <c r="E243" s="21" t="s">
        <v>41</v>
      </c>
      <c r="F243" s="19" t="s">
        <v>42</v>
      </c>
      <c r="G243" s="19" t="s">
        <v>232</v>
      </c>
      <c r="H243" s="19">
        <v>0.94</v>
      </c>
      <c r="I243" s="41">
        <v>67</v>
      </c>
      <c r="J243" s="42"/>
      <c r="K243" s="43"/>
      <c r="L243" s="42"/>
      <c r="M243" s="44"/>
      <c r="N243" s="45"/>
      <c r="O243" s="46">
        <f t="shared" si="138"/>
        <v>67</v>
      </c>
      <c r="P243" s="92"/>
      <c r="Q243" s="92"/>
      <c r="R243" s="95">
        <f t="shared" si="125"/>
        <v>38.2682097378277</v>
      </c>
      <c r="S243" s="88">
        <f t="shared" si="126"/>
        <v>0.0190112359550562</v>
      </c>
      <c r="T243" s="88">
        <f t="shared" si="127"/>
        <v>0.091732734082397</v>
      </c>
      <c r="U243" s="95"/>
      <c r="V243" s="95"/>
      <c r="W243" s="73">
        <f t="shared" si="123"/>
        <v>38.3789537078652</v>
      </c>
      <c r="X243" s="96">
        <f t="shared" si="128"/>
        <v>0.708073483146067</v>
      </c>
      <c r="Y243" s="96"/>
      <c r="Z243" s="96"/>
      <c r="AA243" s="75">
        <f t="shared" si="120"/>
        <v>0.708073483146067</v>
      </c>
      <c r="AB243" s="84">
        <v>7.22</v>
      </c>
      <c r="AC243" s="73">
        <f t="shared" si="121"/>
        <v>5.11229054831461</v>
      </c>
      <c r="AD243" s="73">
        <f t="shared" si="122"/>
        <v>43.4912442561798</v>
      </c>
      <c r="AE243" s="73">
        <f t="shared" si="124"/>
        <v>23.5087557438202</v>
      </c>
    </row>
    <row r="244" customFormat="1" spans="1:31">
      <c r="A244" s="18"/>
      <c r="B244" s="19"/>
      <c r="C244" s="20">
        <v>240506000022</v>
      </c>
      <c r="D244" s="21">
        <v>45421</v>
      </c>
      <c r="E244" s="21" t="s">
        <v>47</v>
      </c>
      <c r="F244" s="19" t="s">
        <v>48</v>
      </c>
      <c r="G244" s="19" t="s">
        <v>111</v>
      </c>
      <c r="H244" s="19">
        <v>84.5</v>
      </c>
      <c r="I244" s="41">
        <v>4478.5</v>
      </c>
      <c r="J244" s="42"/>
      <c r="K244" s="43"/>
      <c r="L244" s="42"/>
      <c r="M244" s="44"/>
      <c r="N244" s="45"/>
      <c r="O244" s="46">
        <f t="shared" si="138"/>
        <v>4478.5</v>
      </c>
      <c r="P244" s="92"/>
      <c r="Q244" s="92"/>
      <c r="R244" s="95">
        <f t="shared" si="125"/>
        <v>3440.06779026217</v>
      </c>
      <c r="S244" s="88">
        <f t="shared" si="126"/>
        <v>1.70898876404494</v>
      </c>
      <c r="T244" s="88">
        <f t="shared" si="127"/>
        <v>8.2461872659176</v>
      </c>
      <c r="U244" s="95"/>
      <c r="V244" s="95"/>
      <c r="W244" s="73">
        <f t="shared" si="123"/>
        <v>3450.02296629214</v>
      </c>
      <c r="X244" s="96">
        <f t="shared" si="128"/>
        <v>63.6512865168539</v>
      </c>
      <c r="Y244" s="96"/>
      <c r="Z244" s="96"/>
      <c r="AA244" s="75">
        <f t="shared" si="120"/>
        <v>63.6512865168539</v>
      </c>
      <c r="AB244" s="84">
        <v>7.22</v>
      </c>
      <c r="AC244" s="73">
        <f t="shared" si="121"/>
        <v>459.562288651685</v>
      </c>
      <c r="AD244" s="73">
        <f t="shared" si="122"/>
        <v>3909.58525494382</v>
      </c>
      <c r="AE244" s="73">
        <f t="shared" si="124"/>
        <v>568.91474505618</v>
      </c>
    </row>
    <row r="245" customFormat="1" spans="1:31">
      <c r="A245" s="18"/>
      <c r="B245" s="19"/>
      <c r="C245" s="20">
        <v>240506000024</v>
      </c>
      <c r="D245" s="21">
        <v>45421</v>
      </c>
      <c r="E245" s="21" t="s">
        <v>41</v>
      </c>
      <c r="F245" s="19" t="s">
        <v>42</v>
      </c>
      <c r="G245" s="19" t="s">
        <v>139</v>
      </c>
      <c r="H245" s="19">
        <v>31</v>
      </c>
      <c r="I245" s="52"/>
      <c r="J245" s="94">
        <v>358174</v>
      </c>
      <c r="K245" s="43"/>
      <c r="L245" s="49">
        <f t="shared" ref="L245:L250" si="139">SUM(J245/M245)</f>
        <v>1573.97609421691</v>
      </c>
      <c r="M245" s="50">
        <v>227.56</v>
      </c>
      <c r="N245" s="45">
        <v>7.22</v>
      </c>
      <c r="O245" s="46">
        <f t="shared" ref="O245:O250" si="140">SUM(M245*N245)</f>
        <v>1642.9832</v>
      </c>
      <c r="P245" s="92"/>
      <c r="Q245" s="92"/>
      <c r="R245" s="95">
        <f t="shared" si="125"/>
        <v>1262.03670411985</v>
      </c>
      <c r="S245" s="88">
        <f t="shared" si="126"/>
        <v>0.626966292134831</v>
      </c>
      <c r="T245" s="88">
        <f t="shared" si="127"/>
        <v>3.02522846441948</v>
      </c>
      <c r="U245" s="95"/>
      <c r="V245" s="95"/>
      <c r="W245" s="73">
        <f t="shared" si="123"/>
        <v>1265.6888988764</v>
      </c>
      <c r="X245" s="96">
        <f t="shared" si="128"/>
        <v>23.3513595505618</v>
      </c>
      <c r="Y245" s="96"/>
      <c r="Z245" s="96"/>
      <c r="AA245" s="75">
        <f t="shared" si="120"/>
        <v>23.3513595505618</v>
      </c>
      <c r="AB245" s="84">
        <v>7.22</v>
      </c>
      <c r="AC245" s="73">
        <f t="shared" si="121"/>
        <v>168.596815955056</v>
      </c>
      <c r="AD245" s="73">
        <f t="shared" si="122"/>
        <v>1434.28571483146</v>
      </c>
      <c r="AE245" s="73">
        <f t="shared" si="124"/>
        <v>208.697485168539</v>
      </c>
    </row>
    <row r="246" customFormat="1" spans="1:31">
      <c r="A246" s="18"/>
      <c r="B246" s="19"/>
      <c r="C246" s="20">
        <v>240506000025</v>
      </c>
      <c r="D246" s="21">
        <v>45421</v>
      </c>
      <c r="E246" s="21" t="s">
        <v>47</v>
      </c>
      <c r="F246" s="19" t="s">
        <v>48</v>
      </c>
      <c r="G246" s="19" t="s">
        <v>243</v>
      </c>
      <c r="H246" s="19">
        <v>61</v>
      </c>
      <c r="I246" s="46"/>
      <c r="J246" s="48">
        <v>715108</v>
      </c>
      <c r="K246" s="43"/>
      <c r="L246" s="49">
        <f t="shared" si="139"/>
        <v>1580</v>
      </c>
      <c r="M246" s="50">
        <v>452.6</v>
      </c>
      <c r="N246" s="45">
        <v>7.22</v>
      </c>
      <c r="O246" s="52">
        <f t="shared" si="140"/>
        <v>3267.772</v>
      </c>
      <c r="P246" s="92"/>
      <c r="Q246" s="92"/>
      <c r="R246" s="95">
        <f t="shared" si="125"/>
        <v>2483.36254681648</v>
      </c>
      <c r="S246" s="88">
        <f t="shared" si="126"/>
        <v>1.23370786516854</v>
      </c>
      <c r="T246" s="88">
        <f t="shared" si="127"/>
        <v>5.95286891385768</v>
      </c>
      <c r="U246" s="95"/>
      <c r="V246" s="95"/>
      <c r="W246" s="73">
        <f t="shared" si="123"/>
        <v>2490.54912359551</v>
      </c>
      <c r="X246" s="96">
        <f t="shared" si="128"/>
        <v>45.9494494382023</v>
      </c>
      <c r="Y246" s="96"/>
      <c r="Z246" s="96"/>
      <c r="AA246" s="75">
        <f t="shared" ref="AA246:AA278" si="141">SUM(X246:Z246)</f>
        <v>45.9494494382023</v>
      </c>
      <c r="AB246" s="84">
        <v>7.22</v>
      </c>
      <c r="AC246" s="73">
        <f t="shared" ref="AC246:AC277" si="142">SUM(AA246*AB246)</f>
        <v>331.75502494382</v>
      </c>
      <c r="AD246" s="73">
        <f t="shared" ref="AD246:AD277" si="143">SUM(W246+AC246)</f>
        <v>2822.30414853933</v>
      </c>
      <c r="AE246" s="73">
        <f t="shared" si="124"/>
        <v>445.467851460674</v>
      </c>
    </row>
    <row r="247" customFormat="1" spans="1:31">
      <c r="A247" s="18"/>
      <c r="B247" s="19"/>
      <c r="C247" s="20">
        <v>240506000028</v>
      </c>
      <c r="D247" s="21">
        <v>45421</v>
      </c>
      <c r="E247" s="21" t="s">
        <v>41</v>
      </c>
      <c r="F247" s="19" t="s">
        <v>42</v>
      </c>
      <c r="G247" s="19" t="s">
        <v>244</v>
      </c>
      <c r="H247" s="19">
        <v>15.5</v>
      </c>
      <c r="I247" s="41">
        <v>821.5</v>
      </c>
      <c r="J247" s="42"/>
      <c r="K247" s="43"/>
      <c r="L247" s="42"/>
      <c r="M247" s="44"/>
      <c r="N247" s="45"/>
      <c r="O247" s="46">
        <f t="shared" ref="O247:O252" si="144">SUM(I247)</f>
        <v>821.5</v>
      </c>
      <c r="P247" s="92"/>
      <c r="Q247" s="92"/>
      <c r="R247" s="95">
        <f t="shared" si="125"/>
        <v>631.018352059925</v>
      </c>
      <c r="S247" s="88">
        <f t="shared" si="126"/>
        <v>0.313483146067416</v>
      </c>
      <c r="T247" s="88">
        <f t="shared" si="127"/>
        <v>1.51261423220974</v>
      </c>
      <c r="U247" s="95"/>
      <c r="V247" s="95"/>
      <c r="W247" s="73">
        <f t="shared" ref="W247:W278" si="145">SUM(R247:V247)</f>
        <v>632.844449438202</v>
      </c>
      <c r="X247" s="96">
        <f t="shared" si="128"/>
        <v>11.6756797752809</v>
      </c>
      <c r="Y247" s="96"/>
      <c r="Z247" s="96"/>
      <c r="AA247" s="75">
        <f t="shared" si="141"/>
        <v>11.6756797752809</v>
      </c>
      <c r="AB247" s="84">
        <v>7.22</v>
      </c>
      <c r="AC247" s="73">
        <f t="shared" si="142"/>
        <v>84.2984079775281</v>
      </c>
      <c r="AD247" s="73">
        <f t="shared" si="143"/>
        <v>717.14285741573</v>
      </c>
      <c r="AE247" s="73">
        <f t="shared" ref="AE247:AE278" si="146">SUM(O247-AD247)</f>
        <v>104.35714258427</v>
      </c>
    </row>
    <row r="248" customFormat="1" spans="1:31">
      <c r="A248" s="18"/>
      <c r="B248" s="19"/>
      <c r="C248" s="20">
        <v>240506000029</v>
      </c>
      <c r="D248" s="21">
        <v>45421</v>
      </c>
      <c r="E248" s="21" t="s">
        <v>47</v>
      </c>
      <c r="F248" s="19" t="s">
        <v>48</v>
      </c>
      <c r="G248" s="19" t="s">
        <v>134</v>
      </c>
      <c r="H248" s="19">
        <v>4.5</v>
      </c>
      <c r="I248" s="41">
        <v>264</v>
      </c>
      <c r="J248" s="42"/>
      <c r="K248" s="43"/>
      <c r="L248" s="42"/>
      <c r="M248" s="44"/>
      <c r="N248" s="45"/>
      <c r="O248" s="46">
        <f t="shared" si="144"/>
        <v>264</v>
      </c>
      <c r="P248" s="92"/>
      <c r="Q248" s="92"/>
      <c r="R248" s="95">
        <f t="shared" ref="R248:R279" si="147">SUM(108698/2670)*H248</f>
        <v>183.198876404494</v>
      </c>
      <c r="S248" s="88">
        <f t="shared" ref="S248:S279" si="148">SUM(54/2670)*H248</f>
        <v>0.0910112359550562</v>
      </c>
      <c r="T248" s="88">
        <f t="shared" ref="T248:T279" si="149">SUM(260.56/2670)*H248</f>
        <v>0.43914606741573</v>
      </c>
      <c r="U248" s="95"/>
      <c r="V248" s="95"/>
      <c r="W248" s="73">
        <f t="shared" si="145"/>
        <v>183.729033707865</v>
      </c>
      <c r="X248" s="96">
        <f t="shared" ref="X248:X279" si="150">SUM(2011.23/2670)*H248</f>
        <v>3.38971348314607</v>
      </c>
      <c r="Y248" s="96"/>
      <c r="Z248" s="96"/>
      <c r="AA248" s="75">
        <f t="shared" si="141"/>
        <v>3.38971348314607</v>
      </c>
      <c r="AB248" s="84">
        <v>7.22</v>
      </c>
      <c r="AC248" s="73">
        <f t="shared" si="142"/>
        <v>24.4737313483146</v>
      </c>
      <c r="AD248" s="73">
        <f t="shared" si="143"/>
        <v>208.20276505618</v>
      </c>
      <c r="AE248" s="73">
        <f t="shared" si="146"/>
        <v>55.7972349438202</v>
      </c>
    </row>
    <row r="249" customFormat="1" spans="1:31">
      <c r="A249" s="18"/>
      <c r="B249" s="19"/>
      <c r="C249" s="20">
        <v>240506000031</v>
      </c>
      <c r="D249" s="21">
        <v>45421</v>
      </c>
      <c r="E249" s="21" t="s">
        <v>47</v>
      </c>
      <c r="F249" s="19" t="s">
        <v>48</v>
      </c>
      <c r="G249" s="19" t="s">
        <v>243</v>
      </c>
      <c r="H249" s="19">
        <v>0.38</v>
      </c>
      <c r="I249" s="46"/>
      <c r="J249" s="48">
        <v>15282</v>
      </c>
      <c r="K249" s="43"/>
      <c r="L249" s="49">
        <f>SUM(J249/M249)</f>
        <v>1468.01152737752</v>
      </c>
      <c r="M249" s="50">
        <v>10.41</v>
      </c>
      <c r="N249" s="45">
        <v>7.22</v>
      </c>
      <c r="O249" s="46">
        <f t="shared" si="140"/>
        <v>75.1602</v>
      </c>
      <c r="P249" s="92"/>
      <c r="Q249" s="92"/>
      <c r="R249" s="95">
        <f t="shared" si="147"/>
        <v>15.470127340824</v>
      </c>
      <c r="S249" s="88">
        <f t="shared" si="148"/>
        <v>0.00768539325842697</v>
      </c>
      <c r="T249" s="88">
        <f t="shared" si="149"/>
        <v>0.0370834456928839</v>
      </c>
      <c r="U249" s="95"/>
      <c r="V249" s="88">
        <v>13</v>
      </c>
      <c r="W249" s="73">
        <f t="shared" si="145"/>
        <v>28.5148961797753</v>
      </c>
      <c r="X249" s="96">
        <f t="shared" si="150"/>
        <v>0.286242471910112</v>
      </c>
      <c r="Y249" s="96"/>
      <c r="Z249" s="96"/>
      <c r="AA249" s="75">
        <f t="shared" si="141"/>
        <v>0.286242471910112</v>
      </c>
      <c r="AB249" s="84">
        <v>7.22</v>
      </c>
      <c r="AC249" s="73">
        <f t="shared" si="142"/>
        <v>2.06667064719101</v>
      </c>
      <c r="AD249" s="73">
        <f t="shared" si="143"/>
        <v>30.5815668269663</v>
      </c>
      <c r="AE249" s="73">
        <f t="shared" si="146"/>
        <v>44.5786331730337</v>
      </c>
    </row>
    <row r="250" customFormat="1" spans="1:31">
      <c r="A250" s="18"/>
      <c r="B250" s="19"/>
      <c r="C250" s="20">
        <v>240506000032</v>
      </c>
      <c r="D250" s="21">
        <v>45421</v>
      </c>
      <c r="E250" s="21" t="s">
        <v>37</v>
      </c>
      <c r="F250" s="19" t="s">
        <v>38</v>
      </c>
      <c r="G250" s="19" t="s">
        <v>132</v>
      </c>
      <c r="H250" s="19">
        <v>3</v>
      </c>
      <c r="I250" s="46"/>
      <c r="J250" s="48">
        <v>39184</v>
      </c>
      <c r="K250" s="43"/>
      <c r="L250" s="49">
        <f t="shared" si="139"/>
        <v>1580</v>
      </c>
      <c r="M250" s="50">
        <v>24.8</v>
      </c>
      <c r="N250" s="45">
        <v>7.22</v>
      </c>
      <c r="O250" s="46">
        <f t="shared" si="140"/>
        <v>179.056</v>
      </c>
      <c r="P250" s="92"/>
      <c r="Q250" s="92"/>
      <c r="R250" s="95">
        <f t="shared" si="147"/>
        <v>122.132584269663</v>
      </c>
      <c r="S250" s="88">
        <f t="shared" si="148"/>
        <v>0.0606741573033708</v>
      </c>
      <c r="T250" s="88">
        <f t="shared" si="149"/>
        <v>0.29276404494382</v>
      </c>
      <c r="U250" s="95"/>
      <c r="V250" s="95"/>
      <c r="W250" s="73">
        <f t="shared" si="145"/>
        <v>122.48602247191</v>
      </c>
      <c r="X250" s="96">
        <f t="shared" si="150"/>
        <v>2.25980898876404</v>
      </c>
      <c r="Y250" s="96"/>
      <c r="Z250" s="96"/>
      <c r="AA250" s="75">
        <f t="shared" si="141"/>
        <v>2.25980898876404</v>
      </c>
      <c r="AB250" s="84">
        <v>7.22</v>
      </c>
      <c r="AC250" s="73">
        <f t="shared" si="142"/>
        <v>16.3158208988764</v>
      </c>
      <c r="AD250" s="73">
        <f t="shared" si="143"/>
        <v>138.801843370787</v>
      </c>
      <c r="AE250" s="73">
        <f t="shared" si="146"/>
        <v>40.2541566292135</v>
      </c>
    </row>
    <row r="251" customFormat="1" spans="1:31">
      <c r="A251" s="18"/>
      <c r="B251" s="19"/>
      <c r="C251" s="20">
        <v>240506000035</v>
      </c>
      <c r="D251" s="21">
        <v>45421</v>
      </c>
      <c r="E251" s="21" t="s">
        <v>41</v>
      </c>
      <c r="F251" s="19" t="s">
        <v>42</v>
      </c>
      <c r="G251" s="19" t="s">
        <v>245</v>
      </c>
      <c r="H251" s="19">
        <v>12</v>
      </c>
      <c r="I251" s="41">
        <v>696</v>
      </c>
      <c r="J251" s="42"/>
      <c r="K251" s="43"/>
      <c r="L251" s="42"/>
      <c r="M251" s="44"/>
      <c r="N251" s="45"/>
      <c r="O251" s="46">
        <f t="shared" si="144"/>
        <v>696</v>
      </c>
      <c r="P251" s="92"/>
      <c r="Q251" s="92"/>
      <c r="R251" s="95">
        <f t="shared" si="147"/>
        <v>488.530337078652</v>
      </c>
      <c r="S251" s="88">
        <f t="shared" si="148"/>
        <v>0.242696629213483</v>
      </c>
      <c r="T251" s="88">
        <f t="shared" si="149"/>
        <v>1.17105617977528</v>
      </c>
      <c r="U251" s="95"/>
      <c r="V251" s="95"/>
      <c r="W251" s="73">
        <f t="shared" si="145"/>
        <v>489.94408988764</v>
      </c>
      <c r="X251" s="96">
        <f t="shared" si="150"/>
        <v>9.03923595505618</v>
      </c>
      <c r="Y251" s="96"/>
      <c r="Z251" s="96"/>
      <c r="AA251" s="75">
        <f t="shared" si="141"/>
        <v>9.03923595505618</v>
      </c>
      <c r="AB251" s="84">
        <v>7.22</v>
      </c>
      <c r="AC251" s="73">
        <f t="shared" si="142"/>
        <v>65.2632835955056</v>
      </c>
      <c r="AD251" s="73">
        <f t="shared" si="143"/>
        <v>555.207373483146</v>
      </c>
      <c r="AE251" s="73">
        <f t="shared" si="146"/>
        <v>140.792626516854</v>
      </c>
    </row>
    <row r="252" customFormat="1" spans="1:31">
      <c r="A252" s="18"/>
      <c r="B252" s="19"/>
      <c r="C252" s="20">
        <v>240506000036</v>
      </c>
      <c r="D252" s="21">
        <v>45421</v>
      </c>
      <c r="E252" s="21" t="s">
        <v>41</v>
      </c>
      <c r="F252" s="19" t="s">
        <v>42</v>
      </c>
      <c r="G252" s="19" t="s">
        <v>245</v>
      </c>
      <c r="H252" s="19">
        <v>0.9</v>
      </c>
      <c r="I252" s="41">
        <v>58</v>
      </c>
      <c r="J252" s="42"/>
      <c r="K252" s="43"/>
      <c r="L252" s="42"/>
      <c r="M252" s="44"/>
      <c r="N252" s="45"/>
      <c r="O252" s="46">
        <f t="shared" si="144"/>
        <v>58</v>
      </c>
      <c r="P252" s="92"/>
      <c r="Q252" s="92"/>
      <c r="R252" s="95">
        <f t="shared" si="147"/>
        <v>36.6397752808989</v>
      </c>
      <c r="S252" s="88">
        <f t="shared" si="148"/>
        <v>0.0182022471910112</v>
      </c>
      <c r="T252" s="88">
        <f t="shared" si="149"/>
        <v>0.0878292134831461</v>
      </c>
      <c r="U252" s="95"/>
      <c r="V252" s="95"/>
      <c r="W252" s="73">
        <f t="shared" si="145"/>
        <v>36.745806741573</v>
      </c>
      <c r="X252" s="96">
        <f t="shared" si="150"/>
        <v>0.677942696629213</v>
      </c>
      <c r="Y252" s="96"/>
      <c r="Z252" s="96"/>
      <c r="AA252" s="75">
        <f t="shared" si="141"/>
        <v>0.677942696629213</v>
      </c>
      <c r="AB252" s="84">
        <v>7.22</v>
      </c>
      <c r="AC252" s="73">
        <f t="shared" si="142"/>
        <v>4.89474626966292</v>
      </c>
      <c r="AD252" s="73">
        <f t="shared" si="143"/>
        <v>41.640553011236</v>
      </c>
      <c r="AE252" s="73">
        <f t="shared" si="146"/>
        <v>16.359446988764</v>
      </c>
    </row>
    <row r="253" customFormat="1" spans="1:31">
      <c r="A253" s="18"/>
      <c r="B253" s="19"/>
      <c r="C253" s="20">
        <v>240506000039</v>
      </c>
      <c r="D253" s="21">
        <v>45421</v>
      </c>
      <c r="E253" s="21" t="s">
        <v>47</v>
      </c>
      <c r="F253" s="19" t="s">
        <v>48</v>
      </c>
      <c r="G253" s="19" t="s">
        <v>74</v>
      </c>
      <c r="H253" s="19">
        <v>8.5</v>
      </c>
      <c r="I253" s="52"/>
      <c r="J253" s="48">
        <v>100382</v>
      </c>
      <c r="K253" s="43"/>
      <c r="L253" s="49">
        <f t="shared" ref="L253:L257" si="151">SUM(J253/M253)</f>
        <v>1530.68008539189</v>
      </c>
      <c r="M253" s="50">
        <v>65.58</v>
      </c>
      <c r="N253" s="45">
        <v>7.22</v>
      </c>
      <c r="O253" s="46">
        <f t="shared" ref="O253:O257" si="152">SUM(M253*N253)</f>
        <v>473.4876</v>
      </c>
      <c r="P253" s="92"/>
      <c r="Q253" s="92"/>
      <c r="R253" s="95">
        <f t="shared" si="147"/>
        <v>346.042322097378</v>
      </c>
      <c r="S253" s="88">
        <f t="shared" si="148"/>
        <v>0.171910112359551</v>
      </c>
      <c r="T253" s="88">
        <f t="shared" si="149"/>
        <v>0.829498127340824</v>
      </c>
      <c r="U253" s="95"/>
      <c r="V253" s="95"/>
      <c r="W253" s="73">
        <f t="shared" si="145"/>
        <v>347.043730337079</v>
      </c>
      <c r="X253" s="96">
        <f t="shared" si="150"/>
        <v>6.40279213483146</v>
      </c>
      <c r="Y253" s="96"/>
      <c r="Z253" s="96"/>
      <c r="AA253" s="75">
        <f t="shared" si="141"/>
        <v>6.40279213483146</v>
      </c>
      <c r="AB253" s="84">
        <v>7.22</v>
      </c>
      <c r="AC253" s="73">
        <f t="shared" si="142"/>
        <v>46.2281592134831</v>
      </c>
      <c r="AD253" s="73">
        <f t="shared" si="143"/>
        <v>393.271889550562</v>
      </c>
      <c r="AE253" s="73">
        <f t="shared" si="146"/>
        <v>80.2157104494382</v>
      </c>
    </row>
    <row r="254" customFormat="1" spans="1:31">
      <c r="A254" s="18"/>
      <c r="B254" s="19"/>
      <c r="C254" s="20">
        <v>240506000041</v>
      </c>
      <c r="D254" s="21">
        <v>45421</v>
      </c>
      <c r="E254" s="21" t="s">
        <v>41</v>
      </c>
      <c r="F254" s="19" t="s">
        <v>42</v>
      </c>
      <c r="G254" s="19" t="s">
        <v>246</v>
      </c>
      <c r="H254" s="19">
        <v>242</v>
      </c>
      <c r="I254" s="41">
        <v>12000</v>
      </c>
      <c r="J254" s="42"/>
      <c r="K254" s="43"/>
      <c r="L254" s="42"/>
      <c r="M254" s="44"/>
      <c r="N254" s="45"/>
      <c r="O254" s="46">
        <f t="shared" ref="O254:O261" si="153">SUM(I254)</f>
        <v>12000</v>
      </c>
      <c r="P254" s="92"/>
      <c r="Q254" s="92"/>
      <c r="R254" s="95">
        <f t="shared" si="147"/>
        <v>9852.02846441948</v>
      </c>
      <c r="S254" s="88">
        <f t="shared" si="148"/>
        <v>4.89438202247191</v>
      </c>
      <c r="T254" s="88">
        <f t="shared" si="149"/>
        <v>23.6162996254682</v>
      </c>
      <c r="U254" s="95"/>
      <c r="V254" s="95"/>
      <c r="W254" s="73">
        <f t="shared" si="145"/>
        <v>9880.53914606742</v>
      </c>
      <c r="X254" s="96">
        <f t="shared" si="150"/>
        <v>182.291258426966</v>
      </c>
      <c r="Y254" s="96"/>
      <c r="Z254" s="96"/>
      <c r="AA254" s="75">
        <f t="shared" si="141"/>
        <v>182.291258426966</v>
      </c>
      <c r="AB254" s="84">
        <v>7.22</v>
      </c>
      <c r="AC254" s="73">
        <f t="shared" si="142"/>
        <v>1316.1428858427</v>
      </c>
      <c r="AD254" s="73">
        <f t="shared" si="143"/>
        <v>11196.6820319101</v>
      </c>
      <c r="AE254" s="73">
        <f t="shared" si="146"/>
        <v>803.317968089887</v>
      </c>
    </row>
    <row r="255" customFormat="1" spans="1:31">
      <c r="A255" s="18"/>
      <c r="B255" s="19"/>
      <c r="C255" s="20">
        <v>240506000042</v>
      </c>
      <c r="D255" s="21">
        <v>45421</v>
      </c>
      <c r="E255" s="21" t="s">
        <v>41</v>
      </c>
      <c r="F255" s="19" t="s">
        <v>42</v>
      </c>
      <c r="G255" s="19" t="s">
        <v>247</v>
      </c>
      <c r="H255" s="19">
        <v>25</v>
      </c>
      <c r="I255" s="52"/>
      <c r="J255" s="48">
        <v>374816</v>
      </c>
      <c r="K255" s="43"/>
      <c r="L255" s="49">
        <f t="shared" si="151"/>
        <v>1501.78700216363</v>
      </c>
      <c r="M255" s="50">
        <v>249.58</v>
      </c>
      <c r="N255" s="45">
        <v>7.22</v>
      </c>
      <c r="O255" s="46">
        <f t="shared" si="152"/>
        <v>1801.9676</v>
      </c>
      <c r="P255" s="92"/>
      <c r="Q255" s="92"/>
      <c r="R255" s="95">
        <f t="shared" si="147"/>
        <v>1017.77153558052</v>
      </c>
      <c r="S255" s="88">
        <f t="shared" si="148"/>
        <v>0.50561797752809</v>
      </c>
      <c r="T255" s="88">
        <f t="shared" si="149"/>
        <v>2.43970037453183</v>
      </c>
      <c r="U255" s="95"/>
      <c r="V255" s="95"/>
      <c r="W255" s="73">
        <f t="shared" si="145"/>
        <v>1020.71685393258</v>
      </c>
      <c r="X255" s="96">
        <f t="shared" si="150"/>
        <v>18.8317415730337</v>
      </c>
      <c r="Y255" s="96"/>
      <c r="Z255" s="96"/>
      <c r="AA255" s="75">
        <f t="shared" si="141"/>
        <v>18.8317415730337</v>
      </c>
      <c r="AB255" s="84">
        <v>7.22</v>
      </c>
      <c r="AC255" s="73">
        <f t="shared" si="142"/>
        <v>135.965174157303</v>
      </c>
      <c r="AD255" s="73">
        <f t="shared" si="143"/>
        <v>1156.68202808989</v>
      </c>
      <c r="AE255" s="73">
        <f t="shared" si="146"/>
        <v>645.285571910112</v>
      </c>
    </row>
    <row r="256" customFormat="1" spans="1:31">
      <c r="A256" s="18"/>
      <c r="B256" s="19"/>
      <c r="C256" s="20">
        <v>240506000044</v>
      </c>
      <c r="D256" s="21">
        <v>45421</v>
      </c>
      <c r="E256" s="21" t="s">
        <v>41</v>
      </c>
      <c r="F256" s="19" t="s">
        <v>42</v>
      </c>
      <c r="G256" s="19" t="s">
        <v>165</v>
      </c>
      <c r="H256" s="19">
        <v>103</v>
      </c>
      <c r="I256" s="41">
        <v>5459</v>
      </c>
      <c r="J256" s="42"/>
      <c r="K256" s="43"/>
      <c r="L256" s="42"/>
      <c r="M256" s="44"/>
      <c r="N256" s="45"/>
      <c r="O256" s="46">
        <f t="shared" si="153"/>
        <v>5459</v>
      </c>
      <c r="P256" s="92"/>
      <c r="Q256" s="92"/>
      <c r="R256" s="95">
        <f t="shared" si="147"/>
        <v>4193.21872659176</v>
      </c>
      <c r="S256" s="88">
        <f t="shared" si="148"/>
        <v>2.08314606741573</v>
      </c>
      <c r="T256" s="88">
        <f t="shared" si="149"/>
        <v>10.0515655430712</v>
      </c>
      <c r="U256" s="95"/>
      <c r="V256" s="95"/>
      <c r="W256" s="73">
        <f t="shared" si="145"/>
        <v>4205.35343820225</v>
      </c>
      <c r="X256" s="96">
        <f t="shared" si="150"/>
        <v>77.5867752808989</v>
      </c>
      <c r="Y256" s="96"/>
      <c r="Z256" s="96"/>
      <c r="AA256" s="75">
        <f t="shared" si="141"/>
        <v>77.5867752808989</v>
      </c>
      <c r="AB256" s="84">
        <v>7.22</v>
      </c>
      <c r="AC256" s="73">
        <f t="shared" si="142"/>
        <v>560.17651752809</v>
      </c>
      <c r="AD256" s="73">
        <f t="shared" si="143"/>
        <v>4765.52995573034</v>
      </c>
      <c r="AE256" s="73">
        <f t="shared" si="146"/>
        <v>693.470044269663</v>
      </c>
    </row>
    <row r="257" customFormat="1" spans="1:31">
      <c r="A257" s="18"/>
      <c r="B257" s="19"/>
      <c r="C257" s="20">
        <v>240506000045</v>
      </c>
      <c r="D257" s="21">
        <v>45421</v>
      </c>
      <c r="E257" s="21" t="s">
        <v>44</v>
      </c>
      <c r="F257" s="19" t="s">
        <v>45</v>
      </c>
      <c r="G257" s="19" t="s">
        <v>248</v>
      </c>
      <c r="H257" s="19">
        <v>183</v>
      </c>
      <c r="I257" s="52"/>
      <c r="J257" s="48">
        <v>2064965</v>
      </c>
      <c r="K257" s="43"/>
      <c r="L257" s="49">
        <f t="shared" si="151"/>
        <v>1480.10249793929</v>
      </c>
      <c r="M257" s="50">
        <v>1395.15</v>
      </c>
      <c r="N257" s="45">
        <v>7.22</v>
      </c>
      <c r="O257" s="46">
        <f t="shared" si="152"/>
        <v>10072.983</v>
      </c>
      <c r="P257" s="92"/>
      <c r="Q257" s="92"/>
      <c r="R257" s="95">
        <f t="shared" si="147"/>
        <v>7450.08764044944</v>
      </c>
      <c r="S257" s="88">
        <f t="shared" si="148"/>
        <v>3.70112359550562</v>
      </c>
      <c r="T257" s="88">
        <f t="shared" si="149"/>
        <v>17.858606741573</v>
      </c>
      <c r="U257" s="95"/>
      <c r="V257" s="95"/>
      <c r="W257" s="73">
        <f t="shared" si="145"/>
        <v>7471.64737078652</v>
      </c>
      <c r="X257" s="96">
        <f t="shared" si="150"/>
        <v>137.848348314607</v>
      </c>
      <c r="Y257" s="96"/>
      <c r="Z257" s="96"/>
      <c r="AA257" s="75">
        <f t="shared" si="141"/>
        <v>137.848348314607</v>
      </c>
      <c r="AB257" s="84">
        <v>7.22</v>
      </c>
      <c r="AC257" s="73">
        <f t="shared" si="142"/>
        <v>995.265074831461</v>
      </c>
      <c r="AD257" s="73">
        <f t="shared" si="143"/>
        <v>8466.91244561798</v>
      </c>
      <c r="AE257" s="73">
        <f t="shared" si="146"/>
        <v>1606.07055438202</v>
      </c>
    </row>
    <row r="258" customFormat="1" spans="1:31">
      <c r="A258" s="18"/>
      <c r="B258" s="19"/>
      <c r="C258" s="22">
        <v>240506000046</v>
      </c>
      <c r="D258" s="23">
        <v>45421</v>
      </c>
      <c r="E258" s="21" t="s">
        <v>41</v>
      </c>
      <c r="F258" s="24" t="s">
        <v>42</v>
      </c>
      <c r="G258" s="24" t="s">
        <v>249</v>
      </c>
      <c r="H258" s="24">
        <v>229</v>
      </c>
      <c r="I258" s="41">
        <v>13200</v>
      </c>
      <c r="J258" s="42"/>
      <c r="K258" s="43"/>
      <c r="L258" s="42"/>
      <c r="M258" s="44"/>
      <c r="N258" s="45"/>
      <c r="O258" s="46">
        <f t="shared" si="153"/>
        <v>13200</v>
      </c>
      <c r="P258" s="92"/>
      <c r="Q258" s="92"/>
      <c r="R258" s="95">
        <f t="shared" si="147"/>
        <v>9322.7872659176</v>
      </c>
      <c r="S258" s="88">
        <f t="shared" si="148"/>
        <v>4.6314606741573</v>
      </c>
      <c r="T258" s="88">
        <f t="shared" si="149"/>
        <v>22.3476554307116</v>
      </c>
      <c r="U258" s="95"/>
      <c r="V258" s="95"/>
      <c r="W258" s="73">
        <f t="shared" si="145"/>
        <v>9349.76638202247</v>
      </c>
      <c r="X258" s="96">
        <f t="shared" si="150"/>
        <v>172.498752808989</v>
      </c>
      <c r="Y258" s="96">
        <v>147.22</v>
      </c>
      <c r="Z258" s="96"/>
      <c r="AA258" s="75">
        <f t="shared" si="141"/>
        <v>319.718752808989</v>
      </c>
      <c r="AB258" s="84">
        <v>7.22</v>
      </c>
      <c r="AC258" s="73">
        <f t="shared" si="142"/>
        <v>2308.3693952809</v>
      </c>
      <c r="AD258" s="73">
        <f t="shared" si="143"/>
        <v>11658.1357773034</v>
      </c>
      <c r="AE258" s="73">
        <f t="shared" si="146"/>
        <v>1541.86422269663</v>
      </c>
    </row>
    <row r="259" customFormat="1" spans="1:31">
      <c r="A259" s="18"/>
      <c r="B259" s="19"/>
      <c r="C259" s="20">
        <v>240506000050</v>
      </c>
      <c r="D259" s="21">
        <v>45421</v>
      </c>
      <c r="E259" s="21" t="s">
        <v>54</v>
      </c>
      <c r="F259" s="19" t="s">
        <v>54</v>
      </c>
      <c r="G259" s="19" t="s">
        <v>250</v>
      </c>
      <c r="H259" s="19">
        <v>3</v>
      </c>
      <c r="I259" s="41">
        <v>177</v>
      </c>
      <c r="J259" s="42"/>
      <c r="K259" s="43"/>
      <c r="L259" s="42"/>
      <c r="M259" s="44"/>
      <c r="N259" s="45"/>
      <c r="O259" s="46">
        <f t="shared" si="153"/>
        <v>177</v>
      </c>
      <c r="P259" s="92"/>
      <c r="Q259" s="92"/>
      <c r="R259" s="95">
        <f t="shared" si="147"/>
        <v>122.132584269663</v>
      </c>
      <c r="S259" s="88">
        <f t="shared" si="148"/>
        <v>0.0606741573033708</v>
      </c>
      <c r="T259" s="88">
        <f t="shared" si="149"/>
        <v>0.29276404494382</v>
      </c>
      <c r="U259" s="95"/>
      <c r="V259" s="95"/>
      <c r="W259" s="73">
        <f t="shared" si="145"/>
        <v>122.48602247191</v>
      </c>
      <c r="X259" s="96">
        <f t="shared" si="150"/>
        <v>2.25980898876404</v>
      </c>
      <c r="Y259" s="96"/>
      <c r="Z259" s="96"/>
      <c r="AA259" s="75">
        <f t="shared" si="141"/>
        <v>2.25980898876404</v>
      </c>
      <c r="AB259" s="84">
        <v>7.22</v>
      </c>
      <c r="AC259" s="73">
        <f t="shared" si="142"/>
        <v>16.3158208988764</v>
      </c>
      <c r="AD259" s="73">
        <f t="shared" si="143"/>
        <v>138.801843370787</v>
      </c>
      <c r="AE259" s="73">
        <f t="shared" si="146"/>
        <v>38.1981566292135</v>
      </c>
    </row>
    <row r="260" customFormat="1" spans="1:31">
      <c r="A260" s="18"/>
      <c r="B260" s="19"/>
      <c r="C260" s="20">
        <v>240506000051</v>
      </c>
      <c r="D260" s="21">
        <v>45421</v>
      </c>
      <c r="E260" s="21" t="s">
        <v>47</v>
      </c>
      <c r="F260" s="19" t="s">
        <v>48</v>
      </c>
      <c r="G260" s="19" t="s">
        <v>251</v>
      </c>
      <c r="H260" s="19">
        <v>10</v>
      </c>
      <c r="I260" s="41">
        <v>556</v>
      </c>
      <c r="J260" s="42"/>
      <c r="K260" s="43"/>
      <c r="L260" s="42"/>
      <c r="M260" s="44"/>
      <c r="N260" s="45"/>
      <c r="O260" s="46">
        <f t="shared" si="153"/>
        <v>556</v>
      </c>
      <c r="P260" s="92"/>
      <c r="Q260" s="92"/>
      <c r="R260" s="95">
        <f t="shared" si="147"/>
        <v>407.10861423221</v>
      </c>
      <c r="S260" s="88">
        <f t="shared" si="148"/>
        <v>0.202247191011236</v>
      </c>
      <c r="T260" s="88">
        <f t="shared" si="149"/>
        <v>0.975880149812734</v>
      </c>
      <c r="U260" s="95"/>
      <c r="V260" s="95"/>
      <c r="W260" s="73">
        <f t="shared" si="145"/>
        <v>408.286741573034</v>
      </c>
      <c r="X260" s="96">
        <f t="shared" si="150"/>
        <v>7.53269662921348</v>
      </c>
      <c r="Y260" s="96"/>
      <c r="Z260" s="96"/>
      <c r="AA260" s="75">
        <f t="shared" si="141"/>
        <v>7.53269662921348</v>
      </c>
      <c r="AB260" s="84">
        <v>7.22</v>
      </c>
      <c r="AC260" s="73">
        <f t="shared" si="142"/>
        <v>54.3860696629214</v>
      </c>
      <c r="AD260" s="73">
        <f t="shared" si="143"/>
        <v>462.672811235955</v>
      </c>
      <c r="AE260" s="73">
        <f t="shared" si="146"/>
        <v>93.3271887640449</v>
      </c>
    </row>
    <row r="261" customFormat="1" spans="1:31">
      <c r="A261" s="18"/>
      <c r="B261" s="19"/>
      <c r="C261" s="20">
        <v>240506000054</v>
      </c>
      <c r="D261" s="21">
        <v>45421</v>
      </c>
      <c r="E261" s="21" t="s">
        <v>54</v>
      </c>
      <c r="F261" s="19" t="s">
        <v>54</v>
      </c>
      <c r="G261" s="19" t="s">
        <v>252</v>
      </c>
      <c r="H261" s="19">
        <v>13</v>
      </c>
      <c r="I261" s="41">
        <v>721</v>
      </c>
      <c r="J261" s="42"/>
      <c r="K261" s="43"/>
      <c r="L261" s="42"/>
      <c r="M261" s="44"/>
      <c r="N261" s="45"/>
      <c r="O261" s="46">
        <f t="shared" si="153"/>
        <v>721</v>
      </c>
      <c r="P261" s="92"/>
      <c r="Q261" s="92"/>
      <c r="R261" s="95">
        <f t="shared" si="147"/>
        <v>529.241198501873</v>
      </c>
      <c r="S261" s="88">
        <f t="shared" si="148"/>
        <v>0.262921348314607</v>
      </c>
      <c r="T261" s="88">
        <f t="shared" si="149"/>
        <v>1.26864419475655</v>
      </c>
      <c r="U261" s="95"/>
      <c r="V261" s="95"/>
      <c r="W261" s="73">
        <f t="shared" si="145"/>
        <v>530.772764044944</v>
      </c>
      <c r="X261" s="96">
        <f t="shared" si="150"/>
        <v>9.79250561797753</v>
      </c>
      <c r="Y261" s="96"/>
      <c r="Z261" s="96"/>
      <c r="AA261" s="75">
        <f t="shared" si="141"/>
        <v>9.79250561797753</v>
      </c>
      <c r="AB261" s="84">
        <v>7.22</v>
      </c>
      <c r="AC261" s="73">
        <f t="shared" si="142"/>
        <v>70.7018905617978</v>
      </c>
      <c r="AD261" s="73">
        <f t="shared" si="143"/>
        <v>601.474654606742</v>
      </c>
      <c r="AE261" s="73">
        <f t="shared" si="146"/>
        <v>119.525345393258</v>
      </c>
    </row>
    <row r="262" customFormat="1" spans="1:31">
      <c r="A262" s="18"/>
      <c r="B262" s="19"/>
      <c r="C262" s="20">
        <v>240506000058</v>
      </c>
      <c r="D262" s="21">
        <v>45421</v>
      </c>
      <c r="E262" s="21" t="s">
        <v>81</v>
      </c>
      <c r="F262" s="19" t="s">
        <v>253</v>
      </c>
      <c r="G262" s="19" t="s">
        <v>254</v>
      </c>
      <c r="H262" s="19">
        <v>6.5</v>
      </c>
      <c r="I262" s="52"/>
      <c r="J262" s="48">
        <v>74518</v>
      </c>
      <c r="K262" s="43"/>
      <c r="L262" s="49">
        <f t="shared" ref="L262:L267" si="154">SUM(J262/M262)</f>
        <v>1480.2940007946</v>
      </c>
      <c r="M262" s="50">
        <v>50.34</v>
      </c>
      <c r="N262" s="45">
        <v>7.22</v>
      </c>
      <c r="O262" s="46">
        <f t="shared" ref="O262:O267" si="155">SUM(M262*N262)</f>
        <v>363.4548</v>
      </c>
      <c r="P262" s="92"/>
      <c r="Q262" s="92"/>
      <c r="R262" s="95">
        <f t="shared" si="147"/>
        <v>264.620599250936</v>
      </c>
      <c r="S262" s="88">
        <f t="shared" si="148"/>
        <v>0.131460674157303</v>
      </c>
      <c r="T262" s="88">
        <f t="shared" si="149"/>
        <v>0.634322097378277</v>
      </c>
      <c r="U262" s="95"/>
      <c r="V262" s="95"/>
      <c r="W262" s="73">
        <f t="shared" si="145"/>
        <v>265.386382022472</v>
      </c>
      <c r="X262" s="96">
        <f t="shared" si="150"/>
        <v>4.89625280898876</v>
      </c>
      <c r="Y262" s="96"/>
      <c r="Z262" s="96"/>
      <c r="AA262" s="75">
        <f t="shared" si="141"/>
        <v>4.89625280898876</v>
      </c>
      <c r="AB262" s="84">
        <v>7.22</v>
      </c>
      <c r="AC262" s="73">
        <f t="shared" si="142"/>
        <v>35.3509452808989</v>
      </c>
      <c r="AD262" s="73">
        <f t="shared" si="143"/>
        <v>300.737327303371</v>
      </c>
      <c r="AE262" s="73">
        <f t="shared" si="146"/>
        <v>62.7174726966292</v>
      </c>
    </row>
    <row r="263" customFormat="1" spans="1:31">
      <c r="A263" s="18"/>
      <c r="B263" s="19"/>
      <c r="C263" s="20">
        <v>240506000070</v>
      </c>
      <c r="D263" s="21">
        <v>45421</v>
      </c>
      <c r="E263" s="21" t="s">
        <v>54</v>
      </c>
      <c r="F263" s="19" t="s">
        <v>54</v>
      </c>
      <c r="G263" s="19" t="s">
        <v>107</v>
      </c>
      <c r="H263" s="19">
        <v>233.5</v>
      </c>
      <c r="I263" s="52">
        <v>12383.5</v>
      </c>
      <c r="J263" s="42"/>
      <c r="K263" s="43"/>
      <c r="L263" s="42"/>
      <c r="M263" s="44"/>
      <c r="N263" s="45"/>
      <c r="O263" s="46">
        <f t="shared" ref="O263:O266" si="156">SUM(I263)</f>
        <v>12383.5</v>
      </c>
      <c r="P263" s="92"/>
      <c r="Q263" s="92"/>
      <c r="R263" s="95">
        <f t="shared" si="147"/>
        <v>9505.9861423221</v>
      </c>
      <c r="S263" s="88">
        <f t="shared" si="148"/>
        <v>4.72247191011236</v>
      </c>
      <c r="T263" s="88">
        <f t="shared" si="149"/>
        <v>22.7868014981273</v>
      </c>
      <c r="U263" s="95"/>
      <c r="V263" s="95"/>
      <c r="W263" s="73">
        <f t="shared" si="145"/>
        <v>9533.49541573034</v>
      </c>
      <c r="X263" s="96">
        <f t="shared" si="150"/>
        <v>175.888466292135</v>
      </c>
      <c r="Y263" s="96"/>
      <c r="Z263" s="96"/>
      <c r="AA263" s="75">
        <f t="shared" si="141"/>
        <v>175.888466292135</v>
      </c>
      <c r="AB263" s="84">
        <v>7.22</v>
      </c>
      <c r="AC263" s="73">
        <f t="shared" si="142"/>
        <v>1269.91472662921</v>
      </c>
      <c r="AD263" s="73">
        <f t="shared" si="143"/>
        <v>10803.4101423595</v>
      </c>
      <c r="AE263" s="73">
        <f t="shared" si="146"/>
        <v>1580.08985764045</v>
      </c>
    </row>
    <row r="264" customFormat="1" spans="1:31">
      <c r="A264" s="18"/>
      <c r="B264" s="19"/>
      <c r="C264" s="20">
        <v>240507000002</v>
      </c>
      <c r="D264" s="21">
        <v>45421</v>
      </c>
      <c r="E264" s="21" t="s">
        <v>44</v>
      </c>
      <c r="F264" s="19" t="s">
        <v>45</v>
      </c>
      <c r="G264" s="19" t="s">
        <v>255</v>
      </c>
      <c r="H264" s="19">
        <v>6.5</v>
      </c>
      <c r="I264" s="52"/>
      <c r="J264" s="48">
        <v>70622.5</v>
      </c>
      <c r="K264" s="43"/>
      <c r="L264" s="49">
        <f t="shared" si="154"/>
        <v>1480.24523160763</v>
      </c>
      <c r="M264" s="50">
        <v>47.71</v>
      </c>
      <c r="N264" s="45">
        <v>7.22</v>
      </c>
      <c r="O264" s="46">
        <f t="shared" si="155"/>
        <v>344.4662</v>
      </c>
      <c r="P264" s="92"/>
      <c r="Q264" s="92"/>
      <c r="R264" s="95">
        <f t="shared" si="147"/>
        <v>264.620599250936</v>
      </c>
      <c r="S264" s="88">
        <f t="shared" si="148"/>
        <v>0.131460674157303</v>
      </c>
      <c r="T264" s="88">
        <f t="shared" si="149"/>
        <v>0.634322097378277</v>
      </c>
      <c r="U264" s="95"/>
      <c r="V264" s="95"/>
      <c r="W264" s="73">
        <f t="shared" si="145"/>
        <v>265.386382022472</v>
      </c>
      <c r="X264" s="96">
        <f t="shared" si="150"/>
        <v>4.89625280898876</v>
      </c>
      <c r="Y264" s="96"/>
      <c r="Z264" s="96"/>
      <c r="AA264" s="75">
        <f t="shared" si="141"/>
        <v>4.89625280898876</v>
      </c>
      <c r="AB264" s="84">
        <v>7.22</v>
      </c>
      <c r="AC264" s="73">
        <f t="shared" si="142"/>
        <v>35.3509452808989</v>
      </c>
      <c r="AD264" s="73">
        <f t="shared" si="143"/>
        <v>300.737327303371</v>
      </c>
      <c r="AE264" s="73">
        <f t="shared" si="146"/>
        <v>43.7288726966292</v>
      </c>
    </row>
    <row r="265" customFormat="1" spans="1:31">
      <c r="A265" s="18"/>
      <c r="B265" s="19"/>
      <c r="C265" s="20">
        <v>240507000008</v>
      </c>
      <c r="D265" s="21">
        <v>45421</v>
      </c>
      <c r="E265" s="21" t="s">
        <v>37</v>
      </c>
      <c r="F265" s="19" t="s">
        <v>38</v>
      </c>
      <c r="G265" s="19" t="s">
        <v>143</v>
      </c>
      <c r="H265" s="19">
        <v>0.84</v>
      </c>
      <c r="I265" s="41">
        <v>61</v>
      </c>
      <c r="J265" s="42"/>
      <c r="K265" s="43"/>
      <c r="L265" s="42"/>
      <c r="M265" s="44"/>
      <c r="N265" s="45"/>
      <c r="O265" s="46">
        <f t="shared" si="156"/>
        <v>61</v>
      </c>
      <c r="P265" s="92"/>
      <c r="Q265" s="92"/>
      <c r="R265" s="95">
        <f t="shared" si="147"/>
        <v>34.1971235955056</v>
      </c>
      <c r="S265" s="88">
        <f t="shared" si="148"/>
        <v>0.0169887640449438</v>
      </c>
      <c r="T265" s="88">
        <f t="shared" si="149"/>
        <v>0.0819739325842697</v>
      </c>
      <c r="U265" s="95"/>
      <c r="V265" s="95"/>
      <c r="W265" s="73">
        <f t="shared" si="145"/>
        <v>34.2960862921348</v>
      </c>
      <c r="X265" s="96">
        <f t="shared" si="150"/>
        <v>0.632746516853933</v>
      </c>
      <c r="Y265" s="96"/>
      <c r="Z265" s="96"/>
      <c r="AA265" s="75">
        <f t="shared" si="141"/>
        <v>0.632746516853933</v>
      </c>
      <c r="AB265" s="84">
        <v>7.22</v>
      </c>
      <c r="AC265" s="73">
        <f t="shared" si="142"/>
        <v>4.56842985168539</v>
      </c>
      <c r="AD265" s="73">
        <f t="shared" si="143"/>
        <v>38.8645161438202</v>
      </c>
      <c r="AE265" s="73">
        <f t="shared" si="146"/>
        <v>22.1354838561798</v>
      </c>
    </row>
    <row r="266" customFormat="1" spans="1:31">
      <c r="A266" s="18"/>
      <c r="B266" s="19"/>
      <c r="C266" s="20">
        <v>240507000009</v>
      </c>
      <c r="D266" s="21">
        <v>45421</v>
      </c>
      <c r="E266" s="21" t="s">
        <v>47</v>
      </c>
      <c r="F266" s="19" t="s">
        <v>48</v>
      </c>
      <c r="G266" s="19" t="s">
        <v>256</v>
      </c>
      <c r="H266" s="19">
        <v>11</v>
      </c>
      <c r="I266" s="41">
        <v>672</v>
      </c>
      <c r="J266" s="42"/>
      <c r="K266" s="43"/>
      <c r="L266" s="42"/>
      <c r="M266" s="44"/>
      <c r="N266" s="45"/>
      <c r="O266" s="46">
        <f t="shared" si="156"/>
        <v>672</v>
      </c>
      <c r="P266" s="92"/>
      <c r="Q266" s="92"/>
      <c r="R266" s="95">
        <f t="shared" si="147"/>
        <v>447.819475655431</v>
      </c>
      <c r="S266" s="88">
        <f t="shared" si="148"/>
        <v>0.22247191011236</v>
      </c>
      <c r="T266" s="88">
        <f t="shared" si="149"/>
        <v>1.07346816479401</v>
      </c>
      <c r="U266" s="95"/>
      <c r="V266" s="95"/>
      <c r="W266" s="73">
        <f t="shared" si="145"/>
        <v>449.115415730337</v>
      </c>
      <c r="X266" s="96">
        <f t="shared" si="150"/>
        <v>8.28596629213483</v>
      </c>
      <c r="Y266" s="96"/>
      <c r="Z266" s="96"/>
      <c r="AA266" s="75">
        <f t="shared" si="141"/>
        <v>8.28596629213483</v>
      </c>
      <c r="AB266" s="84">
        <v>7.22</v>
      </c>
      <c r="AC266" s="73">
        <f t="shared" si="142"/>
        <v>59.8246766292135</v>
      </c>
      <c r="AD266" s="73">
        <f t="shared" si="143"/>
        <v>508.940092359551</v>
      </c>
      <c r="AE266" s="73">
        <f t="shared" si="146"/>
        <v>163.059907640449</v>
      </c>
    </row>
    <row r="267" customFormat="1" spans="1:31">
      <c r="A267" s="18"/>
      <c r="B267" s="19"/>
      <c r="C267" s="20">
        <v>240507000011</v>
      </c>
      <c r="D267" s="21">
        <v>45421</v>
      </c>
      <c r="E267" s="21" t="s">
        <v>41</v>
      </c>
      <c r="F267" s="19" t="s">
        <v>42</v>
      </c>
      <c r="G267" s="19" t="s">
        <v>141</v>
      </c>
      <c r="H267" s="19">
        <v>11.5</v>
      </c>
      <c r="I267" s="52"/>
      <c r="J267" s="48">
        <v>149915.5</v>
      </c>
      <c r="K267" s="43"/>
      <c r="L267" s="49">
        <f t="shared" si="154"/>
        <v>1465.73621431365</v>
      </c>
      <c r="M267" s="50">
        <v>102.28</v>
      </c>
      <c r="N267" s="45">
        <v>7.22</v>
      </c>
      <c r="O267" s="46">
        <f t="shared" si="155"/>
        <v>738.4616</v>
      </c>
      <c r="P267" s="92"/>
      <c r="Q267" s="92"/>
      <c r="R267" s="95">
        <f t="shared" si="147"/>
        <v>468.174906367041</v>
      </c>
      <c r="S267" s="88">
        <f t="shared" si="148"/>
        <v>0.232584269662921</v>
      </c>
      <c r="T267" s="88">
        <f t="shared" si="149"/>
        <v>1.12226217228464</v>
      </c>
      <c r="U267" s="95"/>
      <c r="V267" s="88">
        <v>71</v>
      </c>
      <c r="W267" s="73">
        <f t="shared" si="145"/>
        <v>540.529752808989</v>
      </c>
      <c r="X267" s="96">
        <f t="shared" si="150"/>
        <v>8.66260112359551</v>
      </c>
      <c r="Y267" s="96"/>
      <c r="Z267" s="96"/>
      <c r="AA267" s="75">
        <f t="shared" si="141"/>
        <v>8.66260112359551</v>
      </c>
      <c r="AB267" s="84">
        <v>7.22</v>
      </c>
      <c r="AC267" s="73">
        <f t="shared" si="142"/>
        <v>62.5439801123595</v>
      </c>
      <c r="AD267" s="73">
        <f t="shared" si="143"/>
        <v>603.073732921348</v>
      </c>
      <c r="AE267" s="73">
        <f t="shared" si="146"/>
        <v>135.387867078652</v>
      </c>
    </row>
    <row r="268" customFormat="1" spans="1:31">
      <c r="A268" s="18"/>
      <c r="B268" s="19"/>
      <c r="C268" s="20">
        <v>240507000014</v>
      </c>
      <c r="D268" s="21">
        <v>45421</v>
      </c>
      <c r="E268" s="21" t="s">
        <v>41</v>
      </c>
      <c r="F268" s="19" t="s">
        <v>42</v>
      </c>
      <c r="G268" s="19" t="s">
        <v>257</v>
      </c>
      <c r="H268" s="19">
        <v>2</v>
      </c>
      <c r="I268" s="41">
        <v>119</v>
      </c>
      <c r="J268" s="42"/>
      <c r="K268" s="43"/>
      <c r="L268" s="42"/>
      <c r="M268" s="44"/>
      <c r="N268" s="45"/>
      <c r="O268" s="46">
        <f t="shared" ref="O268:O275" si="157">SUM(I268)</f>
        <v>119</v>
      </c>
      <c r="P268" s="92"/>
      <c r="Q268" s="92"/>
      <c r="R268" s="95">
        <f t="shared" si="147"/>
        <v>81.421722846442</v>
      </c>
      <c r="S268" s="88">
        <f t="shared" si="148"/>
        <v>0.0404494382022472</v>
      </c>
      <c r="T268" s="88">
        <f t="shared" si="149"/>
        <v>0.195176029962547</v>
      </c>
      <c r="U268" s="95"/>
      <c r="V268" s="95"/>
      <c r="W268" s="73">
        <f t="shared" si="145"/>
        <v>81.6573483146068</v>
      </c>
      <c r="X268" s="96">
        <f t="shared" si="150"/>
        <v>1.5065393258427</v>
      </c>
      <c r="Y268" s="96"/>
      <c r="Z268" s="96"/>
      <c r="AA268" s="75">
        <f t="shared" si="141"/>
        <v>1.5065393258427</v>
      </c>
      <c r="AB268" s="84">
        <v>7.22</v>
      </c>
      <c r="AC268" s="73">
        <f t="shared" si="142"/>
        <v>10.8772139325843</v>
      </c>
      <c r="AD268" s="73">
        <f t="shared" si="143"/>
        <v>92.534562247191</v>
      </c>
      <c r="AE268" s="73">
        <f t="shared" si="146"/>
        <v>26.465437752809</v>
      </c>
    </row>
    <row r="269" customFormat="1" spans="1:31">
      <c r="A269" s="18"/>
      <c r="B269" s="19"/>
      <c r="C269" s="20">
        <v>240507000019</v>
      </c>
      <c r="D269" s="21">
        <v>45421</v>
      </c>
      <c r="E269" s="21" t="s">
        <v>44</v>
      </c>
      <c r="F269" s="19" t="s">
        <v>45</v>
      </c>
      <c r="G269" s="19" t="s">
        <v>258</v>
      </c>
      <c r="H269" s="19">
        <v>11</v>
      </c>
      <c r="I269" s="46"/>
      <c r="J269" s="48">
        <v>135248</v>
      </c>
      <c r="K269" s="43"/>
      <c r="L269" s="49">
        <f>SUM(J269/M269)</f>
        <v>1580</v>
      </c>
      <c r="M269" s="50">
        <v>85.6</v>
      </c>
      <c r="N269" s="45">
        <v>7.22</v>
      </c>
      <c r="O269" s="46">
        <f t="shared" ref="O269:O271" si="158">SUM(M269*N269)</f>
        <v>618.032</v>
      </c>
      <c r="P269" s="92"/>
      <c r="Q269" s="92"/>
      <c r="R269" s="95">
        <f t="shared" si="147"/>
        <v>447.819475655431</v>
      </c>
      <c r="S269" s="88">
        <f t="shared" si="148"/>
        <v>0.22247191011236</v>
      </c>
      <c r="T269" s="88">
        <f t="shared" si="149"/>
        <v>1.07346816479401</v>
      </c>
      <c r="U269" s="95"/>
      <c r="V269" s="95"/>
      <c r="W269" s="73">
        <f t="shared" si="145"/>
        <v>449.115415730337</v>
      </c>
      <c r="X269" s="96">
        <f t="shared" si="150"/>
        <v>8.28596629213483</v>
      </c>
      <c r="Y269" s="96"/>
      <c r="Z269" s="96"/>
      <c r="AA269" s="75">
        <f t="shared" si="141"/>
        <v>8.28596629213483</v>
      </c>
      <c r="AB269" s="84">
        <v>7.22</v>
      </c>
      <c r="AC269" s="73">
        <f t="shared" si="142"/>
        <v>59.8246766292135</v>
      </c>
      <c r="AD269" s="73">
        <f t="shared" si="143"/>
        <v>508.940092359551</v>
      </c>
      <c r="AE269" s="73">
        <f t="shared" si="146"/>
        <v>109.091907640449</v>
      </c>
    </row>
    <row r="270" customFormat="1" spans="1:31">
      <c r="A270" s="18"/>
      <c r="B270" s="19"/>
      <c r="C270" s="20">
        <v>240507000020</v>
      </c>
      <c r="D270" s="21">
        <v>45421</v>
      </c>
      <c r="E270" s="21" t="s">
        <v>41</v>
      </c>
      <c r="F270" s="19" t="s">
        <v>42</v>
      </c>
      <c r="G270" s="19" t="s">
        <v>161</v>
      </c>
      <c r="H270" s="19">
        <v>0.51</v>
      </c>
      <c r="I270" s="52"/>
      <c r="J270" s="48">
        <v>12505</v>
      </c>
      <c r="K270" s="43"/>
      <c r="L270" s="49">
        <f>SUM(J270/M270)</f>
        <v>1481.63507109005</v>
      </c>
      <c r="M270" s="50">
        <v>8.44</v>
      </c>
      <c r="N270" s="45">
        <v>7.22</v>
      </c>
      <c r="O270" s="46">
        <f t="shared" si="158"/>
        <v>60.9368</v>
      </c>
      <c r="P270" s="92"/>
      <c r="Q270" s="92"/>
      <c r="R270" s="95">
        <f t="shared" si="147"/>
        <v>20.7625393258427</v>
      </c>
      <c r="S270" s="88">
        <f t="shared" si="148"/>
        <v>0.010314606741573</v>
      </c>
      <c r="T270" s="88">
        <f t="shared" si="149"/>
        <v>0.0497698876404494</v>
      </c>
      <c r="U270" s="95"/>
      <c r="V270" s="95"/>
      <c r="W270" s="73">
        <f t="shared" si="145"/>
        <v>20.8226238202247</v>
      </c>
      <c r="X270" s="96">
        <f t="shared" si="150"/>
        <v>0.384167528089888</v>
      </c>
      <c r="Y270" s="96"/>
      <c r="Z270" s="96"/>
      <c r="AA270" s="75">
        <f t="shared" si="141"/>
        <v>0.384167528089888</v>
      </c>
      <c r="AB270" s="84">
        <v>7.22</v>
      </c>
      <c r="AC270" s="73">
        <f t="shared" si="142"/>
        <v>2.77368955280899</v>
      </c>
      <c r="AD270" s="73">
        <f t="shared" si="143"/>
        <v>23.5963133730337</v>
      </c>
      <c r="AE270" s="73">
        <f t="shared" si="146"/>
        <v>37.3404866269663</v>
      </c>
    </row>
    <row r="271" customFormat="1" spans="1:31">
      <c r="A271" s="18"/>
      <c r="B271" s="19"/>
      <c r="C271" s="20">
        <v>240507000024</v>
      </c>
      <c r="D271" s="21">
        <v>45421</v>
      </c>
      <c r="E271" s="21" t="s">
        <v>37</v>
      </c>
      <c r="F271" s="19" t="s">
        <v>38</v>
      </c>
      <c r="G271" s="19" t="s">
        <v>170</v>
      </c>
      <c r="H271" s="19">
        <v>34</v>
      </c>
      <c r="I271" s="46"/>
      <c r="J271" s="48">
        <v>397528</v>
      </c>
      <c r="K271" s="43"/>
      <c r="L271" s="49">
        <f>SUM(J271/M271)</f>
        <v>1580</v>
      </c>
      <c r="M271" s="50">
        <v>251.6</v>
      </c>
      <c r="N271" s="45">
        <v>7.22</v>
      </c>
      <c r="O271" s="46">
        <f t="shared" si="158"/>
        <v>1816.552</v>
      </c>
      <c r="P271" s="92"/>
      <c r="Q271" s="92"/>
      <c r="R271" s="95">
        <f t="shared" si="147"/>
        <v>1384.16928838951</v>
      </c>
      <c r="S271" s="88">
        <f t="shared" si="148"/>
        <v>0.687640449438202</v>
      </c>
      <c r="T271" s="88">
        <f t="shared" si="149"/>
        <v>3.3179925093633</v>
      </c>
      <c r="U271" s="95"/>
      <c r="V271" s="95"/>
      <c r="W271" s="73">
        <f t="shared" si="145"/>
        <v>1388.17492134831</v>
      </c>
      <c r="X271" s="96">
        <f t="shared" si="150"/>
        <v>25.6111685393258</v>
      </c>
      <c r="Y271" s="96"/>
      <c r="Z271" s="96"/>
      <c r="AA271" s="75">
        <f t="shared" si="141"/>
        <v>25.6111685393258</v>
      </c>
      <c r="AB271" s="84">
        <v>7.22</v>
      </c>
      <c r="AC271" s="73">
        <f t="shared" si="142"/>
        <v>184.912636853933</v>
      </c>
      <c r="AD271" s="73">
        <f t="shared" si="143"/>
        <v>1573.08755820225</v>
      </c>
      <c r="AE271" s="73">
        <f t="shared" si="146"/>
        <v>243.464441797753</v>
      </c>
    </row>
    <row r="272" customFormat="1" spans="1:31">
      <c r="A272" s="18"/>
      <c r="B272" s="19"/>
      <c r="C272" s="20">
        <v>240507000030</v>
      </c>
      <c r="D272" s="21">
        <v>45421</v>
      </c>
      <c r="E272" s="21" t="s">
        <v>44</v>
      </c>
      <c r="F272" s="19" t="s">
        <v>45</v>
      </c>
      <c r="G272" s="19" t="s">
        <v>259</v>
      </c>
      <c r="H272" s="19">
        <v>26</v>
      </c>
      <c r="I272" s="41">
        <v>1560</v>
      </c>
      <c r="J272" s="42"/>
      <c r="K272" s="43"/>
      <c r="L272" s="42"/>
      <c r="M272" s="44"/>
      <c r="N272" s="45"/>
      <c r="O272" s="46">
        <f t="shared" si="157"/>
        <v>1560</v>
      </c>
      <c r="P272" s="92"/>
      <c r="Q272" s="92"/>
      <c r="R272" s="95">
        <f t="shared" si="147"/>
        <v>1058.48239700375</v>
      </c>
      <c r="S272" s="88">
        <f t="shared" si="148"/>
        <v>0.525842696629213</v>
      </c>
      <c r="T272" s="88">
        <f t="shared" si="149"/>
        <v>2.53728838951311</v>
      </c>
      <c r="U272" s="95"/>
      <c r="V272" s="95"/>
      <c r="W272" s="73">
        <f t="shared" si="145"/>
        <v>1061.54552808989</v>
      </c>
      <c r="X272" s="96">
        <f t="shared" si="150"/>
        <v>19.5850112359551</v>
      </c>
      <c r="Y272" s="96"/>
      <c r="Z272" s="96"/>
      <c r="AA272" s="75">
        <f t="shared" si="141"/>
        <v>19.5850112359551</v>
      </c>
      <c r="AB272" s="84">
        <v>7.22</v>
      </c>
      <c r="AC272" s="73">
        <f t="shared" si="142"/>
        <v>141.403781123596</v>
      </c>
      <c r="AD272" s="73">
        <f t="shared" si="143"/>
        <v>1202.94930921348</v>
      </c>
      <c r="AE272" s="73">
        <f t="shared" si="146"/>
        <v>357.050690786517</v>
      </c>
    </row>
    <row r="273" customFormat="1" spans="1:31">
      <c r="A273" s="18"/>
      <c r="B273" s="19"/>
      <c r="C273" s="20">
        <v>240507000031</v>
      </c>
      <c r="D273" s="21">
        <v>45421</v>
      </c>
      <c r="E273" s="21" t="s">
        <v>37</v>
      </c>
      <c r="F273" s="19" t="s">
        <v>38</v>
      </c>
      <c r="G273" s="19" t="s">
        <v>143</v>
      </c>
      <c r="H273" s="19">
        <v>0.16</v>
      </c>
      <c r="I273" s="41">
        <v>61</v>
      </c>
      <c r="J273" s="42"/>
      <c r="K273" s="43"/>
      <c r="L273" s="42"/>
      <c r="M273" s="44"/>
      <c r="N273" s="45"/>
      <c r="O273" s="46">
        <f t="shared" si="157"/>
        <v>61</v>
      </c>
      <c r="P273" s="92"/>
      <c r="Q273" s="92"/>
      <c r="R273" s="95">
        <f t="shared" si="147"/>
        <v>6.51373782771536</v>
      </c>
      <c r="S273" s="88">
        <f t="shared" si="148"/>
        <v>0.00323595505617978</v>
      </c>
      <c r="T273" s="88">
        <f t="shared" si="149"/>
        <v>0.0156140823970037</v>
      </c>
      <c r="U273" s="95"/>
      <c r="V273" s="95"/>
      <c r="W273" s="73">
        <f t="shared" si="145"/>
        <v>6.53258786516854</v>
      </c>
      <c r="X273" s="96">
        <f t="shared" si="150"/>
        <v>0.120523146067416</v>
      </c>
      <c r="Y273" s="96"/>
      <c r="Z273" s="96"/>
      <c r="AA273" s="75">
        <f t="shared" si="141"/>
        <v>0.120523146067416</v>
      </c>
      <c r="AB273" s="84">
        <v>7.22</v>
      </c>
      <c r="AC273" s="73">
        <f t="shared" si="142"/>
        <v>0.870177114606742</v>
      </c>
      <c r="AD273" s="73">
        <f t="shared" si="143"/>
        <v>7.40276497977528</v>
      </c>
      <c r="AE273" s="73">
        <f t="shared" si="146"/>
        <v>53.5972350202247</v>
      </c>
    </row>
    <row r="274" customFormat="1" spans="1:31">
      <c r="A274" s="18"/>
      <c r="B274" s="19"/>
      <c r="C274" s="20">
        <v>240507000038</v>
      </c>
      <c r="D274" s="21">
        <v>45421</v>
      </c>
      <c r="E274" s="21" t="s">
        <v>44</v>
      </c>
      <c r="F274" s="19" t="s">
        <v>45</v>
      </c>
      <c r="G274" s="19" t="s">
        <v>175</v>
      </c>
      <c r="H274" s="19">
        <v>18</v>
      </c>
      <c r="I274" s="41">
        <v>1204</v>
      </c>
      <c r="J274" s="42"/>
      <c r="K274" s="43"/>
      <c r="L274" s="42"/>
      <c r="M274" s="44"/>
      <c r="N274" s="45"/>
      <c r="O274" s="46">
        <f t="shared" si="157"/>
        <v>1204</v>
      </c>
      <c r="P274" s="92"/>
      <c r="Q274" s="92"/>
      <c r="R274" s="95">
        <f t="shared" si="147"/>
        <v>732.795505617978</v>
      </c>
      <c r="S274" s="88">
        <f t="shared" si="148"/>
        <v>0.364044943820225</v>
      </c>
      <c r="T274" s="88">
        <f t="shared" si="149"/>
        <v>1.75658426966292</v>
      </c>
      <c r="U274" s="95"/>
      <c r="V274" s="88">
        <v>172</v>
      </c>
      <c r="W274" s="73">
        <f t="shared" si="145"/>
        <v>906.916134831461</v>
      </c>
      <c r="X274" s="96">
        <f t="shared" si="150"/>
        <v>13.5588539325843</v>
      </c>
      <c r="Y274" s="96"/>
      <c r="Z274" s="96"/>
      <c r="AA274" s="75">
        <f t="shared" si="141"/>
        <v>13.5588539325843</v>
      </c>
      <c r="AB274" s="84">
        <v>7.22</v>
      </c>
      <c r="AC274" s="73">
        <f t="shared" si="142"/>
        <v>97.8949253932584</v>
      </c>
      <c r="AD274" s="73">
        <f t="shared" si="143"/>
        <v>1004.81106022472</v>
      </c>
      <c r="AE274" s="73">
        <f t="shared" si="146"/>
        <v>199.188939775281</v>
      </c>
    </row>
    <row r="275" customFormat="1" spans="1:31">
      <c r="A275" s="18"/>
      <c r="B275" s="19"/>
      <c r="C275" s="20">
        <v>240507000040</v>
      </c>
      <c r="D275" s="21">
        <v>45421</v>
      </c>
      <c r="E275" s="21" t="s">
        <v>41</v>
      </c>
      <c r="F275" s="19" t="s">
        <v>42</v>
      </c>
      <c r="G275" s="19" t="s">
        <v>260</v>
      </c>
      <c r="H275" s="19">
        <v>260.5</v>
      </c>
      <c r="I275" s="41">
        <v>13025</v>
      </c>
      <c r="J275" s="42"/>
      <c r="K275" s="43"/>
      <c r="L275" s="42"/>
      <c r="M275" s="44"/>
      <c r="N275" s="45"/>
      <c r="O275" s="46">
        <f t="shared" si="157"/>
        <v>13025</v>
      </c>
      <c r="P275" s="92"/>
      <c r="Q275" s="92"/>
      <c r="R275" s="95">
        <f t="shared" si="147"/>
        <v>10605.1794007491</v>
      </c>
      <c r="S275" s="88">
        <f t="shared" si="148"/>
        <v>5.2685393258427</v>
      </c>
      <c r="T275" s="88">
        <f t="shared" si="149"/>
        <v>25.4216779026217</v>
      </c>
      <c r="U275" s="95"/>
      <c r="V275" s="95"/>
      <c r="W275" s="73">
        <f t="shared" si="145"/>
        <v>10635.8696179775</v>
      </c>
      <c r="X275" s="96">
        <f t="shared" si="150"/>
        <v>196.226747191011</v>
      </c>
      <c r="Y275" s="96"/>
      <c r="Z275" s="96"/>
      <c r="AA275" s="75">
        <f t="shared" si="141"/>
        <v>196.226747191011</v>
      </c>
      <c r="AB275" s="84">
        <v>7.22</v>
      </c>
      <c r="AC275" s="73">
        <f t="shared" si="142"/>
        <v>1416.7571147191</v>
      </c>
      <c r="AD275" s="73">
        <f t="shared" si="143"/>
        <v>12052.6267326966</v>
      </c>
      <c r="AE275" s="73">
        <f t="shared" si="146"/>
        <v>972.37326730337</v>
      </c>
    </row>
    <row r="276" customFormat="1" spans="1:31">
      <c r="A276" s="18"/>
      <c r="B276" s="19"/>
      <c r="C276" s="20">
        <v>240507000041</v>
      </c>
      <c r="D276" s="21">
        <v>45421</v>
      </c>
      <c r="E276" s="21" t="s">
        <v>54</v>
      </c>
      <c r="F276" s="19" t="s">
        <v>54</v>
      </c>
      <c r="G276" s="19" t="s">
        <v>261</v>
      </c>
      <c r="H276" s="19">
        <v>37.5</v>
      </c>
      <c r="I276" s="99"/>
      <c r="J276" s="48">
        <v>432085</v>
      </c>
      <c r="K276" s="43"/>
      <c r="L276" s="49">
        <f>SUM(J276/M276)</f>
        <v>1487.33262194072</v>
      </c>
      <c r="M276" s="50">
        <v>290.51</v>
      </c>
      <c r="N276" s="45">
        <v>7.22</v>
      </c>
      <c r="O276" s="100">
        <f>SUM(M276*N276)</f>
        <v>2097.4822</v>
      </c>
      <c r="P276" s="92"/>
      <c r="Q276" s="92"/>
      <c r="R276" s="95">
        <f t="shared" si="147"/>
        <v>1526.65730337079</v>
      </c>
      <c r="S276" s="88">
        <f t="shared" si="148"/>
        <v>0.758426966292135</v>
      </c>
      <c r="T276" s="88">
        <f t="shared" si="149"/>
        <v>3.65955056179775</v>
      </c>
      <c r="U276" s="95"/>
      <c r="V276" s="95"/>
      <c r="W276" s="73">
        <f t="shared" si="145"/>
        <v>1531.07528089888</v>
      </c>
      <c r="X276" s="96">
        <f t="shared" si="150"/>
        <v>28.2476123595506</v>
      </c>
      <c r="Y276" s="96"/>
      <c r="Z276" s="96"/>
      <c r="AA276" s="75">
        <f t="shared" si="141"/>
        <v>28.2476123595506</v>
      </c>
      <c r="AB276" s="84">
        <v>7.22</v>
      </c>
      <c r="AC276" s="73">
        <f t="shared" si="142"/>
        <v>203.947761235955</v>
      </c>
      <c r="AD276" s="73">
        <f t="shared" si="143"/>
        <v>1735.02304213483</v>
      </c>
      <c r="AE276" s="73">
        <f t="shared" si="146"/>
        <v>362.459157865168</v>
      </c>
    </row>
    <row r="277" customFormat="1" spans="1:31">
      <c r="A277" s="18"/>
      <c r="B277" s="19"/>
      <c r="C277" s="20">
        <v>240507000047</v>
      </c>
      <c r="D277" s="21">
        <v>45421</v>
      </c>
      <c r="E277" s="21" t="s">
        <v>37</v>
      </c>
      <c r="F277" s="19" t="s">
        <v>38</v>
      </c>
      <c r="G277" s="19" t="s">
        <v>170</v>
      </c>
      <c r="H277" s="19">
        <v>27</v>
      </c>
      <c r="I277" s="46"/>
      <c r="J277" s="48">
        <v>315685</v>
      </c>
      <c r="K277" s="43"/>
      <c r="L277" s="49">
        <f>SUM(J277/M277)</f>
        <v>1580.005005005</v>
      </c>
      <c r="M277" s="50">
        <v>199.8</v>
      </c>
      <c r="N277" s="45">
        <v>7.22</v>
      </c>
      <c r="O277" s="46">
        <f>SUM(M277*N277)</f>
        <v>1442.556</v>
      </c>
      <c r="P277" s="92"/>
      <c r="Q277" s="92"/>
      <c r="R277" s="95">
        <f t="shared" si="147"/>
        <v>1099.19325842697</v>
      </c>
      <c r="S277" s="88">
        <f t="shared" si="148"/>
        <v>0.546067415730337</v>
      </c>
      <c r="T277" s="88">
        <f t="shared" si="149"/>
        <v>2.63487640449438</v>
      </c>
      <c r="U277" s="95"/>
      <c r="V277" s="95"/>
      <c r="W277" s="73">
        <f t="shared" si="145"/>
        <v>1102.37420224719</v>
      </c>
      <c r="X277" s="96">
        <f t="shared" si="150"/>
        <v>20.3382808988764</v>
      </c>
      <c r="Y277" s="96"/>
      <c r="Z277" s="96"/>
      <c r="AA277" s="75">
        <f t="shared" si="141"/>
        <v>20.3382808988764</v>
      </c>
      <c r="AB277" s="84">
        <v>7.22</v>
      </c>
      <c r="AC277" s="73">
        <f t="shared" si="142"/>
        <v>146.842388089888</v>
      </c>
      <c r="AD277" s="73">
        <f t="shared" si="143"/>
        <v>1249.21659033708</v>
      </c>
      <c r="AE277" s="73">
        <f t="shared" ref="AE277:AE289" si="159">SUM(O277-AD277)</f>
        <v>193.339409662921</v>
      </c>
    </row>
    <row r="278" customFormat="1" spans="1:31">
      <c r="A278" s="18"/>
      <c r="B278" s="19"/>
      <c r="C278" s="20">
        <v>240507000053</v>
      </c>
      <c r="D278" s="21">
        <v>45421</v>
      </c>
      <c r="E278" s="21" t="s">
        <v>41</v>
      </c>
      <c r="F278" s="19" t="s">
        <v>42</v>
      </c>
      <c r="G278" s="19" t="s">
        <v>96</v>
      </c>
      <c r="H278" s="19">
        <v>12</v>
      </c>
      <c r="I278" s="41">
        <v>575</v>
      </c>
      <c r="J278" s="42"/>
      <c r="K278" s="43"/>
      <c r="L278" s="42"/>
      <c r="M278" s="44"/>
      <c r="N278" s="45"/>
      <c r="O278" s="46">
        <f t="shared" ref="O278:O286" si="160">SUM(I278)</f>
        <v>575</v>
      </c>
      <c r="P278" s="92"/>
      <c r="Q278" s="92"/>
      <c r="R278" s="95">
        <f t="shared" si="147"/>
        <v>488.530337078652</v>
      </c>
      <c r="S278" s="88">
        <f t="shared" si="148"/>
        <v>0.242696629213483</v>
      </c>
      <c r="T278" s="88">
        <f t="shared" si="149"/>
        <v>1.17105617977528</v>
      </c>
      <c r="U278" s="95"/>
      <c r="V278" s="95"/>
      <c r="W278" s="73">
        <f t="shared" si="145"/>
        <v>489.94408988764</v>
      </c>
      <c r="X278" s="96">
        <f t="shared" si="150"/>
        <v>9.03923595505618</v>
      </c>
      <c r="Y278" s="96"/>
      <c r="Z278" s="96"/>
      <c r="AA278" s="75">
        <f t="shared" si="141"/>
        <v>9.03923595505618</v>
      </c>
      <c r="AB278" s="84">
        <v>7.22</v>
      </c>
      <c r="AC278" s="73">
        <f t="shared" ref="AC278:AC289" si="161">SUM(AA278*AB278)</f>
        <v>65.2632835955056</v>
      </c>
      <c r="AD278" s="73">
        <f t="shared" ref="AD278:AD289" si="162">SUM(W278+AC278)</f>
        <v>555.207373483146</v>
      </c>
      <c r="AE278" s="73">
        <f t="shared" si="159"/>
        <v>19.7926265168539</v>
      </c>
    </row>
    <row r="279" customFormat="1" spans="1:31">
      <c r="A279" s="18"/>
      <c r="B279" s="19"/>
      <c r="C279" s="20">
        <v>240507000054</v>
      </c>
      <c r="D279" s="21">
        <v>45421</v>
      </c>
      <c r="E279" s="21" t="s">
        <v>81</v>
      </c>
      <c r="F279" s="19" t="s">
        <v>253</v>
      </c>
      <c r="G279" s="19" t="s">
        <v>262</v>
      </c>
      <c r="H279" s="19">
        <v>0.64</v>
      </c>
      <c r="I279" s="41">
        <v>67</v>
      </c>
      <c r="J279" s="42"/>
      <c r="K279" s="43"/>
      <c r="L279" s="42"/>
      <c r="M279" s="44"/>
      <c r="N279" s="45"/>
      <c r="O279" s="46">
        <f t="shared" si="160"/>
        <v>67</v>
      </c>
      <c r="P279" s="93"/>
      <c r="Q279" s="93"/>
      <c r="R279" s="95">
        <f t="shared" si="147"/>
        <v>26.0549513108614</v>
      </c>
      <c r="S279" s="88">
        <f t="shared" si="148"/>
        <v>0.0129438202247191</v>
      </c>
      <c r="T279" s="88">
        <f t="shared" si="149"/>
        <v>0.062456329588015</v>
      </c>
      <c r="U279" s="95"/>
      <c r="V279" s="95"/>
      <c r="W279" s="73">
        <f t="shared" ref="W279:W289" si="163">SUM(R279:V279)</f>
        <v>26.1303514606742</v>
      </c>
      <c r="X279" s="96">
        <f t="shared" si="150"/>
        <v>0.482092584269663</v>
      </c>
      <c r="Y279" s="96"/>
      <c r="Z279" s="96"/>
      <c r="AA279" s="75">
        <f t="shared" ref="AA279:AA289" si="164">SUM(X279:Z279)</f>
        <v>0.482092584269663</v>
      </c>
      <c r="AB279" s="84">
        <v>7.22</v>
      </c>
      <c r="AC279" s="73">
        <f t="shared" si="161"/>
        <v>3.48070845842697</v>
      </c>
      <c r="AD279" s="73">
        <f t="shared" si="162"/>
        <v>29.6110599191011</v>
      </c>
      <c r="AE279" s="73">
        <f t="shared" si="159"/>
        <v>37.3889400808989</v>
      </c>
    </row>
    <row r="280" customFormat="1" spans="1:31">
      <c r="A280" s="18" t="s">
        <v>263</v>
      </c>
      <c r="B280" s="19" t="s">
        <v>264</v>
      </c>
      <c r="C280" s="20">
        <v>240430000046</v>
      </c>
      <c r="D280" s="98">
        <v>45422</v>
      </c>
      <c r="E280" s="21" t="s">
        <v>54</v>
      </c>
      <c r="F280" s="19" t="s">
        <v>108</v>
      </c>
      <c r="G280" s="19" t="s">
        <v>109</v>
      </c>
      <c r="H280" s="19">
        <v>0.49</v>
      </c>
      <c r="I280" s="41">
        <v>250</v>
      </c>
      <c r="J280" s="42"/>
      <c r="K280" s="43"/>
      <c r="L280" s="42"/>
      <c r="M280" s="44"/>
      <c r="N280" s="45"/>
      <c r="O280" s="46">
        <f t="shared" si="160"/>
        <v>250</v>
      </c>
      <c r="P280" s="91">
        <f>SUM(O280:O289)</f>
        <v>10116.241</v>
      </c>
      <c r="Q280" s="91" t="s">
        <v>40</v>
      </c>
      <c r="R280" s="95">
        <f>SUM(4400/64)*H280</f>
        <v>33.6875</v>
      </c>
      <c r="S280" s="95"/>
      <c r="T280" s="88">
        <f>SUM(129.22/64)*H280</f>
        <v>0.989340625</v>
      </c>
      <c r="U280" s="95"/>
      <c r="V280" s="95"/>
      <c r="W280" s="73">
        <f t="shared" si="163"/>
        <v>34.676840625</v>
      </c>
      <c r="X280" s="96">
        <f>SUM(198.52/64)*H280</f>
        <v>1.51991875</v>
      </c>
      <c r="Y280" s="96"/>
      <c r="Z280" s="96"/>
      <c r="AA280" s="75">
        <f t="shared" si="164"/>
        <v>1.51991875</v>
      </c>
      <c r="AB280" s="84">
        <v>7.22</v>
      </c>
      <c r="AC280" s="73">
        <f t="shared" si="161"/>
        <v>10.973813375</v>
      </c>
      <c r="AD280" s="73">
        <f t="shared" si="162"/>
        <v>45.650654</v>
      </c>
      <c r="AE280" s="73">
        <f t="shared" si="159"/>
        <v>204.349346</v>
      </c>
    </row>
    <row r="281" customFormat="1" spans="1:31">
      <c r="A281" s="18"/>
      <c r="B281" s="19"/>
      <c r="C281" s="20">
        <v>240506000015</v>
      </c>
      <c r="D281" s="98">
        <v>45422</v>
      </c>
      <c r="E281" s="21" t="s">
        <v>47</v>
      </c>
      <c r="F281" s="19" t="s">
        <v>48</v>
      </c>
      <c r="G281" s="19" t="s">
        <v>49</v>
      </c>
      <c r="H281" s="19">
        <v>17</v>
      </c>
      <c r="I281" s="99">
        <v>2006</v>
      </c>
      <c r="J281" s="42"/>
      <c r="K281" s="43"/>
      <c r="L281" s="42"/>
      <c r="M281" s="44"/>
      <c r="N281" s="45"/>
      <c r="O281" s="46">
        <f t="shared" si="160"/>
        <v>2006</v>
      </c>
      <c r="P281" s="92"/>
      <c r="Q281" s="92"/>
      <c r="R281" s="95">
        <f t="shared" ref="R281:R289" si="165">SUM(4400/64)*H281</f>
        <v>1168.75</v>
      </c>
      <c r="S281" s="95"/>
      <c r="T281" s="88">
        <f t="shared" ref="T281:T289" si="166">SUM(129.22/64)*H281</f>
        <v>34.3240625</v>
      </c>
      <c r="U281" s="95"/>
      <c r="V281" s="95"/>
      <c r="W281" s="73">
        <f t="shared" si="163"/>
        <v>1203.0740625</v>
      </c>
      <c r="X281" s="96">
        <f t="shared" ref="X281:X289" si="167">SUM(198.52/64)*H281</f>
        <v>52.731875</v>
      </c>
      <c r="Y281" s="96"/>
      <c r="Z281" s="96"/>
      <c r="AA281" s="75">
        <f t="shared" si="164"/>
        <v>52.731875</v>
      </c>
      <c r="AB281" s="84">
        <v>7.22</v>
      </c>
      <c r="AC281" s="73">
        <f t="shared" si="161"/>
        <v>380.7241375</v>
      </c>
      <c r="AD281" s="73">
        <f t="shared" si="162"/>
        <v>1583.7982</v>
      </c>
      <c r="AE281" s="73">
        <f t="shared" si="159"/>
        <v>422.2018</v>
      </c>
    </row>
    <row r="282" customFormat="1" spans="1:31">
      <c r="A282" s="18"/>
      <c r="B282" s="19"/>
      <c r="C282" s="20">
        <v>240506000023</v>
      </c>
      <c r="D282" s="98">
        <v>45422</v>
      </c>
      <c r="E282" s="21" t="s">
        <v>41</v>
      </c>
      <c r="F282" s="19" t="s">
        <v>42</v>
      </c>
      <c r="G282" s="19" t="s">
        <v>265</v>
      </c>
      <c r="H282" s="19">
        <v>4.5</v>
      </c>
      <c r="I282" s="41">
        <v>517.5</v>
      </c>
      <c r="J282" s="42"/>
      <c r="K282" s="43"/>
      <c r="L282" s="42"/>
      <c r="M282" s="44"/>
      <c r="N282" s="45"/>
      <c r="O282" s="46">
        <f t="shared" si="160"/>
        <v>517.5</v>
      </c>
      <c r="P282" s="92"/>
      <c r="Q282" s="92"/>
      <c r="R282" s="95">
        <f t="shared" si="165"/>
        <v>309.375</v>
      </c>
      <c r="S282" s="95"/>
      <c r="T282" s="88">
        <f t="shared" si="166"/>
        <v>9.08578125</v>
      </c>
      <c r="U282" s="95"/>
      <c r="V282" s="95"/>
      <c r="W282" s="73">
        <f t="shared" si="163"/>
        <v>318.46078125</v>
      </c>
      <c r="X282" s="96">
        <f t="shared" si="167"/>
        <v>13.9584375</v>
      </c>
      <c r="Y282" s="96"/>
      <c r="Z282" s="96"/>
      <c r="AA282" s="75">
        <f t="shared" si="164"/>
        <v>13.9584375</v>
      </c>
      <c r="AB282" s="84">
        <v>7.22</v>
      </c>
      <c r="AC282" s="73">
        <f t="shared" si="161"/>
        <v>100.77991875</v>
      </c>
      <c r="AD282" s="73">
        <f t="shared" si="162"/>
        <v>419.2407</v>
      </c>
      <c r="AE282" s="73">
        <f t="shared" si="159"/>
        <v>98.2593</v>
      </c>
    </row>
    <row r="283" customFormat="1" spans="1:31">
      <c r="A283" s="18"/>
      <c r="B283" s="19"/>
      <c r="C283" s="20">
        <v>240506000037</v>
      </c>
      <c r="D283" s="98">
        <v>45422</v>
      </c>
      <c r="E283" s="21" t="s">
        <v>41</v>
      </c>
      <c r="F283" s="19" t="s">
        <v>42</v>
      </c>
      <c r="G283" s="19" t="s">
        <v>266</v>
      </c>
      <c r="H283" s="19">
        <v>5</v>
      </c>
      <c r="I283" s="41">
        <v>750</v>
      </c>
      <c r="J283" s="42"/>
      <c r="K283" s="43"/>
      <c r="L283" s="42"/>
      <c r="M283" s="44"/>
      <c r="N283" s="45"/>
      <c r="O283" s="46">
        <f t="shared" si="160"/>
        <v>750</v>
      </c>
      <c r="P283" s="92"/>
      <c r="Q283" s="92"/>
      <c r="R283" s="95">
        <f t="shared" si="165"/>
        <v>343.75</v>
      </c>
      <c r="S283" s="95"/>
      <c r="T283" s="88">
        <f t="shared" si="166"/>
        <v>10.0953125</v>
      </c>
      <c r="U283" s="95"/>
      <c r="V283" s="95"/>
      <c r="W283" s="73">
        <f t="shared" si="163"/>
        <v>353.8453125</v>
      </c>
      <c r="X283" s="96">
        <f t="shared" si="167"/>
        <v>15.509375</v>
      </c>
      <c r="Y283" s="96"/>
      <c r="Z283" s="96"/>
      <c r="AA283" s="75">
        <f t="shared" si="164"/>
        <v>15.509375</v>
      </c>
      <c r="AB283" s="84">
        <v>7.22</v>
      </c>
      <c r="AC283" s="73">
        <f t="shared" si="161"/>
        <v>111.9776875</v>
      </c>
      <c r="AD283" s="73">
        <f t="shared" si="162"/>
        <v>465.823</v>
      </c>
      <c r="AE283" s="73">
        <f t="shared" si="159"/>
        <v>284.177</v>
      </c>
    </row>
    <row r="284" customFormat="1" spans="1:31">
      <c r="A284" s="18"/>
      <c r="B284" s="19"/>
      <c r="C284" s="20">
        <v>240507000022</v>
      </c>
      <c r="D284" s="98">
        <v>45422</v>
      </c>
      <c r="E284" s="21" t="s">
        <v>44</v>
      </c>
      <c r="F284" s="19" t="s">
        <v>45</v>
      </c>
      <c r="G284" s="19" t="s">
        <v>46</v>
      </c>
      <c r="H284" s="19">
        <v>1.5</v>
      </c>
      <c r="I284" s="41">
        <v>172.5</v>
      </c>
      <c r="J284" s="42"/>
      <c r="K284" s="43"/>
      <c r="L284" s="42"/>
      <c r="M284" s="44"/>
      <c r="N284" s="45"/>
      <c r="O284" s="46">
        <f t="shared" si="160"/>
        <v>172.5</v>
      </c>
      <c r="P284" s="92"/>
      <c r="Q284" s="92"/>
      <c r="R284" s="95">
        <f t="shared" si="165"/>
        <v>103.125</v>
      </c>
      <c r="S284" s="95"/>
      <c r="T284" s="88">
        <f t="shared" si="166"/>
        <v>3.02859375</v>
      </c>
      <c r="U284" s="95"/>
      <c r="V284" s="95"/>
      <c r="W284" s="73">
        <f t="shared" si="163"/>
        <v>106.15359375</v>
      </c>
      <c r="X284" s="96">
        <f t="shared" si="167"/>
        <v>4.6528125</v>
      </c>
      <c r="Y284" s="96"/>
      <c r="Z284" s="96"/>
      <c r="AA284" s="75">
        <f t="shared" si="164"/>
        <v>4.6528125</v>
      </c>
      <c r="AB284" s="84">
        <v>7.22</v>
      </c>
      <c r="AC284" s="73">
        <f t="shared" si="161"/>
        <v>33.59330625</v>
      </c>
      <c r="AD284" s="73">
        <f t="shared" si="162"/>
        <v>139.7469</v>
      </c>
      <c r="AE284" s="73">
        <f t="shared" si="159"/>
        <v>32.7531</v>
      </c>
    </row>
    <row r="285" customFormat="1" spans="1:31">
      <c r="A285" s="18"/>
      <c r="B285" s="19"/>
      <c r="C285" s="20">
        <v>240507000044</v>
      </c>
      <c r="D285" s="98">
        <v>45422</v>
      </c>
      <c r="E285" s="21" t="s">
        <v>44</v>
      </c>
      <c r="F285" s="19" t="s">
        <v>45</v>
      </c>
      <c r="G285" s="19" t="s">
        <v>46</v>
      </c>
      <c r="H285" s="19">
        <v>0.72</v>
      </c>
      <c r="I285" s="41">
        <v>115</v>
      </c>
      <c r="J285" s="42"/>
      <c r="K285" s="43"/>
      <c r="L285" s="42"/>
      <c r="M285" s="44"/>
      <c r="N285" s="45"/>
      <c r="O285" s="46">
        <f t="shared" si="160"/>
        <v>115</v>
      </c>
      <c r="P285" s="92"/>
      <c r="Q285" s="92"/>
      <c r="R285" s="95">
        <f t="shared" si="165"/>
        <v>49.5</v>
      </c>
      <c r="S285" s="95"/>
      <c r="T285" s="88">
        <f t="shared" si="166"/>
        <v>1.453725</v>
      </c>
      <c r="U285" s="95"/>
      <c r="V285" s="95"/>
      <c r="W285" s="73">
        <f t="shared" si="163"/>
        <v>50.953725</v>
      </c>
      <c r="X285" s="96">
        <f t="shared" si="167"/>
        <v>2.23335</v>
      </c>
      <c r="Y285" s="96"/>
      <c r="Z285" s="96"/>
      <c r="AA285" s="75">
        <f t="shared" si="164"/>
        <v>2.23335</v>
      </c>
      <c r="AB285" s="84">
        <v>7.22</v>
      </c>
      <c r="AC285" s="73">
        <f t="shared" si="161"/>
        <v>16.124787</v>
      </c>
      <c r="AD285" s="73">
        <f t="shared" si="162"/>
        <v>67.078512</v>
      </c>
      <c r="AE285" s="73">
        <f t="shared" si="159"/>
        <v>47.921488</v>
      </c>
    </row>
    <row r="286" customFormat="1" spans="1:31">
      <c r="A286" s="18"/>
      <c r="B286" s="19"/>
      <c r="C286" s="20">
        <v>240507000061</v>
      </c>
      <c r="D286" s="98">
        <v>45422</v>
      </c>
      <c r="E286" s="98" t="s">
        <v>47</v>
      </c>
      <c r="F286" s="19" t="s">
        <v>267</v>
      </c>
      <c r="G286" s="19" t="s">
        <v>268</v>
      </c>
      <c r="H286" s="19">
        <v>12</v>
      </c>
      <c r="I286" s="41">
        <v>1380</v>
      </c>
      <c r="J286" s="42"/>
      <c r="K286" s="43"/>
      <c r="L286" s="42"/>
      <c r="M286" s="44"/>
      <c r="N286" s="45"/>
      <c r="O286" s="46">
        <f t="shared" si="160"/>
        <v>1380</v>
      </c>
      <c r="P286" s="92"/>
      <c r="Q286" s="92"/>
      <c r="R286" s="95">
        <f t="shared" si="165"/>
        <v>825</v>
      </c>
      <c r="S286" s="95"/>
      <c r="T286" s="88">
        <f t="shared" si="166"/>
        <v>24.22875</v>
      </c>
      <c r="U286" s="95"/>
      <c r="V286" s="95"/>
      <c r="W286" s="73">
        <f t="shared" si="163"/>
        <v>849.22875</v>
      </c>
      <c r="X286" s="96">
        <f t="shared" si="167"/>
        <v>37.2225</v>
      </c>
      <c r="Y286" s="96"/>
      <c r="Z286" s="96"/>
      <c r="AA286" s="75">
        <f t="shared" si="164"/>
        <v>37.2225</v>
      </c>
      <c r="AB286" s="84">
        <v>7.22</v>
      </c>
      <c r="AC286" s="73">
        <f t="shared" si="161"/>
        <v>268.74645</v>
      </c>
      <c r="AD286" s="73">
        <f t="shared" si="162"/>
        <v>1117.9752</v>
      </c>
      <c r="AE286" s="73">
        <f t="shared" si="159"/>
        <v>262.0248</v>
      </c>
    </row>
    <row r="287" customFormat="1" spans="1:31">
      <c r="A287" s="18"/>
      <c r="B287" s="19"/>
      <c r="C287" s="20">
        <v>240508000001</v>
      </c>
      <c r="D287" s="98">
        <v>45422</v>
      </c>
      <c r="E287" s="21" t="s">
        <v>47</v>
      </c>
      <c r="F287" s="19" t="s">
        <v>48</v>
      </c>
      <c r="G287" s="19" t="s">
        <v>269</v>
      </c>
      <c r="H287" s="19">
        <v>0.18</v>
      </c>
      <c r="I287" s="46"/>
      <c r="J287" s="48">
        <v>23780</v>
      </c>
      <c r="K287" s="43"/>
      <c r="L287" s="49">
        <f t="shared" ref="L287:L291" si="168">SUM(J287/M287)</f>
        <v>1489.04195366312</v>
      </c>
      <c r="M287" s="50">
        <v>15.97</v>
      </c>
      <c r="N287" s="45">
        <v>7.22</v>
      </c>
      <c r="O287" s="46">
        <f t="shared" ref="O287:O291" si="169">SUM(M287*N287)</f>
        <v>115.3034</v>
      </c>
      <c r="P287" s="92"/>
      <c r="Q287" s="92"/>
      <c r="R287" s="95">
        <f t="shared" si="165"/>
        <v>12.375</v>
      </c>
      <c r="S287" s="95"/>
      <c r="T287" s="88">
        <f t="shared" si="166"/>
        <v>0.36343125</v>
      </c>
      <c r="U287" s="95"/>
      <c r="V287" s="95"/>
      <c r="W287" s="73">
        <f t="shared" si="163"/>
        <v>12.73843125</v>
      </c>
      <c r="X287" s="96">
        <f t="shared" si="167"/>
        <v>0.5583375</v>
      </c>
      <c r="Y287" s="96"/>
      <c r="Z287" s="96"/>
      <c r="AA287" s="75">
        <f t="shared" si="164"/>
        <v>0.5583375</v>
      </c>
      <c r="AB287" s="84">
        <v>7.22</v>
      </c>
      <c r="AC287" s="73">
        <f t="shared" si="161"/>
        <v>4.03119675</v>
      </c>
      <c r="AD287" s="73">
        <f t="shared" si="162"/>
        <v>16.769628</v>
      </c>
      <c r="AE287" s="73">
        <f t="shared" si="159"/>
        <v>98.533772</v>
      </c>
    </row>
    <row r="288" customFormat="1" spans="1:31">
      <c r="A288" s="18"/>
      <c r="B288" s="19"/>
      <c r="C288" s="20">
        <v>240508000025</v>
      </c>
      <c r="D288" s="98">
        <v>45422</v>
      </c>
      <c r="E288" s="21" t="s">
        <v>41</v>
      </c>
      <c r="F288" s="19" t="s">
        <v>42</v>
      </c>
      <c r="G288" s="19" t="s">
        <v>270</v>
      </c>
      <c r="H288" s="19">
        <v>19.5</v>
      </c>
      <c r="I288" s="41">
        <v>2730</v>
      </c>
      <c r="J288" s="42"/>
      <c r="K288" s="43"/>
      <c r="L288" s="42"/>
      <c r="M288" s="44"/>
      <c r="N288" s="45"/>
      <c r="O288" s="46">
        <f t="shared" ref="O288:O300" si="170">SUM(I288)</f>
        <v>2730</v>
      </c>
      <c r="P288" s="92"/>
      <c r="Q288" s="92"/>
      <c r="R288" s="95">
        <f t="shared" si="165"/>
        <v>1340.625</v>
      </c>
      <c r="S288" s="95"/>
      <c r="T288" s="88">
        <f t="shared" si="166"/>
        <v>39.37171875</v>
      </c>
      <c r="U288" s="95"/>
      <c r="V288" s="95"/>
      <c r="W288" s="73">
        <f t="shared" si="163"/>
        <v>1379.99671875</v>
      </c>
      <c r="X288" s="96">
        <f t="shared" si="167"/>
        <v>60.4865625</v>
      </c>
      <c r="Y288" s="96"/>
      <c r="Z288" s="96"/>
      <c r="AA288" s="75">
        <f t="shared" si="164"/>
        <v>60.4865625</v>
      </c>
      <c r="AB288" s="84">
        <v>7.22</v>
      </c>
      <c r="AC288" s="73">
        <f t="shared" si="161"/>
        <v>436.71298125</v>
      </c>
      <c r="AD288" s="73">
        <f t="shared" si="162"/>
        <v>1816.7097</v>
      </c>
      <c r="AE288" s="73">
        <f t="shared" ref="AE288:AE296" si="171">SUM(O288-AD288)</f>
        <v>913.2903</v>
      </c>
    </row>
    <row r="289" customFormat="1" spans="1:31">
      <c r="A289" s="18"/>
      <c r="B289" s="19"/>
      <c r="C289" s="20">
        <v>240508000039</v>
      </c>
      <c r="D289" s="98">
        <v>45422</v>
      </c>
      <c r="E289" s="21" t="s">
        <v>54</v>
      </c>
      <c r="F289" s="19" t="s">
        <v>54</v>
      </c>
      <c r="G289" s="19" t="s">
        <v>261</v>
      </c>
      <c r="H289" s="19">
        <v>8.5</v>
      </c>
      <c r="I289" s="99"/>
      <c r="J289" s="48">
        <v>428480</v>
      </c>
      <c r="K289" s="43"/>
      <c r="L289" s="49">
        <f t="shared" si="168"/>
        <v>1487.36462093863</v>
      </c>
      <c r="M289" s="50">
        <v>288.08</v>
      </c>
      <c r="N289" s="45">
        <v>7.22</v>
      </c>
      <c r="O289" s="101">
        <f t="shared" si="169"/>
        <v>2079.9376</v>
      </c>
      <c r="P289" s="93"/>
      <c r="Q289" s="93"/>
      <c r="R289" s="95">
        <f t="shared" si="165"/>
        <v>584.375</v>
      </c>
      <c r="S289" s="95"/>
      <c r="T289" s="88">
        <f t="shared" si="166"/>
        <v>17.16203125</v>
      </c>
      <c r="U289" s="95"/>
      <c r="V289" s="95"/>
      <c r="W289" s="73">
        <f t="shared" ref="W289:W296" si="172">SUM(R289:V289)</f>
        <v>601.53703125</v>
      </c>
      <c r="X289" s="96">
        <f t="shared" si="167"/>
        <v>26.3659375</v>
      </c>
      <c r="Y289" s="96"/>
      <c r="Z289" s="96"/>
      <c r="AA289" s="75">
        <f t="shared" ref="AA289:AA296" si="173">SUM(X289:Z289)</f>
        <v>26.3659375</v>
      </c>
      <c r="AB289" s="84">
        <v>7.22</v>
      </c>
      <c r="AC289" s="73">
        <f t="shared" ref="AC289:AC296" si="174">SUM(AA289*AB289)</f>
        <v>190.36206875</v>
      </c>
      <c r="AD289" s="73">
        <f t="shared" ref="AD289:AD296" si="175">SUM(W289+AC289)</f>
        <v>791.8991</v>
      </c>
      <c r="AE289" s="73">
        <f t="shared" si="171"/>
        <v>1288.0385</v>
      </c>
    </row>
    <row r="290" customFormat="1" spans="1:31">
      <c r="A290" s="18" t="s">
        <v>271</v>
      </c>
      <c r="B290" s="19" t="s">
        <v>272</v>
      </c>
      <c r="C290" s="20">
        <v>240506000008</v>
      </c>
      <c r="D290" s="21">
        <v>45423</v>
      </c>
      <c r="E290" s="21" t="s">
        <v>47</v>
      </c>
      <c r="F290" s="19" t="s">
        <v>48</v>
      </c>
      <c r="G290" s="19" t="s">
        <v>49</v>
      </c>
      <c r="H290" s="19">
        <v>2</v>
      </c>
      <c r="I290" s="41">
        <v>240</v>
      </c>
      <c r="J290" s="42"/>
      <c r="K290" s="43"/>
      <c r="L290" s="42"/>
      <c r="M290" s="44"/>
      <c r="N290" s="45"/>
      <c r="O290" s="46">
        <f t="shared" si="170"/>
        <v>240</v>
      </c>
      <c r="P290" s="91">
        <f>SUM(O290:O296)</f>
        <v>4927.4994</v>
      </c>
      <c r="Q290" s="91" t="s">
        <v>40</v>
      </c>
      <c r="R290" s="95">
        <f>SUM(3200/64)*H290</f>
        <v>100</v>
      </c>
      <c r="S290" s="95"/>
      <c r="T290" s="88">
        <f>SUM(65.11/64)*H290</f>
        <v>2.0346875</v>
      </c>
      <c r="U290" s="95"/>
      <c r="V290" s="95"/>
      <c r="W290" s="73">
        <f t="shared" si="172"/>
        <v>102.0346875</v>
      </c>
      <c r="X290" s="96">
        <f>SUM(143.23/64)*H290</f>
        <v>4.4759375</v>
      </c>
      <c r="Y290" s="96"/>
      <c r="Z290" s="96"/>
      <c r="AA290" s="75">
        <f t="shared" si="173"/>
        <v>4.4759375</v>
      </c>
      <c r="AB290" s="84">
        <v>7.22</v>
      </c>
      <c r="AC290" s="73">
        <f t="shared" si="174"/>
        <v>32.31626875</v>
      </c>
      <c r="AD290" s="73">
        <f t="shared" si="175"/>
        <v>134.35095625</v>
      </c>
      <c r="AE290" s="73">
        <f t="shared" si="171"/>
        <v>105.64904375</v>
      </c>
    </row>
    <row r="291" customFormat="1" spans="1:31">
      <c r="A291" s="18"/>
      <c r="B291" s="19"/>
      <c r="C291" s="20">
        <v>240506000011</v>
      </c>
      <c r="D291" s="21">
        <v>45423</v>
      </c>
      <c r="E291" s="21" t="s">
        <v>37</v>
      </c>
      <c r="F291" s="19" t="s">
        <v>38</v>
      </c>
      <c r="G291" s="19" t="s">
        <v>217</v>
      </c>
      <c r="H291" s="19">
        <v>8</v>
      </c>
      <c r="I291" s="46"/>
      <c r="J291" s="48">
        <v>194465</v>
      </c>
      <c r="K291" s="43"/>
      <c r="L291" s="49">
        <f t="shared" si="168"/>
        <v>1521.99264303045</v>
      </c>
      <c r="M291" s="50">
        <v>127.77</v>
      </c>
      <c r="N291" s="45">
        <v>7.22</v>
      </c>
      <c r="O291" s="46">
        <f t="shared" si="169"/>
        <v>922.4994</v>
      </c>
      <c r="P291" s="92"/>
      <c r="Q291" s="92"/>
      <c r="R291" s="95">
        <f t="shared" ref="R291:R296" si="176">SUM(3200/64)*H291</f>
        <v>400</v>
      </c>
      <c r="S291" s="95"/>
      <c r="T291" s="88">
        <f t="shared" ref="T291:T296" si="177">SUM(65.11/64)*H291</f>
        <v>8.13875</v>
      </c>
      <c r="U291" s="95"/>
      <c r="V291" s="95"/>
      <c r="W291" s="73">
        <f t="shared" si="172"/>
        <v>408.13875</v>
      </c>
      <c r="X291" s="96">
        <f t="shared" ref="X291:X296" si="178">SUM(143.23/64)*H291</f>
        <v>17.90375</v>
      </c>
      <c r="Y291" s="96"/>
      <c r="Z291" s="96"/>
      <c r="AA291" s="75">
        <f t="shared" si="173"/>
        <v>17.90375</v>
      </c>
      <c r="AB291" s="84">
        <v>7.22</v>
      </c>
      <c r="AC291" s="73">
        <f t="shared" si="174"/>
        <v>129.265075</v>
      </c>
      <c r="AD291" s="73">
        <f t="shared" si="175"/>
        <v>537.403825</v>
      </c>
      <c r="AE291" s="73">
        <f t="shared" si="171"/>
        <v>385.095575</v>
      </c>
    </row>
    <row r="292" customFormat="1" spans="1:31">
      <c r="A292" s="18"/>
      <c r="B292" s="19"/>
      <c r="C292" s="20">
        <v>240507000056</v>
      </c>
      <c r="D292" s="21">
        <v>45423</v>
      </c>
      <c r="E292" s="21" t="s">
        <v>41</v>
      </c>
      <c r="F292" s="19" t="s">
        <v>42</v>
      </c>
      <c r="G292" s="19" t="s">
        <v>194</v>
      </c>
      <c r="H292" s="19">
        <v>13.5</v>
      </c>
      <c r="I292" s="41">
        <v>1552.5</v>
      </c>
      <c r="J292" s="42"/>
      <c r="K292" s="43"/>
      <c r="L292" s="42"/>
      <c r="M292" s="44"/>
      <c r="N292" s="45"/>
      <c r="O292" s="46">
        <f t="shared" si="170"/>
        <v>1552.5</v>
      </c>
      <c r="P292" s="92"/>
      <c r="Q292" s="92"/>
      <c r="R292" s="95">
        <f t="shared" si="176"/>
        <v>675</v>
      </c>
      <c r="S292" s="95"/>
      <c r="T292" s="88">
        <f t="shared" si="177"/>
        <v>13.734140625</v>
      </c>
      <c r="U292" s="95"/>
      <c r="V292" s="95"/>
      <c r="W292" s="73">
        <f t="shared" si="172"/>
        <v>688.734140625</v>
      </c>
      <c r="X292" s="96">
        <f t="shared" si="178"/>
        <v>30.212578125</v>
      </c>
      <c r="Y292" s="96"/>
      <c r="Z292" s="96"/>
      <c r="AA292" s="75">
        <f t="shared" si="173"/>
        <v>30.212578125</v>
      </c>
      <c r="AB292" s="84">
        <v>7.22</v>
      </c>
      <c r="AC292" s="73">
        <f t="shared" si="174"/>
        <v>218.1348140625</v>
      </c>
      <c r="AD292" s="73">
        <f t="shared" si="175"/>
        <v>906.8689546875</v>
      </c>
      <c r="AE292" s="73">
        <f t="shared" si="171"/>
        <v>645.6310453125</v>
      </c>
    </row>
    <row r="293" customFormat="1" spans="1:31">
      <c r="A293" s="18"/>
      <c r="B293" s="19"/>
      <c r="C293" s="20">
        <v>240507000060</v>
      </c>
      <c r="D293" s="21">
        <v>45423</v>
      </c>
      <c r="E293" s="21" t="s">
        <v>44</v>
      </c>
      <c r="F293" s="19" t="s">
        <v>45</v>
      </c>
      <c r="G293" s="19" t="s">
        <v>46</v>
      </c>
      <c r="H293" s="19">
        <v>3.5</v>
      </c>
      <c r="I293" s="41">
        <v>402.5</v>
      </c>
      <c r="J293" s="42"/>
      <c r="K293" s="43"/>
      <c r="L293" s="42"/>
      <c r="M293" s="44"/>
      <c r="N293" s="45"/>
      <c r="O293" s="46">
        <f t="shared" si="170"/>
        <v>402.5</v>
      </c>
      <c r="P293" s="92"/>
      <c r="Q293" s="92"/>
      <c r="R293" s="95">
        <f t="shared" si="176"/>
        <v>175</v>
      </c>
      <c r="S293" s="95"/>
      <c r="T293" s="88">
        <f t="shared" si="177"/>
        <v>3.560703125</v>
      </c>
      <c r="U293" s="95"/>
      <c r="V293" s="95"/>
      <c r="W293" s="73">
        <f t="shared" si="172"/>
        <v>178.560703125</v>
      </c>
      <c r="X293" s="96">
        <f t="shared" si="178"/>
        <v>7.832890625</v>
      </c>
      <c r="Y293" s="96"/>
      <c r="Z293" s="96"/>
      <c r="AA293" s="75">
        <f t="shared" si="173"/>
        <v>7.832890625</v>
      </c>
      <c r="AB293" s="84">
        <v>7.22</v>
      </c>
      <c r="AC293" s="73">
        <f t="shared" si="174"/>
        <v>56.5534703125</v>
      </c>
      <c r="AD293" s="73">
        <f t="shared" si="175"/>
        <v>235.1141734375</v>
      </c>
      <c r="AE293" s="73">
        <f t="shared" ref="AE293:AE324" si="179">SUM(O293-AD293)</f>
        <v>167.3858265625</v>
      </c>
    </row>
    <row r="294" customFormat="1" spans="1:31">
      <c r="A294" s="18"/>
      <c r="B294" s="19"/>
      <c r="C294" s="20">
        <v>240509000004</v>
      </c>
      <c r="D294" s="21">
        <v>45423</v>
      </c>
      <c r="E294" s="21" t="s">
        <v>41</v>
      </c>
      <c r="F294" s="19" t="s">
        <v>42</v>
      </c>
      <c r="G294" s="19" t="s">
        <v>167</v>
      </c>
      <c r="H294" s="19">
        <v>3.5</v>
      </c>
      <c r="I294" s="41">
        <v>420</v>
      </c>
      <c r="J294" s="42"/>
      <c r="K294" s="43"/>
      <c r="L294" s="42"/>
      <c r="M294" s="44"/>
      <c r="N294" s="45"/>
      <c r="O294" s="46">
        <f t="shared" si="170"/>
        <v>420</v>
      </c>
      <c r="P294" s="92"/>
      <c r="Q294" s="92"/>
      <c r="R294" s="95">
        <f t="shared" si="176"/>
        <v>175</v>
      </c>
      <c r="S294" s="95"/>
      <c r="T294" s="88">
        <f t="shared" si="177"/>
        <v>3.560703125</v>
      </c>
      <c r="U294" s="95"/>
      <c r="V294" s="95"/>
      <c r="W294" s="73">
        <f t="shared" si="172"/>
        <v>178.560703125</v>
      </c>
      <c r="X294" s="96">
        <f t="shared" si="178"/>
        <v>7.832890625</v>
      </c>
      <c r="Y294" s="96"/>
      <c r="Z294" s="96"/>
      <c r="AA294" s="75">
        <f t="shared" si="173"/>
        <v>7.832890625</v>
      </c>
      <c r="AB294" s="84">
        <v>7.22</v>
      </c>
      <c r="AC294" s="73">
        <f t="shared" ref="AC294:AC325" si="180">SUM(AA294*AB294)</f>
        <v>56.5534703125</v>
      </c>
      <c r="AD294" s="73">
        <f t="shared" si="175"/>
        <v>235.1141734375</v>
      </c>
      <c r="AE294" s="73">
        <f t="shared" si="179"/>
        <v>184.8858265625</v>
      </c>
    </row>
    <row r="295" customFormat="1" spans="1:31">
      <c r="A295" s="18"/>
      <c r="B295" s="19"/>
      <c r="C295" s="20">
        <v>240510000005</v>
      </c>
      <c r="D295" s="21">
        <v>45423</v>
      </c>
      <c r="E295" s="21" t="s">
        <v>54</v>
      </c>
      <c r="F295" s="19" t="s">
        <v>54</v>
      </c>
      <c r="G295" s="19" t="s">
        <v>98</v>
      </c>
      <c r="H295" s="19">
        <v>10.5</v>
      </c>
      <c r="I295" s="41">
        <v>1200</v>
      </c>
      <c r="J295" s="42"/>
      <c r="K295" s="43"/>
      <c r="L295" s="42"/>
      <c r="M295" s="44"/>
      <c r="N295" s="45"/>
      <c r="O295" s="46">
        <f t="shared" si="170"/>
        <v>1200</v>
      </c>
      <c r="P295" s="92"/>
      <c r="Q295" s="92"/>
      <c r="R295" s="95">
        <f t="shared" si="176"/>
        <v>525</v>
      </c>
      <c r="S295" s="95"/>
      <c r="T295" s="88">
        <f t="shared" si="177"/>
        <v>10.682109375</v>
      </c>
      <c r="U295" s="95"/>
      <c r="V295" s="95"/>
      <c r="W295" s="73">
        <f t="shared" si="172"/>
        <v>535.682109375</v>
      </c>
      <c r="X295" s="96">
        <f t="shared" si="178"/>
        <v>23.498671875</v>
      </c>
      <c r="Y295" s="96"/>
      <c r="Z295" s="96"/>
      <c r="AA295" s="75">
        <f t="shared" si="173"/>
        <v>23.498671875</v>
      </c>
      <c r="AB295" s="84">
        <v>7.22</v>
      </c>
      <c r="AC295" s="73">
        <f t="shared" si="180"/>
        <v>169.6604109375</v>
      </c>
      <c r="AD295" s="73">
        <f t="shared" ref="AD295:AD326" si="181">SUM(W295+AC295)</f>
        <v>705.3425203125</v>
      </c>
      <c r="AE295" s="73">
        <f t="shared" si="179"/>
        <v>494.6574796875</v>
      </c>
    </row>
    <row r="296" customFormat="1" spans="1:31">
      <c r="A296" s="18"/>
      <c r="B296" s="19"/>
      <c r="C296" s="20">
        <v>240510000022</v>
      </c>
      <c r="D296" s="21">
        <v>45423</v>
      </c>
      <c r="E296" s="21" t="s">
        <v>44</v>
      </c>
      <c r="F296" s="19" t="s">
        <v>45</v>
      </c>
      <c r="G296" s="19" t="s">
        <v>273</v>
      </c>
      <c r="H296" s="19">
        <v>0.5</v>
      </c>
      <c r="I296" s="41">
        <v>190</v>
      </c>
      <c r="J296" s="42"/>
      <c r="K296" s="43"/>
      <c r="L296" s="42"/>
      <c r="M296" s="44"/>
      <c r="N296" s="45"/>
      <c r="O296" s="46">
        <f t="shared" si="170"/>
        <v>190</v>
      </c>
      <c r="P296" s="93"/>
      <c r="Q296" s="93"/>
      <c r="R296" s="95">
        <f t="shared" si="176"/>
        <v>25</v>
      </c>
      <c r="S296" s="95"/>
      <c r="T296" s="88">
        <f t="shared" si="177"/>
        <v>0.508671875</v>
      </c>
      <c r="U296" s="95"/>
      <c r="V296" s="95"/>
      <c r="W296" s="73">
        <f t="shared" ref="W296:W327" si="182">SUM(R296:V296)</f>
        <v>25.508671875</v>
      </c>
      <c r="X296" s="96">
        <f t="shared" si="178"/>
        <v>1.118984375</v>
      </c>
      <c r="Y296" s="96"/>
      <c r="Z296" s="96"/>
      <c r="AA296" s="75">
        <f t="shared" ref="AA296:AA327" si="183">SUM(X296:Z296)</f>
        <v>1.118984375</v>
      </c>
      <c r="AB296" s="84">
        <v>7.22</v>
      </c>
      <c r="AC296" s="73">
        <f t="shared" si="180"/>
        <v>8.0790671875</v>
      </c>
      <c r="AD296" s="73">
        <f t="shared" si="181"/>
        <v>33.5877390625</v>
      </c>
      <c r="AE296" s="73">
        <f t="shared" si="179"/>
        <v>156.4122609375</v>
      </c>
    </row>
    <row r="297" customFormat="1" spans="1:31">
      <c r="A297" s="18" t="s">
        <v>274</v>
      </c>
      <c r="B297" s="19" t="s">
        <v>275</v>
      </c>
      <c r="C297" s="20">
        <v>240428000037</v>
      </c>
      <c r="D297" s="21">
        <v>45423</v>
      </c>
      <c r="E297" s="21" t="s">
        <v>47</v>
      </c>
      <c r="F297" s="19" t="s">
        <v>48</v>
      </c>
      <c r="G297" s="19" t="s">
        <v>276</v>
      </c>
      <c r="H297" s="19">
        <v>2.5</v>
      </c>
      <c r="I297" s="41">
        <v>163</v>
      </c>
      <c r="J297" s="42"/>
      <c r="K297" s="43"/>
      <c r="L297" s="42"/>
      <c r="M297" s="44"/>
      <c r="N297" s="45"/>
      <c r="O297" s="46">
        <f t="shared" si="170"/>
        <v>163</v>
      </c>
      <c r="P297" s="91">
        <f>SUM(O297:O350)</f>
        <v>94843.70799278</v>
      </c>
      <c r="Q297" s="97" t="s">
        <v>277</v>
      </c>
      <c r="R297" s="95">
        <f>SUM(78350.8/1708)*H297</f>
        <v>114.682084309134</v>
      </c>
      <c r="S297" s="95"/>
      <c r="T297" s="88">
        <f>SUM(125/1708)*H297</f>
        <v>0.182962529274005</v>
      </c>
      <c r="U297" s="95"/>
      <c r="V297" s="95"/>
      <c r="W297" s="73">
        <f t="shared" si="182"/>
        <v>114.865046838408</v>
      </c>
      <c r="X297" s="96">
        <f>SUM(1154.44/1708)*H297</f>
        <v>1.68975409836066</v>
      </c>
      <c r="Y297" s="96"/>
      <c r="Z297" s="96"/>
      <c r="AA297" s="75">
        <f t="shared" si="183"/>
        <v>1.68975409836066</v>
      </c>
      <c r="AB297" s="84">
        <v>7.22</v>
      </c>
      <c r="AC297" s="73">
        <f t="shared" si="180"/>
        <v>12.2000245901639</v>
      </c>
      <c r="AD297" s="73">
        <f t="shared" si="181"/>
        <v>127.065071428571</v>
      </c>
      <c r="AE297" s="73">
        <f t="shared" si="179"/>
        <v>35.9349285714286</v>
      </c>
    </row>
    <row r="298" customFormat="1" spans="1:31">
      <c r="A298" s="18"/>
      <c r="B298" s="19"/>
      <c r="C298" s="20">
        <v>240429000013</v>
      </c>
      <c r="D298" s="21">
        <v>45423</v>
      </c>
      <c r="E298" s="21" t="s">
        <v>37</v>
      </c>
      <c r="F298" s="19" t="s">
        <v>38</v>
      </c>
      <c r="G298" s="19" t="s">
        <v>278</v>
      </c>
      <c r="H298" s="19">
        <v>10</v>
      </c>
      <c r="I298" s="41">
        <v>670</v>
      </c>
      <c r="J298" s="42"/>
      <c r="K298" s="43"/>
      <c r="L298" s="42"/>
      <c r="M298" s="44"/>
      <c r="N298" s="45"/>
      <c r="O298" s="46">
        <f t="shared" si="170"/>
        <v>670</v>
      </c>
      <c r="P298" s="92"/>
      <c r="Q298" s="92"/>
      <c r="R298" s="95">
        <f t="shared" ref="R298:R329" si="184">SUM(78350.8/1708)*H298</f>
        <v>458.728337236534</v>
      </c>
      <c r="S298" s="95"/>
      <c r="T298" s="88">
        <f t="shared" ref="T298:T329" si="185">SUM(125/1708)*H298</f>
        <v>0.731850117096019</v>
      </c>
      <c r="U298" s="95"/>
      <c r="V298" s="95"/>
      <c r="W298" s="73">
        <f t="shared" si="182"/>
        <v>459.46018735363</v>
      </c>
      <c r="X298" s="96">
        <f t="shared" ref="X298:X329" si="186">SUM(1154.44/1708)*H298</f>
        <v>6.75901639344262</v>
      </c>
      <c r="Y298" s="96"/>
      <c r="Z298" s="96"/>
      <c r="AA298" s="75">
        <f t="shared" si="183"/>
        <v>6.75901639344262</v>
      </c>
      <c r="AB298" s="84">
        <v>7.22</v>
      </c>
      <c r="AC298" s="73">
        <f t="shared" si="180"/>
        <v>48.8000983606557</v>
      </c>
      <c r="AD298" s="73">
        <f t="shared" si="181"/>
        <v>508.260285714286</v>
      </c>
      <c r="AE298" s="73">
        <f t="shared" si="179"/>
        <v>161.739714285714</v>
      </c>
    </row>
    <row r="299" customFormat="1" spans="1:31">
      <c r="A299" s="18"/>
      <c r="B299" s="19"/>
      <c r="C299" s="20">
        <v>240430000028</v>
      </c>
      <c r="D299" s="21">
        <v>45423</v>
      </c>
      <c r="E299" s="21" t="s">
        <v>44</v>
      </c>
      <c r="F299" s="19" t="s">
        <v>45</v>
      </c>
      <c r="G299" s="19" t="s">
        <v>187</v>
      </c>
      <c r="H299" s="19">
        <v>0.62</v>
      </c>
      <c r="I299" s="41">
        <v>142.1</v>
      </c>
      <c r="J299" s="42"/>
      <c r="K299" s="43"/>
      <c r="L299" s="42"/>
      <c r="M299" s="44"/>
      <c r="N299" s="45"/>
      <c r="O299" s="46">
        <f t="shared" si="170"/>
        <v>142.1</v>
      </c>
      <c r="P299" s="92"/>
      <c r="Q299" s="92"/>
      <c r="R299" s="95">
        <f t="shared" si="184"/>
        <v>28.4411569086651</v>
      </c>
      <c r="S299" s="95"/>
      <c r="T299" s="88">
        <f t="shared" si="185"/>
        <v>0.0453747072599532</v>
      </c>
      <c r="U299" s="95"/>
      <c r="V299" s="95"/>
      <c r="W299" s="73">
        <f t="shared" si="182"/>
        <v>28.4865316159251</v>
      </c>
      <c r="X299" s="96">
        <f t="shared" si="186"/>
        <v>0.419059016393443</v>
      </c>
      <c r="Y299" s="96">
        <v>10.38</v>
      </c>
      <c r="Z299" s="96"/>
      <c r="AA299" s="75">
        <f t="shared" si="183"/>
        <v>10.7990590163934</v>
      </c>
      <c r="AB299" s="84">
        <v>7.22</v>
      </c>
      <c r="AC299" s="73">
        <f t="shared" si="180"/>
        <v>77.9692060983607</v>
      </c>
      <c r="AD299" s="73">
        <f t="shared" si="181"/>
        <v>106.455737714286</v>
      </c>
      <c r="AE299" s="73">
        <f t="shared" si="179"/>
        <v>35.6442622857143</v>
      </c>
    </row>
    <row r="300" customFormat="1" spans="1:31">
      <c r="A300" s="18"/>
      <c r="B300" s="19"/>
      <c r="C300" s="20">
        <v>240501000001</v>
      </c>
      <c r="D300" s="21">
        <v>45423</v>
      </c>
      <c r="E300" s="21" t="s">
        <v>44</v>
      </c>
      <c r="F300" s="19" t="s">
        <v>45</v>
      </c>
      <c r="G300" s="19" t="s">
        <v>279</v>
      </c>
      <c r="H300" s="19">
        <v>4</v>
      </c>
      <c r="I300" s="41">
        <v>284.9</v>
      </c>
      <c r="J300" s="42"/>
      <c r="K300" s="43"/>
      <c r="L300" s="42"/>
      <c r="M300" s="44"/>
      <c r="N300" s="45"/>
      <c r="O300" s="46">
        <f t="shared" si="170"/>
        <v>284.9</v>
      </c>
      <c r="P300" s="92"/>
      <c r="Q300" s="92"/>
      <c r="R300" s="95">
        <f t="shared" si="184"/>
        <v>183.491334894614</v>
      </c>
      <c r="S300" s="95"/>
      <c r="T300" s="88">
        <f t="shared" si="185"/>
        <v>0.292740046838407</v>
      </c>
      <c r="U300" s="95"/>
      <c r="V300" s="95"/>
      <c r="W300" s="73">
        <f t="shared" si="182"/>
        <v>183.784074941452</v>
      </c>
      <c r="X300" s="96">
        <f t="shared" si="186"/>
        <v>2.70360655737705</v>
      </c>
      <c r="Y300" s="96"/>
      <c r="Z300" s="96"/>
      <c r="AA300" s="75">
        <f t="shared" si="183"/>
        <v>2.70360655737705</v>
      </c>
      <c r="AB300" s="84">
        <v>7.22</v>
      </c>
      <c r="AC300" s="73">
        <f t="shared" si="180"/>
        <v>19.5200393442623</v>
      </c>
      <c r="AD300" s="73">
        <f t="shared" si="181"/>
        <v>203.304114285714</v>
      </c>
      <c r="AE300" s="73">
        <f t="shared" si="179"/>
        <v>81.5958857142857</v>
      </c>
    </row>
    <row r="301" customFormat="1" spans="1:31">
      <c r="A301" s="18"/>
      <c r="B301" s="19"/>
      <c r="C301" s="20">
        <v>240501000002</v>
      </c>
      <c r="D301" s="21">
        <v>45423</v>
      </c>
      <c r="E301" s="21" t="s">
        <v>44</v>
      </c>
      <c r="F301" s="19" t="s">
        <v>45</v>
      </c>
      <c r="G301" s="19" t="s">
        <v>280</v>
      </c>
      <c r="H301" s="19">
        <v>6</v>
      </c>
      <c r="I301" s="52"/>
      <c r="J301" s="48">
        <v>90036</v>
      </c>
      <c r="K301" s="43"/>
      <c r="L301" s="49">
        <f t="shared" ref="L301:L305" si="187">SUM(J301/M301)</f>
        <v>1480.12493835279</v>
      </c>
      <c r="M301" s="50">
        <v>60.83</v>
      </c>
      <c r="N301" s="45">
        <v>7.22</v>
      </c>
      <c r="O301" s="46">
        <f t="shared" ref="O301:O305" si="188">SUM(M301*N301)</f>
        <v>439.1926</v>
      </c>
      <c r="P301" s="92"/>
      <c r="Q301" s="92"/>
      <c r="R301" s="95">
        <f t="shared" si="184"/>
        <v>275.23700234192</v>
      </c>
      <c r="S301" s="95"/>
      <c r="T301" s="88">
        <f t="shared" si="185"/>
        <v>0.439110070257611</v>
      </c>
      <c r="U301" s="95">
        <v>30</v>
      </c>
      <c r="V301" s="95"/>
      <c r="W301" s="73">
        <f t="shared" si="182"/>
        <v>305.676112412178</v>
      </c>
      <c r="X301" s="96">
        <f t="shared" si="186"/>
        <v>4.05540983606557</v>
      </c>
      <c r="Y301" s="96"/>
      <c r="Z301" s="96"/>
      <c r="AA301" s="75">
        <f t="shared" si="183"/>
        <v>4.05540983606557</v>
      </c>
      <c r="AB301" s="84">
        <v>7.22</v>
      </c>
      <c r="AC301" s="73">
        <f t="shared" si="180"/>
        <v>29.2800590163934</v>
      </c>
      <c r="AD301" s="73">
        <f t="shared" si="181"/>
        <v>334.956171428571</v>
      </c>
      <c r="AE301" s="73">
        <f t="shared" si="179"/>
        <v>104.236428571429</v>
      </c>
    </row>
    <row r="302" customFormat="1" spans="1:31">
      <c r="A302" s="18"/>
      <c r="B302" s="19"/>
      <c r="C302" s="20">
        <v>240501000005</v>
      </c>
      <c r="D302" s="21">
        <v>45423</v>
      </c>
      <c r="E302" s="21" t="s">
        <v>41</v>
      </c>
      <c r="F302" s="19" t="s">
        <v>42</v>
      </c>
      <c r="G302" s="19" t="s">
        <v>77</v>
      </c>
      <c r="H302" s="19">
        <v>19</v>
      </c>
      <c r="I302" s="52"/>
      <c r="J302" s="48">
        <v>242781</v>
      </c>
      <c r="K302" s="43"/>
      <c r="L302" s="49">
        <f t="shared" si="187"/>
        <v>1516.24406694979</v>
      </c>
      <c r="M302" s="50">
        <v>160.12</v>
      </c>
      <c r="N302" s="45">
        <v>7.22</v>
      </c>
      <c r="O302" s="46">
        <f t="shared" si="188"/>
        <v>1156.0664</v>
      </c>
      <c r="P302" s="92"/>
      <c r="Q302" s="92"/>
      <c r="R302" s="95">
        <f t="shared" si="184"/>
        <v>871.583840749415</v>
      </c>
      <c r="S302" s="95"/>
      <c r="T302" s="88">
        <f t="shared" si="185"/>
        <v>1.39051522248244</v>
      </c>
      <c r="U302" s="95"/>
      <c r="V302" s="95"/>
      <c r="W302" s="73">
        <f t="shared" si="182"/>
        <v>872.974355971897</v>
      </c>
      <c r="X302" s="96">
        <f t="shared" si="186"/>
        <v>12.842131147541</v>
      </c>
      <c r="Y302" s="96"/>
      <c r="Z302" s="96"/>
      <c r="AA302" s="75">
        <f t="shared" si="183"/>
        <v>12.842131147541</v>
      </c>
      <c r="AB302" s="84">
        <v>7.22</v>
      </c>
      <c r="AC302" s="73">
        <f t="shared" si="180"/>
        <v>92.7201868852459</v>
      </c>
      <c r="AD302" s="73">
        <f t="shared" si="181"/>
        <v>965.694542857143</v>
      </c>
      <c r="AE302" s="73">
        <f t="shared" si="179"/>
        <v>190.371857142857</v>
      </c>
    </row>
    <row r="303" customFormat="1" spans="1:31">
      <c r="A303" s="18"/>
      <c r="B303" s="19"/>
      <c r="C303" s="20">
        <v>240501000007</v>
      </c>
      <c r="D303" s="21">
        <v>45423</v>
      </c>
      <c r="E303" s="21" t="s">
        <v>41</v>
      </c>
      <c r="F303" s="19" t="s">
        <v>42</v>
      </c>
      <c r="G303" s="19" t="s">
        <v>281</v>
      </c>
      <c r="H303" s="19">
        <v>2.5</v>
      </c>
      <c r="I303" s="41">
        <v>179.3</v>
      </c>
      <c r="J303" s="42"/>
      <c r="K303" s="43"/>
      <c r="L303" s="42"/>
      <c r="M303" s="44"/>
      <c r="N303" s="45"/>
      <c r="O303" s="46">
        <f t="shared" ref="O303:O307" si="189">SUM(I303)</f>
        <v>179.3</v>
      </c>
      <c r="P303" s="92"/>
      <c r="Q303" s="92"/>
      <c r="R303" s="95">
        <f t="shared" si="184"/>
        <v>114.682084309134</v>
      </c>
      <c r="S303" s="95"/>
      <c r="T303" s="88">
        <f t="shared" si="185"/>
        <v>0.182962529274005</v>
      </c>
      <c r="U303" s="95"/>
      <c r="V303" s="95"/>
      <c r="W303" s="73">
        <f t="shared" si="182"/>
        <v>114.865046838408</v>
      </c>
      <c r="X303" s="96">
        <f t="shared" si="186"/>
        <v>1.68975409836066</v>
      </c>
      <c r="Y303" s="96"/>
      <c r="Z303" s="96"/>
      <c r="AA303" s="75">
        <f t="shared" si="183"/>
        <v>1.68975409836066</v>
      </c>
      <c r="AB303" s="84">
        <v>7.22</v>
      </c>
      <c r="AC303" s="73">
        <f t="shared" si="180"/>
        <v>12.2000245901639</v>
      </c>
      <c r="AD303" s="73">
        <f t="shared" si="181"/>
        <v>127.065071428571</v>
      </c>
      <c r="AE303" s="73">
        <f t="shared" si="179"/>
        <v>52.2349285714286</v>
      </c>
    </row>
    <row r="304" customFormat="1" spans="1:31">
      <c r="A304" s="18"/>
      <c r="B304" s="19"/>
      <c r="C304" s="20">
        <v>240502000001</v>
      </c>
      <c r="D304" s="21">
        <v>45423</v>
      </c>
      <c r="E304" s="21" t="s">
        <v>157</v>
      </c>
      <c r="F304" s="19" t="s">
        <v>282</v>
      </c>
      <c r="G304" s="19" t="s">
        <v>283</v>
      </c>
      <c r="H304" s="19">
        <v>4</v>
      </c>
      <c r="I304" s="41">
        <v>259</v>
      </c>
      <c r="J304" s="42"/>
      <c r="K304" s="43"/>
      <c r="L304" s="42"/>
      <c r="M304" s="44"/>
      <c r="N304" s="45"/>
      <c r="O304" s="46">
        <f t="shared" si="189"/>
        <v>259</v>
      </c>
      <c r="P304" s="92"/>
      <c r="Q304" s="92"/>
      <c r="R304" s="95">
        <f t="shared" si="184"/>
        <v>183.491334894614</v>
      </c>
      <c r="S304" s="95"/>
      <c r="T304" s="88">
        <f t="shared" si="185"/>
        <v>0.292740046838407</v>
      </c>
      <c r="U304" s="95"/>
      <c r="V304" s="95"/>
      <c r="W304" s="73">
        <f t="shared" si="182"/>
        <v>183.784074941452</v>
      </c>
      <c r="X304" s="96">
        <f t="shared" si="186"/>
        <v>2.70360655737705</v>
      </c>
      <c r="Y304" s="96"/>
      <c r="Z304" s="96"/>
      <c r="AA304" s="75">
        <f t="shared" si="183"/>
        <v>2.70360655737705</v>
      </c>
      <c r="AB304" s="84">
        <v>7.22</v>
      </c>
      <c r="AC304" s="73">
        <f t="shared" si="180"/>
        <v>19.5200393442623</v>
      </c>
      <c r="AD304" s="73">
        <f t="shared" si="181"/>
        <v>203.304114285714</v>
      </c>
      <c r="AE304" s="73">
        <f t="shared" si="179"/>
        <v>55.6958857142857</v>
      </c>
    </row>
    <row r="305" customFormat="1" spans="1:31">
      <c r="A305" s="18"/>
      <c r="B305" s="19"/>
      <c r="C305" s="20">
        <v>240502000002</v>
      </c>
      <c r="D305" s="21">
        <v>45423</v>
      </c>
      <c r="E305" s="21" t="s">
        <v>44</v>
      </c>
      <c r="F305" s="19" t="s">
        <v>45</v>
      </c>
      <c r="G305" s="19" t="s">
        <v>207</v>
      </c>
      <c r="H305" s="19">
        <v>0.21</v>
      </c>
      <c r="I305" s="52"/>
      <c r="J305" s="48">
        <v>18617</v>
      </c>
      <c r="K305" s="43"/>
      <c r="L305" s="49">
        <f t="shared" si="187"/>
        <v>1575.04230118443</v>
      </c>
      <c r="M305" s="50">
        <v>11.82</v>
      </c>
      <c r="N305" s="45">
        <v>7.22</v>
      </c>
      <c r="O305" s="46">
        <f t="shared" si="188"/>
        <v>85.3404</v>
      </c>
      <c r="P305" s="92"/>
      <c r="Q305" s="92"/>
      <c r="R305" s="95">
        <f t="shared" si="184"/>
        <v>9.63329508196721</v>
      </c>
      <c r="S305" s="95"/>
      <c r="T305" s="88">
        <f t="shared" si="185"/>
        <v>0.0153688524590164</v>
      </c>
      <c r="U305" s="95"/>
      <c r="V305" s="95"/>
      <c r="W305" s="73">
        <f t="shared" si="182"/>
        <v>9.64866393442623</v>
      </c>
      <c r="X305" s="96">
        <f t="shared" si="186"/>
        <v>0.141939344262295</v>
      </c>
      <c r="Y305" s="96"/>
      <c r="Z305" s="96"/>
      <c r="AA305" s="75">
        <f t="shared" si="183"/>
        <v>0.141939344262295</v>
      </c>
      <c r="AB305" s="84">
        <v>7.22</v>
      </c>
      <c r="AC305" s="73">
        <f t="shared" si="180"/>
        <v>1.02480206557377</v>
      </c>
      <c r="AD305" s="73">
        <f t="shared" si="181"/>
        <v>10.673466</v>
      </c>
      <c r="AE305" s="73">
        <f t="shared" si="179"/>
        <v>74.666934</v>
      </c>
    </row>
    <row r="306" customFormat="1" spans="1:31">
      <c r="A306" s="18"/>
      <c r="B306" s="19"/>
      <c r="C306" s="20">
        <v>240502000003</v>
      </c>
      <c r="D306" s="21">
        <v>45423</v>
      </c>
      <c r="E306" s="21" t="s">
        <v>44</v>
      </c>
      <c r="F306" s="19" t="s">
        <v>45</v>
      </c>
      <c r="G306" s="19" t="s">
        <v>284</v>
      </c>
      <c r="H306" s="19">
        <v>13</v>
      </c>
      <c r="I306" s="99">
        <v>898.1</v>
      </c>
      <c r="J306" s="42"/>
      <c r="K306" s="43"/>
      <c r="L306" s="42"/>
      <c r="M306" s="44"/>
      <c r="N306" s="45"/>
      <c r="O306" s="46">
        <f t="shared" si="189"/>
        <v>898.1</v>
      </c>
      <c r="P306" s="92"/>
      <c r="Q306" s="92"/>
      <c r="R306" s="95">
        <f t="shared" si="184"/>
        <v>596.346838407494</v>
      </c>
      <c r="S306" s="95"/>
      <c r="T306" s="88">
        <f t="shared" si="185"/>
        <v>0.951405152224824</v>
      </c>
      <c r="U306" s="95"/>
      <c r="V306" s="95"/>
      <c r="W306" s="73">
        <f t="shared" si="182"/>
        <v>597.298243559719</v>
      </c>
      <c r="X306" s="96">
        <f t="shared" si="186"/>
        <v>8.78672131147541</v>
      </c>
      <c r="Y306" s="96">
        <v>20.77</v>
      </c>
      <c r="Z306" s="96"/>
      <c r="AA306" s="75">
        <f t="shared" si="183"/>
        <v>29.5567213114754</v>
      </c>
      <c r="AB306" s="84">
        <v>7.22</v>
      </c>
      <c r="AC306" s="73">
        <f t="shared" si="180"/>
        <v>213.399527868852</v>
      </c>
      <c r="AD306" s="73">
        <f t="shared" si="181"/>
        <v>810.697771428572</v>
      </c>
      <c r="AE306" s="73">
        <f t="shared" si="179"/>
        <v>87.4022285714285</v>
      </c>
    </row>
    <row r="307" customFormat="1" spans="1:31">
      <c r="A307" s="18"/>
      <c r="B307" s="19"/>
      <c r="C307" s="20">
        <v>240503000007</v>
      </c>
      <c r="D307" s="21">
        <v>45423</v>
      </c>
      <c r="E307" s="21" t="s">
        <v>44</v>
      </c>
      <c r="F307" s="19" t="s">
        <v>45</v>
      </c>
      <c r="G307" s="19" t="s">
        <v>285</v>
      </c>
      <c r="H307" s="19">
        <v>19.5</v>
      </c>
      <c r="I307" s="41">
        <v>1186.35</v>
      </c>
      <c r="J307" s="42"/>
      <c r="K307" s="43"/>
      <c r="L307" s="42"/>
      <c r="M307" s="44"/>
      <c r="N307" s="45"/>
      <c r="O307" s="46">
        <f t="shared" si="189"/>
        <v>1186.35</v>
      </c>
      <c r="P307" s="92"/>
      <c r="Q307" s="92"/>
      <c r="R307" s="95">
        <f t="shared" si="184"/>
        <v>894.520257611241</v>
      </c>
      <c r="S307" s="95"/>
      <c r="T307" s="88">
        <f t="shared" si="185"/>
        <v>1.42710772833724</v>
      </c>
      <c r="U307" s="95"/>
      <c r="V307" s="95"/>
      <c r="W307" s="73">
        <f t="shared" si="182"/>
        <v>895.947365339578</v>
      </c>
      <c r="X307" s="96">
        <f t="shared" si="186"/>
        <v>13.1800819672131</v>
      </c>
      <c r="Y307" s="96"/>
      <c r="Z307" s="96"/>
      <c r="AA307" s="75">
        <f t="shared" si="183"/>
        <v>13.1800819672131</v>
      </c>
      <c r="AB307" s="84">
        <v>7.22</v>
      </c>
      <c r="AC307" s="73">
        <f t="shared" si="180"/>
        <v>95.1601918032787</v>
      </c>
      <c r="AD307" s="73">
        <f t="shared" si="181"/>
        <v>991.107557142857</v>
      </c>
      <c r="AE307" s="73">
        <f t="shared" si="179"/>
        <v>195.242442857143</v>
      </c>
    </row>
    <row r="308" customFormat="1" spans="1:31">
      <c r="A308" s="18"/>
      <c r="B308" s="19"/>
      <c r="C308" s="20">
        <v>240503000009</v>
      </c>
      <c r="D308" s="21">
        <v>45423</v>
      </c>
      <c r="E308" s="21" t="s">
        <v>41</v>
      </c>
      <c r="F308" s="19" t="s">
        <v>85</v>
      </c>
      <c r="G308" s="19" t="s">
        <v>86</v>
      </c>
      <c r="H308" s="19">
        <v>3</v>
      </c>
      <c r="I308" s="46"/>
      <c r="J308" s="48">
        <v>47621</v>
      </c>
      <c r="K308" s="43"/>
      <c r="L308" s="49">
        <f>SUM(J308/M308)</f>
        <v>1579.99336429993</v>
      </c>
      <c r="M308" s="50">
        <v>30.14</v>
      </c>
      <c r="N308" s="45">
        <v>7.22</v>
      </c>
      <c r="O308" s="46">
        <f>SUM(M308*N308)</f>
        <v>217.6108</v>
      </c>
      <c r="P308" s="92"/>
      <c r="Q308" s="92"/>
      <c r="R308" s="95">
        <f t="shared" si="184"/>
        <v>137.61850117096</v>
      </c>
      <c r="S308" s="95"/>
      <c r="T308" s="88">
        <f t="shared" si="185"/>
        <v>0.219555035128806</v>
      </c>
      <c r="U308" s="95"/>
      <c r="V308" s="95"/>
      <c r="W308" s="73">
        <f t="shared" si="182"/>
        <v>137.838056206089</v>
      </c>
      <c r="X308" s="96">
        <f t="shared" si="186"/>
        <v>2.02770491803279</v>
      </c>
      <c r="Y308" s="96"/>
      <c r="Z308" s="96"/>
      <c r="AA308" s="75">
        <f t="shared" si="183"/>
        <v>2.02770491803279</v>
      </c>
      <c r="AB308" s="84">
        <v>7.22</v>
      </c>
      <c r="AC308" s="73">
        <f t="shared" si="180"/>
        <v>14.6400295081967</v>
      </c>
      <c r="AD308" s="73">
        <f t="shared" si="181"/>
        <v>152.478085714286</v>
      </c>
      <c r="AE308" s="73">
        <f t="shared" si="179"/>
        <v>65.1327142857143</v>
      </c>
    </row>
    <row r="309" customFormat="1" spans="1:31">
      <c r="A309" s="18"/>
      <c r="B309" s="19"/>
      <c r="C309" s="20">
        <v>240503000010</v>
      </c>
      <c r="D309" s="21">
        <v>45423</v>
      </c>
      <c r="E309" s="21" t="s">
        <v>44</v>
      </c>
      <c r="F309" s="19" t="s">
        <v>286</v>
      </c>
      <c r="G309" s="19" t="s">
        <v>287</v>
      </c>
      <c r="H309" s="19">
        <v>0.68</v>
      </c>
      <c r="I309" s="41">
        <v>73.7</v>
      </c>
      <c r="J309" s="42"/>
      <c r="K309" s="43"/>
      <c r="L309" s="42"/>
      <c r="M309" s="44"/>
      <c r="N309" s="45"/>
      <c r="O309" s="46">
        <f t="shared" ref="O309:O319" si="190">SUM(I309)</f>
        <v>73.7</v>
      </c>
      <c r="P309" s="92"/>
      <c r="Q309" s="92"/>
      <c r="R309" s="95">
        <f t="shared" si="184"/>
        <v>31.1935269320843</v>
      </c>
      <c r="S309" s="95"/>
      <c r="T309" s="88">
        <f t="shared" si="185"/>
        <v>0.0497658079625293</v>
      </c>
      <c r="U309" s="95"/>
      <c r="V309" s="95"/>
      <c r="W309" s="73">
        <f t="shared" si="182"/>
        <v>31.2432927400468</v>
      </c>
      <c r="X309" s="96">
        <f t="shared" si="186"/>
        <v>0.459613114754098</v>
      </c>
      <c r="Y309" s="96"/>
      <c r="Z309" s="96"/>
      <c r="AA309" s="75">
        <f t="shared" si="183"/>
        <v>0.459613114754098</v>
      </c>
      <c r="AB309" s="84">
        <v>7.22</v>
      </c>
      <c r="AC309" s="73">
        <f t="shared" si="180"/>
        <v>3.31840668852459</v>
      </c>
      <c r="AD309" s="73">
        <f t="shared" si="181"/>
        <v>34.5616994285714</v>
      </c>
      <c r="AE309" s="73">
        <f t="shared" si="179"/>
        <v>39.1383005714286</v>
      </c>
    </row>
    <row r="310" customFormat="1" spans="1:31">
      <c r="A310" s="18"/>
      <c r="B310" s="19"/>
      <c r="C310" s="20">
        <v>240503000012</v>
      </c>
      <c r="D310" s="21">
        <v>45423</v>
      </c>
      <c r="E310" s="21" t="s">
        <v>41</v>
      </c>
      <c r="F310" s="19" t="s">
        <v>85</v>
      </c>
      <c r="G310" s="19" t="s">
        <v>86</v>
      </c>
      <c r="H310" s="19">
        <v>0.54</v>
      </c>
      <c r="I310" s="46"/>
      <c r="J310" s="48">
        <v>16337</v>
      </c>
      <c r="K310" s="43"/>
      <c r="L310" s="49">
        <f>SUM(J310/M310)</f>
        <v>1579.98081044302</v>
      </c>
      <c r="M310" s="50">
        <v>10.339999</v>
      </c>
      <c r="N310" s="45">
        <v>7.22</v>
      </c>
      <c r="O310" s="46">
        <f>SUM(M310*N310)</f>
        <v>74.65479278</v>
      </c>
      <c r="P310" s="92"/>
      <c r="Q310" s="92"/>
      <c r="R310" s="95">
        <f t="shared" si="184"/>
        <v>24.7713302107728</v>
      </c>
      <c r="S310" s="95"/>
      <c r="T310" s="88">
        <f t="shared" si="185"/>
        <v>0.039519906323185</v>
      </c>
      <c r="U310" s="95"/>
      <c r="V310" s="95"/>
      <c r="W310" s="73">
        <f t="shared" si="182"/>
        <v>24.810850117096</v>
      </c>
      <c r="X310" s="96">
        <f t="shared" si="186"/>
        <v>0.364986885245902</v>
      </c>
      <c r="Y310" s="96"/>
      <c r="Z310" s="96"/>
      <c r="AA310" s="75">
        <f t="shared" si="183"/>
        <v>0.364986885245902</v>
      </c>
      <c r="AB310" s="84">
        <v>7.22</v>
      </c>
      <c r="AC310" s="73">
        <f t="shared" si="180"/>
        <v>2.63520531147541</v>
      </c>
      <c r="AD310" s="73">
        <f t="shared" si="181"/>
        <v>27.4460554285714</v>
      </c>
      <c r="AE310" s="73">
        <f t="shared" si="179"/>
        <v>47.2087373514286</v>
      </c>
    </row>
    <row r="311" customFormat="1" spans="1:31">
      <c r="A311" s="18"/>
      <c r="B311" s="19"/>
      <c r="C311" s="20">
        <v>240504000001</v>
      </c>
      <c r="D311" s="21">
        <v>45423</v>
      </c>
      <c r="E311" s="21" t="s">
        <v>44</v>
      </c>
      <c r="F311" s="19" t="s">
        <v>286</v>
      </c>
      <c r="G311" s="19" t="s">
        <v>287</v>
      </c>
      <c r="H311" s="19">
        <v>1.5</v>
      </c>
      <c r="I311" s="41">
        <v>108.9</v>
      </c>
      <c r="J311" s="42"/>
      <c r="K311" s="43"/>
      <c r="L311" s="42"/>
      <c r="M311" s="44"/>
      <c r="N311" s="45"/>
      <c r="O311" s="46">
        <f t="shared" si="190"/>
        <v>108.9</v>
      </c>
      <c r="P311" s="92"/>
      <c r="Q311" s="92"/>
      <c r="R311" s="95">
        <f t="shared" si="184"/>
        <v>68.8092505854801</v>
      </c>
      <c r="S311" s="95"/>
      <c r="T311" s="88">
        <f t="shared" si="185"/>
        <v>0.109777517564403</v>
      </c>
      <c r="U311" s="95"/>
      <c r="V311" s="95"/>
      <c r="W311" s="73">
        <f t="shared" si="182"/>
        <v>68.9190281030445</v>
      </c>
      <c r="X311" s="96">
        <f t="shared" si="186"/>
        <v>1.01385245901639</v>
      </c>
      <c r="Y311" s="96"/>
      <c r="Z311" s="96"/>
      <c r="AA311" s="75">
        <f t="shared" si="183"/>
        <v>1.01385245901639</v>
      </c>
      <c r="AB311" s="84">
        <v>7.22</v>
      </c>
      <c r="AC311" s="73">
        <f t="shared" si="180"/>
        <v>7.32001475409836</v>
      </c>
      <c r="AD311" s="73">
        <f t="shared" si="181"/>
        <v>76.2390428571429</v>
      </c>
      <c r="AE311" s="73">
        <f t="shared" si="179"/>
        <v>32.6609571428571</v>
      </c>
    </row>
    <row r="312" customFormat="1" spans="1:31">
      <c r="A312" s="18"/>
      <c r="B312" s="19"/>
      <c r="C312" s="20">
        <v>240505000001</v>
      </c>
      <c r="D312" s="21">
        <v>45423</v>
      </c>
      <c r="E312" s="21" t="s">
        <v>64</v>
      </c>
      <c r="F312" s="19" t="s">
        <v>65</v>
      </c>
      <c r="G312" s="19" t="s">
        <v>120</v>
      </c>
      <c r="H312" s="19">
        <v>9</v>
      </c>
      <c r="I312" s="41">
        <v>730</v>
      </c>
      <c r="J312" s="42"/>
      <c r="K312" s="43"/>
      <c r="L312" s="42"/>
      <c r="M312" s="44"/>
      <c r="N312" s="45"/>
      <c r="O312" s="46">
        <f t="shared" si="190"/>
        <v>730</v>
      </c>
      <c r="P312" s="92"/>
      <c r="Q312" s="92"/>
      <c r="R312" s="95">
        <f t="shared" si="184"/>
        <v>412.855503512881</v>
      </c>
      <c r="S312" s="95"/>
      <c r="T312" s="88">
        <f t="shared" si="185"/>
        <v>0.658665105386417</v>
      </c>
      <c r="U312" s="95"/>
      <c r="V312" s="95"/>
      <c r="W312" s="73">
        <f t="shared" si="182"/>
        <v>413.514168618267</v>
      </c>
      <c r="X312" s="96">
        <f t="shared" si="186"/>
        <v>6.08311475409836</v>
      </c>
      <c r="Y312" s="96"/>
      <c r="Z312" s="96"/>
      <c r="AA312" s="75">
        <f t="shared" si="183"/>
        <v>6.08311475409836</v>
      </c>
      <c r="AB312" s="84">
        <v>7.22</v>
      </c>
      <c r="AC312" s="73">
        <f t="shared" si="180"/>
        <v>43.9200885245902</v>
      </c>
      <c r="AD312" s="73">
        <f t="shared" si="181"/>
        <v>457.434257142857</v>
      </c>
      <c r="AE312" s="73">
        <f t="shared" si="179"/>
        <v>272.565742857143</v>
      </c>
    </row>
    <row r="313" customFormat="1" spans="1:31">
      <c r="A313" s="18"/>
      <c r="B313" s="19"/>
      <c r="C313" s="20">
        <v>240505000002</v>
      </c>
      <c r="D313" s="21">
        <v>45423</v>
      </c>
      <c r="E313" s="21" t="s">
        <v>64</v>
      </c>
      <c r="F313" s="19" t="s">
        <v>65</v>
      </c>
      <c r="G313" s="19" t="s">
        <v>120</v>
      </c>
      <c r="H313" s="19">
        <v>8</v>
      </c>
      <c r="I313" s="41">
        <v>650</v>
      </c>
      <c r="J313" s="42"/>
      <c r="K313" s="43"/>
      <c r="L313" s="42"/>
      <c r="M313" s="44"/>
      <c r="N313" s="45"/>
      <c r="O313" s="46">
        <f t="shared" si="190"/>
        <v>650</v>
      </c>
      <c r="P313" s="92"/>
      <c r="Q313" s="92"/>
      <c r="R313" s="95">
        <f t="shared" si="184"/>
        <v>366.982669789227</v>
      </c>
      <c r="S313" s="95"/>
      <c r="T313" s="88">
        <f t="shared" si="185"/>
        <v>0.585480093676815</v>
      </c>
      <c r="U313" s="95"/>
      <c r="V313" s="95"/>
      <c r="W313" s="73">
        <f t="shared" si="182"/>
        <v>367.568149882904</v>
      </c>
      <c r="X313" s="96">
        <f t="shared" si="186"/>
        <v>5.4072131147541</v>
      </c>
      <c r="Y313" s="96"/>
      <c r="Z313" s="96"/>
      <c r="AA313" s="75">
        <f t="shared" si="183"/>
        <v>5.4072131147541</v>
      </c>
      <c r="AB313" s="84">
        <v>7.22</v>
      </c>
      <c r="AC313" s="73">
        <f t="shared" si="180"/>
        <v>39.0400786885246</v>
      </c>
      <c r="AD313" s="73">
        <f t="shared" si="181"/>
        <v>406.608228571429</v>
      </c>
      <c r="AE313" s="73">
        <f t="shared" si="179"/>
        <v>243.391771428571</v>
      </c>
    </row>
    <row r="314" customFormat="1" spans="1:31">
      <c r="A314" s="18"/>
      <c r="B314" s="19"/>
      <c r="C314" s="20">
        <v>240505000003</v>
      </c>
      <c r="D314" s="21">
        <v>45423</v>
      </c>
      <c r="E314" s="21" t="s">
        <v>54</v>
      </c>
      <c r="F314" s="19" t="s">
        <v>54</v>
      </c>
      <c r="G314" s="19" t="s">
        <v>288</v>
      </c>
      <c r="H314" s="19">
        <v>6.5</v>
      </c>
      <c r="I314" s="41">
        <v>466.5</v>
      </c>
      <c r="J314" s="42"/>
      <c r="K314" s="43"/>
      <c r="L314" s="42"/>
      <c r="M314" s="44"/>
      <c r="N314" s="45"/>
      <c r="O314" s="46">
        <f t="shared" si="190"/>
        <v>466.5</v>
      </c>
      <c r="P314" s="92"/>
      <c r="Q314" s="92"/>
      <c r="R314" s="95">
        <f t="shared" si="184"/>
        <v>298.173419203747</v>
      </c>
      <c r="S314" s="95"/>
      <c r="T314" s="88">
        <f t="shared" si="185"/>
        <v>0.475702576112412</v>
      </c>
      <c r="U314" s="95"/>
      <c r="V314" s="95"/>
      <c r="W314" s="73">
        <f t="shared" si="182"/>
        <v>298.64912177986</v>
      </c>
      <c r="X314" s="96">
        <f t="shared" si="186"/>
        <v>4.3933606557377</v>
      </c>
      <c r="Y314" s="96"/>
      <c r="Z314" s="96"/>
      <c r="AA314" s="75">
        <f t="shared" si="183"/>
        <v>4.3933606557377</v>
      </c>
      <c r="AB314" s="84">
        <v>7.22</v>
      </c>
      <c r="AC314" s="73">
        <f t="shared" si="180"/>
        <v>31.7200639344262</v>
      </c>
      <c r="AD314" s="73">
        <f t="shared" si="181"/>
        <v>330.369185714286</v>
      </c>
      <c r="AE314" s="73">
        <f t="shared" si="179"/>
        <v>136.130814285714</v>
      </c>
    </row>
    <row r="315" customFormat="1" spans="1:31">
      <c r="A315" s="18"/>
      <c r="B315" s="19"/>
      <c r="C315" s="20">
        <v>240505000005</v>
      </c>
      <c r="D315" s="21">
        <v>45423</v>
      </c>
      <c r="E315" s="21" t="s">
        <v>64</v>
      </c>
      <c r="F315" s="19" t="s">
        <v>65</v>
      </c>
      <c r="G315" s="19" t="s">
        <v>289</v>
      </c>
      <c r="H315" s="19">
        <v>4</v>
      </c>
      <c r="I315" s="41">
        <v>379</v>
      </c>
      <c r="J315" s="42"/>
      <c r="K315" s="43"/>
      <c r="L315" s="42"/>
      <c r="M315" s="44"/>
      <c r="N315" s="45"/>
      <c r="O315" s="46">
        <f t="shared" si="190"/>
        <v>379</v>
      </c>
      <c r="P315" s="92"/>
      <c r="Q315" s="92"/>
      <c r="R315" s="95">
        <f t="shared" si="184"/>
        <v>183.491334894614</v>
      </c>
      <c r="S315" s="95"/>
      <c r="T315" s="88">
        <f t="shared" si="185"/>
        <v>0.292740046838407</v>
      </c>
      <c r="U315" s="95"/>
      <c r="V315" s="95"/>
      <c r="W315" s="73">
        <f t="shared" si="182"/>
        <v>183.784074941452</v>
      </c>
      <c r="X315" s="96">
        <f t="shared" si="186"/>
        <v>2.70360655737705</v>
      </c>
      <c r="Y315" s="96">
        <v>6.92</v>
      </c>
      <c r="Z315" s="96"/>
      <c r="AA315" s="75">
        <f t="shared" si="183"/>
        <v>9.62360655737705</v>
      </c>
      <c r="AB315" s="84">
        <v>7.22</v>
      </c>
      <c r="AC315" s="73">
        <f t="shared" si="180"/>
        <v>69.4824393442623</v>
      </c>
      <c r="AD315" s="73">
        <f t="shared" si="181"/>
        <v>253.266514285714</v>
      </c>
      <c r="AE315" s="73">
        <f t="shared" si="179"/>
        <v>125.733485714286</v>
      </c>
    </row>
    <row r="316" customFormat="1" spans="1:31">
      <c r="A316" s="18"/>
      <c r="B316" s="19"/>
      <c r="C316" s="20">
        <v>240505000006</v>
      </c>
      <c r="D316" s="21">
        <v>45423</v>
      </c>
      <c r="E316" s="21" t="s">
        <v>54</v>
      </c>
      <c r="F316" s="19" t="s">
        <v>54</v>
      </c>
      <c r="G316" s="19" t="s">
        <v>290</v>
      </c>
      <c r="H316" s="19">
        <v>2.5</v>
      </c>
      <c r="I316" s="41">
        <v>162.8</v>
      </c>
      <c r="J316" s="42"/>
      <c r="K316" s="43"/>
      <c r="L316" s="42"/>
      <c r="M316" s="44"/>
      <c r="N316" s="45"/>
      <c r="O316" s="46">
        <f t="shared" si="190"/>
        <v>162.8</v>
      </c>
      <c r="P316" s="92"/>
      <c r="Q316" s="92"/>
      <c r="R316" s="95">
        <f t="shared" si="184"/>
        <v>114.682084309134</v>
      </c>
      <c r="S316" s="95"/>
      <c r="T316" s="88">
        <f t="shared" si="185"/>
        <v>0.182962529274005</v>
      </c>
      <c r="U316" s="95"/>
      <c r="V316" s="95"/>
      <c r="W316" s="73">
        <f t="shared" si="182"/>
        <v>114.865046838408</v>
      </c>
      <c r="X316" s="96">
        <f t="shared" si="186"/>
        <v>1.68975409836066</v>
      </c>
      <c r="Y316" s="96"/>
      <c r="Z316" s="96"/>
      <c r="AA316" s="75">
        <f t="shared" si="183"/>
        <v>1.68975409836066</v>
      </c>
      <c r="AB316" s="84">
        <v>7.22</v>
      </c>
      <c r="AC316" s="73">
        <f t="shared" si="180"/>
        <v>12.2000245901639</v>
      </c>
      <c r="AD316" s="73">
        <f t="shared" si="181"/>
        <v>127.065071428571</v>
      </c>
      <c r="AE316" s="73">
        <f t="shared" si="179"/>
        <v>35.7349285714286</v>
      </c>
    </row>
    <row r="317" customFormat="1" spans="1:31">
      <c r="A317" s="18"/>
      <c r="B317" s="19"/>
      <c r="C317" s="20">
        <v>240505000007</v>
      </c>
      <c r="D317" s="21">
        <v>45423</v>
      </c>
      <c r="E317" s="21" t="s">
        <v>54</v>
      </c>
      <c r="F317" s="19" t="s">
        <v>54</v>
      </c>
      <c r="G317" s="19" t="s">
        <v>100</v>
      </c>
      <c r="H317" s="19">
        <v>0.71</v>
      </c>
      <c r="I317" s="52">
        <v>67.1</v>
      </c>
      <c r="J317" s="42"/>
      <c r="K317" s="43"/>
      <c r="L317" s="42"/>
      <c r="M317" s="44"/>
      <c r="N317" s="45"/>
      <c r="O317" s="46">
        <f t="shared" si="190"/>
        <v>67.1</v>
      </c>
      <c r="P317" s="92"/>
      <c r="Q317" s="92"/>
      <c r="R317" s="95">
        <f t="shared" si="184"/>
        <v>32.5697119437939</v>
      </c>
      <c r="S317" s="95"/>
      <c r="T317" s="88">
        <f t="shared" si="185"/>
        <v>0.0519613583138173</v>
      </c>
      <c r="U317" s="95"/>
      <c r="V317" s="95"/>
      <c r="W317" s="73">
        <f t="shared" si="182"/>
        <v>32.6216733021077</v>
      </c>
      <c r="X317" s="96">
        <f t="shared" si="186"/>
        <v>0.479890163934426</v>
      </c>
      <c r="Y317" s="96"/>
      <c r="Z317" s="96"/>
      <c r="AA317" s="75">
        <f t="shared" si="183"/>
        <v>0.479890163934426</v>
      </c>
      <c r="AB317" s="84">
        <v>7.22</v>
      </c>
      <c r="AC317" s="73">
        <f t="shared" si="180"/>
        <v>3.46480698360656</v>
      </c>
      <c r="AD317" s="73">
        <f t="shared" si="181"/>
        <v>36.0864802857143</v>
      </c>
      <c r="AE317" s="73">
        <f t="shared" si="179"/>
        <v>31.0135197142857</v>
      </c>
    </row>
    <row r="318" customFormat="1" spans="1:31">
      <c r="A318" s="18"/>
      <c r="B318" s="19"/>
      <c r="C318" s="22">
        <v>240505000008</v>
      </c>
      <c r="D318" s="23">
        <v>45423</v>
      </c>
      <c r="E318" s="21" t="s">
        <v>37</v>
      </c>
      <c r="F318" s="24" t="s">
        <v>38</v>
      </c>
      <c r="G318" s="24" t="s">
        <v>278</v>
      </c>
      <c r="H318" s="24">
        <v>8</v>
      </c>
      <c r="I318" s="41">
        <v>536</v>
      </c>
      <c r="J318" s="42"/>
      <c r="K318" s="43"/>
      <c r="L318" s="42"/>
      <c r="M318" s="44"/>
      <c r="N318" s="45"/>
      <c r="O318" s="46">
        <f t="shared" si="190"/>
        <v>536</v>
      </c>
      <c r="P318" s="92"/>
      <c r="Q318" s="92"/>
      <c r="R318" s="95">
        <f t="shared" si="184"/>
        <v>366.982669789227</v>
      </c>
      <c r="S318" s="95"/>
      <c r="T318" s="88">
        <f t="shared" si="185"/>
        <v>0.585480093676815</v>
      </c>
      <c r="U318" s="95"/>
      <c r="V318" s="95"/>
      <c r="W318" s="73">
        <f t="shared" si="182"/>
        <v>367.568149882904</v>
      </c>
      <c r="X318" s="96">
        <f t="shared" si="186"/>
        <v>5.4072131147541</v>
      </c>
      <c r="Y318" s="96"/>
      <c r="Z318" s="96"/>
      <c r="AA318" s="75">
        <f t="shared" si="183"/>
        <v>5.4072131147541</v>
      </c>
      <c r="AB318" s="84">
        <v>7.22</v>
      </c>
      <c r="AC318" s="73">
        <f t="shared" si="180"/>
        <v>39.0400786885246</v>
      </c>
      <c r="AD318" s="73">
        <f t="shared" si="181"/>
        <v>406.608228571429</v>
      </c>
      <c r="AE318" s="73">
        <f t="shared" si="179"/>
        <v>129.391771428571</v>
      </c>
    </row>
    <row r="319" customFormat="1" spans="1:31">
      <c r="A319" s="18"/>
      <c r="B319" s="19"/>
      <c r="C319" s="20">
        <v>240506000002</v>
      </c>
      <c r="D319" s="21">
        <v>45423</v>
      </c>
      <c r="E319" s="21" t="s">
        <v>37</v>
      </c>
      <c r="F319" s="19" t="s">
        <v>38</v>
      </c>
      <c r="G319" s="19" t="s">
        <v>278</v>
      </c>
      <c r="H319" s="19">
        <v>1.5</v>
      </c>
      <c r="I319" s="41">
        <v>100</v>
      </c>
      <c r="J319" s="42"/>
      <c r="K319" s="43"/>
      <c r="L319" s="42"/>
      <c r="M319" s="44"/>
      <c r="N319" s="45"/>
      <c r="O319" s="46">
        <f t="shared" si="190"/>
        <v>100</v>
      </c>
      <c r="P319" s="92"/>
      <c r="Q319" s="92"/>
      <c r="R319" s="95">
        <f t="shared" si="184"/>
        <v>68.8092505854801</v>
      </c>
      <c r="S319" s="95"/>
      <c r="T319" s="88">
        <f t="shared" si="185"/>
        <v>0.109777517564403</v>
      </c>
      <c r="U319" s="95"/>
      <c r="V319" s="95"/>
      <c r="W319" s="73">
        <f t="shared" si="182"/>
        <v>68.9190281030445</v>
      </c>
      <c r="X319" s="96">
        <f t="shared" si="186"/>
        <v>1.01385245901639</v>
      </c>
      <c r="Y319" s="96"/>
      <c r="Z319" s="96"/>
      <c r="AA319" s="75">
        <f t="shared" si="183"/>
        <v>1.01385245901639</v>
      </c>
      <c r="AB319" s="84">
        <v>7.22</v>
      </c>
      <c r="AC319" s="73">
        <f t="shared" si="180"/>
        <v>7.32001475409836</v>
      </c>
      <c r="AD319" s="73">
        <f t="shared" si="181"/>
        <v>76.2390428571429</v>
      </c>
      <c r="AE319" s="73">
        <f t="shared" si="179"/>
        <v>23.7609571428571</v>
      </c>
    </row>
    <row r="320" customFormat="1" spans="1:31">
      <c r="A320" s="18"/>
      <c r="B320" s="19"/>
      <c r="C320" s="20">
        <v>240506000003</v>
      </c>
      <c r="D320" s="21">
        <v>45423</v>
      </c>
      <c r="E320" s="21" t="s">
        <v>37</v>
      </c>
      <c r="F320" s="19" t="s">
        <v>38</v>
      </c>
      <c r="G320" s="19" t="s">
        <v>241</v>
      </c>
      <c r="H320" s="19">
        <v>0.58</v>
      </c>
      <c r="I320" s="52"/>
      <c r="J320" s="48">
        <v>14630</v>
      </c>
      <c r="K320" s="43"/>
      <c r="L320" s="49">
        <f t="shared" ref="L320:L325" si="191">SUM(J320/M320)</f>
        <v>1574.81162540366</v>
      </c>
      <c r="M320" s="50">
        <v>9.29</v>
      </c>
      <c r="N320" s="45">
        <v>7.22</v>
      </c>
      <c r="O320" s="46">
        <f t="shared" ref="O320:O325" si="192">SUM(M320*N320)</f>
        <v>67.0738</v>
      </c>
      <c r="P320" s="92"/>
      <c r="Q320" s="92"/>
      <c r="R320" s="95">
        <f t="shared" si="184"/>
        <v>26.606243559719</v>
      </c>
      <c r="S320" s="95"/>
      <c r="T320" s="88">
        <f t="shared" si="185"/>
        <v>0.0424473067915691</v>
      </c>
      <c r="U320" s="95"/>
      <c r="V320" s="95"/>
      <c r="W320" s="73">
        <f t="shared" si="182"/>
        <v>26.6486908665105</v>
      </c>
      <c r="X320" s="96">
        <f t="shared" si="186"/>
        <v>0.392022950819672</v>
      </c>
      <c r="Y320" s="96"/>
      <c r="Z320" s="96"/>
      <c r="AA320" s="75">
        <f t="shared" si="183"/>
        <v>0.392022950819672</v>
      </c>
      <c r="AB320" s="84">
        <v>7.22</v>
      </c>
      <c r="AC320" s="73">
        <f t="shared" si="180"/>
        <v>2.83040570491803</v>
      </c>
      <c r="AD320" s="73">
        <f t="shared" si="181"/>
        <v>29.4790965714286</v>
      </c>
      <c r="AE320" s="73">
        <f t="shared" si="179"/>
        <v>37.5947034285714</v>
      </c>
    </row>
    <row r="321" customFormat="1" spans="1:31">
      <c r="A321" s="18"/>
      <c r="B321" s="19"/>
      <c r="C321" s="20">
        <v>240506000004</v>
      </c>
      <c r="D321" s="21">
        <v>45423</v>
      </c>
      <c r="E321" s="21" t="s">
        <v>37</v>
      </c>
      <c r="F321" s="19" t="s">
        <v>38</v>
      </c>
      <c r="G321" s="19" t="s">
        <v>241</v>
      </c>
      <c r="H321" s="19">
        <v>3</v>
      </c>
      <c r="I321" s="52"/>
      <c r="J321" s="48">
        <v>54065</v>
      </c>
      <c r="K321" s="43"/>
      <c r="L321" s="49">
        <f t="shared" si="191"/>
        <v>1574.40302853815</v>
      </c>
      <c r="M321" s="50">
        <v>34.34</v>
      </c>
      <c r="N321" s="45">
        <v>7.22</v>
      </c>
      <c r="O321" s="46">
        <f t="shared" si="192"/>
        <v>247.9348</v>
      </c>
      <c r="P321" s="92"/>
      <c r="Q321" s="92"/>
      <c r="R321" s="95">
        <f t="shared" si="184"/>
        <v>137.61850117096</v>
      </c>
      <c r="S321" s="95"/>
      <c r="T321" s="88">
        <f t="shared" si="185"/>
        <v>0.219555035128806</v>
      </c>
      <c r="U321" s="95"/>
      <c r="V321" s="95"/>
      <c r="W321" s="73">
        <f t="shared" si="182"/>
        <v>137.838056206089</v>
      </c>
      <c r="X321" s="96">
        <f t="shared" si="186"/>
        <v>2.02770491803279</v>
      </c>
      <c r="Y321" s="96"/>
      <c r="Z321" s="96"/>
      <c r="AA321" s="75">
        <f t="shared" si="183"/>
        <v>2.02770491803279</v>
      </c>
      <c r="AB321" s="84">
        <v>7.22</v>
      </c>
      <c r="AC321" s="73">
        <f t="shared" si="180"/>
        <v>14.6400295081967</v>
      </c>
      <c r="AD321" s="73">
        <f t="shared" si="181"/>
        <v>152.478085714286</v>
      </c>
      <c r="AE321" s="73">
        <f t="shared" si="179"/>
        <v>95.4567142857143</v>
      </c>
    </row>
    <row r="322" customFormat="1" spans="1:31">
      <c r="A322" s="18"/>
      <c r="B322" s="19"/>
      <c r="C322" s="20">
        <v>240506000005</v>
      </c>
      <c r="D322" s="21">
        <v>45423</v>
      </c>
      <c r="E322" s="21" t="s">
        <v>41</v>
      </c>
      <c r="F322" s="19" t="s">
        <v>42</v>
      </c>
      <c r="G322" s="19" t="s">
        <v>66</v>
      </c>
      <c r="H322" s="19">
        <v>2.5</v>
      </c>
      <c r="I322" s="41">
        <v>208.2</v>
      </c>
      <c r="J322" s="42"/>
      <c r="K322" s="43"/>
      <c r="L322" s="42"/>
      <c r="M322" s="44"/>
      <c r="N322" s="45"/>
      <c r="O322" s="46">
        <f t="shared" ref="O322:O324" si="193">SUM(I322)</f>
        <v>208.2</v>
      </c>
      <c r="P322" s="92"/>
      <c r="Q322" s="92"/>
      <c r="R322" s="95">
        <f t="shared" si="184"/>
        <v>114.682084309134</v>
      </c>
      <c r="S322" s="95"/>
      <c r="T322" s="88">
        <f t="shared" si="185"/>
        <v>0.182962529274005</v>
      </c>
      <c r="U322" s="95"/>
      <c r="V322" s="95"/>
      <c r="W322" s="73">
        <f t="shared" si="182"/>
        <v>114.865046838408</v>
      </c>
      <c r="X322" s="96">
        <f t="shared" si="186"/>
        <v>1.68975409836066</v>
      </c>
      <c r="Y322" s="96"/>
      <c r="Z322" s="96"/>
      <c r="AA322" s="75">
        <f t="shared" si="183"/>
        <v>1.68975409836066</v>
      </c>
      <c r="AB322" s="84">
        <v>7.22</v>
      </c>
      <c r="AC322" s="73">
        <f t="shared" si="180"/>
        <v>12.2000245901639</v>
      </c>
      <c r="AD322" s="73">
        <f t="shared" si="181"/>
        <v>127.065071428571</v>
      </c>
      <c r="AE322" s="73">
        <f t="shared" si="179"/>
        <v>81.1349285714285</v>
      </c>
    </row>
    <row r="323" customFormat="1" spans="1:31">
      <c r="A323" s="18"/>
      <c r="B323" s="19"/>
      <c r="C323" s="20">
        <v>240506000007</v>
      </c>
      <c r="D323" s="21">
        <v>45423</v>
      </c>
      <c r="E323" s="21" t="s">
        <v>41</v>
      </c>
      <c r="F323" s="19" t="s">
        <v>42</v>
      </c>
      <c r="G323" s="19" t="s">
        <v>291</v>
      </c>
      <c r="H323" s="19">
        <v>24</v>
      </c>
      <c r="I323" s="41">
        <v>1272</v>
      </c>
      <c r="J323" s="42"/>
      <c r="K323" s="43"/>
      <c r="L323" s="42"/>
      <c r="M323" s="44"/>
      <c r="N323" s="45"/>
      <c r="O323" s="46">
        <f t="shared" si="193"/>
        <v>1272</v>
      </c>
      <c r="P323" s="92"/>
      <c r="Q323" s="92"/>
      <c r="R323" s="95">
        <f t="shared" si="184"/>
        <v>1100.94800936768</v>
      </c>
      <c r="S323" s="95"/>
      <c r="T323" s="88">
        <f t="shared" si="185"/>
        <v>1.75644028103044</v>
      </c>
      <c r="U323" s="95"/>
      <c r="V323" s="95"/>
      <c r="W323" s="73">
        <f t="shared" si="182"/>
        <v>1102.70444964871</v>
      </c>
      <c r="X323" s="96">
        <f t="shared" si="186"/>
        <v>16.2216393442623</v>
      </c>
      <c r="Y323" s="96"/>
      <c r="Z323" s="96"/>
      <c r="AA323" s="75">
        <f t="shared" si="183"/>
        <v>16.2216393442623</v>
      </c>
      <c r="AB323" s="84">
        <v>7.22</v>
      </c>
      <c r="AC323" s="73">
        <f t="shared" si="180"/>
        <v>117.120236065574</v>
      </c>
      <c r="AD323" s="73">
        <f t="shared" si="181"/>
        <v>1219.82468571429</v>
      </c>
      <c r="AE323" s="73">
        <f t="shared" si="179"/>
        <v>52.1753142857142</v>
      </c>
    </row>
    <row r="324" customFormat="1" spans="1:31">
      <c r="A324" s="18"/>
      <c r="B324" s="19"/>
      <c r="C324" s="20">
        <v>240506000020</v>
      </c>
      <c r="D324" s="21">
        <v>45423</v>
      </c>
      <c r="E324" s="21" t="s">
        <v>47</v>
      </c>
      <c r="F324" s="19" t="s">
        <v>48</v>
      </c>
      <c r="G324" s="19" t="s">
        <v>292</v>
      </c>
      <c r="H324" s="19">
        <v>3</v>
      </c>
      <c r="I324" s="41">
        <v>197</v>
      </c>
      <c r="J324" s="42"/>
      <c r="K324" s="43"/>
      <c r="L324" s="42"/>
      <c r="M324" s="44"/>
      <c r="N324" s="45"/>
      <c r="O324" s="46">
        <f t="shared" si="193"/>
        <v>197</v>
      </c>
      <c r="P324" s="92"/>
      <c r="Q324" s="92"/>
      <c r="R324" s="95">
        <f t="shared" si="184"/>
        <v>137.61850117096</v>
      </c>
      <c r="S324" s="95"/>
      <c r="T324" s="88">
        <f t="shared" si="185"/>
        <v>0.219555035128806</v>
      </c>
      <c r="U324" s="95"/>
      <c r="V324" s="95"/>
      <c r="W324" s="73">
        <f t="shared" si="182"/>
        <v>137.838056206089</v>
      </c>
      <c r="X324" s="96">
        <f t="shared" si="186"/>
        <v>2.02770491803279</v>
      </c>
      <c r="Y324" s="96"/>
      <c r="Z324" s="96"/>
      <c r="AA324" s="75">
        <f t="shared" si="183"/>
        <v>2.02770491803279</v>
      </c>
      <c r="AB324" s="84">
        <v>7.22</v>
      </c>
      <c r="AC324" s="73">
        <f t="shared" si="180"/>
        <v>14.6400295081967</v>
      </c>
      <c r="AD324" s="73">
        <f t="shared" si="181"/>
        <v>152.478085714286</v>
      </c>
      <c r="AE324" s="73">
        <f t="shared" si="179"/>
        <v>44.5219142857143</v>
      </c>
    </row>
    <row r="325" customFormat="1" spans="1:31">
      <c r="A325" s="18"/>
      <c r="B325" s="19"/>
      <c r="C325" s="20">
        <v>240506000026</v>
      </c>
      <c r="D325" s="21">
        <v>45423</v>
      </c>
      <c r="E325" s="21" t="s">
        <v>47</v>
      </c>
      <c r="F325" s="19" t="s">
        <v>48</v>
      </c>
      <c r="G325" s="19" t="s">
        <v>293</v>
      </c>
      <c r="H325" s="19">
        <v>4</v>
      </c>
      <c r="I325" s="46"/>
      <c r="J325" s="48">
        <v>53262</v>
      </c>
      <c r="K325" s="43"/>
      <c r="L325" s="49">
        <f t="shared" si="191"/>
        <v>1580.00593295758</v>
      </c>
      <c r="M325" s="50">
        <v>33.71</v>
      </c>
      <c r="N325" s="45">
        <v>7.22</v>
      </c>
      <c r="O325" s="46">
        <f t="shared" si="192"/>
        <v>243.3862</v>
      </c>
      <c r="P325" s="92"/>
      <c r="Q325" s="92"/>
      <c r="R325" s="95">
        <f t="shared" si="184"/>
        <v>183.491334894614</v>
      </c>
      <c r="S325" s="95"/>
      <c r="T325" s="88">
        <f t="shared" si="185"/>
        <v>0.292740046838407</v>
      </c>
      <c r="U325" s="95"/>
      <c r="V325" s="95"/>
      <c r="W325" s="73">
        <f t="shared" si="182"/>
        <v>183.784074941452</v>
      </c>
      <c r="X325" s="96">
        <f t="shared" si="186"/>
        <v>2.70360655737705</v>
      </c>
      <c r="Y325" s="96"/>
      <c r="Z325" s="96"/>
      <c r="AA325" s="75">
        <f t="shared" si="183"/>
        <v>2.70360655737705</v>
      </c>
      <c r="AB325" s="84">
        <v>7.22</v>
      </c>
      <c r="AC325" s="73">
        <f t="shared" si="180"/>
        <v>19.5200393442623</v>
      </c>
      <c r="AD325" s="73">
        <f t="shared" si="181"/>
        <v>203.304114285714</v>
      </c>
      <c r="AE325" s="73">
        <f t="shared" ref="AE325:AE350" si="194">SUM(O325-AD325)</f>
        <v>40.0820857142857</v>
      </c>
    </row>
    <row r="326" customFormat="1" spans="1:31">
      <c r="A326" s="18"/>
      <c r="B326" s="19"/>
      <c r="C326" s="20">
        <v>240506000027</v>
      </c>
      <c r="D326" s="21">
        <v>45423</v>
      </c>
      <c r="E326" s="21" t="s">
        <v>37</v>
      </c>
      <c r="F326" s="19" t="s">
        <v>38</v>
      </c>
      <c r="G326" s="19" t="s">
        <v>294</v>
      </c>
      <c r="H326" s="19">
        <v>5</v>
      </c>
      <c r="I326" s="41">
        <v>293</v>
      </c>
      <c r="J326" s="42"/>
      <c r="K326" s="43"/>
      <c r="L326" s="42"/>
      <c r="M326" s="44"/>
      <c r="N326" s="45"/>
      <c r="O326" s="46">
        <f t="shared" ref="O326:O331" si="195">SUM(I326)</f>
        <v>293</v>
      </c>
      <c r="P326" s="92"/>
      <c r="Q326" s="92"/>
      <c r="R326" s="95">
        <f t="shared" si="184"/>
        <v>229.364168618267</v>
      </c>
      <c r="S326" s="95"/>
      <c r="T326" s="88">
        <f t="shared" si="185"/>
        <v>0.365925058548009</v>
      </c>
      <c r="U326" s="95"/>
      <c r="V326" s="95"/>
      <c r="W326" s="73">
        <f t="shared" si="182"/>
        <v>229.730093676815</v>
      </c>
      <c r="X326" s="96">
        <f t="shared" si="186"/>
        <v>3.37950819672131</v>
      </c>
      <c r="Y326" s="96"/>
      <c r="Z326" s="96"/>
      <c r="AA326" s="75">
        <f t="shared" si="183"/>
        <v>3.37950819672131</v>
      </c>
      <c r="AB326" s="84">
        <v>7.22</v>
      </c>
      <c r="AC326" s="73">
        <f t="shared" ref="AC326:AC350" si="196">SUM(AA326*AB326)</f>
        <v>24.4000491803279</v>
      </c>
      <c r="AD326" s="73">
        <f t="shared" si="181"/>
        <v>254.130142857143</v>
      </c>
      <c r="AE326" s="73">
        <f t="shared" si="194"/>
        <v>38.8698571428571</v>
      </c>
    </row>
    <row r="327" customFormat="1" spans="1:31">
      <c r="A327" s="18"/>
      <c r="B327" s="19"/>
      <c r="C327" s="20">
        <v>240506000030</v>
      </c>
      <c r="D327" s="21">
        <v>45423</v>
      </c>
      <c r="E327" s="21" t="s">
        <v>37</v>
      </c>
      <c r="F327" s="19" t="s">
        <v>38</v>
      </c>
      <c r="G327" s="19" t="s">
        <v>295</v>
      </c>
      <c r="H327" s="19">
        <v>6</v>
      </c>
      <c r="I327" s="41">
        <v>409</v>
      </c>
      <c r="J327" s="42"/>
      <c r="K327" s="43"/>
      <c r="L327" s="42"/>
      <c r="M327" s="44"/>
      <c r="N327" s="45"/>
      <c r="O327" s="46">
        <f t="shared" si="195"/>
        <v>409</v>
      </c>
      <c r="P327" s="92"/>
      <c r="Q327" s="92"/>
      <c r="R327" s="95">
        <f t="shared" si="184"/>
        <v>275.23700234192</v>
      </c>
      <c r="S327" s="95"/>
      <c r="T327" s="88">
        <f t="shared" si="185"/>
        <v>0.439110070257611</v>
      </c>
      <c r="U327" s="95"/>
      <c r="V327" s="95"/>
      <c r="W327" s="73">
        <f t="shared" si="182"/>
        <v>275.676112412178</v>
      </c>
      <c r="X327" s="96">
        <f t="shared" si="186"/>
        <v>4.05540983606557</v>
      </c>
      <c r="Y327" s="96"/>
      <c r="Z327" s="96"/>
      <c r="AA327" s="75">
        <f t="shared" si="183"/>
        <v>4.05540983606557</v>
      </c>
      <c r="AB327" s="84">
        <v>7.22</v>
      </c>
      <c r="AC327" s="73">
        <f t="shared" si="196"/>
        <v>29.2800590163934</v>
      </c>
      <c r="AD327" s="73">
        <f t="shared" ref="AD327:AD350" si="197">SUM(W327+AC327)</f>
        <v>304.956171428571</v>
      </c>
      <c r="AE327" s="73">
        <f t="shared" si="194"/>
        <v>104.043828571429</v>
      </c>
    </row>
    <row r="328" customFormat="1" spans="1:31">
      <c r="A328" s="18"/>
      <c r="B328" s="19"/>
      <c r="C328" s="20">
        <v>240506000033</v>
      </c>
      <c r="D328" s="21">
        <v>45423</v>
      </c>
      <c r="E328" s="21" t="s">
        <v>41</v>
      </c>
      <c r="F328" s="19" t="s">
        <v>42</v>
      </c>
      <c r="G328" s="19" t="s">
        <v>296</v>
      </c>
      <c r="H328" s="19">
        <v>0.75</v>
      </c>
      <c r="I328" s="41">
        <v>93.8</v>
      </c>
      <c r="J328" s="42"/>
      <c r="K328" s="43"/>
      <c r="L328" s="42"/>
      <c r="M328" s="44"/>
      <c r="N328" s="45"/>
      <c r="O328" s="46">
        <f t="shared" si="195"/>
        <v>93.8</v>
      </c>
      <c r="P328" s="92"/>
      <c r="Q328" s="92"/>
      <c r="R328" s="95">
        <f t="shared" si="184"/>
        <v>34.4046252927401</v>
      </c>
      <c r="S328" s="95"/>
      <c r="T328" s="88">
        <f t="shared" si="185"/>
        <v>0.0548887587822014</v>
      </c>
      <c r="U328" s="95"/>
      <c r="V328" s="95"/>
      <c r="W328" s="73">
        <f t="shared" ref="W328:W354" si="198">SUM(R328:V328)</f>
        <v>34.4595140515222</v>
      </c>
      <c r="X328" s="96">
        <f t="shared" si="186"/>
        <v>0.506926229508197</v>
      </c>
      <c r="Y328" s="96"/>
      <c r="Z328" s="96"/>
      <c r="AA328" s="75">
        <f t="shared" ref="AA328:AA350" si="199">SUM(X328:Z328)</f>
        <v>0.506926229508197</v>
      </c>
      <c r="AB328" s="84">
        <v>7.22</v>
      </c>
      <c r="AC328" s="73">
        <f t="shared" si="196"/>
        <v>3.66000737704918</v>
      </c>
      <c r="AD328" s="73">
        <f t="shared" si="197"/>
        <v>38.1195214285714</v>
      </c>
      <c r="AE328" s="73">
        <f t="shared" si="194"/>
        <v>55.6804785714286</v>
      </c>
    </row>
    <row r="329" customFormat="1" spans="1:31">
      <c r="A329" s="18"/>
      <c r="B329" s="19"/>
      <c r="C329" s="20">
        <v>240506000034</v>
      </c>
      <c r="D329" s="21">
        <v>45423</v>
      </c>
      <c r="E329" s="21" t="s">
        <v>41</v>
      </c>
      <c r="F329" s="19" t="s">
        <v>42</v>
      </c>
      <c r="G329" s="19" t="s">
        <v>297</v>
      </c>
      <c r="H329" s="19">
        <v>26.5</v>
      </c>
      <c r="I329" s="41">
        <v>1612</v>
      </c>
      <c r="J329" s="42"/>
      <c r="K329" s="43"/>
      <c r="L329" s="42"/>
      <c r="M329" s="44"/>
      <c r="N329" s="45"/>
      <c r="O329" s="46">
        <f t="shared" si="195"/>
        <v>1612</v>
      </c>
      <c r="P329" s="92"/>
      <c r="Q329" s="92"/>
      <c r="R329" s="95">
        <f t="shared" si="184"/>
        <v>1215.63009367682</v>
      </c>
      <c r="S329" s="95"/>
      <c r="T329" s="88">
        <f t="shared" si="185"/>
        <v>1.93940281030445</v>
      </c>
      <c r="U329" s="95"/>
      <c r="V329" s="95"/>
      <c r="W329" s="73">
        <f t="shared" si="198"/>
        <v>1217.56949648712</v>
      </c>
      <c r="X329" s="96">
        <f t="shared" si="186"/>
        <v>17.911393442623</v>
      </c>
      <c r="Y329" s="96"/>
      <c r="Z329" s="96"/>
      <c r="AA329" s="75">
        <f t="shared" si="199"/>
        <v>17.911393442623</v>
      </c>
      <c r="AB329" s="84">
        <v>7.22</v>
      </c>
      <c r="AC329" s="73">
        <f t="shared" si="196"/>
        <v>129.320260655738</v>
      </c>
      <c r="AD329" s="73">
        <f t="shared" si="197"/>
        <v>1346.88975714286</v>
      </c>
      <c r="AE329" s="73">
        <f t="shared" si="194"/>
        <v>265.110242857143</v>
      </c>
    </row>
    <row r="330" customFormat="1" spans="1:31">
      <c r="A330" s="18"/>
      <c r="B330" s="19"/>
      <c r="C330" s="20">
        <v>240506000038</v>
      </c>
      <c r="D330" s="21">
        <v>45423</v>
      </c>
      <c r="E330" s="21" t="s">
        <v>41</v>
      </c>
      <c r="F330" s="19" t="s">
        <v>42</v>
      </c>
      <c r="G330" s="19" t="s">
        <v>156</v>
      </c>
      <c r="H330" s="19">
        <v>3.5</v>
      </c>
      <c r="I330" s="41">
        <v>220</v>
      </c>
      <c r="J330" s="42"/>
      <c r="K330" s="43"/>
      <c r="L330" s="42"/>
      <c r="M330" s="44"/>
      <c r="N330" s="45"/>
      <c r="O330" s="46">
        <f t="shared" si="195"/>
        <v>220</v>
      </c>
      <c r="P330" s="92"/>
      <c r="Q330" s="92"/>
      <c r="R330" s="95">
        <f t="shared" ref="R330:R350" si="200">SUM(78350.8/1708)*H330</f>
        <v>160.554918032787</v>
      </c>
      <c r="S330" s="95"/>
      <c r="T330" s="88">
        <f t="shared" ref="T330:T350" si="201">SUM(125/1708)*H330</f>
        <v>0.256147540983607</v>
      </c>
      <c r="U330" s="95"/>
      <c r="V330" s="95"/>
      <c r="W330" s="73">
        <f t="shared" si="198"/>
        <v>160.811065573771</v>
      </c>
      <c r="X330" s="96">
        <f t="shared" ref="X330:X350" si="202">SUM(1154.44/1708)*H330</f>
        <v>2.36565573770492</v>
      </c>
      <c r="Y330" s="96"/>
      <c r="Z330" s="96"/>
      <c r="AA330" s="75">
        <f t="shared" si="199"/>
        <v>2.36565573770492</v>
      </c>
      <c r="AB330" s="84">
        <v>7.22</v>
      </c>
      <c r="AC330" s="73">
        <f t="shared" si="196"/>
        <v>17.0800344262295</v>
      </c>
      <c r="AD330" s="73">
        <f t="shared" si="197"/>
        <v>177.8911</v>
      </c>
      <c r="AE330" s="73">
        <f t="shared" si="194"/>
        <v>42.1089</v>
      </c>
    </row>
    <row r="331" customFormat="1" spans="1:31">
      <c r="A331" s="18"/>
      <c r="B331" s="19"/>
      <c r="C331" s="20">
        <v>240506000040</v>
      </c>
      <c r="D331" s="21">
        <v>45423</v>
      </c>
      <c r="E331" s="21" t="s">
        <v>41</v>
      </c>
      <c r="F331" s="19" t="s">
        <v>42</v>
      </c>
      <c r="G331" s="19" t="s">
        <v>281</v>
      </c>
      <c r="H331" s="19">
        <v>3.5</v>
      </c>
      <c r="I331" s="41">
        <v>214.5</v>
      </c>
      <c r="J331" s="42"/>
      <c r="K331" s="43"/>
      <c r="L331" s="42"/>
      <c r="M331" s="44"/>
      <c r="N331" s="45"/>
      <c r="O331" s="46">
        <f t="shared" si="195"/>
        <v>214.5</v>
      </c>
      <c r="P331" s="92"/>
      <c r="Q331" s="92"/>
      <c r="R331" s="95">
        <f t="shared" si="200"/>
        <v>160.554918032787</v>
      </c>
      <c r="S331" s="95"/>
      <c r="T331" s="88">
        <f t="shared" si="201"/>
        <v>0.256147540983607</v>
      </c>
      <c r="U331" s="95"/>
      <c r="V331" s="95"/>
      <c r="W331" s="73">
        <f t="shared" si="198"/>
        <v>160.811065573771</v>
      </c>
      <c r="X331" s="96">
        <f t="shared" si="202"/>
        <v>2.36565573770492</v>
      </c>
      <c r="Y331" s="96"/>
      <c r="Z331" s="96"/>
      <c r="AA331" s="75">
        <f t="shared" si="199"/>
        <v>2.36565573770492</v>
      </c>
      <c r="AB331" s="84">
        <v>7.22</v>
      </c>
      <c r="AC331" s="73">
        <f t="shared" si="196"/>
        <v>17.0800344262295</v>
      </c>
      <c r="AD331" s="73">
        <f t="shared" si="197"/>
        <v>177.8911</v>
      </c>
      <c r="AE331" s="73">
        <f t="shared" si="194"/>
        <v>36.6089</v>
      </c>
    </row>
    <row r="332" customFormat="1" spans="1:31">
      <c r="A332" s="18"/>
      <c r="B332" s="19"/>
      <c r="C332" s="20">
        <v>240506000043</v>
      </c>
      <c r="D332" s="21">
        <v>45423</v>
      </c>
      <c r="E332" s="21" t="s">
        <v>41</v>
      </c>
      <c r="F332" s="19" t="s">
        <v>42</v>
      </c>
      <c r="G332" s="19" t="s">
        <v>298</v>
      </c>
      <c r="H332" s="19">
        <v>3</v>
      </c>
      <c r="I332" s="52"/>
      <c r="J332" s="48">
        <v>33495</v>
      </c>
      <c r="K332" s="43"/>
      <c r="L332" s="49">
        <f>SUM(J332/M332)</f>
        <v>1465.86433260394</v>
      </c>
      <c r="M332" s="50">
        <v>22.85</v>
      </c>
      <c r="N332" s="45">
        <v>7.22</v>
      </c>
      <c r="O332" s="46">
        <f t="shared" ref="O332:O336" si="203">SUM(M332*N332)</f>
        <v>164.977</v>
      </c>
      <c r="P332" s="92"/>
      <c r="Q332" s="92"/>
      <c r="R332" s="95">
        <f t="shared" si="200"/>
        <v>137.61850117096</v>
      </c>
      <c r="S332" s="95"/>
      <c r="T332" s="88">
        <f t="shared" si="201"/>
        <v>0.219555035128806</v>
      </c>
      <c r="U332" s="95"/>
      <c r="V332" s="95"/>
      <c r="W332" s="73">
        <f t="shared" si="198"/>
        <v>137.838056206089</v>
      </c>
      <c r="X332" s="96">
        <f t="shared" si="202"/>
        <v>2.02770491803279</v>
      </c>
      <c r="Y332" s="96"/>
      <c r="Z332" s="96"/>
      <c r="AA332" s="75">
        <f t="shared" si="199"/>
        <v>2.02770491803279</v>
      </c>
      <c r="AB332" s="84">
        <v>7.22</v>
      </c>
      <c r="AC332" s="73">
        <f t="shared" si="196"/>
        <v>14.6400295081967</v>
      </c>
      <c r="AD332" s="73">
        <f t="shared" si="197"/>
        <v>152.478085714286</v>
      </c>
      <c r="AE332" s="73">
        <f t="shared" si="194"/>
        <v>12.4989142857143</v>
      </c>
    </row>
    <row r="333" customFormat="1" spans="1:31">
      <c r="A333" s="18"/>
      <c r="B333" s="19"/>
      <c r="C333" s="20">
        <v>240506000047</v>
      </c>
      <c r="D333" s="21">
        <v>45423</v>
      </c>
      <c r="E333" s="21" t="s">
        <v>44</v>
      </c>
      <c r="F333" s="19" t="s">
        <v>45</v>
      </c>
      <c r="G333" s="19" t="s">
        <v>68</v>
      </c>
      <c r="H333" s="19">
        <v>22.5</v>
      </c>
      <c r="I333" s="41">
        <v>2357.5</v>
      </c>
      <c r="J333" s="42"/>
      <c r="K333" s="43"/>
      <c r="L333" s="42"/>
      <c r="M333" s="44"/>
      <c r="N333" s="45"/>
      <c r="O333" s="46">
        <f t="shared" ref="O333:O351" si="204">SUM(I333)</f>
        <v>2357.5</v>
      </c>
      <c r="P333" s="92"/>
      <c r="Q333" s="92"/>
      <c r="R333" s="95">
        <f t="shared" si="200"/>
        <v>1032.1387587822</v>
      </c>
      <c r="S333" s="95"/>
      <c r="T333" s="88">
        <f t="shared" si="201"/>
        <v>1.64666276346604</v>
      </c>
      <c r="U333" s="95"/>
      <c r="V333" s="95"/>
      <c r="W333" s="73">
        <f t="shared" si="198"/>
        <v>1033.78542154567</v>
      </c>
      <c r="X333" s="96">
        <f t="shared" si="202"/>
        <v>15.2077868852459</v>
      </c>
      <c r="Y333" s="96"/>
      <c r="Z333" s="96"/>
      <c r="AA333" s="75">
        <f t="shared" si="199"/>
        <v>15.2077868852459</v>
      </c>
      <c r="AB333" s="84">
        <v>7.22</v>
      </c>
      <c r="AC333" s="73">
        <f t="shared" si="196"/>
        <v>109.800221311475</v>
      </c>
      <c r="AD333" s="73">
        <f t="shared" si="197"/>
        <v>1143.58564285714</v>
      </c>
      <c r="AE333" s="73">
        <f t="shared" si="194"/>
        <v>1213.91435714286</v>
      </c>
    </row>
    <row r="334" customFormat="1" spans="1:31">
      <c r="A334" s="18"/>
      <c r="B334" s="19"/>
      <c r="C334" s="20">
        <v>240506000048</v>
      </c>
      <c r="D334" s="21">
        <v>45423</v>
      </c>
      <c r="E334" s="21" t="s">
        <v>44</v>
      </c>
      <c r="F334" s="19" t="s">
        <v>45</v>
      </c>
      <c r="G334" s="19" t="s">
        <v>299</v>
      </c>
      <c r="H334" s="19">
        <v>0.935</v>
      </c>
      <c r="I334" s="41">
        <v>115.4</v>
      </c>
      <c r="J334" s="42"/>
      <c r="K334" s="43"/>
      <c r="L334" s="42"/>
      <c r="M334" s="44"/>
      <c r="N334" s="45"/>
      <c r="O334" s="46">
        <f t="shared" si="204"/>
        <v>115.4</v>
      </c>
      <c r="P334" s="92"/>
      <c r="Q334" s="92"/>
      <c r="R334" s="95">
        <f t="shared" si="200"/>
        <v>42.8910995316159</v>
      </c>
      <c r="S334" s="95"/>
      <c r="T334" s="88">
        <f t="shared" si="201"/>
        <v>0.0684279859484778</v>
      </c>
      <c r="U334" s="95"/>
      <c r="V334" s="95"/>
      <c r="W334" s="73">
        <f t="shared" si="198"/>
        <v>42.9595275175644</v>
      </c>
      <c r="X334" s="96">
        <f t="shared" si="202"/>
        <v>0.631968032786885</v>
      </c>
      <c r="Y334" s="96">
        <v>4.15</v>
      </c>
      <c r="Z334" s="96"/>
      <c r="AA334" s="75">
        <f t="shared" si="199"/>
        <v>4.78196803278689</v>
      </c>
      <c r="AB334" s="84">
        <v>7.22</v>
      </c>
      <c r="AC334" s="73">
        <f t="shared" si="196"/>
        <v>34.5258091967213</v>
      </c>
      <c r="AD334" s="73">
        <f t="shared" si="197"/>
        <v>77.4853367142857</v>
      </c>
      <c r="AE334" s="73">
        <f t="shared" si="194"/>
        <v>37.9146632857143</v>
      </c>
    </row>
    <row r="335" customFormat="1" spans="1:31">
      <c r="A335" s="18"/>
      <c r="B335" s="19"/>
      <c r="C335" s="20">
        <v>240506000053</v>
      </c>
      <c r="D335" s="21">
        <v>45423</v>
      </c>
      <c r="E335" s="21" t="s">
        <v>54</v>
      </c>
      <c r="F335" s="19" t="s">
        <v>54</v>
      </c>
      <c r="G335" s="19" t="s">
        <v>261</v>
      </c>
      <c r="H335" s="19">
        <v>15</v>
      </c>
      <c r="I335" s="99"/>
      <c r="J335" s="48">
        <v>234840</v>
      </c>
      <c r="K335" s="43"/>
      <c r="L335" s="49">
        <f>SUM(J335/M335)</f>
        <v>1487.36462093863</v>
      </c>
      <c r="M335" s="50">
        <v>157.89</v>
      </c>
      <c r="N335" s="45">
        <v>7.22</v>
      </c>
      <c r="O335" s="100">
        <f t="shared" si="203"/>
        <v>1139.9658</v>
      </c>
      <c r="P335" s="92"/>
      <c r="Q335" s="92"/>
      <c r="R335" s="95">
        <f t="shared" si="200"/>
        <v>688.092505854801</v>
      </c>
      <c r="S335" s="95"/>
      <c r="T335" s="88">
        <f t="shared" si="201"/>
        <v>1.09777517564403</v>
      </c>
      <c r="U335" s="95"/>
      <c r="V335" s="95"/>
      <c r="W335" s="73">
        <f t="shared" si="198"/>
        <v>689.190281030445</v>
      </c>
      <c r="X335" s="96">
        <f t="shared" si="202"/>
        <v>10.1385245901639</v>
      </c>
      <c r="Y335" s="96"/>
      <c r="Z335" s="96"/>
      <c r="AA335" s="75">
        <f t="shared" si="199"/>
        <v>10.1385245901639</v>
      </c>
      <c r="AB335" s="84">
        <v>7.22</v>
      </c>
      <c r="AC335" s="73">
        <f t="shared" si="196"/>
        <v>73.2001475409836</v>
      </c>
      <c r="AD335" s="73">
        <f t="shared" si="197"/>
        <v>762.390428571429</v>
      </c>
      <c r="AE335" s="73">
        <f t="shared" si="194"/>
        <v>377.575371428571</v>
      </c>
    </row>
    <row r="336" customFormat="1" spans="1:31">
      <c r="A336" s="18"/>
      <c r="B336" s="19"/>
      <c r="C336" s="20">
        <v>240506000057</v>
      </c>
      <c r="D336" s="21">
        <v>45423</v>
      </c>
      <c r="E336" s="21" t="s">
        <v>41</v>
      </c>
      <c r="F336" s="19" t="s">
        <v>42</v>
      </c>
      <c r="G336" s="19" t="s">
        <v>300</v>
      </c>
      <c r="H336" s="19">
        <v>19</v>
      </c>
      <c r="I336" s="52"/>
      <c r="J336" s="48">
        <v>271628</v>
      </c>
      <c r="K336" s="43"/>
      <c r="L336" s="49">
        <f>SUM(J336/M336)</f>
        <v>1574.01634119488</v>
      </c>
      <c r="M336" s="50">
        <v>172.57</v>
      </c>
      <c r="N336" s="45">
        <v>7.22</v>
      </c>
      <c r="O336" s="46">
        <f t="shared" si="203"/>
        <v>1245.9554</v>
      </c>
      <c r="P336" s="92"/>
      <c r="Q336" s="92"/>
      <c r="R336" s="95">
        <f t="shared" si="200"/>
        <v>871.583840749415</v>
      </c>
      <c r="S336" s="95"/>
      <c r="T336" s="88">
        <f t="shared" si="201"/>
        <v>1.39051522248244</v>
      </c>
      <c r="U336" s="95">
        <v>30</v>
      </c>
      <c r="V336" s="95"/>
      <c r="W336" s="73">
        <f t="shared" si="198"/>
        <v>902.974355971897</v>
      </c>
      <c r="X336" s="96">
        <f t="shared" si="202"/>
        <v>12.842131147541</v>
      </c>
      <c r="Y336" s="96"/>
      <c r="Z336" s="96"/>
      <c r="AA336" s="75">
        <f t="shared" si="199"/>
        <v>12.842131147541</v>
      </c>
      <c r="AB336" s="84">
        <v>7.22</v>
      </c>
      <c r="AC336" s="73">
        <f t="shared" si="196"/>
        <v>92.7201868852459</v>
      </c>
      <c r="AD336" s="73">
        <f t="shared" si="197"/>
        <v>995.694542857143</v>
      </c>
      <c r="AE336" s="73">
        <f t="shared" si="194"/>
        <v>250.260857142857</v>
      </c>
    </row>
    <row r="337" customFormat="1" spans="1:31">
      <c r="A337" s="18"/>
      <c r="B337" s="19"/>
      <c r="C337" s="20">
        <v>240506000059</v>
      </c>
      <c r="D337" s="21">
        <v>45423</v>
      </c>
      <c r="E337" s="21" t="s">
        <v>54</v>
      </c>
      <c r="F337" s="19" t="s">
        <v>54</v>
      </c>
      <c r="G337" s="19" t="s">
        <v>229</v>
      </c>
      <c r="H337" s="19">
        <v>6</v>
      </c>
      <c r="I337" s="41">
        <v>539.2</v>
      </c>
      <c r="J337" s="42"/>
      <c r="K337" s="43"/>
      <c r="L337" s="42"/>
      <c r="M337" s="44"/>
      <c r="N337" s="45"/>
      <c r="O337" s="46">
        <f t="shared" si="204"/>
        <v>539.2</v>
      </c>
      <c r="P337" s="92"/>
      <c r="Q337" s="92"/>
      <c r="R337" s="95">
        <f t="shared" si="200"/>
        <v>275.23700234192</v>
      </c>
      <c r="S337" s="95"/>
      <c r="T337" s="88">
        <f t="shared" si="201"/>
        <v>0.439110070257611</v>
      </c>
      <c r="U337" s="95"/>
      <c r="V337" s="95"/>
      <c r="W337" s="73">
        <f t="shared" si="198"/>
        <v>275.676112412178</v>
      </c>
      <c r="X337" s="96">
        <f t="shared" si="202"/>
        <v>4.05540983606557</v>
      </c>
      <c r="Y337" s="96"/>
      <c r="Z337" s="96"/>
      <c r="AA337" s="75">
        <f t="shared" si="199"/>
        <v>4.05540983606557</v>
      </c>
      <c r="AB337" s="84">
        <v>7.22</v>
      </c>
      <c r="AC337" s="73">
        <f t="shared" si="196"/>
        <v>29.2800590163934</v>
      </c>
      <c r="AD337" s="73">
        <f t="shared" si="197"/>
        <v>304.956171428571</v>
      </c>
      <c r="AE337" s="73">
        <f t="shared" si="194"/>
        <v>234.243828571429</v>
      </c>
    </row>
    <row r="338" customFormat="1" spans="1:31">
      <c r="A338" s="18"/>
      <c r="B338" s="19"/>
      <c r="C338" s="20">
        <v>240506000062</v>
      </c>
      <c r="D338" s="21">
        <v>45423</v>
      </c>
      <c r="E338" s="21" t="s">
        <v>41</v>
      </c>
      <c r="F338" s="19" t="s">
        <v>42</v>
      </c>
      <c r="G338" s="19" t="s">
        <v>96</v>
      </c>
      <c r="H338" s="19">
        <v>4.5</v>
      </c>
      <c r="I338" s="41">
        <v>327.5</v>
      </c>
      <c r="J338" s="42"/>
      <c r="K338" s="43"/>
      <c r="L338" s="42"/>
      <c r="M338" s="44"/>
      <c r="N338" s="45"/>
      <c r="O338" s="46">
        <f t="shared" si="204"/>
        <v>327.5</v>
      </c>
      <c r="P338" s="92"/>
      <c r="Q338" s="92"/>
      <c r="R338" s="95">
        <f t="shared" si="200"/>
        <v>206.42775175644</v>
      </c>
      <c r="S338" s="95"/>
      <c r="T338" s="88">
        <f t="shared" si="201"/>
        <v>0.329332552693208</v>
      </c>
      <c r="U338" s="95"/>
      <c r="V338" s="95"/>
      <c r="W338" s="73">
        <f t="shared" si="198"/>
        <v>206.757084309134</v>
      </c>
      <c r="X338" s="96">
        <f t="shared" si="202"/>
        <v>3.04155737704918</v>
      </c>
      <c r="Y338" s="96"/>
      <c r="Z338" s="96"/>
      <c r="AA338" s="75">
        <f t="shared" si="199"/>
        <v>3.04155737704918</v>
      </c>
      <c r="AB338" s="84">
        <v>7.22</v>
      </c>
      <c r="AC338" s="73">
        <f t="shared" si="196"/>
        <v>21.9600442622951</v>
      </c>
      <c r="AD338" s="73">
        <f t="shared" si="197"/>
        <v>228.717128571429</v>
      </c>
      <c r="AE338" s="73">
        <f t="shared" si="194"/>
        <v>98.7828714285714</v>
      </c>
    </row>
    <row r="339" customFormat="1" spans="1:31">
      <c r="A339" s="18"/>
      <c r="B339" s="19"/>
      <c r="C339" s="20">
        <v>240506000064</v>
      </c>
      <c r="D339" s="21">
        <v>45423</v>
      </c>
      <c r="E339" s="21" t="s">
        <v>81</v>
      </c>
      <c r="F339" s="19" t="s">
        <v>253</v>
      </c>
      <c r="G339" s="19" t="s">
        <v>301</v>
      </c>
      <c r="H339" s="19">
        <v>2</v>
      </c>
      <c r="I339" s="41">
        <v>144.1</v>
      </c>
      <c r="J339" s="42"/>
      <c r="K339" s="43"/>
      <c r="L339" s="42"/>
      <c r="M339" s="44"/>
      <c r="N339" s="45"/>
      <c r="O339" s="46">
        <f t="shared" si="204"/>
        <v>144.1</v>
      </c>
      <c r="P339" s="92"/>
      <c r="Q339" s="92"/>
      <c r="R339" s="95">
        <f t="shared" si="200"/>
        <v>91.7456674473068</v>
      </c>
      <c r="S339" s="95"/>
      <c r="T339" s="88">
        <f t="shared" si="201"/>
        <v>0.146370023419204</v>
      </c>
      <c r="U339" s="95"/>
      <c r="V339" s="95"/>
      <c r="W339" s="73">
        <f t="shared" si="198"/>
        <v>91.892037470726</v>
      </c>
      <c r="X339" s="96">
        <f t="shared" si="202"/>
        <v>1.35180327868852</v>
      </c>
      <c r="Y339" s="96"/>
      <c r="Z339" s="96"/>
      <c r="AA339" s="75">
        <f t="shared" si="199"/>
        <v>1.35180327868852</v>
      </c>
      <c r="AB339" s="84">
        <v>7.22</v>
      </c>
      <c r="AC339" s="73">
        <f t="shared" si="196"/>
        <v>9.76001967213115</v>
      </c>
      <c r="AD339" s="73">
        <f t="shared" si="197"/>
        <v>101.652057142857</v>
      </c>
      <c r="AE339" s="73">
        <f t="shared" si="194"/>
        <v>42.4479428571428</v>
      </c>
    </row>
    <row r="340" customFormat="1" spans="1:31">
      <c r="A340" s="18"/>
      <c r="B340" s="19"/>
      <c r="C340" s="22">
        <v>240506000067</v>
      </c>
      <c r="D340" s="23">
        <v>45423</v>
      </c>
      <c r="E340" s="21" t="s">
        <v>41</v>
      </c>
      <c r="F340" s="24" t="s">
        <v>42</v>
      </c>
      <c r="G340" s="24" t="s">
        <v>302</v>
      </c>
      <c r="H340" s="24">
        <v>0.66</v>
      </c>
      <c r="I340" s="41">
        <v>107.2</v>
      </c>
      <c r="J340" s="42"/>
      <c r="K340" s="43"/>
      <c r="L340" s="42"/>
      <c r="M340" s="44"/>
      <c r="N340" s="45"/>
      <c r="O340" s="46">
        <f t="shared" si="204"/>
        <v>107.2</v>
      </c>
      <c r="P340" s="92"/>
      <c r="Q340" s="92"/>
      <c r="R340" s="95">
        <f t="shared" si="200"/>
        <v>30.2760702576112</v>
      </c>
      <c r="S340" s="95"/>
      <c r="T340" s="88">
        <f t="shared" si="201"/>
        <v>0.0483021077283372</v>
      </c>
      <c r="U340" s="95"/>
      <c r="V340" s="95"/>
      <c r="W340" s="73">
        <f t="shared" si="198"/>
        <v>30.3243723653396</v>
      </c>
      <c r="X340" s="96">
        <f t="shared" si="202"/>
        <v>0.446095081967213</v>
      </c>
      <c r="Y340" s="96"/>
      <c r="Z340" s="96"/>
      <c r="AA340" s="75">
        <f t="shared" si="199"/>
        <v>0.446095081967213</v>
      </c>
      <c r="AB340" s="84">
        <v>7.22</v>
      </c>
      <c r="AC340" s="73">
        <f t="shared" si="196"/>
        <v>3.22080649180328</v>
      </c>
      <c r="AD340" s="73">
        <f t="shared" si="197"/>
        <v>33.5451788571429</v>
      </c>
      <c r="AE340" s="73">
        <f t="shared" si="194"/>
        <v>73.6548211428571</v>
      </c>
    </row>
    <row r="341" customFormat="1" spans="1:31">
      <c r="A341" s="18"/>
      <c r="B341" s="19"/>
      <c r="C341" s="102">
        <v>240506000068</v>
      </c>
      <c r="D341" s="103">
        <v>45423</v>
      </c>
      <c r="E341" s="21" t="s">
        <v>41</v>
      </c>
      <c r="F341" s="104" t="s">
        <v>42</v>
      </c>
      <c r="G341" s="104" t="s">
        <v>303</v>
      </c>
      <c r="H341" s="104">
        <v>0.82</v>
      </c>
      <c r="I341" s="41">
        <v>107.2</v>
      </c>
      <c r="J341" s="42"/>
      <c r="K341" s="43"/>
      <c r="L341" s="42"/>
      <c r="M341" s="44"/>
      <c r="N341" s="45"/>
      <c r="O341" s="46">
        <f t="shared" si="204"/>
        <v>107.2</v>
      </c>
      <c r="P341" s="92"/>
      <c r="Q341" s="92"/>
      <c r="R341" s="95">
        <f t="shared" si="200"/>
        <v>37.6157236533958</v>
      </c>
      <c r="S341" s="95"/>
      <c r="T341" s="88">
        <f t="shared" si="201"/>
        <v>0.0600117096018735</v>
      </c>
      <c r="U341" s="95"/>
      <c r="V341" s="95"/>
      <c r="W341" s="73">
        <f t="shared" si="198"/>
        <v>37.6757353629977</v>
      </c>
      <c r="X341" s="96">
        <f t="shared" si="202"/>
        <v>0.554239344262295</v>
      </c>
      <c r="Y341" s="96"/>
      <c r="Z341" s="96"/>
      <c r="AA341" s="75">
        <f t="shared" si="199"/>
        <v>0.554239344262295</v>
      </c>
      <c r="AB341" s="84">
        <v>7.22</v>
      </c>
      <c r="AC341" s="73">
        <f t="shared" si="196"/>
        <v>4.00160806557377</v>
      </c>
      <c r="AD341" s="73">
        <f t="shared" si="197"/>
        <v>41.6773434285714</v>
      </c>
      <c r="AE341" s="73">
        <f t="shared" si="194"/>
        <v>65.5226565714286</v>
      </c>
    </row>
    <row r="342" customFormat="1" spans="1:31">
      <c r="A342" s="18"/>
      <c r="B342" s="19"/>
      <c r="C342" s="20">
        <v>240507000003</v>
      </c>
      <c r="D342" s="21">
        <v>45423</v>
      </c>
      <c r="E342" s="21" t="s">
        <v>44</v>
      </c>
      <c r="F342" s="19" t="s">
        <v>45</v>
      </c>
      <c r="G342" s="19" t="s">
        <v>279</v>
      </c>
      <c r="H342" s="19">
        <v>13.5</v>
      </c>
      <c r="I342" s="41">
        <v>912.45</v>
      </c>
      <c r="J342" s="42"/>
      <c r="K342" s="43"/>
      <c r="L342" s="42"/>
      <c r="M342" s="44"/>
      <c r="N342" s="45"/>
      <c r="O342" s="46">
        <f t="shared" si="204"/>
        <v>912.45</v>
      </c>
      <c r="P342" s="92"/>
      <c r="Q342" s="92"/>
      <c r="R342" s="95">
        <f t="shared" si="200"/>
        <v>619.283255269321</v>
      </c>
      <c r="S342" s="95"/>
      <c r="T342" s="88">
        <f t="shared" si="201"/>
        <v>0.987997658079625</v>
      </c>
      <c r="U342" s="95"/>
      <c r="V342" s="95"/>
      <c r="W342" s="73">
        <f t="shared" si="198"/>
        <v>620.2712529274</v>
      </c>
      <c r="X342" s="96">
        <f t="shared" si="202"/>
        <v>9.12467213114754</v>
      </c>
      <c r="Y342" s="96"/>
      <c r="Z342" s="96"/>
      <c r="AA342" s="75">
        <f t="shared" si="199"/>
        <v>9.12467213114754</v>
      </c>
      <c r="AB342" s="84">
        <v>7.22</v>
      </c>
      <c r="AC342" s="73">
        <f t="shared" si="196"/>
        <v>65.8801327868852</v>
      </c>
      <c r="AD342" s="73">
        <f t="shared" si="197"/>
        <v>686.151385714286</v>
      </c>
      <c r="AE342" s="73">
        <f t="shared" si="194"/>
        <v>226.298614285714</v>
      </c>
    </row>
    <row r="343" customFormat="1" spans="1:31">
      <c r="A343" s="18"/>
      <c r="B343" s="19"/>
      <c r="C343" s="20">
        <v>240507000015</v>
      </c>
      <c r="D343" s="21">
        <v>45423</v>
      </c>
      <c r="E343" s="21" t="s">
        <v>41</v>
      </c>
      <c r="F343" s="19" t="s">
        <v>42</v>
      </c>
      <c r="G343" s="19" t="s">
        <v>199</v>
      </c>
      <c r="H343" s="19">
        <v>1.5</v>
      </c>
      <c r="I343" s="41">
        <v>135</v>
      </c>
      <c r="J343" s="42"/>
      <c r="K343" s="43"/>
      <c r="L343" s="42"/>
      <c r="M343" s="44"/>
      <c r="N343" s="45"/>
      <c r="O343" s="46">
        <f t="shared" si="204"/>
        <v>135</v>
      </c>
      <c r="P343" s="92"/>
      <c r="Q343" s="92"/>
      <c r="R343" s="95">
        <f t="shared" si="200"/>
        <v>68.8092505854801</v>
      </c>
      <c r="S343" s="95"/>
      <c r="T343" s="88">
        <f t="shared" si="201"/>
        <v>0.109777517564403</v>
      </c>
      <c r="U343" s="95"/>
      <c r="V343" s="95"/>
      <c r="W343" s="73">
        <f t="shared" si="198"/>
        <v>68.9190281030445</v>
      </c>
      <c r="X343" s="96">
        <f t="shared" si="202"/>
        <v>1.01385245901639</v>
      </c>
      <c r="Y343" s="96"/>
      <c r="Z343" s="96"/>
      <c r="AA343" s="75">
        <f t="shared" si="199"/>
        <v>1.01385245901639</v>
      </c>
      <c r="AB343" s="84">
        <v>7.22</v>
      </c>
      <c r="AC343" s="73">
        <f t="shared" si="196"/>
        <v>7.32001475409836</v>
      </c>
      <c r="AD343" s="73">
        <f t="shared" si="197"/>
        <v>76.2390428571429</v>
      </c>
      <c r="AE343" s="73">
        <f t="shared" si="194"/>
        <v>58.7609571428571</v>
      </c>
    </row>
    <row r="344" customFormat="1" spans="1:31">
      <c r="A344" s="18"/>
      <c r="B344" s="19"/>
      <c r="C344" s="20">
        <v>240507000017</v>
      </c>
      <c r="D344" s="21">
        <v>45423</v>
      </c>
      <c r="E344" s="21" t="s">
        <v>41</v>
      </c>
      <c r="F344" s="19" t="s">
        <v>42</v>
      </c>
      <c r="G344" s="19" t="s">
        <v>260</v>
      </c>
      <c r="H344" s="19">
        <v>1.5</v>
      </c>
      <c r="I344" s="41">
        <v>120</v>
      </c>
      <c r="J344" s="42"/>
      <c r="K344" s="43"/>
      <c r="L344" s="42"/>
      <c r="M344" s="44"/>
      <c r="N344" s="45"/>
      <c r="O344" s="46">
        <f t="shared" si="204"/>
        <v>120</v>
      </c>
      <c r="P344" s="92"/>
      <c r="Q344" s="92"/>
      <c r="R344" s="95">
        <f t="shared" si="200"/>
        <v>68.8092505854801</v>
      </c>
      <c r="S344" s="95"/>
      <c r="T344" s="88">
        <f t="shared" si="201"/>
        <v>0.109777517564403</v>
      </c>
      <c r="U344" s="95"/>
      <c r="V344" s="95"/>
      <c r="W344" s="73">
        <f t="shared" si="198"/>
        <v>68.9190281030445</v>
      </c>
      <c r="X344" s="96">
        <f t="shared" si="202"/>
        <v>1.01385245901639</v>
      </c>
      <c r="Y344" s="96"/>
      <c r="Z344" s="96"/>
      <c r="AA344" s="75">
        <f t="shared" si="199"/>
        <v>1.01385245901639</v>
      </c>
      <c r="AB344" s="84">
        <v>7.22</v>
      </c>
      <c r="AC344" s="73">
        <f t="shared" si="196"/>
        <v>7.32001475409836</v>
      </c>
      <c r="AD344" s="73">
        <f t="shared" si="197"/>
        <v>76.2390428571429</v>
      </c>
      <c r="AE344" s="73">
        <f t="shared" si="194"/>
        <v>43.7609571428571</v>
      </c>
    </row>
    <row r="345" customFormat="1" spans="1:31">
      <c r="A345" s="18"/>
      <c r="B345" s="19"/>
      <c r="C345" s="20">
        <v>240507000035</v>
      </c>
      <c r="D345" s="21">
        <v>45423</v>
      </c>
      <c r="E345" s="21" t="s">
        <v>41</v>
      </c>
      <c r="F345" s="19" t="s">
        <v>42</v>
      </c>
      <c r="G345" s="19" t="s">
        <v>96</v>
      </c>
      <c r="H345" s="19">
        <v>2.5</v>
      </c>
      <c r="I345" s="41">
        <v>187.5</v>
      </c>
      <c r="J345" s="42"/>
      <c r="K345" s="43"/>
      <c r="L345" s="42"/>
      <c r="M345" s="44"/>
      <c r="N345" s="45"/>
      <c r="O345" s="46">
        <f t="shared" si="204"/>
        <v>187.5</v>
      </c>
      <c r="P345" s="92"/>
      <c r="Q345" s="92"/>
      <c r="R345" s="95">
        <f t="shared" si="200"/>
        <v>114.682084309134</v>
      </c>
      <c r="S345" s="95"/>
      <c r="T345" s="88">
        <f t="shared" si="201"/>
        <v>0.182962529274005</v>
      </c>
      <c r="U345" s="95"/>
      <c r="V345" s="95"/>
      <c r="W345" s="73">
        <f t="shared" si="198"/>
        <v>114.865046838408</v>
      </c>
      <c r="X345" s="96">
        <f t="shared" si="202"/>
        <v>1.68975409836066</v>
      </c>
      <c r="Y345" s="96"/>
      <c r="Z345" s="96"/>
      <c r="AA345" s="75">
        <f t="shared" si="199"/>
        <v>1.68975409836066</v>
      </c>
      <c r="AB345" s="84">
        <v>7.22</v>
      </c>
      <c r="AC345" s="73">
        <f t="shared" si="196"/>
        <v>12.2000245901639</v>
      </c>
      <c r="AD345" s="73">
        <f t="shared" si="197"/>
        <v>127.065071428571</v>
      </c>
      <c r="AE345" s="73">
        <f t="shared" si="194"/>
        <v>60.4349285714286</v>
      </c>
    </row>
    <row r="346" customFormat="1" spans="1:31">
      <c r="A346" s="18"/>
      <c r="B346" s="19"/>
      <c r="C346" s="20">
        <v>240507000036</v>
      </c>
      <c r="D346" s="21">
        <v>45423</v>
      </c>
      <c r="E346" s="21" t="s">
        <v>41</v>
      </c>
      <c r="F346" s="19" t="s">
        <v>42</v>
      </c>
      <c r="G346" s="19" t="s">
        <v>96</v>
      </c>
      <c r="H346" s="19">
        <v>4</v>
      </c>
      <c r="I346" s="41">
        <v>220</v>
      </c>
      <c r="J346" s="42"/>
      <c r="K346" s="43"/>
      <c r="L346" s="42"/>
      <c r="M346" s="44"/>
      <c r="N346" s="45"/>
      <c r="O346" s="46">
        <f t="shared" si="204"/>
        <v>220</v>
      </c>
      <c r="P346" s="92"/>
      <c r="Q346" s="92"/>
      <c r="R346" s="95">
        <f t="shared" si="200"/>
        <v>183.491334894614</v>
      </c>
      <c r="S346" s="95"/>
      <c r="T346" s="88">
        <f t="shared" si="201"/>
        <v>0.292740046838407</v>
      </c>
      <c r="U346" s="95"/>
      <c r="V346" s="95"/>
      <c r="W346" s="73">
        <f t="shared" si="198"/>
        <v>183.784074941452</v>
      </c>
      <c r="X346" s="96">
        <f t="shared" si="202"/>
        <v>2.70360655737705</v>
      </c>
      <c r="Y346" s="96"/>
      <c r="Z346" s="96"/>
      <c r="AA346" s="75">
        <f t="shared" si="199"/>
        <v>2.70360655737705</v>
      </c>
      <c r="AB346" s="84">
        <v>7.22</v>
      </c>
      <c r="AC346" s="73">
        <f t="shared" si="196"/>
        <v>19.5200393442623</v>
      </c>
      <c r="AD346" s="73">
        <f t="shared" si="197"/>
        <v>203.304114285714</v>
      </c>
      <c r="AE346" s="73">
        <f t="shared" si="194"/>
        <v>16.6958857142857</v>
      </c>
    </row>
    <row r="347" customFormat="1" spans="1:31">
      <c r="A347" s="18"/>
      <c r="B347" s="19"/>
      <c r="C347" s="20">
        <v>240507000049</v>
      </c>
      <c r="D347" s="21">
        <v>45423</v>
      </c>
      <c r="E347" s="21" t="s">
        <v>54</v>
      </c>
      <c r="F347" s="19" t="s">
        <v>54</v>
      </c>
      <c r="G347" s="19" t="s">
        <v>90</v>
      </c>
      <c r="H347" s="19">
        <v>123</v>
      </c>
      <c r="I347" s="41">
        <v>6706</v>
      </c>
      <c r="J347" s="42"/>
      <c r="K347" s="43"/>
      <c r="L347" s="42"/>
      <c r="M347" s="44"/>
      <c r="N347" s="45"/>
      <c r="O347" s="46">
        <f t="shared" si="204"/>
        <v>6706</v>
      </c>
      <c r="P347" s="92"/>
      <c r="Q347" s="92"/>
      <c r="R347" s="95">
        <f t="shared" si="200"/>
        <v>5642.35854800937</v>
      </c>
      <c r="S347" s="95"/>
      <c r="T347" s="88">
        <f t="shared" si="201"/>
        <v>9.00175644028103</v>
      </c>
      <c r="U347" s="95"/>
      <c r="V347" s="95"/>
      <c r="W347" s="73">
        <f t="shared" si="198"/>
        <v>5651.36030444965</v>
      </c>
      <c r="X347" s="96">
        <f t="shared" si="202"/>
        <v>83.1359016393443</v>
      </c>
      <c r="Y347" s="96"/>
      <c r="Z347" s="96"/>
      <c r="AA347" s="75">
        <f t="shared" si="199"/>
        <v>83.1359016393443</v>
      </c>
      <c r="AB347" s="84">
        <v>7.22</v>
      </c>
      <c r="AC347" s="73">
        <f t="shared" si="196"/>
        <v>600.241209836066</v>
      </c>
      <c r="AD347" s="73">
        <f t="shared" si="197"/>
        <v>6251.60151428571</v>
      </c>
      <c r="AE347" s="73">
        <f t="shared" si="194"/>
        <v>454.398485714286</v>
      </c>
    </row>
    <row r="348" customFormat="1" spans="1:31">
      <c r="A348" s="18"/>
      <c r="B348" s="19"/>
      <c r="C348" s="20">
        <v>240507000050</v>
      </c>
      <c r="D348" s="21">
        <v>45423</v>
      </c>
      <c r="E348" s="21" t="s">
        <v>41</v>
      </c>
      <c r="F348" s="19" t="s">
        <v>42</v>
      </c>
      <c r="G348" s="19" t="s">
        <v>96</v>
      </c>
      <c r="H348" s="19">
        <v>42</v>
      </c>
      <c r="I348" s="41">
        <v>2450</v>
      </c>
      <c r="J348" s="42"/>
      <c r="K348" s="43"/>
      <c r="L348" s="42"/>
      <c r="M348" s="44"/>
      <c r="N348" s="45"/>
      <c r="O348" s="46">
        <f t="shared" si="204"/>
        <v>2450</v>
      </c>
      <c r="P348" s="92"/>
      <c r="Q348" s="92"/>
      <c r="R348" s="95">
        <f t="shared" si="200"/>
        <v>1926.65901639344</v>
      </c>
      <c r="S348" s="95"/>
      <c r="T348" s="88">
        <f t="shared" si="201"/>
        <v>3.07377049180328</v>
      </c>
      <c r="U348" s="95"/>
      <c r="V348" s="95"/>
      <c r="W348" s="73">
        <f t="shared" si="198"/>
        <v>1929.73278688525</v>
      </c>
      <c r="X348" s="96">
        <f t="shared" si="202"/>
        <v>28.387868852459</v>
      </c>
      <c r="Y348" s="96"/>
      <c r="Z348" s="96"/>
      <c r="AA348" s="75">
        <f t="shared" si="199"/>
        <v>28.387868852459</v>
      </c>
      <c r="AB348" s="84">
        <v>7.22</v>
      </c>
      <c r="AC348" s="73">
        <f t="shared" si="196"/>
        <v>204.960413114754</v>
      </c>
      <c r="AD348" s="73">
        <f t="shared" si="197"/>
        <v>2134.6932</v>
      </c>
      <c r="AE348" s="73">
        <f t="shared" si="194"/>
        <v>315.3068</v>
      </c>
    </row>
    <row r="349" customFormat="1" spans="1:31">
      <c r="A349" s="18"/>
      <c r="B349" s="19"/>
      <c r="C349" s="20">
        <v>240507000051</v>
      </c>
      <c r="D349" s="21">
        <v>45423</v>
      </c>
      <c r="E349" s="21" t="s">
        <v>54</v>
      </c>
      <c r="F349" s="19" t="s">
        <v>54</v>
      </c>
      <c r="G349" s="19" t="s">
        <v>92</v>
      </c>
      <c r="H349" s="19">
        <v>695.5</v>
      </c>
      <c r="I349" s="41">
        <v>35122.75</v>
      </c>
      <c r="J349" s="42"/>
      <c r="K349" s="43"/>
      <c r="L349" s="42"/>
      <c r="M349" s="44"/>
      <c r="N349" s="45"/>
      <c r="O349" s="46">
        <f t="shared" si="204"/>
        <v>35122.75</v>
      </c>
      <c r="P349" s="92"/>
      <c r="Q349" s="92"/>
      <c r="R349" s="95">
        <f t="shared" si="200"/>
        <v>31904.5558548009</v>
      </c>
      <c r="S349" s="95"/>
      <c r="T349" s="88">
        <f t="shared" si="201"/>
        <v>50.9001756440281</v>
      </c>
      <c r="U349" s="95"/>
      <c r="V349" s="95"/>
      <c r="W349" s="73">
        <f t="shared" si="198"/>
        <v>31955.456030445</v>
      </c>
      <c r="X349" s="96">
        <f t="shared" si="202"/>
        <v>470.089590163934</v>
      </c>
      <c r="Y349" s="96"/>
      <c r="Z349" s="96"/>
      <c r="AA349" s="75">
        <f t="shared" si="199"/>
        <v>470.089590163934</v>
      </c>
      <c r="AB349" s="84">
        <v>7.22</v>
      </c>
      <c r="AC349" s="73">
        <f t="shared" si="196"/>
        <v>3394.04684098361</v>
      </c>
      <c r="AD349" s="73">
        <f t="shared" ref="AD349:AD355" si="205">SUM(W349+AC349)</f>
        <v>35349.5028714286</v>
      </c>
      <c r="AE349" s="73">
        <f t="shared" ref="AE349:AE355" si="206">SUM(O349-AD349)</f>
        <v>-226.752871428573</v>
      </c>
    </row>
    <row r="350" customFormat="1" spans="1:31">
      <c r="A350" s="18"/>
      <c r="B350" s="19"/>
      <c r="C350" s="20">
        <v>240507000052</v>
      </c>
      <c r="D350" s="21">
        <v>45423</v>
      </c>
      <c r="E350" s="21" t="s">
        <v>54</v>
      </c>
      <c r="F350" s="19" t="s">
        <v>54</v>
      </c>
      <c r="G350" s="19" t="s">
        <v>92</v>
      </c>
      <c r="H350" s="19">
        <v>567</v>
      </c>
      <c r="I350" s="41">
        <v>28633.5</v>
      </c>
      <c r="J350" s="42"/>
      <c r="K350" s="43"/>
      <c r="L350" s="42"/>
      <c r="M350" s="44"/>
      <c r="N350" s="45"/>
      <c r="O350" s="46">
        <f t="shared" si="204"/>
        <v>28633.5</v>
      </c>
      <c r="P350" s="93"/>
      <c r="Q350" s="93"/>
      <c r="R350" s="95">
        <f t="shared" si="200"/>
        <v>26009.8967213115</v>
      </c>
      <c r="S350" s="95"/>
      <c r="T350" s="88">
        <f t="shared" si="201"/>
        <v>41.4959016393443</v>
      </c>
      <c r="U350" s="95"/>
      <c r="V350" s="95"/>
      <c r="W350" s="73">
        <f t="shared" si="198"/>
        <v>26051.3926229508</v>
      </c>
      <c r="X350" s="96">
        <f t="shared" si="202"/>
        <v>383.236229508197</v>
      </c>
      <c r="Y350" s="96"/>
      <c r="Z350" s="96"/>
      <c r="AA350" s="75">
        <f t="shared" ref="AA350:AA355" si="207">SUM(X350:Z350)</f>
        <v>383.236229508197</v>
      </c>
      <c r="AB350" s="84">
        <v>7.22</v>
      </c>
      <c r="AC350" s="73">
        <f t="shared" ref="AC350:AC355" si="208">SUM(AA350*AB350)</f>
        <v>2766.96557704918</v>
      </c>
      <c r="AD350" s="73">
        <f t="shared" si="205"/>
        <v>28818.3582</v>
      </c>
      <c r="AE350" s="73">
        <f t="shared" si="206"/>
        <v>-184.858200000002</v>
      </c>
    </row>
    <row r="351" customFormat="1" spans="1:31">
      <c r="A351" s="18" t="s">
        <v>304</v>
      </c>
      <c r="B351" s="19" t="s">
        <v>305</v>
      </c>
      <c r="C351" s="20">
        <v>240503000006</v>
      </c>
      <c r="D351" s="21">
        <v>45424</v>
      </c>
      <c r="E351" s="21" t="s">
        <v>44</v>
      </c>
      <c r="F351" s="19" t="s">
        <v>45</v>
      </c>
      <c r="G351" s="19" t="s">
        <v>46</v>
      </c>
      <c r="H351" s="19">
        <v>3.5</v>
      </c>
      <c r="I351" s="41">
        <v>402.5</v>
      </c>
      <c r="J351" s="42"/>
      <c r="K351" s="43"/>
      <c r="L351" s="42"/>
      <c r="M351" s="44"/>
      <c r="N351" s="45"/>
      <c r="O351" s="46">
        <f t="shared" si="204"/>
        <v>402.5</v>
      </c>
      <c r="P351" s="91">
        <f>SUM(O351:O355)</f>
        <v>7598.9014</v>
      </c>
      <c r="Q351" s="91" t="s">
        <v>40</v>
      </c>
      <c r="R351" s="95">
        <f>SUM(1600/32)*H351</f>
        <v>175</v>
      </c>
      <c r="S351" s="95"/>
      <c r="T351" s="88">
        <f>SUM(60.61/32)*H351</f>
        <v>6.62921875</v>
      </c>
      <c r="U351" s="95"/>
      <c r="V351" s="95"/>
      <c r="W351" s="73">
        <f t="shared" si="198"/>
        <v>181.62921875</v>
      </c>
      <c r="X351" s="96">
        <f>SUM(95.82/32)*H351</f>
        <v>10.4803125</v>
      </c>
      <c r="Y351" s="96"/>
      <c r="Z351" s="96"/>
      <c r="AA351" s="75">
        <f t="shared" si="207"/>
        <v>10.4803125</v>
      </c>
      <c r="AB351" s="84">
        <v>7.22</v>
      </c>
      <c r="AC351" s="73">
        <f t="shared" si="208"/>
        <v>75.66785625</v>
      </c>
      <c r="AD351" s="73">
        <f t="shared" si="205"/>
        <v>257.297075</v>
      </c>
      <c r="AE351" s="73">
        <f t="shared" si="206"/>
        <v>145.202925</v>
      </c>
    </row>
    <row r="352" customFormat="1" spans="1:31">
      <c r="A352" s="18"/>
      <c r="B352" s="19"/>
      <c r="C352" s="20">
        <v>240509000006</v>
      </c>
      <c r="D352" s="21">
        <v>45424</v>
      </c>
      <c r="E352" s="21" t="s">
        <v>37</v>
      </c>
      <c r="F352" s="19" t="s">
        <v>38</v>
      </c>
      <c r="G352" s="19" t="s">
        <v>217</v>
      </c>
      <c r="H352" s="19">
        <v>2.5</v>
      </c>
      <c r="I352" s="46"/>
      <c r="J352" s="48">
        <v>60773</v>
      </c>
      <c r="K352" s="43"/>
      <c r="L352" s="49">
        <f t="shared" ref="L352:L357" si="209">SUM(J352/M352)</f>
        <v>1521.98847983972</v>
      </c>
      <c r="M352" s="50">
        <v>39.93</v>
      </c>
      <c r="N352" s="45">
        <v>7.22</v>
      </c>
      <c r="O352" s="46">
        <f t="shared" ref="O352:O357" si="210">SUM(M352*N352)</f>
        <v>288.2946</v>
      </c>
      <c r="P352" s="92"/>
      <c r="Q352" s="92"/>
      <c r="R352" s="95">
        <f>SUM(1600/32)*H352</f>
        <v>125</v>
      </c>
      <c r="S352" s="95"/>
      <c r="T352" s="88">
        <f>SUM(60.61/32)*H352</f>
        <v>4.73515625</v>
      </c>
      <c r="U352" s="95"/>
      <c r="V352" s="95"/>
      <c r="W352" s="73">
        <f t="shared" si="198"/>
        <v>129.73515625</v>
      </c>
      <c r="X352" s="96">
        <f>SUM(95.82/32)*H352</f>
        <v>7.4859375</v>
      </c>
      <c r="Y352" s="96"/>
      <c r="Z352" s="96"/>
      <c r="AA352" s="75">
        <f t="shared" si="207"/>
        <v>7.4859375</v>
      </c>
      <c r="AB352" s="84">
        <v>7.22</v>
      </c>
      <c r="AC352" s="73">
        <f t="shared" si="208"/>
        <v>54.04846875</v>
      </c>
      <c r="AD352" s="73">
        <f t="shared" si="205"/>
        <v>183.783625</v>
      </c>
      <c r="AE352" s="73">
        <f t="shared" si="206"/>
        <v>104.510975</v>
      </c>
    </row>
    <row r="353" customFormat="1" spans="1:31">
      <c r="A353" s="18"/>
      <c r="B353" s="19"/>
      <c r="C353" s="20">
        <v>240509000028</v>
      </c>
      <c r="D353" s="21">
        <v>45424</v>
      </c>
      <c r="E353" s="21" t="s">
        <v>37</v>
      </c>
      <c r="F353" s="19" t="s">
        <v>38</v>
      </c>
      <c r="G353" s="19" t="s">
        <v>217</v>
      </c>
      <c r="H353" s="19">
        <v>2</v>
      </c>
      <c r="I353" s="46"/>
      <c r="J353" s="48">
        <v>48612</v>
      </c>
      <c r="K353" s="43"/>
      <c r="L353" s="49">
        <f t="shared" si="209"/>
        <v>1521.9787100814</v>
      </c>
      <c r="M353" s="50">
        <v>31.94</v>
      </c>
      <c r="N353" s="45">
        <v>7.22</v>
      </c>
      <c r="O353" s="46">
        <f t="shared" si="210"/>
        <v>230.6068</v>
      </c>
      <c r="P353" s="92"/>
      <c r="Q353" s="92"/>
      <c r="R353" s="95">
        <f>SUM(1600/32)*H353</f>
        <v>100</v>
      </c>
      <c r="S353" s="95"/>
      <c r="T353" s="88">
        <f>SUM(60.61/32)*H353</f>
        <v>3.788125</v>
      </c>
      <c r="U353" s="95"/>
      <c r="V353" s="95"/>
      <c r="W353" s="73">
        <f t="shared" si="198"/>
        <v>103.788125</v>
      </c>
      <c r="X353" s="96">
        <f>SUM(95.82/32)*H353</f>
        <v>5.98875</v>
      </c>
      <c r="Y353" s="96"/>
      <c r="Z353" s="96"/>
      <c r="AA353" s="75">
        <f t="shared" si="207"/>
        <v>5.98875</v>
      </c>
      <c r="AB353" s="84">
        <v>7.22</v>
      </c>
      <c r="AC353" s="73">
        <f t="shared" si="208"/>
        <v>43.238775</v>
      </c>
      <c r="AD353" s="73">
        <f t="shared" si="205"/>
        <v>147.0269</v>
      </c>
      <c r="AE353" s="73">
        <f t="shared" si="206"/>
        <v>83.5799</v>
      </c>
    </row>
    <row r="354" customFormat="1" spans="1:31">
      <c r="A354" s="18"/>
      <c r="B354" s="19"/>
      <c r="C354" s="20">
        <v>240509000030</v>
      </c>
      <c r="D354" s="21">
        <v>45424</v>
      </c>
      <c r="E354" s="21" t="s">
        <v>41</v>
      </c>
      <c r="F354" s="19" t="s">
        <v>42</v>
      </c>
      <c r="G354" s="19" t="s">
        <v>306</v>
      </c>
      <c r="H354" s="19">
        <v>43.5</v>
      </c>
      <c r="I354" s="41">
        <v>5872.5</v>
      </c>
      <c r="J354" s="42"/>
      <c r="K354" s="43"/>
      <c r="L354" s="42"/>
      <c r="M354" s="44"/>
      <c r="N354" s="45"/>
      <c r="O354" s="46">
        <f t="shared" ref="O354:O358" si="211">SUM(I354)</f>
        <v>5872.5</v>
      </c>
      <c r="P354" s="92"/>
      <c r="Q354" s="92"/>
      <c r="R354" s="95">
        <f>SUM(1600/32)*H354</f>
        <v>2175</v>
      </c>
      <c r="S354" s="95"/>
      <c r="T354" s="88">
        <f>SUM(60.61/32)*H354</f>
        <v>82.39171875</v>
      </c>
      <c r="U354" s="95"/>
      <c r="V354" s="95"/>
      <c r="W354" s="73">
        <f t="shared" si="198"/>
        <v>2257.39171875</v>
      </c>
      <c r="X354" s="96">
        <f>SUM(95.82/32)*H354</f>
        <v>130.2553125</v>
      </c>
      <c r="Y354" s="96"/>
      <c r="Z354" s="96"/>
      <c r="AA354" s="75">
        <f t="shared" si="207"/>
        <v>130.2553125</v>
      </c>
      <c r="AB354" s="84">
        <v>7.22</v>
      </c>
      <c r="AC354" s="73">
        <f t="shared" si="208"/>
        <v>940.44335625</v>
      </c>
      <c r="AD354" s="73">
        <f t="shared" si="205"/>
        <v>3197.835075</v>
      </c>
      <c r="AE354" s="73">
        <f t="shared" si="206"/>
        <v>2674.664925</v>
      </c>
    </row>
    <row r="355" customFormat="1" spans="1:31">
      <c r="A355" s="18"/>
      <c r="B355" s="19"/>
      <c r="C355" s="20">
        <v>240510000006</v>
      </c>
      <c r="D355" s="21">
        <v>45424</v>
      </c>
      <c r="E355" s="21" t="s">
        <v>54</v>
      </c>
      <c r="F355" s="19" t="s">
        <v>54</v>
      </c>
      <c r="G355" s="19" t="s">
        <v>90</v>
      </c>
      <c r="H355" s="19">
        <v>7</v>
      </c>
      <c r="I355" s="41">
        <v>805</v>
      </c>
      <c r="J355" s="42"/>
      <c r="K355" s="43"/>
      <c r="L355" s="42"/>
      <c r="M355" s="44"/>
      <c r="N355" s="45"/>
      <c r="O355" s="46">
        <f t="shared" si="211"/>
        <v>805</v>
      </c>
      <c r="P355" s="93"/>
      <c r="Q355" s="93"/>
      <c r="R355" s="95">
        <f>SUM(1600/32)*H355</f>
        <v>350</v>
      </c>
      <c r="S355" s="95"/>
      <c r="T355" s="88">
        <f>SUM(60.61/32)*H355</f>
        <v>13.2584375</v>
      </c>
      <c r="U355" s="95"/>
      <c r="V355" s="95"/>
      <c r="W355" s="73">
        <f t="shared" ref="W355:W398" si="212">SUM(R355:V355)</f>
        <v>363.2584375</v>
      </c>
      <c r="X355" s="96">
        <f>SUM(95.82/32)*H355</f>
        <v>20.960625</v>
      </c>
      <c r="Y355" s="96"/>
      <c r="Z355" s="96"/>
      <c r="AA355" s="75">
        <f t="shared" si="207"/>
        <v>20.960625</v>
      </c>
      <c r="AB355" s="84">
        <v>7.22</v>
      </c>
      <c r="AC355" s="73">
        <f t="shared" ref="AC355:AC398" si="213">SUM(AA355*AB355)</f>
        <v>151.3357125</v>
      </c>
      <c r="AD355" s="73">
        <f t="shared" ref="AD355:AD398" si="214">SUM(W355+AC355)</f>
        <v>514.59415</v>
      </c>
      <c r="AE355" s="73">
        <f t="shared" ref="AE355:AE398" si="215">SUM(O355-AD355)</f>
        <v>290.40585</v>
      </c>
    </row>
    <row r="356" customFormat="1" spans="1:31">
      <c r="A356" s="18" t="s">
        <v>307</v>
      </c>
      <c r="B356" s="19" t="s">
        <v>308</v>
      </c>
      <c r="C356" s="20">
        <v>240426000042</v>
      </c>
      <c r="D356" s="21">
        <v>45425</v>
      </c>
      <c r="E356" s="21" t="s">
        <v>41</v>
      </c>
      <c r="F356" s="19" t="s">
        <v>42</v>
      </c>
      <c r="G356" s="19" t="s">
        <v>141</v>
      </c>
      <c r="H356" s="19">
        <v>32</v>
      </c>
      <c r="I356" s="52"/>
      <c r="J356" s="48">
        <v>402752</v>
      </c>
      <c r="K356" s="43"/>
      <c r="L356" s="49">
        <f t="shared" si="209"/>
        <v>1465.67196768441</v>
      </c>
      <c r="M356" s="50">
        <v>274.79</v>
      </c>
      <c r="N356" s="45">
        <v>7.22</v>
      </c>
      <c r="O356" s="52">
        <f t="shared" si="210"/>
        <v>1983.9838</v>
      </c>
      <c r="P356" s="47">
        <f>SUM(O356:O398)</f>
        <v>79713.80997112</v>
      </c>
      <c r="Q356" s="47" t="s">
        <v>59</v>
      </c>
      <c r="R356" s="73">
        <f>SUM(66944.2/1423)*H356</f>
        <v>1505.4212227688</v>
      </c>
      <c r="S356" s="73"/>
      <c r="T356" s="74">
        <f>SUM(130/1423)*H356</f>
        <v>2.92340126493324</v>
      </c>
      <c r="U356" s="73"/>
      <c r="V356" s="73"/>
      <c r="W356" s="73">
        <f t="shared" si="212"/>
        <v>1508.34462403373</v>
      </c>
      <c r="X356" s="75">
        <f>SUM(959.43/1423)*H356</f>
        <v>21.5753759662684</v>
      </c>
      <c r="Y356" s="75"/>
      <c r="Z356" s="75"/>
      <c r="AA356" s="75">
        <f t="shared" ref="AA356:AA398" si="216">SUM(X356:Z356)</f>
        <v>21.5753759662684</v>
      </c>
      <c r="AB356" s="84">
        <v>7.22</v>
      </c>
      <c r="AC356" s="73">
        <f t="shared" si="213"/>
        <v>155.774214476458</v>
      </c>
      <c r="AD356" s="73">
        <f t="shared" si="214"/>
        <v>1664.11883851019</v>
      </c>
      <c r="AE356" s="73">
        <f t="shared" si="215"/>
        <v>319.86496148981</v>
      </c>
    </row>
    <row r="357" customFormat="1" spans="1:31">
      <c r="A357" s="18"/>
      <c r="B357" s="19"/>
      <c r="C357" s="20">
        <v>240503000011</v>
      </c>
      <c r="D357" s="21">
        <v>45425</v>
      </c>
      <c r="E357" s="21" t="s">
        <v>41</v>
      </c>
      <c r="F357" s="19" t="s">
        <v>85</v>
      </c>
      <c r="G357" s="19" t="s">
        <v>86</v>
      </c>
      <c r="H357" s="19">
        <v>0.72</v>
      </c>
      <c r="I357" s="46"/>
      <c r="J357" s="48">
        <v>19595</v>
      </c>
      <c r="K357" s="43"/>
      <c r="L357" s="49">
        <f t="shared" si="209"/>
        <v>1488.98176291793</v>
      </c>
      <c r="M357" s="50">
        <v>13.16</v>
      </c>
      <c r="N357" s="45">
        <v>7.22</v>
      </c>
      <c r="O357" s="46">
        <f t="shared" si="210"/>
        <v>95.0152</v>
      </c>
      <c r="P357" s="51"/>
      <c r="Q357" s="51"/>
      <c r="R357" s="73">
        <f t="shared" ref="R357:R398" si="217">SUM(66944.2/1423)*H357</f>
        <v>33.871977512298</v>
      </c>
      <c r="S357" s="73"/>
      <c r="T357" s="74">
        <f t="shared" ref="T357:T398" si="218">SUM(130/1423)*H357</f>
        <v>0.0657765284609979</v>
      </c>
      <c r="U357" s="73"/>
      <c r="V357" s="73"/>
      <c r="W357" s="73">
        <f t="shared" si="212"/>
        <v>33.937754040759</v>
      </c>
      <c r="X357" s="75">
        <f t="shared" ref="X357:X398" si="219">SUM(959.43/1423)*H357</f>
        <v>0.48544595924104</v>
      </c>
      <c r="Y357" s="75"/>
      <c r="Z357" s="75"/>
      <c r="AA357" s="75">
        <f t="shared" si="216"/>
        <v>0.48544595924104</v>
      </c>
      <c r="AB357" s="84">
        <v>7.22</v>
      </c>
      <c r="AC357" s="73">
        <f t="shared" si="213"/>
        <v>3.50491982572031</v>
      </c>
      <c r="AD357" s="73">
        <f t="shared" si="214"/>
        <v>37.4426738664793</v>
      </c>
      <c r="AE357" s="73">
        <f t="shared" si="215"/>
        <v>57.5725261335207</v>
      </c>
    </row>
    <row r="358" customFormat="1" spans="1:31">
      <c r="A358" s="18"/>
      <c r="B358" s="19"/>
      <c r="C358" s="20">
        <v>240503000016</v>
      </c>
      <c r="D358" s="21">
        <v>45425</v>
      </c>
      <c r="E358" s="21" t="s">
        <v>44</v>
      </c>
      <c r="F358" s="19" t="s">
        <v>45</v>
      </c>
      <c r="G358" s="19" t="s">
        <v>67</v>
      </c>
      <c r="H358" s="19">
        <v>5.5</v>
      </c>
      <c r="I358" s="41">
        <v>419</v>
      </c>
      <c r="J358" s="42"/>
      <c r="K358" s="43"/>
      <c r="L358" s="42"/>
      <c r="M358" s="44"/>
      <c r="N358" s="45"/>
      <c r="O358" s="46">
        <f t="shared" si="211"/>
        <v>419</v>
      </c>
      <c r="P358" s="51"/>
      <c r="Q358" s="51"/>
      <c r="R358" s="73">
        <f t="shared" si="217"/>
        <v>258.744272663387</v>
      </c>
      <c r="S358" s="73"/>
      <c r="T358" s="74">
        <f t="shared" si="218"/>
        <v>0.502459592410401</v>
      </c>
      <c r="U358" s="73"/>
      <c r="V358" s="73"/>
      <c r="W358" s="73">
        <f t="shared" si="212"/>
        <v>259.246732255798</v>
      </c>
      <c r="X358" s="75">
        <f t="shared" si="219"/>
        <v>3.70826774420239</v>
      </c>
      <c r="Y358" s="75">
        <v>9</v>
      </c>
      <c r="Z358" s="75"/>
      <c r="AA358" s="75">
        <f t="shared" si="216"/>
        <v>12.7082677442024</v>
      </c>
      <c r="AB358" s="84">
        <v>7.22</v>
      </c>
      <c r="AC358" s="73">
        <f t="shared" si="213"/>
        <v>91.7536931131413</v>
      </c>
      <c r="AD358" s="73">
        <f t="shared" si="214"/>
        <v>351.000425368939</v>
      </c>
      <c r="AE358" s="73">
        <f t="shared" si="215"/>
        <v>67.9995746310611</v>
      </c>
    </row>
    <row r="359" customFormat="1" spans="1:31">
      <c r="A359" s="18"/>
      <c r="B359" s="19"/>
      <c r="C359" s="20">
        <v>240506000055</v>
      </c>
      <c r="D359" s="21">
        <v>45425</v>
      </c>
      <c r="E359" s="21" t="s">
        <v>47</v>
      </c>
      <c r="F359" s="19" t="s">
        <v>48</v>
      </c>
      <c r="G359" s="19" t="s">
        <v>309</v>
      </c>
      <c r="H359" s="19">
        <v>0.6</v>
      </c>
      <c r="I359" s="52"/>
      <c r="J359" s="48">
        <v>13755.5</v>
      </c>
      <c r="K359" s="43"/>
      <c r="L359" s="49">
        <f>SUM(J359/M359)</f>
        <v>1480.67814854682</v>
      </c>
      <c r="M359" s="50">
        <v>9.29</v>
      </c>
      <c r="N359" s="45">
        <v>7.22</v>
      </c>
      <c r="O359" s="46">
        <f>SUM(M359*N359)</f>
        <v>67.0738</v>
      </c>
      <c r="P359" s="51"/>
      <c r="Q359" s="51"/>
      <c r="R359" s="73">
        <f t="shared" si="217"/>
        <v>28.226647926915</v>
      </c>
      <c r="S359" s="73"/>
      <c r="T359" s="74">
        <f t="shared" si="218"/>
        <v>0.0548137737174982</v>
      </c>
      <c r="U359" s="73"/>
      <c r="V359" s="73"/>
      <c r="W359" s="73">
        <f t="shared" si="212"/>
        <v>28.2814617006325</v>
      </c>
      <c r="X359" s="75">
        <f t="shared" si="219"/>
        <v>0.404538299367533</v>
      </c>
      <c r="Y359" s="75"/>
      <c r="Z359" s="75"/>
      <c r="AA359" s="75">
        <f t="shared" si="216"/>
        <v>0.404538299367533</v>
      </c>
      <c r="AB359" s="84">
        <v>7.22</v>
      </c>
      <c r="AC359" s="73">
        <f t="shared" si="213"/>
        <v>2.92076652143359</v>
      </c>
      <c r="AD359" s="73">
        <f t="shared" si="214"/>
        <v>31.2022282220661</v>
      </c>
      <c r="AE359" s="73">
        <f t="shared" si="215"/>
        <v>35.871571777934</v>
      </c>
    </row>
    <row r="360" customFormat="1" spans="1:31">
      <c r="A360" s="18"/>
      <c r="B360" s="19"/>
      <c r="C360" s="20">
        <v>240506000065</v>
      </c>
      <c r="D360" s="21">
        <v>45425</v>
      </c>
      <c r="E360" s="21" t="s">
        <v>37</v>
      </c>
      <c r="F360" s="19" t="s">
        <v>38</v>
      </c>
      <c r="G360" s="19" t="s">
        <v>180</v>
      </c>
      <c r="H360" s="19">
        <v>4</v>
      </c>
      <c r="I360" s="46"/>
      <c r="J360" s="48">
        <v>95369</v>
      </c>
      <c r="K360" s="43"/>
      <c r="L360" s="49">
        <f>SUM(J360/M360)</f>
        <v>1580.00331345262</v>
      </c>
      <c r="M360" s="50">
        <v>60.36</v>
      </c>
      <c r="N360" s="45">
        <v>7.22</v>
      </c>
      <c r="O360" s="46">
        <f>SUM(M360*N360)</f>
        <v>435.7992</v>
      </c>
      <c r="P360" s="51"/>
      <c r="Q360" s="51"/>
      <c r="R360" s="73">
        <f t="shared" si="217"/>
        <v>188.1776528461</v>
      </c>
      <c r="S360" s="73"/>
      <c r="T360" s="74">
        <f t="shared" si="218"/>
        <v>0.365425158116655</v>
      </c>
      <c r="U360" s="74">
        <v>108</v>
      </c>
      <c r="V360" s="73"/>
      <c r="W360" s="73">
        <f t="shared" si="212"/>
        <v>296.543078004216</v>
      </c>
      <c r="X360" s="75">
        <f t="shared" si="219"/>
        <v>2.69692199578356</v>
      </c>
      <c r="Y360" s="75"/>
      <c r="Z360" s="75"/>
      <c r="AA360" s="75">
        <f t="shared" si="216"/>
        <v>2.69692199578356</v>
      </c>
      <c r="AB360" s="84">
        <v>7.22</v>
      </c>
      <c r="AC360" s="73">
        <f t="shared" si="213"/>
        <v>19.4717768095573</v>
      </c>
      <c r="AD360" s="73">
        <f t="shared" si="214"/>
        <v>316.014854813774</v>
      </c>
      <c r="AE360" s="73">
        <f t="shared" si="215"/>
        <v>119.784345186226</v>
      </c>
    </row>
    <row r="361" customFormat="1" spans="1:31">
      <c r="A361" s="18"/>
      <c r="B361" s="19"/>
      <c r="C361" s="20">
        <v>240507000006</v>
      </c>
      <c r="D361" s="21">
        <v>45425</v>
      </c>
      <c r="E361" s="21" t="s">
        <v>37</v>
      </c>
      <c r="F361" s="19" t="s">
        <v>38</v>
      </c>
      <c r="G361" s="19" t="s">
        <v>295</v>
      </c>
      <c r="H361" s="19">
        <v>16.5</v>
      </c>
      <c r="I361" s="41">
        <v>1164</v>
      </c>
      <c r="J361" s="42"/>
      <c r="K361" s="43"/>
      <c r="L361" s="42"/>
      <c r="M361" s="44"/>
      <c r="N361" s="45"/>
      <c r="O361" s="46">
        <f t="shared" ref="O361:O365" si="220">SUM(I361)</f>
        <v>1164</v>
      </c>
      <c r="P361" s="51"/>
      <c r="Q361" s="51"/>
      <c r="R361" s="73">
        <f t="shared" si="217"/>
        <v>776.232817990162</v>
      </c>
      <c r="S361" s="73"/>
      <c r="T361" s="74">
        <f t="shared" si="218"/>
        <v>1.5073787772312</v>
      </c>
      <c r="U361" s="73">
        <v>50</v>
      </c>
      <c r="V361" s="73"/>
      <c r="W361" s="73">
        <f t="shared" si="212"/>
        <v>827.740196767393</v>
      </c>
      <c r="X361" s="75">
        <f t="shared" si="219"/>
        <v>11.1248032326072</v>
      </c>
      <c r="Y361" s="75"/>
      <c r="Z361" s="75"/>
      <c r="AA361" s="75">
        <f t="shared" si="216"/>
        <v>11.1248032326072</v>
      </c>
      <c r="AB361" s="84">
        <v>7.22</v>
      </c>
      <c r="AC361" s="73">
        <f t="shared" si="213"/>
        <v>80.3210793394237</v>
      </c>
      <c r="AD361" s="73">
        <f t="shared" si="214"/>
        <v>908.061276106817</v>
      </c>
      <c r="AE361" s="73">
        <f t="shared" si="215"/>
        <v>255.938723893183</v>
      </c>
    </row>
    <row r="362" customFormat="1" spans="1:31">
      <c r="A362" s="18"/>
      <c r="B362" s="19"/>
      <c r="C362" s="20">
        <v>240507000010</v>
      </c>
      <c r="D362" s="21">
        <v>45425</v>
      </c>
      <c r="E362" s="21" t="s">
        <v>41</v>
      </c>
      <c r="F362" s="19" t="s">
        <v>42</v>
      </c>
      <c r="G362" s="19" t="s">
        <v>194</v>
      </c>
      <c r="H362" s="19">
        <v>2.5</v>
      </c>
      <c r="I362" s="41">
        <v>145</v>
      </c>
      <c r="J362" s="42"/>
      <c r="K362" s="43"/>
      <c r="L362" s="42"/>
      <c r="M362" s="44"/>
      <c r="N362" s="45"/>
      <c r="O362" s="46">
        <f t="shared" si="220"/>
        <v>145</v>
      </c>
      <c r="P362" s="51"/>
      <c r="Q362" s="51"/>
      <c r="R362" s="73">
        <f t="shared" si="217"/>
        <v>117.611033028812</v>
      </c>
      <c r="S362" s="73"/>
      <c r="T362" s="74">
        <f t="shared" si="218"/>
        <v>0.228390723822909</v>
      </c>
      <c r="U362" s="73"/>
      <c r="V362" s="73"/>
      <c r="W362" s="73">
        <f t="shared" si="212"/>
        <v>117.839423752635</v>
      </c>
      <c r="X362" s="75">
        <f t="shared" si="219"/>
        <v>1.68557624736472</v>
      </c>
      <c r="Y362" s="75"/>
      <c r="Z362" s="75"/>
      <c r="AA362" s="75">
        <f t="shared" si="216"/>
        <v>1.68557624736472</v>
      </c>
      <c r="AB362" s="84">
        <v>7.22</v>
      </c>
      <c r="AC362" s="73">
        <f t="shared" si="213"/>
        <v>12.1698605059733</v>
      </c>
      <c r="AD362" s="73">
        <f t="shared" si="214"/>
        <v>130.009284258609</v>
      </c>
      <c r="AE362" s="73">
        <f t="shared" si="215"/>
        <v>14.9907157413914</v>
      </c>
    </row>
    <row r="363" customFormat="1" spans="1:31">
      <c r="A363" s="18"/>
      <c r="B363" s="19"/>
      <c r="C363" s="20">
        <v>240507000013</v>
      </c>
      <c r="D363" s="21">
        <v>45425</v>
      </c>
      <c r="E363" s="21" t="s">
        <v>41</v>
      </c>
      <c r="F363" s="19" t="s">
        <v>42</v>
      </c>
      <c r="G363" s="19" t="s">
        <v>310</v>
      </c>
      <c r="H363" s="19">
        <v>0.62</v>
      </c>
      <c r="I363" s="41">
        <v>97.6</v>
      </c>
      <c r="J363" s="42"/>
      <c r="K363" s="43"/>
      <c r="L363" s="42"/>
      <c r="M363" s="44"/>
      <c r="N363" s="45"/>
      <c r="O363" s="46">
        <f t="shared" si="220"/>
        <v>97.6</v>
      </c>
      <c r="P363" s="51"/>
      <c r="Q363" s="51"/>
      <c r="R363" s="73">
        <f t="shared" si="217"/>
        <v>29.1675361911455</v>
      </c>
      <c r="S363" s="73"/>
      <c r="T363" s="74">
        <f t="shared" si="218"/>
        <v>0.0566408995080815</v>
      </c>
      <c r="U363" s="73"/>
      <c r="V363" s="73"/>
      <c r="W363" s="73">
        <f t="shared" si="212"/>
        <v>29.2241770906535</v>
      </c>
      <c r="X363" s="75">
        <f t="shared" si="219"/>
        <v>0.418022909346451</v>
      </c>
      <c r="Y363" s="75"/>
      <c r="Z363" s="75"/>
      <c r="AA363" s="75">
        <f t="shared" si="216"/>
        <v>0.418022909346451</v>
      </c>
      <c r="AB363" s="84">
        <v>7.22</v>
      </c>
      <c r="AC363" s="73">
        <f t="shared" si="213"/>
        <v>3.01812540548138</v>
      </c>
      <c r="AD363" s="73">
        <f t="shared" si="214"/>
        <v>32.2423024961349</v>
      </c>
      <c r="AE363" s="73">
        <f t="shared" si="215"/>
        <v>65.3576975038651</v>
      </c>
    </row>
    <row r="364" customFormat="1" spans="1:31">
      <c r="A364" s="18"/>
      <c r="B364" s="19"/>
      <c r="C364" s="20">
        <v>240507000018</v>
      </c>
      <c r="D364" s="21">
        <v>45425</v>
      </c>
      <c r="E364" s="21" t="s">
        <v>41</v>
      </c>
      <c r="F364" s="19" t="s">
        <v>42</v>
      </c>
      <c r="G364" s="19" t="s">
        <v>260</v>
      </c>
      <c r="H364" s="19">
        <v>2.5</v>
      </c>
      <c r="I364" s="41">
        <v>137.5</v>
      </c>
      <c r="J364" s="42"/>
      <c r="K364" s="43"/>
      <c r="L364" s="42"/>
      <c r="M364" s="44"/>
      <c r="N364" s="45"/>
      <c r="O364" s="46">
        <f t="shared" si="220"/>
        <v>137.5</v>
      </c>
      <c r="P364" s="51"/>
      <c r="Q364" s="51"/>
      <c r="R364" s="73">
        <f t="shared" si="217"/>
        <v>117.611033028812</v>
      </c>
      <c r="S364" s="73"/>
      <c r="T364" s="74">
        <f t="shared" si="218"/>
        <v>0.228390723822909</v>
      </c>
      <c r="U364" s="74">
        <v>26</v>
      </c>
      <c r="V364" s="73"/>
      <c r="W364" s="73">
        <f t="shared" si="212"/>
        <v>143.839423752635</v>
      </c>
      <c r="X364" s="75">
        <f t="shared" si="219"/>
        <v>1.68557624736472</v>
      </c>
      <c r="Y364" s="75"/>
      <c r="Z364" s="75"/>
      <c r="AA364" s="75">
        <f t="shared" si="216"/>
        <v>1.68557624736472</v>
      </c>
      <c r="AB364" s="84">
        <v>7.22</v>
      </c>
      <c r="AC364" s="73">
        <f t="shared" si="213"/>
        <v>12.1698605059733</v>
      </c>
      <c r="AD364" s="73">
        <f t="shared" si="214"/>
        <v>156.009284258609</v>
      </c>
      <c r="AE364" s="73">
        <f t="shared" si="215"/>
        <v>-18.5092842586086</v>
      </c>
    </row>
    <row r="365" customFormat="1" spans="1:31">
      <c r="A365" s="18"/>
      <c r="B365" s="19"/>
      <c r="C365" s="20">
        <v>240507000021</v>
      </c>
      <c r="D365" s="21">
        <v>45425</v>
      </c>
      <c r="E365" s="21" t="s">
        <v>44</v>
      </c>
      <c r="F365" s="19" t="s">
        <v>45</v>
      </c>
      <c r="G365" s="19" t="s">
        <v>311</v>
      </c>
      <c r="H365" s="19">
        <v>2.5</v>
      </c>
      <c r="I365" s="41">
        <v>207.2</v>
      </c>
      <c r="J365" s="42"/>
      <c r="K365" s="43"/>
      <c r="L365" s="42"/>
      <c r="M365" s="44"/>
      <c r="N365" s="45"/>
      <c r="O365" s="46">
        <f t="shared" si="220"/>
        <v>207.2</v>
      </c>
      <c r="P365" s="51"/>
      <c r="Q365" s="51"/>
      <c r="R365" s="73">
        <f t="shared" si="217"/>
        <v>117.611033028812</v>
      </c>
      <c r="S365" s="73"/>
      <c r="T365" s="74">
        <f t="shared" si="218"/>
        <v>0.228390723822909</v>
      </c>
      <c r="U365" s="73"/>
      <c r="V365" s="73"/>
      <c r="W365" s="73">
        <f t="shared" si="212"/>
        <v>117.839423752635</v>
      </c>
      <c r="X365" s="75">
        <f t="shared" si="219"/>
        <v>1.68557624736472</v>
      </c>
      <c r="Y365" s="75"/>
      <c r="Z365" s="75"/>
      <c r="AA365" s="75">
        <f t="shared" si="216"/>
        <v>1.68557624736472</v>
      </c>
      <c r="AB365" s="84">
        <v>7.22</v>
      </c>
      <c r="AC365" s="73">
        <f t="shared" si="213"/>
        <v>12.1698605059733</v>
      </c>
      <c r="AD365" s="73">
        <f t="shared" si="214"/>
        <v>130.009284258609</v>
      </c>
      <c r="AE365" s="73">
        <f t="shared" si="215"/>
        <v>77.1907157413914</v>
      </c>
    </row>
    <row r="366" customFormat="1" spans="1:31">
      <c r="A366" s="18"/>
      <c r="B366" s="19"/>
      <c r="C366" s="20">
        <v>240507000023</v>
      </c>
      <c r="D366" s="21">
        <v>45425</v>
      </c>
      <c r="E366" s="21" t="s">
        <v>44</v>
      </c>
      <c r="F366" s="19" t="s">
        <v>45</v>
      </c>
      <c r="G366" s="19" t="s">
        <v>312</v>
      </c>
      <c r="H366" s="19">
        <v>0.75</v>
      </c>
      <c r="I366" s="52"/>
      <c r="J366" s="48">
        <v>18617.2</v>
      </c>
      <c r="K366" s="43"/>
      <c r="L366" s="49">
        <f t="shared" ref="L366:L371" si="221">SUM(J366/M366)</f>
        <v>1575.05922165821</v>
      </c>
      <c r="M366" s="50">
        <v>11.82</v>
      </c>
      <c r="N366" s="45">
        <v>7.22</v>
      </c>
      <c r="O366" s="46">
        <f t="shared" ref="O366:O371" si="222">SUM(M366*N366)</f>
        <v>85.3404</v>
      </c>
      <c r="P366" s="51"/>
      <c r="Q366" s="51"/>
      <c r="R366" s="73">
        <f t="shared" si="217"/>
        <v>35.2833099086437</v>
      </c>
      <c r="S366" s="73"/>
      <c r="T366" s="74">
        <f t="shared" si="218"/>
        <v>0.0685172171468728</v>
      </c>
      <c r="U366" s="73"/>
      <c r="V366" s="73"/>
      <c r="W366" s="73">
        <f t="shared" si="212"/>
        <v>35.3518271257906</v>
      </c>
      <c r="X366" s="75">
        <f t="shared" si="219"/>
        <v>0.505672874209417</v>
      </c>
      <c r="Y366" s="75"/>
      <c r="Z366" s="75"/>
      <c r="AA366" s="75">
        <f t="shared" si="216"/>
        <v>0.505672874209417</v>
      </c>
      <c r="AB366" s="84">
        <v>7.22</v>
      </c>
      <c r="AC366" s="73">
        <f t="shared" si="213"/>
        <v>3.65095815179199</v>
      </c>
      <c r="AD366" s="73">
        <f t="shared" si="214"/>
        <v>39.0027852775826</v>
      </c>
      <c r="AE366" s="73">
        <f t="shared" si="215"/>
        <v>46.3376147224174</v>
      </c>
    </row>
    <row r="367" customFormat="1" spans="1:31">
      <c r="A367" s="18"/>
      <c r="B367" s="19"/>
      <c r="C367" s="20">
        <v>240507000027</v>
      </c>
      <c r="D367" s="21">
        <v>45425</v>
      </c>
      <c r="E367" s="21" t="s">
        <v>44</v>
      </c>
      <c r="F367" s="19" t="s">
        <v>45</v>
      </c>
      <c r="G367" s="19" t="s">
        <v>313</v>
      </c>
      <c r="H367" s="19">
        <v>11.5</v>
      </c>
      <c r="I367" s="46"/>
      <c r="J367" s="48">
        <v>155472</v>
      </c>
      <c r="K367" s="43"/>
      <c r="L367" s="49">
        <f t="shared" si="221"/>
        <v>1580.00009634147</v>
      </c>
      <c r="M367" s="50">
        <v>98.399994</v>
      </c>
      <c r="N367" s="45">
        <v>7.22</v>
      </c>
      <c r="O367" s="46">
        <f t="shared" si="222"/>
        <v>710.44795668</v>
      </c>
      <c r="P367" s="51"/>
      <c r="Q367" s="51"/>
      <c r="R367" s="73">
        <f t="shared" si="217"/>
        <v>541.010751932537</v>
      </c>
      <c r="S367" s="73"/>
      <c r="T367" s="74">
        <f t="shared" si="218"/>
        <v>1.05059732958538</v>
      </c>
      <c r="U367" s="73"/>
      <c r="V367" s="73"/>
      <c r="W367" s="73">
        <f t="shared" si="212"/>
        <v>542.061349262122</v>
      </c>
      <c r="X367" s="75">
        <f t="shared" si="219"/>
        <v>7.75365073787772</v>
      </c>
      <c r="Y367" s="75"/>
      <c r="Z367" s="75"/>
      <c r="AA367" s="75">
        <f t="shared" si="216"/>
        <v>7.75365073787772</v>
      </c>
      <c r="AB367" s="84">
        <v>7.22</v>
      </c>
      <c r="AC367" s="73">
        <f t="shared" si="213"/>
        <v>55.9813583274772</v>
      </c>
      <c r="AD367" s="73">
        <f t="shared" si="214"/>
        <v>598.042707589599</v>
      </c>
      <c r="AE367" s="73">
        <f t="shared" si="215"/>
        <v>112.405249090401</v>
      </c>
    </row>
    <row r="368" customFormat="1" spans="1:31">
      <c r="A368" s="18"/>
      <c r="B368" s="19"/>
      <c r="C368" s="20">
        <v>240507000032</v>
      </c>
      <c r="D368" s="21">
        <v>45425</v>
      </c>
      <c r="E368" s="21" t="s">
        <v>44</v>
      </c>
      <c r="F368" s="19" t="s">
        <v>127</v>
      </c>
      <c r="G368" s="19" t="s">
        <v>128</v>
      </c>
      <c r="H368" s="19">
        <v>4</v>
      </c>
      <c r="I368" s="41">
        <v>258.5</v>
      </c>
      <c r="J368" s="42"/>
      <c r="K368" s="43"/>
      <c r="L368" s="42"/>
      <c r="M368" s="44"/>
      <c r="N368" s="45"/>
      <c r="O368" s="46">
        <f t="shared" ref="O368:O370" si="223">SUM(I368)</f>
        <v>258.5</v>
      </c>
      <c r="P368" s="51"/>
      <c r="Q368" s="51"/>
      <c r="R368" s="73">
        <f t="shared" si="217"/>
        <v>188.1776528461</v>
      </c>
      <c r="S368" s="73"/>
      <c r="T368" s="74">
        <f t="shared" si="218"/>
        <v>0.365425158116655</v>
      </c>
      <c r="U368" s="73"/>
      <c r="V368" s="73"/>
      <c r="W368" s="73">
        <f t="shared" si="212"/>
        <v>188.543078004216</v>
      </c>
      <c r="X368" s="75">
        <f t="shared" si="219"/>
        <v>2.69692199578356</v>
      </c>
      <c r="Y368" s="75"/>
      <c r="Z368" s="75"/>
      <c r="AA368" s="75">
        <f t="shared" si="216"/>
        <v>2.69692199578356</v>
      </c>
      <c r="AB368" s="84">
        <v>7.22</v>
      </c>
      <c r="AC368" s="73">
        <f t="shared" si="213"/>
        <v>19.4717768095573</v>
      </c>
      <c r="AD368" s="73">
        <f t="shared" si="214"/>
        <v>208.014854813774</v>
      </c>
      <c r="AE368" s="73">
        <f t="shared" si="215"/>
        <v>50.4851451862263</v>
      </c>
    </row>
    <row r="369" customFormat="1" spans="1:31">
      <c r="A369" s="18"/>
      <c r="B369" s="19"/>
      <c r="C369" s="20">
        <v>240507000034</v>
      </c>
      <c r="D369" s="21">
        <v>45425</v>
      </c>
      <c r="E369" s="21" t="s">
        <v>54</v>
      </c>
      <c r="F369" s="19" t="s">
        <v>54</v>
      </c>
      <c r="G369" s="19" t="s">
        <v>101</v>
      </c>
      <c r="H369" s="19">
        <v>16</v>
      </c>
      <c r="I369" s="41">
        <v>974.6</v>
      </c>
      <c r="J369" s="42"/>
      <c r="K369" s="43"/>
      <c r="L369" s="42"/>
      <c r="M369" s="44"/>
      <c r="N369" s="45"/>
      <c r="O369" s="46">
        <f t="shared" si="223"/>
        <v>974.6</v>
      </c>
      <c r="P369" s="51"/>
      <c r="Q369" s="51"/>
      <c r="R369" s="73">
        <f t="shared" si="217"/>
        <v>752.710611384399</v>
      </c>
      <c r="S369" s="73"/>
      <c r="T369" s="74">
        <f t="shared" si="218"/>
        <v>1.46170063246662</v>
      </c>
      <c r="U369" s="73"/>
      <c r="V369" s="73"/>
      <c r="W369" s="73">
        <f t="shared" si="212"/>
        <v>754.172312016866</v>
      </c>
      <c r="X369" s="75">
        <f t="shared" si="219"/>
        <v>10.7876879831342</v>
      </c>
      <c r="Y369" s="75"/>
      <c r="Z369" s="75"/>
      <c r="AA369" s="75">
        <f t="shared" si="216"/>
        <v>10.7876879831342</v>
      </c>
      <c r="AB369" s="84">
        <v>7.22</v>
      </c>
      <c r="AC369" s="73">
        <f t="shared" si="213"/>
        <v>77.8871072382291</v>
      </c>
      <c r="AD369" s="73">
        <f t="shared" si="214"/>
        <v>832.059419255095</v>
      </c>
      <c r="AE369" s="73">
        <f t="shared" si="215"/>
        <v>142.540580744905</v>
      </c>
    </row>
    <row r="370" customFormat="1" spans="1:31">
      <c r="A370" s="18"/>
      <c r="B370" s="19"/>
      <c r="C370" s="20">
        <v>240507000037</v>
      </c>
      <c r="D370" s="21">
        <v>45425</v>
      </c>
      <c r="E370" s="21" t="s">
        <v>44</v>
      </c>
      <c r="F370" s="19" t="s">
        <v>45</v>
      </c>
      <c r="G370" s="19" t="s">
        <v>314</v>
      </c>
      <c r="H370" s="19">
        <v>14.5</v>
      </c>
      <c r="I370" s="41">
        <v>964.5</v>
      </c>
      <c r="J370" s="42"/>
      <c r="K370" s="43"/>
      <c r="L370" s="42"/>
      <c r="M370" s="44"/>
      <c r="N370" s="45"/>
      <c r="O370" s="46">
        <f t="shared" si="223"/>
        <v>964.5</v>
      </c>
      <c r="P370" s="51"/>
      <c r="Q370" s="51"/>
      <c r="R370" s="73">
        <f t="shared" si="217"/>
        <v>682.143991567112</v>
      </c>
      <c r="S370" s="73"/>
      <c r="T370" s="74">
        <f t="shared" si="218"/>
        <v>1.32466619817287</v>
      </c>
      <c r="U370" s="73">
        <v>40</v>
      </c>
      <c r="V370" s="73"/>
      <c r="W370" s="73">
        <f t="shared" si="212"/>
        <v>723.468657765285</v>
      </c>
      <c r="X370" s="75">
        <f t="shared" si="219"/>
        <v>9.77634223471539</v>
      </c>
      <c r="Y370" s="75"/>
      <c r="Z370" s="75"/>
      <c r="AA370" s="75">
        <f t="shared" si="216"/>
        <v>9.77634223471539</v>
      </c>
      <c r="AB370" s="84">
        <v>7.22</v>
      </c>
      <c r="AC370" s="73">
        <f t="shared" si="213"/>
        <v>70.5851909346451</v>
      </c>
      <c r="AD370" s="73">
        <f t="shared" si="214"/>
        <v>794.05384869993</v>
      </c>
      <c r="AE370" s="73">
        <f t="shared" si="215"/>
        <v>170.44615130007</v>
      </c>
    </row>
    <row r="371" customFormat="1" spans="1:31">
      <c r="A371" s="18"/>
      <c r="B371" s="19"/>
      <c r="C371" s="20">
        <v>240507000042</v>
      </c>
      <c r="D371" s="21">
        <v>45425</v>
      </c>
      <c r="E371" s="21" t="s">
        <v>47</v>
      </c>
      <c r="F371" s="19" t="s">
        <v>48</v>
      </c>
      <c r="G371" s="19" t="s">
        <v>315</v>
      </c>
      <c r="H371" s="19">
        <v>4</v>
      </c>
      <c r="I371" s="46"/>
      <c r="J371" s="48">
        <v>57180</v>
      </c>
      <c r="K371" s="43"/>
      <c r="L371" s="49">
        <f t="shared" si="221"/>
        <v>1579.99438629487</v>
      </c>
      <c r="M371" s="50">
        <v>36.190002</v>
      </c>
      <c r="N371" s="45">
        <v>7.22</v>
      </c>
      <c r="O371" s="46">
        <f t="shared" si="222"/>
        <v>261.29181444</v>
      </c>
      <c r="P371" s="51"/>
      <c r="Q371" s="51"/>
      <c r="R371" s="73">
        <f t="shared" si="217"/>
        <v>188.1776528461</v>
      </c>
      <c r="S371" s="73"/>
      <c r="T371" s="74">
        <f t="shared" si="218"/>
        <v>0.365425158116655</v>
      </c>
      <c r="U371" s="73"/>
      <c r="V371" s="73"/>
      <c r="W371" s="73">
        <f t="shared" si="212"/>
        <v>188.543078004216</v>
      </c>
      <c r="X371" s="75">
        <f t="shared" si="219"/>
        <v>2.69692199578356</v>
      </c>
      <c r="Y371" s="75"/>
      <c r="Z371" s="75"/>
      <c r="AA371" s="75">
        <f t="shared" si="216"/>
        <v>2.69692199578356</v>
      </c>
      <c r="AB371" s="84">
        <v>7.22</v>
      </c>
      <c r="AC371" s="73">
        <f t="shared" si="213"/>
        <v>19.4717768095573</v>
      </c>
      <c r="AD371" s="73">
        <f t="shared" si="214"/>
        <v>208.014854813774</v>
      </c>
      <c r="AE371" s="73">
        <f t="shared" si="215"/>
        <v>53.2769596262263</v>
      </c>
    </row>
    <row r="372" customFormat="1" spans="1:31">
      <c r="A372" s="18"/>
      <c r="B372" s="19"/>
      <c r="C372" s="20">
        <v>240507000063</v>
      </c>
      <c r="D372" s="21">
        <v>45425</v>
      </c>
      <c r="E372" s="21" t="s">
        <v>44</v>
      </c>
      <c r="F372" s="19" t="s">
        <v>45</v>
      </c>
      <c r="G372" s="19" t="s">
        <v>316</v>
      </c>
      <c r="H372" s="19">
        <v>20</v>
      </c>
      <c r="I372" s="41">
        <v>1348</v>
      </c>
      <c r="J372" s="42"/>
      <c r="K372" s="43"/>
      <c r="L372" s="42"/>
      <c r="M372" s="44"/>
      <c r="N372" s="45"/>
      <c r="O372" s="46">
        <f t="shared" ref="O372:O380" si="224">SUM(I372)</f>
        <v>1348</v>
      </c>
      <c r="P372" s="51"/>
      <c r="Q372" s="51"/>
      <c r="R372" s="73">
        <f t="shared" si="217"/>
        <v>940.888264230499</v>
      </c>
      <c r="S372" s="73"/>
      <c r="T372" s="74">
        <f t="shared" si="218"/>
        <v>1.82712579058327</v>
      </c>
      <c r="U372" s="73"/>
      <c r="V372" s="73"/>
      <c r="W372" s="73">
        <f t="shared" si="212"/>
        <v>942.715390021082</v>
      </c>
      <c r="X372" s="75">
        <f t="shared" si="219"/>
        <v>13.4846099789178</v>
      </c>
      <c r="Y372" s="75"/>
      <c r="Z372" s="75"/>
      <c r="AA372" s="75">
        <f t="shared" si="216"/>
        <v>13.4846099789178</v>
      </c>
      <c r="AB372" s="84">
        <v>7.22</v>
      </c>
      <c r="AC372" s="73">
        <f t="shared" si="213"/>
        <v>97.3588840477863</v>
      </c>
      <c r="AD372" s="73">
        <f t="shared" si="214"/>
        <v>1040.07427406887</v>
      </c>
      <c r="AE372" s="73">
        <f t="shared" si="215"/>
        <v>307.925725931131</v>
      </c>
    </row>
    <row r="373" customFormat="1" spans="1:31">
      <c r="A373" s="18"/>
      <c r="B373" s="19"/>
      <c r="C373" s="20">
        <v>240507000065</v>
      </c>
      <c r="D373" s="21">
        <v>45425</v>
      </c>
      <c r="E373" s="21" t="s">
        <v>157</v>
      </c>
      <c r="F373" s="19" t="s">
        <v>239</v>
      </c>
      <c r="G373" s="19" t="s">
        <v>317</v>
      </c>
      <c r="H373" s="19">
        <v>4</v>
      </c>
      <c r="I373" s="46"/>
      <c r="J373" s="48">
        <v>48989</v>
      </c>
      <c r="K373" s="43"/>
      <c r="L373" s="49">
        <f>SUM(J373/M373)</f>
        <v>1489.0273556231</v>
      </c>
      <c r="M373" s="50">
        <v>32.9</v>
      </c>
      <c r="N373" s="45">
        <v>7.22</v>
      </c>
      <c r="O373" s="46">
        <f>SUM(M373*N373)</f>
        <v>237.538</v>
      </c>
      <c r="P373" s="51"/>
      <c r="Q373" s="51"/>
      <c r="R373" s="73">
        <f t="shared" si="217"/>
        <v>188.1776528461</v>
      </c>
      <c r="S373" s="73"/>
      <c r="T373" s="74">
        <f t="shared" si="218"/>
        <v>0.365425158116655</v>
      </c>
      <c r="U373" s="73"/>
      <c r="V373" s="73"/>
      <c r="W373" s="73">
        <f t="shared" si="212"/>
        <v>188.543078004216</v>
      </c>
      <c r="X373" s="75">
        <f t="shared" si="219"/>
        <v>2.69692199578356</v>
      </c>
      <c r="Y373" s="75"/>
      <c r="Z373" s="75"/>
      <c r="AA373" s="75">
        <f t="shared" si="216"/>
        <v>2.69692199578356</v>
      </c>
      <c r="AB373" s="84">
        <v>7.22</v>
      </c>
      <c r="AC373" s="73">
        <f t="shared" si="213"/>
        <v>19.4717768095573</v>
      </c>
      <c r="AD373" s="73">
        <f t="shared" si="214"/>
        <v>208.014854813774</v>
      </c>
      <c r="AE373" s="73">
        <f t="shared" si="215"/>
        <v>29.5231451862263</v>
      </c>
    </row>
    <row r="374" customFormat="1" spans="1:31">
      <c r="A374" s="18"/>
      <c r="B374" s="19"/>
      <c r="C374" s="20">
        <v>240507000066</v>
      </c>
      <c r="D374" s="21">
        <v>45425</v>
      </c>
      <c r="E374" s="21" t="s">
        <v>37</v>
      </c>
      <c r="F374" s="19" t="s">
        <v>38</v>
      </c>
      <c r="G374" s="19" t="s">
        <v>180</v>
      </c>
      <c r="H374" s="19">
        <v>16.5</v>
      </c>
      <c r="I374" s="46"/>
      <c r="J374" s="48">
        <v>222385</v>
      </c>
      <c r="K374" s="43"/>
      <c r="L374" s="49">
        <f>SUM(J374/M374)</f>
        <v>1580</v>
      </c>
      <c r="M374" s="50">
        <v>140.75</v>
      </c>
      <c r="N374" s="45">
        <v>7.22</v>
      </c>
      <c r="O374" s="46">
        <f>SUM(M374*N374)</f>
        <v>1016.215</v>
      </c>
      <c r="P374" s="51"/>
      <c r="Q374" s="51"/>
      <c r="R374" s="73">
        <f t="shared" si="217"/>
        <v>776.232817990162</v>
      </c>
      <c r="S374" s="73"/>
      <c r="T374" s="74">
        <f t="shared" si="218"/>
        <v>1.5073787772312</v>
      </c>
      <c r="U374" s="73"/>
      <c r="V374" s="73"/>
      <c r="W374" s="73">
        <f t="shared" si="212"/>
        <v>777.740196767393</v>
      </c>
      <c r="X374" s="75">
        <f t="shared" si="219"/>
        <v>11.1248032326072</v>
      </c>
      <c r="Y374" s="75"/>
      <c r="Z374" s="75"/>
      <c r="AA374" s="75">
        <f t="shared" si="216"/>
        <v>11.1248032326072</v>
      </c>
      <c r="AB374" s="84">
        <v>7.22</v>
      </c>
      <c r="AC374" s="73">
        <f t="shared" si="213"/>
        <v>80.3210793394237</v>
      </c>
      <c r="AD374" s="73">
        <f t="shared" si="214"/>
        <v>858.061276106817</v>
      </c>
      <c r="AE374" s="73">
        <f t="shared" si="215"/>
        <v>158.153723893183</v>
      </c>
    </row>
    <row r="375" customFormat="1" spans="1:31">
      <c r="A375" s="18"/>
      <c r="B375" s="19"/>
      <c r="C375" s="20">
        <v>240508000002</v>
      </c>
      <c r="D375" s="21">
        <v>45425</v>
      </c>
      <c r="E375" s="21" t="s">
        <v>37</v>
      </c>
      <c r="F375" s="19" t="s">
        <v>38</v>
      </c>
      <c r="G375" s="19" t="s">
        <v>318</v>
      </c>
      <c r="H375" s="19">
        <v>4.5</v>
      </c>
      <c r="I375" s="90">
        <v>385</v>
      </c>
      <c r="J375" s="42"/>
      <c r="K375" s="43"/>
      <c r="L375" s="42"/>
      <c r="M375" s="44"/>
      <c r="N375" s="45"/>
      <c r="O375" s="46">
        <f>SUBTOTAL(9,I375)</f>
        <v>385</v>
      </c>
      <c r="P375" s="51"/>
      <c r="Q375" s="51"/>
      <c r="R375" s="73">
        <f t="shared" si="217"/>
        <v>211.699859451862</v>
      </c>
      <c r="S375" s="73"/>
      <c r="T375" s="74">
        <f t="shared" si="218"/>
        <v>0.411103302881237</v>
      </c>
      <c r="U375" s="73"/>
      <c r="V375" s="73"/>
      <c r="W375" s="73">
        <f t="shared" si="212"/>
        <v>212.110962754743</v>
      </c>
      <c r="X375" s="75">
        <f t="shared" si="219"/>
        <v>3.0340372452565</v>
      </c>
      <c r="Y375" s="75"/>
      <c r="Z375" s="75"/>
      <c r="AA375" s="75">
        <f t="shared" si="216"/>
        <v>3.0340372452565</v>
      </c>
      <c r="AB375" s="84">
        <v>7.22</v>
      </c>
      <c r="AC375" s="73">
        <f t="shared" si="213"/>
        <v>21.9057489107519</v>
      </c>
      <c r="AD375" s="73">
        <f t="shared" si="214"/>
        <v>234.016711665495</v>
      </c>
      <c r="AE375" s="73">
        <f t="shared" si="215"/>
        <v>150.983288334505</v>
      </c>
    </row>
    <row r="376" customFormat="1" spans="1:31">
      <c r="A376" s="18"/>
      <c r="B376" s="19"/>
      <c r="C376" s="20">
        <v>240508000006</v>
      </c>
      <c r="D376" s="21">
        <v>45425</v>
      </c>
      <c r="E376" s="21" t="s">
        <v>41</v>
      </c>
      <c r="F376" s="19" t="s">
        <v>42</v>
      </c>
      <c r="G376" s="19" t="s">
        <v>291</v>
      </c>
      <c r="H376" s="19">
        <v>2</v>
      </c>
      <c r="I376" s="41">
        <v>110</v>
      </c>
      <c r="J376" s="42"/>
      <c r="K376" s="43"/>
      <c r="L376" s="42"/>
      <c r="M376" s="44"/>
      <c r="N376" s="45"/>
      <c r="O376" s="46">
        <f t="shared" si="224"/>
        <v>110</v>
      </c>
      <c r="P376" s="51"/>
      <c r="Q376" s="51"/>
      <c r="R376" s="73">
        <f t="shared" si="217"/>
        <v>94.0888264230499</v>
      </c>
      <c r="S376" s="73"/>
      <c r="T376" s="74">
        <f t="shared" si="218"/>
        <v>0.182712579058327</v>
      </c>
      <c r="U376" s="73"/>
      <c r="V376" s="73"/>
      <c r="W376" s="73">
        <f t="shared" si="212"/>
        <v>94.2715390021082</v>
      </c>
      <c r="X376" s="75">
        <f t="shared" si="219"/>
        <v>1.34846099789178</v>
      </c>
      <c r="Y376" s="75"/>
      <c r="Z376" s="75"/>
      <c r="AA376" s="75">
        <f t="shared" si="216"/>
        <v>1.34846099789178</v>
      </c>
      <c r="AB376" s="84">
        <v>7.22</v>
      </c>
      <c r="AC376" s="73">
        <f t="shared" si="213"/>
        <v>9.73588840477864</v>
      </c>
      <c r="AD376" s="73">
        <f t="shared" si="214"/>
        <v>104.007427406887</v>
      </c>
      <c r="AE376" s="73">
        <f t="shared" si="215"/>
        <v>5.99257259311314</v>
      </c>
    </row>
    <row r="377" customFormat="1" spans="1:31">
      <c r="A377" s="18"/>
      <c r="B377" s="19"/>
      <c r="C377" s="22">
        <v>240508000007</v>
      </c>
      <c r="D377" s="23">
        <v>45425</v>
      </c>
      <c r="E377" s="21" t="s">
        <v>41</v>
      </c>
      <c r="F377" s="24" t="s">
        <v>42</v>
      </c>
      <c r="G377" s="24" t="s">
        <v>319</v>
      </c>
      <c r="H377" s="24">
        <v>4</v>
      </c>
      <c r="I377" s="41">
        <v>284.9</v>
      </c>
      <c r="J377" s="42"/>
      <c r="K377" s="43"/>
      <c r="L377" s="42"/>
      <c r="M377" s="44"/>
      <c r="N377" s="45"/>
      <c r="O377" s="46">
        <f t="shared" si="224"/>
        <v>284.9</v>
      </c>
      <c r="P377" s="51"/>
      <c r="Q377" s="51"/>
      <c r="R377" s="73">
        <f t="shared" si="217"/>
        <v>188.1776528461</v>
      </c>
      <c r="S377" s="73"/>
      <c r="T377" s="74">
        <f t="shared" si="218"/>
        <v>0.365425158116655</v>
      </c>
      <c r="U377" s="73"/>
      <c r="V377" s="73"/>
      <c r="W377" s="73">
        <f t="shared" si="212"/>
        <v>188.543078004216</v>
      </c>
      <c r="X377" s="75">
        <f t="shared" si="219"/>
        <v>2.69692199578356</v>
      </c>
      <c r="Y377" s="75"/>
      <c r="Z377" s="75"/>
      <c r="AA377" s="75">
        <f t="shared" si="216"/>
        <v>2.69692199578356</v>
      </c>
      <c r="AB377" s="84">
        <v>7.22</v>
      </c>
      <c r="AC377" s="73">
        <f t="shared" si="213"/>
        <v>19.4717768095573</v>
      </c>
      <c r="AD377" s="73">
        <f t="shared" si="214"/>
        <v>208.014854813774</v>
      </c>
      <c r="AE377" s="73">
        <f t="shared" si="215"/>
        <v>76.8851451862263</v>
      </c>
    </row>
    <row r="378" customFormat="1" spans="1:31">
      <c r="A378" s="18"/>
      <c r="B378" s="19"/>
      <c r="C378" s="20">
        <v>240508000010</v>
      </c>
      <c r="D378" s="21">
        <v>45425</v>
      </c>
      <c r="E378" s="21" t="s">
        <v>41</v>
      </c>
      <c r="F378" s="19" t="s">
        <v>42</v>
      </c>
      <c r="G378" s="19" t="s">
        <v>298</v>
      </c>
      <c r="H378" s="19">
        <v>12</v>
      </c>
      <c r="I378" s="41">
        <v>672</v>
      </c>
      <c r="J378" s="42"/>
      <c r="K378" s="43"/>
      <c r="L378" s="42"/>
      <c r="M378" s="44"/>
      <c r="N378" s="45"/>
      <c r="O378" s="46">
        <f t="shared" si="224"/>
        <v>672</v>
      </c>
      <c r="P378" s="51"/>
      <c r="Q378" s="51"/>
      <c r="R378" s="73">
        <f t="shared" si="217"/>
        <v>564.532958538299</v>
      </c>
      <c r="S378" s="73"/>
      <c r="T378" s="74">
        <f t="shared" si="218"/>
        <v>1.09627547434996</v>
      </c>
      <c r="U378" s="73"/>
      <c r="V378" s="73"/>
      <c r="W378" s="73">
        <f t="shared" si="212"/>
        <v>565.629234012649</v>
      </c>
      <c r="X378" s="75">
        <f t="shared" si="219"/>
        <v>8.09076598735067</v>
      </c>
      <c r="Y378" s="75"/>
      <c r="Z378" s="75"/>
      <c r="AA378" s="75">
        <f t="shared" si="216"/>
        <v>8.09076598735067</v>
      </c>
      <c r="AB378" s="84">
        <v>7.22</v>
      </c>
      <c r="AC378" s="73">
        <f t="shared" si="213"/>
        <v>58.4153304286718</v>
      </c>
      <c r="AD378" s="73">
        <f t="shared" si="214"/>
        <v>624.044564441321</v>
      </c>
      <c r="AE378" s="73">
        <f t="shared" si="215"/>
        <v>47.9554355586789</v>
      </c>
    </row>
    <row r="379" customFormat="1" spans="1:31">
      <c r="A379" s="18"/>
      <c r="B379" s="19"/>
      <c r="C379" s="20">
        <v>240508000014</v>
      </c>
      <c r="D379" s="21">
        <v>45425</v>
      </c>
      <c r="E379" s="21" t="s">
        <v>44</v>
      </c>
      <c r="F379" s="19" t="s">
        <v>45</v>
      </c>
      <c r="G379" s="19" t="s">
        <v>320</v>
      </c>
      <c r="H379" s="19">
        <v>11</v>
      </c>
      <c r="I379" s="41">
        <v>744.7</v>
      </c>
      <c r="J379" s="42"/>
      <c r="K379" s="43"/>
      <c r="L379" s="42"/>
      <c r="M379" s="44"/>
      <c r="N379" s="45"/>
      <c r="O379" s="46">
        <f t="shared" si="224"/>
        <v>744.7</v>
      </c>
      <c r="P379" s="51"/>
      <c r="Q379" s="51"/>
      <c r="R379" s="73">
        <f t="shared" si="217"/>
        <v>517.488545326774</v>
      </c>
      <c r="S379" s="73"/>
      <c r="T379" s="74">
        <f t="shared" si="218"/>
        <v>1.0049191848208</v>
      </c>
      <c r="U379" s="73"/>
      <c r="V379" s="73"/>
      <c r="W379" s="73">
        <f t="shared" si="212"/>
        <v>518.493464511595</v>
      </c>
      <c r="X379" s="75">
        <f t="shared" si="219"/>
        <v>7.41653548840478</v>
      </c>
      <c r="Y379" s="75"/>
      <c r="Z379" s="75"/>
      <c r="AA379" s="75">
        <f t="shared" si="216"/>
        <v>7.41653548840478</v>
      </c>
      <c r="AB379" s="84">
        <v>7.22</v>
      </c>
      <c r="AC379" s="73">
        <f t="shared" si="213"/>
        <v>53.5473862262825</v>
      </c>
      <c r="AD379" s="73">
        <f t="shared" si="214"/>
        <v>572.040850737878</v>
      </c>
      <c r="AE379" s="73">
        <f t="shared" si="215"/>
        <v>172.659149262122</v>
      </c>
    </row>
    <row r="380" customFormat="1" spans="1:31">
      <c r="A380" s="18"/>
      <c r="B380" s="19"/>
      <c r="C380" s="20">
        <v>240508000015</v>
      </c>
      <c r="D380" s="21">
        <v>45425</v>
      </c>
      <c r="E380" s="21" t="s">
        <v>37</v>
      </c>
      <c r="F380" s="19" t="s">
        <v>38</v>
      </c>
      <c r="G380" s="19" t="s">
        <v>321</v>
      </c>
      <c r="H380" s="19">
        <v>6</v>
      </c>
      <c r="I380" s="41">
        <v>450</v>
      </c>
      <c r="J380" s="42"/>
      <c r="K380" s="43"/>
      <c r="L380" s="42"/>
      <c r="M380" s="44"/>
      <c r="N380" s="45"/>
      <c r="O380" s="46">
        <f t="shared" si="224"/>
        <v>450</v>
      </c>
      <c r="P380" s="51"/>
      <c r="Q380" s="51"/>
      <c r="R380" s="73">
        <f t="shared" si="217"/>
        <v>282.26647926915</v>
      </c>
      <c r="S380" s="73"/>
      <c r="T380" s="74">
        <f t="shared" si="218"/>
        <v>0.548137737174982</v>
      </c>
      <c r="U380" s="73"/>
      <c r="V380" s="73"/>
      <c r="W380" s="73">
        <f t="shared" si="212"/>
        <v>282.814617006325</v>
      </c>
      <c r="X380" s="75">
        <f t="shared" si="219"/>
        <v>4.04538299367533</v>
      </c>
      <c r="Y380" s="75"/>
      <c r="Z380" s="75"/>
      <c r="AA380" s="75">
        <f t="shared" si="216"/>
        <v>4.04538299367533</v>
      </c>
      <c r="AB380" s="84">
        <v>7.22</v>
      </c>
      <c r="AC380" s="73">
        <f t="shared" si="213"/>
        <v>29.2076652143359</v>
      </c>
      <c r="AD380" s="73">
        <f t="shared" si="214"/>
        <v>312.022282220661</v>
      </c>
      <c r="AE380" s="73">
        <f t="shared" si="215"/>
        <v>137.977717779339</v>
      </c>
    </row>
    <row r="381" customFormat="1" spans="1:31">
      <c r="A381" s="18"/>
      <c r="B381" s="19"/>
      <c r="C381" s="20">
        <v>240508000022</v>
      </c>
      <c r="D381" s="21">
        <v>45425</v>
      </c>
      <c r="E381" s="21" t="s">
        <v>41</v>
      </c>
      <c r="F381" s="19" t="s">
        <v>42</v>
      </c>
      <c r="G381" s="19" t="s">
        <v>58</v>
      </c>
      <c r="H381" s="19">
        <v>2.5</v>
      </c>
      <c r="I381" s="52"/>
      <c r="J381" s="48">
        <v>42476</v>
      </c>
      <c r="K381" s="43"/>
      <c r="L381" s="49">
        <f t="shared" ref="L381:L384" si="225">SUM(J381/M381)</f>
        <v>1480.51585918438</v>
      </c>
      <c r="M381" s="50">
        <v>28.69</v>
      </c>
      <c r="N381" s="45">
        <v>7.22</v>
      </c>
      <c r="O381" s="46">
        <f t="shared" ref="O381:O384" si="226">SUM(M381*N381)</f>
        <v>207.1418</v>
      </c>
      <c r="P381" s="51"/>
      <c r="Q381" s="51"/>
      <c r="R381" s="73">
        <f t="shared" si="217"/>
        <v>117.611033028812</v>
      </c>
      <c r="S381" s="73"/>
      <c r="T381" s="74">
        <f t="shared" si="218"/>
        <v>0.228390723822909</v>
      </c>
      <c r="U381" s="73"/>
      <c r="V381" s="73"/>
      <c r="W381" s="73">
        <f t="shared" si="212"/>
        <v>117.839423752635</v>
      </c>
      <c r="X381" s="75">
        <f t="shared" si="219"/>
        <v>1.68557624736472</v>
      </c>
      <c r="Y381" s="75"/>
      <c r="Z381" s="75"/>
      <c r="AA381" s="75">
        <f t="shared" si="216"/>
        <v>1.68557624736472</v>
      </c>
      <c r="AB381" s="84">
        <v>7.22</v>
      </c>
      <c r="AC381" s="73">
        <f t="shared" si="213"/>
        <v>12.1698605059733</v>
      </c>
      <c r="AD381" s="73">
        <f t="shared" si="214"/>
        <v>130.009284258609</v>
      </c>
      <c r="AE381" s="73">
        <f t="shared" si="215"/>
        <v>77.1325157413914</v>
      </c>
    </row>
    <row r="382" customFormat="1" spans="1:31">
      <c r="A382" s="18"/>
      <c r="B382" s="19"/>
      <c r="C382" s="20">
        <v>240508000024</v>
      </c>
      <c r="D382" s="21">
        <v>45425</v>
      </c>
      <c r="E382" s="21" t="s">
        <v>41</v>
      </c>
      <c r="F382" s="19" t="s">
        <v>42</v>
      </c>
      <c r="G382" s="19" t="s">
        <v>270</v>
      </c>
      <c r="H382" s="19">
        <v>12.5</v>
      </c>
      <c r="I382" s="41">
        <v>900</v>
      </c>
      <c r="J382" s="42"/>
      <c r="K382" s="43"/>
      <c r="L382" s="42"/>
      <c r="M382" s="44"/>
      <c r="N382" s="45"/>
      <c r="O382" s="46">
        <f t="shared" ref="O382:O386" si="227">SUM(I382)</f>
        <v>900</v>
      </c>
      <c r="P382" s="51"/>
      <c r="Q382" s="51"/>
      <c r="R382" s="73">
        <f t="shared" si="217"/>
        <v>588.055165144062</v>
      </c>
      <c r="S382" s="73"/>
      <c r="T382" s="74">
        <f t="shared" si="218"/>
        <v>1.14195361911455</v>
      </c>
      <c r="U382" s="73"/>
      <c r="V382" s="73"/>
      <c r="W382" s="73">
        <f t="shared" si="212"/>
        <v>589.197118763176</v>
      </c>
      <c r="X382" s="75">
        <f t="shared" si="219"/>
        <v>8.42788123682361</v>
      </c>
      <c r="Y382" s="75"/>
      <c r="Z382" s="75"/>
      <c r="AA382" s="75">
        <f t="shared" si="216"/>
        <v>8.42788123682361</v>
      </c>
      <c r="AB382" s="84">
        <v>7.22</v>
      </c>
      <c r="AC382" s="73">
        <f t="shared" si="213"/>
        <v>60.8493025298665</v>
      </c>
      <c r="AD382" s="73">
        <f t="shared" si="214"/>
        <v>650.046421293043</v>
      </c>
      <c r="AE382" s="73">
        <f t="shared" si="215"/>
        <v>249.953578706957</v>
      </c>
    </row>
    <row r="383" customFormat="1" spans="1:31">
      <c r="A383" s="18"/>
      <c r="B383" s="19"/>
      <c r="C383" s="20">
        <v>240508000041</v>
      </c>
      <c r="D383" s="21">
        <v>45425</v>
      </c>
      <c r="E383" s="21" t="s">
        <v>37</v>
      </c>
      <c r="F383" s="19" t="s">
        <v>38</v>
      </c>
      <c r="G383" s="19" t="s">
        <v>322</v>
      </c>
      <c r="H383" s="19">
        <v>3.5</v>
      </c>
      <c r="I383" s="46"/>
      <c r="J383" s="48">
        <v>55300</v>
      </c>
      <c r="K383" s="43"/>
      <c r="L383" s="49">
        <f t="shared" si="225"/>
        <v>1580</v>
      </c>
      <c r="M383" s="50">
        <v>35</v>
      </c>
      <c r="N383" s="45">
        <v>7.22</v>
      </c>
      <c r="O383" s="46">
        <f t="shared" si="226"/>
        <v>252.7</v>
      </c>
      <c r="P383" s="51"/>
      <c r="Q383" s="51"/>
      <c r="R383" s="73">
        <f t="shared" si="217"/>
        <v>164.655446240337</v>
      </c>
      <c r="S383" s="73"/>
      <c r="T383" s="74">
        <f t="shared" si="218"/>
        <v>0.319747013352073</v>
      </c>
      <c r="U383" s="73"/>
      <c r="V383" s="73"/>
      <c r="W383" s="73">
        <f t="shared" si="212"/>
        <v>164.975193253689</v>
      </c>
      <c r="X383" s="75">
        <f t="shared" si="219"/>
        <v>2.35980674631061</v>
      </c>
      <c r="Y383" s="75"/>
      <c r="Z383" s="75"/>
      <c r="AA383" s="75">
        <f t="shared" si="216"/>
        <v>2.35980674631061</v>
      </c>
      <c r="AB383" s="84">
        <v>7.22</v>
      </c>
      <c r="AC383" s="73">
        <f t="shared" si="213"/>
        <v>17.0378047083626</v>
      </c>
      <c r="AD383" s="73">
        <f t="shared" si="214"/>
        <v>182.012997962052</v>
      </c>
      <c r="AE383" s="73">
        <f t="shared" si="215"/>
        <v>70.687002037948</v>
      </c>
    </row>
    <row r="384" customFormat="1" spans="1:31">
      <c r="A384" s="18"/>
      <c r="B384" s="19"/>
      <c r="C384" s="20">
        <v>240509000002</v>
      </c>
      <c r="D384" s="21">
        <v>45425</v>
      </c>
      <c r="E384" s="21" t="s">
        <v>41</v>
      </c>
      <c r="F384" s="19" t="s">
        <v>323</v>
      </c>
      <c r="G384" s="19" t="s">
        <v>323</v>
      </c>
      <c r="H384" s="19">
        <v>16.5</v>
      </c>
      <c r="I384" s="46"/>
      <c r="J384" s="48">
        <v>248012</v>
      </c>
      <c r="K384" s="43"/>
      <c r="L384" s="49">
        <f t="shared" si="225"/>
        <v>1579.99617761356</v>
      </c>
      <c r="M384" s="50">
        <v>156.97</v>
      </c>
      <c r="N384" s="45">
        <v>7.22</v>
      </c>
      <c r="O384" s="46">
        <f t="shared" si="226"/>
        <v>1133.3234</v>
      </c>
      <c r="P384" s="51"/>
      <c r="Q384" s="51"/>
      <c r="R384" s="73">
        <f t="shared" si="217"/>
        <v>776.232817990162</v>
      </c>
      <c r="S384" s="73"/>
      <c r="T384" s="74">
        <f t="shared" si="218"/>
        <v>1.5073787772312</v>
      </c>
      <c r="U384" s="73"/>
      <c r="V384" s="73"/>
      <c r="W384" s="73">
        <f t="shared" si="212"/>
        <v>777.740196767393</v>
      </c>
      <c r="X384" s="75">
        <f t="shared" si="219"/>
        <v>11.1248032326072</v>
      </c>
      <c r="Y384" s="75"/>
      <c r="Z384" s="75"/>
      <c r="AA384" s="75">
        <f t="shared" si="216"/>
        <v>11.1248032326072</v>
      </c>
      <c r="AB384" s="84">
        <v>7.22</v>
      </c>
      <c r="AC384" s="73">
        <f t="shared" si="213"/>
        <v>80.3210793394237</v>
      </c>
      <c r="AD384" s="73">
        <f t="shared" si="214"/>
        <v>858.061276106817</v>
      </c>
      <c r="AE384" s="73">
        <f t="shared" si="215"/>
        <v>275.262123893183</v>
      </c>
    </row>
    <row r="385" customFormat="1" spans="1:31">
      <c r="A385" s="18"/>
      <c r="B385" s="19"/>
      <c r="C385" s="20">
        <v>240509000013</v>
      </c>
      <c r="D385" s="21">
        <v>45425</v>
      </c>
      <c r="E385" s="21" t="s">
        <v>41</v>
      </c>
      <c r="F385" s="19" t="s">
        <v>42</v>
      </c>
      <c r="G385" s="19" t="s">
        <v>260</v>
      </c>
      <c r="H385" s="19">
        <v>6</v>
      </c>
      <c r="I385" s="41">
        <v>330</v>
      </c>
      <c r="J385" s="42"/>
      <c r="K385" s="43"/>
      <c r="L385" s="42"/>
      <c r="M385" s="44"/>
      <c r="N385" s="45"/>
      <c r="O385" s="46">
        <f t="shared" si="227"/>
        <v>330</v>
      </c>
      <c r="P385" s="51"/>
      <c r="Q385" s="51"/>
      <c r="R385" s="73">
        <f t="shared" si="217"/>
        <v>282.26647926915</v>
      </c>
      <c r="S385" s="73"/>
      <c r="T385" s="74">
        <f t="shared" si="218"/>
        <v>0.548137737174982</v>
      </c>
      <c r="U385" s="73"/>
      <c r="V385" s="73"/>
      <c r="W385" s="73">
        <f t="shared" si="212"/>
        <v>282.814617006325</v>
      </c>
      <c r="X385" s="75">
        <f t="shared" si="219"/>
        <v>4.04538299367533</v>
      </c>
      <c r="Y385" s="75"/>
      <c r="Z385" s="75"/>
      <c r="AA385" s="75">
        <f t="shared" si="216"/>
        <v>4.04538299367533</v>
      </c>
      <c r="AB385" s="84">
        <v>7.22</v>
      </c>
      <c r="AC385" s="73">
        <f t="shared" si="213"/>
        <v>29.2076652143359</v>
      </c>
      <c r="AD385" s="73">
        <f t="shared" si="214"/>
        <v>312.022282220661</v>
      </c>
      <c r="AE385" s="73">
        <f t="shared" si="215"/>
        <v>17.9777177793395</v>
      </c>
    </row>
    <row r="386" customFormat="1" spans="1:31">
      <c r="A386" s="18"/>
      <c r="B386" s="19"/>
      <c r="C386" s="20">
        <v>240509000015</v>
      </c>
      <c r="D386" s="21">
        <v>45425</v>
      </c>
      <c r="E386" s="21" t="s">
        <v>47</v>
      </c>
      <c r="F386" s="19" t="s">
        <v>48</v>
      </c>
      <c r="G386" s="19" t="s">
        <v>49</v>
      </c>
      <c r="H386" s="19">
        <v>0.68</v>
      </c>
      <c r="I386" s="41">
        <v>73.7</v>
      </c>
      <c r="J386" s="42"/>
      <c r="K386" s="43"/>
      <c r="L386" s="42"/>
      <c r="M386" s="44"/>
      <c r="N386" s="45"/>
      <c r="O386" s="46">
        <f t="shared" si="227"/>
        <v>73.7</v>
      </c>
      <c r="P386" s="51"/>
      <c r="Q386" s="51"/>
      <c r="R386" s="73">
        <f t="shared" si="217"/>
        <v>31.990200983837</v>
      </c>
      <c r="S386" s="73"/>
      <c r="T386" s="74">
        <f t="shared" si="218"/>
        <v>0.0621222768798313</v>
      </c>
      <c r="U386" s="73"/>
      <c r="V386" s="73"/>
      <c r="W386" s="73">
        <f t="shared" si="212"/>
        <v>32.0523232607168</v>
      </c>
      <c r="X386" s="75">
        <f t="shared" si="219"/>
        <v>0.458476739283204</v>
      </c>
      <c r="Y386" s="75"/>
      <c r="Z386" s="75"/>
      <c r="AA386" s="75">
        <f t="shared" si="216"/>
        <v>0.458476739283204</v>
      </c>
      <c r="AB386" s="84">
        <v>7.22</v>
      </c>
      <c r="AC386" s="73">
        <f t="shared" si="213"/>
        <v>3.31020205762474</v>
      </c>
      <c r="AD386" s="73">
        <f t="shared" si="214"/>
        <v>35.3625253183415</v>
      </c>
      <c r="AE386" s="73">
        <f t="shared" si="215"/>
        <v>38.3374746816585</v>
      </c>
    </row>
    <row r="387" customFormat="1" spans="1:31">
      <c r="A387" s="18"/>
      <c r="B387" s="19"/>
      <c r="C387" s="20">
        <v>240509000018</v>
      </c>
      <c r="D387" s="21">
        <v>45425</v>
      </c>
      <c r="E387" s="21" t="s">
        <v>41</v>
      </c>
      <c r="F387" s="19" t="s">
        <v>42</v>
      </c>
      <c r="G387" s="19" t="s">
        <v>77</v>
      </c>
      <c r="H387" s="19">
        <v>2.5</v>
      </c>
      <c r="I387" s="52"/>
      <c r="J387" s="48">
        <v>45169.5</v>
      </c>
      <c r="K387" s="43"/>
      <c r="L387" s="49">
        <f>SUM(J387/M387)</f>
        <v>1574.39874520739</v>
      </c>
      <c r="M387" s="50">
        <v>28.69</v>
      </c>
      <c r="N387" s="45">
        <v>7.22</v>
      </c>
      <c r="O387" s="46">
        <f>SUM(M387*N387)</f>
        <v>207.1418</v>
      </c>
      <c r="P387" s="51"/>
      <c r="Q387" s="51"/>
      <c r="R387" s="73">
        <f t="shared" si="217"/>
        <v>117.611033028812</v>
      </c>
      <c r="S387" s="73"/>
      <c r="T387" s="74">
        <f t="shared" si="218"/>
        <v>0.228390723822909</v>
      </c>
      <c r="U387" s="73"/>
      <c r="V387" s="73"/>
      <c r="W387" s="73">
        <f t="shared" si="212"/>
        <v>117.839423752635</v>
      </c>
      <c r="X387" s="75">
        <f t="shared" si="219"/>
        <v>1.68557624736472</v>
      </c>
      <c r="Y387" s="75"/>
      <c r="Z387" s="75"/>
      <c r="AA387" s="75">
        <f t="shared" si="216"/>
        <v>1.68557624736472</v>
      </c>
      <c r="AB387" s="84">
        <v>7.22</v>
      </c>
      <c r="AC387" s="73">
        <f t="shared" si="213"/>
        <v>12.1698605059733</v>
      </c>
      <c r="AD387" s="73">
        <f t="shared" si="214"/>
        <v>130.009284258609</v>
      </c>
      <c r="AE387" s="73">
        <f t="shared" si="215"/>
        <v>77.1325157413914</v>
      </c>
    </row>
    <row r="388" customFormat="1" spans="1:31">
      <c r="A388" s="18"/>
      <c r="B388" s="19"/>
      <c r="C388" s="20">
        <v>240509000019</v>
      </c>
      <c r="D388" s="21">
        <v>45425</v>
      </c>
      <c r="E388" s="21" t="s">
        <v>47</v>
      </c>
      <c r="F388" s="19" t="s">
        <v>48</v>
      </c>
      <c r="G388" s="19" t="s">
        <v>324</v>
      </c>
      <c r="H388" s="19">
        <v>0.87</v>
      </c>
      <c r="I388" s="41">
        <v>74</v>
      </c>
      <c r="J388" s="42"/>
      <c r="K388" s="43"/>
      <c r="L388" s="42"/>
      <c r="M388" s="44"/>
      <c r="N388" s="45"/>
      <c r="O388" s="46">
        <f t="shared" ref="O388:O391" si="228">SUM(I388)</f>
        <v>74</v>
      </c>
      <c r="P388" s="51"/>
      <c r="Q388" s="51"/>
      <c r="R388" s="73">
        <f t="shared" si="217"/>
        <v>40.9286394940267</v>
      </c>
      <c r="S388" s="73"/>
      <c r="T388" s="74">
        <f t="shared" si="218"/>
        <v>0.0794799718903725</v>
      </c>
      <c r="U388" s="73"/>
      <c r="V388" s="73"/>
      <c r="W388" s="73">
        <f t="shared" si="212"/>
        <v>41.0081194659171</v>
      </c>
      <c r="X388" s="75">
        <f t="shared" si="219"/>
        <v>0.586580534082923</v>
      </c>
      <c r="Y388" s="75"/>
      <c r="Z388" s="75"/>
      <c r="AA388" s="75">
        <f t="shared" si="216"/>
        <v>0.586580534082923</v>
      </c>
      <c r="AB388" s="84">
        <v>7.22</v>
      </c>
      <c r="AC388" s="73">
        <f t="shared" si="213"/>
        <v>4.23511145607871</v>
      </c>
      <c r="AD388" s="73">
        <f t="shared" si="214"/>
        <v>45.2432309219958</v>
      </c>
      <c r="AE388" s="73">
        <f t="shared" si="215"/>
        <v>28.7567690780042</v>
      </c>
    </row>
    <row r="389" customFormat="1" spans="1:31">
      <c r="A389" s="18"/>
      <c r="B389" s="19"/>
      <c r="C389" s="20">
        <v>240509000024</v>
      </c>
      <c r="D389" s="21">
        <v>45425</v>
      </c>
      <c r="E389" s="21" t="s">
        <v>54</v>
      </c>
      <c r="F389" s="19" t="s">
        <v>54</v>
      </c>
      <c r="G389" s="19" t="s">
        <v>55</v>
      </c>
      <c r="H389" s="19">
        <v>11</v>
      </c>
      <c r="I389" s="52">
        <v>744.7</v>
      </c>
      <c r="J389" s="42"/>
      <c r="K389" s="43"/>
      <c r="L389" s="42"/>
      <c r="M389" s="44"/>
      <c r="N389" s="45"/>
      <c r="O389" s="46">
        <f t="shared" si="228"/>
        <v>744.7</v>
      </c>
      <c r="P389" s="51"/>
      <c r="Q389" s="51"/>
      <c r="R389" s="73">
        <f t="shared" si="217"/>
        <v>517.488545326774</v>
      </c>
      <c r="S389" s="73"/>
      <c r="T389" s="74">
        <f t="shared" si="218"/>
        <v>1.0049191848208</v>
      </c>
      <c r="U389" s="73"/>
      <c r="V389" s="73"/>
      <c r="W389" s="73">
        <f t="shared" si="212"/>
        <v>518.493464511595</v>
      </c>
      <c r="X389" s="75">
        <f t="shared" si="219"/>
        <v>7.41653548840478</v>
      </c>
      <c r="Y389" s="75"/>
      <c r="Z389" s="75"/>
      <c r="AA389" s="75">
        <f t="shared" si="216"/>
        <v>7.41653548840478</v>
      </c>
      <c r="AB389" s="84">
        <v>7.22</v>
      </c>
      <c r="AC389" s="73">
        <f t="shared" si="213"/>
        <v>53.5473862262825</v>
      </c>
      <c r="AD389" s="73">
        <f t="shared" si="214"/>
        <v>572.040850737878</v>
      </c>
      <c r="AE389" s="73">
        <f t="shared" si="215"/>
        <v>172.659149262122</v>
      </c>
    </row>
    <row r="390" customFormat="1" spans="1:31">
      <c r="A390" s="18"/>
      <c r="B390" s="19"/>
      <c r="C390" s="20">
        <v>240509000025</v>
      </c>
      <c r="D390" s="21">
        <v>45425</v>
      </c>
      <c r="E390" s="21" t="s">
        <v>44</v>
      </c>
      <c r="F390" s="19" t="s">
        <v>45</v>
      </c>
      <c r="G390" s="19" t="s">
        <v>273</v>
      </c>
      <c r="H390" s="19">
        <v>18</v>
      </c>
      <c r="I390" s="41">
        <v>1576</v>
      </c>
      <c r="J390" s="42"/>
      <c r="K390" s="43"/>
      <c r="L390" s="42"/>
      <c r="M390" s="44"/>
      <c r="N390" s="45"/>
      <c r="O390" s="46">
        <f t="shared" si="228"/>
        <v>1576</v>
      </c>
      <c r="P390" s="51"/>
      <c r="Q390" s="51"/>
      <c r="R390" s="73">
        <f t="shared" si="217"/>
        <v>846.799437807449</v>
      </c>
      <c r="S390" s="73"/>
      <c r="T390" s="74">
        <f t="shared" si="218"/>
        <v>1.64441321152495</v>
      </c>
      <c r="U390" s="73"/>
      <c r="V390" s="73"/>
      <c r="W390" s="73">
        <f t="shared" si="212"/>
        <v>848.443851018974</v>
      </c>
      <c r="X390" s="75">
        <f t="shared" si="219"/>
        <v>12.136148981026</v>
      </c>
      <c r="Y390" s="75"/>
      <c r="Z390" s="75"/>
      <c r="AA390" s="75">
        <f t="shared" si="216"/>
        <v>12.136148981026</v>
      </c>
      <c r="AB390" s="84">
        <v>7.22</v>
      </c>
      <c r="AC390" s="73">
        <f t="shared" si="213"/>
        <v>87.6229956430077</v>
      </c>
      <c r="AD390" s="73">
        <f t="shared" si="214"/>
        <v>936.066846661982</v>
      </c>
      <c r="AE390" s="73">
        <f t="shared" si="215"/>
        <v>639.933153338018</v>
      </c>
    </row>
    <row r="391" customFormat="1" spans="1:31">
      <c r="A391" s="18"/>
      <c r="B391" s="19"/>
      <c r="C391" s="20">
        <v>240510000008</v>
      </c>
      <c r="D391" s="21">
        <v>45425</v>
      </c>
      <c r="E391" s="21" t="s">
        <v>54</v>
      </c>
      <c r="F391" s="19" t="s">
        <v>54</v>
      </c>
      <c r="G391" s="19" t="s">
        <v>90</v>
      </c>
      <c r="H391" s="19">
        <v>336.5</v>
      </c>
      <c r="I391" s="41">
        <v>18726</v>
      </c>
      <c r="J391" s="42"/>
      <c r="K391" s="43"/>
      <c r="L391" s="42"/>
      <c r="M391" s="44"/>
      <c r="N391" s="45"/>
      <c r="O391" s="46">
        <f t="shared" si="228"/>
        <v>18726</v>
      </c>
      <c r="P391" s="51"/>
      <c r="Q391" s="51"/>
      <c r="R391" s="73">
        <f t="shared" si="217"/>
        <v>15830.4450456781</v>
      </c>
      <c r="S391" s="73"/>
      <c r="T391" s="74">
        <f t="shared" si="218"/>
        <v>30.7413914265636</v>
      </c>
      <c r="U391" s="73"/>
      <c r="V391" s="73"/>
      <c r="W391" s="73">
        <f t="shared" si="212"/>
        <v>15861.1864371047</v>
      </c>
      <c r="X391" s="75">
        <f t="shared" si="219"/>
        <v>226.878562895292</v>
      </c>
      <c r="Y391" s="75"/>
      <c r="Z391" s="75"/>
      <c r="AA391" s="75">
        <f t="shared" si="216"/>
        <v>226.878562895292</v>
      </c>
      <c r="AB391" s="84">
        <v>7.22</v>
      </c>
      <c r="AC391" s="73">
        <f t="shared" si="213"/>
        <v>1638.06322410401</v>
      </c>
      <c r="AD391" s="73">
        <f t="shared" si="214"/>
        <v>17499.2496612087</v>
      </c>
      <c r="AE391" s="73">
        <f t="shared" si="215"/>
        <v>1226.75033879129</v>
      </c>
    </row>
    <row r="392" customFormat="1" spans="1:31">
      <c r="A392" s="18"/>
      <c r="B392" s="19"/>
      <c r="C392" s="20">
        <v>240510000009</v>
      </c>
      <c r="D392" s="21">
        <v>45425</v>
      </c>
      <c r="E392" s="21" t="s">
        <v>47</v>
      </c>
      <c r="F392" s="19" t="s">
        <v>48</v>
      </c>
      <c r="G392" s="19" t="s">
        <v>135</v>
      </c>
      <c r="H392" s="19">
        <v>20</v>
      </c>
      <c r="I392" s="46"/>
      <c r="J392" s="48">
        <v>258992.8</v>
      </c>
      <c r="K392" s="43"/>
      <c r="L392" s="49">
        <f>SUM(J392/M392)</f>
        <v>1520</v>
      </c>
      <c r="M392" s="50">
        <v>170.39</v>
      </c>
      <c r="N392" s="45">
        <v>7.22</v>
      </c>
      <c r="O392" s="46">
        <f>SUM(M392*N392)</f>
        <v>1230.2158</v>
      </c>
      <c r="P392" s="51"/>
      <c r="Q392" s="51"/>
      <c r="R392" s="73">
        <f t="shared" si="217"/>
        <v>940.888264230499</v>
      </c>
      <c r="S392" s="73"/>
      <c r="T392" s="74">
        <f t="shared" si="218"/>
        <v>1.82712579058327</v>
      </c>
      <c r="U392" s="73"/>
      <c r="V392" s="73"/>
      <c r="W392" s="73">
        <f t="shared" si="212"/>
        <v>942.715390021082</v>
      </c>
      <c r="X392" s="75">
        <f t="shared" si="219"/>
        <v>13.4846099789178</v>
      </c>
      <c r="Y392" s="75"/>
      <c r="Z392" s="75"/>
      <c r="AA392" s="75">
        <f t="shared" si="216"/>
        <v>13.4846099789178</v>
      </c>
      <c r="AB392" s="84">
        <v>7.22</v>
      </c>
      <c r="AC392" s="73">
        <f t="shared" si="213"/>
        <v>97.3588840477863</v>
      </c>
      <c r="AD392" s="73">
        <f t="shared" si="214"/>
        <v>1040.07427406887</v>
      </c>
      <c r="AE392" s="73">
        <f t="shared" si="215"/>
        <v>190.141525931131</v>
      </c>
    </row>
    <row r="393" customFormat="1" spans="1:31">
      <c r="A393" s="18"/>
      <c r="B393" s="19"/>
      <c r="C393" s="20">
        <v>240510000015</v>
      </c>
      <c r="D393" s="21">
        <v>45425</v>
      </c>
      <c r="E393" s="21" t="s">
        <v>41</v>
      </c>
      <c r="F393" s="19" t="s">
        <v>42</v>
      </c>
      <c r="G393" s="19" t="s">
        <v>87</v>
      </c>
      <c r="H393" s="19">
        <v>18.5</v>
      </c>
      <c r="I393" s="52"/>
      <c r="J393" s="48">
        <v>349650</v>
      </c>
      <c r="K393" s="43"/>
      <c r="L393" s="49">
        <f>SUM(J393/M393)</f>
        <v>1516.26192541197</v>
      </c>
      <c r="M393" s="50">
        <v>230.6</v>
      </c>
      <c r="N393" s="45">
        <v>7.22</v>
      </c>
      <c r="O393" s="46">
        <f>SUM(M393*N393)</f>
        <v>1664.932</v>
      </c>
      <c r="P393" s="51"/>
      <c r="Q393" s="51"/>
      <c r="R393" s="73">
        <f t="shared" si="217"/>
        <v>870.321644413212</v>
      </c>
      <c r="S393" s="73"/>
      <c r="T393" s="74">
        <f t="shared" si="218"/>
        <v>1.69009135628953</v>
      </c>
      <c r="U393" s="73"/>
      <c r="V393" s="73"/>
      <c r="W393" s="73">
        <f t="shared" si="212"/>
        <v>872.011735769501</v>
      </c>
      <c r="X393" s="75">
        <f t="shared" si="219"/>
        <v>12.4732642304989</v>
      </c>
      <c r="Y393" s="75"/>
      <c r="Z393" s="75"/>
      <c r="AA393" s="75">
        <f t="shared" si="216"/>
        <v>12.4732642304989</v>
      </c>
      <c r="AB393" s="84">
        <v>7.22</v>
      </c>
      <c r="AC393" s="73">
        <f t="shared" si="213"/>
        <v>90.0569677442024</v>
      </c>
      <c r="AD393" s="73">
        <f t="shared" si="214"/>
        <v>962.068703513703</v>
      </c>
      <c r="AE393" s="73">
        <f t="shared" si="215"/>
        <v>702.863296486297</v>
      </c>
    </row>
    <row r="394" customFormat="1" spans="1:31">
      <c r="A394" s="18"/>
      <c r="B394" s="19"/>
      <c r="C394" s="20">
        <v>240510000017</v>
      </c>
      <c r="D394" s="21">
        <v>45425</v>
      </c>
      <c r="E394" s="21" t="s">
        <v>41</v>
      </c>
      <c r="F394" s="19" t="s">
        <v>42</v>
      </c>
      <c r="G394" s="19" t="s">
        <v>325</v>
      </c>
      <c r="H394" s="19">
        <v>4.5</v>
      </c>
      <c r="I394" s="41">
        <v>315</v>
      </c>
      <c r="J394" s="42"/>
      <c r="K394" s="43"/>
      <c r="L394" s="42"/>
      <c r="M394" s="44"/>
      <c r="N394" s="45"/>
      <c r="O394" s="46">
        <f t="shared" ref="O394:O403" si="229">SUM(I394)</f>
        <v>315</v>
      </c>
      <c r="P394" s="51"/>
      <c r="Q394" s="51"/>
      <c r="R394" s="73">
        <f t="shared" si="217"/>
        <v>211.699859451862</v>
      </c>
      <c r="S394" s="73"/>
      <c r="T394" s="74">
        <f t="shared" si="218"/>
        <v>0.411103302881237</v>
      </c>
      <c r="U394" s="73"/>
      <c r="V394" s="73"/>
      <c r="W394" s="73">
        <f t="shared" si="212"/>
        <v>212.110962754743</v>
      </c>
      <c r="X394" s="75">
        <f t="shared" si="219"/>
        <v>3.0340372452565</v>
      </c>
      <c r="Y394" s="75"/>
      <c r="Z394" s="75"/>
      <c r="AA394" s="75">
        <f t="shared" si="216"/>
        <v>3.0340372452565</v>
      </c>
      <c r="AB394" s="84">
        <v>7.22</v>
      </c>
      <c r="AC394" s="73">
        <f t="shared" si="213"/>
        <v>21.9057489107519</v>
      </c>
      <c r="AD394" s="73">
        <f t="shared" si="214"/>
        <v>234.016711665495</v>
      </c>
      <c r="AE394" s="73">
        <f t="shared" si="215"/>
        <v>80.9832883345046</v>
      </c>
    </row>
    <row r="395" customFormat="1" spans="1:31">
      <c r="A395" s="18"/>
      <c r="B395" s="19"/>
      <c r="C395" s="20">
        <v>240510000019</v>
      </c>
      <c r="D395" s="21">
        <v>45425</v>
      </c>
      <c r="E395" s="21" t="s">
        <v>47</v>
      </c>
      <c r="F395" s="19" t="s">
        <v>48</v>
      </c>
      <c r="G395" s="19" t="s">
        <v>326</v>
      </c>
      <c r="H395" s="19">
        <v>0.92</v>
      </c>
      <c r="I395" s="41">
        <v>67</v>
      </c>
      <c r="J395" s="42"/>
      <c r="K395" s="43"/>
      <c r="L395" s="42"/>
      <c r="M395" s="44"/>
      <c r="N395" s="45"/>
      <c r="O395" s="46">
        <f t="shared" si="229"/>
        <v>67</v>
      </c>
      <c r="P395" s="51"/>
      <c r="Q395" s="51"/>
      <c r="R395" s="73">
        <f t="shared" si="217"/>
        <v>43.280860154603</v>
      </c>
      <c r="S395" s="73"/>
      <c r="T395" s="74">
        <f t="shared" si="218"/>
        <v>0.0840477863668306</v>
      </c>
      <c r="U395" s="73"/>
      <c r="V395" s="73"/>
      <c r="W395" s="73">
        <f t="shared" si="212"/>
        <v>43.3649079409698</v>
      </c>
      <c r="X395" s="75">
        <f t="shared" si="219"/>
        <v>0.620292059030218</v>
      </c>
      <c r="Y395" s="75"/>
      <c r="Z395" s="75"/>
      <c r="AA395" s="75">
        <f t="shared" si="216"/>
        <v>0.620292059030218</v>
      </c>
      <c r="AB395" s="84">
        <v>7.22</v>
      </c>
      <c r="AC395" s="73">
        <f t="shared" si="213"/>
        <v>4.47850866619817</v>
      </c>
      <c r="AD395" s="73">
        <f t="shared" si="214"/>
        <v>47.843416607168</v>
      </c>
      <c r="AE395" s="73">
        <f t="shared" si="215"/>
        <v>19.156583392832</v>
      </c>
    </row>
    <row r="396" customFormat="1" spans="1:31">
      <c r="A396" s="18"/>
      <c r="B396" s="19"/>
      <c r="C396" s="20">
        <v>240510000032</v>
      </c>
      <c r="D396" s="21">
        <v>45425</v>
      </c>
      <c r="E396" s="21" t="s">
        <v>37</v>
      </c>
      <c r="F396" s="19" t="s">
        <v>38</v>
      </c>
      <c r="G396" s="19" t="s">
        <v>143</v>
      </c>
      <c r="H396" s="19">
        <v>1.5</v>
      </c>
      <c r="I396" s="41">
        <v>99</v>
      </c>
      <c r="J396" s="42"/>
      <c r="K396" s="43"/>
      <c r="L396" s="42"/>
      <c r="M396" s="44"/>
      <c r="N396" s="45"/>
      <c r="O396" s="46">
        <f t="shared" si="229"/>
        <v>99</v>
      </c>
      <c r="P396" s="51"/>
      <c r="Q396" s="51"/>
      <c r="R396" s="73">
        <f t="shared" si="217"/>
        <v>70.5666198172874</v>
      </c>
      <c r="S396" s="73"/>
      <c r="T396" s="74">
        <f t="shared" si="218"/>
        <v>0.137034434293746</v>
      </c>
      <c r="U396" s="73"/>
      <c r="V396" s="73"/>
      <c r="W396" s="73">
        <f t="shared" si="212"/>
        <v>70.7036542515812</v>
      </c>
      <c r="X396" s="75">
        <f t="shared" si="219"/>
        <v>1.01134574841883</v>
      </c>
      <c r="Y396" s="75"/>
      <c r="Z396" s="75"/>
      <c r="AA396" s="75">
        <f t="shared" si="216"/>
        <v>1.01134574841883</v>
      </c>
      <c r="AB396" s="84">
        <v>7.22</v>
      </c>
      <c r="AC396" s="73">
        <f t="shared" si="213"/>
        <v>7.30191630358398</v>
      </c>
      <c r="AD396" s="73">
        <f t="shared" si="214"/>
        <v>78.0055705551651</v>
      </c>
      <c r="AE396" s="73">
        <f t="shared" si="215"/>
        <v>20.9944294448349</v>
      </c>
    </row>
    <row r="397" customFormat="1" spans="1:31">
      <c r="A397" s="18"/>
      <c r="B397" s="19"/>
      <c r="C397" s="20">
        <v>240510000037</v>
      </c>
      <c r="D397" s="21">
        <v>45425</v>
      </c>
      <c r="E397" s="21" t="s">
        <v>44</v>
      </c>
      <c r="F397" s="19" t="s">
        <v>45</v>
      </c>
      <c r="G397" s="19" t="s">
        <v>46</v>
      </c>
      <c r="H397" s="19">
        <v>1.5</v>
      </c>
      <c r="I397" s="41">
        <v>99</v>
      </c>
      <c r="J397" s="42"/>
      <c r="K397" s="43"/>
      <c r="L397" s="42"/>
      <c r="M397" s="44"/>
      <c r="N397" s="45"/>
      <c r="O397" s="46">
        <f t="shared" si="229"/>
        <v>99</v>
      </c>
      <c r="P397" s="51"/>
      <c r="Q397" s="51"/>
      <c r="R397" s="73">
        <f t="shared" si="217"/>
        <v>70.5666198172874</v>
      </c>
      <c r="S397" s="73"/>
      <c r="T397" s="74">
        <f t="shared" si="218"/>
        <v>0.137034434293746</v>
      </c>
      <c r="U397" s="73"/>
      <c r="V397" s="73"/>
      <c r="W397" s="73">
        <f t="shared" si="212"/>
        <v>70.7036542515812</v>
      </c>
      <c r="X397" s="75">
        <f t="shared" si="219"/>
        <v>1.01134574841883</v>
      </c>
      <c r="Y397" s="75"/>
      <c r="Z397" s="75"/>
      <c r="AA397" s="75">
        <f t="shared" si="216"/>
        <v>1.01134574841883</v>
      </c>
      <c r="AB397" s="84">
        <v>7.22</v>
      </c>
      <c r="AC397" s="73">
        <f t="shared" ref="AC397:AC404" si="230">SUM(AA397*AB397)</f>
        <v>7.30191630358398</v>
      </c>
      <c r="AD397" s="73">
        <f t="shared" ref="AD397:AD404" si="231">SUM(W397+AC397)</f>
        <v>78.0055705551651</v>
      </c>
      <c r="AE397" s="73">
        <f t="shared" ref="AE397:AE404" si="232">SUM(O397-AD397)</f>
        <v>20.9944294448349</v>
      </c>
    </row>
    <row r="398" customFormat="1" spans="1:31">
      <c r="A398" s="18"/>
      <c r="B398" s="19"/>
      <c r="C398" s="20">
        <v>240510000040</v>
      </c>
      <c r="D398" s="21">
        <v>45425</v>
      </c>
      <c r="E398" s="21" t="s">
        <v>54</v>
      </c>
      <c r="F398" s="19" t="s">
        <v>54</v>
      </c>
      <c r="G398" s="19" t="s">
        <v>92</v>
      </c>
      <c r="H398" s="19">
        <v>767.5</v>
      </c>
      <c r="I398" s="41">
        <v>38758.75</v>
      </c>
      <c r="J398" s="42"/>
      <c r="K398" s="43"/>
      <c r="L398" s="42"/>
      <c r="M398" s="44"/>
      <c r="N398" s="45"/>
      <c r="O398" s="46">
        <f t="shared" si="229"/>
        <v>38758.75</v>
      </c>
      <c r="P398" s="53"/>
      <c r="Q398" s="53"/>
      <c r="R398" s="73">
        <f t="shared" si="217"/>
        <v>36106.5871398454</v>
      </c>
      <c r="S398" s="73"/>
      <c r="T398" s="74">
        <f t="shared" si="218"/>
        <v>70.1159522136332</v>
      </c>
      <c r="U398" s="73"/>
      <c r="V398" s="73"/>
      <c r="W398" s="73">
        <f t="shared" ref="W398:W404" si="233">SUM(R398:V398)</f>
        <v>36176.703092059</v>
      </c>
      <c r="X398" s="75">
        <f t="shared" si="219"/>
        <v>517.47190794097</v>
      </c>
      <c r="Y398" s="75"/>
      <c r="Z398" s="75"/>
      <c r="AA398" s="75">
        <f t="shared" ref="AA398:AA404" si="234">SUM(X398:Z398)</f>
        <v>517.47190794097</v>
      </c>
      <c r="AB398" s="84">
        <v>7.22</v>
      </c>
      <c r="AC398" s="73">
        <f t="shared" si="230"/>
        <v>3736.1471753338</v>
      </c>
      <c r="AD398" s="73">
        <f t="shared" si="231"/>
        <v>39912.8502673928</v>
      </c>
      <c r="AE398" s="73">
        <f t="shared" si="232"/>
        <v>-1154.10026739284</v>
      </c>
    </row>
    <row r="399" customFormat="1" spans="1:31">
      <c r="A399" s="18" t="s">
        <v>327</v>
      </c>
      <c r="B399" s="19" t="s">
        <v>328</v>
      </c>
      <c r="C399" s="20">
        <v>240509000023</v>
      </c>
      <c r="D399" s="21">
        <v>45426</v>
      </c>
      <c r="E399" s="21" t="s">
        <v>44</v>
      </c>
      <c r="F399" s="19" t="s">
        <v>45</v>
      </c>
      <c r="G399" s="19" t="s">
        <v>46</v>
      </c>
      <c r="H399" s="19">
        <v>6.5</v>
      </c>
      <c r="I399" s="41">
        <v>747</v>
      </c>
      <c r="J399" s="42"/>
      <c r="K399" s="43"/>
      <c r="L399" s="42"/>
      <c r="M399" s="44"/>
      <c r="N399" s="45"/>
      <c r="O399" s="46">
        <f t="shared" si="229"/>
        <v>747</v>
      </c>
      <c r="P399" s="47">
        <f>SUM(O399:O404)</f>
        <v>6701.9958</v>
      </c>
      <c r="Q399" s="47" t="s">
        <v>40</v>
      </c>
      <c r="R399" s="73">
        <f t="shared" ref="R399:R404" si="235">SUM(3200/64)*H399</f>
        <v>325</v>
      </c>
      <c r="S399" s="73"/>
      <c r="T399" s="74">
        <f t="shared" ref="T399:T404" si="236">SUM(60.61/64)*H399</f>
        <v>6.155703125</v>
      </c>
      <c r="U399" s="73"/>
      <c r="V399" s="73"/>
      <c r="W399" s="73">
        <f t="shared" si="233"/>
        <v>331.155703125</v>
      </c>
      <c r="X399" s="75">
        <f t="shared" ref="X399:X404" si="237">SUM(122.67/64)*H399</f>
        <v>12.458671875</v>
      </c>
      <c r="Y399" s="75"/>
      <c r="Z399" s="75"/>
      <c r="AA399" s="75">
        <f t="shared" si="234"/>
        <v>12.458671875</v>
      </c>
      <c r="AB399" s="84">
        <v>7.22</v>
      </c>
      <c r="AC399" s="73">
        <f t="shared" si="230"/>
        <v>89.9516109375</v>
      </c>
      <c r="AD399" s="73">
        <f t="shared" si="231"/>
        <v>421.1073140625</v>
      </c>
      <c r="AE399" s="73">
        <f t="shared" si="232"/>
        <v>325.8926859375</v>
      </c>
    </row>
    <row r="400" customFormat="1" spans="1:31">
      <c r="A400" s="18"/>
      <c r="B400" s="19"/>
      <c r="C400" s="20">
        <v>240510000035</v>
      </c>
      <c r="D400" s="21">
        <v>45426</v>
      </c>
      <c r="E400" s="21" t="s">
        <v>44</v>
      </c>
      <c r="F400" s="19" t="s">
        <v>45</v>
      </c>
      <c r="G400" s="19" t="s">
        <v>329</v>
      </c>
      <c r="H400" s="19">
        <v>2.5</v>
      </c>
      <c r="I400" s="41">
        <v>287.5</v>
      </c>
      <c r="J400" s="42"/>
      <c r="K400" s="43"/>
      <c r="L400" s="42"/>
      <c r="M400" s="44"/>
      <c r="N400" s="45"/>
      <c r="O400" s="46">
        <f t="shared" si="229"/>
        <v>287.5</v>
      </c>
      <c r="P400" s="51"/>
      <c r="Q400" s="51"/>
      <c r="R400" s="73">
        <f t="shared" si="235"/>
        <v>125</v>
      </c>
      <c r="S400" s="73"/>
      <c r="T400" s="74">
        <f t="shared" si="236"/>
        <v>2.367578125</v>
      </c>
      <c r="U400" s="73"/>
      <c r="V400" s="73"/>
      <c r="W400" s="73">
        <f t="shared" si="233"/>
        <v>127.367578125</v>
      </c>
      <c r="X400" s="75">
        <f t="shared" si="237"/>
        <v>4.791796875</v>
      </c>
      <c r="Y400" s="75"/>
      <c r="Z400" s="75"/>
      <c r="AA400" s="75">
        <f t="shared" si="234"/>
        <v>4.791796875</v>
      </c>
      <c r="AB400" s="84">
        <v>7.22</v>
      </c>
      <c r="AC400" s="73">
        <f t="shared" si="230"/>
        <v>34.5967734375</v>
      </c>
      <c r="AD400" s="73">
        <f t="shared" si="231"/>
        <v>161.9643515625</v>
      </c>
      <c r="AE400" s="73">
        <f t="shared" si="232"/>
        <v>125.5356484375</v>
      </c>
    </row>
    <row r="401" customFormat="1" spans="1:31">
      <c r="A401" s="18"/>
      <c r="B401" s="19"/>
      <c r="C401" s="20">
        <v>240511000026</v>
      </c>
      <c r="D401" s="21">
        <v>45426</v>
      </c>
      <c r="E401" s="21" t="s">
        <v>44</v>
      </c>
      <c r="F401" s="19" t="s">
        <v>45</v>
      </c>
      <c r="G401" s="19" t="s">
        <v>46</v>
      </c>
      <c r="H401" s="19">
        <v>3</v>
      </c>
      <c r="I401" s="41">
        <v>345</v>
      </c>
      <c r="J401" s="42"/>
      <c r="K401" s="43"/>
      <c r="L401" s="42"/>
      <c r="M401" s="44"/>
      <c r="N401" s="45"/>
      <c r="O401" s="46">
        <f t="shared" si="229"/>
        <v>345</v>
      </c>
      <c r="P401" s="51"/>
      <c r="Q401" s="51"/>
      <c r="R401" s="73">
        <f t="shared" si="235"/>
        <v>150</v>
      </c>
      <c r="S401" s="73"/>
      <c r="T401" s="74">
        <f t="shared" si="236"/>
        <v>2.84109375</v>
      </c>
      <c r="U401" s="73"/>
      <c r="V401" s="73"/>
      <c r="W401" s="73">
        <f t="shared" si="233"/>
        <v>152.84109375</v>
      </c>
      <c r="X401" s="75">
        <f t="shared" si="237"/>
        <v>5.75015625</v>
      </c>
      <c r="Y401" s="75"/>
      <c r="Z401" s="75"/>
      <c r="AA401" s="75">
        <f t="shared" si="234"/>
        <v>5.75015625</v>
      </c>
      <c r="AB401" s="84">
        <v>7.22</v>
      </c>
      <c r="AC401" s="73">
        <f t="shared" si="230"/>
        <v>41.516128125</v>
      </c>
      <c r="AD401" s="73">
        <f t="shared" si="231"/>
        <v>194.357221875</v>
      </c>
      <c r="AE401" s="73">
        <f t="shared" si="232"/>
        <v>150.642778125</v>
      </c>
    </row>
    <row r="402" customFormat="1" spans="1:31">
      <c r="A402" s="18"/>
      <c r="B402" s="19"/>
      <c r="C402" s="20">
        <v>240513000004</v>
      </c>
      <c r="D402" s="21">
        <v>45426</v>
      </c>
      <c r="E402" s="21" t="s">
        <v>47</v>
      </c>
      <c r="F402" s="19" t="s">
        <v>48</v>
      </c>
      <c r="G402" s="19" t="s">
        <v>330</v>
      </c>
      <c r="H402" s="19">
        <v>15</v>
      </c>
      <c r="I402" s="41">
        <v>1790</v>
      </c>
      <c r="J402" s="42"/>
      <c r="K402" s="43"/>
      <c r="L402" s="42"/>
      <c r="M402" s="44"/>
      <c r="N402" s="45"/>
      <c r="O402" s="46">
        <f t="shared" si="229"/>
        <v>1790</v>
      </c>
      <c r="P402" s="51"/>
      <c r="Q402" s="51"/>
      <c r="R402" s="73">
        <f t="shared" si="235"/>
        <v>750</v>
      </c>
      <c r="S402" s="73"/>
      <c r="T402" s="74">
        <f t="shared" si="236"/>
        <v>14.20546875</v>
      </c>
      <c r="U402" s="73"/>
      <c r="V402" s="73"/>
      <c r="W402" s="73">
        <f t="shared" si="233"/>
        <v>764.20546875</v>
      </c>
      <c r="X402" s="75">
        <f t="shared" si="237"/>
        <v>28.75078125</v>
      </c>
      <c r="Y402" s="75"/>
      <c r="Z402" s="75"/>
      <c r="AA402" s="75">
        <f t="shared" si="234"/>
        <v>28.75078125</v>
      </c>
      <c r="AB402" s="84">
        <v>7.22</v>
      </c>
      <c r="AC402" s="73">
        <f t="shared" si="230"/>
        <v>207.580640625</v>
      </c>
      <c r="AD402" s="73">
        <f t="shared" si="231"/>
        <v>971.786109375</v>
      </c>
      <c r="AE402" s="73">
        <f t="shared" si="232"/>
        <v>818.213890625</v>
      </c>
    </row>
    <row r="403" customFormat="1" spans="1:31">
      <c r="A403" s="18"/>
      <c r="B403" s="19"/>
      <c r="C403" s="20">
        <v>240513000005</v>
      </c>
      <c r="D403" s="21">
        <v>45426</v>
      </c>
      <c r="E403" s="21" t="s">
        <v>47</v>
      </c>
      <c r="F403" s="19" t="s">
        <v>48</v>
      </c>
      <c r="G403" s="19" t="s">
        <v>331</v>
      </c>
      <c r="H403" s="19">
        <v>30.5</v>
      </c>
      <c r="I403" s="41">
        <v>3392.5</v>
      </c>
      <c r="J403" s="42"/>
      <c r="K403" s="43"/>
      <c r="L403" s="42"/>
      <c r="M403" s="44"/>
      <c r="N403" s="45"/>
      <c r="O403" s="46">
        <f t="shared" si="229"/>
        <v>3392.5</v>
      </c>
      <c r="P403" s="51"/>
      <c r="Q403" s="51"/>
      <c r="R403" s="73">
        <f t="shared" si="235"/>
        <v>1525</v>
      </c>
      <c r="S403" s="73"/>
      <c r="T403" s="74">
        <f t="shared" si="236"/>
        <v>28.884453125</v>
      </c>
      <c r="U403" s="73"/>
      <c r="V403" s="73"/>
      <c r="W403" s="73">
        <f t="shared" si="233"/>
        <v>1553.884453125</v>
      </c>
      <c r="X403" s="75">
        <f t="shared" si="237"/>
        <v>58.459921875</v>
      </c>
      <c r="Y403" s="75">
        <v>9.69</v>
      </c>
      <c r="Z403" s="75"/>
      <c r="AA403" s="75">
        <f t="shared" si="234"/>
        <v>68.149921875</v>
      </c>
      <c r="AB403" s="84">
        <v>7.22</v>
      </c>
      <c r="AC403" s="73">
        <f t="shared" ref="AC403:AC418" si="238">SUM(AA403*AB403)</f>
        <v>492.0424359375</v>
      </c>
      <c r="AD403" s="73">
        <f t="shared" si="231"/>
        <v>2045.9268890625</v>
      </c>
      <c r="AE403" s="73">
        <f t="shared" ref="AE403:AE418" si="239">SUM(O403-AD403)</f>
        <v>1346.5731109375</v>
      </c>
    </row>
    <row r="404" customFormat="1" spans="1:31">
      <c r="A404" s="18"/>
      <c r="B404" s="19"/>
      <c r="C404" s="20">
        <v>240513000032</v>
      </c>
      <c r="D404" s="21">
        <v>45426</v>
      </c>
      <c r="E404" s="21" t="s">
        <v>54</v>
      </c>
      <c r="F404" s="19" t="s">
        <v>54</v>
      </c>
      <c r="G404" s="19" t="s">
        <v>261</v>
      </c>
      <c r="H404" s="19">
        <v>0.79</v>
      </c>
      <c r="I404" s="99"/>
      <c r="J404" s="48">
        <v>28840</v>
      </c>
      <c r="K404" s="43"/>
      <c r="L404" s="49">
        <f t="shared" ref="L404:L408" si="240">SUM(J404/M404)</f>
        <v>1487.36462093863</v>
      </c>
      <c r="M404" s="50">
        <v>19.39</v>
      </c>
      <c r="N404" s="45">
        <v>7.22</v>
      </c>
      <c r="O404" s="100">
        <f t="shared" ref="O404:O408" si="241">SUM(M404*N404)</f>
        <v>139.9958</v>
      </c>
      <c r="P404" s="53"/>
      <c r="Q404" s="53"/>
      <c r="R404" s="73">
        <f t="shared" si="235"/>
        <v>39.5</v>
      </c>
      <c r="S404" s="73"/>
      <c r="T404" s="74">
        <f t="shared" si="236"/>
        <v>0.7481546875</v>
      </c>
      <c r="U404" s="73"/>
      <c r="V404" s="73"/>
      <c r="W404" s="73">
        <f t="shared" si="233"/>
        <v>40.2481546875</v>
      </c>
      <c r="X404" s="75">
        <f t="shared" si="237"/>
        <v>1.5142078125</v>
      </c>
      <c r="Y404" s="75"/>
      <c r="Z404" s="75"/>
      <c r="AA404" s="75">
        <f t="shared" ref="AA404:AA418" si="242">SUM(X404:Z404)</f>
        <v>1.5142078125</v>
      </c>
      <c r="AB404" s="84">
        <v>7.22</v>
      </c>
      <c r="AC404" s="73">
        <f t="shared" si="238"/>
        <v>10.93258040625</v>
      </c>
      <c r="AD404" s="73">
        <f t="shared" si="231"/>
        <v>51.18073509375</v>
      </c>
      <c r="AE404" s="73">
        <f t="shared" si="239"/>
        <v>88.81506490625</v>
      </c>
    </row>
    <row r="405" customFormat="1" spans="1:31">
      <c r="A405" s="18" t="s">
        <v>332</v>
      </c>
      <c r="B405" s="19" t="s">
        <v>333</v>
      </c>
      <c r="C405" s="20">
        <v>240506000069</v>
      </c>
      <c r="D405" s="21">
        <v>45427</v>
      </c>
      <c r="E405" s="21" t="s">
        <v>41</v>
      </c>
      <c r="F405" s="19" t="s">
        <v>323</v>
      </c>
      <c r="G405" s="19" t="s">
        <v>323</v>
      </c>
      <c r="H405" s="19">
        <v>11.5</v>
      </c>
      <c r="I405" s="46"/>
      <c r="J405" s="48">
        <v>151544</v>
      </c>
      <c r="K405" s="43"/>
      <c r="L405" s="49">
        <f t="shared" si="240"/>
        <v>1520</v>
      </c>
      <c r="M405" s="50">
        <v>99.7</v>
      </c>
      <c r="N405" s="45">
        <v>7.22</v>
      </c>
      <c r="O405" s="46">
        <f t="shared" si="241"/>
        <v>719.834</v>
      </c>
      <c r="P405" s="47">
        <f>SUM(O405:O418)</f>
        <v>78339.229</v>
      </c>
      <c r="Q405" s="113" t="s">
        <v>334</v>
      </c>
      <c r="R405" s="73">
        <f>SUM(68151.6/1536)*H405</f>
        <v>510.249609375</v>
      </c>
      <c r="S405" s="74">
        <f>SUM(90.35/1536)*H405</f>
        <v>0.676448567708333</v>
      </c>
      <c r="T405" s="74">
        <f>SUM(198.56/1536)*H405</f>
        <v>1.48661458333333</v>
      </c>
      <c r="U405" s="73"/>
      <c r="V405" s="73"/>
      <c r="W405" s="73">
        <f t="shared" ref="W405:W418" si="243">SUM(R405:V405)</f>
        <v>512.412672526042</v>
      </c>
      <c r="X405" s="75">
        <f>SUM(993.45/1536)*H405</f>
        <v>7.437939453125</v>
      </c>
      <c r="Y405" s="75"/>
      <c r="Z405" s="75"/>
      <c r="AA405" s="75">
        <f t="shared" si="242"/>
        <v>7.437939453125</v>
      </c>
      <c r="AB405" s="84">
        <v>7.22</v>
      </c>
      <c r="AC405" s="73">
        <f t="shared" si="238"/>
        <v>53.7019228515625</v>
      </c>
      <c r="AD405" s="73">
        <f t="shared" ref="AD405:AD418" si="244">SUM(W405+AC405)</f>
        <v>566.114595377604</v>
      </c>
      <c r="AE405" s="73">
        <f t="shared" si="239"/>
        <v>153.719404622396</v>
      </c>
    </row>
    <row r="406" customFormat="1" spans="1:31">
      <c r="A406" s="18"/>
      <c r="B406" s="19"/>
      <c r="C406" s="20">
        <v>240507000001</v>
      </c>
      <c r="D406" s="21">
        <v>45427</v>
      </c>
      <c r="E406" s="21" t="s">
        <v>41</v>
      </c>
      <c r="F406" s="19" t="s">
        <v>42</v>
      </c>
      <c r="G406" s="19" t="s">
        <v>335</v>
      </c>
      <c r="H406" s="19">
        <v>53</v>
      </c>
      <c r="I406" s="41">
        <v>2809</v>
      </c>
      <c r="J406" s="42"/>
      <c r="K406" s="43"/>
      <c r="L406" s="42"/>
      <c r="M406" s="44"/>
      <c r="N406" s="45"/>
      <c r="O406" s="46">
        <f t="shared" ref="O406:O412" si="245">SUM(I406)</f>
        <v>2809</v>
      </c>
      <c r="P406" s="51"/>
      <c r="Q406" s="51"/>
      <c r="R406" s="73">
        <f t="shared" ref="R406:R418" si="246">SUM(68151.6/1536)*H406</f>
        <v>2351.58515625</v>
      </c>
      <c r="S406" s="74">
        <f t="shared" ref="S406:S418" si="247">SUM(90.35/1536)*H406</f>
        <v>3.11754557291667</v>
      </c>
      <c r="T406" s="74">
        <f t="shared" ref="T406:T418" si="248">SUM(198.56/1536)*H406</f>
        <v>6.85135416666667</v>
      </c>
      <c r="U406" s="73"/>
      <c r="V406" s="73"/>
      <c r="W406" s="73">
        <f t="shared" si="243"/>
        <v>2361.55405598958</v>
      </c>
      <c r="X406" s="75">
        <f t="shared" ref="X406:X418" si="249">SUM(993.45/1536)*H406</f>
        <v>34.27919921875</v>
      </c>
      <c r="Y406" s="75"/>
      <c r="Z406" s="75"/>
      <c r="AA406" s="75">
        <f t="shared" si="242"/>
        <v>34.27919921875</v>
      </c>
      <c r="AB406" s="84">
        <v>7.22</v>
      </c>
      <c r="AC406" s="73">
        <f t="shared" si="238"/>
        <v>247.495818359375</v>
      </c>
      <c r="AD406" s="73">
        <f t="shared" si="244"/>
        <v>2609.04987434896</v>
      </c>
      <c r="AE406" s="73">
        <f t="shared" si="239"/>
        <v>199.950125651042</v>
      </c>
    </row>
    <row r="407" customFormat="1" spans="1:31">
      <c r="A407" s="18"/>
      <c r="B407" s="19"/>
      <c r="C407" s="20">
        <v>240507000062</v>
      </c>
      <c r="D407" s="21">
        <v>45427</v>
      </c>
      <c r="E407" s="21" t="s">
        <v>37</v>
      </c>
      <c r="F407" s="19" t="s">
        <v>38</v>
      </c>
      <c r="G407" s="19" t="s">
        <v>336</v>
      </c>
      <c r="H407" s="19">
        <v>26</v>
      </c>
      <c r="I407" s="41">
        <v>1378</v>
      </c>
      <c r="J407" s="42"/>
      <c r="K407" s="43"/>
      <c r="L407" s="42"/>
      <c r="M407" s="44"/>
      <c r="N407" s="45"/>
      <c r="O407" s="46">
        <f t="shared" si="245"/>
        <v>1378</v>
      </c>
      <c r="P407" s="51"/>
      <c r="Q407" s="51"/>
      <c r="R407" s="73">
        <f t="shared" si="246"/>
        <v>1153.6078125</v>
      </c>
      <c r="S407" s="74">
        <f t="shared" si="247"/>
        <v>1.52936197916667</v>
      </c>
      <c r="T407" s="74">
        <f t="shared" si="248"/>
        <v>3.36104166666667</v>
      </c>
      <c r="U407" s="73"/>
      <c r="V407" s="73"/>
      <c r="W407" s="73">
        <f t="shared" si="243"/>
        <v>1158.49821614583</v>
      </c>
      <c r="X407" s="75">
        <f t="shared" si="249"/>
        <v>16.8162109375</v>
      </c>
      <c r="Y407" s="75"/>
      <c r="Z407" s="75"/>
      <c r="AA407" s="75">
        <f t="shared" si="242"/>
        <v>16.8162109375</v>
      </c>
      <c r="AB407" s="84">
        <v>7.22</v>
      </c>
      <c r="AC407" s="73">
        <f t="shared" si="238"/>
        <v>121.41304296875</v>
      </c>
      <c r="AD407" s="73">
        <f t="shared" si="244"/>
        <v>1279.91125911458</v>
      </c>
      <c r="AE407" s="73">
        <f t="shared" si="239"/>
        <v>98.0887408854164</v>
      </c>
    </row>
    <row r="408" customFormat="1" spans="1:31">
      <c r="A408" s="18"/>
      <c r="B408" s="19"/>
      <c r="C408" s="20">
        <v>240508000008</v>
      </c>
      <c r="D408" s="21">
        <v>45427</v>
      </c>
      <c r="E408" s="21" t="s">
        <v>44</v>
      </c>
      <c r="F408" s="19" t="s">
        <v>45</v>
      </c>
      <c r="G408" s="19" t="s">
        <v>337</v>
      </c>
      <c r="H408" s="19">
        <v>170</v>
      </c>
      <c r="I408" s="52"/>
      <c r="J408" s="48">
        <v>2092845</v>
      </c>
      <c r="K408" s="43"/>
      <c r="L408" s="49">
        <f t="shared" si="240"/>
        <v>1480.10933676573</v>
      </c>
      <c r="M408" s="50">
        <v>1413.98</v>
      </c>
      <c r="N408" s="45">
        <v>7.22</v>
      </c>
      <c r="O408" s="46">
        <f t="shared" si="241"/>
        <v>10208.9356</v>
      </c>
      <c r="P408" s="51"/>
      <c r="Q408" s="51"/>
      <c r="R408" s="73">
        <f t="shared" si="246"/>
        <v>7542.8203125</v>
      </c>
      <c r="S408" s="74">
        <f t="shared" si="247"/>
        <v>9.99967447916667</v>
      </c>
      <c r="T408" s="74">
        <f t="shared" si="248"/>
        <v>21.9760416666667</v>
      </c>
      <c r="U408" s="73"/>
      <c r="V408" s="73"/>
      <c r="W408" s="73">
        <f t="shared" si="243"/>
        <v>7574.79602864583</v>
      </c>
      <c r="X408" s="75">
        <f t="shared" si="249"/>
        <v>109.9521484375</v>
      </c>
      <c r="Y408" s="75"/>
      <c r="Z408" s="75"/>
      <c r="AA408" s="75">
        <f t="shared" si="242"/>
        <v>109.9521484375</v>
      </c>
      <c r="AB408" s="84">
        <v>7.22</v>
      </c>
      <c r="AC408" s="73">
        <f t="shared" si="238"/>
        <v>793.85451171875</v>
      </c>
      <c r="AD408" s="73">
        <f t="shared" si="244"/>
        <v>8368.65054036458</v>
      </c>
      <c r="AE408" s="73">
        <f t="shared" si="239"/>
        <v>1840.28505963542</v>
      </c>
    </row>
    <row r="409" customFormat="1" spans="1:31">
      <c r="A409" s="18"/>
      <c r="B409" s="19"/>
      <c r="C409" s="20">
        <v>240508000016</v>
      </c>
      <c r="D409" s="21">
        <v>45427</v>
      </c>
      <c r="E409" s="21" t="s">
        <v>37</v>
      </c>
      <c r="F409" s="19" t="s">
        <v>38</v>
      </c>
      <c r="G409" s="19" t="s">
        <v>338</v>
      </c>
      <c r="H409" s="19">
        <v>66.5</v>
      </c>
      <c r="I409" s="41">
        <v>3524.5</v>
      </c>
      <c r="J409" s="42"/>
      <c r="K409" s="43"/>
      <c r="L409" s="42"/>
      <c r="M409" s="44"/>
      <c r="N409" s="45"/>
      <c r="O409" s="46">
        <f t="shared" si="245"/>
        <v>3524.5</v>
      </c>
      <c r="P409" s="51"/>
      <c r="Q409" s="51"/>
      <c r="R409" s="73">
        <f t="shared" si="246"/>
        <v>2950.573828125</v>
      </c>
      <c r="S409" s="74">
        <f t="shared" si="247"/>
        <v>3.91163736979167</v>
      </c>
      <c r="T409" s="74">
        <f t="shared" si="248"/>
        <v>8.59651041666667</v>
      </c>
      <c r="U409" s="73"/>
      <c r="V409" s="73"/>
      <c r="W409" s="73">
        <f t="shared" si="243"/>
        <v>2963.08197591146</v>
      </c>
      <c r="X409" s="75">
        <f t="shared" si="249"/>
        <v>43.010693359375</v>
      </c>
      <c r="Y409" s="75"/>
      <c r="Z409" s="75"/>
      <c r="AA409" s="75">
        <f t="shared" si="242"/>
        <v>43.010693359375</v>
      </c>
      <c r="AB409" s="84">
        <v>7.22</v>
      </c>
      <c r="AC409" s="73">
        <f t="shared" si="238"/>
        <v>310.537206054688</v>
      </c>
      <c r="AD409" s="73">
        <f t="shared" si="244"/>
        <v>3273.61918196615</v>
      </c>
      <c r="AE409" s="73">
        <f t="shared" si="239"/>
        <v>250.880818033854</v>
      </c>
    </row>
    <row r="410" customFormat="1" spans="1:31">
      <c r="A410" s="18"/>
      <c r="B410" s="19"/>
      <c r="C410" s="20">
        <v>240508000017</v>
      </c>
      <c r="D410" s="21">
        <v>45427</v>
      </c>
      <c r="E410" s="21" t="s">
        <v>37</v>
      </c>
      <c r="F410" s="19" t="s">
        <v>38</v>
      </c>
      <c r="G410" s="19" t="s">
        <v>338</v>
      </c>
      <c r="H410" s="19">
        <v>309</v>
      </c>
      <c r="I410" s="41">
        <v>16877</v>
      </c>
      <c r="J410" s="42"/>
      <c r="K410" s="43"/>
      <c r="L410" s="42"/>
      <c r="M410" s="44"/>
      <c r="N410" s="45"/>
      <c r="O410" s="46">
        <f t="shared" si="245"/>
        <v>16877</v>
      </c>
      <c r="P410" s="51"/>
      <c r="Q410" s="51"/>
      <c r="R410" s="73">
        <f t="shared" si="246"/>
        <v>13710.18515625</v>
      </c>
      <c r="S410" s="74">
        <f t="shared" si="247"/>
        <v>18.17587890625</v>
      </c>
      <c r="T410" s="74">
        <f t="shared" si="248"/>
        <v>39.9446875</v>
      </c>
      <c r="U410" s="73"/>
      <c r="V410" s="73"/>
      <c r="W410" s="73">
        <f t="shared" si="243"/>
        <v>13768.3057226562</v>
      </c>
      <c r="X410" s="75">
        <f t="shared" si="249"/>
        <v>199.85419921875</v>
      </c>
      <c r="Y410" s="75">
        <v>69.25</v>
      </c>
      <c r="Z410" s="75"/>
      <c r="AA410" s="75">
        <f t="shared" si="242"/>
        <v>269.10419921875</v>
      </c>
      <c r="AB410" s="84">
        <v>7.22</v>
      </c>
      <c r="AC410" s="73">
        <f t="shared" si="238"/>
        <v>1942.93231835937</v>
      </c>
      <c r="AD410" s="73">
        <f t="shared" si="244"/>
        <v>15711.2380410156</v>
      </c>
      <c r="AE410" s="73">
        <f t="shared" si="239"/>
        <v>1165.76195898438</v>
      </c>
    </row>
    <row r="411" customFormat="1" spans="1:31">
      <c r="A411" s="18"/>
      <c r="B411" s="19"/>
      <c r="C411" s="20">
        <v>240508000018</v>
      </c>
      <c r="D411" s="21">
        <v>45427</v>
      </c>
      <c r="E411" s="21" t="s">
        <v>37</v>
      </c>
      <c r="F411" s="19" t="s">
        <v>38</v>
      </c>
      <c r="G411" s="19" t="s">
        <v>338</v>
      </c>
      <c r="H411" s="19">
        <v>84.5</v>
      </c>
      <c r="I411" s="41">
        <v>4478.5</v>
      </c>
      <c r="J411" s="42"/>
      <c r="K411" s="43"/>
      <c r="L411" s="42"/>
      <c r="M411" s="44"/>
      <c r="N411" s="45"/>
      <c r="O411" s="46">
        <f t="shared" si="245"/>
        <v>4478.5</v>
      </c>
      <c r="P411" s="51"/>
      <c r="Q411" s="51"/>
      <c r="R411" s="73">
        <f t="shared" si="246"/>
        <v>3749.225390625</v>
      </c>
      <c r="S411" s="74">
        <f t="shared" si="247"/>
        <v>4.97042643229167</v>
      </c>
      <c r="T411" s="74">
        <f t="shared" si="248"/>
        <v>10.9233854166667</v>
      </c>
      <c r="U411" s="73"/>
      <c r="V411" s="73"/>
      <c r="W411" s="73">
        <f t="shared" si="243"/>
        <v>3765.11920247396</v>
      </c>
      <c r="X411" s="75">
        <f t="shared" si="249"/>
        <v>54.652685546875</v>
      </c>
      <c r="Y411" s="75"/>
      <c r="Z411" s="75"/>
      <c r="AA411" s="75">
        <f t="shared" si="242"/>
        <v>54.652685546875</v>
      </c>
      <c r="AB411" s="84">
        <v>7.22</v>
      </c>
      <c r="AC411" s="73">
        <f t="shared" si="238"/>
        <v>394.592389648438</v>
      </c>
      <c r="AD411" s="73">
        <f t="shared" si="244"/>
        <v>4159.7115921224</v>
      </c>
      <c r="AE411" s="73">
        <f t="shared" si="239"/>
        <v>318.788407877603</v>
      </c>
    </row>
    <row r="412" customFormat="1" spans="1:31">
      <c r="A412" s="18"/>
      <c r="B412" s="19"/>
      <c r="C412" s="20">
        <v>240508000027</v>
      </c>
      <c r="D412" s="21">
        <v>45427</v>
      </c>
      <c r="E412" s="21" t="s">
        <v>44</v>
      </c>
      <c r="F412" s="19" t="s">
        <v>45</v>
      </c>
      <c r="G412" s="19" t="s">
        <v>339</v>
      </c>
      <c r="H412" s="19">
        <v>27</v>
      </c>
      <c r="I412" s="41">
        <v>1575</v>
      </c>
      <c r="J412" s="42"/>
      <c r="K412" s="43"/>
      <c r="L412" s="42"/>
      <c r="M412" s="44"/>
      <c r="N412" s="45"/>
      <c r="O412" s="46">
        <f t="shared" si="245"/>
        <v>1575</v>
      </c>
      <c r="P412" s="51"/>
      <c r="Q412" s="51"/>
      <c r="R412" s="73">
        <f t="shared" si="246"/>
        <v>1197.97734375</v>
      </c>
      <c r="S412" s="74">
        <f t="shared" si="247"/>
        <v>1.58818359375</v>
      </c>
      <c r="T412" s="74">
        <f t="shared" si="248"/>
        <v>3.4903125</v>
      </c>
      <c r="U412" s="73"/>
      <c r="V412" s="73"/>
      <c r="W412" s="73">
        <f t="shared" si="243"/>
        <v>1203.05583984375</v>
      </c>
      <c r="X412" s="75">
        <f t="shared" si="249"/>
        <v>17.46298828125</v>
      </c>
      <c r="Y412" s="75"/>
      <c r="Z412" s="75"/>
      <c r="AA412" s="75">
        <f t="shared" si="242"/>
        <v>17.46298828125</v>
      </c>
      <c r="AB412" s="84">
        <v>7.22</v>
      </c>
      <c r="AC412" s="73">
        <f t="shared" si="238"/>
        <v>126.082775390625</v>
      </c>
      <c r="AD412" s="73">
        <f t="shared" si="244"/>
        <v>1329.13861523438</v>
      </c>
      <c r="AE412" s="73">
        <f t="shared" si="239"/>
        <v>245.861384765625</v>
      </c>
    </row>
    <row r="413" customFormat="1" spans="1:31">
      <c r="A413" s="18"/>
      <c r="B413" s="19"/>
      <c r="C413" s="20">
        <v>240508000036</v>
      </c>
      <c r="D413" s="21">
        <v>45427</v>
      </c>
      <c r="E413" s="21" t="s">
        <v>47</v>
      </c>
      <c r="F413" s="19" t="s">
        <v>48</v>
      </c>
      <c r="G413" s="19" t="s">
        <v>135</v>
      </c>
      <c r="H413" s="19">
        <v>282.5</v>
      </c>
      <c r="I413" s="46"/>
      <c r="J413" s="48">
        <v>3254289.6</v>
      </c>
      <c r="K413" s="43"/>
      <c r="L413" s="49">
        <f t="shared" ref="L413:L418" si="250">SUM(J413/M413)</f>
        <v>1520</v>
      </c>
      <c r="M413" s="50">
        <v>2140.98</v>
      </c>
      <c r="N413" s="45">
        <v>7.22</v>
      </c>
      <c r="O413" s="46">
        <f t="shared" ref="O413:O418" si="251">SUM(M413*N413)</f>
        <v>15457.8756</v>
      </c>
      <c r="P413" s="51"/>
      <c r="Q413" s="51"/>
      <c r="R413" s="73">
        <f t="shared" si="246"/>
        <v>12534.392578125</v>
      </c>
      <c r="S413" s="74">
        <f t="shared" si="247"/>
        <v>16.6171061197917</v>
      </c>
      <c r="T413" s="74">
        <f t="shared" si="248"/>
        <v>36.5190104166667</v>
      </c>
      <c r="U413" s="73">
        <v>70</v>
      </c>
      <c r="V413" s="73"/>
      <c r="W413" s="73">
        <f t="shared" si="243"/>
        <v>12657.5286946615</v>
      </c>
      <c r="X413" s="75">
        <f t="shared" si="249"/>
        <v>182.714599609375</v>
      </c>
      <c r="Y413" s="75"/>
      <c r="Z413" s="75"/>
      <c r="AA413" s="75">
        <f t="shared" si="242"/>
        <v>182.714599609375</v>
      </c>
      <c r="AB413" s="84">
        <v>7.22</v>
      </c>
      <c r="AC413" s="73">
        <f t="shared" si="238"/>
        <v>1319.19940917969</v>
      </c>
      <c r="AD413" s="73">
        <f t="shared" si="244"/>
        <v>13976.7281038411</v>
      </c>
      <c r="AE413" s="73">
        <f t="shared" si="239"/>
        <v>1481.14749615885</v>
      </c>
    </row>
    <row r="414" customFormat="1" spans="1:31">
      <c r="A414" s="18"/>
      <c r="B414" s="19"/>
      <c r="C414" s="20">
        <v>240508000040</v>
      </c>
      <c r="D414" s="21">
        <v>45427</v>
      </c>
      <c r="E414" s="21" t="s">
        <v>44</v>
      </c>
      <c r="F414" s="19" t="s">
        <v>45</v>
      </c>
      <c r="G414" s="19" t="s">
        <v>104</v>
      </c>
      <c r="H414" s="19">
        <v>233</v>
      </c>
      <c r="I414" s="41">
        <v>13970</v>
      </c>
      <c r="J414" s="42"/>
      <c r="K414" s="43"/>
      <c r="L414" s="42"/>
      <c r="M414" s="44"/>
      <c r="N414" s="45"/>
      <c r="O414" s="46">
        <f t="shared" ref="O414:O417" si="252">SUM(I414)</f>
        <v>13970</v>
      </c>
      <c r="P414" s="51"/>
      <c r="Q414" s="51"/>
      <c r="R414" s="73">
        <f t="shared" si="246"/>
        <v>10338.10078125</v>
      </c>
      <c r="S414" s="74">
        <f t="shared" si="247"/>
        <v>13.7054361979167</v>
      </c>
      <c r="T414" s="74">
        <f t="shared" si="248"/>
        <v>30.1201041666667</v>
      </c>
      <c r="U414" s="74">
        <v>300</v>
      </c>
      <c r="V414" s="74">
        <v>355</v>
      </c>
      <c r="W414" s="73">
        <f t="shared" si="243"/>
        <v>11036.9263216146</v>
      </c>
      <c r="X414" s="75">
        <f t="shared" si="249"/>
        <v>150.69912109375</v>
      </c>
      <c r="Y414" s="75"/>
      <c r="Z414" s="75"/>
      <c r="AA414" s="75">
        <f t="shared" si="242"/>
        <v>150.69912109375</v>
      </c>
      <c r="AB414" s="84">
        <v>7.22</v>
      </c>
      <c r="AC414" s="73">
        <f t="shared" si="238"/>
        <v>1088.04765429688</v>
      </c>
      <c r="AD414" s="73">
        <f t="shared" si="244"/>
        <v>12124.9739759115</v>
      </c>
      <c r="AE414" s="73">
        <f t="shared" si="239"/>
        <v>1845.02602408854</v>
      </c>
    </row>
    <row r="415" customFormat="1" spans="1:31">
      <c r="A415" s="18"/>
      <c r="B415" s="19"/>
      <c r="C415" s="20">
        <v>240508000042</v>
      </c>
      <c r="D415" s="21">
        <v>45427</v>
      </c>
      <c r="E415" s="21" t="s">
        <v>54</v>
      </c>
      <c r="F415" s="19" t="s">
        <v>340</v>
      </c>
      <c r="G415" s="19" t="s">
        <v>341</v>
      </c>
      <c r="H415" s="19">
        <v>20.5</v>
      </c>
      <c r="I415" s="46"/>
      <c r="J415" s="48">
        <v>241300</v>
      </c>
      <c r="K415" s="43"/>
      <c r="L415" s="49">
        <f t="shared" si="250"/>
        <v>1520</v>
      </c>
      <c r="M415" s="50">
        <v>158.75</v>
      </c>
      <c r="N415" s="45">
        <v>7.22</v>
      </c>
      <c r="O415" s="46">
        <f t="shared" si="251"/>
        <v>1146.175</v>
      </c>
      <c r="P415" s="51"/>
      <c r="Q415" s="51"/>
      <c r="R415" s="73">
        <f t="shared" si="246"/>
        <v>909.575390625</v>
      </c>
      <c r="S415" s="74">
        <f t="shared" si="247"/>
        <v>1.20584309895833</v>
      </c>
      <c r="T415" s="74">
        <f t="shared" si="248"/>
        <v>2.65005208333333</v>
      </c>
      <c r="U415" s="73"/>
      <c r="V415" s="73"/>
      <c r="W415" s="73">
        <f t="shared" si="243"/>
        <v>913.431285807292</v>
      </c>
      <c r="X415" s="75">
        <f t="shared" si="249"/>
        <v>13.258935546875</v>
      </c>
      <c r="Y415" s="75"/>
      <c r="Z415" s="75"/>
      <c r="AA415" s="75">
        <f t="shared" si="242"/>
        <v>13.258935546875</v>
      </c>
      <c r="AB415" s="84">
        <v>7.22</v>
      </c>
      <c r="AC415" s="73">
        <f t="shared" si="238"/>
        <v>95.7295146484375</v>
      </c>
      <c r="AD415" s="73">
        <f t="shared" si="244"/>
        <v>1009.16080045573</v>
      </c>
      <c r="AE415" s="73">
        <f t="shared" si="239"/>
        <v>137.014199544271</v>
      </c>
    </row>
    <row r="416" customFormat="1" spans="1:31">
      <c r="A416" s="18"/>
      <c r="B416" s="19"/>
      <c r="C416" s="20">
        <v>240509000012</v>
      </c>
      <c r="D416" s="21">
        <v>45427</v>
      </c>
      <c r="E416" s="21" t="s">
        <v>41</v>
      </c>
      <c r="F416" s="19" t="s">
        <v>42</v>
      </c>
      <c r="G416" s="19" t="s">
        <v>260</v>
      </c>
      <c r="H416" s="19">
        <v>43</v>
      </c>
      <c r="I416" s="41">
        <v>2155</v>
      </c>
      <c r="J416" s="42"/>
      <c r="K416" s="43"/>
      <c r="L416" s="42"/>
      <c r="M416" s="44"/>
      <c r="N416" s="45"/>
      <c r="O416" s="46">
        <f t="shared" si="252"/>
        <v>2155</v>
      </c>
      <c r="P416" s="51"/>
      <c r="Q416" s="51"/>
      <c r="R416" s="73">
        <f t="shared" si="246"/>
        <v>1907.88984375</v>
      </c>
      <c r="S416" s="74">
        <f t="shared" si="247"/>
        <v>2.52932942708333</v>
      </c>
      <c r="T416" s="74">
        <f t="shared" si="248"/>
        <v>5.55864583333333</v>
      </c>
      <c r="U416" s="73">
        <v>30</v>
      </c>
      <c r="V416" s="73"/>
      <c r="W416" s="73">
        <f t="shared" si="243"/>
        <v>1945.97781901042</v>
      </c>
      <c r="X416" s="75">
        <f t="shared" si="249"/>
        <v>27.81142578125</v>
      </c>
      <c r="Y416" s="75"/>
      <c r="Z416" s="75"/>
      <c r="AA416" s="75">
        <f t="shared" si="242"/>
        <v>27.81142578125</v>
      </c>
      <c r="AB416" s="84">
        <v>7.22</v>
      </c>
      <c r="AC416" s="73">
        <f t="shared" si="238"/>
        <v>200.798494140625</v>
      </c>
      <c r="AD416" s="73">
        <f t="shared" ref="AD416:AD428" si="253">SUM(W416+AC416)</f>
        <v>2146.77631315104</v>
      </c>
      <c r="AE416" s="73">
        <f t="shared" si="239"/>
        <v>8.22368684895855</v>
      </c>
    </row>
    <row r="417" customFormat="1" spans="1:31">
      <c r="A417" s="18"/>
      <c r="B417" s="19"/>
      <c r="C417" s="20">
        <v>240510000007</v>
      </c>
      <c r="D417" s="21">
        <v>45427</v>
      </c>
      <c r="E417" s="21" t="s">
        <v>44</v>
      </c>
      <c r="F417" s="19" t="s">
        <v>45</v>
      </c>
      <c r="G417" s="19" t="s">
        <v>46</v>
      </c>
      <c r="H417" s="19">
        <v>11.5</v>
      </c>
      <c r="I417" s="41">
        <v>638.5</v>
      </c>
      <c r="J417" s="42"/>
      <c r="K417" s="43"/>
      <c r="L417" s="42"/>
      <c r="M417" s="44"/>
      <c r="N417" s="45"/>
      <c r="O417" s="46">
        <f t="shared" si="252"/>
        <v>638.5</v>
      </c>
      <c r="P417" s="51"/>
      <c r="Q417" s="51"/>
      <c r="R417" s="73">
        <f t="shared" si="246"/>
        <v>510.249609375</v>
      </c>
      <c r="S417" s="74">
        <f t="shared" si="247"/>
        <v>0.676448567708333</v>
      </c>
      <c r="T417" s="74">
        <f t="shared" si="248"/>
        <v>1.48661458333333</v>
      </c>
      <c r="U417" s="73"/>
      <c r="V417" s="73"/>
      <c r="W417" s="73">
        <f t="shared" si="243"/>
        <v>512.412672526042</v>
      </c>
      <c r="X417" s="75">
        <f t="shared" si="249"/>
        <v>7.437939453125</v>
      </c>
      <c r="Y417" s="75"/>
      <c r="Z417" s="75"/>
      <c r="AA417" s="75">
        <f t="shared" si="242"/>
        <v>7.437939453125</v>
      </c>
      <c r="AB417" s="84">
        <v>7.22</v>
      </c>
      <c r="AC417" s="73">
        <f t="shared" si="238"/>
        <v>53.7019228515625</v>
      </c>
      <c r="AD417" s="73">
        <f t="shared" si="253"/>
        <v>566.114595377604</v>
      </c>
      <c r="AE417" s="73">
        <f t="shared" ref="AE417:AE428" si="254">SUM(O417-AD417)</f>
        <v>72.3854046223959</v>
      </c>
    </row>
    <row r="418" customFormat="1" spans="1:31">
      <c r="A418" s="18"/>
      <c r="B418" s="19"/>
      <c r="C418" s="20">
        <v>240510000027</v>
      </c>
      <c r="D418" s="21">
        <v>45427</v>
      </c>
      <c r="E418" s="21" t="s">
        <v>47</v>
      </c>
      <c r="F418" s="19" t="s">
        <v>48</v>
      </c>
      <c r="G418" s="19" t="s">
        <v>342</v>
      </c>
      <c r="H418" s="19">
        <v>59.5</v>
      </c>
      <c r="I418" s="46"/>
      <c r="J418" s="48">
        <v>716922</v>
      </c>
      <c r="K418" s="43"/>
      <c r="L418" s="49">
        <f t="shared" si="250"/>
        <v>1521.99813179348</v>
      </c>
      <c r="M418" s="50">
        <v>471.04</v>
      </c>
      <c r="N418" s="45">
        <v>7.22</v>
      </c>
      <c r="O418" s="46">
        <f t="shared" si="251"/>
        <v>3400.9088</v>
      </c>
      <c r="P418" s="53"/>
      <c r="Q418" s="53"/>
      <c r="R418" s="73">
        <f t="shared" si="246"/>
        <v>2639.987109375</v>
      </c>
      <c r="S418" s="74">
        <f t="shared" si="247"/>
        <v>3.49988606770833</v>
      </c>
      <c r="T418" s="74">
        <f t="shared" si="248"/>
        <v>7.69161458333333</v>
      </c>
      <c r="U418" s="73"/>
      <c r="V418" s="73"/>
      <c r="W418" s="73">
        <f t="shared" ref="W418:W428" si="255">SUM(R418:V418)</f>
        <v>2651.17861002604</v>
      </c>
      <c r="X418" s="75">
        <f t="shared" si="249"/>
        <v>38.483251953125</v>
      </c>
      <c r="Y418" s="75"/>
      <c r="Z418" s="75"/>
      <c r="AA418" s="75">
        <f t="shared" ref="AA418:AA428" si="256">SUM(X418:Z418)</f>
        <v>38.483251953125</v>
      </c>
      <c r="AB418" s="84">
        <v>7.22</v>
      </c>
      <c r="AC418" s="73">
        <f t="shared" ref="AC418:AC428" si="257">SUM(AA418*AB418)</f>
        <v>277.849079101563</v>
      </c>
      <c r="AD418" s="73">
        <f t="shared" si="253"/>
        <v>2929.0276891276</v>
      </c>
      <c r="AE418" s="73">
        <f t="shared" si="254"/>
        <v>471.881110872396</v>
      </c>
    </row>
    <row r="419" customFormat="1" spans="1:31">
      <c r="A419" s="18" t="s">
        <v>343</v>
      </c>
      <c r="B419" s="19" t="s">
        <v>344</v>
      </c>
      <c r="C419" s="20">
        <v>240416000024</v>
      </c>
      <c r="D419" s="21">
        <v>45428</v>
      </c>
      <c r="E419" s="21" t="s">
        <v>47</v>
      </c>
      <c r="F419" s="19" t="s">
        <v>48</v>
      </c>
      <c r="G419" s="19" t="s">
        <v>345</v>
      </c>
      <c r="H419" s="19">
        <v>3</v>
      </c>
      <c r="I419" s="41">
        <v>251</v>
      </c>
      <c r="J419" s="42"/>
      <c r="K419" s="43"/>
      <c r="L419" s="19"/>
      <c r="M419" s="44"/>
      <c r="N419" s="45"/>
      <c r="O419" s="46">
        <f t="shared" ref="O419:O425" si="258">SUM(I419)</f>
        <v>251</v>
      </c>
      <c r="P419" s="47">
        <f>SUM(O419:O428)</f>
        <v>8642.5228</v>
      </c>
      <c r="Q419" s="47" t="s">
        <v>40</v>
      </c>
      <c r="R419" s="73">
        <f>SUM(3200/64)*H419</f>
        <v>150</v>
      </c>
      <c r="S419" s="73"/>
      <c r="T419" s="74">
        <f>SUM(116.22/64)*H419</f>
        <v>5.4478125</v>
      </c>
      <c r="U419" s="73"/>
      <c r="V419" s="73"/>
      <c r="W419" s="73">
        <f t="shared" si="255"/>
        <v>155.4478125</v>
      </c>
      <c r="X419" s="75">
        <f>SUM(158.06/64)*H419</f>
        <v>7.4090625</v>
      </c>
      <c r="Y419" s="75"/>
      <c r="Z419" s="75"/>
      <c r="AA419" s="75">
        <f t="shared" si="256"/>
        <v>7.4090625</v>
      </c>
      <c r="AB419" s="84">
        <v>7.22</v>
      </c>
      <c r="AC419" s="73">
        <f t="shared" si="257"/>
        <v>53.49343125</v>
      </c>
      <c r="AD419" s="73">
        <f t="shared" si="253"/>
        <v>208.94124375</v>
      </c>
      <c r="AE419" s="73">
        <f t="shared" si="254"/>
        <v>42.05875625</v>
      </c>
    </row>
    <row r="420" customFormat="1" spans="1:31">
      <c r="A420" s="18"/>
      <c r="B420" s="19"/>
      <c r="C420" s="20">
        <v>240509000029</v>
      </c>
      <c r="D420" s="21">
        <v>45428</v>
      </c>
      <c r="E420" s="21" t="s">
        <v>47</v>
      </c>
      <c r="F420" s="19" t="s">
        <v>48</v>
      </c>
      <c r="G420" s="19" t="s">
        <v>49</v>
      </c>
      <c r="H420" s="19">
        <v>2.5</v>
      </c>
      <c r="I420" s="41">
        <v>300</v>
      </c>
      <c r="J420" s="42"/>
      <c r="K420" s="43"/>
      <c r="L420" s="19"/>
      <c r="M420" s="44"/>
      <c r="N420" s="45"/>
      <c r="O420" s="46">
        <f t="shared" si="258"/>
        <v>300</v>
      </c>
      <c r="P420" s="51"/>
      <c r="Q420" s="51"/>
      <c r="R420" s="73">
        <f t="shared" ref="R420:R428" si="259">SUM(3200/64)*H420</f>
        <v>125</v>
      </c>
      <c r="S420" s="73"/>
      <c r="T420" s="74">
        <f t="shared" ref="T420:T428" si="260">SUM(116.22/64)*H420</f>
        <v>4.53984375</v>
      </c>
      <c r="U420" s="73"/>
      <c r="V420" s="73"/>
      <c r="W420" s="73">
        <f t="shared" si="255"/>
        <v>129.53984375</v>
      </c>
      <c r="X420" s="75">
        <f t="shared" ref="X420:X428" si="261">SUM(158.06/64)*H420</f>
        <v>6.17421875</v>
      </c>
      <c r="Y420" s="75"/>
      <c r="Z420" s="75"/>
      <c r="AA420" s="75">
        <f t="shared" si="256"/>
        <v>6.17421875</v>
      </c>
      <c r="AB420" s="84">
        <v>7.22</v>
      </c>
      <c r="AC420" s="73">
        <f t="shared" si="257"/>
        <v>44.577859375</v>
      </c>
      <c r="AD420" s="73">
        <f t="shared" si="253"/>
        <v>174.117703125</v>
      </c>
      <c r="AE420" s="73">
        <f t="shared" si="254"/>
        <v>125.882296875</v>
      </c>
    </row>
    <row r="421" customFormat="1" spans="1:31">
      <c r="A421" s="18"/>
      <c r="B421" s="19"/>
      <c r="C421" s="20">
        <v>240513000054</v>
      </c>
      <c r="D421" s="21">
        <v>45428</v>
      </c>
      <c r="E421" s="21" t="s">
        <v>54</v>
      </c>
      <c r="F421" s="19" t="s">
        <v>54</v>
      </c>
      <c r="G421" s="19" t="s">
        <v>98</v>
      </c>
      <c r="H421" s="19">
        <v>7.5</v>
      </c>
      <c r="I421" s="41">
        <v>900</v>
      </c>
      <c r="J421" s="42"/>
      <c r="K421" s="43"/>
      <c r="L421" s="19"/>
      <c r="M421" s="44"/>
      <c r="N421" s="45"/>
      <c r="O421" s="46">
        <f t="shared" si="258"/>
        <v>900</v>
      </c>
      <c r="P421" s="51"/>
      <c r="Q421" s="51"/>
      <c r="R421" s="73">
        <f t="shared" si="259"/>
        <v>375</v>
      </c>
      <c r="S421" s="73"/>
      <c r="T421" s="74">
        <f t="shared" si="260"/>
        <v>13.61953125</v>
      </c>
      <c r="U421" s="73"/>
      <c r="V421" s="73"/>
      <c r="W421" s="73">
        <f t="shared" si="255"/>
        <v>388.61953125</v>
      </c>
      <c r="X421" s="75">
        <f t="shared" si="261"/>
        <v>18.52265625</v>
      </c>
      <c r="Y421" s="75"/>
      <c r="Z421" s="75"/>
      <c r="AA421" s="75">
        <f t="shared" si="256"/>
        <v>18.52265625</v>
      </c>
      <c r="AB421" s="84">
        <v>7.22</v>
      </c>
      <c r="AC421" s="73">
        <f t="shared" si="257"/>
        <v>133.733578125</v>
      </c>
      <c r="AD421" s="73">
        <f t="shared" si="253"/>
        <v>522.353109375</v>
      </c>
      <c r="AE421" s="73">
        <f t="shared" si="254"/>
        <v>377.646890625</v>
      </c>
    </row>
    <row r="422" customFormat="1" spans="1:31">
      <c r="A422" s="18"/>
      <c r="B422" s="19"/>
      <c r="C422" s="20">
        <v>240514000010</v>
      </c>
      <c r="D422" s="21">
        <v>45428</v>
      </c>
      <c r="E422" s="21" t="s">
        <v>37</v>
      </c>
      <c r="F422" s="19" t="s">
        <v>38</v>
      </c>
      <c r="G422" s="19" t="s">
        <v>209</v>
      </c>
      <c r="H422" s="19">
        <v>9</v>
      </c>
      <c r="I422" s="41">
        <v>1035</v>
      </c>
      <c r="J422" s="42"/>
      <c r="K422" s="43"/>
      <c r="L422" s="19"/>
      <c r="M422" s="44"/>
      <c r="N422" s="45"/>
      <c r="O422" s="46">
        <f t="shared" si="258"/>
        <v>1035</v>
      </c>
      <c r="P422" s="51"/>
      <c r="Q422" s="51"/>
      <c r="R422" s="73">
        <f t="shared" si="259"/>
        <v>450</v>
      </c>
      <c r="S422" s="73"/>
      <c r="T422" s="74">
        <f t="shared" si="260"/>
        <v>16.3434375</v>
      </c>
      <c r="U422" s="73"/>
      <c r="V422" s="73"/>
      <c r="W422" s="73">
        <f t="shared" si="255"/>
        <v>466.3434375</v>
      </c>
      <c r="X422" s="75">
        <f t="shared" si="261"/>
        <v>22.2271875</v>
      </c>
      <c r="Y422" s="75"/>
      <c r="Z422" s="75"/>
      <c r="AA422" s="75">
        <f t="shared" si="256"/>
        <v>22.2271875</v>
      </c>
      <c r="AB422" s="84">
        <v>7.22</v>
      </c>
      <c r="AC422" s="73">
        <f t="shared" si="257"/>
        <v>160.48029375</v>
      </c>
      <c r="AD422" s="73">
        <f t="shared" si="253"/>
        <v>626.82373125</v>
      </c>
      <c r="AE422" s="73">
        <f t="shared" si="254"/>
        <v>408.17626875</v>
      </c>
    </row>
    <row r="423" customFormat="1" spans="1:31">
      <c r="A423" s="18"/>
      <c r="B423" s="19"/>
      <c r="C423" s="20">
        <v>240514000015</v>
      </c>
      <c r="D423" s="21">
        <v>45428</v>
      </c>
      <c r="E423" s="21" t="s">
        <v>54</v>
      </c>
      <c r="F423" s="19" t="s">
        <v>54</v>
      </c>
      <c r="G423" s="19" t="s">
        <v>90</v>
      </c>
      <c r="H423" s="19">
        <v>3</v>
      </c>
      <c r="I423" s="41">
        <v>345</v>
      </c>
      <c r="J423" s="42"/>
      <c r="K423" s="43"/>
      <c r="L423" s="19"/>
      <c r="M423" s="44"/>
      <c r="N423" s="45"/>
      <c r="O423" s="46">
        <f t="shared" si="258"/>
        <v>345</v>
      </c>
      <c r="P423" s="51"/>
      <c r="Q423" s="51"/>
      <c r="R423" s="73">
        <f t="shared" si="259"/>
        <v>150</v>
      </c>
      <c r="S423" s="73"/>
      <c r="T423" s="74">
        <f t="shared" si="260"/>
        <v>5.4478125</v>
      </c>
      <c r="U423" s="73"/>
      <c r="V423" s="73"/>
      <c r="W423" s="73">
        <f t="shared" si="255"/>
        <v>155.4478125</v>
      </c>
      <c r="X423" s="75">
        <f t="shared" si="261"/>
        <v>7.4090625</v>
      </c>
      <c r="Y423" s="75"/>
      <c r="Z423" s="75"/>
      <c r="AA423" s="75">
        <f t="shared" si="256"/>
        <v>7.4090625</v>
      </c>
      <c r="AB423" s="84">
        <v>7.22</v>
      </c>
      <c r="AC423" s="73">
        <f t="shared" si="257"/>
        <v>53.49343125</v>
      </c>
      <c r="AD423" s="73">
        <f t="shared" si="253"/>
        <v>208.94124375</v>
      </c>
      <c r="AE423" s="73">
        <f t="shared" si="254"/>
        <v>136.05875625</v>
      </c>
    </row>
    <row r="424" customFormat="1" spans="1:31">
      <c r="A424" s="18"/>
      <c r="B424" s="19"/>
      <c r="C424" s="20">
        <v>240514000024</v>
      </c>
      <c r="D424" s="21">
        <v>45428</v>
      </c>
      <c r="E424" s="21" t="s">
        <v>54</v>
      </c>
      <c r="F424" s="19" t="s">
        <v>54</v>
      </c>
      <c r="G424" s="19" t="s">
        <v>98</v>
      </c>
      <c r="H424" s="19">
        <v>0.4</v>
      </c>
      <c r="I424" s="41">
        <v>132</v>
      </c>
      <c r="J424" s="42"/>
      <c r="K424" s="43"/>
      <c r="L424" s="19"/>
      <c r="M424" s="44"/>
      <c r="N424" s="45"/>
      <c r="O424" s="46">
        <f t="shared" si="258"/>
        <v>132</v>
      </c>
      <c r="P424" s="51"/>
      <c r="Q424" s="51"/>
      <c r="R424" s="73">
        <f t="shared" si="259"/>
        <v>20</v>
      </c>
      <c r="S424" s="73"/>
      <c r="T424" s="74">
        <f t="shared" si="260"/>
        <v>0.726375</v>
      </c>
      <c r="U424" s="73"/>
      <c r="V424" s="74">
        <v>12</v>
      </c>
      <c r="W424" s="73">
        <f t="shared" si="255"/>
        <v>32.726375</v>
      </c>
      <c r="X424" s="75">
        <f t="shared" si="261"/>
        <v>0.987875</v>
      </c>
      <c r="Y424" s="75"/>
      <c r="Z424" s="75"/>
      <c r="AA424" s="75">
        <f t="shared" si="256"/>
        <v>0.987875</v>
      </c>
      <c r="AB424" s="84">
        <v>7.22</v>
      </c>
      <c r="AC424" s="73">
        <f t="shared" si="257"/>
        <v>7.1324575</v>
      </c>
      <c r="AD424" s="73">
        <f t="shared" si="253"/>
        <v>39.8588325</v>
      </c>
      <c r="AE424" s="73">
        <f t="shared" si="254"/>
        <v>92.1411675</v>
      </c>
    </row>
    <row r="425" customFormat="1" spans="1:31">
      <c r="A425" s="18"/>
      <c r="B425" s="19"/>
      <c r="C425" s="20">
        <v>240514000031</v>
      </c>
      <c r="D425" s="21">
        <v>45428</v>
      </c>
      <c r="E425" s="21" t="s">
        <v>54</v>
      </c>
      <c r="F425" s="19" t="s">
        <v>54</v>
      </c>
      <c r="G425" s="19" t="s">
        <v>290</v>
      </c>
      <c r="H425" s="19">
        <v>33</v>
      </c>
      <c r="I425" s="41">
        <v>3795</v>
      </c>
      <c r="J425" s="42"/>
      <c r="K425" s="43"/>
      <c r="L425" s="19"/>
      <c r="M425" s="44"/>
      <c r="N425" s="45"/>
      <c r="O425" s="46">
        <f t="shared" si="258"/>
        <v>3795</v>
      </c>
      <c r="P425" s="51"/>
      <c r="Q425" s="51"/>
      <c r="R425" s="73">
        <f t="shared" si="259"/>
        <v>1650</v>
      </c>
      <c r="S425" s="73"/>
      <c r="T425" s="74">
        <f t="shared" si="260"/>
        <v>59.9259375</v>
      </c>
      <c r="U425" s="73"/>
      <c r="V425" s="73"/>
      <c r="W425" s="73">
        <f t="shared" si="255"/>
        <v>1709.9259375</v>
      </c>
      <c r="X425" s="75">
        <f t="shared" si="261"/>
        <v>81.4996875</v>
      </c>
      <c r="Y425" s="75"/>
      <c r="Z425" s="75"/>
      <c r="AA425" s="75">
        <f t="shared" si="256"/>
        <v>81.4996875</v>
      </c>
      <c r="AB425" s="84">
        <v>7.22</v>
      </c>
      <c r="AC425" s="73">
        <f t="shared" si="257"/>
        <v>588.42774375</v>
      </c>
      <c r="AD425" s="73">
        <f t="shared" si="253"/>
        <v>2298.35368125</v>
      </c>
      <c r="AE425" s="73">
        <f t="shared" si="254"/>
        <v>1496.64631875</v>
      </c>
    </row>
    <row r="426" customFormat="1" spans="1:31">
      <c r="A426" s="18"/>
      <c r="B426" s="19"/>
      <c r="C426" s="20">
        <v>240514000032</v>
      </c>
      <c r="D426" s="21">
        <v>45428</v>
      </c>
      <c r="E426" s="21" t="s">
        <v>157</v>
      </c>
      <c r="F426" s="19" t="s">
        <v>239</v>
      </c>
      <c r="G426" s="19" t="s">
        <v>346</v>
      </c>
      <c r="H426" s="19">
        <v>6.5</v>
      </c>
      <c r="I426" s="46"/>
      <c r="J426" s="48">
        <v>154588</v>
      </c>
      <c r="K426" s="43"/>
      <c r="L426" s="49">
        <f t="shared" ref="L426:L432" si="262">SUM(J426/M426)</f>
        <v>1489.00019264111</v>
      </c>
      <c r="M426" s="50">
        <v>103.82</v>
      </c>
      <c r="N426" s="45">
        <v>7.22</v>
      </c>
      <c r="O426" s="46">
        <f t="shared" ref="O426:O432" si="263">SUM(M426*N426)</f>
        <v>749.5804</v>
      </c>
      <c r="P426" s="51"/>
      <c r="Q426" s="51"/>
      <c r="R426" s="73">
        <f t="shared" si="259"/>
        <v>325</v>
      </c>
      <c r="S426" s="73"/>
      <c r="T426" s="74">
        <f t="shared" si="260"/>
        <v>11.80359375</v>
      </c>
      <c r="U426" s="73"/>
      <c r="V426" s="73"/>
      <c r="W426" s="73">
        <f t="shared" si="255"/>
        <v>336.80359375</v>
      </c>
      <c r="X426" s="75">
        <f t="shared" si="261"/>
        <v>16.05296875</v>
      </c>
      <c r="Y426" s="75"/>
      <c r="Z426" s="75"/>
      <c r="AA426" s="75">
        <f t="shared" ref="AA426:AA457" si="264">SUM(X426:Z426)</f>
        <v>16.05296875</v>
      </c>
      <c r="AB426" s="84">
        <v>7.22</v>
      </c>
      <c r="AC426" s="73">
        <f t="shared" si="257"/>
        <v>115.902434375</v>
      </c>
      <c r="AD426" s="73">
        <f t="shared" si="253"/>
        <v>452.706028125</v>
      </c>
      <c r="AE426" s="73">
        <f t="shared" ref="AE426:AE457" si="265">SUM(O426-AD426)</f>
        <v>296.874371875</v>
      </c>
    </row>
    <row r="427" customFormat="1" spans="1:31">
      <c r="A427" s="18"/>
      <c r="B427" s="19"/>
      <c r="C427" s="20">
        <v>240514000039</v>
      </c>
      <c r="D427" s="21">
        <v>45428</v>
      </c>
      <c r="E427" s="21" t="s">
        <v>47</v>
      </c>
      <c r="F427" s="19" t="s">
        <v>48</v>
      </c>
      <c r="G427" s="19" t="s">
        <v>347</v>
      </c>
      <c r="H427" s="19">
        <v>4</v>
      </c>
      <c r="I427" s="41">
        <v>1020</v>
      </c>
      <c r="J427" s="42"/>
      <c r="K427" s="43"/>
      <c r="L427" s="19"/>
      <c r="M427" s="44"/>
      <c r="N427" s="45"/>
      <c r="O427" s="46">
        <f t="shared" ref="O427:O430" si="266">SUM(I427)</f>
        <v>1020</v>
      </c>
      <c r="P427" s="51"/>
      <c r="Q427" s="51"/>
      <c r="R427" s="73">
        <f t="shared" si="259"/>
        <v>200</v>
      </c>
      <c r="S427" s="73"/>
      <c r="T427" s="74">
        <f t="shared" si="260"/>
        <v>7.26375</v>
      </c>
      <c r="U427" s="73"/>
      <c r="V427" s="73"/>
      <c r="W427" s="73">
        <f t="shared" si="255"/>
        <v>207.26375</v>
      </c>
      <c r="X427" s="75">
        <f t="shared" si="261"/>
        <v>9.87875</v>
      </c>
      <c r="Y427" s="75"/>
      <c r="Z427" s="75"/>
      <c r="AA427" s="75">
        <f t="shared" si="264"/>
        <v>9.87875</v>
      </c>
      <c r="AB427" s="84">
        <v>7.22</v>
      </c>
      <c r="AC427" s="73">
        <f t="shared" ref="AC427:AC458" si="267">SUM(AA427*AB427)</f>
        <v>71.324575</v>
      </c>
      <c r="AD427" s="73">
        <f t="shared" ref="AD427:AD458" si="268">SUM(W427+AC427)</f>
        <v>278.588325</v>
      </c>
      <c r="AE427" s="73">
        <f t="shared" si="265"/>
        <v>741.411675</v>
      </c>
    </row>
    <row r="428" customFormat="1" spans="1:31">
      <c r="A428" s="18"/>
      <c r="B428" s="19"/>
      <c r="C428" s="20">
        <v>240515000006</v>
      </c>
      <c r="D428" s="21">
        <v>45428</v>
      </c>
      <c r="E428" s="21" t="s">
        <v>41</v>
      </c>
      <c r="F428" s="19" t="s">
        <v>42</v>
      </c>
      <c r="G428" s="19" t="s">
        <v>161</v>
      </c>
      <c r="H428" s="19">
        <v>0.42</v>
      </c>
      <c r="I428" s="52"/>
      <c r="J428" s="48">
        <v>23575</v>
      </c>
      <c r="K428" s="43"/>
      <c r="L428" s="49">
        <f t="shared" si="262"/>
        <v>1480.84170854271</v>
      </c>
      <c r="M428" s="50">
        <v>15.92</v>
      </c>
      <c r="N428" s="45">
        <v>7.22</v>
      </c>
      <c r="O428" s="52">
        <f t="shared" si="263"/>
        <v>114.9424</v>
      </c>
      <c r="P428" s="53"/>
      <c r="Q428" s="53"/>
      <c r="R428" s="73">
        <f t="shared" si="259"/>
        <v>21</v>
      </c>
      <c r="S428" s="73"/>
      <c r="T428" s="74">
        <f t="shared" si="260"/>
        <v>0.76269375</v>
      </c>
      <c r="U428" s="73"/>
      <c r="V428" s="73"/>
      <c r="W428" s="73">
        <f t="shared" ref="W428:W459" si="269">SUM(R428:V428)</f>
        <v>21.76269375</v>
      </c>
      <c r="X428" s="75">
        <f t="shared" si="261"/>
        <v>1.03726875</v>
      </c>
      <c r="Y428" s="75"/>
      <c r="Z428" s="75"/>
      <c r="AA428" s="75">
        <f t="shared" si="264"/>
        <v>1.03726875</v>
      </c>
      <c r="AB428" s="84">
        <v>7.22</v>
      </c>
      <c r="AC428" s="73">
        <f t="shared" si="267"/>
        <v>7.489080375</v>
      </c>
      <c r="AD428" s="73">
        <f t="shared" si="268"/>
        <v>29.251774125</v>
      </c>
      <c r="AE428" s="73">
        <f t="shared" si="265"/>
        <v>85.690625875</v>
      </c>
    </row>
    <row r="429" customFormat="1" ht="24" customHeight="1" spans="1:31">
      <c r="A429" s="105" t="s">
        <v>348</v>
      </c>
      <c r="B429" s="106" t="s">
        <v>349</v>
      </c>
      <c r="C429" s="107">
        <v>240511000015</v>
      </c>
      <c r="D429" s="21">
        <v>45428</v>
      </c>
      <c r="E429" s="21" t="s">
        <v>54</v>
      </c>
      <c r="F429" s="106" t="s">
        <v>54</v>
      </c>
      <c r="G429" s="106" t="s">
        <v>350</v>
      </c>
      <c r="H429" s="106">
        <v>3743</v>
      </c>
      <c r="I429" s="108">
        <v>175599.5</v>
      </c>
      <c r="J429" s="42"/>
      <c r="K429" s="43"/>
      <c r="L429" s="106"/>
      <c r="M429" s="109"/>
      <c r="N429" s="110"/>
      <c r="O429" s="111">
        <f t="shared" si="266"/>
        <v>175599.5</v>
      </c>
      <c r="P429" s="112">
        <f>SUM(O429)</f>
        <v>175599.5</v>
      </c>
      <c r="Q429" s="114" t="s">
        <v>351</v>
      </c>
      <c r="R429" s="112">
        <v>148274.2</v>
      </c>
      <c r="S429" s="112"/>
      <c r="T429" s="115">
        <f>SUM(202.56+147.57)</f>
        <v>350.13</v>
      </c>
      <c r="U429" s="112"/>
      <c r="V429" s="112"/>
      <c r="W429" s="73">
        <f t="shared" si="269"/>
        <v>148624.33</v>
      </c>
      <c r="X429" s="43">
        <v>2044.44</v>
      </c>
      <c r="Y429" s="43"/>
      <c r="Z429" s="43"/>
      <c r="AA429" s="75">
        <f t="shared" si="264"/>
        <v>2044.44</v>
      </c>
      <c r="AB429" s="84">
        <v>7.22</v>
      </c>
      <c r="AC429" s="73">
        <f t="shared" si="267"/>
        <v>14760.8568</v>
      </c>
      <c r="AD429" s="73">
        <f t="shared" si="268"/>
        <v>163385.1868</v>
      </c>
      <c r="AE429" s="73">
        <f t="shared" si="265"/>
        <v>12214.3132</v>
      </c>
    </row>
    <row r="430" customFormat="1" spans="1:31">
      <c r="A430" s="18" t="s">
        <v>352</v>
      </c>
      <c r="B430" s="19" t="s">
        <v>353</v>
      </c>
      <c r="C430" s="20">
        <v>240423000026</v>
      </c>
      <c r="D430" s="21">
        <v>45428</v>
      </c>
      <c r="E430" s="21" t="s">
        <v>44</v>
      </c>
      <c r="F430" s="19" t="s">
        <v>45</v>
      </c>
      <c r="G430" s="19" t="s">
        <v>119</v>
      </c>
      <c r="H430" s="19">
        <v>462</v>
      </c>
      <c r="I430" s="41">
        <v>25179</v>
      </c>
      <c r="J430" s="42"/>
      <c r="K430" s="43"/>
      <c r="L430" s="19"/>
      <c r="M430" s="44"/>
      <c r="N430" s="45"/>
      <c r="O430" s="111">
        <f t="shared" si="266"/>
        <v>25179</v>
      </c>
      <c r="P430" s="47">
        <f>SUM(O430:O533)</f>
        <v>237565.837122</v>
      </c>
      <c r="Q430" s="113" t="s">
        <v>354</v>
      </c>
      <c r="R430" s="73">
        <f>SUM(171000.3/3743)*H430</f>
        <v>21106.6360138926</v>
      </c>
      <c r="S430" s="73"/>
      <c r="T430" s="74">
        <f>SUM(223.59/3743)*H430</f>
        <v>27.5978039006145</v>
      </c>
      <c r="U430" s="73"/>
      <c r="V430" s="73"/>
      <c r="W430" s="73">
        <f t="shared" si="269"/>
        <v>21134.2338177932</v>
      </c>
      <c r="X430" s="75">
        <f>SUM(2782.52/3743)*H430</f>
        <v>343.44756612343</v>
      </c>
      <c r="Y430" s="75"/>
      <c r="Z430" s="75"/>
      <c r="AA430" s="75">
        <f t="shared" si="264"/>
        <v>343.44756612343</v>
      </c>
      <c r="AB430" s="84">
        <v>7.22</v>
      </c>
      <c r="AC430" s="73">
        <f t="shared" si="267"/>
        <v>2479.69142741117</v>
      </c>
      <c r="AD430" s="73">
        <f t="shared" si="268"/>
        <v>23613.9252452044</v>
      </c>
      <c r="AE430" s="73">
        <f t="shared" si="265"/>
        <v>1565.07475479562</v>
      </c>
    </row>
    <row r="431" customFormat="1" spans="1:31">
      <c r="A431" s="18"/>
      <c r="B431" s="19"/>
      <c r="C431" s="20">
        <v>240506000056</v>
      </c>
      <c r="D431" s="21">
        <v>45428</v>
      </c>
      <c r="E431" s="21" t="s">
        <v>47</v>
      </c>
      <c r="F431" s="19" t="s">
        <v>48</v>
      </c>
      <c r="G431" s="19" t="s">
        <v>74</v>
      </c>
      <c r="H431" s="19">
        <v>2</v>
      </c>
      <c r="I431" s="52"/>
      <c r="J431" s="48">
        <v>25228</v>
      </c>
      <c r="K431" s="43"/>
      <c r="L431" s="49">
        <f t="shared" si="262"/>
        <v>1530.82524271845</v>
      </c>
      <c r="M431" s="50">
        <v>16.48</v>
      </c>
      <c r="N431" s="45">
        <v>7.22</v>
      </c>
      <c r="O431" s="46">
        <f t="shared" si="263"/>
        <v>118.9856</v>
      </c>
      <c r="P431" s="51"/>
      <c r="Q431" s="51"/>
      <c r="R431" s="73">
        <f t="shared" ref="R431:R462" si="270">SUM(171000.3/3743)*H431</f>
        <v>91.3707186748597</v>
      </c>
      <c r="S431" s="73"/>
      <c r="T431" s="74">
        <f t="shared" ref="T431:T462" si="271">SUM(223.59/3743)*H431</f>
        <v>0.119471012556773</v>
      </c>
      <c r="U431" s="73"/>
      <c r="V431" s="73"/>
      <c r="W431" s="73">
        <f t="shared" si="269"/>
        <v>91.4901896874165</v>
      </c>
      <c r="X431" s="75">
        <f t="shared" ref="X431:X462" si="272">SUM(2782.52/3743)*H431</f>
        <v>1.48678600053433</v>
      </c>
      <c r="Y431" s="75"/>
      <c r="Z431" s="75"/>
      <c r="AA431" s="75">
        <f t="shared" si="264"/>
        <v>1.48678600053433</v>
      </c>
      <c r="AB431" s="84">
        <v>7.22</v>
      </c>
      <c r="AC431" s="73">
        <f t="shared" si="267"/>
        <v>10.7345949238579</v>
      </c>
      <c r="AD431" s="73">
        <f t="shared" si="268"/>
        <v>102.224784611274</v>
      </c>
      <c r="AE431" s="73">
        <f t="shared" si="265"/>
        <v>16.7608153887256</v>
      </c>
    </row>
    <row r="432" customFormat="1" spans="1:31">
      <c r="A432" s="18"/>
      <c r="B432" s="19"/>
      <c r="C432" s="20">
        <v>240506000061</v>
      </c>
      <c r="D432" s="21">
        <v>45428</v>
      </c>
      <c r="E432" s="21" t="s">
        <v>41</v>
      </c>
      <c r="F432" s="19" t="s">
        <v>42</v>
      </c>
      <c r="G432" s="19" t="s">
        <v>142</v>
      </c>
      <c r="H432" s="19">
        <v>11.5</v>
      </c>
      <c r="I432" s="52"/>
      <c r="J432" s="48">
        <v>120750</v>
      </c>
      <c r="K432" s="43"/>
      <c r="L432" s="49">
        <f t="shared" si="262"/>
        <v>1516.38829586839</v>
      </c>
      <c r="M432" s="50">
        <v>79.63</v>
      </c>
      <c r="N432" s="45">
        <v>7.22</v>
      </c>
      <c r="O432" s="46">
        <f t="shared" si="263"/>
        <v>574.9286</v>
      </c>
      <c r="P432" s="51"/>
      <c r="Q432" s="51"/>
      <c r="R432" s="73">
        <f t="shared" si="270"/>
        <v>525.381632380443</v>
      </c>
      <c r="S432" s="73"/>
      <c r="T432" s="74">
        <f t="shared" si="271"/>
        <v>0.686958322201443</v>
      </c>
      <c r="U432" s="73"/>
      <c r="V432" s="73"/>
      <c r="W432" s="73">
        <f t="shared" si="269"/>
        <v>526.068590702645</v>
      </c>
      <c r="X432" s="75">
        <f t="shared" si="272"/>
        <v>8.5490195030724</v>
      </c>
      <c r="Y432" s="75"/>
      <c r="Z432" s="75"/>
      <c r="AA432" s="75">
        <f t="shared" si="264"/>
        <v>8.5490195030724</v>
      </c>
      <c r="AB432" s="84">
        <v>7.22</v>
      </c>
      <c r="AC432" s="73">
        <f t="shared" si="267"/>
        <v>61.7239208121827</v>
      </c>
      <c r="AD432" s="73">
        <f t="shared" si="268"/>
        <v>587.792511514828</v>
      </c>
      <c r="AE432" s="73">
        <f t="shared" si="265"/>
        <v>-12.8639115148277</v>
      </c>
    </row>
    <row r="433" customFormat="1" spans="1:31">
      <c r="A433" s="18"/>
      <c r="B433" s="19"/>
      <c r="C433" s="20">
        <v>240506000066</v>
      </c>
      <c r="D433" s="21">
        <v>45428</v>
      </c>
      <c r="E433" s="21" t="s">
        <v>37</v>
      </c>
      <c r="F433" s="19" t="s">
        <v>38</v>
      </c>
      <c r="G433" s="19" t="s">
        <v>355</v>
      </c>
      <c r="H433" s="19">
        <v>1.5</v>
      </c>
      <c r="I433" s="41">
        <v>99</v>
      </c>
      <c r="J433" s="42"/>
      <c r="K433" s="43"/>
      <c r="L433" s="19"/>
      <c r="M433" s="44"/>
      <c r="N433" s="45"/>
      <c r="O433" s="111">
        <f t="shared" ref="O433:O437" si="273">SUM(I433)</f>
        <v>99</v>
      </c>
      <c r="P433" s="51"/>
      <c r="Q433" s="51"/>
      <c r="R433" s="73">
        <f t="shared" si="270"/>
        <v>68.5280390061448</v>
      </c>
      <c r="S433" s="73"/>
      <c r="T433" s="74">
        <f t="shared" si="271"/>
        <v>0.0896032594175795</v>
      </c>
      <c r="U433" s="73"/>
      <c r="V433" s="73"/>
      <c r="W433" s="73">
        <f t="shared" si="269"/>
        <v>68.6176422655624</v>
      </c>
      <c r="X433" s="75">
        <f t="shared" si="272"/>
        <v>1.11508950040075</v>
      </c>
      <c r="Y433" s="75"/>
      <c r="Z433" s="75"/>
      <c r="AA433" s="75">
        <f t="shared" si="264"/>
        <v>1.11508950040075</v>
      </c>
      <c r="AB433" s="84">
        <v>7.22</v>
      </c>
      <c r="AC433" s="73">
        <f t="shared" si="267"/>
        <v>8.0509461928934</v>
      </c>
      <c r="AD433" s="73">
        <f t="shared" si="268"/>
        <v>76.6685884584558</v>
      </c>
      <c r="AE433" s="73">
        <f t="shared" si="265"/>
        <v>22.3314115415442</v>
      </c>
    </row>
    <row r="434" customFormat="1" spans="1:31">
      <c r="A434" s="18"/>
      <c r="B434" s="19"/>
      <c r="C434" s="20">
        <v>240507000012</v>
      </c>
      <c r="D434" s="21">
        <v>45428</v>
      </c>
      <c r="E434" s="21" t="s">
        <v>41</v>
      </c>
      <c r="F434" s="19" t="s">
        <v>42</v>
      </c>
      <c r="G434" s="19" t="s">
        <v>141</v>
      </c>
      <c r="H434" s="19">
        <v>128.5</v>
      </c>
      <c r="I434" s="52"/>
      <c r="J434" s="48">
        <v>1512959</v>
      </c>
      <c r="K434" s="43"/>
      <c r="L434" s="49">
        <f t="shared" ref="L434:L438" si="274">SUM(J434/M434)</f>
        <v>1465.66208453215</v>
      </c>
      <c r="M434" s="50">
        <v>1032.27</v>
      </c>
      <c r="N434" s="45">
        <v>7.22</v>
      </c>
      <c r="O434" s="46">
        <f t="shared" ref="O434:O438" si="275">SUM(M434*N434)</f>
        <v>7452.9894</v>
      </c>
      <c r="P434" s="51"/>
      <c r="Q434" s="51"/>
      <c r="R434" s="73">
        <f t="shared" si="270"/>
        <v>5870.56867485974</v>
      </c>
      <c r="S434" s="73"/>
      <c r="T434" s="74">
        <f t="shared" si="271"/>
        <v>7.67601255677264</v>
      </c>
      <c r="U434" s="73"/>
      <c r="V434" s="73"/>
      <c r="W434" s="73">
        <f t="shared" si="269"/>
        <v>5878.24468741651</v>
      </c>
      <c r="X434" s="75">
        <f t="shared" si="272"/>
        <v>95.5260005343307</v>
      </c>
      <c r="Y434" s="75"/>
      <c r="Z434" s="75"/>
      <c r="AA434" s="75">
        <f t="shared" si="264"/>
        <v>95.5260005343307</v>
      </c>
      <c r="AB434" s="84">
        <v>7.22</v>
      </c>
      <c r="AC434" s="73">
        <f t="shared" si="267"/>
        <v>689.697723857868</v>
      </c>
      <c r="AD434" s="73">
        <f t="shared" si="268"/>
        <v>6567.94241127438</v>
      </c>
      <c r="AE434" s="73">
        <f t="shared" si="265"/>
        <v>885.046988725622</v>
      </c>
    </row>
    <row r="435" customFormat="1" spans="1:31">
      <c r="A435" s="18"/>
      <c r="B435" s="19"/>
      <c r="C435" s="20">
        <v>240507000039</v>
      </c>
      <c r="D435" s="21">
        <v>45428</v>
      </c>
      <c r="E435" s="21" t="s">
        <v>44</v>
      </c>
      <c r="F435" s="19" t="s">
        <v>45</v>
      </c>
      <c r="G435" s="19" t="s">
        <v>164</v>
      </c>
      <c r="H435" s="19">
        <v>1.5</v>
      </c>
      <c r="I435" s="41">
        <v>61</v>
      </c>
      <c r="J435" s="42"/>
      <c r="K435" s="43"/>
      <c r="L435" s="19"/>
      <c r="M435" s="44"/>
      <c r="N435" s="45"/>
      <c r="O435" s="111">
        <f t="shared" si="273"/>
        <v>61</v>
      </c>
      <c r="P435" s="51"/>
      <c r="Q435" s="51"/>
      <c r="R435" s="73">
        <f t="shared" si="270"/>
        <v>68.5280390061448</v>
      </c>
      <c r="S435" s="73"/>
      <c r="T435" s="74">
        <f t="shared" si="271"/>
        <v>0.0896032594175795</v>
      </c>
      <c r="U435" s="73"/>
      <c r="V435" s="73"/>
      <c r="W435" s="73">
        <f t="shared" si="269"/>
        <v>68.6176422655624</v>
      </c>
      <c r="X435" s="75">
        <f t="shared" si="272"/>
        <v>1.11508950040075</v>
      </c>
      <c r="Y435" s="75"/>
      <c r="Z435" s="75"/>
      <c r="AA435" s="75">
        <f t="shared" si="264"/>
        <v>1.11508950040075</v>
      </c>
      <c r="AB435" s="84">
        <v>7.22</v>
      </c>
      <c r="AC435" s="73">
        <f t="shared" si="267"/>
        <v>8.0509461928934</v>
      </c>
      <c r="AD435" s="73">
        <f t="shared" si="268"/>
        <v>76.6685884584558</v>
      </c>
      <c r="AE435" s="73">
        <f t="shared" si="265"/>
        <v>-15.6685884584558</v>
      </c>
    </row>
    <row r="436" customFormat="1" spans="1:31">
      <c r="A436" s="18"/>
      <c r="B436" s="19"/>
      <c r="C436" s="20">
        <v>240507000046</v>
      </c>
      <c r="D436" s="21">
        <v>45428</v>
      </c>
      <c r="E436" s="21" t="s">
        <v>41</v>
      </c>
      <c r="F436" s="19" t="s">
        <v>42</v>
      </c>
      <c r="G436" s="19" t="s">
        <v>110</v>
      </c>
      <c r="H436" s="19">
        <v>7</v>
      </c>
      <c r="I436" s="52"/>
      <c r="J436" s="48">
        <v>106424</v>
      </c>
      <c r="K436" s="43"/>
      <c r="L436" s="49">
        <f t="shared" si="274"/>
        <v>1530.84004602992</v>
      </c>
      <c r="M436" s="50">
        <v>69.52</v>
      </c>
      <c r="N436" s="45">
        <v>7.22</v>
      </c>
      <c r="O436" s="46">
        <f t="shared" si="275"/>
        <v>501.9344</v>
      </c>
      <c r="P436" s="51"/>
      <c r="Q436" s="51"/>
      <c r="R436" s="73">
        <f t="shared" si="270"/>
        <v>319.797515362009</v>
      </c>
      <c r="S436" s="73"/>
      <c r="T436" s="74">
        <f t="shared" si="271"/>
        <v>0.418148543948704</v>
      </c>
      <c r="U436" s="73"/>
      <c r="V436" s="74">
        <v>69</v>
      </c>
      <c r="W436" s="73">
        <f t="shared" si="269"/>
        <v>389.215663905958</v>
      </c>
      <c r="X436" s="75">
        <f t="shared" si="272"/>
        <v>5.20375100187016</v>
      </c>
      <c r="Y436" s="75"/>
      <c r="Z436" s="75"/>
      <c r="AA436" s="75">
        <f t="shared" si="264"/>
        <v>5.20375100187016</v>
      </c>
      <c r="AB436" s="84">
        <v>7.22</v>
      </c>
      <c r="AC436" s="73">
        <f t="shared" si="267"/>
        <v>37.5710822335025</v>
      </c>
      <c r="AD436" s="73">
        <f t="shared" si="268"/>
        <v>426.78674613946</v>
      </c>
      <c r="AE436" s="73">
        <f t="shared" si="265"/>
        <v>75.1476538605397</v>
      </c>
    </row>
    <row r="437" customFormat="1" spans="1:31">
      <c r="A437" s="18"/>
      <c r="B437" s="19"/>
      <c r="C437" s="20">
        <v>240507000048</v>
      </c>
      <c r="D437" s="21">
        <v>45428</v>
      </c>
      <c r="E437" s="21" t="s">
        <v>41</v>
      </c>
      <c r="F437" s="19" t="s">
        <v>42</v>
      </c>
      <c r="G437" s="19" t="s">
        <v>356</v>
      </c>
      <c r="H437" s="19">
        <v>4</v>
      </c>
      <c r="I437" s="41">
        <v>235</v>
      </c>
      <c r="J437" s="42"/>
      <c r="K437" s="43"/>
      <c r="L437" s="19"/>
      <c r="M437" s="44"/>
      <c r="N437" s="45"/>
      <c r="O437" s="111">
        <f t="shared" si="273"/>
        <v>235</v>
      </c>
      <c r="P437" s="51"/>
      <c r="Q437" s="51"/>
      <c r="R437" s="73">
        <f t="shared" si="270"/>
        <v>182.741437349719</v>
      </c>
      <c r="S437" s="73"/>
      <c r="T437" s="74">
        <f t="shared" si="271"/>
        <v>0.238942025113545</v>
      </c>
      <c r="U437" s="73"/>
      <c r="V437" s="73"/>
      <c r="W437" s="73">
        <f t="shared" si="269"/>
        <v>182.980379374833</v>
      </c>
      <c r="X437" s="75">
        <f t="shared" si="272"/>
        <v>2.97357200106866</v>
      </c>
      <c r="Y437" s="75"/>
      <c r="Z437" s="75"/>
      <c r="AA437" s="75">
        <f t="shared" si="264"/>
        <v>2.97357200106866</v>
      </c>
      <c r="AB437" s="84">
        <v>7.22</v>
      </c>
      <c r="AC437" s="73">
        <f t="shared" si="267"/>
        <v>21.4691898477157</v>
      </c>
      <c r="AD437" s="73">
        <f t="shared" si="268"/>
        <v>204.449569222549</v>
      </c>
      <c r="AE437" s="73">
        <f t="shared" si="265"/>
        <v>30.5504307774513</v>
      </c>
    </row>
    <row r="438" customFormat="1" spans="1:31">
      <c r="A438" s="18"/>
      <c r="B438" s="19"/>
      <c r="C438" s="20">
        <v>240507000057</v>
      </c>
      <c r="D438" s="21">
        <v>45428</v>
      </c>
      <c r="E438" s="21" t="s">
        <v>41</v>
      </c>
      <c r="F438" s="19" t="s">
        <v>42</v>
      </c>
      <c r="G438" s="19" t="s">
        <v>141</v>
      </c>
      <c r="H438" s="19">
        <v>33</v>
      </c>
      <c r="I438" s="52"/>
      <c r="J438" s="48">
        <v>388542</v>
      </c>
      <c r="K438" s="43"/>
      <c r="L438" s="49">
        <f t="shared" si="274"/>
        <v>1465.69844203855</v>
      </c>
      <c r="M438" s="50">
        <v>265.09</v>
      </c>
      <c r="N438" s="45">
        <v>7.22</v>
      </c>
      <c r="O438" s="46">
        <f t="shared" si="275"/>
        <v>1913.9498</v>
      </c>
      <c r="P438" s="51"/>
      <c r="Q438" s="51"/>
      <c r="R438" s="73">
        <f t="shared" si="270"/>
        <v>1507.61685813519</v>
      </c>
      <c r="S438" s="73"/>
      <c r="T438" s="74">
        <f t="shared" si="271"/>
        <v>1.97127170718675</v>
      </c>
      <c r="U438" s="73"/>
      <c r="V438" s="73"/>
      <c r="W438" s="73">
        <f t="shared" si="269"/>
        <v>1509.58812984237</v>
      </c>
      <c r="X438" s="75">
        <f t="shared" si="272"/>
        <v>24.5319690088165</v>
      </c>
      <c r="Y438" s="75"/>
      <c r="Z438" s="75"/>
      <c r="AA438" s="75">
        <f t="shared" si="264"/>
        <v>24.5319690088165</v>
      </c>
      <c r="AB438" s="84">
        <v>7.22</v>
      </c>
      <c r="AC438" s="73">
        <f t="shared" si="267"/>
        <v>177.120816243655</v>
      </c>
      <c r="AD438" s="73">
        <f t="shared" si="268"/>
        <v>1686.70894608603</v>
      </c>
      <c r="AE438" s="73">
        <f t="shared" si="265"/>
        <v>227.240853913973</v>
      </c>
    </row>
    <row r="439" customFormat="1" spans="1:31">
      <c r="A439" s="18"/>
      <c r="B439" s="19"/>
      <c r="C439" s="20">
        <v>240507000058</v>
      </c>
      <c r="D439" s="21">
        <v>45428</v>
      </c>
      <c r="E439" s="21" t="s">
        <v>47</v>
      </c>
      <c r="F439" s="19" t="s">
        <v>48</v>
      </c>
      <c r="G439" s="19" t="s">
        <v>134</v>
      </c>
      <c r="H439" s="19">
        <v>4.5</v>
      </c>
      <c r="I439" s="41">
        <v>264</v>
      </c>
      <c r="J439" s="42"/>
      <c r="K439" s="43"/>
      <c r="L439" s="19"/>
      <c r="M439" s="44"/>
      <c r="N439" s="45"/>
      <c r="O439" s="111">
        <f t="shared" ref="O439:O451" si="276">SUM(I439)</f>
        <v>264</v>
      </c>
      <c r="P439" s="51"/>
      <c r="Q439" s="51"/>
      <c r="R439" s="73">
        <f t="shared" si="270"/>
        <v>205.584117018434</v>
      </c>
      <c r="S439" s="73"/>
      <c r="T439" s="74">
        <f t="shared" si="271"/>
        <v>0.268809778252738</v>
      </c>
      <c r="U439" s="73"/>
      <c r="V439" s="73"/>
      <c r="W439" s="73">
        <f t="shared" si="269"/>
        <v>205.852926796687</v>
      </c>
      <c r="X439" s="75">
        <f t="shared" si="272"/>
        <v>3.34526850120224</v>
      </c>
      <c r="Y439" s="75"/>
      <c r="Z439" s="75"/>
      <c r="AA439" s="75">
        <f t="shared" si="264"/>
        <v>3.34526850120224</v>
      </c>
      <c r="AB439" s="84">
        <v>7.22</v>
      </c>
      <c r="AC439" s="73">
        <f t="shared" si="267"/>
        <v>24.1528385786802</v>
      </c>
      <c r="AD439" s="73">
        <f t="shared" si="268"/>
        <v>230.005765375367</v>
      </c>
      <c r="AE439" s="73">
        <f t="shared" si="265"/>
        <v>33.9942346246327</v>
      </c>
    </row>
    <row r="440" customFormat="1" spans="1:31">
      <c r="A440" s="18"/>
      <c r="B440" s="19"/>
      <c r="C440" s="20">
        <v>240507000059</v>
      </c>
      <c r="D440" s="21">
        <v>45428</v>
      </c>
      <c r="E440" s="21" t="s">
        <v>47</v>
      </c>
      <c r="F440" s="19" t="s">
        <v>48</v>
      </c>
      <c r="G440" s="19" t="s">
        <v>134</v>
      </c>
      <c r="H440" s="19">
        <v>8.5</v>
      </c>
      <c r="I440" s="41">
        <v>473.5</v>
      </c>
      <c r="J440" s="42"/>
      <c r="K440" s="43"/>
      <c r="L440" s="19"/>
      <c r="M440" s="44"/>
      <c r="N440" s="45"/>
      <c r="O440" s="111">
        <f t="shared" si="276"/>
        <v>473.5</v>
      </c>
      <c r="P440" s="51"/>
      <c r="Q440" s="51"/>
      <c r="R440" s="73">
        <f t="shared" si="270"/>
        <v>388.325554368154</v>
      </c>
      <c r="S440" s="73"/>
      <c r="T440" s="74">
        <f t="shared" si="271"/>
        <v>0.507751803366284</v>
      </c>
      <c r="U440" s="73"/>
      <c r="V440" s="73"/>
      <c r="W440" s="73">
        <f t="shared" si="269"/>
        <v>388.83330617152</v>
      </c>
      <c r="X440" s="75">
        <f t="shared" si="272"/>
        <v>6.31884050227091</v>
      </c>
      <c r="Y440" s="75"/>
      <c r="Z440" s="75"/>
      <c r="AA440" s="75">
        <f t="shared" si="264"/>
        <v>6.31884050227091</v>
      </c>
      <c r="AB440" s="84">
        <v>7.22</v>
      </c>
      <c r="AC440" s="73">
        <f t="shared" si="267"/>
        <v>45.6220284263959</v>
      </c>
      <c r="AD440" s="73">
        <f t="shared" si="268"/>
        <v>434.455334597916</v>
      </c>
      <c r="AE440" s="73">
        <f t="shared" si="265"/>
        <v>39.0446654020839</v>
      </c>
    </row>
    <row r="441" customFormat="1" spans="1:31">
      <c r="A441" s="18"/>
      <c r="B441" s="19"/>
      <c r="C441" s="20">
        <v>240507000064</v>
      </c>
      <c r="D441" s="21">
        <v>45428</v>
      </c>
      <c r="E441" s="21" t="s">
        <v>41</v>
      </c>
      <c r="F441" s="19" t="s">
        <v>42</v>
      </c>
      <c r="G441" s="19" t="s">
        <v>145</v>
      </c>
      <c r="H441" s="19">
        <v>19.5</v>
      </c>
      <c r="I441" s="52"/>
      <c r="J441" s="48">
        <v>217035</v>
      </c>
      <c r="K441" s="43"/>
      <c r="L441" s="49">
        <f t="shared" ref="L441:L443" si="277">SUM(J441/M441)</f>
        <v>1516.24283917843</v>
      </c>
      <c r="M441" s="50">
        <v>143.14</v>
      </c>
      <c r="N441" s="45">
        <v>7.22</v>
      </c>
      <c r="O441" s="46">
        <f t="shared" ref="O441:O443" si="278">SUM(M441*N441)</f>
        <v>1033.4708</v>
      </c>
      <c r="P441" s="51"/>
      <c r="Q441" s="51"/>
      <c r="R441" s="73">
        <f t="shared" si="270"/>
        <v>890.864507079882</v>
      </c>
      <c r="S441" s="73"/>
      <c r="T441" s="74">
        <f t="shared" si="271"/>
        <v>1.16484237242853</v>
      </c>
      <c r="U441" s="73"/>
      <c r="V441" s="73"/>
      <c r="W441" s="73">
        <f t="shared" si="269"/>
        <v>892.029349452311</v>
      </c>
      <c r="X441" s="75">
        <f t="shared" si="272"/>
        <v>14.4961635052097</v>
      </c>
      <c r="Y441" s="75"/>
      <c r="Z441" s="75"/>
      <c r="AA441" s="75">
        <f t="shared" si="264"/>
        <v>14.4961635052097</v>
      </c>
      <c r="AB441" s="84">
        <v>7.22</v>
      </c>
      <c r="AC441" s="73">
        <f t="shared" si="267"/>
        <v>104.662300507614</v>
      </c>
      <c r="AD441" s="73">
        <f t="shared" si="268"/>
        <v>996.691649959925</v>
      </c>
      <c r="AE441" s="73">
        <f t="shared" si="265"/>
        <v>36.7791500400749</v>
      </c>
    </row>
    <row r="442" customFormat="1" spans="1:31">
      <c r="A442" s="18"/>
      <c r="B442" s="19"/>
      <c r="C442" s="20">
        <v>240508000003</v>
      </c>
      <c r="D442" s="21">
        <v>45428</v>
      </c>
      <c r="E442" s="21" t="s">
        <v>37</v>
      </c>
      <c r="F442" s="19" t="s">
        <v>38</v>
      </c>
      <c r="G442" s="19" t="s">
        <v>132</v>
      </c>
      <c r="H442" s="19">
        <v>0.98</v>
      </c>
      <c r="I442" s="46"/>
      <c r="J442" s="48">
        <v>13072</v>
      </c>
      <c r="K442" s="43"/>
      <c r="L442" s="49">
        <f t="shared" si="277"/>
        <v>1520</v>
      </c>
      <c r="M442" s="50">
        <v>8.6</v>
      </c>
      <c r="N442" s="45">
        <v>7.22</v>
      </c>
      <c r="O442" s="111">
        <f t="shared" si="278"/>
        <v>62.092</v>
      </c>
      <c r="P442" s="51"/>
      <c r="Q442" s="51"/>
      <c r="R442" s="73">
        <f t="shared" si="270"/>
        <v>44.7716521506813</v>
      </c>
      <c r="S442" s="73"/>
      <c r="T442" s="74">
        <f t="shared" si="271"/>
        <v>0.0585407961528186</v>
      </c>
      <c r="U442" s="73"/>
      <c r="V442" s="73"/>
      <c r="W442" s="73">
        <f t="shared" si="269"/>
        <v>44.8301929468341</v>
      </c>
      <c r="X442" s="75">
        <f t="shared" si="272"/>
        <v>0.728525140261822</v>
      </c>
      <c r="Y442" s="75"/>
      <c r="Z442" s="75"/>
      <c r="AA442" s="75">
        <f t="shared" si="264"/>
        <v>0.728525140261822</v>
      </c>
      <c r="AB442" s="84">
        <v>7.22</v>
      </c>
      <c r="AC442" s="73">
        <f t="shared" si="267"/>
        <v>5.25995151269036</v>
      </c>
      <c r="AD442" s="73">
        <f t="shared" si="268"/>
        <v>50.0901444595244</v>
      </c>
      <c r="AE442" s="73">
        <f t="shared" si="265"/>
        <v>12.0018555404756</v>
      </c>
    </row>
    <row r="443" customFormat="1" spans="1:31">
      <c r="A443" s="18"/>
      <c r="B443" s="19"/>
      <c r="C443" s="20">
        <v>240508000004</v>
      </c>
      <c r="D443" s="21">
        <v>45428</v>
      </c>
      <c r="E443" s="21" t="s">
        <v>37</v>
      </c>
      <c r="F443" s="19" t="s">
        <v>38</v>
      </c>
      <c r="G443" s="19" t="s">
        <v>132</v>
      </c>
      <c r="H443" s="19">
        <v>2</v>
      </c>
      <c r="I443" s="46"/>
      <c r="J443" s="48">
        <v>25384</v>
      </c>
      <c r="K443" s="43"/>
      <c r="L443" s="49">
        <f t="shared" si="277"/>
        <v>1520</v>
      </c>
      <c r="M443" s="50">
        <v>16.7</v>
      </c>
      <c r="N443" s="45">
        <v>7.22</v>
      </c>
      <c r="O443" s="111">
        <f t="shared" si="278"/>
        <v>120.574</v>
      </c>
      <c r="P443" s="51"/>
      <c r="Q443" s="51"/>
      <c r="R443" s="73">
        <f t="shared" si="270"/>
        <v>91.3707186748597</v>
      </c>
      <c r="S443" s="73"/>
      <c r="T443" s="74">
        <f t="shared" si="271"/>
        <v>0.119471012556773</v>
      </c>
      <c r="U443" s="73"/>
      <c r="V443" s="73"/>
      <c r="W443" s="73">
        <f t="shared" si="269"/>
        <v>91.4901896874165</v>
      </c>
      <c r="X443" s="75">
        <f t="shared" si="272"/>
        <v>1.48678600053433</v>
      </c>
      <c r="Y443" s="75"/>
      <c r="Z443" s="75"/>
      <c r="AA443" s="75">
        <f t="shared" si="264"/>
        <v>1.48678600053433</v>
      </c>
      <c r="AB443" s="84">
        <v>7.22</v>
      </c>
      <c r="AC443" s="73">
        <f t="shared" si="267"/>
        <v>10.7345949238579</v>
      </c>
      <c r="AD443" s="73">
        <f t="shared" si="268"/>
        <v>102.224784611274</v>
      </c>
      <c r="AE443" s="73">
        <f t="shared" si="265"/>
        <v>18.3492153887256</v>
      </c>
    </row>
    <row r="444" customFormat="1" spans="1:31">
      <c r="A444" s="18"/>
      <c r="B444" s="19"/>
      <c r="C444" s="20">
        <v>240508000005</v>
      </c>
      <c r="D444" s="21">
        <v>45428</v>
      </c>
      <c r="E444" s="21" t="s">
        <v>41</v>
      </c>
      <c r="F444" s="19" t="s">
        <v>42</v>
      </c>
      <c r="G444" s="19" t="s">
        <v>357</v>
      </c>
      <c r="H444" s="19">
        <v>17.5</v>
      </c>
      <c r="I444" s="41">
        <v>1052.5</v>
      </c>
      <c r="J444" s="42"/>
      <c r="K444" s="43"/>
      <c r="L444" s="19"/>
      <c r="M444" s="44"/>
      <c r="N444" s="45"/>
      <c r="O444" s="111">
        <f t="shared" si="276"/>
        <v>1052.5</v>
      </c>
      <c r="P444" s="51"/>
      <c r="Q444" s="51"/>
      <c r="R444" s="73">
        <f t="shared" si="270"/>
        <v>799.493788405023</v>
      </c>
      <c r="S444" s="73"/>
      <c r="T444" s="74">
        <f t="shared" si="271"/>
        <v>1.04537135987176</v>
      </c>
      <c r="U444" s="73"/>
      <c r="V444" s="73"/>
      <c r="W444" s="73">
        <f t="shared" si="269"/>
        <v>800.539159764894</v>
      </c>
      <c r="X444" s="75">
        <f t="shared" si="272"/>
        <v>13.0093775046754</v>
      </c>
      <c r="Y444" s="75"/>
      <c r="Z444" s="75"/>
      <c r="AA444" s="75">
        <f t="shared" si="264"/>
        <v>13.0093775046754</v>
      </c>
      <c r="AB444" s="84">
        <v>7.22</v>
      </c>
      <c r="AC444" s="73">
        <f t="shared" si="267"/>
        <v>93.9277055837563</v>
      </c>
      <c r="AD444" s="73">
        <f t="shared" si="268"/>
        <v>894.466865348651</v>
      </c>
      <c r="AE444" s="73">
        <f t="shared" si="265"/>
        <v>158.033134651349</v>
      </c>
    </row>
    <row r="445" customFormat="1" spans="1:31">
      <c r="A445" s="18"/>
      <c r="B445" s="19"/>
      <c r="C445" s="20">
        <v>240508000009</v>
      </c>
      <c r="D445" s="21">
        <v>45428</v>
      </c>
      <c r="E445" s="21" t="s">
        <v>81</v>
      </c>
      <c r="F445" s="19" t="s">
        <v>253</v>
      </c>
      <c r="G445" s="19" t="s">
        <v>150</v>
      </c>
      <c r="H445" s="19">
        <v>5.5</v>
      </c>
      <c r="I445" s="41">
        <v>341.5</v>
      </c>
      <c r="J445" s="42"/>
      <c r="K445" s="43"/>
      <c r="L445" s="19"/>
      <c r="M445" s="44"/>
      <c r="N445" s="45"/>
      <c r="O445" s="111">
        <f t="shared" si="276"/>
        <v>341.5</v>
      </c>
      <c r="P445" s="51"/>
      <c r="Q445" s="51"/>
      <c r="R445" s="73">
        <f t="shared" si="270"/>
        <v>251.269476355864</v>
      </c>
      <c r="S445" s="73"/>
      <c r="T445" s="74">
        <f t="shared" si="271"/>
        <v>0.328545284531125</v>
      </c>
      <c r="U445" s="73"/>
      <c r="V445" s="73"/>
      <c r="W445" s="73">
        <f t="shared" si="269"/>
        <v>251.598021640395</v>
      </c>
      <c r="X445" s="75">
        <f t="shared" si="272"/>
        <v>4.08866150146941</v>
      </c>
      <c r="Y445" s="75"/>
      <c r="Z445" s="75"/>
      <c r="AA445" s="75">
        <f t="shared" si="264"/>
        <v>4.08866150146941</v>
      </c>
      <c r="AB445" s="84">
        <v>7.22</v>
      </c>
      <c r="AC445" s="73">
        <f t="shared" si="267"/>
        <v>29.5201360406091</v>
      </c>
      <c r="AD445" s="73">
        <f t="shared" si="268"/>
        <v>281.118157681005</v>
      </c>
      <c r="AE445" s="73">
        <f t="shared" si="265"/>
        <v>60.3818423189955</v>
      </c>
    </row>
    <row r="446" customFormat="1" spans="1:31">
      <c r="A446" s="18"/>
      <c r="B446" s="19"/>
      <c r="C446" s="20">
        <v>240508000013</v>
      </c>
      <c r="D446" s="21">
        <v>45428</v>
      </c>
      <c r="E446" s="21" t="s">
        <v>44</v>
      </c>
      <c r="F446" s="19" t="s">
        <v>45</v>
      </c>
      <c r="G446" s="19" t="s">
        <v>358</v>
      </c>
      <c r="H446" s="19">
        <v>45</v>
      </c>
      <c r="I446" s="41">
        <v>3035</v>
      </c>
      <c r="J446" s="42"/>
      <c r="K446" s="43"/>
      <c r="L446" s="19"/>
      <c r="M446" s="44"/>
      <c r="N446" s="45"/>
      <c r="O446" s="111">
        <f t="shared" si="276"/>
        <v>3035</v>
      </c>
      <c r="P446" s="51"/>
      <c r="Q446" s="51"/>
      <c r="R446" s="73">
        <f t="shared" si="270"/>
        <v>2055.84117018434</v>
      </c>
      <c r="S446" s="73"/>
      <c r="T446" s="74">
        <f t="shared" si="271"/>
        <v>2.68809778252738</v>
      </c>
      <c r="U446" s="74">
        <v>150</v>
      </c>
      <c r="V446" s="73"/>
      <c r="W446" s="73">
        <f t="shared" si="269"/>
        <v>2208.52926796687</v>
      </c>
      <c r="X446" s="75">
        <f t="shared" si="272"/>
        <v>33.4526850120224</v>
      </c>
      <c r="Y446" s="75"/>
      <c r="Z446" s="75"/>
      <c r="AA446" s="75">
        <f t="shared" si="264"/>
        <v>33.4526850120224</v>
      </c>
      <c r="AB446" s="84">
        <v>7.22</v>
      </c>
      <c r="AC446" s="73">
        <f t="shared" si="267"/>
        <v>241.528385786802</v>
      </c>
      <c r="AD446" s="73">
        <f t="shared" si="268"/>
        <v>2450.05765375367</v>
      </c>
      <c r="AE446" s="73">
        <f t="shared" si="265"/>
        <v>584.942346246327</v>
      </c>
    </row>
    <row r="447" customFormat="1" spans="1:31">
      <c r="A447" s="18"/>
      <c r="B447" s="19"/>
      <c r="C447" s="20">
        <v>240508000019</v>
      </c>
      <c r="D447" s="21">
        <v>45428</v>
      </c>
      <c r="E447" s="21" t="s">
        <v>47</v>
      </c>
      <c r="F447" s="19" t="s">
        <v>48</v>
      </c>
      <c r="G447" s="19" t="s">
        <v>359</v>
      </c>
      <c r="H447" s="19">
        <v>12.5</v>
      </c>
      <c r="I447" s="41">
        <v>693.5</v>
      </c>
      <c r="J447" s="42"/>
      <c r="K447" s="43"/>
      <c r="L447" s="19"/>
      <c r="M447" s="44"/>
      <c r="N447" s="45"/>
      <c r="O447" s="111">
        <f t="shared" si="276"/>
        <v>693.5</v>
      </c>
      <c r="P447" s="51"/>
      <c r="Q447" s="51"/>
      <c r="R447" s="73">
        <f t="shared" si="270"/>
        <v>571.066991717873</v>
      </c>
      <c r="S447" s="73"/>
      <c r="T447" s="74">
        <f t="shared" si="271"/>
        <v>0.746693828479829</v>
      </c>
      <c r="U447" s="73"/>
      <c r="V447" s="73"/>
      <c r="W447" s="73">
        <f t="shared" si="269"/>
        <v>571.813685546353</v>
      </c>
      <c r="X447" s="75">
        <f t="shared" si="272"/>
        <v>9.29241250333957</v>
      </c>
      <c r="Y447" s="75"/>
      <c r="Z447" s="75"/>
      <c r="AA447" s="75">
        <f t="shared" si="264"/>
        <v>9.29241250333957</v>
      </c>
      <c r="AB447" s="84">
        <v>7.22</v>
      </c>
      <c r="AC447" s="73">
        <f t="shared" si="267"/>
        <v>67.0912182741117</v>
      </c>
      <c r="AD447" s="73">
        <f t="shared" si="268"/>
        <v>638.904903820465</v>
      </c>
      <c r="AE447" s="73">
        <f t="shared" si="265"/>
        <v>54.5950961795352</v>
      </c>
    </row>
    <row r="448" customFormat="1" spans="1:31">
      <c r="A448" s="18"/>
      <c r="B448" s="19"/>
      <c r="C448" s="20">
        <v>240508000020</v>
      </c>
      <c r="D448" s="21">
        <v>45428</v>
      </c>
      <c r="E448" s="21" t="s">
        <v>44</v>
      </c>
      <c r="F448" s="19" t="s">
        <v>45</v>
      </c>
      <c r="G448" s="19" t="s">
        <v>104</v>
      </c>
      <c r="H448" s="19">
        <v>19.5</v>
      </c>
      <c r="I448" s="41">
        <v>1316.5</v>
      </c>
      <c r="J448" s="42"/>
      <c r="K448" s="43"/>
      <c r="L448" s="19"/>
      <c r="M448" s="44"/>
      <c r="N448" s="45"/>
      <c r="O448" s="111">
        <f t="shared" si="276"/>
        <v>1316.5</v>
      </c>
      <c r="P448" s="51"/>
      <c r="Q448" s="51"/>
      <c r="R448" s="73">
        <f t="shared" si="270"/>
        <v>890.864507079882</v>
      </c>
      <c r="S448" s="73"/>
      <c r="T448" s="74">
        <f t="shared" si="271"/>
        <v>1.16484237242853</v>
      </c>
      <c r="U448" s="73"/>
      <c r="V448" s="74">
        <v>283</v>
      </c>
      <c r="W448" s="73">
        <f t="shared" si="269"/>
        <v>1175.02934945231</v>
      </c>
      <c r="X448" s="75">
        <f t="shared" si="272"/>
        <v>14.4961635052097</v>
      </c>
      <c r="Y448" s="75"/>
      <c r="Z448" s="75"/>
      <c r="AA448" s="75">
        <f t="shared" si="264"/>
        <v>14.4961635052097</v>
      </c>
      <c r="AB448" s="84">
        <v>7.22</v>
      </c>
      <c r="AC448" s="73">
        <f t="shared" si="267"/>
        <v>104.662300507614</v>
      </c>
      <c r="AD448" s="73">
        <f t="shared" si="268"/>
        <v>1279.69164995993</v>
      </c>
      <c r="AE448" s="73">
        <f t="shared" si="265"/>
        <v>36.8083500400749</v>
      </c>
    </row>
    <row r="449" customFormat="1" spans="1:31">
      <c r="A449" s="18"/>
      <c r="B449" s="19"/>
      <c r="C449" s="20">
        <v>240508000021</v>
      </c>
      <c r="D449" s="21">
        <v>45428</v>
      </c>
      <c r="E449" s="21" t="s">
        <v>44</v>
      </c>
      <c r="F449" s="19" t="s">
        <v>45</v>
      </c>
      <c r="G449" s="19" t="s">
        <v>360</v>
      </c>
      <c r="H449" s="19">
        <v>7</v>
      </c>
      <c r="I449" s="41">
        <v>390</v>
      </c>
      <c r="J449" s="42"/>
      <c r="K449" s="43"/>
      <c r="L449" s="19"/>
      <c r="M449" s="44"/>
      <c r="N449" s="45"/>
      <c r="O449" s="111">
        <f t="shared" si="276"/>
        <v>390</v>
      </c>
      <c r="P449" s="51"/>
      <c r="Q449" s="51"/>
      <c r="R449" s="73">
        <f t="shared" si="270"/>
        <v>319.797515362009</v>
      </c>
      <c r="S449" s="73"/>
      <c r="T449" s="74">
        <f t="shared" si="271"/>
        <v>0.418148543948704</v>
      </c>
      <c r="U449" s="73"/>
      <c r="V449" s="73"/>
      <c r="W449" s="73">
        <f t="shared" si="269"/>
        <v>320.215663905958</v>
      </c>
      <c r="X449" s="75">
        <f t="shared" si="272"/>
        <v>5.20375100187016</v>
      </c>
      <c r="Y449" s="75"/>
      <c r="Z449" s="75"/>
      <c r="AA449" s="75">
        <f t="shared" si="264"/>
        <v>5.20375100187016</v>
      </c>
      <c r="AB449" s="84">
        <v>7.22</v>
      </c>
      <c r="AC449" s="73">
        <f t="shared" si="267"/>
        <v>37.5710822335025</v>
      </c>
      <c r="AD449" s="73">
        <f t="shared" si="268"/>
        <v>357.78674613946</v>
      </c>
      <c r="AE449" s="73">
        <f t="shared" si="265"/>
        <v>32.2132538605397</v>
      </c>
    </row>
    <row r="450" customFormat="1" spans="1:31">
      <c r="A450" s="18"/>
      <c r="B450" s="19"/>
      <c r="C450" s="20">
        <v>240508000023</v>
      </c>
      <c r="D450" s="21">
        <v>45428</v>
      </c>
      <c r="E450" s="21" t="s">
        <v>41</v>
      </c>
      <c r="F450" s="19" t="s">
        <v>42</v>
      </c>
      <c r="G450" s="19" t="s">
        <v>167</v>
      </c>
      <c r="H450" s="19">
        <v>75</v>
      </c>
      <c r="I450" s="41">
        <v>4365</v>
      </c>
      <c r="J450" s="42"/>
      <c r="K450" s="43"/>
      <c r="L450" s="19"/>
      <c r="M450" s="44"/>
      <c r="N450" s="45"/>
      <c r="O450" s="111">
        <f t="shared" si="276"/>
        <v>4365</v>
      </c>
      <c r="P450" s="51"/>
      <c r="Q450" s="51"/>
      <c r="R450" s="73">
        <f t="shared" si="270"/>
        <v>3426.40195030724</v>
      </c>
      <c r="S450" s="73"/>
      <c r="T450" s="74">
        <f t="shared" si="271"/>
        <v>4.48016297087897</v>
      </c>
      <c r="U450" s="73"/>
      <c r="V450" s="74">
        <v>15</v>
      </c>
      <c r="W450" s="73">
        <f t="shared" si="269"/>
        <v>3445.88211327812</v>
      </c>
      <c r="X450" s="75">
        <f t="shared" si="272"/>
        <v>55.7544750200374</v>
      </c>
      <c r="Y450" s="75"/>
      <c r="Z450" s="75"/>
      <c r="AA450" s="75">
        <f t="shared" si="264"/>
        <v>55.7544750200374</v>
      </c>
      <c r="AB450" s="84">
        <v>7.22</v>
      </c>
      <c r="AC450" s="73">
        <f t="shared" si="267"/>
        <v>402.54730964467</v>
      </c>
      <c r="AD450" s="73">
        <f t="shared" si="268"/>
        <v>3848.42942292279</v>
      </c>
      <c r="AE450" s="73">
        <f t="shared" si="265"/>
        <v>516.570577077211</v>
      </c>
    </row>
    <row r="451" customFormat="1" spans="1:31">
      <c r="A451" s="18"/>
      <c r="B451" s="19"/>
      <c r="C451" s="22">
        <v>240508000026</v>
      </c>
      <c r="D451" s="23">
        <v>45428</v>
      </c>
      <c r="E451" s="21" t="s">
        <v>44</v>
      </c>
      <c r="F451" s="24" t="s">
        <v>45</v>
      </c>
      <c r="G451" s="24" t="s">
        <v>124</v>
      </c>
      <c r="H451" s="24">
        <v>7</v>
      </c>
      <c r="I451" s="41">
        <v>391</v>
      </c>
      <c r="J451" s="42"/>
      <c r="K451" s="43"/>
      <c r="L451" s="19"/>
      <c r="M451" s="44"/>
      <c r="N451" s="45"/>
      <c r="O451" s="111">
        <f t="shared" si="276"/>
        <v>391</v>
      </c>
      <c r="P451" s="51"/>
      <c r="Q451" s="51"/>
      <c r="R451" s="73">
        <f t="shared" si="270"/>
        <v>319.797515362009</v>
      </c>
      <c r="S451" s="73"/>
      <c r="T451" s="74">
        <f t="shared" si="271"/>
        <v>0.418148543948704</v>
      </c>
      <c r="U451" s="73"/>
      <c r="V451" s="73"/>
      <c r="W451" s="73">
        <f t="shared" si="269"/>
        <v>320.215663905958</v>
      </c>
      <c r="X451" s="75">
        <f t="shared" si="272"/>
        <v>5.20375100187016</v>
      </c>
      <c r="Y451" s="75"/>
      <c r="Z451" s="75"/>
      <c r="AA451" s="75">
        <f t="shared" si="264"/>
        <v>5.20375100187016</v>
      </c>
      <c r="AB451" s="84">
        <v>7.22</v>
      </c>
      <c r="AC451" s="73">
        <f t="shared" si="267"/>
        <v>37.5710822335025</v>
      </c>
      <c r="AD451" s="73">
        <f t="shared" si="268"/>
        <v>357.78674613946</v>
      </c>
      <c r="AE451" s="73">
        <f t="shared" si="265"/>
        <v>33.2132538605397</v>
      </c>
    </row>
    <row r="452" customFormat="1" spans="1:31">
      <c r="A452" s="18"/>
      <c r="B452" s="19"/>
      <c r="C452" s="20">
        <v>240508000030</v>
      </c>
      <c r="D452" s="21">
        <v>45428</v>
      </c>
      <c r="E452" s="21" t="s">
        <v>54</v>
      </c>
      <c r="F452" s="19" t="s">
        <v>54</v>
      </c>
      <c r="G452" s="19" t="s">
        <v>230</v>
      </c>
      <c r="H452" s="19">
        <v>103.5</v>
      </c>
      <c r="I452" s="52"/>
      <c r="J452" s="48">
        <v>1198323</v>
      </c>
      <c r="K452" s="43"/>
      <c r="L452" s="49">
        <f>SUM(J452/M452)</f>
        <v>1494.39192896693</v>
      </c>
      <c r="M452" s="50">
        <v>801.88</v>
      </c>
      <c r="N452" s="45">
        <v>7.22</v>
      </c>
      <c r="O452" s="111">
        <f>SUM(M452*N452)</f>
        <v>5789.5736</v>
      </c>
      <c r="P452" s="51"/>
      <c r="Q452" s="51"/>
      <c r="R452" s="73">
        <f t="shared" si="270"/>
        <v>4728.43469142399</v>
      </c>
      <c r="S452" s="73"/>
      <c r="T452" s="74">
        <f t="shared" si="271"/>
        <v>6.18262489981298</v>
      </c>
      <c r="U452" s="73">
        <v>100</v>
      </c>
      <c r="V452" s="73"/>
      <c r="W452" s="73">
        <f t="shared" si="269"/>
        <v>4834.6173163238</v>
      </c>
      <c r="X452" s="75">
        <f t="shared" si="272"/>
        <v>76.9411755276516</v>
      </c>
      <c r="Y452" s="75"/>
      <c r="Z452" s="75"/>
      <c r="AA452" s="75">
        <f t="shared" si="264"/>
        <v>76.9411755276516</v>
      </c>
      <c r="AB452" s="84">
        <v>7.22</v>
      </c>
      <c r="AC452" s="73">
        <f t="shared" si="267"/>
        <v>555.515287309645</v>
      </c>
      <c r="AD452" s="73">
        <f t="shared" si="268"/>
        <v>5390.13260363345</v>
      </c>
      <c r="AE452" s="73">
        <f t="shared" si="265"/>
        <v>399.44099636655</v>
      </c>
    </row>
    <row r="453" customFormat="1" spans="1:31">
      <c r="A453" s="18"/>
      <c r="B453" s="19"/>
      <c r="C453" s="20">
        <v>240508000031</v>
      </c>
      <c r="D453" s="21">
        <v>45428</v>
      </c>
      <c r="E453" s="21" t="s">
        <v>41</v>
      </c>
      <c r="F453" s="19" t="s">
        <v>42</v>
      </c>
      <c r="G453" s="19" t="s">
        <v>361</v>
      </c>
      <c r="H453" s="19">
        <v>6.5</v>
      </c>
      <c r="I453" s="41">
        <v>402.5</v>
      </c>
      <c r="J453" s="42"/>
      <c r="K453" s="43"/>
      <c r="L453" s="19"/>
      <c r="M453" s="44"/>
      <c r="N453" s="45"/>
      <c r="O453" s="111">
        <f t="shared" ref="O453:O456" si="279">SUM(I453)</f>
        <v>402.5</v>
      </c>
      <c r="P453" s="51"/>
      <c r="Q453" s="51"/>
      <c r="R453" s="73">
        <f t="shared" si="270"/>
        <v>296.954835693294</v>
      </c>
      <c r="S453" s="73"/>
      <c r="T453" s="74">
        <f t="shared" si="271"/>
        <v>0.388280790809511</v>
      </c>
      <c r="U453" s="73"/>
      <c r="V453" s="73"/>
      <c r="W453" s="73">
        <f t="shared" si="269"/>
        <v>297.343116484104</v>
      </c>
      <c r="X453" s="75">
        <f t="shared" si="272"/>
        <v>4.83205450173658</v>
      </c>
      <c r="Y453" s="75"/>
      <c r="Z453" s="75"/>
      <c r="AA453" s="75">
        <f t="shared" si="264"/>
        <v>4.83205450173658</v>
      </c>
      <c r="AB453" s="84">
        <v>7.22</v>
      </c>
      <c r="AC453" s="73">
        <f t="shared" si="267"/>
        <v>34.8874335025381</v>
      </c>
      <c r="AD453" s="73">
        <f t="shared" si="268"/>
        <v>332.230549986642</v>
      </c>
      <c r="AE453" s="73">
        <f t="shared" si="265"/>
        <v>70.2694500133583</v>
      </c>
    </row>
    <row r="454" customFormat="1" spans="1:31">
      <c r="A454" s="18"/>
      <c r="B454" s="19"/>
      <c r="C454" s="20">
        <v>240508000032</v>
      </c>
      <c r="D454" s="21">
        <v>45428</v>
      </c>
      <c r="E454" s="21" t="s">
        <v>37</v>
      </c>
      <c r="F454" s="19" t="s">
        <v>38</v>
      </c>
      <c r="G454" s="19" t="s">
        <v>362</v>
      </c>
      <c r="H454" s="19">
        <v>6</v>
      </c>
      <c r="I454" s="41">
        <v>430</v>
      </c>
      <c r="J454" s="42"/>
      <c r="K454" s="43"/>
      <c r="L454" s="19"/>
      <c r="M454" s="44"/>
      <c r="N454" s="45"/>
      <c r="O454" s="111">
        <f t="shared" si="279"/>
        <v>430</v>
      </c>
      <c r="P454" s="51"/>
      <c r="Q454" s="51"/>
      <c r="R454" s="73">
        <f t="shared" si="270"/>
        <v>274.112156024579</v>
      </c>
      <c r="S454" s="73"/>
      <c r="T454" s="74">
        <f t="shared" si="271"/>
        <v>0.358413037670318</v>
      </c>
      <c r="U454" s="73"/>
      <c r="V454" s="73"/>
      <c r="W454" s="73">
        <f t="shared" si="269"/>
        <v>274.47056906225</v>
      </c>
      <c r="X454" s="75">
        <f t="shared" si="272"/>
        <v>4.46035800160299</v>
      </c>
      <c r="Y454" s="75"/>
      <c r="Z454" s="75"/>
      <c r="AA454" s="75">
        <f t="shared" si="264"/>
        <v>4.46035800160299</v>
      </c>
      <c r="AB454" s="84">
        <v>7.22</v>
      </c>
      <c r="AC454" s="73">
        <f t="shared" si="267"/>
        <v>32.2037847715736</v>
      </c>
      <c r="AD454" s="73">
        <f t="shared" si="268"/>
        <v>306.674353833823</v>
      </c>
      <c r="AE454" s="73">
        <f t="shared" si="265"/>
        <v>123.325646166177</v>
      </c>
    </row>
    <row r="455" customFormat="1" spans="1:31">
      <c r="A455" s="18"/>
      <c r="B455" s="19"/>
      <c r="C455" s="20">
        <v>240508000033</v>
      </c>
      <c r="D455" s="21">
        <v>45428</v>
      </c>
      <c r="E455" s="21" t="s">
        <v>47</v>
      </c>
      <c r="F455" s="19" t="s">
        <v>48</v>
      </c>
      <c r="G455" s="19" t="s">
        <v>134</v>
      </c>
      <c r="H455" s="19">
        <v>8.5</v>
      </c>
      <c r="I455" s="41">
        <v>473.5</v>
      </c>
      <c r="J455" s="42"/>
      <c r="K455" s="43"/>
      <c r="L455" s="19"/>
      <c r="M455" s="44"/>
      <c r="N455" s="45"/>
      <c r="O455" s="111">
        <f t="shared" si="279"/>
        <v>473.5</v>
      </c>
      <c r="P455" s="51"/>
      <c r="Q455" s="51"/>
      <c r="R455" s="73">
        <f t="shared" si="270"/>
        <v>388.325554368154</v>
      </c>
      <c r="S455" s="73"/>
      <c r="T455" s="74">
        <f t="shared" si="271"/>
        <v>0.507751803366284</v>
      </c>
      <c r="U455" s="73"/>
      <c r="V455" s="73"/>
      <c r="W455" s="73">
        <f t="shared" si="269"/>
        <v>388.83330617152</v>
      </c>
      <c r="X455" s="75">
        <f t="shared" si="272"/>
        <v>6.31884050227091</v>
      </c>
      <c r="Y455" s="75"/>
      <c r="Z455" s="75"/>
      <c r="AA455" s="75">
        <f t="shared" si="264"/>
        <v>6.31884050227091</v>
      </c>
      <c r="AB455" s="84">
        <v>7.22</v>
      </c>
      <c r="AC455" s="73">
        <f t="shared" si="267"/>
        <v>45.6220284263959</v>
      </c>
      <c r="AD455" s="73">
        <f t="shared" si="268"/>
        <v>434.455334597916</v>
      </c>
      <c r="AE455" s="73">
        <f t="shared" si="265"/>
        <v>39.0446654020839</v>
      </c>
    </row>
    <row r="456" customFormat="1" spans="1:31">
      <c r="A456" s="18"/>
      <c r="B456" s="19"/>
      <c r="C456" s="20">
        <v>240508000034</v>
      </c>
      <c r="D456" s="21">
        <v>45428</v>
      </c>
      <c r="E456" s="21" t="s">
        <v>47</v>
      </c>
      <c r="F456" s="19" t="s">
        <v>48</v>
      </c>
      <c r="G456" s="19" t="s">
        <v>134</v>
      </c>
      <c r="H456" s="19">
        <v>6</v>
      </c>
      <c r="I456" s="41">
        <v>336</v>
      </c>
      <c r="J456" s="42"/>
      <c r="K456" s="43"/>
      <c r="L456" s="19"/>
      <c r="M456" s="44"/>
      <c r="N456" s="45"/>
      <c r="O456" s="111">
        <f t="shared" si="279"/>
        <v>336</v>
      </c>
      <c r="P456" s="51"/>
      <c r="Q456" s="51"/>
      <c r="R456" s="73">
        <f t="shared" si="270"/>
        <v>274.112156024579</v>
      </c>
      <c r="S456" s="73"/>
      <c r="T456" s="74">
        <f t="shared" si="271"/>
        <v>0.358413037670318</v>
      </c>
      <c r="U456" s="73"/>
      <c r="V456" s="73"/>
      <c r="W456" s="73">
        <f t="shared" si="269"/>
        <v>274.47056906225</v>
      </c>
      <c r="X456" s="75">
        <f t="shared" si="272"/>
        <v>4.46035800160299</v>
      </c>
      <c r="Y456" s="75"/>
      <c r="Z456" s="75"/>
      <c r="AA456" s="75">
        <f t="shared" si="264"/>
        <v>4.46035800160299</v>
      </c>
      <c r="AB456" s="84">
        <v>7.22</v>
      </c>
      <c r="AC456" s="73">
        <f t="shared" si="267"/>
        <v>32.2037847715736</v>
      </c>
      <c r="AD456" s="73">
        <f t="shared" si="268"/>
        <v>306.674353833823</v>
      </c>
      <c r="AE456" s="73">
        <f t="shared" si="265"/>
        <v>29.3256461661769</v>
      </c>
    </row>
    <row r="457" customFormat="1" spans="1:31">
      <c r="A457" s="18"/>
      <c r="B457" s="19"/>
      <c r="C457" s="20">
        <v>240508000035</v>
      </c>
      <c r="D457" s="21">
        <v>45428</v>
      </c>
      <c r="E457" s="21" t="s">
        <v>47</v>
      </c>
      <c r="F457" s="19" t="s">
        <v>48</v>
      </c>
      <c r="G457" s="19" t="s">
        <v>363</v>
      </c>
      <c r="H457" s="19">
        <v>2.5</v>
      </c>
      <c r="I457" s="52"/>
      <c r="J457" s="48">
        <v>31376</v>
      </c>
      <c r="K457" s="43"/>
      <c r="L457" s="49">
        <f t="shared" ref="L457:L461" si="280">SUM(J457/M457)</f>
        <v>1531.28355295266</v>
      </c>
      <c r="M457" s="50">
        <v>20.49</v>
      </c>
      <c r="N457" s="45">
        <v>7.22</v>
      </c>
      <c r="O457" s="111">
        <f t="shared" ref="O457:O461" si="281">SUM(M457*N457)</f>
        <v>147.9378</v>
      </c>
      <c r="P457" s="51"/>
      <c r="Q457" s="51"/>
      <c r="R457" s="73">
        <f t="shared" si="270"/>
        <v>114.213398343575</v>
      </c>
      <c r="S457" s="73"/>
      <c r="T457" s="74">
        <f t="shared" si="271"/>
        <v>0.149338765695966</v>
      </c>
      <c r="U457" s="73"/>
      <c r="V457" s="73"/>
      <c r="W457" s="73">
        <f t="shared" si="269"/>
        <v>114.362737109271</v>
      </c>
      <c r="X457" s="75">
        <f t="shared" si="272"/>
        <v>1.85848250066791</v>
      </c>
      <c r="Y457" s="75"/>
      <c r="Z457" s="75"/>
      <c r="AA457" s="75">
        <f t="shared" si="264"/>
        <v>1.85848250066791</v>
      </c>
      <c r="AB457" s="84">
        <v>7.22</v>
      </c>
      <c r="AC457" s="73">
        <f t="shared" si="267"/>
        <v>13.4182436548223</v>
      </c>
      <c r="AD457" s="73">
        <f t="shared" si="268"/>
        <v>127.780980764093</v>
      </c>
      <c r="AE457" s="73">
        <f t="shared" si="265"/>
        <v>20.156819235907</v>
      </c>
    </row>
    <row r="458" customFormat="1" spans="1:31">
      <c r="A458" s="18"/>
      <c r="B458" s="19"/>
      <c r="C458" s="20">
        <v>240508000037</v>
      </c>
      <c r="D458" s="21">
        <v>45428</v>
      </c>
      <c r="E458" s="21" t="s">
        <v>41</v>
      </c>
      <c r="F458" s="19" t="s">
        <v>42</v>
      </c>
      <c r="G458" s="19" t="s">
        <v>96</v>
      </c>
      <c r="H458" s="19">
        <v>2</v>
      </c>
      <c r="I458" s="41">
        <v>80</v>
      </c>
      <c r="J458" s="42"/>
      <c r="K458" s="43"/>
      <c r="L458" s="19"/>
      <c r="M458" s="44"/>
      <c r="N458" s="45"/>
      <c r="O458" s="111">
        <f>SUM(I458)</f>
        <v>80</v>
      </c>
      <c r="P458" s="51"/>
      <c r="Q458" s="51"/>
      <c r="R458" s="73">
        <f t="shared" si="270"/>
        <v>91.3707186748597</v>
      </c>
      <c r="S458" s="73"/>
      <c r="T458" s="74">
        <f t="shared" si="271"/>
        <v>0.119471012556773</v>
      </c>
      <c r="U458" s="73"/>
      <c r="V458" s="73"/>
      <c r="W458" s="73">
        <f t="shared" si="269"/>
        <v>91.4901896874165</v>
      </c>
      <c r="X458" s="75">
        <f t="shared" si="272"/>
        <v>1.48678600053433</v>
      </c>
      <c r="Y458" s="75"/>
      <c r="Z458" s="75"/>
      <c r="AA458" s="75">
        <f t="shared" ref="AA458:AA489" si="282">SUM(X458:Z458)</f>
        <v>1.48678600053433</v>
      </c>
      <c r="AB458" s="84">
        <v>7.22</v>
      </c>
      <c r="AC458" s="73">
        <f t="shared" si="267"/>
        <v>10.7345949238579</v>
      </c>
      <c r="AD458" s="73">
        <f t="shared" si="268"/>
        <v>102.224784611274</v>
      </c>
      <c r="AE458" s="73">
        <f t="shared" ref="AE458:AE489" si="283">SUM(O458-AD458)</f>
        <v>-22.224784611274</v>
      </c>
    </row>
    <row r="459" customFormat="1" spans="1:31">
      <c r="A459" s="18"/>
      <c r="B459" s="19"/>
      <c r="C459" s="20">
        <v>240509000005</v>
      </c>
      <c r="D459" s="21">
        <v>45428</v>
      </c>
      <c r="E459" s="21" t="s">
        <v>41</v>
      </c>
      <c r="F459" s="19" t="s">
        <v>42</v>
      </c>
      <c r="G459" s="19" t="s">
        <v>141</v>
      </c>
      <c r="H459" s="19">
        <v>19.5</v>
      </c>
      <c r="I459" s="52"/>
      <c r="J459" s="48">
        <v>229593</v>
      </c>
      <c r="K459" s="43"/>
      <c r="L459" s="49">
        <f t="shared" si="280"/>
        <v>1465.73672114402</v>
      </c>
      <c r="M459" s="50">
        <v>156.64</v>
      </c>
      <c r="N459" s="45">
        <v>7.22</v>
      </c>
      <c r="O459" s="46">
        <f t="shared" si="281"/>
        <v>1130.9408</v>
      </c>
      <c r="P459" s="51"/>
      <c r="Q459" s="51"/>
      <c r="R459" s="73">
        <f t="shared" si="270"/>
        <v>890.864507079882</v>
      </c>
      <c r="S459" s="73"/>
      <c r="T459" s="74">
        <f t="shared" si="271"/>
        <v>1.16484237242853</v>
      </c>
      <c r="U459" s="73"/>
      <c r="V459" s="73"/>
      <c r="W459" s="73">
        <f t="shared" si="269"/>
        <v>892.029349452311</v>
      </c>
      <c r="X459" s="75">
        <f t="shared" si="272"/>
        <v>14.4961635052097</v>
      </c>
      <c r="Y459" s="75"/>
      <c r="Z459" s="75"/>
      <c r="AA459" s="75">
        <f t="shared" si="282"/>
        <v>14.4961635052097</v>
      </c>
      <c r="AB459" s="84">
        <v>7.22</v>
      </c>
      <c r="AC459" s="73">
        <f t="shared" ref="AC459:AC490" si="284">SUM(AA459*AB459)</f>
        <v>104.662300507614</v>
      </c>
      <c r="AD459" s="73">
        <f t="shared" ref="AD459:AD490" si="285">SUM(W459+AC459)</f>
        <v>996.691649959925</v>
      </c>
      <c r="AE459" s="73">
        <f t="shared" si="283"/>
        <v>134.249150040075</v>
      </c>
    </row>
    <row r="460" customFormat="1" spans="1:31">
      <c r="A460" s="18"/>
      <c r="B460" s="19"/>
      <c r="C460" s="20">
        <v>240509000008</v>
      </c>
      <c r="D460" s="21">
        <v>45428</v>
      </c>
      <c r="E460" s="21" t="s">
        <v>41</v>
      </c>
      <c r="F460" s="19" t="s">
        <v>42</v>
      </c>
      <c r="G460" s="19" t="s">
        <v>147</v>
      </c>
      <c r="H460" s="19">
        <v>13</v>
      </c>
      <c r="I460" s="52"/>
      <c r="J460" s="48">
        <v>139125</v>
      </c>
      <c r="K460" s="43"/>
      <c r="L460" s="49">
        <f t="shared" si="280"/>
        <v>1516.34877384196</v>
      </c>
      <c r="M460" s="50">
        <v>91.75</v>
      </c>
      <c r="N460" s="45">
        <v>7.22</v>
      </c>
      <c r="O460" s="46">
        <f t="shared" si="281"/>
        <v>662.435</v>
      </c>
      <c r="P460" s="51"/>
      <c r="Q460" s="51"/>
      <c r="R460" s="73">
        <f t="shared" si="270"/>
        <v>593.909671386588</v>
      </c>
      <c r="S460" s="73"/>
      <c r="T460" s="74">
        <f t="shared" si="271"/>
        <v>0.776561581619022</v>
      </c>
      <c r="U460" s="73"/>
      <c r="V460" s="73"/>
      <c r="W460" s="73">
        <f t="shared" ref="W460:W491" si="286">SUM(R460:V460)</f>
        <v>594.686232968207</v>
      </c>
      <c r="X460" s="75">
        <f t="shared" si="272"/>
        <v>9.66410900347315</v>
      </c>
      <c r="Y460" s="75"/>
      <c r="Z460" s="75"/>
      <c r="AA460" s="75">
        <f t="shared" si="282"/>
        <v>9.66410900347315</v>
      </c>
      <c r="AB460" s="84">
        <v>7.22</v>
      </c>
      <c r="AC460" s="73">
        <f t="shared" si="284"/>
        <v>69.7748670050761</v>
      </c>
      <c r="AD460" s="73">
        <f t="shared" si="285"/>
        <v>664.461099973283</v>
      </c>
      <c r="AE460" s="73">
        <f t="shared" si="283"/>
        <v>-2.02609997328341</v>
      </c>
    </row>
    <row r="461" customFormat="1" spans="1:31">
      <c r="A461" s="18"/>
      <c r="B461" s="19"/>
      <c r="C461" s="20">
        <v>240509000009</v>
      </c>
      <c r="D461" s="21">
        <v>45428</v>
      </c>
      <c r="E461" s="21" t="s">
        <v>41</v>
      </c>
      <c r="F461" s="19" t="s">
        <v>42</v>
      </c>
      <c r="G461" s="19" t="s">
        <v>147</v>
      </c>
      <c r="H461" s="19">
        <v>27.5</v>
      </c>
      <c r="I461" s="52"/>
      <c r="J461" s="48">
        <v>306075</v>
      </c>
      <c r="K461" s="43"/>
      <c r="L461" s="49">
        <f t="shared" si="280"/>
        <v>1516.27365500842</v>
      </c>
      <c r="M461" s="50">
        <v>201.86</v>
      </c>
      <c r="N461" s="45">
        <v>7.22</v>
      </c>
      <c r="O461" s="46">
        <f t="shared" si="281"/>
        <v>1457.4292</v>
      </c>
      <c r="P461" s="51"/>
      <c r="Q461" s="51"/>
      <c r="R461" s="73">
        <f t="shared" si="270"/>
        <v>1256.34738177932</v>
      </c>
      <c r="S461" s="73"/>
      <c r="T461" s="74">
        <f t="shared" si="271"/>
        <v>1.64272642265562</v>
      </c>
      <c r="U461" s="73"/>
      <c r="V461" s="73"/>
      <c r="W461" s="73">
        <f t="shared" si="286"/>
        <v>1257.99010820198</v>
      </c>
      <c r="X461" s="75">
        <f t="shared" si="272"/>
        <v>20.443307507347</v>
      </c>
      <c r="Y461" s="75"/>
      <c r="Z461" s="75"/>
      <c r="AA461" s="75">
        <f t="shared" si="282"/>
        <v>20.443307507347</v>
      </c>
      <c r="AB461" s="84">
        <v>7.22</v>
      </c>
      <c r="AC461" s="73">
        <f t="shared" si="284"/>
        <v>147.600680203046</v>
      </c>
      <c r="AD461" s="73">
        <f t="shared" si="285"/>
        <v>1405.59078840502</v>
      </c>
      <c r="AE461" s="73">
        <f t="shared" si="283"/>
        <v>51.8384115949775</v>
      </c>
    </row>
    <row r="462" customFormat="1" spans="1:31">
      <c r="A462" s="18"/>
      <c r="B462" s="19"/>
      <c r="C462" s="20">
        <v>240509000010</v>
      </c>
      <c r="D462" s="21">
        <v>45428</v>
      </c>
      <c r="E462" s="21" t="s">
        <v>41</v>
      </c>
      <c r="F462" s="19" t="s">
        <v>42</v>
      </c>
      <c r="G462" s="19" t="s">
        <v>174</v>
      </c>
      <c r="H462" s="19">
        <v>11.5</v>
      </c>
      <c r="I462" s="41">
        <v>702.35</v>
      </c>
      <c r="J462" s="42"/>
      <c r="K462" s="43"/>
      <c r="L462" s="19"/>
      <c r="M462" s="44"/>
      <c r="N462" s="45"/>
      <c r="O462" s="111">
        <f t="shared" ref="O462:O470" si="287">SUM(I462)</f>
        <v>702.35</v>
      </c>
      <c r="P462" s="51"/>
      <c r="Q462" s="51"/>
      <c r="R462" s="73">
        <f t="shared" si="270"/>
        <v>525.381632380443</v>
      </c>
      <c r="S462" s="73"/>
      <c r="T462" s="74">
        <f t="shared" si="271"/>
        <v>0.686958322201443</v>
      </c>
      <c r="U462" s="73"/>
      <c r="V462" s="73"/>
      <c r="W462" s="73">
        <f t="shared" si="286"/>
        <v>526.068590702645</v>
      </c>
      <c r="X462" s="75">
        <f t="shared" si="272"/>
        <v>8.5490195030724</v>
      </c>
      <c r="Y462" s="75"/>
      <c r="Z462" s="75"/>
      <c r="AA462" s="75">
        <f t="shared" si="282"/>
        <v>8.5490195030724</v>
      </c>
      <c r="AB462" s="84">
        <v>7.22</v>
      </c>
      <c r="AC462" s="73">
        <f t="shared" si="284"/>
        <v>61.7239208121827</v>
      </c>
      <c r="AD462" s="73">
        <f t="shared" si="285"/>
        <v>587.792511514828</v>
      </c>
      <c r="AE462" s="73">
        <f t="shared" si="283"/>
        <v>114.557488485172</v>
      </c>
    </row>
    <row r="463" customFormat="1" spans="1:31">
      <c r="A463" s="18"/>
      <c r="B463" s="19"/>
      <c r="C463" s="20">
        <v>240509000011</v>
      </c>
      <c r="D463" s="21">
        <v>45428</v>
      </c>
      <c r="E463" s="21" t="s">
        <v>44</v>
      </c>
      <c r="F463" s="19" t="s">
        <v>45</v>
      </c>
      <c r="G463" s="19" t="s">
        <v>175</v>
      </c>
      <c r="H463" s="19">
        <v>38.5</v>
      </c>
      <c r="I463" s="52"/>
      <c r="J463" s="48">
        <v>428505</v>
      </c>
      <c r="K463" s="43"/>
      <c r="L463" s="49">
        <f t="shared" ref="L463:L465" si="288">SUM(J463/M463)</f>
        <v>1516.24146350094</v>
      </c>
      <c r="M463" s="50">
        <v>282.61</v>
      </c>
      <c r="N463" s="45">
        <v>7.22</v>
      </c>
      <c r="O463" s="46">
        <f t="shared" ref="O463:O465" si="289">SUM(M463*N463)</f>
        <v>2040.4442</v>
      </c>
      <c r="P463" s="51"/>
      <c r="Q463" s="51"/>
      <c r="R463" s="73">
        <f t="shared" ref="R463:R494" si="290">SUM(171000.3/3743)*H463</f>
        <v>1758.88633449105</v>
      </c>
      <c r="S463" s="73"/>
      <c r="T463" s="74">
        <f t="shared" ref="T463:T494" si="291">SUM(223.59/3743)*H463</f>
        <v>2.29981699171787</v>
      </c>
      <c r="U463" s="73"/>
      <c r="V463" s="73"/>
      <c r="W463" s="73">
        <f t="shared" si="286"/>
        <v>1761.18615148277</v>
      </c>
      <c r="X463" s="75">
        <f t="shared" ref="X463:X494" si="292">SUM(2782.52/3743)*H463</f>
        <v>28.6206305102859</v>
      </c>
      <c r="Y463" s="75"/>
      <c r="Z463" s="75"/>
      <c r="AA463" s="75">
        <f t="shared" si="282"/>
        <v>28.6206305102859</v>
      </c>
      <c r="AB463" s="84">
        <v>7.22</v>
      </c>
      <c r="AC463" s="73">
        <f t="shared" si="284"/>
        <v>206.640952284264</v>
      </c>
      <c r="AD463" s="73">
        <f t="shared" si="285"/>
        <v>1967.82710376703</v>
      </c>
      <c r="AE463" s="73">
        <f t="shared" si="283"/>
        <v>72.6170962329684</v>
      </c>
    </row>
    <row r="464" customFormat="1" spans="1:31">
      <c r="A464" s="18"/>
      <c r="B464" s="19"/>
      <c r="C464" s="20">
        <v>240509000014</v>
      </c>
      <c r="D464" s="21">
        <v>45428</v>
      </c>
      <c r="E464" s="21" t="s">
        <v>37</v>
      </c>
      <c r="F464" s="19" t="s">
        <v>38</v>
      </c>
      <c r="G464" s="19" t="s">
        <v>132</v>
      </c>
      <c r="H464" s="19">
        <v>0.15</v>
      </c>
      <c r="I464" s="46"/>
      <c r="J464" s="48">
        <v>13072</v>
      </c>
      <c r="K464" s="43"/>
      <c r="L464" s="49">
        <f t="shared" si="288"/>
        <v>1520</v>
      </c>
      <c r="M464" s="50">
        <v>8.6</v>
      </c>
      <c r="N464" s="45">
        <v>7.22</v>
      </c>
      <c r="O464" s="111">
        <f t="shared" si="289"/>
        <v>62.092</v>
      </c>
      <c r="P464" s="51"/>
      <c r="Q464" s="51"/>
      <c r="R464" s="73">
        <f t="shared" si="290"/>
        <v>6.85280390061448</v>
      </c>
      <c r="S464" s="73"/>
      <c r="T464" s="74">
        <f t="shared" si="291"/>
        <v>0.00896032594175795</v>
      </c>
      <c r="U464" s="73"/>
      <c r="V464" s="73"/>
      <c r="W464" s="73">
        <f t="shared" si="286"/>
        <v>6.86176422655624</v>
      </c>
      <c r="X464" s="75">
        <f t="shared" si="292"/>
        <v>0.111508950040075</v>
      </c>
      <c r="Y464" s="75"/>
      <c r="Z464" s="75"/>
      <c r="AA464" s="75">
        <f t="shared" si="282"/>
        <v>0.111508950040075</v>
      </c>
      <c r="AB464" s="84">
        <v>7.22</v>
      </c>
      <c r="AC464" s="73">
        <f t="shared" si="284"/>
        <v>0.80509461928934</v>
      </c>
      <c r="AD464" s="73">
        <f t="shared" si="285"/>
        <v>7.66685884584558</v>
      </c>
      <c r="AE464" s="73">
        <f t="shared" si="283"/>
        <v>54.4251411541544</v>
      </c>
    </row>
    <row r="465" customFormat="1" spans="1:31">
      <c r="A465" s="18"/>
      <c r="B465" s="19"/>
      <c r="C465" s="20">
        <v>240509000017</v>
      </c>
      <c r="D465" s="21">
        <v>45428</v>
      </c>
      <c r="E465" s="21" t="s">
        <v>44</v>
      </c>
      <c r="F465" s="19" t="s">
        <v>45</v>
      </c>
      <c r="G465" s="19" t="s">
        <v>162</v>
      </c>
      <c r="H465" s="19">
        <v>20</v>
      </c>
      <c r="I465" s="46"/>
      <c r="J465" s="48">
        <v>230646</v>
      </c>
      <c r="K465" s="43"/>
      <c r="L465" s="49">
        <f t="shared" si="288"/>
        <v>1488.99935442221</v>
      </c>
      <c r="M465" s="50">
        <v>154.9</v>
      </c>
      <c r="N465" s="45">
        <v>7.22</v>
      </c>
      <c r="O465" s="111">
        <f t="shared" si="289"/>
        <v>1118.378</v>
      </c>
      <c r="P465" s="51"/>
      <c r="Q465" s="51"/>
      <c r="R465" s="73">
        <f t="shared" si="290"/>
        <v>913.707186748597</v>
      </c>
      <c r="S465" s="73"/>
      <c r="T465" s="74">
        <f t="shared" si="291"/>
        <v>1.19471012556773</v>
      </c>
      <c r="U465" s="73"/>
      <c r="V465" s="73"/>
      <c r="W465" s="73">
        <f t="shared" si="286"/>
        <v>914.901896874165</v>
      </c>
      <c r="X465" s="75">
        <f t="shared" si="292"/>
        <v>14.8678600053433</v>
      </c>
      <c r="Y465" s="75"/>
      <c r="Z465" s="75"/>
      <c r="AA465" s="75">
        <f t="shared" si="282"/>
        <v>14.8678600053433</v>
      </c>
      <c r="AB465" s="84">
        <v>7.22</v>
      </c>
      <c r="AC465" s="73">
        <f t="shared" si="284"/>
        <v>107.345949238579</v>
      </c>
      <c r="AD465" s="73">
        <f t="shared" si="285"/>
        <v>1022.24784611274</v>
      </c>
      <c r="AE465" s="73">
        <f t="shared" si="283"/>
        <v>96.1301538872561</v>
      </c>
    </row>
    <row r="466" customFormat="1" spans="1:31">
      <c r="A466" s="18"/>
      <c r="B466" s="19"/>
      <c r="C466" s="20">
        <v>240509000020</v>
      </c>
      <c r="D466" s="21">
        <v>45428</v>
      </c>
      <c r="E466" s="21" t="s">
        <v>44</v>
      </c>
      <c r="F466" s="19" t="s">
        <v>45</v>
      </c>
      <c r="G466" s="19" t="s">
        <v>364</v>
      </c>
      <c r="H466" s="19">
        <v>8</v>
      </c>
      <c r="I466" s="41">
        <v>524</v>
      </c>
      <c r="J466" s="42"/>
      <c r="K466" s="43"/>
      <c r="L466" s="19"/>
      <c r="M466" s="44"/>
      <c r="N466" s="45"/>
      <c r="O466" s="111">
        <f t="shared" si="287"/>
        <v>524</v>
      </c>
      <c r="P466" s="51"/>
      <c r="Q466" s="51"/>
      <c r="R466" s="73">
        <f t="shared" si="290"/>
        <v>365.482874699439</v>
      </c>
      <c r="S466" s="73"/>
      <c r="T466" s="74">
        <f t="shared" si="291"/>
        <v>0.477884050227091</v>
      </c>
      <c r="U466" s="73">
        <v>30</v>
      </c>
      <c r="V466" s="73"/>
      <c r="W466" s="73">
        <f t="shared" si="286"/>
        <v>395.960758749666</v>
      </c>
      <c r="X466" s="75">
        <f t="shared" si="292"/>
        <v>5.94714400213732</v>
      </c>
      <c r="Y466" s="75"/>
      <c r="Z466" s="75"/>
      <c r="AA466" s="75">
        <f t="shared" si="282"/>
        <v>5.94714400213732</v>
      </c>
      <c r="AB466" s="84">
        <v>7.22</v>
      </c>
      <c r="AC466" s="73">
        <f t="shared" si="284"/>
        <v>42.9383796954315</v>
      </c>
      <c r="AD466" s="73">
        <f t="shared" si="285"/>
        <v>438.899138445097</v>
      </c>
      <c r="AE466" s="73">
        <f t="shared" si="283"/>
        <v>85.1008615549025</v>
      </c>
    </row>
    <row r="467" customFormat="1" spans="1:31">
      <c r="A467" s="18"/>
      <c r="B467" s="19"/>
      <c r="C467" s="20">
        <v>240509000021</v>
      </c>
      <c r="D467" s="21">
        <v>45428</v>
      </c>
      <c r="E467" s="21" t="s">
        <v>44</v>
      </c>
      <c r="F467" s="19" t="s">
        <v>45</v>
      </c>
      <c r="G467" s="19" t="s">
        <v>365</v>
      </c>
      <c r="H467" s="19">
        <v>4</v>
      </c>
      <c r="I467" s="41">
        <v>235</v>
      </c>
      <c r="J467" s="42"/>
      <c r="K467" s="43"/>
      <c r="L467" s="19"/>
      <c r="M467" s="44"/>
      <c r="N467" s="45"/>
      <c r="O467" s="111">
        <f t="shared" si="287"/>
        <v>235</v>
      </c>
      <c r="P467" s="51"/>
      <c r="Q467" s="51"/>
      <c r="R467" s="73">
        <f t="shared" si="290"/>
        <v>182.741437349719</v>
      </c>
      <c r="S467" s="73"/>
      <c r="T467" s="74">
        <f t="shared" si="291"/>
        <v>0.238942025113545</v>
      </c>
      <c r="U467" s="73"/>
      <c r="V467" s="73"/>
      <c r="W467" s="73">
        <f t="shared" si="286"/>
        <v>182.980379374833</v>
      </c>
      <c r="X467" s="75">
        <f t="shared" si="292"/>
        <v>2.97357200106866</v>
      </c>
      <c r="Y467" s="75"/>
      <c r="Z467" s="75"/>
      <c r="AA467" s="75">
        <f t="shared" si="282"/>
        <v>2.97357200106866</v>
      </c>
      <c r="AB467" s="84">
        <v>7.22</v>
      </c>
      <c r="AC467" s="73">
        <f t="shared" si="284"/>
        <v>21.4691898477157</v>
      </c>
      <c r="AD467" s="73">
        <f t="shared" si="285"/>
        <v>204.449569222549</v>
      </c>
      <c r="AE467" s="73">
        <f t="shared" si="283"/>
        <v>30.5504307774513</v>
      </c>
    </row>
    <row r="468" customFormat="1" spans="1:31">
      <c r="A468" s="18"/>
      <c r="B468" s="19"/>
      <c r="C468" s="20">
        <v>240509000022</v>
      </c>
      <c r="D468" s="21">
        <v>45428</v>
      </c>
      <c r="E468" s="21" t="s">
        <v>47</v>
      </c>
      <c r="F468" s="19" t="s">
        <v>48</v>
      </c>
      <c r="G468" s="19" t="s">
        <v>134</v>
      </c>
      <c r="H468" s="19">
        <v>4</v>
      </c>
      <c r="I468" s="41">
        <v>235</v>
      </c>
      <c r="J468" s="42"/>
      <c r="K468" s="43"/>
      <c r="L468" s="19"/>
      <c r="M468" s="44"/>
      <c r="N468" s="45"/>
      <c r="O468" s="111">
        <f t="shared" si="287"/>
        <v>235</v>
      </c>
      <c r="P468" s="51"/>
      <c r="Q468" s="51"/>
      <c r="R468" s="73">
        <f t="shared" si="290"/>
        <v>182.741437349719</v>
      </c>
      <c r="S468" s="73"/>
      <c r="T468" s="74">
        <f t="shared" si="291"/>
        <v>0.238942025113545</v>
      </c>
      <c r="U468" s="73"/>
      <c r="V468" s="73"/>
      <c r="W468" s="73">
        <f t="shared" si="286"/>
        <v>182.980379374833</v>
      </c>
      <c r="X468" s="75">
        <f t="shared" si="292"/>
        <v>2.97357200106866</v>
      </c>
      <c r="Y468" s="75"/>
      <c r="Z468" s="75"/>
      <c r="AA468" s="75">
        <f t="shared" si="282"/>
        <v>2.97357200106866</v>
      </c>
      <c r="AB468" s="84">
        <v>7.22</v>
      </c>
      <c r="AC468" s="73">
        <f t="shared" si="284"/>
        <v>21.4691898477157</v>
      </c>
      <c r="AD468" s="73">
        <f t="shared" si="285"/>
        <v>204.449569222549</v>
      </c>
      <c r="AE468" s="73">
        <f t="shared" si="283"/>
        <v>30.5504307774513</v>
      </c>
    </row>
    <row r="469" customFormat="1" spans="1:31">
      <c r="A469" s="18"/>
      <c r="B469" s="19"/>
      <c r="C469" s="20">
        <v>240509000027</v>
      </c>
      <c r="D469" s="21">
        <v>45428</v>
      </c>
      <c r="E469" s="21" t="s">
        <v>41</v>
      </c>
      <c r="F469" s="19" t="s">
        <v>42</v>
      </c>
      <c r="G469" s="19" t="s">
        <v>165</v>
      </c>
      <c r="H469" s="19">
        <v>6.5</v>
      </c>
      <c r="I469" s="41">
        <v>344.5</v>
      </c>
      <c r="J469" s="42"/>
      <c r="K469" s="43"/>
      <c r="L469" s="19"/>
      <c r="M469" s="44"/>
      <c r="N469" s="45"/>
      <c r="O469" s="111">
        <f t="shared" si="287"/>
        <v>344.5</v>
      </c>
      <c r="P469" s="51"/>
      <c r="Q469" s="51"/>
      <c r="R469" s="73">
        <f t="shared" si="290"/>
        <v>296.954835693294</v>
      </c>
      <c r="S469" s="73"/>
      <c r="T469" s="74">
        <f t="shared" si="291"/>
        <v>0.388280790809511</v>
      </c>
      <c r="U469" s="73"/>
      <c r="V469" s="73"/>
      <c r="W469" s="73">
        <f t="shared" si="286"/>
        <v>297.343116484104</v>
      </c>
      <c r="X469" s="75">
        <f t="shared" si="292"/>
        <v>4.83205450173658</v>
      </c>
      <c r="Y469" s="75"/>
      <c r="Z469" s="75"/>
      <c r="AA469" s="75">
        <f t="shared" si="282"/>
        <v>4.83205450173658</v>
      </c>
      <c r="AB469" s="84">
        <v>7.22</v>
      </c>
      <c r="AC469" s="73">
        <f t="shared" si="284"/>
        <v>34.8874335025381</v>
      </c>
      <c r="AD469" s="73">
        <f t="shared" si="285"/>
        <v>332.230549986642</v>
      </c>
      <c r="AE469" s="73">
        <f t="shared" si="283"/>
        <v>12.2694500133583</v>
      </c>
    </row>
    <row r="470" customFormat="1" spans="1:31">
      <c r="A470" s="18"/>
      <c r="B470" s="19"/>
      <c r="C470" s="20">
        <v>240509000031</v>
      </c>
      <c r="D470" s="21">
        <v>45428</v>
      </c>
      <c r="E470" s="21" t="s">
        <v>44</v>
      </c>
      <c r="F470" s="19" t="s">
        <v>45</v>
      </c>
      <c r="G470" s="19" t="s">
        <v>366</v>
      </c>
      <c r="H470" s="19">
        <v>57</v>
      </c>
      <c r="I470" s="41">
        <v>3135</v>
      </c>
      <c r="J470" s="42"/>
      <c r="K470" s="43"/>
      <c r="L470" s="19"/>
      <c r="M470" s="44"/>
      <c r="N470" s="45"/>
      <c r="O470" s="111">
        <f t="shared" si="287"/>
        <v>3135</v>
      </c>
      <c r="P470" s="51"/>
      <c r="Q470" s="51"/>
      <c r="R470" s="73">
        <f t="shared" si="290"/>
        <v>2604.0654822335</v>
      </c>
      <c r="S470" s="73"/>
      <c r="T470" s="74">
        <f t="shared" si="291"/>
        <v>3.40492385786802</v>
      </c>
      <c r="U470" s="73"/>
      <c r="V470" s="73"/>
      <c r="W470" s="73">
        <f t="shared" si="286"/>
        <v>2607.47040609137</v>
      </c>
      <c r="X470" s="75">
        <f t="shared" si="292"/>
        <v>42.3734010152284</v>
      </c>
      <c r="Y470" s="75"/>
      <c r="Z470" s="75"/>
      <c r="AA470" s="75">
        <f t="shared" si="282"/>
        <v>42.3734010152284</v>
      </c>
      <c r="AB470" s="84">
        <v>7.22</v>
      </c>
      <c r="AC470" s="73">
        <f t="shared" si="284"/>
        <v>305.935955329949</v>
      </c>
      <c r="AD470" s="73">
        <f t="shared" si="285"/>
        <v>2913.40636142132</v>
      </c>
      <c r="AE470" s="73">
        <f t="shared" si="283"/>
        <v>221.59363857868</v>
      </c>
    </row>
    <row r="471" customFormat="1" spans="1:31">
      <c r="A471" s="18"/>
      <c r="B471" s="19"/>
      <c r="C471" s="20">
        <v>240510000003</v>
      </c>
      <c r="D471" s="21">
        <v>45428</v>
      </c>
      <c r="E471" s="21" t="s">
        <v>44</v>
      </c>
      <c r="F471" s="19" t="s">
        <v>45</v>
      </c>
      <c r="G471" s="19" t="s">
        <v>367</v>
      </c>
      <c r="H471" s="19">
        <v>6.5</v>
      </c>
      <c r="I471" s="41">
        <v>363.5</v>
      </c>
      <c r="J471" s="48"/>
      <c r="K471" s="43"/>
      <c r="L471" s="19"/>
      <c r="M471" s="50"/>
      <c r="N471" s="45"/>
      <c r="O471" s="111">
        <f>SUBTOTAL(9,I471)</f>
        <v>363.5</v>
      </c>
      <c r="P471" s="51"/>
      <c r="Q471" s="51"/>
      <c r="R471" s="73">
        <f t="shared" si="290"/>
        <v>296.954835693294</v>
      </c>
      <c r="S471" s="73"/>
      <c r="T471" s="74">
        <f t="shared" si="291"/>
        <v>0.388280790809511</v>
      </c>
      <c r="U471" s="73"/>
      <c r="V471" s="73"/>
      <c r="W471" s="73">
        <f t="shared" si="286"/>
        <v>297.343116484104</v>
      </c>
      <c r="X471" s="75">
        <f t="shared" si="292"/>
        <v>4.83205450173658</v>
      </c>
      <c r="Y471" s="75"/>
      <c r="Z471" s="75"/>
      <c r="AA471" s="75">
        <f t="shared" si="282"/>
        <v>4.83205450173658</v>
      </c>
      <c r="AB471" s="84">
        <v>7.22</v>
      </c>
      <c r="AC471" s="73">
        <f t="shared" si="284"/>
        <v>34.8874335025381</v>
      </c>
      <c r="AD471" s="73">
        <f t="shared" si="285"/>
        <v>332.230549986642</v>
      </c>
      <c r="AE471" s="73">
        <f t="shared" si="283"/>
        <v>31.269450013358</v>
      </c>
    </row>
    <row r="472" customFormat="1" spans="1:31">
      <c r="A472" s="18"/>
      <c r="B472" s="19"/>
      <c r="C472" s="20">
        <v>240510000004</v>
      </c>
      <c r="D472" s="21">
        <v>45428</v>
      </c>
      <c r="E472" s="21" t="s">
        <v>41</v>
      </c>
      <c r="F472" s="19" t="s">
        <v>42</v>
      </c>
      <c r="G472" s="19" t="s">
        <v>368</v>
      </c>
      <c r="H472" s="19">
        <v>40</v>
      </c>
      <c r="I472" s="41">
        <v>2320</v>
      </c>
      <c r="J472" s="42"/>
      <c r="K472" s="43"/>
      <c r="L472" s="19"/>
      <c r="M472" s="44"/>
      <c r="N472" s="45"/>
      <c r="O472" s="111">
        <f>SUM(I472)</f>
        <v>2320</v>
      </c>
      <c r="P472" s="51"/>
      <c r="Q472" s="51"/>
      <c r="R472" s="73">
        <f t="shared" si="290"/>
        <v>1827.41437349719</v>
      </c>
      <c r="S472" s="73"/>
      <c r="T472" s="74">
        <f t="shared" si="291"/>
        <v>2.38942025113545</v>
      </c>
      <c r="U472" s="73"/>
      <c r="V472" s="73"/>
      <c r="W472" s="73">
        <f t="shared" si="286"/>
        <v>1829.80379374833</v>
      </c>
      <c r="X472" s="75">
        <f t="shared" si="292"/>
        <v>29.7357200106866</v>
      </c>
      <c r="Y472" s="75"/>
      <c r="Z472" s="75"/>
      <c r="AA472" s="75">
        <f t="shared" si="282"/>
        <v>29.7357200106866</v>
      </c>
      <c r="AB472" s="84">
        <v>7.22</v>
      </c>
      <c r="AC472" s="73">
        <f t="shared" si="284"/>
        <v>214.691898477157</v>
      </c>
      <c r="AD472" s="73">
        <f t="shared" si="285"/>
        <v>2044.49569222549</v>
      </c>
      <c r="AE472" s="73">
        <f t="shared" si="283"/>
        <v>275.504307774512</v>
      </c>
    </row>
    <row r="473" customFormat="1" spans="1:31">
      <c r="A473" s="18"/>
      <c r="B473" s="19"/>
      <c r="C473" s="22">
        <v>240510000011</v>
      </c>
      <c r="D473" s="23">
        <v>45428</v>
      </c>
      <c r="E473" s="21" t="s">
        <v>41</v>
      </c>
      <c r="F473" s="24" t="s">
        <v>42</v>
      </c>
      <c r="G473" s="24" t="s">
        <v>369</v>
      </c>
      <c r="H473" s="24">
        <v>14</v>
      </c>
      <c r="I473" s="52"/>
      <c r="J473" s="48">
        <v>157300</v>
      </c>
      <c r="K473" s="43"/>
      <c r="L473" s="49">
        <f t="shared" ref="L473:L476" si="293">SUM(J473/M473)</f>
        <v>1530.60231585093</v>
      </c>
      <c r="M473" s="50">
        <v>102.77</v>
      </c>
      <c r="N473" s="45">
        <v>7.22</v>
      </c>
      <c r="O473" s="111">
        <f t="shared" ref="O473:O476" si="294">SUM(M473*N473)</f>
        <v>741.9994</v>
      </c>
      <c r="P473" s="51"/>
      <c r="Q473" s="51"/>
      <c r="R473" s="73">
        <f t="shared" si="290"/>
        <v>639.595030724018</v>
      </c>
      <c r="S473" s="73"/>
      <c r="T473" s="74">
        <f t="shared" si="291"/>
        <v>0.836297087897409</v>
      </c>
      <c r="U473" s="73"/>
      <c r="V473" s="73"/>
      <c r="W473" s="73">
        <f t="shared" si="286"/>
        <v>640.431327811915</v>
      </c>
      <c r="X473" s="75">
        <f t="shared" si="292"/>
        <v>10.4075020037403</v>
      </c>
      <c r="Y473" s="75"/>
      <c r="Z473" s="75"/>
      <c r="AA473" s="75">
        <f t="shared" si="282"/>
        <v>10.4075020037403</v>
      </c>
      <c r="AB473" s="84">
        <v>7.22</v>
      </c>
      <c r="AC473" s="73">
        <f t="shared" si="284"/>
        <v>75.1421644670051</v>
      </c>
      <c r="AD473" s="73">
        <f t="shared" si="285"/>
        <v>715.573492278921</v>
      </c>
      <c r="AE473" s="73">
        <f t="shared" si="283"/>
        <v>26.4259077210795</v>
      </c>
    </row>
    <row r="474" customFormat="1" spans="1:31">
      <c r="A474" s="18"/>
      <c r="B474" s="19"/>
      <c r="C474" s="20">
        <v>240510000013</v>
      </c>
      <c r="D474" s="21">
        <v>45428</v>
      </c>
      <c r="E474" s="21" t="s">
        <v>41</v>
      </c>
      <c r="F474" s="19" t="s">
        <v>42</v>
      </c>
      <c r="G474" s="19" t="s">
        <v>145</v>
      </c>
      <c r="H474" s="19">
        <v>2</v>
      </c>
      <c r="I474" s="52"/>
      <c r="J474" s="48">
        <v>22260</v>
      </c>
      <c r="K474" s="43"/>
      <c r="L474" s="49">
        <f t="shared" si="293"/>
        <v>1516.34877384196</v>
      </c>
      <c r="M474" s="50">
        <v>14.68</v>
      </c>
      <c r="N474" s="45">
        <v>7.22</v>
      </c>
      <c r="O474" s="111">
        <f t="shared" si="294"/>
        <v>105.9896</v>
      </c>
      <c r="P474" s="51"/>
      <c r="Q474" s="51"/>
      <c r="R474" s="73">
        <f t="shared" si="290"/>
        <v>91.3707186748597</v>
      </c>
      <c r="S474" s="73"/>
      <c r="T474" s="74">
        <f t="shared" si="291"/>
        <v>0.119471012556773</v>
      </c>
      <c r="U474" s="73"/>
      <c r="V474" s="73"/>
      <c r="W474" s="73">
        <f t="shared" si="286"/>
        <v>91.4901896874165</v>
      </c>
      <c r="X474" s="75">
        <f t="shared" si="292"/>
        <v>1.48678600053433</v>
      </c>
      <c r="Y474" s="75"/>
      <c r="Z474" s="75"/>
      <c r="AA474" s="75">
        <f t="shared" si="282"/>
        <v>1.48678600053433</v>
      </c>
      <c r="AB474" s="84">
        <v>7.22</v>
      </c>
      <c r="AC474" s="73">
        <f t="shared" si="284"/>
        <v>10.7345949238579</v>
      </c>
      <c r="AD474" s="73">
        <f t="shared" si="285"/>
        <v>102.224784611274</v>
      </c>
      <c r="AE474" s="73">
        <f t="shared" si="283"/>
        <v>3.76481538872562</v>
      </c>
    </row>
    <row r="475" customFormat="1" spans="1:31">
      <c r="A475" s="18"/>
      <c r="B475" s="19"/>
      <c r="C475" s="20">
        <v>240510000014</v>
      </c>
      <c r="D475" s="21">
        <v>45428</v>
      </c>
      <c r="E475" s="21" t="s">
        <v>41</v>
      </c>
      <c r="F475" s="19" t="s">
        <v>42</v>
      </c>
      <c r="G475" s="19" t="s">
        <v>370</v>
      </c>
      <c r="H475" s="19">
        <v>263.5</v>
      </c>
      <c r="I475" s="52"/>
      <c r="J475" s="48">
        <v>3163581</v>
      </c>
      <c r="K475" s="43"/>
      <c r="L475" s="49">
        <f t="shared" si="293"/>
        <v>1494.54635644266</v>
      </c>
      <c r="M475" s="50">
        <v>2116.75</v>
      </c>
      <c r="N475" s="45">
        <v>7.22</v>
      </c>
      <c r="O475" s="116">
        <f t="shared" si="294"/>
        <v>15282.935</v>
      </c>
      <c r="P475" s="51"/>
      <c r="Q475" s="51"/>
      <c r="R475" s="73">
        <f t="shared" si="290"/>
        <v>12038.0921854128</v>
      </c>
      <c r="S475" s="73"/>
      <c r="T475" s="74">
        <f t="shared" si="291"/>
        <v>15.7403059043548</v>
      </c>
      <c r="U475" s="73"/>
      <c r="V475" s="73"/>
      <c r="W475" s="73">
        <f t="shared" si="286"/>
        <v>12053.8324913171</v>
      </c>
      <c r="X475" s="75">
        <f t="shared" si="292"/>
        <v>195.884055570398</v>
      </c>
      <c r="Y475" s="75"/>
      <c r="Z475" s="75"/>
      <c r="AA475" s="75">
        <f t="shared" si="282"/>
        <v>195.884055570398</v>
      </c>
      <c r="AB475" s="84">
        <v>7.22</v>
      </c>
      <c r="AC475" s="73">
        <f t="shared" si="284"/>
        <v>1414.28288121827</v>
      </c>
      <c r="AD475" s="73">
        <f t="shared" si="285"/>
        <v>13468.1153725354</v>
      </c>
      <c r="AE475" s="73">
        <f t="shared" si="283"/>
        <v>1814.8196274646</v>
      </c>
    </row>
    <row r="476" customFormat="1" spans="1:31">
      <c r="A476" s="18"/>
      <c r="B476" s="19"/>
      <c r="C476" s="20">
        <v>240510000020</v>
      </c>
      <c r="D476" s="21">
        <v>45428</v>
      </c>
      <c r="E476" s="21" t="s">
        <v>37</v>
      </c>
      <c r="F476" s="19" t="s">
        <v>38</v>
      </c>
      <c r="G476" s="19" t="s">
        <v>237</v>
      </c>
      <c r="H476" s="19">
        <v>67.5</v>
      </c>
      <c r="I476" s="46"/>
      <c r="J476" s="48">
        <v>740543</v>
      </c>
      <c r="K476" s="43"/>
      <c r="L476" s="49">
        <f t="shared" si="293"/>
        <v>1519.99794745484</v>
      </c>
      <c r="M476" s="50">
        <v>487.2</v>
      </c>
      <c r="N476" s="45">
        <v>7.22</v>
      </c>
      <c r="O476" s="111">
        <f t="shared" si="294"/>
        <v>3517.584</v>
      </c>
      <c r="P476" s="51"/>
      <c r="Q476" s="51"/>
      <c r="R476" s="73">
        <f t="shared" si="290"/>
        <v>3083.76175527652</v>
      </c>
      <c r="S476" s="73"/>
      <c r="T476" s="74">
        <f t="shared" si="291"/>
        <v>4.03214667379108</v>
      </c>
      <c r="U476" s="73"/>
      <c r="V476" s="73"/>
      <c r="W476" s="73">
        <f t="shared" si="286"/>
        <v>3087.79390195031</v>
      </c>
      <c r="X476" s="75">
        <f t="shared" si="292"/>
        <v>50.1790275180337</v>
      </c>
      <c r="Y476" s="75"/>
      <c r="Z476" s="75"/>
      <c r="AA476" s="75">
        <f t="shared" si="282"/>
        <v>50.1790275180337</v>
      </c>
      <c r="AB476" s="84">
        <v>7.22</v>
      </c>
      <c r="AC476" s="73">
        <f t="shared" si="284"/>
        <v>362.292578680203</v>
      </c>
      <c r="AD476" s="73">
        <f t="shared" si="285"/>
        <v>3450.08648063051</v>
      </c>
      <c r="AE476" s="73">
        <f t="shared" si="283"/>
        <v>67.49751936949</v>
      </c>
    </row>
    <row r="477" customFormat="1" spans="1:31">
      <c r="A477" s="18"/>
      <c r="B477" s="19"/>
      <c r="C477" s="20">
        <v>240510000021</v>
      </c>
      <c r="D477" s="21">
        <v>45428</v>
      </c>
      <c r="E477" s="21" t="s">
        <v>47</v>
      </c>
      <c r="F477" s="19" t="s">
        <v>48</v>
      </c>
      <c r="G477" s="19" t="s">
        <v>276</v>
      </c>
      <c r="H477" s="19">
        <v>0.72</v>
      </c>
      <c r="I477" s="41">
        <v>67</v>
      </c>
      <c r="J477" s="42"/>
      <c r="K477" s="43"/>
      <c r="L477" s="19"/>
      <c r="M477" s="44"/>
      <c r="N477" s="45"/>
      <c r="O477" s="111">
        <f t="shared" ref="O477:O482" si="295">SUM(I477)</f>
        <v>67</v>
      </c>
      <c r="P477" s="51"/>
      <c r="Q477" s="51"/>
      <c r="R477" s="73">
        <f t="shared" si="290"/>
        <v>32.8934587229495</v>
      </c>
      <c r="S477" s="73"/>
      <c r="T477" s="74">
        <f t="shared" si="291"/>
        <v>0.0430095645204382</v>
      </c>
      <c r="U477" s="73"/>
      <c r="V477" s="73"/>
      <c r="W477" s="73">
        <f t="shared" si="286"/>
        <v>32.9364682874699</v>
      </c>
      <c r="X477" s="75">
        <f t="shared" si="292"/>
        <v>0.535242960192359</v>
      </c>
      <c r="Y477" s="75"/>
      <c r="Z477" s="75"/>
      <c r="AA477" s="75">
        <f t="shared" si="282"/>
        <v>0.535242960192359</v>
      </c>
      <c r="AB477" s="84">
        <v>7.22</v>
      </c>
      <c r="AC477" s="73">
        <f t="shared" si="284"/>
        <v>3.86445417258883</v>
      </c>
      <c r="AD477" s="73">
        <f t="shared" si="285"/>
        <v>36.8009224600588</v>
      </c>
      <c r="AE477" s="73">
        <f t="shared" si="283"/>
        <v>30.1990775399412</v>
      </c>
    </row>
    <row r="478" customFormat="1" spans="1:31">
      <c r="A478" s="18"/>
      <c r="B478" s="19"/>
      <c r="C478" s="20">
        <v>240510000024</v>
      </c>
      <c r="D478" s="21">
        <v>45428</v>
      </c>
      <c r="E478" s="21" t="s">
        <v>41</v>
      </c>
      <c r="F478" s="19" t="s">
        <v>42</v>
      </c>
      <c r="G478" s="19" t="s">
        <v>156</v>
      </c>
      <c r="H478" s="19">
        <v>1.5</v>
      </c>
      <c r="I478" s="41">
        <v>79.5</v>
      </c>
      <c r="J478" s="42"/>
      <c r="K478" s="43"/>
      <c r="L478" s="19"/>
      <c r="M478" s="44"/>
      <c r="N478" s="45"/>
      <c r="O478" s="111">
        <f t="shared" si="295"/>
        <v>79.5</v>
      </c>
      <c r="P478" s="51"/>
      <c r="Q478" s="51"/>
      <c r="R478" s="73">
        <f t="shared" si="290"/>
        <v>68.5280390061448</v>
      </c>
      <c r="S478" s="73"/>
      <c r="T478" s="74">
        <f t="shared" si="291"/>
        <v>0.0896032594175795</v>
      </c>
      <c r="U478" s="73"/>
      <c r="V478" s="73"/>
      <c r="W478" s="73">
        <f t="shared" si="286"/>
        <v>68.6176422655624</v>
      </c>
      <c r="X478" s="75">
        <f t="shared" si="292"/>
        <v>1.11508950040075</v>
      </c>
      <c r="Y478" s="75"/>
      <c r="Z478" s="75"/>
      <c r="AA478" s="75">
        <f t="shared" si="282"/>
        <v>1.11508950040075</v>
      </c>
      <c r="AB478" s="84">
        <v>7.22</v>
      </c>
      <c r="AC478" s="73">
        <f t="shared" si="284"/>
        <v>8.0509461928934</v>
      </c>
      <c r="AD478" s="73">
        <f t="shared" si="285"/>
        <v>76.6685884584558</v>
      </c>
      <c r="AE478" s="73">
        <f t="shared" si="283"/>
        <v>2.83141154154421</v>
      </c>
    </row>
    <row r="479" customFormat="1" spans="1:31">
      <c r="A479" s="18"/>
      <c r="B479" s="19"/>
      <c r="C479" s="20">
        <v>240510000026</v>
      </c>
      <c r="D479" s="21">
        <v>45428</v>
      </c>
      <c r="E479" s="21" t="s">
        <v>41</v>
      </c>
      <c r="F479" s="19" t="s">
        <v>42</v>
      </c>
      <c r="G479" s="19" t="s">
        <v>142</v>
      </c>
      <c r="H479" s="19">
        <v>37</v>
      </c>
      <c r="I479" s="52"/>
      <c r="J479" s="48">
        <v>390810</v>
      </c>
      <c r="K479" s="43"/>
      <c r="L479" s="49">
        <f t="shared" ref="L479:L483" si="296">SUM(J479/M479)</f>
        <v>1516.23666343356</v>
      </c>
      <c r="M479" s="50">
        <v>257.75</v>
      </c>
      <c r="N479" s="45">
        <v>7.22</v>
      </c>
      <c r="O479" s="111">
        <f t="shared" ref="O479:O483" si="297">SUM(M479*N479)</f>
        <v>1860.955</v>
      </c>
      <c r="P479" s="51"/>
      <c r="Q479" s="51"/>
      <c r="R479" s="73">
        <f t="shared" si="290"/>
        <v>1690.35829548491</v>
      </c>
      <c r="S479" s="73"/>
      <c r="T479" s="74">
        <f t="shared" si="291"/>
        <v>2.21021373230029</v>
      </c>
      <c r="U479" s="73"/>
      <c r="V479" s="73"/>
      <c r="W479" s="73">
        <f t="shared" si="286"/>
        <v>1692.56850921721</v>
      </c>
      <c r="X479" s="75">
        <f t="shared" si="292"/>
        <v>27.5055410098851</v>
      </c>
      <c r="Y479" s="75"/>
      <c r="Z479" s="75"/>
      <c r="AA479" s="75">
        <f t="shared" si="282"/>
        <v>27.5055410098851</v>
      </c>
      <c r="AB479" s="84">
        <v>7.22</v>
      </c>
      <c r="AC479" s="73">
        <f t="shared" si="284"/>
        <v>198.590006091371</v>
      </c>
      <c r="AD479" s="73">
        <f t="shared" si="285"/>
        <v>1891.15851530858</v>
      </c>
      <c r="AE479" s="73">
        <f t="shared" si="283"/>
        <v>-30.2035153085758</v>
      </c>
    </row>
    <row r="480" customFormat="1" spans="1:31">
      <c r="A480" s="18"/>
      <c r="B480" s="19"/>
      <c r="C480" s="20">
        <v>240510000028</v>
      </c>
      <c r="D480" s="21">
        <v>45428</v>
      </c>
      <c r="E480" s="21" t="s">
        <v>44</v>
      </c>
      <c r="F480" s="19" t="s">
        <v>45</v>
      </c>
      <c r="G480" s="19" t="s">
        <v>175</v>
      </c>
      <c r="H480" s="19">
        <v>11</v>
      </c>
      <c r="I480" s="52"/>
      <c r="J480" s="48">
        <v>128310</v>
      </c>
      <c r="K480" s="43"/>
      <c r="L480" s="49">
        <f t="shared" si="296"/>
        <v>1516.30820137083</v>
      </c>
      <c r="M480" s="50">
        <v>84.62</v>
      </c>
      <c r="N480" s="45">
        <v>7.22</v>
      </c>
      <c r="O480" s="111">
        <f t="shared" si="297"/>
        <v>610.9564</v>
      </c>
      <c r="P480" s="51"/>
      <c r="Q480" s="51"/>
      <c r="R480" s="73">
        <f t="shared" si="290"/>
        <v>502.538952711729</v>
      </c>
      <c r="S480" s="73"/>
      <c r="T480" s="74">
        <f t="shared" si="291"/>
        <v>0.657090569062249</v>
      </c>
      <c r="U480" s="73"/>
      <c r="V480" s="73"/>
      <c r="W480" s="73">
        <f t="shared" si="286"/>
        <v>503.196043280791</v>
      </c>
      <c r="X480" s="75">
        <f t="shared" si="292"/>
        <v>8.17732300293882</v>
      </c>
      <c r="Y480" s="75"/>
      <c r="Z480" s="75"/>
      <c r="AA480" s="75">
        <f t="shared" si="282"/>
        <v>8.17732300293882</v>
      </c>
      <c r="AB480" s="84">
        <v>7.22</v>
      </c>
      <c r="AC480" s="73">
        <f t="shared" si="284"/>
        <v>59.0402720812183</v>
      </c>
      <c r="AD480" s="73">
        <f t="shared" si="285"/>
        <v>562.236315362009</v>
      </c>
      <c r="AE480" s="73">
        <f t="shared" si="283"/>
        <v>48.720084637991</v>
      </c>
    </row>
    <row r="481" customFormat="1" spans="1:31">
      <c r="A481" s="18"/>
      <c r="B481" s="19"/>
      <c r="C481" s="20">
        <v>240510000029</v>
      </c>
      <c r="D481" s="21">
        <v>45428</v>
      </c>
      <c r="E481" s="21" t="s">
        <v>54</v>
      </c>
      <c r="F481" s="19" t="s">
        <v>340</v>
      </c>
      <c r="G481" s="19" t="s">
        <v>371</v>
      </c>
      <c r="H481" s="19">
        <v>298</v>
      </c>
      <c r="I481" s="41">
        <v>15198</v>
      </c>
      <c r="J481" s="42"/>
      <c r="K481" s="43"/>
      <c r="L481" s="19"/>
      <c r="M481" s="44"/>
      <c r="N481" s="45"/>
      <c r="O481" s="111">
        <f t="shared" si="295"/>
        <v>15198</v>
      </c>
      <c r="P481" s="51"/>
      <c r="Q481" s="51"/>
      <c r="R481" s="73">
        <f t="shared" si="290"/>
        <v>13614.2370825541</v>
      </c>
      <c r="S481" s="73"/>
      <c r="T481" s="74">
        <f t="shared" si="291"/>
        <v>17.8011808709591</v>
      </c>
      <c r="U481" s="73"/>
      <c r="V481" s="73"/>
      <c r="W481" s="73">
        <f t="shared" si="286"/>
        <v>13632.0382634251</v>
      </c>
      <c r="X481" s="75">
        <f t="shared" si="292"/>
        <v>221.531114079615</v>
      </c>
      <c r="Y481" s="75"/>
      <c r="Z481" s="75"/>
      <c r="AA481" s="75">
        <f t="shared" si="282"/>
        <v>221.531114079615</v>
      </c>
      <c r="AB481" s="84">
        <v>7.22</v>
      </c>
      <c r="AC481" s="73">
        <f t="shared" si="284"/>
        <v>1599.45464365482</v>
      </c>
      <c r="AD481" s="73">
        <f t="shared" si="285"/>
        <v>15231.4929070799</v>
      </c>
      <c r="AE481" s="73">
        <f t="shared" si="283"/>
        <v>-33.4929070798826</v>
      </c>
    </row>
    <row r="482" customFormat="1" spans="1:31">
      <c r="A482" s="18"/>
      <c r="B482" s="19"/>
      <c r="C482" s="20">
        <v>240510000030</v>
      </c>
      <c r="D482" s="21">
        <v>45428</v>
      </c>
      <c r="E482" s="21" t="s">
        <v>41</v>
      </c>
      <c r="F482" s="19" t="s">
        <v>42</v>
      </c>
      <c r="G482" s="19" t="s">
        <v>372</v>
      </c>
      <c r="H482" s="19">
        <v>23.5</v>
      </c>
      <c r="I482" s="41">
        <v>1363</v>
      </c>
      <c r="J482" s="42"/>
      <c r="K482" s="43"/>
      <c r="L482" s="19"/>
      <c r="M482" s="44"/>
      <c r="N482" s="45"/>
      <c r="O482" s="111">
        <f t="shared" si="295"/>
        <v>1363</v>
      </c>
      <c r="P482" s="51"/>
      <c r="Q482" s="51"/>
      <c r="R482" s="73">
        <f t="shared" si="290"/>
        <v>1073.6059444296</v>
      </c>
      <c r="S482" s="73"/>
      <c r="T482" s="74">
        <f t="shared" si="291"/>
        <v>1.40378439754208</v>
      </c>
      <c r="U482" s="73"/>
      <c r="V482" s="73"/>
      <c r="W482" s="73">
        <f t="shared" si="286"/>
        <v>1075.00972882714</v>
      </c>
      <c r="X482" s="75">
        <f t="shared" si="292"/>
        <v>17.4697355062784</v>
      </c>
      <c r="Y482" s="75"/>
      <c r="Z482" s="75"/>
      <c r="AA482" s="75">
        <f t="shared" si="282"/>
        <v>17.4697355062784</v>
      </c>
      <c r="AB482" s="84">
        <v>7.22</v>
      </c>
      <c r="AC482" s="73">
        <f t="shared" si="284"/>
        <v>126.13149035533</v>
      </c>
      <c r="AD482" s="73">
        <f t="shared" si="285"/>
        <v>1201.14121918247</v>
      </c>
      <c r="AE482" s="73">
        <f t="shared" si="283"/>
        <v>161.858780817526</v>
      </c>
    </row>
    <row r="483" customFormat="1" spans="1:31">
      <c r="A483" s="18"/>
      <c r="B483" s="19"/>
      <c r="C483" s="20">
        <v>240510000033</v>
      </c>
      <c r="D483" s="21">
        <v>45428</v>
      </c>
      <c r="E483" s="21" t="s">
        <v>37</v>
      </c>
      <c r="F483" s="19" t="s">
        <v>38</v>
      </c>
      <c r="G483" s="19" t="s">
        <v>170</v>
      </c>
      <c r="H483" s="19">
        <v>14</v>
      </c>
      <c r="I483" s="46"/>
      <c r="J483" s="48">
        <v>165224</v>
      </c>
      <c r="K483" s="43"/>
      <c r="L483" s="49">
        <f t="shared" si="296"/>
        <v>1520</v>
      </c>
      <c r="M483" s="50">
        <v>108.7</v>
      </c>
      <c r="N483" s="45">
        <v>7.22</v>
      </c>
      <c r="O483" s="111">
        <f t="shared" si="297"/>
        <v>784.814</v>
      </c>
      <c r="P483" s="51"/>
      <c r="Q483" s="51"/>
      <c r="R483" s="73">
        <f t="shared" si="290"/>
        <v>639.595030724018</v>
      </c>
      <c r="S483" s="73"/>
      <c r="T483" s="74">
        <f t="shared" si="291"/>
        <v>0.836297087897409</v>
      </c>
      <c r="U483" s="73"/>
      <c r="V483" s="73"/>
      <c r="W483" s="73">
        <f t="shared" si="286"/>
        <v>640.431327811915</v>
      </c>
      <c r="X483" s="75">
        <f t="shared" si="292"/>
        <v>10.4075020037403</v>
      </c>
      <c r="Y483" s="75"/>
      <c r="Z483" s="75"/>
      <c r="AA483" s="75">
        <f t="shared" si="282"/>
        <v>10.4075020037403</v>
      </c>
      <c r="AB483" s="84">
        <v>7.22</v>
      </c>
      <c r="AC483" s="73">
        <f t="shared" si="284"/>
        <v>75.1421644670051</v>
      </c>
      <c r="AD483" s="73">
        <f t="shared" si="285"/>
        <v>715.573492278921</v>
      </c>
      <c r="AE483" s="73">
        <f t="shared" si="283"/>
        <v>69.2405077210794</v>
      </c>
    </row>
    <row r="484" customFormat="1" spans="1:31">
      <c r="A484" s="18"/>
      <c r="B484" s="19"/>
      <c r="C484" s="20">
        <v>240510000036</v>
      </c>
      <c r="D484" s="21">
        <v>45428</v>
      </c>
      <c r="E484" s="21" t="s">
        <v>41</v>
      </c>
      <c r="F484" s="19" t="s">
        <v>42</v>
      </c>
      <c r="G484" s="19" t="s">
        <v>373</v>
      </c>
      <c r="H484" s="19">
        <v>1.5</v>
      </c>
      <c r="I484" s="41">
        <v>99</v>
      </c>
      <c r="J484" s="42"/>
      <c r="K484" s="43"/>
      <c r="L484" s="19"/>
      <c r="M484" s="44"/>
      <c r="N484" s="45"/>
      <c r="O484" s="111">
        <f t="shared" ref="O484:O490" si="298">SUM(I484)</f>
        <v>99</v>
      </c>
      <c r="P484" s="51"/>
      <c r="Q484" s="51"/>
      <c r="R484" s="73">
        <f t="shared" si="290"/>
        <v>68.5280390061448</v>
      </c>
      <c r="S484" s="73"/>
      <c r="T484" s="74">
        <f t="shared" si="291"/>
        <v>0.0896032594175795</v>
      </c>
      <c r="U484" s="73"/>
      <c r="V484" s="73"/>
      <c r="W484" s="73">
        <f t="shared" si="286"/>
        <v>68.6176422655624</v>
      </c>
      <c r="X484" s="75">
        <f t="shared" si="292"/>
        <v>1.11508950040075</v>
      </c>
      <c r="Y484" s="75"/>
      <c r="Z484" s="75"/>
      <c r="AA484" s="75">
        <f t="shared" si="282"/>
        <v>1.11508950040075</v>
      </c>
      <c r="AB484" s="84">
        <v>7.22</v>
      </c>
      <c r="AC484" s="73">
        <f t="shared" si="284"/>
        <v>8.0509461928934</v>
      </c>
      <c r="AD484" s="73">
        <f t="shared" si="285"/>
        <v>76.6685884584558</v>
      </c>
      <c r="AE484" s="73">
        <f t="shared" si="283"/>
        <v>22.3314115415442</v>
      </c>
    </row>
    <row r="485" customFormat="1" spans="1:31">
      <c r="A485" s="18"/>
      <c r="B485" s="19"/>
      <c r="C485" s="20">
        <v>240510000038</v>
      </c>
      <c r="D485" s="21">
        <v>45428</v>
      </c>
      <c r="E485" s="21" t="s">
        <v>41</v>
      </c>
      <c r="F485" s="19" t="s">
        <v>42</v>
      </c>
      <c r="G485" s="19" t="s">
        <v>142</v>
      </c>
      <c r="H485" s="19">
        <v>57.5</v>
      </c>
      <c r="I485" s="52"/>
      <c r="J485" s="48">
        <v>618975</v>
      </c>
      <c r="K485" s="43"/>
      <c r="L485" s="49">
        <f>SUM(J485/M485)</f>
        <v>1516.2037037037</v>
      </c>
      <c r="M485" s="50">
        <v>408.24</v>
      </c>
      <c r="N485" s="45">
        <v>7.22</v>
      </c>
      <c r="O485" s="111">
        <f>SUM(M485*N485)</f>
        <v>2947.4928</v>
      </c>
      <c r="P485" s="51"/>
      <c r="Q485" s="51"/>
      <c r="R485" s="73">
        <f t="shared" si="290"/>
        <v>2626.90816190222</v>
      </c>
      <c r="S485" s="73"/>
      <c r="T485" s="74">
        <f t="shared" si="291"/>
        <v>3.43479161100721</v>
      </c>
      <c r="U485" s="73"/>
      <c r="V485" s="73"/>
      <c r="W485" s="73">
        <f t="shared" si="286"/>
        <v>2630.34295351322</v>
      </c>
      <c r="X485" s="75">
        <f t="shared" si="292"/>
        <v>42.745097515362</v>
      </c>
      <c r="Y485" s="75"/>
      <c r="Z485" s="75"/>
      <c r="AA485" s="75">
        <f t="shared" si="282"/>
        <v>42.745097515362</v>
      </c>
      <c r="AB485" s="84">
        <v>7.22</v>
      </c>
      <c r="AC485" s="73">
        <f t="shared" si="284"/>
        <v>308.619604060914</v>
      </c>
      <c r="AD485" s="73">
        <f t="shared" si="285"/>
        <v>2938.96255757414</v>
      </c>
      <c r="AE485" s="73">
        <f t="shared" si="283"/>
        <v>8.53024242586162</v>
      </c>
    </row>
    <row r="486" customFormat="1" spans="1:31">
      <c r="A486" s="18"/>
      <c r="B486" s="19"/>
      <c r="C486" s="20">
        <v>240510000041</v>
      </c>
      <c r="D486" s="21">
        <v>45428</v>
      </c>
      <c r="E486" s="21" t="s">
        <v>157</v>
      </c>
      <c r="F486" s="19" t="s">
        <v>374</v>
      </c>
      <c r="G486" s="19" t="s">
        <v>374</v>
      </c>
      <c r="H486" s="19">
        <v>0.8</v>
      </c>
      <c r="I486" s="41">
        <v>61</v>
      </c>
      <c r="J486" s="42"/>
      <c r="K486" s="43"/>
      <c r="L486" s="19"/>
      <c r="M486" s="44"/>
      <c r="N486" s="45"/>
      <c r="O486" s="111">
        <f t="shared" si="298"/>
        <v>61</v>
      </c>
      <c r="P486" s="51"/>
      <c r="Q486" s="51"/>
      <c r="R486" s="73">
        <f t="shared" si="290"/>
        <v>36.5482874699439</v>
      </c>
      <c r="S486" s="73"/>
      <c r="T486" s="74">
        <f t="shared" si="291"/>
        <v>0.0477884050227091</v>
      </c>
      <c r="U486" s="73"/>
      <c r="V486" s="73"/>
      <c r="W486" s="73">
        <f t="shared" si="286"/>
        <v>36.5960758749666</v>
      </c>
      <c r="X486" s="75">
        <f t="shared" si="292"/>
        <v>0.594714400213732</v>
      </c>
      <c r="Y486" s="75"/>
      <c r="Z486" s="75"/>
      <c r="AA486" s="75">
        <f t="shared" si="282"/>
        <v>0.594714400213732</v>
      </c>
      <c r="AB486" s="84">
        <v>7.22</v>
      </c>
      <c r="AC486" s="73">
        <f t="shared" si="284"/>
        <v>4.29383796954315</v>
      </c>
      <c r="AD486" s="73">
        <f t="shared" si="285"/>
        <v>40.8899138445097</v>
      </c>
      <c r="AE486" s="73">
        <f t="shared" si="283"/>
        <v>20.1100861554903</v>
      </c>
    </row>
    <row r="487" customFormat="1" spans="1:31">
      <c r="A487" s="18"/>
      <c r="B487" s="19"/>
      <c r="C487" s="20">
        <v>240510000042</v>
      </c>
      <c r="D487" s="21">
        <v>45428</v>
      </c>
      <c r="E487" s="21" t="s">
        <v>157</v>
      </c>
      <c r="F487" s="19" t="s">
        <v>239</v>
      </c>
      <c r="G487" s="19" t="s">
        <v>216</v>
      </c>
      <c r="H487" s="19">
        <v>5</v>
      </c>
      <c r="I487" s="46"/>
      <c r="J487" s="42"/>
      <c r="K487" s="54">
        <v>45.1</v>
      </c>
      <c r="L487" s="49">
        <f>SUM(J487/M487)</f>
        <v>0</v>
      </c>
      <c r="M487" s="50">
        <v>45.1</v>
      </c>
      <c r="N487" s="45">
        <v>7.22</v>
      </c>
      <c r="O487" s="111">
        <f>SUM(M487*N487)</f>
        <v>325.622</v>
      </c>
      <c r="P487" s="51"/>
      <c r="Q487" s="51"/>
      <c r="R487" s="73">
        <f t="shared" si="290"/>
        <v>228.426796687149</v>
      </c>
      <c r="S487" s="73"/>
      <c r="T487" s="74">
        <f t="shared" si="291"/>
        <v>0.298677531391932</v>
      </c>
      <c r="U487" s="73"/>
      <c r="V487" s="73"/>
      <c r="W487" s="73">
        <f t="shared" si="286"/>
        <v>228.725474218541</v>
      </c>
      <c r="X487" s="75">
        <f t="shared" si="292"/>
        <v>3.71696500133583</v>
      </c>
      <c r="Y487" s="75"/>
      <c r="Z487" s="75"/>
      <c r="AA487" s="75">
        <f t="shared" si="282"/>
        <v>3.71696500133583</v>
      </c>
      <c r="AB487" s="84">
        <v>7.22</v>
      </c>
      <c r="AC487" s="73">
        <f t="shared" si="284"/>
        <v>26.8364873096447</v>
      </c>
      <c r="AD487" s="73">
        <f t="shared" si="285"/>
        <v>255.561961528186</v>
      </c>
      <c r="AE487" s="73">
        <f t="shared" si="283"/>
        <v>70.0600384718141</v>
      </c>
    </row>
    <row r="488" customFormat="1" spans="1:31">
      <c r="A488" s="18"/>
      <c r="B488" s="19"/>
      <c r="C488" s="20">
        <v>240510000043</v>
      </c>
      <c r="D488" s="21">
        <v>45428</v>
      </c>
      <c r="E488" s="21" t="s">
        <v>47</v>
      </c>
      <c r="F488" s="19" t="s">
        <v>375</v>
      </c>
      <c r="G488" s="19" t="s">
        <v>376</v>
      </c>
      <c r="H488" s="19">
        <v>13</v>
      </c>
      <c r="I488" s="41">
        <v>721</v>
      </c>
      <c r="J488" s="42"/>
      <c r="K488" s="43"/>
      <c r="L488" s="19"/>
      <c r="M488" s="44"/>
      <c r="N488" s="45"/>
      <c r="O488" s="111">
        <f t="shared" si="298"/>
        <v>721</v>
      </c>
      <c r="P488" s="51"/>
      <c r="Q488" s="51"/>
      <c r="R488" s="73">
        <f t="shared" si="290"/>
        <v>593.909671386588</v>
      </c>
      <c r="S488" s="73"/>
      <c r="T488" s="74">
        <f t="shared" si="291"/>
        <v>0.776561581619022</v>
      </c>
      <c r="U488" s="73"/>
      <c r="V488" s="73"/>
      <c r="W488" s="73">
        <f t="shared" si="286"/>
        <v>594.686232968207</v>
      </c>
      <c r="X488" s="75">
        <f t="shared" si="292"/>
        <v>9.66410900347315</v>
      </c>
      <c r="Y488" s="75"/>
      <c r="Z488" s="75"/>
      <c r="AA488" s="75">
        <f t="shared" si="282"/>
        <v>9.66410900347315</v>
      </c>
      <c r="AB488" s="84">
        <v>7.22</v>
      </c>
      <c r="AC488" s="73">
        <f t="shared" si="284"/>
        <v>69.7748670050761</v>
      </c>
      <c r="AD488" s="73">
        <f t="shared" si="285"/>
        <v>664.461099973283</v>
      </c>
      <c r="AE488" s="73">
        <f t="shared" si="283"/>
        <v>56.5389000267166</v>
      </c>
    </row>
    <row r="489" customFormat="1" spans="1:31">
      <c r="A489" s="18"/>
      <c r="B489" s="19"/>
      <c r="C489" s="20">
        <v>240511000004</v>
      </c>
      <c r="D489" s="21">
        <v>45428</v>
      </c>
      <c r="E489" s="21" t="s">
        <v>44</v>
      </c>
      <c r="F489" s="19" t="s">
        <v>45</v>
      </c>
      <c r="G489" s="19" t="s">
        <v>171</v>
      </c>
      <c r="H489" s="19">
        <v>7</v>
      </c>
      <c r="I489" s="41">
        <v>391</v>
      </c>
      <c r="J489" s="42"/>
      <c r="K489" s="43"/>
      <c r="L489" s="19"/>
      <c r="M489" s="44"/>
      <c r="N489" s="45"/>
      <c r="O489" s="111">
        <f t="shared" si="298"/>
        <v>391</v>
      </c>
      <c r="P489" s="51"/>
      <c r="Q489" s="51"/>
      <c r="R489" s="73">
        <f t="shared" si="290"/>
        <v>319.797515362009</v>
      </c>
      <c r="S489" s="73"/>
      <c r="T489" s="74">
        <f t="shared" si="291"/>
        <v>0.418148543948704</v>
      </c>
      <c r="U489" s="73"/>
      <c r="V489" s="73"/>
      <c r="W489" s="73">
        <f t="shared" si="286"/>
        <v>320.215663905958</v>
      </c>
      <c r="X489" s="75">
        <f t="shared" si="292"/>
        <v>5.20375100187016</v>
      </c>
      <c r="Y489" s="75"/>
      <c r="Z489" s="75"/>
      <c r="AA489" s="75">
        <f t="shared" si="282"/>
        <v>5.20375100187016</v>
      </c>
      <c r="AB489" s="84">
        <v>7.22</v>
      </c>
      <c r="AC489" s="73">
        <f t="shared" si="284"/>
        <v>37.5710822335025</v>
      </c>
      <c r="AD489" s="73">
        <f t="shared" si="285"/>
        <v>357.78674613946</v>
      </c>
      <c r="AE489" s="73">
        <f t="shared" si="283"/>
        <v>33.2132538605397</v>
      </c>
    </row>
    <row r="490" customFormat="1" spans="1:31">
      <c r="A490" s="18"/>
      <c r="B490" s="19"/>
      <c r="C490" s="20">
        <v>240511000005</v>
      </c>
      <c r="D490" s="21">
        <v>45428</v>
      </c>
      <c r="E490" s="21" t="s">
        <v>47</v>
      </c>
      <c r="F490" s="19" t="s">
        <v>48</v>
      </c>
      <c r="G490" s="19" t="s">
        <v>134</v>
      </c>
      <c r="H490" s="19">
        <v>0.29</v>
      </c>
      <c r="I490" s="41">
        <v>61</v>
      </c>
      <c r="J490" s="42"/>
      <c r="K490" s="43"/>
      <c r="L490" s="19"/>
      <c r="M490" s="44"/>
      <c r="N490" s="45"/>
      <c r="O490" s="111">
        <f t="shared" si="298"/>
        <v>61</v>
      </c>
      <c r="P490" s="51"/>
      <c r="Q490" s="51"/>
      <c r="R490" s="73">
        <f t="shared" si="290"/>
        <v>13.2487542078547</v>
      </c>
      <c r="S490" s="73"/>
      <c r="T490" s="74">
        <f t="shared" si="291"/>
        <v>0.017323296820732</v>
      </c>
      <c r="U490" s="73"/>
      <c r="V490" s="73"/>
      <c r="W490" s="73">
        <f t="shared" si="286"/>
        <v>13.2660775046754</v>
      </c>
      <c r="X490" s="75">
        <f t="shared" si="292"/>
        <v>0.215583970077478</v>
      </c>
      <c r="Y490" s="75"/>
      <c r="Z490" s="75"/>
      <c r="AA490" s="75">
        <f t="shared" ref="AA490:AA531" si="299">SUM(X490:Z490)</f>
        <v>0.215583970077478</v>
      </c>
      <c r="AB490" s="84">
        <v>7.22</v>
      </c>
      <c r="AC490" s="73">
        <f t="shared" si="284"/>
        <v>1.55651626395939</v>
      </c>
      <c r="AD490" s="73">
        <f t="shared" si="285"/>
        <v>14.8225937686348</v>
      </c>
      <c r="AE490" s="73">
        <f t="shared" ref="AE490:AE532" si="300">SUM(O490-AD490)</f>
        <v>46.1774062313652</v>
      </c>
    </row>
    <row r="491" customFormat="1" spans="1:31">
      <c r="A491" s="18"/>
      <c r="B491" s="19"/>
      <c r="C491" s="20">
        <v>240511000006</v>
      </c>
      <c r="D491" s="21">
        <v>45428</v>
      </c>
      <c r="E491" s="21" t="s">
        <v>47</v>
      </c>
      <c r="F491" s="19" t="s">
        <v>48</v>
      </c>
      <c r="G491" s="19" t="s">
        <v>342</v>
      </c>
      <c r="H491" s="19">
        <v>189.5</v>
      </c>
      <c r="I491" s="46"/>
      <c r="J491" s="48">
        <v>2311996</v>
      </c>
      <c r="K491" s="43"/>
      <c r="L491" s="49">
        <f>SUM(J491/M491)</f>
        <v>1520</v>
      </c>
      <c r="M491" s="50">
        <v>1521.05</v>
      </c>
      <c r="N491" s="45">
        <v>7.22</v>
      </c>
      <c r="O491" s="111">
        <f>SUM(M491*N491)</f>
        <v>10981.981</v>
      </c>
      <c r="P491" s="51"/>
      <c r="Q491" s="51"/>
      <c r="R491" s="73">
        <f t="shared" si="290"/>
        <v>8657.37559444296</v>
      </c>
      <c r="S491" s="73"/>
      <c r="T491" s="74">
        <f t="shared" si="291"/>
        <v>11.3198784397542</v>
      </c>
      <c r="U491" s="73">
        <v>150</v>
      </c>
      <c r="V491" s="73"/>
      <c r="W491" s="73">
        <f t="shared" si="286"/>
        <v>8818.69547288271</v>
      </c>
      <c r="X491" s="75">
        <f t="shared" si="292"/>
        <v>140.872973550628</v>
      </c>
      <c r="Y491" s="75"/>
      <c r="Z491" s="75"/>
      <c r="AA491" s="75">
        <f t="shared" si="299"/>
        <v>140.872973550628</v>
      </c>
      <c r="AB491" s="84">
        <v>7.22</v>
      </c>
      <c r="AC491" s="73">
        <f t="shared" ref="AC491:AC533" si="301">SUM(AA491*AB491)</f>
        <v>1017.10286903553</v>
      </c>
      <c r="AD491" s="73">
        <f t="shared" ref="AD491:AD532" si="302">SUM(W491+AC491)</f>
        <v>9835.79834191825</v>
      </c>
      <c r="AE491" s="73">
        <f t="shared" si="300"/>
        <v>1146.18265808175</v>
      </c>
    </row>
    <row r="492" customFormat="1" spans="1:31">
      <c r="A492" s="18"/>
      <c r="B492" s="19"/>
      <c r="C492" s="20">
        <v>240511000010</v>
      </c>
      <c r="D492" s="21">
        <v>45428</v>
      </c>
      <c r="E492" s="21" t="s">
        <v>37</v>
      </c>
      <c r="F492" s="19" t="s">
        <v>38</v>
      </c>
      <c r="G492" s="19" t="s">
        <v>377</v>
      </c>
      <c r="H492" s="19">
        <v>7</v>
      </c>
      <c r="I492" s="41">
        <v>433</v>
      </c>
      <c r="J492" s="42"/>
      <c r="K492" s="43"/>
      <c r="L492" s="19"/>
      <c r="M492" s="44"/>
      <c r="N492" s="45"/>
      <c r="O492" s="111">
        <f t="shared" ref="O492:O495" si="303">SUM(I492)</f>
        <v>433</v>
      </c>
      <c r="P492" s="51"/>
      <c r="Q492" s="51"/>
      <c r="R492" s="73">
        <f t="shared" si="290"/>
        <v>319.797515362009</v>
      </c>
      <c r="S492" s="73"/>
      <c r="T492" s="74">
        <f t="shared" si="291"/>
        <v>0.418148543948704</v>
      </c>
      <c r="U492" s="73"/>
      <c r="V492" s="73"/>
      <c r="W492" s="73">
        <f t="shared" ref="W492:W532" si="304">SUM(R492:V492)</f>
        <v>320.215663905958</v>
      </c>
      <c r="X492" s="75">
        <f t="shared" si="292"/>
        <v>5.20375100187016</v>
      </c>
      <c r="Y492" s="75"/>
      <c r="Z492" s="75"/>
      <c r="AA492" s="75">
        <f t="shared" si="299"/>
        <v>5.20375100187016</v>
      </c>
      <c r="AB492" s="84">
        <v>7.22</v>
      </c>
      <c r="AC492" s="73">
        <f t="shared" si="301"/>
        <v>37.5710822335025</v>
      </c>
      <c r="AD492" s="73">
        <f t="shared" si="302"/>
        <v>357.78674613946</v>
      </c>
      <c r="AE492" s="73">
        <f t="shared" si="300"/>
        <v>75.21325386054</v>
      </c>
    </row>
    <row r="493" customFormat="1" spans="1:31">
      <c r="A493" s="18"/>
      <c r="B493" s="19"/>
      <c r="C493" s="20">
        <v>240511000012</v>
      </c>
      <c r="D493" s="21">
        <v>45428</v>
      </c>
      <c r="E493" s="21" t="s">
        <v>41</v>
      </c>
      <c r="F493" s="19" t="s">
        <v>42</v>
      </c>
      <c r="G493" s="19" t="s">
        <v>378</v>
      </c>
      <c r="H493" s="19">
        <v>46.5</v>
      </c>
      <c r="I493" s="52"/>
      <c r="J493" s="48">
        <v>571700</v>
      </c>
      <c r="K493" s="43"/>
      <c r="L493" s="49">
        <f>SUM(J493/M493)</f>
        <v>1530.49204904428</v>
      </c>
      <c r="M493" s="50">
        <v>373.54</v>
      </c>
      <c r="N493" s="45">
        <v>7.22</v>
      </c>
      <c r="O493" s="111">
        <f>SUM(M493*N493)</f>
        <v>2696.9588</v>
      </c>
      <c r="P493" s="51"/>
      <c r="Q493" s="51"/>
      <c r="R493" s="73">
        <f t="shared" si="290"/>
        <v>2124.36920919049</v>
      </c>
      <c r="S493" s="73"/>
      <c r="T493" s="74">
        <f t="shared" si="291"/>
        <v>2.77770104194496</v>
      </c>
      <c r="U493" s="73"/>
      <c r="V493" s="73"/>
      <c r="W493" s="73">
        <f t="shared" si="304"/>
        <v>2127.14691023243</v>
      </c>
      <c r="X493" s="75">
        <f t="shared" si="292"/>
        <v>34.5677745124232</v>
      </c>
      <c r="Y493" s="75"/>
      <c r="Z493" s="75"/>
      <c r="AA493" s="75">
        <f t="shared" si="299"/>
        <v>34.5677745124232</v>
      </c>
      <c r="AB493" s="84">
        <v>7.22</v>
      </c>
      <c r="AC493" s="73">
        <f t="shared" si="301"/>
        <v>249.579331979695</v>
      </c>
      <c r="AD493" s="73">
        <f t="shared" si="302"/>
        <v>2376.72624221213</v>
      </c>
      <c r="AE493" s="73">
        <f t="shared" si="300"/>
        <v>320.23255778787</v>
      </c>
    </row>
    <row r="494" customFormat="1" spans="1:31">
      <c r="A494" s="18"/>
      <c r="B494" s="19"/>
      <c r="C494" s="20">
        <v>240511000018</v>
      </c>
      <c r="D494" s="21">
        <v>45428</v>
      </c>
      <c r="E494" s="21" t="s">
        <v>44</v>
      </c>
      <c r="F494" s="19" t="s">
        <v>45</v>
      </c>
      <c r="G494" s="19" t="s">
        <v>360</v>
      </c>
      <c r="H494" s="19">
        <v>0.9</v>
      </c>
      <c r="I494" s="41">
        <v>52</v>
      </c>
      <c r="J494" s="42"/>
      <c r="K494" s="43"/>
      <c r="L494" s="19"/>
      <c r="M494" s="44"/>
      <c r="N494" s="45"/>
      <c r="O494" s="111">
        <f t="shared" si="303"/>
        <v>52</v>
      </c>
      <c r="P494" s="51"/>
      <c r="Q494" s="51"/>
      <c r="R494" s="73">
        <f t="shared" si="290"/>
        <v>41.1168234036869</v>
      </c>
      <c r="S494" s="73"/>
      <c r="T494" s="74">
        <f t="shared" si="291"/>
        <v>0.0537619556505477</v>
      </c>
      <c r="U494" s="73"/>
      <c r="V494" s="73"/>
      <c r="W494" s="73">
        <f t="shared" si="304"/>
        <v>41.1705853593374</v>
      </c>
      <c r="X494" s="75">
        <f t="shared" si="292"/>
        <v>0.669053700240449</v>
      </c>
      <c r="Y494" s="75"/>
      <c r="Z494" s="75"/>
      <c r="AA494" s="75">
        <f t="shared" si="299"/>
        <v>0.669053700240449</v>
      </c>
      <c r="AB494" s="84">
        <v>7.22</v>
      </c>
      <c r="AC494" s="73">
        <f t="shared" si="301"/>
        <v>4.83056771573604</v>
      </c>
      <c r="AD494" s="73">
        <f t="shared" si="302"/>
        <v>46.0011530750735</v>
      </c>
      <c r="AE494" s="73">
        <f t="shared" si="300"/>
        <v>5.9988469249265</v>
      </c>
    </row>
    <row r="495" customFormat="1" spans="1:31">
      <c r="A495" s="18"/>
      <c r="B495" s="19"/>
      <c r="C495" s="22">
        <v>240511000021</v>
      </c>
      <c r="D495" s="23">
        <v>45428</v>
      </c>
      <c r="E495" s="21" t="s">
        <v>54</v>
      </c>
      <c r="F495" s="24" t="s">
        <v>54</v>
      </c>
      <c r="G495" s="24" t="s">
        <v>166</v>
      </c>
      <c r="H495" s="24">
        <v>15.5</v>
      </c>
      <c r="I495" s="41">
        <v>858.5</v>
      </c>
      <c r="J495" s="42"/>
      <c r="K495" s="43"/>
      <c r="L495" s="19"/>
      <c r="M495" s="44"/>
      <c r="N495" s="45"/>
      <c r="O495" s="111">
        <f t="shared" si="303"/>
        <v>858.5</v>
      </c>
      <c r="P495" s="51"/>
      <c r="Q495" s="51"/>
      <c r="R495" s="73">
        <f t="shared" ref="R495:R533" si="305">SUM(171000.3/3743)*H495</f>
        <v>708.123069730163</v>
      </c>
      <c r="S495" s="73"/>
      <c r="T495" s="74">
        <f t="shared" ref="T495:T533" si="306">SUM(223.59/3743)*H495</f>
        <v>0.925900347314988</v>
      </c>
      <c r="U495" s="73"/>
      <c r="V495" s="73"/>
      <c r="W495" s="73">
        <f t="shared" si="304"/>
        <v>709.048970077478</v>
      </c>
      <c r="X495" s="75">
        <f t="shared" ref="X495:X533" si="307">SUM(2782.52/3743)*H495</f>
        <v>11.5225915041411</v>
      </c>
      <c r="Y495" s="75"/>
      <c r="Z495" s="75"/>
      <c r="AA495" s="75">
        <f t="shared" si="299"/>
        <v>11.5225915041411</v>
      </c>
      <c r="AB495" s="84">
        <v>7.22</v>
      </c>
      <c r="AC495" s="73">
        <f t="shared" si="301"/>
        <v>83.1931106598985</v>
      </c>
      <c r="AD495" s="73">
        <f t="shared" si="302"/>
        <v>792.242080737376</v>
      </c>
      <c r="AE495" s="73">
        <f t="shared" si="300"/>
        <v>66.257919262624</v>
      </c>
    </row>
    <row r="496" customFormat="1" spans="1:31">
      <c r="A496" s="18"/>
      <c r="B496" s="19"/>
      <c r="C496" s="20">
        <v>240511000023</v>
      </c>
      <c r="D496" s="21">
        <v>45428</v>
      </c>
      <c r="E496" s="21" t="s">
        <v>54</v>
      </c>
      <c r="F496" s="19" t="s">
        <v>54</v>
      </c>
      <c r="G496" s="19" t="s">
        <v>379</v>
      </c>
      <c r="H496" s="19">
        <v>248</v>
      </c>
      <c r="I496" s="46">
        <v>-540</v>
      </c>
      <c r="J496" s="42"/>
      <c r="K496" s="54">
        <v>1711</v>
      </c>
      <c r="L496" s="19"/>
      <c r="M496" s="50">
        <v>1711.2001</v>
      </c>
      <c r="N496" s="45">
        <v>7.22</v>
      </c>
      <c r="O496" s="111">
        <f>SUM(M496*N496)+I496</f>
        <v>11814.864722</v>
      </c>
      <c r="P496" s="51"/>
      <c r="Q496" s="51"/>
      <c r="R496" s="73">
        <f t="shared" si="305"/>
        <v>11329.9691156826</v>
      </c>
      <c r="S496" s="73"/>
      <c r="T496" s="74">
        <f t="shared" si="306"/>
        <v>14.8144055570398</v>
      </c>
      <c r="U496" s="73"/>
      <c r="V496" s="73"/>
      <c r="W496" s="73">
        <f t="shared" si="304"/>
        <v>11344.7835212396</v>
      </c>
      <c r="X496" s="75">
        <f t="shared" si="307"/>
        <v>184.361464066257</v>
      </c>
      <c r="Y496" s="75"/>
      <c r="Z496" s="75"/>
      <c r="AA496" s="75">
        <f t="shared" si="299"/>
        <v>184.361464066257</v>
      </c>
      <c r="AB496" s="84">
        <v>7.22</v>
      </c>
      <c r="AC496" s="73">
        <f t="shared" si="301"/>
        <v>1331.08977055838</v>
      </c>
      <c r="AD496" s="73">
        <f t="shared" si="302"/>
        <v>12675.873291798</v>
      </c>
      <c r="AE496" s="73">
        <f t="shared" si="300"/>
        <v>-861.008569797999</v>
      </c>
    </row>
    <row r="497" customFormat="1" spans="1:31">
      <c r="A497" s="18"/>
      <c r="B497" s="19"/>
      <c r="C497" s="20">
        <v>240512000003</v>
      </c>
      <c r="D497" s="21">
        <v>45428</v>
      </c>
      <c r="E497" s="21" t="s">
        <v>54</v>
      </c>
      <c r="F497" s="19" t="s">
        <v>54</v>
      </c>
      <c r="G497" s="19" t="s">
        <v>166</v>
      </c>
      <c r="H497" s="19">
        <v>7.5</v>
      </c>
      <c r="I497" s="41">
        <v>468</v>
      </c>
      <c r="J497" s="42"/>
      <c r="K497" s="43"/>
      <c r="L497" s="19"/>
      <c r="M497" s="44"/>
      <c r="N497" s="45"/>
      <c r="O497" s="111">
        <f t="shared" ref="O497:O505" si="308">SUM(I497)</f>
        <v>468</v>
      </c>
      <c r="P497" s="51"/>
      <c r="Q497" s="51"/>
      <c r="R497" s="73">
        <f t="shared" si="305"/>
        <v>342.640195030724</v>
      </c>
      <c r="S497" s="73"/>
      <c r="T497" s="74">
        <f t="shared" si="306"/>
        <v>0.448016297087897</v>
      </c>
      <c r="U497" s="73">
        <v>30</v>
      </c>
      <c r="V497" s="73"/>
      <c r="W497" s="73">
        <f t="shared" si="304"/>
        <v>373.088211327812</v>
      </c>
      <c r="X497" s="75">
        <f t="shared" si="307"/>
        <v>5.57544750200374</v>
      </c>
      <c r="Y497" s="75"/>
      <c r="Z497" s="75"/>
      <c r="AA497" s="75">
        <f t="shared" si="299"/>
        <v>5.57544750200374</v>
      </c>
      <c r="AB497" s="84">
        <v>7.22</v>
      </c>
      <c r="AC497" s="73">
        <f t="shared" si="301"/>
        <v>40.254730964467</v>
      </c>
      <c r="AD497" s="73">
        <f t="shared" si="302"/>
        <v>413.342942292279</v>
      </c>
      <c r="AE497" s="73">
        <f t="shared" si="300"/>
        <v>54.657057707721</v>
      </c>
    </row>
    <row r="498" customFormat="1" spans="1:31">
      <c r="A498" s="18"/>
      <c r="B498" s="19"/>
      <c r="C498" s="20">
        <v>240512000005</v>
      </c>
      <c r="D498" s="21">
        <v>45428</v>
      </c>
      <c r="E498" s="21" t="s">
        <v>54</v>
      </c>
      <c r="F498" s="19" t="s">
        <v>54</v>
      </c>
      <c r="G498" s="19" t="s">
        <v>261</v>
      </c>
      <c r="H498" s="19">
        <v>0.35</v>
      </c>
      <c r="I498" s="99"/>
      <c r="J498" s="48">
        <v>19570</v>
      </c>
      <c r="K498" s="43"/>
      <c r="L498" s="49">
        <f>SUM(J498/M498)</f>
        <v>1488.21292775665</v>
      </c>
      <c r="M498" s="50">
        <v>13.15</v>
      </c>
      <c r="N498" s="45">
        <v>7.22</v>
      </c>
      <c r="O498" s="100">
        <f>SUM(M498*N498)</f>
        <v>94.943</v>
      </c>
      <c r="P498" s="51"/>
      <c r="Q498" s="51"/>
      <c r="R498" s="73">
        <f t="shared" si="305"/>
        <v>15.9898757681005</v>
      </c>
      <c r="S498" s="73"/>
      <c r="T498" s="74">
        <f t="shared" si="306"/>
        <v>0.0209074271974352</v>
      </c>
      <c r="U498" s="73"/>
      <c r="V498" s="73"/>
      <c r="W498" s="73">
        <f t="shared" si="304"/>
        <v>16.0107831952979</v>
      </c>
      <c r="X498" s="75">
        <f t="shared" si="307"/>
        <v>0.260187550093508</v>
      </c>
      <c r="Y498" s="75"/>
      <c r="Z498" s="75"/>
      <c r="AA498" s="75">
        <f t="shared" si="299"/>
        <v>0.260187550093508</v>
      </c>
      <c r="AB498" s="84">
        <v>7.22</v>
      </c>
      <c r="AC498" s="73">
        <f t="shared" si="301"/>
        <v>1.87855411167513</v>
      </c>
      <c r="AD498" s="73">
        <f t="shared" si="302"/>
        <v>17.889337306973</v>
      </c>
      <c r="AE498" s="73">
        <f t="shared" si="300"/>
        <v>77.053662693027</v>
      </c>
    </row>
    <row r="499" customFormat="1" spans="1:31">
      <c r="A499" s="18"/>
      <c r="B499" s="19"/>
      <c r="C499" s="20">
        <v>240512000006</v>
      </c>
      <c r="D499" s="21">
        <v>45428</v>
      </c>
      <c r="E499" s="21" t="s">
        <v>54</v>
      </c>
      <c r="F499" s="19" t="s">
        <v>54</v>
      </c>
      <c r="G499" s="19" t="s">
        <v>261</v>
      </c>
      <c r="H499" s="19">
        <v>70.5</v>
      </c>
      <c r="I499" s="99"/>
      <c r="J499" s="48">
        <v>835845</v>
      </c>
      <c r="K499" s="43"/>
      <c r="L499" s="49">
        <f>SUM(J499/M499)</f>
        <v>1487.32161286879</v>
      </c>
      <c r="M499" s="50">
        <v>561.98</v>
      </c>
      <c r="N499" s="45">
        <v>7.22</v>
      </c>
      <c r="O499" s="100">
        <f>SUM(M499*N499)</f>
        <v>4057.4956</v>
      </c>
      <c r="P499" s="51"/>
      <c r="Q499" s="51"/>
      <c r="R499" s="73">
        <f t="shared" si="305"/>
        <v>3220.81783328881</v>
      </c>
      <c r="S499" s="73"/>
      <c r="T499" s="74">
        <f t="shared" si="306"/>
        <v>4.21135319262624</v>
      </c>
      <c r="U499" s="73"/>
      <c r="V499" s="73"/>
      <c r="W499" s="73">
        <f t="shared" si="304"/>
        <v>3225.02918648143</v>
      </c>
      <c r="X499" s="75">
        <f t="shared" si="307"/>
        <v>52.4092065188352</v>
      </c>
      <c r="Y499" s="75"/>
      <c r="Z499" s="75"/>
      <c r="AA499" s="75">
        <f t="shared" si="299"/>
        <v>52.4092065188352</v>
      </c>
      <c r="AB499" s="84">
        <v>7.22</v>
      </c>
      <c r="AC499" s="73">
        <f t="shared" si="301"/>
        <v>378.39447106599</v>
      </c>
      <c r="AD499" s="73">
        <f t="shared" si="302"/>
        <v>3603.42365754742</v>
      </c>
      <c r="AE499" s="73">
        <f t="shared" si="300"/>
        <v>454.07194245258</v>
      </c>
    </row>
    <row r="500" customFormat="1" spans="1:31">
      <c r="A500" s="18"/>
      <c r="B500" s="19"/>
      <c r="C500" s="20">
        <v>240513000001</v>
      </c>
      <c r="D500" s="21">
        <v>45428</v>
      </c>
      <c r="E500" s="21" t="s">
        <v>37</v>
      </c>
      <c r="F500" s="19" t="s">
        <v>38</v>
      </c>
      <c r="G500" s="19" t="s">
        <v>338</v>
      </c>
      <c r="H500" s="19">
        <v>16.5</v>
      </c>
      <c r="I500" s="41">
        <v>874.5</v>
      </c>
      <c r="J500" s="42"/>
      <c r="K500" s="43"/>
      <c r="L500" s="19"/>
      <c r="M500" s="44"/>
      <c r="N500" s="45"/>
      <c r="O500" s="111">
        <f t="shared" si="308"/>
        <v>874.5</v>
      </c>
      <c r="P500" s="51"/>
      <c r="Q500" s="51"/>
      <c r="R500" s="73">
        <f t="shared" si="305"/>
        <v>753.808429067593</v>
      </c>
      <c r="S500" s="73"/>
      <c r="T500" s="74">
        <f t="shared" si="306"/>
        <v>0.985635853593374</v>
      </c>
      <c r="U500" s="73"/>
      <c r="V500" s="73"/>
      <c r="W500" s="73">
        <f t="shared" si="304"/>
        <v>754.794064921186</v>
      </c>
      <c r="X500" s="75">
        <f t="shared" si="307"/>
        <v>12.2659845044082</v>
      </c>
      <c r="Y500" s="75"/>
      <c r="Z500" s="75"/>
      <c r="AA500" s="75">
        <f t="shared" si="299"/>
        <v>12.2659845044082</v>
      </c>
      <c r="AB500" s="84">
        <v>7.22</v>
      </c>
      <c r="AC500" s="73">
        <f t="shared" si="301"/>
        <v>88.5604081218274</v>
      </c>
      <c r="AD500" s="73">
        <f t="shared" si="302"/>
        <v>843.354473043014</v>
      </c>
      <c r="AE500" s="73">
        <f t="shared" si="300"/>
        <v>31.145526956986</v>
      </c>
    </row>
    <row r="501" customFormat="1" spans="1:31">
      <c r="A501" s="18"/>
      <c r="B501" s="19"/>
      <c r="C501" s="20">
        <v>240513000002</v>
      </c>
      <c r="D501" s="21">
        <v>45428</v>
      </c>
      <c r="E501" s="21" t="s">
        <v>37</v>
      </c>
      <c r="F501" s="19" t="s">
        <v>38</v>
      </c>
      <c r="G501" s="19" t="s">
        <v>143</v>
      </c>
      <c r="H501" s="19">
        <v>64.5</v>
      </c>
      <c r="I501" s="41">
        <v>3507</v>
      </c>
      <c r="J501" s="42"/>
      <c r="K501" s="43"/>
      <c r="L501" s="19"/>
      <c r="M501" s="44"/>
      <c r="N501" s="45"/>
      <c r="O501" s="111">
        <f t="shared" si="308"/>
        <v>3507</v>
      </c>
      <c r="P501" s="51"/>
      <c r="Q501" s="51"/>
      <c r="R501" s="73">
        <f t="shared" si="305"/>
        <v>2946.70567726423</v>
      </c>
      <c r="S501" s="73"/>
      <c r="T501" s="74">
        <f t="shared" si="306"/>
        <v>3.85294015495592</v>
      </c>
      <c r="U501" s="73">
        <v>80</v>
      </c>
      <c r="V501" s="73"/>
      <c r="W501" s="73">
        <f t="shared" si="304"/>
        <v>3030.55861741918</v>
      </c>
      <c r="X501" s="75">
        <f t="shared" si="307"/>
        <v>47.9488485172322</v>
      </c>
      <c r="Y501" s="75"/>
      <c r="Z501" s="75"/>
      <c r="AA501" s="75">
        <f t="shared" si="299"/>
        <v>47.9488485172322</v>
      </c>
      <c r="AB501" s="84">
        <v>7.22</v>
      </c>
      <c r="AC501" s="73">
        <f t="shared" si="301"/>
        <v>346.190686294416</v>
      </c>
      <c r="AD501" s="73">
        <f t="shared" si="302"/>
        <v>3376.7493037136</v>
      </c>
      <c r="AE501" s="73">
        <f t="shared" si="300"/>
        <v>130.2506962864</v>
      </c>
    </row>
    <row r="502" customFormat="1" spans="1:31">
      <c r="A502" s="18"/>
      <c r="B502" s="19"/>
      <c r="C502" s="20">
        <v>240513000003</v>
      </c>
      <c r="D502" s="21">
        <v>45428</v>
      </c>
      <c r="E502" s="21" t="s">
        <v>47</v>
      </c>
      <c r="F502" s="19" t="s">
        <v>48</v>
      </c>
      <c r="G502" s="19" t="s">
        <v>134</v>
      </c>
      <c r="H502" s="19">
        <v>14</v>
      </c>
      <c r="I502" s="41">
        <v>776</v>
      </c>
      <c r="J502" s="42"/>
      <c r="K502" s="43"/>
      <c r="L502" s="19"/>
      <c r="M502" s="44"/>
      <c r="N502" s="45"/>
      <c r="O502" s="111">
        <f t="shared" si="308"/>
        <v>776</v>
      </c>
      <c r="P502" s="51"/>
      <c r="Q502" s="51"/>
      <c r="R502" s="73">
        <f t="shared" si="305"/>
        <v>639.595030724018</v>
      </c>
      <c r="S502" s="73"/>
      <c r="T502" s="74">
        <f t="shared" si="306"/>
        <v>0.836297087897409</v>
      </c>
      <c r="U502" s="73"/>
      <c r="V502" s="73"/>
      <c r="W502" s="73">
        <f t="shared" si="304"/>
        <v>640.431327811915</v>
      </c>
      <c r="X502" s="75">
        <f t="shared" si="307"/>
        <v>10.4075020037403</v>
      </c>
      <c r="Y502" s="75"/>
      <c r="Z502" s="75"/>
      <c r="AA502" s="75">
        <f t="shared" si="299"/>
        <v>10.4075020037403</v>
      </c>
      <c r="AB502" s="84">
        <v>7.22</v>
      </c>
      <c r="AC502" s="73">
        <f t="shared" si="301"/>
        <v>75.1421644670051</v>
      </c>
      <c r="AD502" s="73">
        <f t="shared" si="302"/>
        <v>715.573492278921</v>
      </c>
      <c r="AE502" s="73">
        <f t="shared" si="300"/>
        <v>60.426507721079</v>
      </c>
    </row>
    <row r="503" customFormat="1" spans="1:31">
      <c r="A503" s="18"/>
      <c r="B503" s="19"/>
      <c r="C503" s="20">
        <v>240513000013</v>
      </c>
      <c r="D503" s="21">
        <v>45428</v>
      </c>
      <c r="E503" s="21" t="s">
        <v>37</v>
      </c>
      <c r="F503" s="19" t="s">
        <v>38</v>
      </c>
      <c r="G503" s="19" t="s">
        <v>89</v>
      </c>
      <c r="H503" s="19">
        <v>9.5</v>
      </c>
      <c r="I503" s="41">
        <v>631.75</v>
      </c>
      <c r="J503" s="42"/>
      <c r="K503" s="43"/>
      <c r="L503" s="19"/>
      <c r="M503" s="44"/>
      <c r="N503" s="45"/>
      <c r="O503" s="111">
        <f t="shared" si="308"/>
        <v>631.75</v>
      </c>
      <c r="P503" s="51"/>
      <c r="Q503" s="51"/>
      <c r="R503" s="73">
        <f t="shared" si="305"/>
        <v>434.010913705584</v>
      </c>
      <c r="S503" s="73"/>
      <c r="T503" s="74">
        <f t="shared" si="306"/>
        <v>0.56748730964467</v>
      </c>
      <c r="U503" s="73"/>
      <c r="V503" s="73"/>
      <c r="W503" s="73">
        <f t="shared" si="304"/>
        <v>434.578401015228</v>
      </c>
      <c r="X503" s="75">
        <f t="shared" si="307"/>
        <v>7.06223350253807</v>
      </c>
      <c r="Y503" s="75"/>
      <c r="Z503" s="75"/>
      <c r="AA503" s="75">
        <f t="shared" si="299"/>
        <v>7.06223350253807</v>
      </c>
      <c r="AB503" s="84">
        <v>7.22</v>
      </c>
      <c r="AC503" s="73">
        <f t="shared" si="301"/>
        <v>50.9893258883249</v>
      </c>
      <c r="AD503" s="73">
        <f t="shared" si="302"/>
        <v>485.567726903553</v>
      </c>
      <c r="AE503" s="73">
        <f t="shared" si="300"/>
        <v>146.182273096447</v>
      </c>
    </row>
    <row r="504" customFormat="1" spans="1:31">
      <c r="A504" s="18"/>
      <c r="B504" s="19"/>
      <c r="C504" s="20">
        <v>240513000018</v>
      </c>
      <c r="D504" s="21">
        <v>45428</v>
      </c>
      <c r="E504" s="21" t="s">
        <v>44</v>
      </c>
      <c r="F504" s="19" t="s">
        <v>45</v>
      </c>
      <c r="G504" s="19" t="s">
        <v>380</v>
      </c>
      <c r="H504" s="19">
        <v>122.5</v>
      </c>
      <c r="I504" s="41">
        <v>6830</v>
      </c>
      <c r="J504" s="42"/>
      <c r="K504" s="43"/>
      <c r="L504" s="19"/>
      <c r="M504" s="44"/>
      <c r="N504" s="45"/>
      <c r="O504" s="111">
        <f t="shared" si="308"/>
        <v>6830</v>
      </c>
      <c r="P504" s="51"/>
      <c r="Q504" s="51"/>
      <c r="R504" s="73">
        <f t="shared" si="305"/>
        <v>5596.45651883516</v>
      </c>
      <c r="S504" s="73"/>
      <c r="T504" s="74">
        <f t="shared" si="306"/>
        <v>7.31759951910232</v>
      </c>
      <c r="U504" s="73"/>
      <c r="V504" s="73"/>
      <c r="W504" s="73">
        <f t="shared" si="304"/>
        <v>5603.77411835426</v>
      </c>
      <c r="X504" s="75">
        <f t="shared" si="307"/>
        <v>91.0656425327278</v>
      </c>
      <c r="Y504" s="75"/>
      <c r="Z504" s="75"/>
      <c r="AA504" s="75">
        <f t="shared" si="299"/>
        <v>91.0656425327278</v>
      </c>
      <c r="AB504" s="84">
        <v>7.22</v>
      </c>
      <c r="AC504" s="73">
        <f t="shared" si="301"/>
        <v>657.493939086294</v>
      </c>
      <c r="AD504" s="73">
        <f t="shared" si="302"/>
        <v>6261.26805744056</v>
      </c>
      <c r="AE504" s="73">
        <f t="shared" si="300"/>
        <v>568.73194255944</v>
      </c>
    </row>
    <row r="505" customFormat="1" spans="1:31">
      <c r="A505" s="18"/>
      <c r="B505" s="19"/>
      <c r="C505" s="20">
        <v>240513000019</v>
      </c>
      <c r="D505" s="21">
        <v>45428</v>
      </c>
      <c r="E505" s="21" t="s">
        <v>44</v>
      </c>
      <c r="F505" s="19" t="s">
        <v>45</v>
      </c>
      <c r="G505" s="19" t="s">
        <v>360</v>
      </c>
      <c r="H505" s="19">
        <v>156</v>
      </c>
      <c r="I505" s="41">
        <v>16744</v>
      </c>
      <c r="J505" s="42"/>
      <c r="K505" s="43"/>
      <c r="L505" s="19"/>
      <c r="M505" s="44"/>
      <c r="N505" s="45"/>
      <c r="O505" s="111">
        <f t="shared" si="308"/>
        <v>16744</v>
      </c>
      <c r="P505" s="51"/>
      <c r="Q505" s="51"/>
      <c r="R505" s="73">
        <f t="shared" si="305"/>
        <v>7126.91605663906</v>
      </c>
      <c r="S505" s="73"/>
      <c r="T505" s="74">
        <f t="shared" si="306"/>
        <v>9.31873897942827</v>
      </c>
      <c r="U505" s="73"/>
      <c r="V505" s="73"/>
      <c r="W505" s="73">
        <f t="shared" si="304"/>
        <v>7136.23479561849</v>
      </c>
      <c r="X505" s="75">
        <f t="shared" si="307"/>
        <v>115.969308041678</v>
      </c>
      <c r="Y505" s="75"/>
      <c r="Z505" s="75"/>
      <c r="AA505" s="75">
        <f t="shared" si="299"/>
        <v>115.969308041678</v>
      </c>
      <c r="AB505" s="84">
        <v>7.22</v>
      </c>
      <c r="AC505" s="73">
        <f t="shared" si="301"/>
        <v>837.298404060914</v>
      </c>
      <c r="AD505" s="73">
        <f t="shared" si="302"/>
        <v>7973.5331996794</v>
      </c>
      <c r="AE505" s="73">
        <f t="shared" si="300"/>
        <v>8770.4668003206</v>
      </c>
    </row>
    <row r="506" customFormat="1" spans="1:31">
      <c r="A506" s="18"/>
      <c r="B506" s="19"/>
      <c r="C506" s="20">
        <v>240513000025</v>
      </c>
      <c r="D506" s="21">
        <v>45428</v>
      </c>
      <c r="E506" s="21" t="s">
        <v>44</v>
      </c>
      <c r="F506" s="19" t="s">
        <v>45</v>
      </c>
      <c r="G506" s="19" t="s">
        <v>299</v>
      </c>
      <c r="H506" s="19">
        <v>4.5</v>
      </c>
      <c r="I506" s="52"/>
      <c r="J506" s="48">
        <v>54648</v>
      </c>
      <c r="K506" s="43"/>
      <c r="L506" s="49">
        <f t="shared" ref="L506:L512" si="309">SUM(J506/M506)</f>
        <v>1494.74835886214</v>
      </c>
      <c r="M506" s="50">
        <v>36.56</v>
      </c>
      <c r="N506" s="45">
        <v>7.22</v>
      </c>
      <c r="O506" s="111">
        <f t="shared" ref="O506:O512" si="310">SUM(M506*N506)</f>
        <v>263.9632</v>
      </c>
      <c r="P506" s="51"/>
      <c r="Q506" s="51"/>
      <c r="R506" s="73">
        <f t="shared" si="305"/>
        <v>205.584117018434</v>
      </c>
      <c r="S506" s="73"/>
      <c r="T506" s="74">
        <f t="shared" si="306"/>
        <v>0.268809778252738</v>
      </c>
      <c r="U506" s="73"/>
      <c r="V506" s="73"/>
      <c r="W506" s="73">
        <f t="shared" si="304"/>
        <v>205.852926796687</v>
      </c>
      <c r="X506" s="75">
        <f t="shared" si="307"/>
        <v>3.34526850120224</v>
      </c>
      <c r="Y506" s="75"/>
      <c r="Z506" s="75"/>
      <c r="AA506" s="75">
        <f t="shared" si="299"/>
        <v>3.34526850120224</v>
      </c>
      <c r="AB506" s="84">
        <v>7.22</v>
      </c>
      <c r="AC506" s="73">
        <f t="shared" si="301"/>
        <v>24.1528385786802</v>
      </c>
      <c r="AD506" s="73">
        <f t="shared" si="302"/>
        <v>230.005765375367</v>
      </c>
      <c r="AE506" s="73">
        <f t="shared" si="300"/>
        <v>33.957434624633</v>
      </c>
    </row>
    <row r="507" customFormat="1" spans="1:31">
      <c r="A507" s="18"/>
      <c r="B507" s="19"/>
      <c r="C507" s="20">
        <v>240513000027</v>
      </c>
      <c r="D507" s="21">
        <v>45428</v>
      </c>
      <c r="E507" s="21" t="s">
        <v>44</v>
      </c>
      <c r="F507" s="19" t="s">
        <v>45</v>
      </c>
      <c r="G507" s="19" t="s">
        <v>367</v>
      </c>
      <c r="H507" s="19">
        <v>3.5</v>
      </c>
      <c r="I507" s="41">
        <v>206</v>
      </c>
      <c r="J507" s="48"/>
      <c r="K507" s="43"/>
      <c r="L507" s="49"/>
      <c r="M507" s="50"/>
      <c r="N507" s="45"/>
      <c r="O507" s="111">
        <f>SUBTOTAL(9,I507)</f>
        <v>206</v>
      </c>
      <c r="P507" s="51"/>
      <c r="Q507" s="51"/>
      <c r="R507" s="73">
        <f t="shared" si="305"/>
        <v>159.898757681005</v>
      </c>
      <c r="S507" s="73"/>
      <c r="T507" s="74">
        <f t="shared" si="306"/>
        <v>0.209074271974352</v>
      </c>
      <c r="U507" s="73"/>
      <c r="V507" s="73"/>
      <c r="W507" s="73">
        <f t="shared" si="304"/>
        <v>160.107831952979</v>
      </c>
      <c r="X507" s="75">
        <f t="shared" si="307"/>
        <v>2.60187550093508</v>
      </c>
      <c r="Y507" s="75"/>
      <c r="Z507" s="75"/>
      <c r="AA507" s="75">
        <f t="shared" si="299"/>
        <v>2.60187550093508</v>
      </c>
      <c r="AB507" s="84">
        <v>7.22</v>
      </c>
      <c r="AC507" s="73">
        <f t="shared" si="301"/>
        <v>18.7855411167513</v>
      </c>
      <c r="AD507" s="73">
        <f t="shared" si="302"/>
        <v>178.89337306973</v>
      </c>
      <c r="AE507" s="73">
        <f t="shared" si="300"/>
        <v>27.10662693027</v>
      </c>
    </row>
    <row r="508" customFormat="1" spans="1:31">
      <c r="A508" s="18"/>
      <c r="B508" s="19"/>
      <c r="C508" s="20">
        <v>240513000030</v>
      </c>
      <c r="D508" s="21">
        <v>45428</v>
      </c>
      <c r="E508" s="21" t="s">
        <v>44</v>
      </c>
      <c r="F508" s="19" t="s">
        <v>45</v>
      </c>
      <c r="G508" s="19" t="s">
        <v>381</v>
      </c>
      <c r="H508" s="19">
        <v>82</v>
      </c>
      <c r="I508" s="41">
        <v>4928</v>
      </c>
      <c r="J508" s="42"/>
      <c r="K508" s="43"/>
      <c r="L508" s="19"/>
      <c r="M508" s="44"/>
      <c r="N508" s="45"/>
      <c r="O508" s="111">
        <f>SUM(I508)</f>
        <v>4928</v>
      </c>
      <c r="P508" s="51"/>
      <c r="Q508" s="51"/>
      <c r="R508" s="73">
        <f t="shared" si="305"/>
        <v>3746.19946566925</v>
      </c>
      <c r="S508" s="73"/>
      <c r="T508" s="74">
        <f t="shared" si="306"/>
        <v>4.89831151482768</v>
      </c>
      <c r="U508" s="73"/>
      <c r="V508" s="73"/>
      <c r="W508" s="73">
        <f t="shared" si="304"/>
        <v>3751.09777718408</v>
      </c>
      <c r="X508" s="75">
        <f t="shared" si="307"/>
        <v>60.9582260219076</v>
      </c>
      <c r="Y508" s="75"/>
      <c r="Z508" s="75"/>
      <c r="AA508" s="75">
        <f t="shared" si="299"/>
        <v>60.9582260219076</v>
      </c>
      <c r="AB508" s="84">
        <v>7.22</v>
      </c>
      <c r="AC508" s="73">
        <f t="shared" si="301"/>
        <v>440.118391878173</v>
      </c>
      <c r="AD508" s="73">
        <f t="shared" si="302"/>
        <v>4191.21616906225</v>
      </c>
      <c r="AE508" s="73">
        <f t="shared" si="300"/>
        <v>736.78383093775</v>
      </c>
    </row>
    <row r="509" customFormat="1" spans="1:31">
      <c r="A509" s="18"/>
      <c r="B509" s="19"/>
      <c r="C509" s="20">
        <v>240513000031</v>
      </c>
      <c r="D509" s="21">
        <v>45428</v>
      </c>
      <c r="E509" s="21" t="s">
        <v>44</v>
      </c>
      <c r="F509" s="19" t="s">
        <v>45</v>
      </c>
      <c r="G509" s="19" t="s">
        <v>175</v>
      </c>
      <c r="H509" s="19">
        <v>3.5</v>
      </c>
      <c r="I509" s="52"/>
      <c r="J509" s="48">
        <v>43260</v>
      </c>
      <c r="K509" s="43"/>
      <c r="L509" s="49">
        <f t="shared" si="309"/>
        <v>1516.29863301788</v>
      </c>
      <c r="M509" s="50">
        <v>28.53</v>
      </c>
      <c r="N509" s="45">
        <v>7.22</v>
      </c>
      <c r="O509" s="111">
        <f t="shared" si="310"/>
        <v>205.9866</v>
      </c>
      <c r="P509" s="51"/>
      <c r="Q509" s="51"/>
      <c r="R509" s="73">
        <f t="shared" si="305"/>
        <v>159.898757681005</v>
      </c>
      <c r="S509" s="73"/>
      <c r="T509" s="74">
        <f t="shared" si="306"/>
        <v>0.209074271974352</v>
      </c>
      <c r="U509" s="73"/>
      <c r="V509" s="73"/>
      <c r="W509" s="73">
        <f t="shared" si="304"/>
        <v>160.107831952979</v>
      </c>
      <c r="X509" s="75">
        <f t="shared" si="307"/>
        <v>2.60187550093508</v>
      </c>
      <c r="Y509" s="75"/>
      <c r="Z509" s="75"/>
      <c r="AA509" s="75">
        <f t="shared" si="299"/>
        <v>2.60187550093508</v>
      </c>
      <c r="AB509" s="84">
        <v>7.22</v>
      </c>
      <c r="AC509" s="73">
        <f t="shared" si="301"/>
        <v>18.7855411167513</v>
      </c>
      <c r="AD509" s="73">
        <f t="shared" si="302"/>
        <v>178.89337306973</v>
      </c>
      <c r="AE509" s="73">
        <f t="shared" si="300"/>
        <v>27.09322693027</v>
      </c>
    </row>
    <row r="510" customFormat="1" spans="1:31">
      <c r="A510" s="18"/>
      <c r="B510" s="19"/>
      <c r="C510" s="20">
        <v>240513000033</v>
      </c>
      <c r="D510" s="21">
        <v>45428</v>
      </c>
      <c r="E510" s="21" t="s">
        <v>44</v>
      </c>
      <c r="F510" s="19" t="s">
        <v>45</v>
      </c>
      <c r="G510" s="19" t="s">
        <v>313</v>
      </c>
      <c r="H510" s="19">
        <v>0.91</v>
      </c>
      <c r="I510" s="46"/>
      <c r="J510" s="48">
        <v>14288</v>
      </c>
      <c r="K510" s="43"/>
      <c r="L510" s="49">
        <f t="shared" si="309"/>
        <v>1520</v>
      </c>
      <c r="M510" s="50">
        <v>9.4</v>
      </c>
      <c r="N510" s="45">
        <v>7.22</v>
      </c>
      <c r="O510" s="111">
        <f t="shared" si="310"/>
        <v>67.868</v>
      </c>
      <c r="P510" s="51"/>
      <c r="Q510" s="51"/>
      <c r="R510" s="73">
        <f t="shared" si="305"/>
        <v>41.5736769970612</v>
      </c>
      <c r="S510" s="73"/>
      <c r="T510" s="74">
        <f t="shared" si="306"/>
        <v>0.0543593107133316</v>
      </c>
      <c r="U510" s="73"/>
      <c r="V510" s="73"/>
      <c r="W510" s="73">
        <f t="shared" si="304"/>
        <v>41.6280363077745</v>
      </c>
      <c r="X510" s="75">
        <f t="shared" si="307"/>
        <v>0.676487630243121</v>
      </c>
      <c r="Y510" s="75"/>
      <c r="Z510" s="75"/>
      <c r="AA510" s="75">
        <f t="shared" si="299"/>
        <v>0.676487630243121</v>
      </c>
      <c r="AB510" s="84">
        <v>7.22</v>
      </c>
      <c r="AC510" s="73">
        <f t="shared" si="301"/>
        <v>4.88424069035533</v>
      </c>
      <c r="AD510" s="73">
        <f t="shared" si="302"/>
        <v>46.5122769981298</v>
      </c>
      <c r="AE510" s="73">
        <f t="shared" si="300"/>
        <v>21.3557230018702</v>
      </c>
    </row>
    <row r="511" customFormat="1" spans="1:31">
      <c r="A511" s="18"/>
      <c r="B511" s="19"/>
      <c r="C511" s="20">
        <v>240513000038</v>
      </c>
      <c r="D511" s="21">
        <v>45428</v>
      </c>
      <c r="E511" s="21" t="s">
        <v>41</v>
      </c>
      <c r="F511" s="19" t="s">
        <v>42</v>
      </c>
      <c r="G511" s="19" t="s">
        <v>141</v>
      </c>
      <c r="H511" s="19">
        <v>6.5</v>
      </c>
      <c r="I511" s="52"/>
      <c r="J511" s="48">
        <v>76531</v>
      </c>
      <c r="K511" s="43"/>
      <c r="L511" s="49">
        <f t="shared" si="309"/>
        <v>1465.83030070868</v>
      </c>
      <c r="M511" s="50">
        <v>52.21</v>
      </c>
      <c r="N511" s="45">
        <v>7.22</v>
      </c>
      <c r="O511" s="46">
        <f t="shared" si="310"/>
        <v>376.9562</v>
      </c>
      <c r="P511" s="51"/>
      <c r="Q511" s="51"/>
      <c r="R511" s="73">
        <f t="shared" si="305"/>
        <v>296.954835693294</v>
      </c>
      <c r="S511" s="73"/>
      <c r="T511" s="74">
        <f t="shared" si="306"/>
        <v>0.388280790809511</v>
      </c>
      <c r="U511" s="73"/>
      <c r="V511" s="73"/>
      <c r="W511" s="73">
        <f t="shared" si="304"/>
        <v>297.343116484104</v>
      </c>
      <c r="X511" s="75">
        <f t="shared" si="307"/>
        <v>4.83205450173658</v>
      </c>
      <c r="Y511" s="75"/>
      <c r="Z511" s="75"/>
      <c r="AA511" s="75">
        <f t="shared" si="299"/>
        <v>4.83205450173658</v>
      </c>
      <c r="AB511" s="84">
        <v>7.22</v>
      </c>
      <c r="AC511" s="73">
        <f t="shared" si="301"/>
        <v>34.8874335025381</v>
      </c>
      <c r="AD511" s="73">
        <f t="shared" si="302"/>
        <v>332.230549986642</v>
      </c>
      <c r="AE511" s="73">
        <f t="shared" si="300"/>
        <v>44.725650013358</v>
      </c>
    </row>
    <row r="512" customFormat="1" spans="1:31">
      <c r="A512" s="18"/>
      <c r="B512" s="19"/>
      <c r="C512" s="20">
        <v>240513000041</v>
      </c>
      <c r="D512" s="21">
        <v>45428</v>
      </c>
      <c r="E512" s="21" t="s">
        <v>41</v>
      </c>
      <c r="F512" s="19" t="s">
        <v>42</v>
      </c>
      <c r="G512" s="19" t="s">
        <v>141</v>
      </c>
      <c r="H512" s="19">
        <v>24.5</v>
      </c>
      <c r="I512" s="52"/>
      <c r="J512" s="48">
        <v>288463</v>
      </c>
      <c r="K512" s="43"/>
      <c r="L512" s="49">
        <f t="shared" si="309"/>
        <v>1465.69280016259</v>
      </c>
      <c r="M512" s="50">
        <v>196.81</v>
      </c>
      <c r="N512" s="45">
        <v>7.22</v>
      </c>
      <c r="O512" s="46">
        <f t="shared" si="310"/>
        <v>1420.9682</v>
      </c>
      <c r="P512" s="51"/>
      <c r="Q512" s="51"/>
      <c r="R512" s="73">
        <f t="shared" si="305"/>
        <v>1119.29130376703</v>
      </c>
      <c r="S512" s="73"/>
      <c r="T512" s="74">
        <f t="shared" si="306"/>
        <v>1.46351990382046</v>
      </c>
      <c r="U512" s="73"/>
      <c r="V512" s="73"/>
      <c r="W512" s="73">
        <f t="shared" si="304"/>
        <v>1120.75482367085</v>
      </c>
      <c r="X512" s="75">
        <f t="shared" si="307"/>
        <v>18.2131285065456</v>
      </c>
      <c r="Y512" s="75"/>
      <c r="Z512" s="75"/>
      <c r="AA512" s="75">
        <f t="shared" si="299"/>
        <v>18.2131285065456</v>
      </c>
      <c r="AB512" s="84">
        <v>7.22</v>
      </c>
      <c r="AC512" s="73">
        <f t="shared" si="301"/>
        <v>131.498787817259</v>
      </c>
      <c r="AD512" s="73">
        <f t="shared" si="302"/>
        <v>1252.25361148811</v>
      </c>
      <c r="AE512" s="73">
        <f t="shared" si="300"/>
        <v>168.71458851189</v>
      </c>
    </row>
    <row r="513" customFormat="1" spans="1:31">
      <c r="A513" s="18"/>
      <c r="B513" s="19"/>
      <c r="C513" s="20">
        <v>240513000045</v>
      </c>
      <c r="D513" s="21">
        <v>45428</v>
      </c>
      <c r="E513" s="21" t="s">
        <v>44</v>
      </c>
      <c r="F513" s="19" t="s">
        <v>45</v>
      </c>
      <c r="G513" s="19" t="s">
        <v>382</v>
      </c>
      <c r="H513" s="19">
        <v>14.5</v>
      </c>
      <c r="I513" s="41">
        <v>1667.5</v>
      </c>
      <c r="J513" s="42"/>
      <c r="K513" s="43"/>
      <c r="L513" s="19"/>
      <c r="M513" s="44"/>
      <c r="N513" s="45"/>
      <c r="O513" s="111">
        <f t="shared" ref="O513:O516" si="311">SUM(I513)</f>
        <v>1667.5</v>
      </c>
      <c r="P513" s="51"/>
      <c r="Q513" s="51"/>
      <c r="R513" s="73">
        <f t="shared" si="305"/>
        <v>662.437710392733</v>
      </c>
      <c r="S513" s="73"/>
      <c r="T513" s="74">
        <f t="shared" si="306"/>
        <v>0.866164841036602</v>
      </c>
      <c r="U513" s="73"/>
      <c r="V513" s="73"/>
      <c r="W513" s="73">
        <f t="shared" si="304"/>
        <v>663.30387523377</v>
      </c>
      <c r="X513" s="75">
        <f t="shared" si="307"/>
        <v>10.7791985038739</v>
      </c>
      <c r="Y513" s="75"/>
      <c r="Z513" s="75"/>
      <c r="AA513" s="75">
        <f t="shared" si="299"/>
        <v>10.7791985038739</v>
      </c>
      <c r="AB513" s="84">
        <v>7.22</v>
      </c>
      <c r="AC513" s="73">
        <f t="shared" si="301"/>
        <v>77.8258131979695</v>
      </c>
      <c r="AD513" s="73">
        <f t="shared" si="302"/>
        <v>741.129688431739</v>
      </c>
      <c r="AE513" s="73">
        <f t="shared" si="300"/>
        <v>926.370311568261</v>
      </c>
    </row>
    <row r="514" customFormat="1" spans="1:31">
      <c r="A514" s="18"/>
      <c r="B514" s="19"/>
      <c r="C514" s="20">
        <v>240513000050</v>
      </c>
      <c r="D514" s="21">
        <v>45428</v>
      </c>
      <c r="E514" s="21" t="s">
        <v>157</v>
      </c>
      <c r="F514" s="19" t="s">
        <v>159</v>
      </c>
      <c r="G514" s="19" t="s">
        <v>160</v>
      </c>
      <c r="H514" s="19">
        <v>4</v>
      </c>
      <c r="I514" s="46"/>
      <c r="J514" s="42"/>
      <c r="K514" s="54">
        <v>32.9</v>
      </c>
      <c r="L514" s="19"/>
      <c r="M514" s="50">
        <v>32.9</v>
      </c>
      <c r="N514" s="45">
        <v>7.22</v>
      </c>
      <c r="O514" s="111">
        <f>SUM(M514*N514)</f>
        <v>237.538</v>
      </c>
      <c r="P514" s="51"/>
      <c r="Q514" s="51"/>
      <c r="R514" s="73">
        <f t="shared" si="305"/>
        <v>182.741437349719</v>
      </c>
      <c r="S514" s="73"/>
      <c r="T514" s="74">
        <f t="shared" si="306"/>
        <v>0.238942025113545</v>
      </c>
      <c r="U514" s="73"/>
      <c r="V514" s="73"/>
      <c r="W514" s="73">
        <f t="shared" si="304"/>
        <v>182.980379374833</v>
      </c>
      <c r="X514" s="75">
        <f t="shared" si="307"/>
        <v>2.97357200106866</v>
      </c>
      <c r="Y514" s="75"/>
      <c r="Z514" s="75"/>
      <c r="AA514" s="75">
        <f t="shared" si="299"/>
        <v>2.97357200106866</v>
      </c>
      <c r="AB514" s="84">
        <v>7.22</v>
      </c>
      <c r="AC514" s="73">
        <f t="shared" si="301"/>
        <v>21.4691898477157</v>
      </c>
      <c r="AD514" s="73">
        <f t="shared" si="302"/>
        <v>204.449569222549</v>
      </c>
      <c r="AE514" s="73">
        <f t="shared" si="300"/>
        <v>33.088430777451</v>
      </c>
    </row>
    <row r="515" customFormat="1" spans="1:31">
      <c r="A515" s="18"/>
      <c r="B515" s="19"/>
      <c r="C515" s="20">
        <v>240513000053</v>
      </c>
      <c r="D515" s="21">
        <v>45428</v>
      </c>
      <c r="E515" s="21" t="s">
        <v>54</v>
      </c>
      <c r="F515" s="19" t="s">
        <v>54</v>
      </c>
      <c r="G515" s="19" t="s">
        <v>166</v>
      </c>
      <c r="H515" s="19">
        <v>9.5</v>
      </c>
      <c r="I515" s="41">
        <v>604</v>
      </c>
      <c r="J515" s="42"/>
      <c r="K515" s="43"/>
      <c r="L515" s="19"/>
      <c r="M515" s="44"/>
      <c r="N515" s="45"/>
      <c r="O515" s="111">
        <f t="shared" si="311"/>
        <v>604</v>
      </c>
      <c r="P515" s="51"/>
      <c r="Q515" s="51"/>
      <c r="R515" s="73">
        <f t="shared" si="305"/>
        <v>434.010913705584</v>
      </c>
      <c r="S515" s="73"/>
      <c r="T515" s="74">
        <f t="shared" si="306"/>
        <v>0.56748730964467</v>
      </c>
      <c r="U515" s="73">
        <f>SUM(30+20)</f>
        <v>50</v>
      </c>
      <c r="V515" s="73"/>
      <c r="W515" s="73">
        <f t="shared" si="304"/>
        <v>484.578401015228</v>
      </c>
      <c r="X515" s="75">
        <f t="shared" si="307"/>
        <v>7.06223350253807</v>
      </c>
      <c r="Y515" s="75"/>
      <c r="Z515" s="75"/>
      <c r="AA515" s="75">
        <f t="shared" si="299"/>
        <v>7.06223350253807</v>
      </c>
      <c r="AB515" s="84">
        <v>7.22</v>
      </c>
      <c r="AC515" s="73">
        <f t="shared" si="301"/>
        <v>50.9893258883249</v>
      </c>
      <c r="AD515" s="73">
        <f t="shared" si="302"/>
        <v>535.567726903553</v>
      </c>
      <c r="AE515" s="73">
        <f t="shared" si="300"/>
        <v>68.432273096447</v>
      </c>
    </row>
    <row r="516" customFormat="1" spans="1:31">
      <c r="A516" s="18"/>
      <c r="B516" s="19"/>
      <c r="C516" s="20">
        <v>240514000002</v>
      </c>
      <c r="D516" s="21">
        <v>45428</v>
      </c>
      <c r="E516" s="21" t="s">
        <v>54</v>
      </c>
      <c r="F516" s="19" t="s">
        <v>383</v>
      </c>
      <c r="G516" s="19" t="s">
        <v>384</v>
      </c>
      <c r="H516" s="19">
        <v>16</v>
      </c>
      <c r="I516" s="41">
        <v>886</v>
      </c>
      <c r="J516" s="42"/>
      <c r="K516" s="43"/>
      <c r="L516" s="19"/>
      <c r="M516" s="44"/>
      <c r="N516" s="45"/>
      <c r="O516" s="111">
        <f t="shared" si="311"/>
        <v>886</v>
      </c>
      <c r="P516" s="51"/>
      <c r="Q516" s="51"/>
      <c r="R516" s="73">
        <f t="shared" si="305"/>
        <v>730.965749398878</v>
      </c>
      <c r="S516" s="73"/>
      <c r="T516" s="74">
        <f t="shared" si="306"/>
        <v>0.955768100454181</v>
      </c>
      <c r="U516" s="73"/>
      <c r="V516" s="73"/>
      <c r="W516" s="73">
        <f t="shared" si="304"/>
        <v>731.921517499332</v>
      </c>
      <c r="X516" s="75">
        <f t="shared" si="307"/>
        <v>11.8942880042746</v>
      </c>
      <c r="Y516" s="75"/>
      <c r="Z516" s="75"/>
      <c r="AA516" s="75">
        <f t="shared" si="299"/>
        <v>11.8942880042746</v>
      </c>
      <c r="AB516" s="84">
        <v>7.22</v>
      </c>
      <c r="AC516" s="73">
        <f t="shared" si="301"/>
        <v>85.8767593908629</v>
      </c>
      <c r="AD516" s="73">
        <f t="shared" si="302"/>
        <v>817.798276890195</v>
      </c>
      <c r="AE516" s="73">
        <f t="shared" si="300"/>
        <v>68.201723109805</v>
      </c>
    </row>
    <row r="517" customFormat="1" spans="1:31">
      <c r="A517" s="18"/>
      <c r="B517" s="19"/>
      <c r="C517" s="22">
        <v>240514000004</v>
      </c>
      <c r="D517" s="23">
        <v>45428</v>
      </c>
      <c r="E517" s="21" t="s">
        <v>37</v>
      </c>
      <c r="F517" s="24" t="s">
        <v>38</v>
      </c>
      <c r="G517" s="24" t="s">
        <v>385</v>
      </c>
      <c r="H517" s="24">
        <v>51.5</v>
      </c>
      <c r="I517" s="99">
        <v>3432</v>
      </c>
      <c r="J517" s="117"/>
      <c r="K517" s="86"/>
      <c r="L517" s="24"/>
      <c r="M517" s="118"/>
      <c r="N517" s="45"/>
      <c r="O517" s="111">
        <f>SUBTOTAL(9,I517)</f>
        <v>3432</v>
      </c>
      <c r="P517" s="51"/>
      <c r="Q517" s="51"/>
      <c r="R517" s="73">
        <f t="shared" si="305"/>
        <v>2352.79600587764</v>
      </c>
      <c r="S517" s="73"/>
      <c r="T517" s="74">
        <f t="shared" si="306"/>
        <v>3.0763785733369</v>
      </c>
      <c r="U517" s="73"/>
      <c r="V517" s="73"/>
      <c r="W517" s="73">
        <f t="shared" si="304"/>
        <v>2355.87238445098</v>
      </c>
      <c r="X517" s="75">
        <f t="shared" si="307"/>
        <v>38.284739513759</v>
      </c>
      <c r="Y517" s="75"/>
      <c r="Z517" s="75"/>
      <c r="AA517" s="75">
        <f t="shared" si="299"/>
        <v>38.284739513759</v>
      </c>
      <c r="AB517" s="84">
        <v>7.22</v>
      </c>
      <c r="AC517" s="73">
        <f t="shared" si="301"/>
        <v>276.41581928934</v>
      </c>
      <c r="AD517" s="73">
        <f t="shared" si="302"/>
        <v>2632.28820374032</v>
      </c>
      <c r="AE517" s="73">
        <f t="shared" si="300"/>
        <v>799.71179625968</v>
      </c>
    </row>
    <row r="518" customFormat="1" spans="1:31">
      <c r="A518" s="18"/>
      <c r="B518" s="19"/>
      <c r="C518" s="20">
        <v>240514000005</v>
      </c>
      <c r="D518" s="21">
        <v>45428</v>
      </c>
      <c r="E518" s="21" t="s">
        <v>37</v>
      </c>
      <c r="F518" s="19" t="s">
        <v>38</v>
      </c>
      <c r="G518" s="19" t="s">
        <v>377</v>
      </c>
      <c r="H518" s="19">
        <v>3.5</v>
      </c>
      <c r="I518" s="41">
        <v>227</v>
      </c>
      <c r="J518" s="42"/>
      <c r="K518" s="43"/>
      <c r="L518" s="19"/>
      <c r="M518" s="44"/>
      <c r="N518" s="45"/>
      <c r="O518" s="111">
        <f t="shared" ref="O518:O520" si="312">SUM(I518)</f>
        <v>227</v>
      </c>
      <c r="P518" s="51"/>
      <c r="Q518" s="51"/>
      <c r="R518" s="73">
        <f t="shared" si="305"/>
        <v>159.898757681005</v>
      </c>
      <c r="S518" s="73"/>
      <c r="T518" s="74">
        <f t="shared" si="306"/>
        <v>0.209074271974352</v>
      </c>
      <c r="U518" s="73"/>
      <c r="V518" s="73"/>
      <c r="W518" s="73">
        <f t="shared" si="304"/>
        <v>160.107831952979</v>
      </c>
      <c r="X518" s="75">
        <f t="shared" si="307"/>
        <v>2.60187550093508</v>
      </c>
      <c r="Y518" s="75"/>
      <c r="Z518" s="75"/>
      <c r="AA518" s="75">
        <f t="shared" si="299"/>
        <v>2.60187550093508</v>
      </c>
      <c r="AB518" s="84">
        <v>7.22</v>
      </c>
      <c r="AC518" s="73">
        <f t="shared" si="301"/>
        <v>18.7855411167513</v>
      </c>
      <c r="AD518" s="73">
        <f t="shared" si="302"/>
        <v>178.89337306973</v>
      </c>
      <c r="AE518" s="73">
        <f t="shared" si="300"/>
        <v>48.10662693027</v>
      </c>
    </row>
    <row r="519" customFormat="1" spans="1:31">
      <c r="A519" s="18"/>
      <c r="B519" s="19"/>
      <c r="C519" s="20">
        <v>240514000007</v>
      </c>
      <c r="D519" s="21">
        <v>45428</v>
      </c>
      <c r="E519" s="21" t="s">
        <v>37</v>
      </c>
      <c r="F519" s="19" t="s">
        <v>38</v>
      </c>
      <c r="G519" s="19" t="s">
        <v>386</v>
      </c>
      <c r="H519" s="19">
        <v>228.5</v>
      </c>
      <c r="I519" s="41">
        <v>12250.5</v>
      </c>
      <c r="J519" s="42"/>
      <c r="K519" s="43"/>
      <c r="L519" s="19"/>
      <c r="M519" s="44"/>
      <c r="N519" s="45"/>
      <c r="O519" s="111">
        <f t="shared" si="312"/>
        <v>12250.5</v>
      </c>
      <c r="P519" s="51"/>
      <c r="Q519" s="51"/>
      <c r="R519" s="73">
        <f t="shared" si="305"/>
        <v>10439.1046086027</v>
      </c>
      <c r="S519" s="73"/>
      <c r="T519" s="74">
        <f t="shared" si="306"/>
        <v>13.6495631846113</v>
      </c>
      <c r="U519" s="73">
        <v>140</v>
      </c>
      <c r="V519" s="73"/>
      <c r="W519" s="73">
        <f t="shared" si="304"/>
        <v>10592.7541717873</v>
      </c>
      <c r="X519" s="75">
        <f t="shared" si="307"/>
        <v>169.865300561047</v>
      </c>
      <c r="Y519" s="75"/>
      <c r="Z519" s="75"/>
      <c r="AA519" s="75">
        <f t="shared" si="299"/>
        <v>169.865300561047</v>
      </c>
      <c r="AB519" s="84">
        <v>7.22</v>
      </c>
      <c r="AC519" s="73">
        <f t="shared" si="301"/>
        <v>1226.42747005076</v>
      </c>
      <c r="AD519" s="73">
        <f t="shared" si="302"/>
        <v>11819.1816418381</v>
      </c>
      <c r="AE519" s="73">
        <f t="shared" si="300"/>
        <v>431.3183581619</v>
      </c>
    </row>
    <row r="520" customFormat="1" spans="1:31">
      <c r="A520" s="18"/>
      <c r="B520" s="19"/>
      <c r="C520" s="20">
        <v>240514000011</v>
      </c>
      <c r="D520" s="21">
        <v>45428</v>
      </c>
      <c r="E520" s="21" t="s">
        <v>44</v>
      </c>
      <c r="F520" s="19" t="s">
        <v>127</v>
      </c>
      <c r="G520" s="19" t="s">
        <v>128</v>
      </c>
      <c r="H520" s="19">
        <v>53</v>
      </c>
      <c r="I520" s="41">
        <v>2809</v>
      </c>
      <c r="J520" s="42"/>
      <c r="K520" s="43"/>
      <c r="L520" s="19"/>
      <c r="M520" s="44"/>
      <c r="N520" s="45"/>
      <c r="O520" s="111">
        <f t="shared" si="312"/>
        <v>2809</v>
      </c>
      <c r="P520" s="51"/>
      <c r="Q520" s="51"/>
      <c r="R520" s="73">
        <f t="shared" si="305"/>
        <v>2421.32404488378</v>
      </c>
      <c r="S520" s="73"/>
      <c r="T520" s="74">
        <f t="shared" si="306"/>
        <v>3.16598183275447</v>
      </c>
      <c r="U520" s="73"/>
      <c r="V520" s="73"/>
      <c r="W520" s="73">
        <f t="shared" si="304"/>
        <v>2424.49002671654</v>
      </c>
      <c r="X520" s="75">
        <f t="shared" si="307"/>
        <v>39.3998290141598</v>
      </c>
      <c r="Y520" s="75"/>
      <c r="Z520" s="75"/>
      <c r="AA520" s="75">
        <f t="shared" si="299"/>
        <v>39.3998290141598</v>
      </c>
      <c r="AB520" s="84">
        <v>7.22</v>
      </c>
      <c r="AC520" s="73">
        <f t="shared" si="301"/>
        <v>284.466765482233</v>
      </c>
      <c r="AD520" s="73">
        <f t="shared" si="302"/>
        <v>2708.95679219877</v>
      </c>
      <c r="AE520" s="73">
        <f t="shared" si="300"/>
        <v>100.04320780123</v>
      </c>
    </row>
    <row r="521" customFormat="1" spans="1:31">
      <c r="A521" s="18"/>
      <c r="B521" s="19"/>
      <c r="C521" s="20">
        <v>240514000012</v>
      </c>
      <c r="D521" s="21">
        <v>45428</v>
      </c>
      <c r="E521" s="21" t="s">
        <v>37</v>
      </c>
      <c r="F521" s="19" t="s">
        <v>38</v>
      </c>
      <c r="G521" s="19" t="s">
        <v>132</v>
      </c>
      <c r="H521" s="19">
        <v>9.5</v>
      </c>
      <c r="I521" s="46"/>
      <c r="J521" s="48">
        <v>112540.8</v>
      </c>
      <c r="K521" s="43"/>
      <c r="L521" s="49">
        <f>SUM(J521/M521)</f>
        <v>1520</v>
      </c>
      <c r="M521" s="50">
        <v>74.04</v>
      </c>
      <c r="N521" s="45">
        <v>7.22</v>
      </c>
      <c r="O521" s="111">
        <f>SUM(M521*N521)</f>
        <v>534.5688</v>
      </c>
      <c r="P521" s="51"/>
      <c r="Q521" s="51"/>
      <c r="R521" s="73">
        <f t="shared" si="305"/>
        <v>434.010913705584</v>
      </c>
      <c r="S521" s="73"/>
      <c r="T521" s="74">
        <f t="shared" si="306"/>
        <v>0.56748730964467</v>
      </c>
      <c r="U521" s="73"/>
      <c r="V521" s="73"/>
      <c r="W521" s="73">
        <f t="shared" si="304"/>
        <v>434.578401015228</v>
      </c>
      <c r="X521" s="75">
        <f t="shared" si="307"/>
        <v>7.06223350253807</v>
      </c>
      <c r="Y521" s="75"/>
      <c r="Z521" s="75"/>
      <c r="AA521" s="75">
        <f t="shared" si="299"/>
        <v>7.06223350253807</v>
      </c>
      <c r="AB521" s="84">
        <v>7.22</v>
      </c>
      <c r="AC521" s="73">
        <f t="shared" si="301"/>
        <v>50.9893258883249</v>
      </c>
      <c r="AD521" s="73">
        <f t="shared" si="302"/>
        <v>485.567726903553</v>
      </c>
      <c r="AE521" s="73">
        <f t="shared" si="300"/>
        <v>49.001073096447</v>
      </c>
    </row>
    <row r="522" customFormat="1" spans="1:31">
      <c r="A522" s="18"/>
      <c r="B522" s="19"/>
      <c r="C522" s="20">
        <v>240514000013</v>
      </c>
      <c r="D522" s="21">
        <v>45428</v>
      </c>
      <c r="E522" s="21" t="s">
        <v>37</v>
      </c>
      <c r="F522" s="19" t="s">
        <v>38</v>
      </c>
      <c r="G522" s="19" t="s">
        <v>132</v>
      </c>
      <c r="H522" s="19">
        <v>0.9</v>
      </c>
      <c r="I522" s="46"/>
      <c r="J522" s="48">
        <v>13072</v>
      </c>
      <c r="K522" s="43"/>
      <c r="L522" s="49">
        <f>SUM(J522/M522)</f>
        <v>1520</v>
      </c>
      <c r="M522" s="50">
        <v>8.6</v>
      </c>
      <c r="N522" s="45">
        <v>7.22</v>
      </c>
      <c r="O522" s="111">
        <f>SUM(M522*N522)</f>
        <v>62.092</v>
      </c>
      <c r="P522" s="51"/>
      <c r="Q522" s="51"/>
      <c r="R522" s="73">
        <f t="shared" si="305"/>
        <v>41.1168234036869</v>
      </c>
      <c r="S522" s="73"/>
      <c r="T522" s="74">
        <f t="shared" si="306"/>
        <v>0.0537619556505477</v>
      </c>
      <c r="U522" s="73"/>
      <c r="V522" s="73"/>
      <c r="W522" s="73">
        <f t="shared" si="304"/>
        <v>41.1705853593374</v>
      </c>
      <c r="X522" s="75">
        <f t="shared" si="307"/>
        <v>0.669053700240449</v>
      </c>
      <c r="Y522" s="75"/>
      <c r="Z522" s="75"/>
      <c r="AA522" s="75">
        <f t="shared" si="299"/>
        <v>0.669053700240449</v>
      </c>
      <c r="AB522" s="84">
        <v>7.22</v>
      </c>
      <c r="AC522" s="73">
        <f t="shared" si="301"/>
        <v>4.83056771573604</v>
      </c>
      <c r="AD522" s="73">
        <f t="shared" si="302"/>
        <v>46.0011530750735</v>
      </c>
      <c r="AE522" s="73">
        <f t="shared" si="300"/>
        <v>16.0908469249265</v>
      </c>
    </row>
    <row r="523" customFormat="1" spans="1:31">
      <c r="A523" s="18"/>
      <c r="B523" s="19"/>
      <c r="C523" s="20">
        <v>240514000016</v>
      </c>
      <c r="D523" s="21">
        <v>45428</v>
      </c>
      <c r="E523" s="21" t="s">
        <v>47</v>
      </c>
      <c r="F523" s="19" t="s">
        <v>48</v>
      </c>
      <c r="G523" s="19" t="s">
        <v>387</v>
      </c>
      <c r="H523" s="19">
        <v>3.5</v>
      </c>
      <c r="I523" s="41">
        <v>185.5</v>
      </c>
      <c r="J523" s="42"/>
      <c r="K523" s="43"/>
      <c r="L523" s="19"/>
      <c r="M523" s="44"/>
      <c r="N523" s="45"/>
      <c r="O523" s="111">
        <f t="shared" ref="O523:O530" si="313">SUM(I523)</f>
        <v>185.5</v>
      </c>
      <c r="P523" s="51"/>
      <c r="Q523" s="51"/>
      <c r="R523" s="73">
        <f t="shared" si="305"/>
        <v>159.898757681005</v>
      </c>
      <c r="S523" s="73"/>
      <c r="T523" s="74">
        <f t="shared" si="306"/>
        <v>0.209074271974352</v>
      </c>
      <c r="U523" s="73"/>
      <c r="V523" s="73"/>
      <c r="W523" s="73">
        <f t="shared" si="304"/>
        <v>160.107831952979</v>
      </c>
      <c r="X523" s="75">
        <f t="shared" si="307"/>
        <v>2.60187550093508</v>
      </c>
      <c r="Y523" s="75"/>
      <c r="Z523" s="75"/>
      <c r="AA523" s="75">
        <f t="shared" si="299"/>
        <v>2.60187550093508</v>
      </c>
      <c r="AB523" s="84">
        <v>7.22</v>
      </c>
      <c r="AC523" s="73">
        <f t="shared" si="301"/>
        <v>18.7855411167513</v>
      </c>
      <c r="AD523" s="73">
        <f t="shared" si="302"/>
        <v>178.89337306973</v>
      </c>
      <c r="AE523" s="73">
        <f t="shared" si="300"/>
        <v>6.60662693027001</v>
      </c>
    </row>
    <row r="524" customFormat="1" spans="1:31">
      <c r="A524" s="18"/>
      <c r="B524" s="19"/>
      <c r="C524" s="20">
        <v>240514000019</v>
      </c>
      <c r="D524" s="21">
        <v>45428</v>
      </c>
      <c r="E524" s="21" t="s">
        <v>41</v>
      </c>
      <c r="F524" s="19" t="s">
        <v>42</v>
      </c>
      <c r="G524" s="19" t="s">
        <v>388</v>
      </c>
      <c r="H524" s="19">
        <v>4</v>
      </c>
      <c r="I524" s="41">
        <v>374</v>
      </c>
      <c r="J524" s="42"/>
      <c r="K524" s="43"/>
      <c r="L524" s="19"/>
      <c r="M524" s="44"/>
      <c r="N524" s="45"/>
      <c r="O524" s="111">
        <f t="shared" si="313"/>
        <v>374</v>
      </c>
      <c r="P524" s="51"/>
      <c r="Q524" s="51"/>
      <c r="R524" s="73">
        <f t="shared" si="305"/>
        <v>182.741437349719</v>
      </c>
      <c r="S524" s="73"/>
      <c r="T524" s="74">
        <f t="shared" si="306"/>
        <v>0.238942025113545</v>
      </c>
      <c r="U524" s="73"/>
      <c r="V524" s="73"/>
      <c r="W524" s="73">
        <f t="shared" si="304"/>
        <v>182.980379374833</v>
      </c>
      <c r="X524" s="75">
        <f t="shared" si="307"/>
        <v>2.97357200106866</v>
      </c>
      <c r="Y524" s="75"/>
      <c r="Z524" s="75"/>
      <c r="AA524" s="75">
        <f t="shared" si="299"/>
        <v>2.97357200106866</v>
      </c>
      <c r="AB524" s="84">
        <v>7.22</v>
      </c>
      <c r="AC524" s="73">
        <f t="shared" si="301"/>
        <v>21.4691898477157</v>
      </c>
      <c r="AD524" s="73">
        <f t="shared" si="302"/>
        <v>204.449569222549</v>
      </c>
      <c r="AE524" s="73">
        <f t="shared" si="300"/>
        <v>169.550430777451</v>
      </c>
    </row>
    <row r="525" customFormat="1" spans="1:31">
      <c r="A525" s="18"/>
      <c r="B525" s="19"/>
      <c r="C525" s="20">
        <v>240514000020</v>
      </c>
      <c r="D525" s="21">
        <v>45428</v>
      </c>
      <c r="E525" s="21" t="s">
        <v>37</v>
      </c>
      <c r="F525" s="19" t="s">
        <v>38</v>
      </c>
      <c r="G525" s="19" t="s">
        <v>89</v>
      </c>
      <c r="H525" s="19">
        <v>2.5</v>
      </c>
      <c r="I525" s="41">
        <v>166.25</v>
      </c>
      <c r="J525" s="42"/>
      <c r="K525" s="43"/>
      <c r="L525" s="19"/>
      <c r="M525" s="44"/>
      <c r="N525" s="45"/>
      <c r="O525" s="111">
        <f t="shared" si="313"/>
        <v>166.25</v>
      </c>
      <c r="P525" s="51"/>
      <c r="Q525" s="51"/>
      <c r="R525" s="73">
        <f t="shared" si="305"/>
        <v>114.213398343575</v>
      </c>
      <c r="S525" s="73"/>
      <c r="T525" s="74">
        <f t="shared" si="306"/>
        <v>0.149338765695966</v>
      </c>
      <c r="U525" s="73"/>
      <c r="V525" s="73"/>
      <c r="W525" s="73">
        <f t="shared" si="304"/>
        <v>114.362737109271</v>
      </c>
      <c r="X525" s="75">
        <f t="shared" si="307"/>
        <v>1.85848250066791</v>
      </c>
      <c r="Y525" s="75"/>
      <c r="Z525" s="75"/>
      <c r="AA525" s="75">
        <f t="shared" si="299"/>
        <v>1.85848250066791</v>
      </c>
      <c r="AB525" s="84">
        <v>7.22</v>
      </c>
      <c r="AC525" s="73">
        <f t="shared" si="301"/>
        <v>13.4182436548223</v>
      </c>
      <c r="AD525" s="73">
        <f t="shared" si="302"/>
        <v>127.780980764093</v>
      </c>
      <c r="AE525" s="73">
        <f t="shared" si="300"/>
        <v>38.469019235907</v>
      </c>
    </row>
    <row r="526" customFormat="1" spans="1:31">
      <c r="A526" s="18"/>
      <c r="B526" s="19"/>
      <c r="C526" s="20">
        <v>240514000027</v>
      </c>
      <c r="D526" s="21">
        <v>45428</v>
      </c>
      <c r="E526" s="21" t="s">
        <v>41</v>
      </c>
      <c r="F526" s="19" t="s">
        <v>42</v>
      </c>
      <c r="G526" s="19" t="s">
        <v>361</v>
      </c>
      <c r="H526" s="19">
        <v>11</v>
      </c>
      <c r="I526" s="41">
        <v>580</v>
      </c>
      <c r="J526" s="42"/>
      <c r="K526" s="43"/>
      <c r="L526" s="19"/>
      <c r="M526" s="44"/>
      <c r="N526" s="45"/>
      <c r="O526" s="111">
        <f t="shared" si="313"/>
        <v>580</v>
      </c>
      <c r="P526" s="51"/>
      <c r="Q526" s="51"/>
      <c r="R526" s="73">
        <f t="shared" si="305"/>
        <v>502.538952711729</v>
      </c>
      <c r="S526" s="73"/>
      <c r="T526" s="74">
        <f t="shared" si="306"/>
        <v>0.657090569062249</v>
      </c>
      <c r="U526" s="73"/>
      <c r="V526" s="73"/>
      <c r="W526" s="73">
        <f t="shared" si="304"/>
        <v>503.196043280791</v>
      </c>
      <c r="X526" s="75">
        <f t="shared" si="307"/>
        <v>8.17732300293882</v>
      </c>
      <c r="Y526" s="75"/>
      <c r="Z526" s="75"/>
      <c r="AA526" s="75">
        <f t="shared" si="299"/>
        <v>8.17732300293882</v>
      </c>
      <c r="AB526" s="84">
        <v>7.22</v>
      </c>
      <c r="AC526" s="73">
        <f t="shared" si="301"/>
        <v>59.0402720812183</v>
      </c>
      <c r="AD526" s="73">
        <f t="shared" si="302"/>
        <v>562.236315362009</v>
      </c>
      <c r="AE526" s="73">
        <f t="shared" si="300"/>
        <v>17.763684637991</v>
      </c>
    </row>
    <row r="527" customFormat="1" spans="1:31">
      <c r="A527" s="18"/>
      <c r="B527" s="19"/>
      <c r="C527" s="20">
        <v>240514000034</v>
      </c>
      <c r="D527" s="21">
        <v>45428</v>
      </c>
      <c r="E527" s="21" t="s">
        <v>47</v>
      </c>
      <c r="F527" s="19" t="s">
        <v>48</v>
      </c>
      <c r="G527" s="19" t="s">
        <v>49</v>
      </c>
      <c r="H527" s="19">
        <v>16</v>
      </c>
      <c r="I527" s="41">
        <v>982</v>
      </c>
      <c r="J527" s="42"/>
      <c r="K527" s="43"/>
      <c r="L527" s="19"/>
      <c r="M527" s="44"/>
      <c r="N527" s="45"/>
      <c r="O527" s="111">
        <f t="shared" si="313"/>
        <v>982</v>
      </c>
      <c r="P527" s="51"/>
      <c r="Q527" s="51"/>
      <c r="R527" s="73">
        <f t="shared" si="305"/>
        <v>730.965749398878</v>
      </c>
      <c r="S527" s="73"/>
      <c r="T527" s="74">
        <f t="shared" si="306"/>
        <v>0.955768100454181</v>
      </c>
      <c r="U527" s="73"/>
      <c r="V527" s="73"/>
      <c r="W527" s="73">
        <f t="shared" si="304"/>
        <v>731.921517499332</v>
      </c>
      <c r="X527" s="75">
        <f t="shared" si="307"/>
        <v>11.8942880042746</v>
      </c>
      <c r="Y527" s="75"/>
      <c r="Z527" s="75"/>
      <c r="AA527" s="75">
        <f t="shared" si="299"/>
        <v>11.8942880042746</v>
      </c>
      <c r="AB527" s="84">
        <v>7.22</v>
      </c>
      <c r="AC527" s="73">
        <f t="shared" si="301"/>
        <v>85.8767593908629</v>
      </c>
      <c r="AD527" s="73">
        <f t="shared" si="302"/>
        <v>817.798276890195</v>
      </c>
      <c r="AE527" s="73">
        <f t="shared" si="300"/>
        <v>164.201723109805</v>
      </c>
    </row>
    <row r="528" customFormat="1" spans="1:31">
      <c r="A528" s="18"/>
      <c r="B528" s="19"/>
      <c r="C528" s="20">
        <v>240514000038</v>
      </c>
      <c r="D528" s="21">
        <v>45428</v>
      </c>
      <c r="E528" s="21" t="s">
        <v>37</v>
      </c>
      <c r="F528" s="19" t="s">
        <v>38</v>
      </c>
      <c r="G528" s="19" t="s">
        <v>209</v>
      </c>
      <c r="H528" s="19">
        <v>24.5</v>
      </c>
      <c r="I528" s="41">
        <v>1306</v>
      </c>
      <c r="J528" s="42"/>
      <c r="K528" s="43"/>
      <c r="L528" s="19"/>
      <c r="M528" s="44"/>
      <c r="N528" s="45"/>
      <c r="O528" s="111">
        <f t="shared" si="313"/>
        <v>1306</v>
      </c>
      <c r="P528" s="51"/>
      <c r="Q528" s="51"/>
      <c r="R528" s="73">
        <f t="shared" si="305"/>
        <v>1119.29130376703</v>
      </c>
      <c r="S528" s="73"/>
      <c r="T528" s="74">
        <f t="shared" si="306"/>
        <v>1.46351990382046</v>
      </c>
      <c r="U528" s="73"/>
      <c r="V528" s="73"/>
      <c r="W528" s="73">
        <f t="shared" si="304"/>
        <v>1120.75482367085</v>
      </c>
      <c r="X528" s="75">
        <f t="shared" si="307"/>
        <v>18.2131285065456</v>
      </c>
      <c r="Y528" s="75"/>
      <c r="Z528" s="75"/>
      <c r="AA528" s="75">
        <f t="shared" si="299"/>
        <v>18.2131285065456</v>
      </c>
      <c r="AB528" s="84">
        <v>7.22</v>
      </c>
      <c r="AC528" s="73">
        <f t="shared" si="301"/>
        <v>131.498787817259</v>
      </c>
      <c r="AD528" s="73">
        <f t="shared" si="302"/>
        <v>1252.25361148811</v>
      </c>
      <c r="AE528" s="73">
        <f t="shared" si="300"/>
        <v>53.74638851189</v>
      </c>
    </row>
    <row r="529" customFormat="1" spans="1:31">
      <c r="A529" s="18"/>
      <c r="B529" s="19"/>
      <c r="C529" s="20">
        <v>240514000040</v>
      </c>
      <c r="D529" s="21">
        <v>45428</v>
      </c>
      <c r="E529" s="21" t="s">
        <v>37</v>
      </c>
      <c r="F529" s="19" t="s">
        <v>38</v>
      </c>
      <c r="G529" s="19" t="s">
        <v>386</v>
      </c>
      <c r="H529" s="19">
        <v>48</v>
      </c>
      <c r="I529" s="41">
        <v>2544</v>
      </c>
      <c r="J529" s="42"/>
      <c r="K529" s="43"/>
      <c r="L529" s="19"/>
      <c r="M529" s="44"/>
      <c r="N529" s="45"/>
      <c r="O529" s="111">
        <f t="shared" si="313"/>
        <v>2544</v>
      </c>
      <c r="P529" s="51"/>
      <c r="Q529" s="51"/>
      <c r="R529" s="73">
        <f t="shared" si="305"/>
        <v>2192.89724819663</v>
      </c>
      <c r="S529" s="73"/>
      <c r="T529" s="74">
        <f t="shared" si="306"/>
        <v>2.86730430136254</v>
      </c>
      <c r="U529" s="73"/>
      <c r="V529" s="73"/>
      <c r="W529" s="73">
        <f t="shared" si="304"/>
        <v>2195.764552498</v>
      </c>
      <c r="X529" s="75">
        <f t="shared" si="307"/>
        <v>35.6828640128239</v>
      </c>
      <c r="Y529" s="75"/>
      <c r="Z529" s="75"/>
      <c r="AA529" s="75">
        <f t="shared" si="299"/>
        <v>35.6828640128239</v>
      </c>
      <c r="AB529" s="84">
        <v>7.22</v>
      </c>
      <c r="AC529" s="73">
        <f t="shared" si="301"/>
        <v>257.630278172589</v>
      </c>
      <c r="AD529" s="73">
        <f t="shared" si="302"/>
        <v>2453.39483067059</v>
      </c>
      <c r="AE529" s="73">
        <f t="shared" si="300"/>
        <v>90.6051693294098</v>
      </c>
    </row>
    <row r="530" customFormat="1" spans="1:31">
      <c r="A530" s="18"/>
      <c r="B530" s="19"/>
      <c r="C530" s="20">
        <v>240514000047</v>
      </c>
      <c r="D530" s="21">
        <v>45428</v>
      </c>
      <c r="E530" s="21" t="s">
        <v>37</v>
      </c>
      <c r="F530" s="19" t="s">
        <v>38</v>
      </c>
      <c r="G530" s="19" t="s">
        <v>386</v>
      </c>
      <c r="H530" s="19">
        <v>39</v>
      </c>
      <c r="I530" s="41">
        <v>2067</v>
      </c>
      <c r="J530" s="42"/>
      <c r="K530" s="43"/>
      <c r="L530" s="19"/>
      <c r="M530" s="44"/>
      <c r="N530" s="45"/>
      <c r="O530" s="111">
        <f t="shared" si="313"/>
        <v>2067</v>
      </c>
      <c r="P530" s="51"/>
      <c r="Q530" s="51"/>
      <c r="R530" s="73">
        <f t="shared" si="305"/>
        <v>1781.72901415976</v>
      </c>
      <c r="S530" s="73"/>
      <c r="T530" s="74">
        <f t="shared" si="306"/>
        <v>2.32968474485707</v>
      </c>
      <c r="U530" s="73"/>
      <c r="V530" s="73"/>
      <c r="W530" s="73">
        <f t="shared" si="304"/>
        <v>1784.05869890462</v>
      </c>
      <c r="X530" s="75">
        <f t="shared" si="307"/>
        <v>28.9923270104194</v>
      </c>
      <c r="Y530" s="75"/>
      <c r="Z530" s="75"/>
      <c r="AA530" s="75">
        <f t="shared" si="299"/>
        <v>28.9923270104194</v>
      </c>
      <c r="AB530" s="84">
        <v>7.22</v>
      </c>
      <c r="AC530" s="73">
        <f t="shared" si="301"/>
        <v>209.324601015228</v>
      </c>
      <c r="AD530" s="73">
        <f t="shared" si="302"/>
        <v>1993.38329991985</v>
      </c>
      <c r="AE530" s="73">
        <f t="shared" si="300"/>
        <v>73.6167000801499</v>
      </c>
    </row>
    <row r="531" customFormat="1" spans="1:31">
      <c r="A531" s="18"/>
      <c r="B531" s="19"/>
      <c r="C531" s="20">
        <v>240514000049</v>
      </c>
      <c r="D531" s="21">
        <v>45428</v>
      </c>
      <c r="E531" s="21" t="s">
        <v>157</v>
      </c>
      <c r="F531" s="19" t="s">
        <v>239</v>
      </c>
      <c r="G531" s="19" t="s">
        <v>389</v>
      </c>
      <c r="H531" s="19">
        <v>2.5</v>
      </c>
      <c r="I531" s="46"/>
      <c r="J531" s="48">
        <v>31540</v>
      </c>
      <c r="K531" s="43"/>
      <c r="L531" s="49">
        <f>SUM(J531/M531)</f>
        <v>1520</v>
      </c>
      <c r="M531" s="50">
        <v>20.75</v>
      </c>
      <c r="N531" s="45">
        <v>7.22</v>
      </c>
      <c r="O531" s="111">
        <f>SUM(M531*N531)</f>
        <v>149.815</v>
      </c>
      <c r="P531" s="51"/>
      <c r="Q531" s="51"/>
      <c r="R531" s="73">
        <f t="shared" si="305"/>
        <v>114.213398343575</v>
      </c>
      <c r="S531" s="73"/>
      <c r="T531" s="74">
        <f t="shared" si="306"/>
        <v>0.149338765695966</v>
      </c>
      <c r="U531" s="73"/>
      <c r="V531" s="73"/>
      <c r="W531" s="73">
        <f t="shared" si="304"/>
        <v>114.362737109271</v>
      </c>
      <c r="X531" s="75">
        <f t="shared" si="307"/>
        <v>1.85848250066791</v>
      </c>
      <c r="Y531" s="75"/>
      <c r="Z531" s="75"/>
      <c r="AA531" s="75">
        <f t="shared" si="299"/>
        <v>1.85848250066791</v>
      </c>
      <c r="AB531" s="84">
        <v>7.22</v>
      </c>
      <c r="AC531" s="73">
        <f t="shared" si="301"/>
        <v>13.4182436548223</v>
      </c>
      <c r="AD531" s="73">
        <f t="shared" si="302"/>
        <v>127.780980764093</v>
      </c>
      <c r="AE531" s="73">
        <f t="shared" si="300"/>
        <v>22.034019235907</v>
      </c>
    </row>
    <row r="532" customFormat="1" spans="1:31">
      <c r="A532" s="18"/>
      <c r="B532" s="19"/>
      <c r="C532" s="20">
        <v>240514000051</v>
      </c>
      <c r="D532" s="21">
        <v>45428</v>
      </c>
      <c r="E532" s="21" t="s">
        <v>41</v>
      </c>
      <c r="F532" s="19" t="s">
        <v>42</v>
      </c>
      <c r="G532" s="19" t="s">
        <v>390</v>
      </c>
      <c r="H532" s="19">
        <v>239</v>
      </c>
      <c r="I532" s="52"/>
      <c r="J532" s="48">
        <v>3090748</v>
      </c>
      <c r="K532" s="43"/>
      <c r="L532" s="49">
        <f>SUM(J532/M532)</f>
        <v>1761.68214177824</v>
      </c>
      <c r="M532" s="50">
        <v>1754.43</v>
      </c>
      <c r="N532" s="89">
        <v>7.22</v>
      </c>
      <c r="O532" s="111">
        <f>SUM(M532*N532)</f>
        <v>12666.9846</v>
      </c>
      <c r="P532" s="51"/>
      <c r="Q532" s="51"/>
      <c r="R532" s="73">
        <f t="shared" si="305"/>
        <v>10918.8008816457</v>
      </c>
      <c r="S532" s="73"/>
      <c r="T532" s="74">
        <f t="shared" si="306"/>
        <v>14.2767860005343</v>
      </c>
      <c r="U532" s="73"/>
      <c r="V532" s="73"/>
      <c r="W532" s="73">
        <f t="shared" si="304"/>
        <v>10933.0776676463</v>
      </c>
      <c r="X532" s="75">
        <f t="shared" si="307"/>
        <v>177.670927063853</v>
      </c>
      <c r="Y532" s="75"/>
      <c r="Z532" s="75"/>
      <c r="AA532" s="75">
        <f t="shared" ref="AA532:AA556" si="314">SUM(X532:Z532)</f>
        <v>177.670927063853</v>
      </c>
      <c r="AB532" s="84">
        <v>7.22</v>
      </c>
      <c r="AC532" s="73">
        <f t="shared" si="301"/>
        <v>1282.78409340102</v>
      </c>
      <c r="AD532" s="73">
        <f t="shared" si="302"/>
        <v>12215.8617610473</v>
      </c>
      <c r="AE532" s="73">
        <f t="shared" si="300"/>
        <v>451.1228389527</v>
      </c>
    </row>
    <row r="533" customFormat="1" spans="1:31">
      <c r="A533" s="18"/>
      <c r="B533" s="19"/>
      <c r="C533" s="20">
        <v>240514000059</v>
      </c>
      <c r="D533" s="21">
        <v>45428</v>
      </c>
      <c r="E533" s="21" t="s">
        <v>41</v>
      </c>
      <c r="F533" s="19" t="s">
        <v>42</v>
      </c>
      <c r="G533" s="19" t="s">
        <v>96</v>
      </c>
      <c r="H533" s="19">
        <v>205.5</v>
      </c>
      <c r="I533" s="41">
        <v>9658.5</v>
      </c>
      <c r="J533" s="42"/>
      <c r="K533" s="43"/>
      <c r="L533" s="19"/>
      <c r="M533" s="44"/>
      <c r="N533" s="45"/>
      <c r="O533" s="111">
        <f t="shared" ref="O532:O539" si="315">SUM(I533)</f>
        <v>9658.5</v>
      </c>
      <c r="P533" s="53"/>
      <c r="Q533" s="53"/>
      <c r="R533" s="73">
        <f t="shared" si="305"/>
        <v>9388.34134384184</v>
      </c>
      <c r="S533" s="73"/>
      <c r="T533" s="74">
        <f t="shared" si="306"/>
        <v>12.2756465402084</v>
      </c>
      <c r="U533" s="73"/>
      <c r="V533" s="73"/>
      <c r="W533" s="73">
        <f t="shared" ref="W533:W556" si="316">SUM(R533:V533)</f>
        <v>9400.61699038205</v>
      </c>
      <c r="X533" s="75">
        <f t="shared" si="307"/>
        <v>152.767261554902</v>
      </c>
      <c r="Y533" s="75"/>
      <c r="Z533" s="75"/>
      <c r="AA533" s="75">
        <f t="shared" si="314"/>
        <v>152.767261554902</v>
      </c>
      <c r="AB533" s="84">
        <v>7.22</v>
      </c>
      <c r="AC533" s="73">
        <f t="shared" si="301"/>
        <v>1102.9796284264</v>
      </c>
      <c r="AD533" s="73">
        <f t="shared" ref="AD533:AD557" si="317">SUM(W533+AC533)</f>
        <v>10503.5966188084</v>
      </c>
      <c r="AE533" s="73">
        <f t="shared" ref="AE533:AE556" si="318">SUM(O533-AD533)</f>
        <v>-845.0966188084</v>
      </c>
    </row>
    <row r="534" customFormat="1" spans="1:31">
      <c r="A534" s="18" t="s">
        <v>391</v>
      </c>
      <c r="B534" s="19" t="s">
        <v>392</v>
      </c>
      <c r="C534" s="20">
        <v>240511000001</v>
      </c>
      <c r="D534" s="21">
        <v>45432</v>
      </c>
      <c r="E534" s="21" t="s">
        <v>54</v>
      </c>
      <c r="F534" s="19" t="s">
        <v>108</v>
      </c>
      <c r="G534" s="19" t="s">
        <v>109</v>
      </c>
      <c r="H534" s="19">
        <v>5.5</v>
      </c>
      <c r="I534" s="41">
        <v>660</v>
      </c>
      <c r="J534" s="42"/>
      <c r="K534" s="43"/>
      <c r="L534" s="19"/>
      <c r="M534" s="44"/>
      <c r="N534" s="45"/>
      <c r="O534" s="46">
        <f t="shared" si="315"/>
        <v>660</v>
      </c>
      <c r="P534" s="47">
        <f>SUM(O534:O556)</f>
        <v>12340.0507278</v>
      </c>
      <c r="Q534" s="47" t="s">
        <v>40</v>
      </c>
      <c r="R534" s="73">
        <f>SUM(4800/72)*H534</f>
        <v>366.666666666667</v>
      </c>
      <c r="S534" s="73"/>
      <c r="T534" s="74">
        <f>SUM(106.22/72)*H534</f>
        <v>8.11402777777778</v>
      </c>
      <c r="U534" s="73"/>
      <c r="V534" s="73"/>
      <c r="W534" s="73">
        <f t="shared" si="316"/>
        <v>374.780694444444</v>
      </c>
      <c r="X534" s="75">
        <f>SUM(140.11/72)*H534</f>
        <v>10.7028472222222</v>
      </c>
      <c r="Y534" s="75"/>
      <c r="Z534" s="75"/>
      <c r="AA534" s="75">
        <f t="shared" si="314"/>
        <v>10.7028472222222</v>
      </c>
      <c r="AB534" s="84">
        <v>7.22</v>
      </c>
      <c r="AC534" s="73">
        <f t="shared" ref="AC534:AC557" si="319">SUM(AA534*AB534)</f>
        <v>77.2745569444443</v>
      </c>
      <c r="AD534" s="73">
        <f t="shared" si="317"/>
        <v>452.055251388888</v>
      </c>
      <c r="AE534" s="73">
        <f t="shared" si="318"/>
        <v>207.944748611112</v>
      </c>
    </row>
    <row r="535" customFormat="1" spans="1:31">
      <c r="A535" s="18"/>
      <c r="B535" s="19"/>
      <c r="C535" s="20">
        <v>240512000007</v>
      </c>
      <c r="D535" s="21">
        <v>45432</v>
      </c>
      <c r="E535" s="21" t="s">
        <v>54</v>
      </c>
      <c r="F535" s="19" t="s">
        <v>108</v>
      </c>
      <c r="G535" s="19" t="s">
        <v>109</v>
      </c>
      <c r="H535" s="19">
        <v>5</v>
      </c>
      <c r="I535" s="41">
        <v>600</v>
      </c>
      <c r="J535" s="42"/>
      <c r="K535" s="43"/>
      <c r="L535" s="19"/>
      <c r="M535" s="44"/>
      <c r="N535" s="45"/>
      <c r="O535" s="46">
        <f t="shared" si="315"/>
        <v>600</v>
      </c>
      <c r="P535" s="51"/>
      <c r="Q535" s="51"/>
      <c r="R535" s="73">
        <f t="shared" ref="R535:R556" si="320">SUM(4800/72)*H535</f>
        <v>333.333333333333</v>
      </c>
      <c r="S535" s="73"/>
      <c r="T535" s="74">
        <f t="shared" ref="T535:T556" si="321">SUM(106.22/72)*H535</f>
        <v>7.37638888888889</v>
      </c>
      <c r="U535" s="73"/>
      <c r="V535" s="73"/>
      <c r="W535" s="73">
        <f t="shared" si="316"/>
        <v>340.709722222222</v>
      </c>
      <c r="X535" s="75">
        <f t="shared" ref="X535:X556" si="322">SUM(140.11/72)*H535</f>
        <v>9.72986111111111</v>
      </c>
      <c r="Y535" s="75"/>
      <c r="Z535" s="75"/>
      <c r="AA535" s="75">
        <f t="shared" si="314"/>
        <v>9.72986111111111</v>
      </c>
      <c r="AB535" s="84">
        <v>7.22</v>
      </c>
      <c r="AC535" s="73">
        <f t="shared" si="319"/>
        <v>70.2495972222222</v>
      </c>
      <c r="AD535" s="73">
        <f t="shared" si="317"/>
        <v>410.959319444444</v>
      </c>
      <c r="AE535" s="73">
        <f t="shared" si="318"/>
        <v>189.040680555556</v>
      </c>
    </row>
    <row r="536" customFormat="1" spans="1:31">
      <c r="A536" s="18"/>
      <c r="B536" s="19"/>
      <c r="C536" s="20">
        <v>240513000008</v>
      </c>
      <c r="D536" s="21">
        <v>45432</v>
      </c>
      <c r="E536" s="21" t="s">
        <v>47</v>
      </c>
      <c r="F536" s="19" t="s">
        <v>48</v>
      </c>
      <c r="G536" s="19" t="s">
        <v>49</v>
      </c>
      <c r="H536" s="19">
        <v>4</v>
      </c>
      <c r="I536" s="41">
        <v>480</v>
      </c>
      <c r="J536" s="42"/>
      <c r="K536" s="43"/>
      <c r="L536" s="19"/>
      <c r="M536" s="44"/>
      <c r="N536" s="45"/>
      <c r="O536" s="46">
        <f t="shared" si="315"/>
        <v>480</v>
      </c>
      <c r="P536" s="51"/>
      <c r="Q536" s="51"/>
      <c r="R536" s="73">
        <f t="shared" si="320"/>
        <v>266.666666666667</v>
      </c>
      <c r="S536" s="73"/>
      <c r="T536" s="74">
        <f t="shared" si="321"/>
        <v>5.90111111111111</v>
      </c>
      <c r="U536" s="73"/>
      <c r="V536" s="73"/>
      <c r="W536" s="73">
        <f t="shared" si="316"/>
        <v>272.567777777778</v>
      </c>
      <c r="X536" s="75">
        <f t="shared" si="322"/>
        <v>7.78388888888889</v>
      </c>
      <c r="Y536" s="75"/>
      <c r="Z536" s="75"/>
      <c r="AA536" s="75">
        <f t="shared" si="314"/>
        <v>7.78388888888889</v>
      </c>
      <c r="AB536" s="84">
        <v>7.22</v>
      </c>
      <c r="AC536" s="73">
        <f t="shared" si="319"/>
        <v>56.1996777777778</v>
      </c>
      <c r="AD536" s="73">
        <f t="shared" si="317"/>
        <v>328.767455555556</v>
      </c>
      <c r="AE536" s="73">
        <f t="shared" si="318"/>
        <v>151.232544444444</v>
      </c>
    </row>
    <row r="537" customFormat="1" spans="1:31">
      <c r="A537" s="18"/>
      <c r="B537" s="19"/>
      <c r="C537" s="20">
        <v>240514000026</v>
      </c>
      <c r="D537" s="21">
        <v>45432</v>
      </c>
      <c r="E537" s="21" t="s">
        <v>54</v>
      </c>
      <c r="F537" s="19" t="s">
        <v>54</v>
      </c>
      <c r="G537" s="19" t="s">
        <v>100</v>
      </c>
      <c r="H537" s="19">
        <v>2</v>
      </c>
      <c r="I537" s="52">
        <v>230</v>
      </c>
      <c r="J537" s="42"/>
      <c r="K537" s="43"/>
      <c r="L537" s="19"/>
      <c r="M537" s="44"/>
      <c r="N537" s="45"/>
      <c r="O537" s="46">
        <f t="shared" si="315"/>
        <v>230</v>
      </c>
      <c r="P537" s="51"/>
      <c r="Q537" s="51"/>
      <c r="R537" s="73">
        <f t="shared" si="320"/>
        <v>133.333333333333</v>
      </c>
      <c r="S537" s="73"/>
      <c r="T537" s="74">
        <f t="shared" si="321"/>
        <v>2.95055555555556</v>
      </c>
      <c r="U537" s="73"/>
      <c r="V537" s="73"/>
      <c r="W537" s="73">
        <f t="shared" si="316"/>
        <v>136.283888888889</v>
      </c>
      <c r="X537" s="75">
        <f t="shared" si="322"/>
        <v>3.89194444444444</v>
      </c>
      <c r="Y537" s="75"/>
      <c r="Z537" s="75"/>
      <c r="AA537" s="75">
        <f t="shared" si="314"/>
        <v>3.89194444444444</v>
      </c>
      <c r="AB537" s="84">
        <v>7.22</v>
      </c>
      <c r="AC537" s="73">
        <f t="shared" si="319"/>
        <v>28.0998388888889</v>
      </c>
      <c r="AD537" s="73">
        <f t="shared" si="317"/>
        <v>164.383727777778</v>
      </c>
      <c r="AE537" s="73">
        <f t="shared" si="318"/>
        <v>65.616272222222</v>
      </c>
    </row>
    <row r="538" customFormat="1" spans="1:31">
      <c r="A538" s="18"/>
      <c r="B538" s="19"/>
      <c r="C538" s="20">
        <v>240514000043</v>
      </c>
      <c r="D538" s="21">
        <v>45432</v>
      </c>
      <c r="E538" s="21" t="s">
        <v>41</v>
      </c>
      <c r="F538" s="19" t="s">
        <v>42</v>
      </c>
      <c r="G538" s="19" t="s">
        <v>393</v>
      </c>
      <c r="H538" s="19">
        <v>0.54</v>
      </c>
      <c r="I538" s="41">
        <v>115</v>
      </c>
      <c r="J538" s="42"/>
      <c r="K538" s="43"/>
      <c r="L538" s="19"/>
      <c r="M538" s="44"/>
      <c r="N538" s="45"/>
      <c r="O538" s="46">
        <f t="shared" si="315"/>
        <v>115</v>
      </c>
      <c r="P538" s="51"/>
      <c r="Q538" s="51"/>
      <c r="R538" s="73">
        <f t="shared" si="320"/>
        <v>36</v>
      </c>
      <c r="S538" s="73"/>
      <c r="T538" s="74">
        <f t="shared" si="321"/>
        <v>0.79665</v>
      </c>
      <c r="U538" s="73"/>
      <c r="V538" s="73"/>
      <c r="W538" s="73">
        <f t="shared" si="316"/>
        <v>36.79665</v>
      </c>
      <c r="X538" s="75">
        <f t="shared" si="322"/>
        <v>1.050825</v>
      </c>
      <c r="Y538" s="75"/>
      <c r="Z538" s="75"/>
      <c r="AA538" s="75">
        <f t="shared" si="314"/>
        <v>1.050825</v>
      </c>
      <c r="AB538" s="84">
        <v>7.22</v>
      </c>
      <c r="AC538" s="73">
        <f t="shared" si="319"/>
        <v>7.5869565</v>
      </c>
      <c r="AD538" s="73">
        <f t="shared" si="317"/>
        <v>44.3836065</v>
      </c>
      <c r="AE538" s="73">
        <f t="shared" si="318"/>
        <v>70.6163935</v>
      </c>
    </row>
    <row r="539" customFormat="1" spans="1:31">
      <c r="A539" s="18"/>
      <c r="B539" s="19"/>
      <c r="C539" s="20">
        <v>240514000054</v>
      </c>
      <c r="D539" s="21">
        <v>45432</v>
      </c>
      <c r="E539" s="21" t="s">
        <v>44</v>
      </c>
      <c r="F539" s="19" t="s">
        <v>45</v>
      </c>
      <c r="G539" s="19" t="s">
        <v>394</v>
      </c>
      <c r="H539" s="19">
        <v>8</v>
      </c>
      <c r="I539" s="41">
        <v>875</v>
      </c>
      <c r="J539" s="42"/>
      <c r="K539" s="43"/>
      <c r="L539" s="19"/>
      <c r="M539" s="44"/>
      <c r="N539" s="45"/>
      <c r="O539" s="46">
        <f t="shared" si="315"/>
        <v>875</v>
      </c>
      <c r="P539" s="51"/>
      <c r="Q539" s="51"/>
      <c r="R539" s="73">
        <f t="shared" si="320"/>
        <v>533.333333333333</v>
      </c>
      <c r="S539" s="73"/>
      <c r="T539" s="74">
        <f t="shared" si="321"/>
        <v>11.8022222222222</v>
      </c>
      <c r="U539" s="73"/>
      <c r="V539" s="74">
        <v>115</v>
      </c>
      <c r="W539" s="73">
        <f t="shared" si="316"/>
        <v>660.135555555556</v>
      </c>
      <c r="X539" s="75">
        <f t="shared" si="322"/>
        <v>15.5677777777778</v>
      </c>
      <c r="Y539" s="75"/>
      <c r="Z539" s="75"/>
      <c r="AA539" s="75">
        <f t="shared" si="314"/>
        <v>15.5677777777778</v>
      </c>
      <c r="AB539" s="84">
        <v>7.22</v>
      </c>
      <c r="AC539" s="73">
        <f t="shared" si="319"/>
        <v>112.399355555556</v>
      </c>
      <c r="AD539" s="73">
        <f t="shared" si="317"/>
        <v>772.534911111112</v>
      </c>
      <c r="AE539" s="73">
        <f t="shared" si="318"/>
        <v>102.465088888888</v>
      </c>
    </row>
    <row r="540" customFormat="1" spans="1:31">
      <c r="A540" s="18"/>
      <c r="B540" s="19"/>
      <c r="C540" s="20">
        <v>240514000056</v>
      </c>
      <c r="D540" s="21">
        <v>45432</v>
      </c>
      <c r="E540" s="21" t="s">
        <v>47</v>
      </c>
      <c r="F540" s="19" t="s">
        <v>48</v>
      </c>
      <c r="G540" s="19" t="s">
        <v>342</v>
      </c>
      <c r="H540" s="19">
        <v>0.86</v>
      </c>
      <c r="I540" s="46"/>
      <c r="J540" s="48">
        <v>25338</v>
      </c>
      <c r="K540" s="43"/>
      <c r="L540" s="49">
        <f t="shared" ref="L540:L544" si="323">SUM(J540/M540)</f>
        <v>1519.97600479904</v>
      </c>
      <c r="M540" s="50">
        <v>16.67</v>
      </c>
      <c r="N540" s="45">
        <v>7.22</v>
      </c>
      <c r="O540" s="46">
        <f t="shared" ref="O540:O544" si="324">SUM(M540*N540)</f>
        <v>120.3574</v>
      </c>
      <c r="P540" s="51"/>
      <c r="Q540" s="51"/>
      <c r="R540" s="73">
        <f t="shared" si="320"/>
        <v>57.3333333333333</v>
      </c>
      <c r="S540" s="73"/>
      <c r="T540" s="74">
        <f t="shared" si="321"/>
        <v>1.26873888888889</v>
      </c>
      <c r="U540" s="73"/>
      <c r="V540" s="73"/>
      <c r="W540" s="73">
        <f t="shared" si="316"/>
        <v>58.6020722222222</v>
      </c>
      <c r="X540" s="75">
        <f t="shared" si="322"/>
        <v>1.67353611111111</v>
      </c>
      <c r="Y540" s="75"/>
      <c r="Z540" s="75"/>
      <c r="AA540" s="75">
        <f t="shared" si="314"/>
        <v>1.67353611111111</v>
      </c>
      <c r="AB540" s="84">
        <v>7.22</v>
      </c>
      <c r="AC540" s="73">
        <f t="shared" si="319"/>
        <v>12.0829307222222</v>
      </c>
      <c r="AD540" s="73">
        <f t="shared" si="317"/>
        <v>70.6850029444444</v>
      </c>
      <c r="AE540" s="73">
        <f t="shared" si="318"/>
        <v>49.6723970555556</v>
      </c>
    </row>
    <row r="541" customFormat="1" spans="1:31">
      <c r="A541" s="18"/>
      <c r="B541" s="19"/>
      <c r="C541" s="20">
        <v>240514000058</v>
      </c>
      <c r="D541" s="21">
        <v>45432</v>
      </c>
      <c r="E541" s="21" t="s">
        <v>54</v>
      </c>
      <c r="F541" s="19" t="s">
        <v>54</v>
      </c>
      <c r="G541" s="19" t="s">
        <v>109</v>
      </c>
      <c r="H541" s="19">
        <v>2.5</v>
      </c>
      <c r="I541" s="41">
        <v>300</v>
      </c>
      <c r="J541" s="42"/>
      <c r="K541" s="43"/>
      <c r="L541" s="19"/>
      <c r="M541" s="44"/>
      <c r="N541" s="45"/>
      <c r="O541" s="46">
        <f t="shared" ref="O541:O545" si="325">SUM(I541)</f>
        <v>300</v>
      </c>
      <c r="P541" s="51"/>
      <c r="Q541" s="51"/>
      <c r="R541" s="73">
        <f t="shared" si="320"/>
        <v>166.666666666667</v>
      </c>
      <c r="S541" s="73"/>
      <c r="T541" s="74">
        <f t="shared" si="321"/>
        <v>3.68819444444444</v>
      </c>
      <c r="U541" s="73"/>
      <c r="V541" s="73"/>
      <c r="W541" s="73">
        <f t="shared" si="316"/>
        <v>170.354861111111</v>
      </c>
      <c r="X541" s="75">
        <f t="shared" si="322"/>
        <v>4.86493055555556</v>
      </c>
      <c r="Y541" s="75"/>
      <c r="Z541" s="75"/>
      <c r="AA541" s="75">
        <f t="shared" si="314"/>
        <v>4.86493055555556</v>
      </c>
      <c r="AB541" s="84">
        <v>7.22</v>
      </c>
      <c r="AC541" s="73">
        <f t="shared" si="319"/>
        <v>35.1247986111111</v>
      </c>
      <c r="AD541" s="73">
        <f t="shared" si="317"/>
        <v>205.479659722222</v>
      </c>
      <c r="AE541" s="73">
        <f t="shared" si="318"/>
        <v>94.5203402777778</v>
      </c>
    </row>
    <row r="542" customFormat="1" spans="1:31">
      <c r="A542" s="18"/>
      <c r="B542" s="19"/>
      <c r="C542" s="20">
        <v>240515000011</v>
      </c>
      <c r="D542" s="21">
        <v>45432</v>
      </c>
      <c r="E542" s="21" t="s">
        <v>44</v>
      </c>
      <c r="F542" s="19" t="s">
        <v>45</v>
      </c>
      <c r="G542" s="19" t="s">
        <v>197</v>
      </c>
      <c r="H542" s="19">
        <v>0.84</v>
      </c>
      <c r="I542" s="41">
        <v>145</v>
      </c>
      <c r="J542" s="42"/>
      <c r="K542" s="43"/>
      <c r="L542" s="19"/>
      <c r="M542" s="44"/>
      <c r="N542" s="45"/>
      <c r="O542" s="46">
        <f t="shared" si="325"/>
        <v>145</v>
      </c>
      <c r="P542" s="51"/>
      <c r="Q542" s="51"/>
      <c r="R542" s="73">
        <f t="shared" si="320"/>
        <v>56</v>
      </c>
      <c r="S542" s="73"/>
      <c r="T542" s="74">
        <f t="shared" si="321"/>
        <v>1.23923333333333</v>
      </c>
      <c r="U542" s="73"/>
      <c r="V542" s="73"/>
      <c r="W542" s="73">
        <f t="shared" si="316"/>
        <v>57.2392333333333</v>
      </c>
      <c r="X542" s="75">
        <f t="shared" si="322"/>
        <v>1.63461666666667</v>
      </c>
      <c r="Y542" s="75">
        <v>4.1</v>
      </c>
      <c r="Z542" s="75"/>
      <c r="AA542" s="75">
        <f t="shared" si="314"/>
        <v>5.73461666666667</v>
      </c>
      <c r="AB542" s="84">
        <v>7.22</v>
      </c>
      <c r="AC542" s="73">
        <f t="shared" si="319"/>
        <v>41.4039323333334</v>
      </c>
      <c r="AD542" s="73">
        <f t="shared" si="317"/>
        <v>98.6431656666667</v>
      </c>
      <c r="AE542" s="73">
        <f t="shared" si="318"/>
        <v>46.3568343333333</v>
      </c>
    </row>
    <row r="543" customFormat="1" spans="1:31">
      <c r="A543" s="18"/>
      <c r="B543" s="19"/>
      <c r="C543" s="20">
        <v>240516000006</v>
      </c>
      <c r="D543" s="21">
        <v>45432</v>
      </c>
      <c r="E543" s="21" t="s">
        <v>47</v>
      </c>
      <c r="F543" s="19" t="s">
        <v>48</v>
      </c>
      <c r="G543" s="19" t="s">
        <v>395</v>
      </c>
      <c r="H543" s="19">
        <v>11</v>
      </c>
      <c r="I543" s="46"/>
      <c r="J543" s="48">
        <v>285000</v>
      </c>
      <c r="K543" s="43"/>
      <c r="L543" s="49">
        <f t="shared" si="323"/>
        <v>1520.08115206577</v>
      </c>
      <c r="M543" s="50">
        <v>187.48999</v>
      </c>
      <c r="N543" s="45">
        <v>7.22</v>
      </c>
      <c r="O543" s="46">
        <f t="shared" si="324"/>
        <v>1353.6777278</v>
      </c>
      <c r="P543" s="51"/>
      <c r="Q543" s="51"/>
      <c r="R543" s="73">
        <f t="shared" si="320"/>
        <v>733.333333333333</v>
      </c>
      <c r="S543" s="73"/>
      <c r="T543" s="74">
        <f t="shared" si="321"/>
        <v>16.2280555555556</v>
      </c>
      <c r="U543" s="73"/>
      <c r="V543" s="74">
        <v>85</v>
      </c>
      <c r="W543" s="73">
        <f t="shared" si="316"/>
        <v>834.561388888889</v>
      </c>
      <c r="X543" s="75">
        <f t="shared" si="322"/>
        <v>21.4056944444444</v>
      </c>
      <c r="Y543" s="75"/>
      <c r="Z543" s="75"/>
      <c r="AA543" s="75">
        <f t="shared" si="314"/>
        <v>21.4056944444444</v>
      </c>
      <c r="AB543" s="84">
        <v>7.22</v>
      </c>
      <c r="AC543" s="73">
        <f t="shared" si="319"/>
        <v>154.549113888889</v>
      </c>
      <c r="AD543" s="73">
        <f t="shared" si="317"/>
        <v>989.110502777778</v>
      </c>
      <c r="AE543" s="73">
        <f t="shared" si="318"/>
        <v>364.567225022222</v>
      </c>
    </row>
    <row r="544" customFormat="1" spans="1:31">
      <c r="A544" s="18"/>
      <c r="B544" s="19"/>
      <c r="C544" s="20">
        <v>240516000012</v>
      </c>
      <c r="D544" s="21">
        <v>45432</v>
      </c>
      <c r="E544" s="21" t="s">
        <v>47</v>
      </c>
      <c r="F544" s="19" t="s">
        <v>48</v>
      </c>
      <c r="G544" s="19" t="s">
        <v>396</v>
      </c>
      <c r="H544" s="19">
        <v>2</v>
      </c>
      <c r="I544" s="52"/>
      <c r="J544" s="48">
        <v>48760</v>
      </c>
      <c r="K544" s="43"/>
      <c r="L544" s="49">
        <f t="shared" si="323"/>
        <v>1530.9262166405</v>
      </c>
      <c r="M544" s="50">
        <v>31.85</v>
      </c>
      <c r="N544" s="45">
        <v>7.22</v>
      </c>
      <c r="O544" s="46">
        <f t="shared" si="324"/>
        <v>229.957</v>
      </c>
      <c r="P544" s="51"/>
      <c r="Q544" s="51"/>
      <c r="R544" s="73">
        <f t="shared" si="320"/>
        <v>133.333333333333</v>
      </c>
      <c r="S544" s="73"/>
      <c r="T544" s="74">
        <f t="shared" si="321"/>
        <v>2.95055555555556</v>
      </c>
      <c r="U544" s="73"/>
      <c r="V544" s="73"/>
      <c r="W544" s="73">
        <f t="shared" si="316"/>
        <v>136.283888888889</v>
      </c>
      <c r="X544" s="75">
        <f t="shared" si="322"/>
        <v>3.89194444444444</v>
      </c>
      <c r="Y544" s="75"/>
      <c r="Z544" s="75"/>
      <c r="AA544" s="75">
        <f t="shared" si="314"/>
        <v>3.89194444444444</v>
      </c>
      <c r="AB544" s="84">
        <v>7.22</v>
      </c>
      <c r="AC544" s="73">
        <f t="shared" si="319"/>
        <v>28.0998388888889</v>
      </c>
      <c r="AD544" s="73">
        <f t="shared" si="317"/>
        <v>164.383727777778</v>
      </c>
      <c r="AE544" s="73">
        <f t="shared" si="318"/>
        <v>65.5732722222221</v>
      </c>
    </row>
    <row r="545" customFormat="1" spans="1:31">
      <c r="A545" s="18"/>
      <c r="B545" s="19"/>
      <c r="C545" s="20">
        <v>240516000014</v>
      </c>
      <c r="D545" s="21">
        <v>45432</v>
      </c>
      <c r="E545" s="21" t="s">
        <v>54</v>
      </c>
      <c r="F545" s="19" t="s">
        <v>54</v>
      </c>
      <c r="G545" s="19" t="s">
        <v>397</v>
      </c>
      <c r="H545" s="19">
        <v>2.5</v>
      </c>
      <c r="I545" s="41">
        <v>362.5</v>
      </c>
      <c r="J545" s="42"/>
      <c r="K545" s="43"/>
      <c r="L545" s="19"/>
      <c r="M545" s="44"/>
      <c r="N545" s="45"/>
      <c r="O545" s="46">
        <f t="shared" si="325"/>
        <v>362.5</v>
      </c>
      <c r="P545" s="51"/>
      <c r="Q545" s="51"/>
      <c r="R545" s="73">
        <f t="shared" si="320"/>
        <v>166.666666666667</v>
      </c>
      <c r="S545" s="73"/>
      <c r="T545" s="74">
        <f t="shared" si="321"/>
        <v>3.68819444444444</v>
      </c>
      <c r="U545" s="73"/>
      <c r="V545" s="73"/>
      <c r="W545" s="73">
        <f t="shared" si="316"/>
        <v>170.354861111111</v>
      </c>
      <c r="X545" s="75">
        <f t="shared" si="322"/>
        <v>4.86493055555556</v>
      </c>
      <c r="Y545" s="75"/>
      <c r="Z545" s="75"/>
      <c r="AA545" s="75">
        <f t="shared" si="314"/>
        <v>4.86493055555556</v>
      </c>
      <c r="AB545" s="84">
        <v>7.22</v>
      </c>
      <c r="AC545" s="73">
        <f t="shared" si="319"/>
        <v>35.1247986111111</v>
      </c>
      <c r="AD545" s="73">
        <f t="shared" si="317"/>
        <v>205.479659722222</v>
      </c>
      <c r="AE545" s="73">
        <f t="shared" si="318"/>
        <v>157.020340277778</v>
      </c>
    </row>
    <row r="546" customFormat="1" spans="1:31">
      <c r="A546" s="18"/>
      <c r="B546" s="19"/>
      <c r="C546" s="20">
        <v>240516000021</v>
      </c>
      <c r="D546" s="21">
        <v>45432</v>
      </c>
      <c r="E546" s="21" t="s">
        <v>41</v>
      </c>
      <c r="F546" s="19" t="s">
        <v>42</v>
      </c>
      <c r="G546" s="19" t="s">
        <v>300</v>
      </c>
      <c r="H546" s="19">
        <v>15</v>
      </c>
      <c r="I546" s="52"/>
      <c r="J546" s="48">
        <v>312000</v>
      </c>
      <c r="K546" s="43"/>
      <c r="L546" s="49">
        <f>SUM(J546/M546)</f>
        <v>1501.80505415162</v>
      </c>
      <c r="M546" s="50">
        <v>207.75</v>
      </c>
      <c r="N546" s="45">
        <v>7.22</v>
      </c>
      <c r="O546" s="46">
        <f>SUM(M546*N546)</f>
        <v>1499.955</v>
      </c>
      <c r="P546" s="51"/>
      <c r="Q546" s="51"/>
      <c r="R546" s="73">
        <f t="shared" si="320"/>
        <v>1000</v>
      </c>
      <c r="S546" s="73"/>
      <c r="T546" s="74">
        <f t="shared" si="321"/>
        <v>22.1291666666667</v>
      </c>
      <c r="U546" s="73"/>
      <c r="V546" s="73"/>
      <c r="W546" s="73">
        <f t="shared" si="316"/>
        <v>1022.12916666667</v>
      </c>
      <c r="X546" s="75">
        <f t="shared" si="322"/>
        <v>29.1895833333333</v>
      </c>
      <c r="Y546" s="75"/>
      <c r="Z546" s="75"/>
      <c r="AA546" s="75">
        <f t="shared" si="314"/>
        <v>29.1895833333333</v>
      </c>
      <c r="AB546" s="84">
        <v>7.22</v>
      </c>
      <c r="AC546" s="73">
        <f t="shared" si="319"/>
        <v>210.748791666666</v>
      </c>
      <c r="AD546" s="73">
        <f t="shared" si="317"/>
        <v>1232.87795833334</v>
      </c>
      <c r="AE546" s="73">
        <f t="shared" si="318"/>
        <v>267.077041666663</v>
      </c>
    </row>
    <row r="547" customFormat="1" spans="1:31">
      <c r="A547" s="18"/>
      <c r="B547" s="19"/>
      <c r="C547" s="20">
        <v>240516000024</v>
      </c>
      <c r="D547" s="21">
        <v>45432</v>
      </c>
      <c r="E547" s="21" t="s">
        <v>41</v>
      </c>
      <c r="F547" s="19" t="s">
        <v>42</v>
      </c>
      <c r="G547" s="19" t="s">
        <v>298</v>
      </c>
      <c r="H547" s="19">
        <v>10.5</v>
      </c>
      <c r="I547" s="41">
        <v>945</v>
      </c>
      <c r="J547" s="42"/>
      <c r="K547" s="43"/>
      <c r="L547" s="19"/>
      <c r="M547" s="44"/>
      <c r="N547" s="45"/>
      <c r="O547" s="46">
        <f t="shared" ref="O547:O551" si="326">SUM(I547)</f>
        <v>945</v>
      </c>
      <c r="P547" s="51"/>
      <c r="Q547" s="51"/>
      <c r="R547" s="73">
        <f t="shared" si="320"/>
        <v>700</v>
      </c>
      <c r="S547" s="73"/>
      <c r="T547" s="74">
        <f t="shared" si="321"/>
        <v>15.4904166666667</v>
      </c>
      <c r="U547" s="73"/>
      <c r="V547" s="73"/>
      <c r="W547" s="73">
        <f t="shared" si="316"/>
        <v>715.490416666667</v>
      </c>
      <c r="X547" s="75">
        <f t="shared" si="322"/>
        <v>20.4327083333333</v>
      </c>
      <c r="Y547" s="75"/>
      <c r="Z547" s="75"/>
      <c r="AA547" s="75">
        <f t="shared" si="314"/>
        <v>20.4327083333333</v>
      </c>
      <c r="AB547" s="84">
        <v>7.22</v>
      </c>
      <c r="AC547" s="73">
        <f t="shared" si="319"/>
        <v>147.524154166666</v>
      </c>
      <c r="AD547" s="73">
        <f t="shared" si="317"/>
        <v>863.014570833333</v>
      </c>
      <c r="AE547" s="73">
        <f t="shared" si="318"/>
        <v>81.9854291666666</v>
      </c>
    </row>
    <row r="548" customFormat="1" spans="1:31">
      <c r="A548" s="18"/>
      <c r="B548" s="19"/>
      <c r="C548" s="20">
        <v>240517000004</v>
      </c>
      <c r="D548" s="21">
        <v>45432</v>
      </c>
      <c r="E548" s="21" t="s">
        <v>37</v>
      </c>
      <c r="F548" s="19" t="s">
        <v>38</v>
      </c>
      <c r="G548" s="19" t="s">
        <v>338</v>
      </c>
      <c r="H548" s="19">
        <v>6</v>
      </c>
      <c r="I548" s="41">
        <v>790</v>
      </c>
      <c r="J548" s="42"/>
      <c r="K548" s="43"/>
      <c r="L548" s="19"/>
      <c r="M548" s="44"/>
      <c r="N548" s="45"/>
      <c r="O548" s="46">
        <f t="shared" si="326"/>
        <v>790</v>
      </c>
      <c r="P548" s="51"/>
      <c r="Q548" s="51"/>
      <c r="R548" s="73">
        <f t="shared" si="320"/>
        <v>400</v>
      </c>
      <c r="S548" s="73"/>
      <c r="T548" s="74">
        <f t="shared" si="321"/>
        <v>8.85166666666667</v>
      </c>
      <c r="U548" s="73"/>
      <c r="V548" s="73"/>
      <c r="W548" s="73">
        <f t="shared" si="316"/>
        <v>408.851666666667</v>
      </c>
      <c r="X548" s="75">
        <f t="shared" si="322"/>
        <v>11.6758333333333</v>
      </c>
      <c r="Y548" s="75"/>
      <c r="Z548" s="75"/>
      <c r="AA548" s="75">
        <f t="shared" si="314"/>
        <v>11.6758333333333</v>
      </c>
      <c r="AB548" s="84">
        <v>7.22</v>
      </c>
      <c r="AC548" s="73">
        <f t="shared" si="319"/>
        <v>84.2995166666664</v>
      </c>
      <c r="AD548" s="73">
        <f t="shared" si="317"/>
        <v>493.151183333333</v>
      </c>
      <c r="AE548" s="73">
        <f t="shared" si="318"/>
        <v>296.848816666667</v>
      </c>
    </row>
    <row r="549" customFormat="1" spans="1:31">
      <c r="A549" s="18"/>
      <c r="B549" s="19"/>
      <c r="C549" s="20">
        <v>240517000010</v>
      </c>
      <c r="D549" s="21">
        <v>45432</v>
      </c>
      <c r="E549" s="21" t="s">
        <v>41</v>
      </c>
      <c r="F549" s="19" t="s">
        <v>42</v>
      </c>
      <c r="G549" s="19" t="s">
        <v>141</v>
      </c>
      <c r="H549" s="19">
        <v>4</v>
      </c>
      <c r="I549" s="52"/>
      <c r="J549" s="48">
        <v>81200</v>
      </c>
      <c r="K549" s="43"/>
      <c r="L549" s="49">
        <f t="shared" ref="L549:L554" si="327">SUM(J549/M549)</f>
        <v>1465.70397111913</v>
      </c>
      <c r="M549" s="50">
        <v>55.4</v>
      </c>
      <c r="N549" s="45">
        <v>7.22</v>
      </c>
      <c r="O549" s="46">
        <f t="shared" ref="O549:O554" si="328">SUM(M549*N549)</f>
        <v>399.988</v>
      </c>
      <c r="P549" s="51"/>
      <c r="Q549" s="51"/>
      <c r="R549" s="73">
        <f t="shared" si="320"/>
        <v>266.666666666667</v>
      </c>
      <c r="S549" s="73"/>
      <c r="T549" s="74">
        <f t="shared" si="321"/>
        <v>5.90111111111111</v>
      </c>
      <c r="U549" s="73"/>
      <c r="V549" s="73"/>
      <c r="W549" s="73">
        <f t="shared" si="316"/>
        <v>272.567777777778</v>
      </c>
      <c r="X549" s="75">
        <f t="shared" si="322"/>
        <v>7.78388888888889</v>
      </c>
      <c r="Y549" s="75"/>
      <c r="Z549" s="75"/>
      <c r="AA549" s="75">
        <f t="shared" si="314"/>
        <v>7.78388888888889</v>
      </c>
      <c r="AB549" s="84">
        <v>7.22</v>
      </c>
      <c r="AC549" s="73">
        <f t="shared" si="319"/>
        <v>56.1996777777778</v>
      </c>
      <c r="AD549" s="73">
        <f t="shared" si="317"/>
        <v>328.767455555556</v>
      </c>
      <c r="AE549" s="73">
        <f t="shared" si="318"/>
        <v>71.2205444444442</v>
      </c>
    </row>
    <row r="550" customFormat="1" spans="1:31">
      <c r="A550" s="18"/>
      <c r="B550" s="19"/>
      <c r="C550" s="20">
        <v>240517000015</v>
      </c>
      <c r="D550" s="21">
        <v>45432</v>
      </c>
      <c r="E550" s="21" t="s">
        <v>37</v>
      </c>
      <c r="F550" s="19" t="s">
        <v>38</v>
      </c>
      <c r="G550" s="19" t="s">
        <v>398</v>
      </c>
      <c r="H550" s="19">
        <v>11</v>
      </c>
      <c r="I550" s="41">
        <v>1320</v>
      </c>
      <c r="J550" s="42"/>
      <c r="K550" s="43"/>
      <c r="L550" s="19"/>
      <c r="M550" s="44"/>
      <c r="N550" s="45"/>
      <c r="O550" s="46">
        <f t="shared" si="326"/>
        <v>1320</v>
      </c>
      <c r="P550" s="51"/>
      <c r="Q550" s="51"/>
      <c r="R550" s="73">
        <f t="shared" si="320"/>
        <v>733.333333333333</v>
      </c>
      <c r="S550" s="73"/>
      <c r="T550" s="74">
        <f t="shared" si="321"/>
        <v>16.2280555555556</v>
      </c>
      <c r="U550" s="73"/>
      <c r="V550" s="73"/>
      <c r="W550" s="73">
        <f t="shared" si="316"/>
        <v>749.561388888889</v>
      </c>
      <c r="X550" s="75">
        <f t="shared" si="322"/>
        <v>21.4056944444444</v>
      </c>
      <c r="Y550" s="75"/>
      <c r="Z550" s="75"/>
      <c r="AA550" s="75">
        <f t="shared" si="314"/>
        <v>21.4056944444444</v>
      </c>
      <c r="AB550" s="84">
        <v>7.22</v>
      </c>
      <c r="AC550" s="73">
        <f t="shared" si="319"/>
        <v>154.549113888889</v>
      </c>
      <c r="AD550" s="73">
        <f t="shared" si="317"/>
        <v>904.110502777778</v>
      </c>
      <c r="AE550" s="73">
        <f t="shared" si="318"/>
        <v>415.889497222222</v>
      </c>
    </row>
    <row r="551" customFormat="1" spans="1:31">
      <c r="A551" s="18"/>
      <c r="B551" s="19"/>
      <c r="C551" s="20">
        <v>240517000022</v>
      </c>
      <c r="D551" s="21">
        <v>45432</v>
      </c>
      <c r="E551" s="21" t="s">
        <v>37</v>
      </c>
      <c r="F551" s="19" t="s">
        <v>38</v>
      </c>
      <c r="G551" s="19" t="s">
        <v>399</v>
      </c>
      <c r="H551" s="19">
        <v>5</v>
      </c>
      <c r="I551" s="41">
        <v>600</v>
      </c>
      <c r="J551" s="42"/>
      <c r="K551" s="43"/>
      <c r="L551" s="19"/>
      <c r="M551" s="44"/>
      <c r="N551" s="45"/>
      <c r="O551" s="46">
        <f t="shared" si="326"/>
        <v>600</v>
      </c>
      <c r="P551" s="51"/>
      <c r="Q551" s="51"/>
      <c r="R551" s="73">
        <f t="shared" si="320"/>
        <v>333.333333333333</v>
      </c>
      <c r="S551" s="73"/>
      <c r="T551" s="74">
        <f t="shared" si="321"/>
        <v>7.37638888888889</v>
      </c>
      <c r="U551" s="73"/>
      <c r="V551" s="73"/>
      <c r="W551" s="73">
        <f t="shared" si="316"/>
        <v>340.709722222222</v>
      </c>
      <c r="X551" s="75">
        <f t="shared" si="322"/>
        <v>9.72986111111111</v>
      </c>
      <c r="Y551" s="75"/>
      <c r="Z551" s="75"/>
      <c r="AA551" s="75">
        <f t="shared" si="314"/>
        <v>9.72986111111111</v>
      </c>
      <c r="AB551" s="84">
        <v>7.22</v>
      </c>
      <c r="AC551" s="73">
        <f t="shared" si="319"/>
        <v>70.2495972222222</v>
      </c>
      <c r="AD551" s="73">
        <f t="shared" si="317"/>
        <v>410.959319444444</v>
      </c>
      <c r="AE551" s="73">
        <f t="shared" si="318"/>
        <v>189.040680555556</v>
      </c>
    </row>
    <row r="552" customFormat="1" spans="1:31">
      <c r="A552" s="18"/>
      <c r="B552" s="19"/>
      <c r="C552" s="20">
        <v>240517000026</v>
      </c>
      <c r="D552" s="21">
        <v>45432</v>
      </c>
      <c r="E552" s="21" t="s">
        <v>41</v>
      </c>
      <c r="F552" s="19" t="s">
        <v>85</v>
      </c>
      <c r="G552" s="19" t="s">
        <v>86</v>
      </c>
      <c r="H552" s="19">
        <v>1.5</v>
      </c>
      <c r="I552" s="46"/>
      <c r="J552" s="48">
        <v>39581</v>
      </c>
      <c r="K552" s="43"/>
      <c r="L552" s="49">
        <f t="shared" si="327"/>
        <v>1520.00768049155</v>
      </c>
      <c r="M552" s="50">
        <v>26.04</v>
      </c>
      <c r="N552" s="45">
        <v>7.22</v>
      </c>
      <c r="O552" s="46">
        <f t="shared" si="328"/>
        <v>188.0088</v>
      </c>
      <c r="P552" s="51"/>
      <c r="Q552" s="51"/>
      <c r="R552" s="73">
        <f t="shared" si="320"/>
        <v>100</v>
      </c>
      <c r="S552" s="73"/>
      <c r="T552" s="74">
        <f t="shared" si="321"/>
        <v>2.21291666666667</v>
      </c>
      <c r="U552" s="73"/>
      <c r="V552" s="73"/>
      <c r="W552" s="73">
        <f t="shared" si="316"/>
        <v>102.212916666667</v>
      </c>
      <c r="X552" s="75">
        <f t="shared" si="322"/>
        <v>2.91895833333333</v>
      </c>
      <c r="Y552" s="75"/>
      <c r="Z552" s="75"/>
      <c r="AA552" s="75">
        <f t="shared" si="314"/>
        <v>2.91895833333333</v>
      </c>
      <c r="AB552" s="84">
        <v>7.22</v>
      </c>
      <c r="AC552" s="73">
        <f t="shared" si="319"/>
        <v>21.0748791666666</v>
      </c>
      <c r="AD552" s="73">
        <f t="shared" si="317"/>
        <v>123.287795833334</v>
      </c>
      <c r="AE552" s="73">
        <f t="shared" si="318"/>
        <v>64.7210041666664</v>
      </c>
    </row>
    <row r="553" customFormat="1" spans="1:31">
      <c r="A553" s="18"/>
      <c r="B553" s="19"/>
      <c r="C553" s="20">
        <v>240517000046</v>
      </c>
      <c r="D553" s="21">
        <v>45432</v>
      </c>
      <c r="E553" s="21" t="s">
        <v>157</v>
      </c>
      <c r="F553" s="19" t="s">
        <v>400</v>
      </c>
      <c r="G553" s="19" t="s">
        <v>401</v>
      </c>
      <c r="H553" s="19">
        <v>0.16</v>
      </c>
      <c r="I553" s="46"/>
      <c r="J553" s="48">
        <v>24274</v>
      </c>
      <c r="K553" s="43"/>
      <c r="L553" s="49">
        <f t="shared" si="327"/>
        <v>1519.97495303694</v>
      </c>
      <c r="M553" s="50">
        <v>15.97</v>
      </c>
      <c r="N553" s="45">
        <v>7.22</v>
      </c>
      <c r="O553" s="46">
        <f t="shared" si="328"/>
        <v>115.3034</v>
      </c>
      <c r="P553" s="51"/>
      <c r="Q553" s="51"/>
      <c r="R553" s="73">
        <f t="shared" si="320"/>
        <v>10.6666666666667</v>
      </c>
      <c r="S553" s="73"/>
      <c r="T553" s="74">
        <f t="shared" si="321"/>
        <v>0.236044444444444</v>
      </c>
      <c r="U553" s="73"/>
      <c r="V553" s="73"/>
      <c r="W553" s="73">
        <f t="shared" si="316"/>
        <v>10.9027111111111</v>
      </c>
      <c r="X553" s="75">
        <f t="shared" si="322"/>
        <v>0.311355555555556</v>
      </c>
      <c r="Y553" s="75"/>
      <c r="Z553" s="75"/>
      <c r="AA553" s="75">
        <f t="shared" si="314"/>
        <v>0.311355555555556</v>
      </c>
      <c r="AB553" s="84">
        <v>7.22</v>
      </c>
      <c r="AC553" s="73">
        <f t="shared" si="319"/>
        <v>2.24798711111111</v>
      </c>
      <c r="AD553" s="73">
        <f t="shared" si="317"/>
        <v>13.1506982222222</v>
      </c>
      <c r="AE553" s="73">
        <f t="shared" si="318"/>
        <v>102.152701777778</v>
      </c>
    </row>
    <row r="554" customFormat="1" spans="1:31">
      <c r="A554" s="18"/>
      <c r="B554" s="19"/>
      <c r="C554" s="20">
        <v>240518000001</v>
      </c>
      <c r="D554" s="21">
        <v>45432</v>
      </c>
      <c r="E554" s="21" t="s">
        <v>157</v>
      </c>
      <c r="F554" s="19"/>
      <c r="G554" s="19" t="s">
        <v>158</v>
      </c>
      <c r="H554" s="19">
        <v>0.77</v>
      </c>
      <c r="I554" s="46"/>
      <c r="J554" s="48">
        <v>23443.96</v>
      </c>
      <c r="K554" s="43"/>
      <c r="L554" s="49">
        <f t="shared" si="327"/>
        <v>1468</v>
      </c>
      <c r="M554" s="50">
        <v>15.97</v>
      </c>
      <c r="N554" s="45">
        <v>7.22</v>
      </c>
      <c r="O554" s="46">
        <f t="shared" si="328"/>
        <v>115.3034</v>
      </c>
      <c r="P554" s="51"/>
      <c r="Q554" s="51"/>
      <c r="R554" s="73">
        <f t="shared" si="320"/>
        <v>51.3333333333333</v>
      </c>
      <c r="S554" s="73"/>
      <c r="T554" s="74">
        <f t="shared" si="321"/>
        <v>1.13596388888889</v>
      </c>
      <c r="U554" s="73"/>
      <c r="V554" s="73"/>
      <c r="W554" s="73">
        <f t="shared" si="316"/>
        <v>52.4692972222222</v>
      </c>
      <c r="X554" s="75">
        <f t="shared" si="322"/>
        <v>1.49839861111111</v>
      </c>
      <c r="Y554" s="75"/>
      <c r="Z554" s="75"/>
      <c r="AA554" s="75">
        <f t="shared" si="314"/>
        <v>1.49839861111111</v>
      </c>
      <c r="AB554" s="84">
        <v>7.22</v>
      </c>
      <c r="AC554" s="73">
        <f t="shared" si="319"/>
        <v>10.8184379722222</v>
      </c>
      <c r="AD554" s="73">
        <f t="shared" si="317"/>
        <v>63.2877351944444</v>
      </c>
      <c r="AE554" s="73">
        <f t="shared" si="318"/>
        <v>52.0156648055556</v>
      </c>
    </row>
    <row r="555" customFormat="1" spans="1:31">
      <c r="A555" s="18"/>
      <c r="B555" s="19"/>
      <c r="C555" s="20">
        <v>240518000015</v>
      </c>
      <c r="D555" s="21">
        <v>45432</v>
      </c>
      <c r="E555" s="21" t="s">
        <v>54</v>
      </c>
      <c r="F555" s="19" t="s">
        <v>108</v>
      </c>
      <c r="G555" s="19" t="s">
        <v>109</v>
      </c>
      <c r="H555" s="19">
        <v>6.5</v>
      </c>
      <c r="I555" s="41">
        <v>780</v>
      </c>
      <c r="J555" s="42"/>
      <c r="K555" s="43"/>
      <c r="L555" s="19"/>
      <c r="M555" s="44"/>
      <c r="N555" s="45"/>
      <c r="O555" s="46">
        <f t="shared" ref="O555:O559" si="329">SUM(I555)</f>
        <v>780</v>
      </c>
      <c r="P555" s="51"/>
      <c r="Q555" s="51"/>
      <c r="R555" s="73">
        <f t="shared" si="320"/>
        <v>433.333333333333</v>
      </c>
      <c r="S555" s="73"/>
      <c r="T555" s="74">
        <f t="shared" si="321"/>
        <v>9.58930555555555</v>
      </c>
      <c r="U555" s="73"/>
      <c r="V555" s="73"/>
      <c r="W555" s="73">
        <f t="shared" si="316"/>
        <v>442.922638888889</v>
      </c>
      <c r="X555" s="75">
        <f t="shared" si="322"/>
        <v>12.6488194444444</v>
      </c>
      <c r="Y555" s="75"/>
      <c r="Z555" s="75"/>
      <c r="AA555" s="75">
        <f t="shared" si="314"/>
        <v>12.6488194444444</v>
      </c>
      <c r="AB555" s="84">
        <v>7.22</v>
      </c>
      <c r="AC555" s="73">
        <f t="shared" si="319"/>
        <v>91.3244763888886</v>
      </c>
      <c r="AD555" s="73">
        <f t="shared" si="317"/>
        <v>534.247115277778</v>
      </c>
      <c r="AE555" s="73">
        <f t="shared" si="318"/>
        <v>245.752884722222</v>
      </c>
    </row>
    <row r="556" customFormat="1" spans="1:31">
      <c r="A556" s="18"/>
      <c r="B556" s="19"/>
      <c r="C556" s="20">
        <v>240518000016</v>
      </c>
      <c r="D556" s="21">
        <v>45432</v>
      </c>
      <c r="E556" s="21" t="s">
        <v>41</v>
      </c>
      <c r="F556" s="19" t="s">
        <v>42</v>
      </c>
      <c r="G556" s="19" t="s">
        <v>402</v>
      </c>
      <c r="H556" s="19">
        <v>0.68</v>
      </c>
      <c r="I556" s="41">
        <v>115</v>
      </c>
      <c r="J556" s="42"/>
      <c r="K556" s="43"/>
      <c r="L556" s="19"/>
      <c r="M556" s="44"/>
      <c r="N556" s="45"/>
      <c r="O556" s="46">
        <f t="shared" si="329"/>
        <v>115</v>
      </c>
      <c r="P556" s="53"/>
      <c r="Q556" s="53"/>
      <c r="R556" s="73">
        <f t="shared" si="320"/>
        <v>45.3333333333333</v>
      </c>
      <c r="S556" s="73"/>
      <c r="T556" s="74">
        <f t="shared" si="321"/>
        <v>1.00318888888889</v>
      </c>
      <c r="U556" s="73"/>
      <c r="V556" s="73"/>
      <c r="W556" s="73">
        <f t="shared" ref="W556:W587" si="330">SUM(R556:V556)</f>
        <v>46.3365222222222</v>
      </c>
      <c r="X556" s="75">
        <f t="shared" si="322"/>
        <v>1.32326111111111</v>
      </c>
      <c r="Y556" s="75"/>
      <c r="Z556" s="75"/>
      <c r="AA556" s="75">
        <f t="shared" ref="AA556:AA587" si="331">SUM(X556:Z556)</f>
        <v>1.32326111111111</v>
      </c>
      <c r="AB556" s="84">
        <v>7.22</v>
      </c>
      <c r="AC556" s="73">
        <f t="shared" si="319"/>
        <v>9.55394522222221</v>
      </c>
      <c r="AD556" s="73">
        <f t="shared" si="317"/>
        <v>55.8904674444444</v>
      </c>
      <c r="AE556" s="73">
        <f t="shared" ref="AE556:AE587" si="332">SUM(O556-AD556)</f>
        <v>59.1095325555556</v>
      </c>
    </row>
    <row r="557" customFormat="1" spans="1:31">
      <c r="A557" s="18" t="s">
        <v>403</v>
      </c>
      <c r="B557" s="19" t="s">
        <v>404</v>
      </c>
      <c r="C557" s="20">
        <v>240507000007</v>
      </c>
      <c r="D557" s="21">
        <v>45432</v>
      </c>
      <c r="E557" s="21" t="s">
        <v>37</v>
      </c>
      <c r="F557" s="19" t="s">
        <v>38</v>
      </c>
      <c r="G557" s="19" t="s">
        <v>405</v>
      </c>
      <c r="H557" s="19">
        <v>4</v>
      </c>
      <c r="I557" s="41">
        <v>285</v>
      </c>
      <c r="J557" s="42"/>
      <c r="K557" s="43"/>
      <c r="L557" s="19"/>
      <c r="M557" s="44"/>
      <c r="N557" s="45"/>
      <c r="O557" s="46">
        <f t="shared" si="329"/>
        <v>285</v>
      </c>
      <c r="P557" s="47">
        <f>SUM(O557:O606)</f>
        <v>120742.837</v>
      </c>
      <c r="Q557" s="113" t="s">
        <v>277</v>
      </c>
      <c r="R557" s="73">
        <f>SUM(94014/2040)*H557</f>
        <v>184.341176470588</v>
      </c>
      <c r="S557" s="73"/>
      <c r="T557" s="74">
        <f>SUM(130/2040)*H557</f>
        <v>0.254901960784314</v>
      </c>
      <c r="U557" s="73"/>
      <c r="V557" s="73"/>
      <c r="W557" s="73">
        <f t="shared" si="330"/>
        <v>184.596078431373</v>
      </c>
      <c r="X557" s="75">
        <f>SUM(1487.12/2040)*H557</f>
        <v>2.91592156862745</v>
      </c>
      <c r="Y557" s="75"/>
      <c r="Z557" s="75"/>
      <c r="AA557" s="75">
        <f t="shared" si="331"/>
        <v>2.91592156862745</v>
      </c>
      <c r="AB557" s="84">
        <v>7.22</v>
      </c>
      <c r="AC557" s="73">
        <f t="shared" ref="AC557:AC588" si="333">SUM(AA557*AB557)</f>
        <v>21.0529537254902</v>
      </c>
      <c r="AD557" s="73">
        <f t="shared" ref="AD557:AD588" si="334">SUM(W557+AC557)</f>
        <v>205.649032156863</v>
      </c>
      <c r="AE557" s="73">
        <f t="shared" si="332"/>
        <v>79.3509678431373</v>
      </c>
    </row>
    <row r="558" customFormat="1" spans="1:31">
      <c r="A558" s="18"/>
      <c r="B558" s="19"/>
      <c r="C558" s="20">
        <v>240507000028</v>
      </c>
      <c r="D558" s="21">
        <v>45432</v>
      </c>
      <c r="E558" s="21" t="s">
        <v>37</v>
      </c>
      <c r="F558" s="19" t="s">
        <v>38</v>
      </c>
      <c r="G558" s="19" t="s">
        <v>386</v>
      </c>
      <c r="H558" s="19">
        <v>24.5</v>
      </c>
      <c r="I558" s="41">
        <v>1445.5</v>
      </c>
      <c r="J558" s="42"/>
      <c r="K558" s="43"/>
      <c r="L558" s="19"/>
      <c r="M558" s="44"/>
      <c r="N558" s="45"/>
      <c r="O558" s="46">
        <f t="shared" si="329"/>
        <v>1445.5</v>
      </c>
      <c r="P558" s="51"/>
      <c r="Q558" s="51"/>
      <c r="R558" s="73">
        <f t="shared" ref="R558:R589" si="335">SUM(94014/2040)*H558</f>
        <v>1129.08970588235</v>
      </c>
      <c r="S558" s="73"/>
      <c r="T558" s="74">
        <f t="shared" ref="T558:T589" si="336">SUM(130/2040)*H558</f>
        <v>1.56127450980392</v>
      </c>
      <c r="U558" s="73"/>
      <c r="V558" s="73"/>
      <c r="W558" s="73">
        <f t="shared" si="330"/>
        <v>1130.65098039216</v>
      </c>
      <c r="X558" s="75">
        <f t="shared" ref="X558:X589" si="337">SUM(1487.12/2040)*H558</f>
        <v>17.8600196078431</v>
      </c>
      <c r="Y558" s="75"/>
      <c r="Z558" s="75"/>
      <c r="AA558" s="75">
        <f t="shared" si="331"/>
        <v>17.8600196078431</v>
      </c>
      <c r="AB558" s="84">
        <v>7.22</v>
      </c>
      <c r="AC558" s="73">
        <f t="shared" si="333"/>
        <v>128.949341568627</v>
      </c>
      <c r="AD558" s="73">
        <f t="shared" si="334"/>
        <v>1259.60032196078</v>
      </c>
      <c r="AE558" s="73">
        <f t="shared" si="332"/>
        <v>185.899678039216</v>
      </c>
    </row>
    <row r="559" customFormat="1" spans="1:31">
      <c r="A559" s="18"/>
      <c r="B559" s="19"/>
      <c r="C559" s="20">
        <v>240507000029</v>
      </c>
      <c r="D559" s="21">
        <v>45432</v>
      </c>
      <c r="E559" s="21" t="s">
        <v>37</v>
      </c>
      <c r="F559" s="19" t="s">
        <v>38</v>
      </c>
      <c r="G559" s="19" t="s">
        <v>386</v>
      </c>
      <c r="H559" s="19">
        <v>35.5</v>
      </c>
      <c r="I559" s="41">
        <v>3017.5</v>
      </c>
      <c r="J559" s="42"/>
      <c r="K559" s="43"/>
      <c r="L559" s="19"/>
      <c r="M559" s="44"/>
      <c r="N559" s="45"/>
      <c r="O559" s="46">
        <f t="shared" si="329"/>
        <v>3017.5</v>
      </c>
      <c r="P559" s="51"/>
      <c r="Q559" s="51"/>
      <c r="R559" s="73">
        <f t="shared" si="335"/>
        <v>1636.02794117647</v>
      </c>
      <c r="S559" s="73"/>
      <c r="T559" s="74">
        <f t="shared" si="336"/>
        <v>2.26225490196078</v>
      </c>
      <c r="U559" s="73"/>
      <c r="V559" s="73"/>
      <c r="W559" s="73">
        <f t="shared" si="330"/>
        <v>1638.29019607843</v>
      </c>
      <c r="X559" s="75">
        <f t="shared" si="337"/>
        <v>25.8788039215686</v>
      </c>
      <c r="Y559" s="75"/>
      <c r="Z559" s="75"/>
      <c r="AA559" s="75">
        <f t="shared" si="331"/>
        <v>25.8788039215686</v>
      </c>
      <c r="AB559" s="84">
        <v>7.22</v>
      </c>
      <c r="AC559" s="73">
        <f t="shared" si="333"/>
        <v>186.844964313725</v>
      </c>
      <c r="AD559" s="73">
        <f t="shared" si="334"/>
        <v>1825.13516039216</v>
      </c>
      <c r="AE559" s="73">
        <f t="shared" si="332"/>
        <v>1192.36483960784</v>
      </c>
    </row>
    <row r="560" customFormat="1" spans="1:31">
      <c r="A560" s="18"/>
      <c r="B560" s="19"/>
      <c r="C560" s="20">
        <v>240507000043</v>
      </c>
      <c r="D560" s="21">
        <v>45432</v>
      </c>
      <c r="E560" s="21" t="s">
        <v>41</v>
      </c>
      <c r="F560" s="19" t="s">
        <v>42</v>
      </c>
      <c r="G560" s="19" t="s">
        <v>43</v>
      </c>
      <c r="H560" s="19">
        <v>6.5</v>
      </c>
      <c r="I560" s="46"/>
      <c r="J560" s="48">
        <v>85165</v>
      </c>
      <c r="K560" s="43"/>
      <c r="L560" s="49">
        <f>SUM(J560/M560)</f>
        <v>1519.98929145101</v>
      </c>
      <c r="M560" s="50">
        <v>56.03</v>
      </c>
      <c r="N560" s="45">
        <v>7.22</v>
      </c>
      <c r="O560" s="46">
        <f>SUM(M560*N560)</f>
        <v>404.5366</v>
      </c>
      <c r="P560" s="51"/>
      <c r="Q560" s="51"/>
      <c r="R560" s="73">
        <f t="shared" si="335"/>
        <v>299.554411764706</v>
      </c>
      <c r="S560" s="73"/>
      <c r="T560" s="74">
        <f t="shared" si="336"/>
        <v>0.41421568627451</v>
      </c>
      <c r="U560" s="73"/>
      <c r="V560" s="73"/>
      <c r="W560" s="73">
        <f t="shared" si="330"/>
        <v>299.96862745098</v>
      </c>
      <c r="X560" s="75">
        <f t="shared" si="337"/>
        <v>4.73837254901961</v>
      </c>
      <c r="Y560" s="75"/>
      <c r="Z560" s="75"/>
      <c r="AA560" s="75">
        <f t="shared" si="331"/>
        <v>4.73837254901961</v>
      </c>
      <c r="AB560" s="84">
        <v>7.22</v>
      </c>
      <c r="AC560" s="73">
        <f t="shared" si="333"/>
        <v>34.2110498039216</v>
      </c>
      <c r="AD560" s="73">
        <f t="shared" si="334"/>
        <v>334.179677254902</v>
      </c>
      <c r="AE560" s="73">
        <f t="shared" si="332"/>
        <v>70.356922745098</v>
      </c>
    </row>
    <row r="561" customFormat="1" spans="1:31">
      <c r="A561" s="18"/>
      <c r="B561" s="19"/>
      <c r="C561" s="20">
        <v>240507000067</v>
      </c>
      <c r="D561" s="21">
        <v>45432</v>
      </c>
      <c r="E561" s="21" t="s">
        <v>54</v>
      </c>
      <c r="F561" s="19" t="s">
        <v>54</v>
      </c>
      <c r="G561" s="19" t="s">
        <v>166</v>
      </c>
      <c r="H561" s="19">
        <v>27</v>
      </c>
      <c r="I561" s="41">
        <v>1582.9</v>
      </c>
      <c r="J561" s="42"/>
      <c r="K561" s="43"/>
      <c r="L561" s="19"/>
      <c r="M561" s="44"/>
      <c r="N561" s="45"/>
      <c r="O561" s="46">
        <f t="shared" ref="O561:O564" si="338">SUM(I561)</f>
        <v>1582.9</v>
      </c>
      <c r="P561" s="51"/>
      <c r="Q561" s="51"/>
      <c r="R561" s="73">
        <f t="shared" si="335"/>
        <v>1244.30294117647</v>
      </c>
      <c r="S561" s="73"/>
      <c r="T561" s="74">
        <f t="shared" si="336"/>
        <v>1.72058823529412</v>
      </c>
      <c r="U561" s="73"/>
      <c r="V561" s="73"/>
      <c r="W561" s="73">
        <f t="shared" si="330"/>
        <v>1246.02352941176</v>
      </c>
      <c r="X561" s="75">
        <f t="shared" si="337"/>
        <v>19.6824705882353</v>
      </c>
      <c r="Y561" s="75"/>
      <c r="Z561" s="75"/>
      <c r="AA561" s="75">
        <f t="shared" si="331"/>
        <v>19.6824705882353</v>
      </c>
      <c r="AB561" s="84">
        <v>7.22</v>
      </c>
      <c r="AC561" s="73">
        <f t="shared" si="333"/>
        <v>142.107437647059</v>
      </c>
      <c r="AD561" s="73">
        <f t="shared" si="334"/>
        <v>1388.13096705882</v>
      </c>
      <c r="AE561" s="73">
        <f t="shared" si="332"/>
        <v>194.769032941177</v>
      </c>
    </row>
    <row r="562" customFormat="1" spans="1:31">
      <c r="A562" s="18"/>
      <c r="B562" s="19"/>
      <c r="C562" s="20">
        <v>240508000028</v>
      </c>
      <c r="D562" s="21">
        <v>45432</v>
      </c>
      <c r="E562" s="21" t="s">
        <v>44</v>
      </c>
      <c r="F562" s="19" t="s">
        <v>406</v>
      </c>
      <c r="G562" s="19" t="s">
        <v>407</v>
      </c>
      <c r="H562" s="19">
        <v>4</v>
      </c>
      <c r="I562" s="41">
        <v>284.9</v>
      </c>
      <c r="J562" s="42"/>
      <c r="K562" s="43"/>
      <c r="L562" s="19"/>
      <c r="M562" s="44"/>
      <c r="N562" s="45"/>
      <c r="O562" s="46">
        <f t="shared" si="338"/>
        <v>284.9</v>
      </c>
      <c r="P562" s="51"/>
      <c r="Q562" s="51"/>
      <c r="R562" s="73">
        <f t="shared" si="335"/>
        <v>184.341176470588</v>
      </c>
      <c r="S562" s="73"/>
      <c r="T562" s="74">
        <f t="shared" si="336"/>
        <v>0.254901960784314</v>
      </c>
      <c r="U562" s="73"/>
      <c r="V562" s="73"/>
      <c r="W562" s="73">
        <f t="shared" si="330"/>
        <v>184.596078431373</v>
      </c>
      <c r="X562" s="75">
        <f t="shared" si="337"/>
        <v>2.91592156862745</v>
      </c>
      <c r="Y562" s="75"/>
      <c r="Z562" s="75"/>
      <c r="AA562" s="75">
        <f t="shared" si="331"/>
        <v>2.91592156862745</v>
      </c>
      <c r="AB562" s="84">
        <v>7.22</v>
      </c>
      <c r="AC562" s="73">
        <f t="shared" si="333"/>
        <v>21.0529537254902</v>
      </c>
      <c r="AD562" s="73">
        <f t="shared" si="334"/>
        <v>205.649032156863</v>
      </c>
      <c r="AE562" s="73">
        <f t="shared" si="332"/>
        <v>79.2509678431372</v>
      </c>
    </row>
    <row r="563" customFormat="1" spans="1:31">
      <c r="A563" s="18"/>
      <c r="B563" s="19"/>
      <c r="C563" s="20">
        <v>240508000038</v>
      </c>
      <c r="D563" s="21">
        <v>45432</v>
      </c>
      <c r="E563" s="21" t="s">
        <v>54</v>
      </c>
      <c r="F563" s="19" t="s">
        <v>54</v>
      </c>
      <c r="G563" s="19" t="s">
        <v>408</v>
      </c>
      <c r="H563" s="19">
        <v>178</v>
      </c>
      <c r="I563" s="41">
        <v>9434</v>
      </c>
      <c r="J563" s="42"/>
      <c r="K563" s="43"/>
      <c r="L563" s="19"/>
      <c r="M563" s="44"/>
      <c r="N563" s="45"/>
      <c r="O563" s="46">
        <f t="shared" si="338"/>
        <v>9434</v>
      </c>
      <c r="P563" s="51"/>
      <c r="Q563" s="51"/>
      <c r="R563" s="73">
        <f t="shared" si="335"/>
        <v>8203.18235294118</v>
      </c>
      <c r="S563" s="73"/>
      <c r="T563" s="74">
        <f t="shared" si="336"/>
        <v>11.343137254902</v>
      </c>
      <c r="U563" s="73"/>
      <c r="V563" s="73"/>
      <c r="W563" s="73">
        <f t="shared" si="330"/>
        <v>8214.52549019608</v>
      </c>
      <c r="X563" s="75">
        <f t="shared" si="337"/>
        <v>129.758509803922</v>
      </c>
      <c r="Y563" s="75"/>
      <c r="Z563" s="75"/>
      <c r="AA563" s="75">
        <f t="shared" si="331"/>
        <v>129.758509803922</v>
      </c>
      <c r="AB563" s="84">
        <v>7.22</v>
      </c>
      <c r="AC563" s="73">
        <f t="shared" si="333"/>
        <v>936.856440784314</v>
      </c>
      <c r="AD563" s="73">
        <f t="shared" si="334"/>
        <v>9151.38193098039</v>
      </c>
      <c r="AE563" s="73">
        <f t="shared" si="332"/>
        <v>282.618069019609</v>
      </c>
    </row>
    <row r="564" customFormat="1" spans="1:31">
      <c r="A564" s="18"/>
      <c r="B564" s="19"/>
      <c r="C564" s="20">
        <v>240509000001</v>
      </c>
      <c r="D564" s="21">
        <v>45432</v>
      </c>
      <c r="E564" s="21" t="s">
        <v>64</v>
      </c>
      <c r="F564" s="19" t="s">
        <v>65</v>
      </c>
      <c r="G564" s="19" t="s">
        <v>409</v>
      </c>
      <c r="H564" s="19">
        <v>4</v>
      </c>
      <c r="I564" s="41">
        <v>324</v>
      </c>
      <c r="J564" s="42"/>
      <c r="K564" s="43"/>
      <c r="L564" s="19"/>
      <c r="M564" s="44"/>
      <c r="N564" s="45"/>
      <c r="O564" s="46">
        <f t="shared" si="338"/>
        <v>324</v>
      </c>
      <c r="P564" s="51"/>
      <c r="Q564" s="51"/>
      <c r="R564" s="73">
        <f t="shared" si="335"/>
        <v>184.341176470588</v>
      </c>
      <c r="S564" s="73"/>
      <c r="T564" s="74">
        <f t="shared" si="336"/>
        <v>0.254901960784314</v>
      </c>
      <c r="U564" s="73"/>
      <c r="V564" s="73"/>
      <c r="W564" s="73">
        <f t="shared" si="330"/>
        <v>184.596078431373</v>
      </c>
      <c r="X564" s="75">
        <f t="shared" si="337"/>
        <v>2.91592156862745</v>
      </c>
      <c r="Y564" s="75"/>
      <c r="Z564" s="75"/>
      <c r="AA564" s="75">
        <f t="shared" si="331"/>
        <v>2.91592156862745</v>
      </c>
      <c r="AB564" s="84">
        <v>7.22</v>
      </c>
      <c r="AC564" s="73">
        <f t="shared" si="333"/>
        <v>21.0529537254902</v>
      </c>
      <c r="AD564" s="73">
        <f t="shared" si="334"/>
        <v>205.649032156863</v>
      </c>
      <c r="AE564" s="73">
        <f t="shared" si="332"/>
        <v>118.350967843137</v>
      </c>
    </row>
    <row r="565" customFormat="1" spans="1:31">
      <c r="A565" s="18"/>
      <c r="B565" s="19"/>
      <c r="C565" s="20">
        <v>240509000026</v>
      </c>
      <c r="D565" s="21">
        <v>45432</v>
      </c>
      <c r="E565" s="21" t="s">
        <v>44</v>
      </c>
      <c r="F565" s="19" t="s">
        <v>45</v>
      </c>
      <c r="G565" s="19" t="s">
        <v>410</v>
      </c>
      <c r="H565" s="19">
        <v>8.5</v>
      </c>
      <c r="I565" s="52"/>
      <c r="J565" s="48">
        <v>130620</v>
      </c>
      <c r="K565" s="43"/>
      <c r="L565" s="49">
        <f>SUM(J565/M565)</f>
        <v>1516.36870211284</v>
      </c>
      <c r="M565" s="50">
        <v>86.14</v>
      </c>
      <c r="N565" s="45">
        <v>7.22</v>
      </c>
      <c r="O565" s="46">
        <f>SUM(M565*N565)</f>
        <v>621.9308</v>
      </c>
      <c r="P565" s="51"/>
      <c r="Q565" s="51"/>
      <c r="R565" s="73">
        <f t="shared" si="335"/>
        <v>391.725</v>
      </c>
      <c r="S565" s="73"/>
      <c r="T565" s="74">
        <f t="shared" si="336"/>
        <v>0.541666666666667</v>
      </c>
      <c r="U565" s="73"/>
      <c r="V565" s="73"/>
      <c r="W565" s="73">
        <f t="shared" si="330"/>
        <v>392.266666666667</v>
      </c>
      <c r="X565" s="75">
        <f t="shared" si="337"/>
        <v>6.19633333333333</v>
      </c>
      <c r="Y565" s="75"/>
      <c r="Z565" s="75"/>
      <c r="AA565" s="75">
        <f t="shared" si="331"/>
        <v>6.19633333333333</v>
      </c>
      <c r="AB565" s="84">
        <v>7.22</v>
      </c>
      <c r="AC565" s="73">
        <f t="shared" si="333"/>
        <v>44.7375266666667</v>
      </c>
      <c r="AD565" s="73">
        <f t="shared" si="334"/>
        <v>437.004193333333</v>
      </c>
      <c r="AE565" s="73">
        <f t="shared" si="332"/>
        <v>184.926606666667</v>
      </c>
    </row>
    <row r="566" customFormat="1" spans="1:31">
      <c r="A566" s="18"/>
      <c r="B566" s="19"/>
      <c r="C566" s="20">
        <v>240510000001</v>
      </c>
      <c r="D566" s="21">
        <v>45432</v>
      </c>
      <c r="E566" s="21" t="s">
        <v>47</v>
      </c>
      <c r="F566" s="19" t="s">
        <v>48</v>
      </c>
      <c r="G566" s="19" t="s">
        <v>411</v>
      </c>
      <c r="H566" s="19">
        <v>58</v>
      </c>
      <c r="I566" s="41">
        <v>3390</v>
      </c>
      <c r="J566" s="42"/>
      <c r="K566" s="43"/>
      <c r="L566" s="19"/>
      <c r="M566" s="44"/>
      <c r="N566" s="45"/>
      <c r="O566" s="46">
        <f t="shared" ref="O566:O569" si="339">SUM(I566)</f>
        <v>3390</v>
      </c>
      <c r="P566" s="51"/>
      <c r="Q566" s="51"/>
      <c r="R566" s="73">
        <f t="shared" si="335"/>
        <v>2672.94705882353</v>
      </c>
      <c r="S566" s="73"/>
      <c r="T566" s="74">
        <f t="shared" si="336"/>
        <v>3.69607843137255</v>
      </c>
      <c r="U566" s="73"/>
      <c r="V566" s="73"/>
      <c r="W566" s="73">
        <f t="shared" si="330"/>
        <v>2676.6431372549</v>
      </c>
      <c r="X566" s="75">
        <f t="shared" si="337"/>
        <v>42.280862745098</v>
      </c>
      <c r="Y566" s="75"/>
      <c r="Z566" s="75"/>
      <c r="AA566" s="75">
        <f t="shared" si="331"/>
        <v>42.280862745098</v>
      </c>
      <c r="AB566" s="84">
        <v>7.22</v>
      </c>
      <c r="AC566" s="73">
        <f t="shared" si="333"/>
        <v>305.267829019608</v>
      </c>
      <c r="AD566" s="73">
        <f t="shared" si="334"/>
        <v>2981.91096627451</v>
      </c>
      <c r="AE566" s="73">
        <f t="shared" si="332"/>
        <v>408.08903372549</v>
      </c>
    </row>
    <row r="567" customFormat="1" spans="1:31">
      <c r="A567" s="18"/>
      <c r="B567" s="19"/>
      <c r="C567" s="20">
        <v>240510000002</v>
      </c>
      <c r="D567" s="21">
        <v>45432</v>
      </c>
      <c r="E567" s="21" t="s">
        <v>47</v>
      </c>
      <c r="F567" s="19" t="s">
        <v>48</v>
      </c>
      <c r="G567" s="19" t="s">
        <v>134</v>
      </c>
      <c r="H567" s="19">
        <v>2.5</v>
      </c>
      <c r="I567" s="41">
        <v>162.8</v>
      </c>
      <c r="J567" s="42"/>
      <c r="K567" s="43"/>
      <c r="L567" s="19"/>
      <c r="M567" s="44"/>
      <c r="N567" s="45"/>
      <c r="O567" s="46">
        <f t="shared" si="339"/>
        <v>162.8</v>
      </c>
      <c r="P567" s="51"/>
      <c r="Q567" s="51"/>
      <c r="R567" s="73">
        <f t="shared" si="335"/>
        <v>115.213235294118</v>
      </c>
      <c r="S567" s="73"/>
      <c r="T567" s="74">
        <f t="shared" si="336"/>
        <v>0.159313725490196</v>
      </c>
      <c r="U567" s="73"/>
      <c r="V567" s="73"/>
      <c r="W567" s="73">
        <f t="shared" si="330"/>
        <v>115.372549019608</v>
      </c>
      <c r="X567" s="75">
        <f t="shared" si="337"/>
        <v>1.82245098039216</v>
      </c>
      <c r="Y567" s="75"/>
      <c r="Z567" s="75"/>
      <c r="AA567" s="75">
        <f t="shared" si="331"/>
        <v>1.82245098039216</v>
      </c>
      <c r="AB567" s="84">
        <v>7.22</v>
      </c>
      <c r="AC567" s="73">
        <f t="shared" si="333"/>
        <v>13.1580960784314</v>
      </c>
      <c r="AD567" s="73">
        <f t="shared" si="334"/>
        <v>128.530645098039</v>
      </c>
      <c r="AE567" s="73">
        <f t="shared" si="332"/>
        <v>34.2693549019608</v>
      </c>
    </row>
    <row r="568" customFormat="1" spans="1:31">
      <c r="A568" s="18"/>
      <c r="B568" s="19"/>
      <c r="C568" s="20">
        <v>240510000012</v>
      </c>
      <c r="D568" s="21">
        <v>45432</v>
      </c>
      <c r="E568" s="21" t="s">
        <v>44</v>
      </c>
      <c r="F568" s="19" t="s">
        <v>45</v>
      </c>
      <c r="G568" s="19" t="s">
        <v>412</v>
      </c>
      <c r="H568" s="19">
        <v>19.5</v>
      </c>
      <c r="I568" s="41">
        <v>1186.35</v>
      </c>
      <c r="J568" s="42"/>
      <c r="K568" s="43"/>
      <c r="L568" s="19"/>
      <c r="M568" s="44"/>
      <c r="N568" s="45"/>
      <c r="O568" s="46">
        <f t="shared" si="339"/>
        <v>1186.35</v>
      </c>
      <c r="P568" s="51"/>
      <c r="Q568" s="51"/>
      <c r="R568" s="73">
        <f t="shared" si="335"/>
        <v>898.663235294118</v>
      </c>
      <c r="S568" s="73"/>
      <c r="T568" s="74">
        <f t="shared" si="336"/>
        <v>1.24264705882353</v>
      </c>
      <c r="U568" s="73"/>
      <c r="V568" s="73"/>
      <c r="W568" s="73">
        <f t="shared" si="330"/>
        <v>899.905882352941</v>
      </c>
      <c r="X568" s="75">
        <f t="shared" si="337"/>
        <v>14.2151176470588</v>
      </c>
      <c r="Y568" s="75"/>
      <c r="Z568" s="75"/>
      <c r="AA568" s="75">
        <f t="shared" si="331"/>
        <v>14.2151176470588</v>
      </c>
      <c r="AB568" s="84">
        <v>7.22</v>
      </c>
      <c r="AC568" s="73">
        <f t="shared" si="333"/>
        <v>102.633149411765</v>
      </c>
      <c r="AD568" s="73">
        <f t="shared" si="334"/>
        <v>1002.53903176471</v>
      </c>
      <c r="AE568" s="73">
        <f t="shared" si="332"/>
        <v>183.810968235294</v>
      </c>
    </row>
    <row r="569" customFormat="1" spans="1:31">
      <c r="A569" s="18"/>
      <c r="B569" s="19"/>
      <c r="C569" s="20">
        <v>240510000018</v>
      </c>
      <c r="D569" s="21">
        <v>45432</v>
      </c>
      <c r="E569" s="21" t="s">
        <v>47</v>
      </c>
      <c r="F569" s="19" t="s">
        <v>48</v>
      </c>
      <c r="G569" s="19" t="s">
        <v>413</v>
      </c>
      <c r="H569" s="19">
        <v>42</v>
      </c>
      <c r="I569" s="41">
        <v>2689.5</v>
      </c>
      <c r="J569" s="42"/>
      <c r="K569" s="43"/>
      <c r="L569" s="19"/>
      <c r="M569" s="44"/>
      <c r="N569" s="45"/>
      <c r="O569" s="46">
        <f t="shared" si="339"/>
        <v>2689.5</v>
      </c>
      <c r="P569" s="51"/>
      <c r="Q569" s="51"/>
      <c r="R569" s="73">
        <f t="shared" si="335"/>
        <v>1935.58235294118</v>
      </c>
      <c r="S569" s="73"/>
      <c r="T569" s="74">
        <f t="shared" si="336"/>
        <v>2.67647058823529</v>
      </c>
      <c r="U569" s="73"/>
      <c r="V569" s="73"/>
      <c r="W569" s="73">
        <f t="shared" si="330"/>
        <v>1938.25882352941</v>
      </c>
      <c r="X569" s="75">
        <f t="shared" si="337"/>
        <v>30.6171764705882</v>
      </c>
      <c r="Y569" s="75"/>
      <c r="Z569" s="75"/>
      <c r="AA569" s="75">
        <f t="shared" si="331"/>
        <v>30.6171764705882</v>
      </c>
      <c r="AB569" s="84">
        <v>7.22</v>
      </c>
      <c r="AC569" s="73">
        <f t="shared" si="333"/>
        <v>221.056014117647</v>
      </c>
      <c r="AD569" s="73">
        <f t="shared" si="334"/>
        <v>2159.31483764706</v>
      </c>
      <c r="AE569" s="73">
        <f t="shared" si="332"/>
        <v>530.185162352941</v>
      </c>
    </row>
    <row r="570" customFormat="1" spans="1:31">
      <c r="A570" s="18"/>
      <c r="B570" s="19"/>
      <c r="C570" s="20">
        <v>240510000023</v>
      </c>
      <c r="D570" s="21">
        <v>45432</v>
      </c>
      <c r="E570" s="21" t="s">
        <v>37</v>
      </c>
      <c r="F570" s="19" t="s">
        <v>38</v>
      </c>
      <c r="G570" s="19" t="s">
        <v>241</v>
      </c>
      <c r="H570" s="19">
        <v>7</v>
      </c>
      <c r="I570" s="52"/>
      <c r="J570" s="48">
        <v>88150</v>
      </c>
      <c r="K570" s="43"/>
      <c r="L570" s="49">
        <f>SUM(J570/M570)</f>
        <v>1480.26868178002</v>
      </c>
      <c r="M570" s="50">
        <v>59.55</v>
      </c>
      <c r="N570" s="45">
        <v>7.22</v>
      </c>
      <c r="O570" s="46">
        <f>SUM(M570*N570)</f>
        <v>429.951</v>
      </c>
      <c r="P570" s="51"/>
      <c r="Q570" s="51"/>
      <c r="R570" s="73">
        <f t="shared" si="335"/>
        <v>322.597058823529</v>
      </c>
      <c r="S570" s="73"/>
      <c r="T570" s="74">
        <f t="shared" si="336"/>
        <v>0.446078431372549</v>
      </c>
      <c r="U570" s="73"/>
      <c r="V570" s="73"/>
      <c r="W570" s="73">
        <f t="shared" si="330"/>
        <v>323.043137254902</v>
      </c>
      <c r="X570" s="75">
        <f t="shared" si="337"/>
        <v>5.10286274509804</v>
      </c>
      <c r="Y570" s="75"/>
      <c r="Z570" s="75"/>
      <c r="AA570" s="75">
        <f t="shared" si="331"/>
        <v>5.10286274509804</v>
      </c>
      <c r="AB570" s="84">
        <v>7.22</v>
      </c>
      <c r="AC570" s="73">
        <f t="shared" si="333"/>
        <v>36.8426690196078</v>
      </c>
      <c r="AD570" s="73">
        <f t="shared" si="334"/>
        <v>359.88580627451</v>
      </c>
      <c r="AE570" s="73">
        <f t="shared" si="332"/>
        <v>70.0651937254902</v>
      </c>
    </row>
    <row r="571" customFormat="1" spans="1:31">
      <c r="A571" s="18"/>
      <c r="B571" s="19"/>
      <c r="C571" s="20">
        <v>240510000025</v>
      </c>
      <c r="D571" s="21">
        <v>45432</v>
      </c>
      <c r="E571" s="21" t="s">
        <v>41</v>
      </c>
      <c r="F571" s="19" t="s">
        <v>42</v>
      </c>
      <c r="G571" s="19" t="s">
        <v>156</v>
      </c>
      <c r="H571" s="19">
        <v>2</v>
      </c>
      <c r="I571" s="41">
        <v>110</v>
      </c>
      <c r="J571" s="42"/>
      <c r="K571" s="43"/>
      <c r="L571" s="19"/>
      <c r="M571" s="44"/>
      <c r="N571" s="45"/>
      <c r="O571" s="46">
        <f t="shared" ref="O571:O578" si="340">SUM(I571)</f>
        <v>110</v>
      </c>
      <c r="P571" s="51"/>
      <c r="Q571" s="51"/>
      <c r="R571" s="73">
        <f t="shared" si="335"/>
        <v>92.1705882352941</v>
      </c>
      <c r="S571" s="73"/>
      <c r="T571" s="74">
        <f t="shared" si="336"/>
        <v>0.127450980392157</v>
      </c>
      <c r="U571" s="73"/>
      <c r="V571" s="73"/>
      <c r="W571" s="73">
        <f t="shared" si="330"/>
        <v>92.2980392156863</v>
      </c>
      <c r="X571" s="75">
        <f t="shared" si="337"/>
        <v>1.45796078431373</v>
      </c>
      <c r="Y571" s="75"/>
      <c r="Z571" s="75"/>
      <c r="AA571" s="75">
        <f t="shared" si="331"/>
        <v>1.45796078431373</v>
      </c>
      <c r="AB571" s="84">
        <v>7.22</v>
      </c>
      <c r="AC571" s="73">
        <f t="shared" si="333"/>
        <v>10.5264768627451</v>
      </c>
      <c r="AD571" s="73">
        <f t="shared" si="334"/>
        <v>102.824516078431</v>
      </c>
      <c r="AE571" s="73">
        <f t="shared" si="332"/>
        <v>7.17548392156863</v>
      </c>
    </row>
    <row r="572" customFormat="1" spans="1:31">
      <c r="A572" s="18"/>
      <c r="B572" s="19"/>
      <c r="C572" s="20">
        <v>240510000031</v>
      </c>
      <c r="D572" s="21">
        <v>45432</v>
      </c>
      <c r="E572" s="21" t="s">
        <v>44</v>
      </c>
      <c r="F572" s="19" t="s">
        <v>45</v>
      </c>
      <c r="G572" s="19" t="s">
        <v>414</v>
      </c>
      <c r="H572" s="19">
        <v>1.5</v>
      </c>
      <c r="I572" s="41">
        <v>99</v>
      </c>
      <c r="J572" s="42"/>
      <c r="K572" s="43"/>
      <c r="L572" s="19"/>
      <c r="M572" s="44"/>
      <c r="N572" s="45"/>
      <c r="O572" s="46">
        <f t="shared" si="340"/>
        <v>99</v>
      </c>
      <c r="P572" s="51"/>
      <c r="Q572" s="51"/>
      <c r="R572" s="73">
        <f t="shared" si="335"/>
        <v>69.1279411764706</v>
      </c>
      <c r="S572" s="73"/>
      <c r="T572" s="74">
        <f t="shared" si="336"/>
        <v>0.0955882352941176</v>
      </c>
      <c r="U572" s="73"/>
      <c r="V572" s="73"/>
      <c r="W572" s="73">
        <f t="shared" si="330"/>
        <v>69.2235294117647</v>
      </c>
      <c r="X572" s="75">
        <f t="shared" si="337"/>
        <v>1.09347058823529</v>
      </c>
      <c r="Y572" s="75"/>
      <c r="Z572" s="75"/>
      <c r="AA572" s="75">
        <f t="shared" si="331"/>
        <v>1.09347058823529</v>
      </c>
      <c r="AB572" s="84">
        <v>7.22</v>
      </c>
      <c r="AC572" s="73">
        <f t="shared" si="333"/>
        <v>7.89485764705882</v>
      </c>
      <c r="AD572" s="73">
        <f t="shared" si="334"/>
        <v>77.1183870588235</v>
      </c>
      <c r="AE572" s="73">
        <f t="shared" si="332"/>
        <v>21.8816129411765</v>
      </c>
    </row>
    <row r="573" customFormat="1" spans="1:31">
      <c r="A573" s="18"/>
      <c r="B573" s="19"/>
      <c r="C573" s="20">
        <v>240510000039</v>
      </c>
      <c r="D573" s="21">
        <v>45432</v>
      </c>
      <c r="E573" s="21" t="s">
        <v>47</v>
      </c>
      <c r="F573" s="19" t="s">
        <v>48</v>
      </c>
      <c r="G573" s="19" t="s">
        <v>324</v>
      </c>
      <c r="H573" s="19">
        <v>0.41</v>
      </c>
      <c r="I573" s="90">
        <v>95</v>
      </c>
      <c r="J573" s="42"/>
      <c r="K573" s="43"/>
      <c r="L573" s="19"/>
      <c r="M573" s="44"/>
      <c r="N573" s="45"/>
      <c r="O573" s="46">
        <f>SUBTOTAL(9,I573)</f>
        <v>95</v>
      </c>
      <c r="P573" s="51"/>
      <c r="Q573" s="51"/>
      <c r="R573" s="73">
        <f t="shared" si="335"/>
        <v>18.8949705882353</v>
      </c>
      <c r="S573" s="73"/>
      <c r="T573" s="74">
        <f t="shared" si="336"/>
        <v>0.0261274509803922</v>
      </c>
      <c r="U573" s="73"/>
      <c r="V573" s="73"/>
      <c r="W573" s="73">
        <f t="shared" si="330"/>
        <v>18.9210980392157</v>
      </c>
      <c r="X573" s="75">
        <f t="shared" si="337"/>
        <v>0.298881960784314</v>
      </c>
      <c r="Y573" s="75"/>
      <c r="Z573" s="75"/>
      <c r="AA573" s="75">
        <f t="shared" si="331"/>
        <v>0.298881960784314</v>
      </c>
      <c r="AB573" s="84">
        <v>7.22</v>
      </c>
      <c r="AC573" s="73">
        <f t="shared" si="333"/>
        <v>2.15792775686274</v>
      </c>
      <c r="AD573" s="73">
        <f t="shared" si="334"/>
        <v>21.0790257960784</v>
      </c>
      <c r="AE573" s="73">
        <f t="shared" si="332"/>
        <v>73.9209742039216</v>
      </c>
    </row>
    <row r="574" customFormat="1" spans="1:31">
      <c r="A574" s="18"/>
      <c r="B574" s="19"/>
      <c r="C574" s="20">
        <v>240511000003</v>
      </c>
      <c r="D574" s="21">
        <v>45432</v>
      </c>
      <c r="E574" s="21" t="s">
        <v>47</v>
      </c>
      <c r="F574" s="19" t="s">
        <v>48</v>
      </c>
      <c r="G574" s="19" t="s">
        <v>415</v>
      </c>
      <c r="H574" s="19">
        <v>8</v>
      </c>
      <c r="I574" s="41">
        <v>954.3</v>
      </c>
      <c r="J574" s="42"/>
      <c r="K574" s="43"/>
      <c r="L574" s="19"/>
      <c r="M574" s="44"/>
      <c r="N574" s="45"/>
      <c r="O574" s="46">
        <f t="shared" si="340"/>
        <v>954.3</v>
      </c>
      <c r="P574" s="51"/>
      <c r="Q574" s="51"/>
      <c r="R574" s="73">
        <f t="shared" si="335"/>
        <v>368.682352941176</v>
      </c>
      <c r="S574" s="73"/>
      <c r="T574" s="74">
        <f t="shared" si="336"/>
        <v>0.509803921568627</v>
      </c>
      <c r="U574" s="73">
        <v>30</v>
      </c>
      <c r="V574" s="73"/>
      <c r="W574" s="73">
        <f t="shared" si="330"/>
        <v>399.192156862745</v>
      </c>
      <c r="X574" s="75">
        <f t="shared" si="337"/>
        <v>5.8318431372549</v>
      </c>
      <c r="Y574" s="75"/>
      <c r="Z574" s="75"/>
      <c r="AA574" s="75">
        <f t="shared" si="331"/>
        <v>5.8318431372549</v>
      </c>
      <c r="AB574" s="84">
        <v>7.22</v>
      </c>
      <c r="AC574" s="73">
        <f t="shared" si="333"/>
        <v>42.1059074509804</v>
      </c>
      <c r="AD574" s="73">
        <f t="shared" si="334"/>
        <v>441.298064313725</v>
      </c>
      <c r="AE574" s="73">
        <f t="shared" si="332"/>
        <v>513.001935686274</v>
      </c>
    </row>
    <row r="575" customFormat="1" spans="1:31">
      <c r="A575" s="18"/>
      <c r="B575" s="19"/>
      <c r="C575" s="20">
        <v>240511000007</v>
      </c>
      <c r="D575" s="21">
        <v>45432</v>
      </c>
      <c r="E575" s="21" t="s">
        <v>37</v>
      </c>
      <c r="F575" s="19" t="s">
        <v>38</v>
      </c>
      <c r="G575" s="19" t="s">
        <v>416</v>
      </c>
      <c r="H575" s="19">
        <v>5.5</v>
      </c>
      <c r="I575" s="41">
        <v>354</v>
      </c>
      <c r="J575" s="42"/>
      <c r="K575" s="43"/>
      <c r="L575" s="19"/>
      <c r="M575" s="44"/>
      <c r="N575" s="45"/>
      <c r="O575" s="46">
        <f t="shared" si="340"/>
        <v>354</v>
      </c>
      <c r="P575" s="51"/>
      <c r="Q575" s="51"/>
      <c r="R575" s="73">
        <f t="shared" si="335"/>
        <v>253.469117647059</v>
      </c>
      <c r="S575" s="73"/>
      <c r="T575" s="74">
        <f t="shared" si="336"/>
        <v>0.350490196078431</v>
      </c>
      <c r="U575" s="73"/>
      <c r="V575" s="73"/>
      <c r="W575" s="73">
        <f t="shared" si="330"/>
        <v>253.819607843137</v>
      </c>
      <c r="X575" s="75">
        <f t="shared" si="337"/>
        <v>4.00939215686275</v>
      </c>
      <c r="Y575" s="75"/>
      <c r="Z575" s="75"/>
      <c r="AA575" s="75">
        <f t="shared" si="331"/>
        <v>4.00939215686275</v>
      </c>
      <c r="AB575" s="84">
        <v>7.22</v>
      </c>
      <c r="AC575" s="73">
        <f t="shared" si="333"/>
        <v>28.947811372549</v>
      </c>
      <c r="AD575" s="73">
        <f t="shared" si="334"/>
        <v>282.767419215686</v>
      </c>
      <c r="AE575" s="73">
        <f t="shared" si="332"/>
        <v>71.2325807843137</v>
      </c>
    </row>
    <row r="576" customFormat="1" spans="1:31">
      <c r="A576" s="18"/>
      <c r="B576" s="19"/>
      <c r="C576" s="20">
        <v>240511000011</v>
      </c>
      <c r="D576" s="21">
        <v>45432</v>
      </c>
      <c r="E576" s="21" t="s">
        <v>37</v>
      </c>
      <c r="F576" s="19" t="s">
        <v>38</v>
      </c>
      <c r="G576" s="19" t="s">
        <v>417</v>
      </c>
      <c r="H576" s="19">
        <v>14</v>
      </c>
      <c r="I576" s="41">
        <v>992</v>
      </c>
      <c r="J576" s="42"/>
      <c r="K576" s="43"/>
      <c r="L576" s="19"/>
      <c r="M576" s="44"/>
      <c r="N576" s="45"/>
      <c r="O576" s="46">
        <f t="shared" si="340"/>
        <v>992</v>
      </c>
      <c r="P576" s="51"/>
      <c r="Q576" s="51"/>
      <c r="R576" s="73">
        <f t="shared" si="335"/>
        <v>645.194117647059</v>
      </c>
      <c r="S576" s="73"/>
      <c r="T576" s="74">
        <f t="shared" si="336"/>
        <v>0.892156862745098</v>
      </c>
      <c r="U576" s="73"/>
      <c r="V576" s="73"/>
      <c r="W576" s="73">
        <f t="shared" si="330"/>
        <v>646.086274509804</v>
      </c>
      <c r="X576" s="75">
        <f t="shared" si="337"/>
        <v>10.2057254901961</v>
      </c>
      <c r="Y576" s="75"/>
      <c r="Z576" s="75"/>
      <c r="AA576" s="75">
        <f t="shared" si="331"/>
        <v>10.2057254901961</v>
      </c>
      <c r="AB576" s="84">
        <v>7.22</v>
      </c>
      <c r="AC576" s="73">
        <f t="shared" si="333"/>
        <v>73.6853380392157</v>
      </c>
      <c r="AD576" s="73">
        <f t="shared" si="334"/>
        <v>719.77161254902</v>
      </c>
      <c r="AE576" s="73">
        <f t="shared" si="332"/>
        <v>272.22838745098</v>
      </c>
    </row>
    <row r="577" customFormat="1" spans="1:31">
      <c r="A577" s="18"/>
      <c r="B577" s="19"/>
      <c r="C577" s="20">
        <v>240511000014</v>
      </c>
      <c r="D577" s="21">
        <v>45432</v>
      </c>
      <c r="E577" s="21" t="s">
        <v>44</v>
      </c>
      <c r="F577" s="19" t="s">
        <v>127</v>
      </c>
      <c r="G577" s="19" t="s">
        <v>128</v>
      </c>
      <c r="H577" s="19">
        <v>6.5</v>
      </c>
      <c r="I577" s="41">
        <v>399.85</v>
      </c>
      <c r="J577" s="42"/>
      <c r="K577" s="43"/>
      <c r="L577" s="19"/>
      <c r="M577" s="44"/>
      <c r="N577" s="45"/>
      <c r="O577" s="46">
        <f t="shared" si="340"/>
        <v>399.85</v>
      </c>
      <c r="P577" s="51"/>
      <c r="Q577" s="51"/>
      <c r="R577" s="73">
        <f t="shared" si="335"/>
        <v>299.554411764706</v>
      </c>
      <c r="S577" s="73"/>
      <c r="T577" s="74">
        <f t="shared" si="336"/>
        <v>0.41421568627451</v>
      </c>
      <c r="U577" s="73"/>
      <c r="V577" s="73"/>
      <c r="W577" s="73">
        <f t="shared" si="330"/>
        <v>299.96862745098</v>
      </c>
      <c r="X577" s="75">
        <f t="shared" si="337"/>
        <v>4.73837254901961</v>
      </c>
      <c r="Y577" s="75"/>
      <c r="Z577" s="75"/>
      <c r="AA577" s="75">
        <f t="shared" si="331"/>
        <v>4.73837254901961</v>
      </c>
      <c r="AB577" s="84">
        <v>7.22</v>
      </c>
      <c r="AC577" s="73">
        <f t="shared" si="333"/>
        <v>34.2110498039216</v>
      </c>
      <c r="AD577" s="73">
        <f t="shared" si="334"/>
        <v>334.179677254902</v>
      </c>
      <c r="AE577" s="73">
        <f t="shared" si="332"/>
        <v>65.670322745098</v>
      </c>
    </row>
    <row r="578" customFormat="1" spans="1:31">
      <c r="A578" s="18"/>
      <c r="B578" s="19"/>
      <c r="C578" s="22">
        <v>240511000019</v>
      </c>
      <c r="D578" s="23">
        <v>45432</v>
      </c>
      <c r="E578" s="21" t="s">
        <v>64</v>
      </c>
      <c r="F578" s="24" t="s">
        <v>65</v>
      </c>
      <c r="G578" s="24" t="s">
        <v>418</v>
      </c>
      <c r="H578" s="24">
        <v>12.5</v>
      </c>
      <c r="I578" s="41">
        <v>1075.9</v>
      </c>
      <c r="J578" s="42"/>
      <c r="K578" s="43"/>
      <c r="L578" s="19"/>
      <c r="M578" s="44"/>
      <c r="N578" s="45"/>
      <c r="O578" s="46">
        <f t="shared" si="340"/>
        <v>1075.9</v>
      </c>
      <c r="P578" s="51"/>
      <c r="Q578" s="51"/>
      <c r="R578" s="73">
        <f t="shared" si="335"/>
        <v>576.066176470588</v>
      </c>
      <c r="S578" s="73"/>
      <c r="T578" s="74">
        <f t="shared" si="336"/>
        <v>0.79656862745098</v>
      </c>
      <c r="U578" s="73"/>
      <c r="V578" s="73"/>
      <c r="W578" s="73">
        <f t="shared" si="330"/>
        <v>576.862745098039</v>
      </c>
      <c r="X578" s="75">
        <f t="shared" si="337"/>
        <v>9.11225490196078</v>
      </c>
      <c r="Y578" s="75"/>
      <c r="Z578" s="75"/>
      <c r="AA578" s="75">
        <f t="shared" si="331"/>
        <v>9.11225490196078</v>
      </c>
      <c r="AB578" s="84">
        <v>7.22</v>
      </c>
      <c r="AC578" s="73">
        <f t="shared" si="333"/>
        <v>65.7904803921569</v>
      </c>
      <c r="AD578" s="73">
        <f t="shared" si="334"/>
        <v>642.653225490196</v>
      </c>
      <c r="AE578" s="73">
        <f t="shared" si="332"/>
        <v>433.246774509804</v>
      </c>
    </row>
    <row r="579" customFormat="1" spans="1:31">
      <c r="A579" s="18"/>
      <c r="B579" s="19"/>
      <c r="C579" s="20">
        <v>240511000022</v>
      </c>
      <c r="D579" s="21">
        <v>45432</v>
      </c>
      <c r="E579" s="21" t="s">
        <v>54</v>
      </c>
      <c r="F579" s="19" t="s">
        <v>54</v>
      </c>
      <c r="G579" s="19" t="s">
        <v>261</v>
      </c>
      <c r="H579" s="19">
        <v>9</v>
      </c>
      <c r="I579" s="99"/>
      <c r="J579" s="48">
        <v>127102</v>
      </c>
      <c r="K579" s="43"/>
      <c r="L579" s="49">
        <f>SUM(J579/M579)</f>
        <v>1487.44294909304</v>
      </c>
      <c r="M579" s="50">
        <v>85.45</v>
      </c>
      <c r="N579" s="45">
        <v>7.22</v>
      </c>
      <c r="O579" s="100">
        <f>SUM(M579*N579)</f>
        <v>616.949</v>
      </c>
      <c r="P579" s="51"/>
      <c r="Q579" s="51"/>
      <c r="R579" s="73">
        <f t="shared" si="335"/>
        <v>414.767647058824</v>
      </c>
      <c r="S579" s="73"/>
      <c r="T579" s="74">
        <f t="shared" si="336"/>
        <v>0.573529411764706</v>
      </c>
      <c r="U579" s="73"/>
      <c r="V579" s="73"/>
      <c r="W579" s="73">
        <f t="shared" si="330"/>
        <v>415.341176470588</v>
      </c>
      <c r="X579" s="75">
        <f t="shared" si="337"/>
        <v>6.56082352941176</v>
      </c>
      <c r="Y579" s="75"/>
      <c r="Z579" s="75"/>
      <c r="AA579" s="75">
        <f t="shared" si="331"/>
        <v>6.56082352941176</v>
      </c>
      <c r="AB579" s="84">
        <v>7.22</v>
      </c>
      <c r="AC579" s="73">
        <f t="shared" si="333"/>
        <v>47.3691458823529</v>
      </c>
      <c r="AD579" s="73">
        <f t="shared" si="334"/>
        <v>462.710322352941</v>
      </c>
      <c r="AE579" s="73">
        <f t="shared" si="332"/>
        <v>154.238677647059</v>
      </c>
    </row>
    <row r="580" customFormat="1" spans="1:31">
      <c r="A580" s="18"/>
      <c r="B580" s="19"/>
      <c r="C580" s="20">
        <v>240511000024</v>
      </c>
      <c r="D580" s="21">
        <v>45432</v>
      </c>
      <c r="E580" s="21" t="s">
        <v>54</v>
      </c>
      <c r="F580" s="19" t="s">
        <v>54</v>
      </c>
      <c r="G580" s="19" t="s">
        <v>80</v>
      </c>
      <c r="H580" s="19">
        <v>92</v>
      </c>
      <c r="I580" s="41">
        <v>8086</v>
      </c>
      <c r="J580" s="42"/>
      <c r="K580" s="43"/>
      <c r="L580" s="19"/>
      <c r="M580" s="44"/>
      <c r="N580" s="45"/>
      <c r="O580" s="46">
        <f t="shared" ref="O580:O588" si="341">SUM(I580)</f>
        <v>8086</v>
      </c>
      <c r="P580" s="51"/>
      <c r="Q580" s="51"/>
      <c r="R580" s="73">
        <f t="shared" si="335"/>
        <v>4239.84705882353</v>
      </c>
      <c r="S580" s="73"/>
      <c r="T580" s="74">
        <f t="shared" si="336"/>
        <v>5.86274509803922</v>
      </c>
      <c r="U580" s="73"/>
      <c r="V580" s="73"/>
      <c r="W580" s="73">
        <f t="shared" si="330"/>
        <v>4245.70980392157</v>
      </c>
      <c r="X580" s="75">
        <f t="shared" si="337"/>
        <v>67.0661960784314</v>
      </c>
      <c r="Y580" s="75"/>
      <c r="Z580" s="75"/>
      <c r="AA580" s="75">
        <f t="shared" si="331"/>
        <v>67.0661960784314</v>
      </c>
      <c r="AB580" s="84">
        <v>7.22</v>
      </c>
      <c r="AC580" s="73">
        <f t="shared" si="333"/>
        <v>484.217935686275</v>
      </c>
      <c r="AD580" s="73">
        <f t="shared" si="334"/>
        <v>4729.92773960784</v>
      </c>
      <c r="AE580" s="73">
        <f t="shared" si="332"/>
        <v>3356.07226039216</v>
      </c>
    </row>
    <row r="581" customFormat="1" spans="1:31">
      <c r="A581" s="18"/>
      <c r="B581" s="19"/>
      <c r="C581" s="20">
        <v>240511000027</v>
      </c>
      <c r="D581" s="21">
        <v>45432</v>
      </c>
      <c r="E581" s="21" t="s">
        <v>44</v>
      </c>
      <c r="F581" s="19" t="s">
        <v>127</v>
      </c>
      <c r="G581" s="19" t="s">
        <v>128</v>
      </c>
      <c r="H581" s="19">
        <v>79</v>
      </c>
      <c r="I581" s="41">
        <v>5873</v>
      </c>
      <c r="J581" s="42"/>
      <c r="K581" s="43"/>
      <c r="L581" s="19"/>
      <c r="M581" s="44"/>
      <c r="N581" s="45"/>
      <c r="O581" s="46">
        <f t="shared" si="341"/>
        <v>5873</v>
      </c>
      <c r="P581" s="51"/>
      <c r="Q581" s="51"/>
      <c r="R581" s="73">
        <f t="shared" si="335"/>
        <v>3640.73823529412</v>
      </c>
      <c r="S581" s="73"/>
      <c r="T581" s="74">
        <f t="shared" si="336"/>
        <v>5.0343137254902</v>
      </c>
      <c r="U581" s="73"/>
      <c r="V581" s="73"/>
      <c r="W581" s="73">
        <f t="shared" si="330"/>
        <v>3645.77254901961</v>
      </c>
      <c r="X581" s="75">
        <f t="shared" si="337"/>
        <v>57.5894509803922</v>
      </c>
      <c r="Y581" s="75"/>
      <c r="Z581" s="75"/>
      <c r="AA581" s="75">
        <f t="shared" si="331"/>
        <v>57.5894509803922</v>
      </c>
      <c r="AB581" s="84">
        <v>7.22</v>
      </c>
      <c r="AC581" s="73">
        <f t="shared" si="333"/>
        <v>415.795836078431</v>
      </c>
      <c r="AD581" s="73">
        <f t="shared" si="334"/>
        <v>4061.56838509804</v>
      </c>
      <c r="AE581" s="73">
        <f t="shared" si="332"/>
        <v>1811.43161490196</v>
      </c>
    </row>
    <row r="582" customFormat="1" spans="1:31">
      <c r="A582" s="18"/>
      <c r="B582" s="19"/>
      <c r="C582" s="20">
        <v>240512000001</v>
      </c>
      <c r="D582" s="21">
        <v>45432</v>
      </c>
      <c r="E582" s="21" t="s">
        <v>64</v>
      </c>
      <c r="F582" s="19" t="s">
        <v>65</v>
      </c>
      <c r="G582" s="19" t="s">
        <v>419</v>
      </c>
      <c r="H582" s="19">
        <v>3</v>
      </c>
      <c r="I582" s="41">
        <v>273</v>
      </c>
      <c r="J582" s="42"/>
      <c r="K582" s="43"/>
      <c r="L582" s="19"/>
      <c r="M582" s="44"/>
      <c r="N582" s="45"/>
      <c r="O582" s="46">
        <f t="shared" si="341"/>
        <v>273</v>
      </c>
      <c r="P582" s="51"/>
      <c r="Q582" s="51"/>
      <c r="R582" s="73">
        <f t="shared" si="335"/>
        <v>138.255882352941</v>
      </c>
      <c r="S582" s="73"/>
      <c r="T582" s="74">
        <f t="shared" si="336"/>
        <v>0.191176470588235</v>
      </c>
      <c r="U582" s="73"/>
      <c r="V582" s="73"/>
      <c r="W582" s="73">
        <f t="shared" si="330"/>
        <v>138.447058823529</v>
      </c>
      <c r="X582" s="75">
        <f t="shared" si="337"/>
        <v>2.18694117647059</v>
      </c>
      <c r="Y582" s="75"/>
      <c r="Z582" s="75"/>
      <c r="AA582" s="75">
        <f t="shared" si="331"/>
        <v>2.18694117647059</v>
      </c>
      <c r="AB582" s="84">
        <v>7.22</v>
      </c>
      <c r="AC582" s="73">
        <f t="shared" si="333"/>
        <v>15.7897152941176</v>
      </c>
      <c r="AD582" s="73">
        <f t="shared" si="334"/>
        <v>154.236774117647</v>
      </c>
      <c r="AE582" s="73">
        <f t="shared" si="332"/>
        <v>118.763225882353</v>
      </c>
    </row>
    <row r="583" customFormat="1" spans="1:31">
      <c r="A583" s="18"/>
      <c r="B583" s="19"/>
      <c r="C583" s="20">
        <v>240512000004</v>
      </c>
      <c r="D583" s="21">
        <v>45432</v>
      </c>
      <c r="E583" s="21" t="s">
        <v>54</v>
      </c>
      <c r="F583" s="19" t="s">
        <v>54</v>
      </c>
      <c r="G583" s="19" t="s">
        <v>80</v>
      </c>
      <c r="H583" s="19">
        <v>40</v>
      </c>
      <c r="I583" s="41">
        <v>2340.8</v>
      </c>
      <c r="J583" s="42"/>
      <c r="K583" s="43"/>
      <c r="L583" s="19"/>
      <c r="M583" s="44"/>
      <c r="N583" s="45"/>
      <c r="O583" s="46">
        <f t="shared" si="341"/>
        <v>2340.8</v>
      </c>
      <c r="P583" s="51"/>
      <c r="Q583" s="51"/>
      <c r="R583" s="73">
        <f t="shared" si="335"/>
        <v>1843.41176470588</v>
      </c>
      <c r="S583" s="73"/>
      <c r="T583" s="74">
        <f t="shared" si="336"/>
        <v>2.54901960784314</v>
      </c>
      <c r="U583" s="73"/>
      <c r="V583" s="73"/>
      <c r="W583" s="73">
        <f t="shared" si="330"/>
        <v>1845.96078431373</v>
      </c>
      <c r="X583" s="75">
        <f t="shared" si="337"/>
        <v>29.1592156862745</v>
      </c>
      <c r="Y583" s="75"/>
      <c r="Z583" s="75"/>
      <c r="AA583" s="75">
        <f t="shared" si="331"/>
        <v>29.1592156862745</v>
      </c>
      <c r="AB583" s="84">
        <v>7.22</v>
      </c>
      <c r="AC583" s="73">
        <f t="shared" si="333"/>
        <v>210.529537254902</v>
      </c>
      <c r="AD583" s="73">
        <f t="shared" si="334"/>
        <v>2056.49032156863</v>
      </c>
      <c r="AE583" s="73">
        <f t="shared" si="332"/>
        <v>284.30967843137</v>
      </c>
    </row>
    <row r="584" customFormat="1" spans="1:31">
      <c r="A584" s="18"/>
      <c r="B584" s="19"/>
      <c r="C584" s="20">
        <v>240513000006</v>
      </c>
      <c r="D584" s="21">
        <v>45432</v>
      </c>
      <c r="E584" s="21" t="s">
        <v>37</v>
      </c>
      <c r="F584" s="19" t="s">
        <v>38</v>
      </c>
      <c r="G584" s="19" t="s">
        <v>143</v>
      </c>
      <c r="H584" s="19">
        <v>3.5</v>
      </c>
      <c r="I584" s="41">
        <v>240</v>
      </c>
      <c r="J584" s="42"/>
      <c r="K584" s="43"/>
      <c r="L584" s="19"/>
      <c r="M584" s="44"/>
      <c r="N584" s="45"/>
      <c r="O584" s="46">
        <f t="shared" si="341"/>
        <v>240</v>
      </c>
      <c r="P584" s="51"/>
      <c r="Q584" s="51"/>
      <c r="R584" s="73">
        <f t="shared" si="335"/>
        <v>161.298529411765</v>
      </c>
      <c r="S584" s="73"/>
      <c r="T584" s="74">
        <f t="shared" si="336"/>
        <v>0.223039215686274</v>
      </c>
      <c r="U584" s="73"/>
      <c r="V584" s="74">
        <v>13</v>
      </c>
      <c r="W584" s="73">
        <f t="shared" si="330"/>
        <v>174.521568627451</v>
      </c>
      <c r="X584" s="75">
        <f t="shared" si="337"/>
        <v>2.55143137254902</v>
      </c>
      <c r="Y584" s="75"/>
      <c r="Z584" s="75"/>
      <c r="AA584" s="75">
        <f t="shared" si="331"/>
        <v>2.55143137254902</v>
      </c>
      <c r="AB584" s="84">
        <v>7.22</v>
      </c>
      <c r="AC584" s="73">
        <f t="shared" si="333"/>
        <v>18.4213345098039</v>
      </c>
      <c r="AD584" s="73">
        <f t="shared" si="334"/>
        <v>192.942903137255</v>
      </c>
      <c r="AE584" s="73">
        <f t="shared" si="332"/>
        <v>47.057096862745</v>
      </c>
    </row>
    <row r="585" customFormat="1" spans="1:31">
      <c r="A585" s="18"/>
      <c r="B585" s="19"/>
      <c r="C585" s="20">
        <v>240513000010</v>
      </c>
      <c r="D585" s="21">
        <v>45432</v>
      </c>
      <c r="E585" s="21" t="s">
        <v>47</v>
      </c>
      <c r="F585" s="19" t="s">
        <v>48</v>
      </c>
      <c r="G585" s="19" t="s">
        <v>420</v>
      </c>
      <c r="H585" s="19">
        <v>4.5</v>
      </c>
      <c r="I585" s="41">
        <v>290</v>
      </c>
      <c r="J585" s="42"/>
      <c r="K585" s="43"/>
      <c r="L585" s="19"/>
      <c r="M585" s="44"/>
      <c r="N585" s="45"/>
      <c r="O585" s="46">
        <f t="shared" si="341"/>
        <v>290</v>
      </c>
      <c r="P585" s="51"/>
      <c r="Q585" s="51"/>
      <c r="R585" s="73">
        <f t="shared" si="335"/>
        <v>207.383823529412</v>
      </c>
      <c r="S585" s="73"/>
      <c r="T585" s="74">
        <f t="shared" si="336"/>
        <v>0.286764705882353</v>
      </c>
      <c r="U585" s="73"/>
      <c r="V585" s="73"/>
      <c r="W585" s="73">
        <f t="shared" si="330"/>
        <v>207.670588235294</v>
      </c>
      <c r="X585" s="75">
        <f t="shared" si="337"/>
        <v>3.28041176470588</v>
      </c>
      <c r="Y585" s="75"/>
      <c r="Z585" s="75"/>
      <c r="AA585" s="75">
        <f t="shared" si="331"/>
        <v>3.28041176470588</v>
      </c>
      <c r="AB585" s="84">
        <v>7.22</v>
      </c>
      <c r="AC585" s="73">
        <f t="shared" si="333"/>
        <v>23.6845729411765</v>
      </c>
      <c r="AD585" s="73">
        <f t="shared" si="334"/>
        <v>231.355161176471</v>
      </c>
      <c r="AE585" s="73">
        <f t="shared" si="332"/>
        <v>58.644838823529</v>
      </c>
    </row>
    <row r="586" customFormat="1" spans="1:31">
      <c r="A586" s="18"/>
      <c r="B586" s="19"/>
      <c r="C586" s="20">
        <v>240513000014</v>
      </c>
      <c r="D586" s="21">
        <v>45432</v>
      </c>
      <c r="E586" s="21" t="s">
        <v>41</v>
      </c>
      <c r="F586" s="19" t="s">
        <v>42</v>
      </c>
      <c r="G586" s="19" t="s">
        <v>149</v>
      </c>
      <c r="H586" s="19">
        <v>53.5</v>
      </c>
      <c r="I586" s="41">
        <v>2835.5</v>
      </c>
      <c r="J586" s="42"/>
      <c r="K586" s="43"/>
      <c r="L586" s="19"/>
      <c r="M586" s="44"/>
      <c r="N586" s="45"/>
      <c r="O586" s="46">
        <f t="shared" si="341"/>
        <v>2835.5</v>
      </c>
      <c r="P586" s="51"/>
      <c r="Q586" s="51"/>
      <c r="R586" s="73">
        <f t="shared" si="335"/>
        <v>2465.56323529412</v>
      </c>
      <c r="S586" s="73"/>
      <c r="T586" s="74">
        <f t="shared" si="336"/>
        <v>3.4093137254902</v>
      </c>
      <c r="U586" s="73"/>
      <c r="V586" s="73"/>
      <c r="W586" s="73">
        <f t="shared" si="330"/>
        <v>2468.97254901961</v>
      </c>
      <c r="X586" s="75">
        <f t="shared" si="337"/>
        <v>39.0004509803922</v>
      </c>
      <c r="Y586" s="75"/>
      <c r="Z586" s="75"/>
      <c r="AA586" s="75">
        <f t="shared" si="331"/>
        <v>39.0004509803922</v>
      </c>
      <c r="AB586" s="84">
        <v>7.22</v>
      </c>
      <c r="AC586" s="73">
        <f t="shared" si="333"/>
        <v>281.583256078431</v>
      </c>
      <c r="AD586" s="73">
        <f t="shared" si="334"/>
        <v>2750.55580509804</v>
      </c>
      <c r="AE586" s="73">
        <f t="shared" si="332"/>
        <v>84.9441949019601</v>
      </c>
    </row>
    <row r="587" customFormat="1" spans="1:31">
      <c r="A587" s="18"/>
      <c r="B587" s="19"/>
      <c r="C587" s="20">
        <v>240513000015</v>
      </c>
      <c r="D587" s="21">
        <v>45432</v>
      </c>
      <c r="E587" s="21" t="s">
        <v>41</v>
      </c>
      <c r="F587" s="19" t="s">
        <v>42</v>
      </c>
      <c r="G587" s="19" t="s">
        <v>149</v>
      </c>
      <c r="H587" s="19">
        <v>24</v>
      </c>
      <c r="I587" s="41">
        <v>1344</v>
      </c>
      <c r="J587" s="42"/>
      <c r="K587" s="43"/>
      <c r="L587" s="19"/>
      <c r="M587" s="44"/>
      <c r="N587" s="45"/>
      <c r="O587" s="46">
        <f t="shared" si="341"/>
        <v>1344</v>
      </c>
      <c r="P587" s="51"/>
      <c r="Q587" s="51"/>
      <c r="R587" s="73">
        <f t="shared" si="335"/>
        <v>1106.04705882353</v>
      </c>
      <c r="S587" s="73"/>
      <c r="T587" s="74">
        <f t="shared" si="336"/>
        <v>1.52941176470588</v>
      </c>
      <c r="U587" s="73"/>
      <c r="V587" s="73"/>
      <c r="W587" s="73">
        <f t="shared" si="330"/>
        <v>1107.57647058824</v>
      </c>
      <c r="X587" s="75">
        <f t="shared" si="337"/>
        <v>17.4955294117647</v>
      </c>
      <c r="Y587" s="75"/>
      <c r="Z587" s="75"/>
      <c r="AA587" s="75">
        <f t="shared" si="331"/>
        <v>17.4955294117647</v>
      </c>
      <c r="AB587" s="84">
        <v>7.22</v>
      </c>
      <c r="AC587" s="73">
        <f t="shared" si="333"/>
        <v>126.317722352941</v>
      </c>
      <c r="AD587" s="73">
        <f t="shared" si="334"/>
        <v>1233.89419294118</v>
      </c>
      <c r="AE587" s="73">
        <f t="shared" si="332"/>
        <v>110.10580705882</v>
      </c>
    </row>
    <row r="588" customFormat="1" spans="1:31">
      <c r="A588" s="18"/>
      <c r="B588" s="19"/>
      <c r="C588" s="20">
        <v>240513000017</v>
      </c>
      <c r="D588" s="21">
        <v>45432</v>
      </c>
      <c r="E588" s="21" t="s">
        <v>41</v>
      </c>
      <c r="F588" s="19" t="s">
        <v>42</v>
      </c>
      <c r="G588" s="19" t="s">
        <v>421</v>
      </c>
      <c r="H588" s="19">
        <v>2.5</v>
      </c>
      <c r="I588" s="52"/>
      <c r="J588" s="48">
        <v>33048.4</v>
      </c>
      <c r="K588" s="43"/>
      <c r="L588" s="49">
        <f>SUM(J588/M588)</f>
        <v>1466.21118012422</v>
      </c>
      <c r="M588" s="50">
        <v>22.54</v>
      </c>
      <c r="N588" s="89">
        <v>7.22</v>
      </c>
      <c r="O588" s="100">
        <f>SUM(M588*N588)</f>
        <v>162.7388</v>
      </c>
      <c r="P588" s="51"/>
      <c r="Q588" s="51"/>
      <c r="R588" s="73">
        <f t="shared" si="335"/>
        <v>115.213235294118</v>
      </c>
      <c r="S588" s="73"/>
      <c r="T588" s="74">
        <f t="shared" si="336"/>
        <v>0.159313725490196</v>
      </c>
      <c r="U588" s="73"/>
      <c r="V588" s="73"/>
      <c r="W588" s="73">
        <f t="shared" ref="W588:W606" si="342">SUM(R588:V588)</f>
        <v>115.372549019608</v>
      </c>
      <c r="X588" s="75">
        <f t="shared" si="337"/>
        <v>1.82245098039216</v>
      </c>
      <c r="Y588" s="75"/>
      <c r="Z588" s="75"/>
      <c r="AA588" s="75">
        <f t="shared" ref="AA588:AA606" si="343">SUM(X588:Z588)</f>
        <v>1.82245098039216</v>
      </c>
      <c r="AB588" s="84">
        <v>7.22</v>
      </c>
      <c r="AC588" s="73">
        <f t="shared" si="333"/>
        <v>13.1580960784314</v>
      </c>
      <c r="AD588" s="73">
        <f t="shared" si="334"/>
        <v>128.530645098039</v>
      </c>
      <c r="AE588" s="73">
        <f t="shared" ref="AE588:AE606" si="344">SUM(O588-AD588)</f>
        <v>34.208154901961</v>
      </c>
    </row>
    <row r="589" customFormat="1" spans="1:31">
      <c r="A589" s="18"/>
      <c r="B589" s="19"/>
      <c r="C589" s="20">
        <v>240513000022</v>
      </c>
      <c r="D589" s="21">
        <v>45432</v>
      </c>
      <c r="E589" s="21" t="s">
        <v>44</v>
      </c>
      <c r="F589" s="19" t="s">
        <v>45</v>
      </c>
      <c r="G589" s="19" t="s">
        <v>162</v>
      </c>
      <c r="H589" s="19">
        <v>8.5</v>
      </c>
      <c r="I589" s="52"/>
      <c r="J589" s="48">
        <v>107816</v>
      </c>
      <c r="K589" s="43"/>
      <c r="L589" s="49">
        <f t="shared" ref="L589:L591" si="345">SUM(J589/M589)</f>
        <v>1494.74559822543</v>
      </c>
      <c r="M589" s="50">
        <v>72.13</v>
      </c>
      <c r="N589" s="45">
        <v>7.22</v>
      </c>
      <c r="O589" s="46">
        <f t="shared" ref="O589:O591" si="346">SUM(M589*N589)</f>
        <v>520.7786</v>
      </c>
      <c r="P589" s="51"/>
      <c r="Q589" s="51"/>
      <c r="R589" s="73">
        <f t="shared" si="335"/>
        <v>391.725</v>
      </c>
      <c r="S589" s="73"/>
      <c r="T589" s="74">
        <f t="shared" si="336"/>
        <v>0.541666666666667</v>
      </c>
      <c r="U589" s="73"/>
      <c r="V589" s="73"/>
      <c r="W589" s="73">
        <f t="shared" si="342"/>
        <v>392.266666666667</v>
      </c>
      <c r="X589" s="75">
        <f t="shared" si="337"/>
        <v>6.19633333333333</v>
      </c>
      <c r="Y589" s="75"/>
      <c r="Z589" s="75"/>
      <c r="AA589" s="75">
        <f t="shared" si="343"/>
        <v>6.19633333333333</v>
      </c>
      <c r="AB589" s="84">
        <v>7.22</v>
      </c>
      <c r="AC589" s="73">
        <f t="shared" ref="AC589:AC606" si="347">SUM(AA589*AB589)</f>
        <v>44.7375266666667</v>
      </c>
      <c r="AD589" s="73">
        <f t="shared" ref="AD589:AD606" si="348">SUM(W589+AC589)</f>
        <v>437.004193333333</v>
      </c>
      <c r="AE589" s="73">
        <f t="shared" si="344"/>
        <v>83.774406666667</v>
      </c>
    </row>
    <row r="590" customFormat="1" spans="1:31">
      <c r="A590" s="18"/>
      <c r="B590" s="19"/>
      <c r="C590" s="20">
        <v>240513000024</v>
      </c>
      <c r="D590" s="21">
        <v>45432</v>
      </c>
      <c r="E590" s="21" t="s">
        <v>44</v>
      </c>
      <c r="F590" s="19" t="s">
        <v>45</v>
      </c>
      <c r="G590" s="19" t="s">
        <v>422</v>
      </c>
      <c r="H590" s="19">
        <v>19.5</v>
      </c>
      <c r="I590" s="46"/>
      <c r="J590" s="48">
        <v>314878.83</v>
      </c>
      <c r="K590" s="43"/>
      <c r="L590" s="49">
        <f t="shared" si="345"/>
        <v>1489</v>
      </c>
      <c r="M590" s="50">
        <v>211.47</v>
      </c>
      <c r="N590" s="45">
        <v>7.22</v>
      </c>
      <c r="O590" s="46">
        <f t="shared" si="346"/>
        <v>1526.8134</v>
      </c>
      <c r="P590" s="51"/>
      <c r="Q590" s="51"/>
      <c r="R590" s="73">
        <f t="shared" ref="R590:R606" si="349">SUM(94014/2040)*H590</f>
        <v>898.663235294118</v>
      </c>
      <c r="S590" s="73"/>
      <c r="T590" s="74">
        <f t="shared" ref="T590:T606" si="350">SUM(130/2040)*H590</f>
        <v>1.24264705882353</v>
      </c>
      <c r="U590" s="73"/>
      <c r="V590" s="73"/>
      <c r="W590" s="73">
        <f t="shared" si="342"/>
        <v>899.905882352941</v>
      </c>
      <c r="X590" s="75">
        <f t="shared" ref="X590:X606" si="351">SUM(1487.12/2040)*H590</f>
        <v>14.2151176470588</v>
      </c>
      <c r="Y590" s="75"/>
      <c r="Z590" s="75"/>
      <c r="AA590" s="75">
        <f t="shared" si="343"/>
        <v>14.2151176470588</v>
      </c>
      <c r="AB590" s="84">
        <v>7.22</v>
      </c>
      <c r="AC590" s="73">
        <f t="shared" si="347"/>
        <v>102.633149411765</v>
      </c>
      <c r="AD590" s="73">
        <f t="shared" si="348"/>
        <v>1002.53903176471</v>
      </c>
      <c r="AE590" s="73">
        <f t="shared" si="344"/>
        <v>524.27436823529</v>
      </c>
    </row>
    <row r="591" customFormat="1" spans="1:31">
      <c r="A591" s="18"/>
      <c r="B591" s="19"/>
      <c r="C591" s="20">
        <v>240513000028</v>
      </c>
      <c r="D591" s="21">
        <v>45432</v>
      </c>
      <c r="E591" s="21" t="s">
        <v>44</v>
      </c>
      <c r="F591" s="19" t="s">
        <v>45</v>
      </c>
      <c r="G591" s="19" t="s">
        <v>423</v>
      </c>
      <c r="H591" s="19">
        <v>7</v>
      </c>
      <c r="I591" s="52"/>
      <c r="J591" s="48">
        <v>100975</v>
      </c>
      <c r="K591" s="43"/>
      <c r="L591" s="49">
        <f t="shared" si="345"/>
        <v>1530.85203153426</v>
      </c>
      <c r="M591" s="50">
        <v>65.96</v>
      </c>
      <c r="N591" s="45">
        <v>7.22</v>
      </c>
      <c r="O591" s="46">
        <f t="shared" si="346"/>
        <v>476.2312</v>
      </c>
      <c r="P591" s="51"/>
      <c r="Q591" s="51"/>
      <c r="R591" s="73">
        <f t="shared" si="349"/>
        <v>322.597058823529</v>
      </c>
      <c r="S591" s="73"/>
      <c r="T591" s="74">
        <f t="shared" si="350"/>
        <v>0.446078431372549</v>
      </c>
      <c r="U591" s="73"/>
      <c r="V591" s="73"/>
      <c r="W591" s="73">
        <f t="shared" si="342"/>
        <v>323.043137254902</v>
      </c>
      <c r="X591" s="75">
        <f t="shared" si="351"/>
        <v>5.10286274509804</v>
      </c>
      <c r="Y591" s="75"/>
      <c r="Z591" s="75"/>
      <c r="AA591" s="75">
        <f t="shared" si="343"/>
        <v>5.10286274509804</v>
      </c>
      <c r="AB591" s="84">
        <v>7.22</v>
      </c>
      <c r="AC591" s="73">
        <f t="shared" si="347"/>
        <v>36.8426690196078</v>
      </c>
      <c r="AD591" s="73">
        <f t="shared" si="348"/>
        <v>359.88580627451</v>
      </c>
      <c r="AE591" s="73">
        <f t="shared" si="344"/>
        <v>116.34539372549</v>
      </c>
    </row>
    <row r="592" customFormat="1" spans="1:31">
      <c r="A592" s="18"/>
      <c r="B592" s="19"/>
      <c r="C592" s="20">
        <v>240513000029</v>
      </c>
      <c r="D592" s="21">
        <v>45432</v>
      </c>
      <c r="E592" s="21" t="s">
        <v>37</v>
      </c>
      <c r="F592" s="19" t="s">
        <v>38</v>
      </c>
      <c r="G592" s="19" t="s">
        <v>424</v>
      </c>
      <c r="H592" s="19">
        <v>12.5</v>
      </c>
      <c r="I592" s="41">
        <v>763</v>
      </c>
      <c r="J592" s="42"/>
      <c r="K592" s="43"/>
      <c r="L592" s="19"/>
      <c r="M592" s="44"/>
      <c r="N592" s="45"/>
      <c r="O592" s="46">
        <f t="shared" ref="O592:O604" si="352">SUM(I592)</f>
        <v>763</v>
      </c>
      <c r="P592" s="51"/>
      <c r="Q592" s="51"/>
      <c r="R592" s="73">
        <f t="shared" si="349"/>
        <v>576.066176470588</v>
      </c>
      <c r="S592" s="73"/>
      <c r="T592" s="74">
        <f t="shared" si="350"/>
        <v>0.79656862745098</v>
      </c>
      <c r="U592" s="73"/>
      <c r="V592" s="73"/>
      <c r="W592" s="73">
        <f t="shared" si="342"/>
        <v>576.862745098039</v>
      </c>
      <c r="X592" s="75">
        <f t="shared" si="351"/>
        <v>9.11225490196078</v>
      </c>
      <c r="Y592" s="75"/>
      <c r="Z592" s="75"/>
      <c r="AA592" s="75">
        <f t="shared" si="343"/>
        <v>9.11225490196078</v>
      </c>
      <c r="AB592" s="84">
        <v>7.22</v>
      </c>
      <c r="AC592" s="73">
        <f t="shared" si="347"/>
        <v>65.7904803921569</v>
      </c>
      <c r="AD592" s="73">
        <f t="shared" si="348"/>
        <v>642.653225490196</v>
      </c>
      <c r="AE592" s="73">
        <f t="shared" si="344"/>
        <v>120.346774509804</v>
      </c>
    </row>
    <row r="593" customFormat="1" spans="1:31">
      <c r="A593" s="18"/>
      <c r="B593" s="19"/>
      <c r="C593" s="20">
        <v>240513000039</v>
      </c>
      <c r="D593" s="21">
        <v>45432</v>
      </c>
      <c r="E593" s="21" t="s">
        <v>44</v>
      </c>
      <c r="F593" s="19" t="s">
        <v>45</v>
      </c>
      <c r="G593" s="19" t="s">
        <v>425</v>
      </c>
      <c r="H593" s="19">
        <v>20</v>
      </c>
      <c r="I593" s="41">
        <v>1696</v>
      </c>
      <c r="J593" s="42"/>
      <c r="K593" s="43"/>
      <c r="L593" s="19"/>
      <c r="M593" s="44"/>
      <c r="N593" s="45"/>
      <c r="O593" s="46">
        <f t="shared" si="352"/>
        <v>1696</v>
      </c>
      <c r="P593" s="51"/>
      <c r="Q593" s="51"/>
      <c r="R593" s="73">
        <f t="shared" si="349"/>
        <v>921.705882352941</v>
      </c>
      <c r="S593" s="73"/>
      <c r="T593" s="74">
        <f t="shared" si="350"/>
        <v>1.27450980392157</v>
      </c>
      <c r="U593" s="73"/>
      <c r="V593" s="73"/>
      <c r="W593" s="73">
        <f t="shared" si="342"/>
        <v>922.980392156863</v>
      </c>
      <c r="X593" s="75">
        <f t="shared" si="351"/>
        <v>14.5796078431373</v>
      </c>
      <c r="Y593" s="75"/>
      <c r="Z593" s="75"/>
      <c r="AA593" s="75">
        <f t="shared" si="343"/>
        <v>14.5796078431373</v>
      </c>
      <c r="AB593" s="84">
        <v>7.22</v>
      </c>
      <c r="AC593" s="73">
        <f t="shared" si="347"/>
        <v>105.264768627451</v>
      </c>
      <c r="AD593" s="73">
        <f t="shared" si="348"/>
        <v>1028.24516078431</v>
      </c>
      <c r="AE593" s="73">
        <f t="shared" si="344"/>
        <v>667.75483921569</v>
      </c>
    </row>
    <row r="594" customFormat="1" spans="1:31">
      <c r="A594" s="18"/>
      <c r="B594" s="19"/>
      <c r="C594" s="20">
        <v>240513000042</v>
      </c>
      <c r="D594" s="21">
        <v>45432</v>
      </c>
      <c r="E594" s="21" t="s">
        <v>44</v>
      </c>
      <c r="F594" s="19" t="s">
        <v>45</v>
      </c>
      <c r="G594" s="19" t="s">
        <v>46</v>
      </c>
      <c r="H594" s="19">
        <v>0.66</v>
      </c>
      <c r="I594" s="41">
        <v>67.1</v>
      </c>
      <c r="J594" s="42"/>
      <c r="K594" s="43"/>
      <c r="L594" s="19"/>
      <c r="M594" s="44"/>
      <c r="N594" s="45"/>
      <c r="O594" s="46">
        <f t="shared" si="352"/>
        <v>67.1</v>
      </c>
      <c r="P594" s="51"/>
      <c r="Q594" s="51"/>
      <c r="R594" s="73">
        <f t="shared" si="349"/>
        <v>30.4162941176471</v>
      </c>
      <c r="S594" s="73"/>
      <c r="T594" s="74">
        <f t="shared" si="350"/>
        <v>0.0420588235294118</v>
      </c>
      <c r="U594" s="73"/>
      <c r="V594" s="73"/>
      <c r="W594" s="73">
        <f t="shared" si="342"/>
        <v>30.4583529411765</v>
      </c>
      <c r="X594" s="75">
        <f t="shared" si="351"/>
        <v>0.481127058823529</v>
      </c>
      <c r="Y594" s="75"/>
      <c r="Z594" s="75"/>
      <c r="AA594" s="75">
        <f t="shared" si="343"/>
        <v>0.481127058823529</v>
      </c>
      <c r="AB594" s="84">
        <v>7.22</v>
      </c>
      <c r="AC594" s="73">
        <f t="shared" si="347"/>
        <v>3.47373736470588</v>
      </c>
      <c r="AD594" s="73">
        <f t="shared" si="348"/>
        <v>33.9320903058824</v>
      </c>
      <c r="AE594" s="73">
        <f t="shared" si="344"/>
        <v>33.1679096941176</v>
      </c>
    </row>
    <row r="595" customFormat="1" spans="1:31">
      <c r="A595" s="18"/>
      <c r="B595" s="19"/>
      <c r="C595" s="20">
        <v>240513000043</v>
      </c>
      <c r="D595" s="21">
        <v>45432</v>
      </c>
      <c r="E595" s="21" t="s">
        <v>41</v>
      </c>
      <c r="F595" s="19" t="s">
        <v>42</v>
      </c>
      <c r="G595" s="19" t="s">
        <v>291</v>
      </c>
      <c r="H595" s="19">
        <v>1.5</v>
      </c>
      <c r="I595" s="41">
        <v>150</v>
      </c>
      <c r="J595" s="42"/>
      <c r="K595" s="43"/>
      <c r="L595" s="19"/>
      <c r="M595" s="44"/>
      <c r="N595" s="45"/>
      <c r="O595" s="46">
        <f t="shared" si="352"/>
        <v>150</v>
      </c>
      <c r="P595" s="51"/>
      <c r="Q595" s="51"/>
      <c r="R595" s="73">
        <f t="shared" si="349"/>
        <v>69.1279411764706</v>
      </c>
      <c r="S595" s="73"/>
      <c r="T595" s="74">
        <f t="shared" si="350"/>
        <v>0.0955882352941176</v>
      </c>
      <c r="U595" s="73"/>
      <c r="V595" s="73"/>
      <c r="W595" s="73">
        <f t="shared" si="342"/>
        <v>69.2235294117647</v>
      </c>
      <c r="X595" s="75">
        <f t="shared" si="351"/>
        <v>1.09347058823529</v>
      </c>
      <c r="Y595" s="75"/>
      <c r="Z595" s="75"/>
      <c r="AA595" s="75">
        <f t="shared" si="343"/>
        <v>1.09347058823529</v>
      </c>
      <c r="AB595" s="84">
        <v>7.22</v>
      </c>
      <c r="AC595" s="73">
        <f t="shared" si="347"/>
        <v>7.89485764705882</v>
      </c>
      <c r="AD595" s="73">
        <f t="shared" si="348"/>
        <v>77.1183870588235</v>
      </c>
      <c r="AE595" s="73">
        <f t="shared" si="344"/>
        <v>72.8816129411765</v>
      </c>
    </row>
    <row r="596" customFormat="1" spans="1:31">
      <c r="A596" s="18"/>
      <c r="B596" s="19"/>
      <c r="C596" s="20">
        <v>240513000046</v>
      </c>
      <c r="D596" s="21">
        <v>45432</v>
      </c>
      <c r="E596" s="21" t="s">
        <v>44</v>
      </c>
      <c r="F596" s="19" t="s">
        <v>45</v>
      </c>
      <c r="G596" s="19" t="s">
        <v>426</v>
      </c>
      <c r="H596" s="19">
        <v>13</v>
      </c>
      <c r="I596" s="41">
        <v>793.1</v>
      </c>
      <c r="J596" s="42"/>
      <c r="K596" s="43"/>
      <c r="L596" s="19"/>
      <c r="M596" s="44"/>
      <c r="N596" s="45"/>
      <c r="O596" s="46">
        <f t="shared" si="352"/>
        <v>793.1</v>
      </c>
      <c r="P596" s="51"/>
      <c r="Q596" s="51"/>
      <c r="R596" s="73">
        <f t="shared" si="349"/>
        <v>599.108823529412</v>
      </c>
      <c r="S596" s="73"/>
      <c r="T596" s="74">
        <f t="shared" si="350"/>
        <v>0.82843137254902</v>
      </c>
      <c r="U596" s="73"/>
      <c r="V596" s="73"/>
      <c r="W596" s="73">
        <f t="shared" si="342"/>
        <v>599.937254901961</v>
      </c>
      <c r="X596" s="75">
        <f t="shared" si="351"/>
        <v>9.47674509803922</v>
      </c>
      <c r="Y596" s="75"/>
      <c r="Z596" s="75"/>
      <c r="AA596" s="75">
        <f t="shared" si="343"/>
        <v>9.47674509803922</v>
      </c>
      <c r="AB596" s="84">
        <v>7.22</v>
      </c>
      <c r="AC596" s="73">
        <f t="shared" si="347"/>
        <v>68.4220996078431</v>
      </c>
      <c r="AD596" s="73">
        <f t="shared" si="348"/>
        <v>668.359354509804</v>
      </c>
      <c r="AE596" s="73">
        <f t="shared" si="344"/>
        <v>124.740645490196</v>
      </c>
    </row>
    <row r="597" customFormat="1" spans="1:31">
      <c r="A597" s="18"/>
      <c r="B597" s="19"/>
      <c r="C597" s="20">
        <v>240513000051</v>
      </c>
      <c r="D597" s="21">
        <v>45432</v>
      </c>
      <c r="E597" s="21" t="s">
        <v>47</v>
      </c>
      <c r="F597" s="19" t="s">
        <v>48</v>
      </c>
      <c r="G597" s="19" t="s">
        <v>186</v>
      </c>
      <c r="H597" s="19">
        <v>18.5</v>
      </c>
      <c r="I597" s="41">
        <v>1227</v>
      </c>
      <c r="J597" s="42"/>
      <c r="K597" s="43"/>
      <c r="L597" s="19"/>
      <c r="M597" s="44"/>
      <c r="N597" s="45"/>
      <c r="O597" s="46">
        <f t="shared" si="352"/>
        <v>1227</v>
      </c>
      <c r="P597" s="51"/>
      <c r="Q597" s="51"/>
      <c r="R597" s="73">
        <f t="shared" si="349"/>
        <v>852.577941176471</v>
      </c>
      <c r="S597" s="73"/>
      <c r="T597" s="74">
        <f t="shared" si="350"/>
        <v>1.17892156862745</v>
      </c>
      <c r="U597" s="73"/>
      <c r="V597" s="73"/>
      <c r="W597" s="73">
        <f t="shared" si="342"/>
        <v>853.756862745098</v>
      </c>
      <c r="X597" s="75">
        <f t="shared" si="351"/>
        <v>13.486137254902</v>
      </c>
      <c r="Y597" s="75"/>
      <c r="Z597" s="75"/>
      <c r="AA597" s="75">
        <f t="shared" si="343"/>
        <v>13.486137254902</v>
      </c>
      <c r="AB597" s="84">
        <v>7.22</v>
      </c>
      <c r="AC597" s="73">
        <f t="shared" si="347"/>
        <v>97.3699109803921</v>
      </c>
      <c r="AD597" s="73">
        <f t="shared" si="348"/>
        <v>951.12677372549</v>
      </c>
      <c r="AE597" s="73">
        <f t="shared" si="344"/>
        <v>275.87322627451</v>
      </c>
    </row>
    <row r="598" customFormat="1" spans="1:31">
      <c r="A598" s="18"/>
      <c r="B598" s="19"/>
      <c r="C598" s="20">
        <v>240513000052</v>
      </c>
      <c r="D598" s="21">
        <v>45432</v>
      </c>
      <c r="E598" s="21" t="s">
        <v>44</v>
      </c>
      <c r="F598" s="19" t="s">
        <v>45</v>
      </c>
      <c r="G598" s="19" t="s">
        <v>427</v>
      </c>
      <c r="H598" s="19">
        <v>5</v>
      </c>
      <c r="I598" s="41">
        <v>471.5</v>
      </c>
      <c r="J598" s="42"/>
      <c r="K598" s="43"/>
      <c r="L598" s="19"/>
      <c r="M598" s="44"/>
      <c r="N598" s="45"/>
      <c r="O598" s="46">
        <f t="shared" si="352"/>
        <v>471.5</v>
      </c>
      <c r="P598" s="51"/>
      <c r="Q598" s="51"/>
      <c r="R598" s="73">
        <f t="shared" si="349"/>
        <v>230.426470588235</v>
      </c>
      <c r="S598" s="73"/>
      <c r="T598" s="74">
        <f t="shared" si="350"/>
        <v>0.318627450980392</v>
      </c>
      <c r="U598" s="73"/>
      <c r="V598" s="73"/>
      <c r="W598" s="73">
        <f t="shared" si="342"/>
        <v>230.745098039216</v>
      </c>
      <c r="X598" s="75">
        <f t="shared" si="351"/>
        <v>3.64490196078431</v>
      </c>
      <c r="Y598" s="75"/>
      <c r="Z598" s="75"/>
      <c r="AA598" s="75">
        <f t="shared" si="343"/>
        <v>3.64490196078431</v>
      </c>
      <c r="AB598" s="84">
        <v>7.22</v>
      </c>
      <c r="AC598" s="73">
        <f t="shared" si="347"/>
        <v>26.3161921568627</v>
      </c>
      <c r="AD598" s="73">
        <f t="shared" si="348"/>
        <v>257.061290196078</v>
      </c>
      <c r="AE598" s="73">
        <f t="shared" si="344"/>
        <v>214.438709803922</v>
      </c>
    </row>
    <row r="599" customFormat="1" spans="1:31">
      <c r="A599" s="18"/>
      <c r="B599" s="19"/>
      <c r="C599" s="20">
        <v>240514000008</v>
      </c>
      <c r="D599" s="21">
        <v>45432</v>
      </c>
      <c r="E599" s="21" t="s">
        <v>37</v>
      </c>
      <c r="F599" s="19" t="s">
        <v>38</v>
      </c>
      <c r="G599" s="19" t="s">
        <v>386</v>
      </c>
      <c r="H599" s="19">
        <v>30.5</v>
      </c>
      <c r="I599" s="41">
        <v>1859.5</v>
      </c>
      <c r="J599" s="42"/>
      <c r="K599" s="43"/>
      <c r="L599" s="19"/>
      <c r="M599" s="44"/>
      <c r="N599" s="45"/>
      <c r="O599" s="46">
        <f t="shared" si="352"/>
        <v>1859.5</v>
      </c>
      <c r="P599" s="51"/>
      <c r="Q599" s="51"/>
      <c r="R599" s="73">
        <f t="shared" si="349"/>
        <v>1405.60147058824</v>
      </c>
      <c r="S599" s="73"/>
      <c r="T599" s="74">
        <f t="shared" si="350"/>
        <v>1.94362745098039</v>
      </c>
      <c r="U599" s="73">
        <v>60</v>
      </c>
      <c r="V599" s="73"/>
      <c r="W599" s="73">
        <f t="shared" si="342"/>
        <v>1467.54509803922</v>
      </c>
      <c r="X599" s="75">
        <f t="shared" si="351"/>
        <v>22.2339019607843</v>
      </c>
      <c r="Y599" s="75"/>
      <c r="Z599" s="75"/>
      <c r="AA599" s="75">
        <f t="shared" si="343"/>
        <v>22.2339019607843</v>
      </c>
      <c r="AB599" s="84">
        <v>7.22</v>
      </c>
      <c r="AC599" s="73">
        <f t="shared" si="347"/>
        <v>160.528772156863</v>
      </c>
      <c r="AD599" s="73">
        <f t="shared" si="348"/>
        <v>1628.07387019608</v>
      </c>
      <c r="AE599" s="73">
        <f t="shared" si="344"/>
        <v>231.42612980392</v>
      </c>
    </row>
    <row r="600" customFormat="1" spans="1:31">
      <c r="A600" s="18"/>
      <c r="B600" s="19"/>
      <c r="C600" s="22">
        <v>240514000014</v>
      </c>
      <c r="D600" s="23">
        <v>45432</v>
      </c>
      <c r="E600" s="21" t="s">
        <v>54</v>
      </c>
      <c r="F600" s="24" t="s">
        <v>54</v>
      </c>
      <c r="G600" s="24" t="s">
        <v>90</v>
      </c>
      <c r="H600" s="24">
        <v>534</v>
      </c>
      <c r="I600" s="41">
        <v>29416</v>
      </c>
      <c r="J600" s="42"/>
      <c r="K600" s="43"/>
      <c r="L600" s="19"/>
      <c r="M600" s="44"/>
      <c r="N600" s="45"/>
      <c r="O600" s="46">
        <f t="shared" si="352"/>
        <v>29416</v>
      </c>
      <c r="P600" s="51"/>
      <c r="Q600" s="51"/>
      <c r="R600" s="73">
        <f t="shared" si="349"/>
        <v>24609.5470588235</v>
      </c>
      <c r="S600" s="73"/>
      <c r="T600" s="74">
        <f t="shared" si="350"/>
        <v>34.0294117647059</v>
      </c>
      <c r="U600" s="73"/>
      <c r="V600" s="73"/>
      <c r="W600" s="73">
        <f t="shared" si="342"/>
        <v>24643.5764705882</v>
      </c>
      <c r="X600" s="75">
        <f t="shared" si="351"/>
        <v>389.275529411765</v>
      </c>
      <c r="Y600" s="75"/>
      <c r="Z600" s="75"/>
      <c r="AA600" s="75">
        <f t="shared" si="343"/>
        <v>389.275529411765</v>
      </c>
      <c r="AB600" s="84">
        <v>7.22</v>
      </c>
      <c r="AC600" s="73">
        <f t="shared" si="347"/>
        <v>2810.56932235294</v>
      </c>
      <c r="AD600" s="73">
        <f t="shared" si="348"/>
        <v>27454.1457929412</v>
      </c>
      <c r="AE600" s="73">
        <f t="shared" si="344"/>
        <v>1961.8542070588</v>
      </c>
    </row>
    <row r="601" customFormat="1" spans="1:31">
      <c r="A601" s="18"/>
      <c r="B601" s="19"/>
      <c r="C601" s="20">
        <v>240514000017</v>
      </c>
      <c r="D601" s="21">
        <v>45432</v>
      </c>
      <c r="E601" s="21" t="s">
        <v>47</v>
      </c>
      <c r="F601" s="19" t="s">
        <v>48</v>
      </c>
      <c r="G601" s="19" t="s">
        <v>387</v>
      </c>
      <c r="H601" s="19">
        <v>4</v>
      </c>
      <c r="I601" s="41">
        <v>260</v>
      </c>
      <c r="J601" s="42"/>
      <c r="K601" s="43"/>
      <c r="L601" s="19"/>
      <c r="M601" s="44"/>
      <c r="N601" s="45"/>
      <c r="O601" s="46">
        <f t="shared" si="352"/>
        <v>260</v>
      </c>
      <c r="P601" s="51"/>
      <c r="Q601" s="51"/>
      <c r="R601" s="73">
        <f t="shared" si="349"/>
        <v>184.341176470588</v>
      </c>
      <c r="S601" s="73"/>
      <c r="T601" s="74">
        <f t="shared" si="350"/>
        <v>0.254901960784314</v>
      </c>
      <c r="U601" s="73"/>
      <c r="V601" s="73"/>
      <c r="W601" s="73">
        <f t="shared" si="342"/>
        <v>184.596078431373</v>
      </c>
      <c r="X601" s="75">
        <f t="shared" si="351"/>
        <v>2.91592156862745</v>
      </c>
      <c r="Y601" s="75"/>
      <c r="Z601" s="75"/>
      <c r="AA601" s="75">
        <f t="shared" si="343"/>
        <v>2.91592156862745</v>
      </c>
      <c r="AB601" s="84">
        <v>7.22</v>
      </c>
      <c r="AC601" s="73">
        <f t="shared" si="347"/>
        <v>21.0529537254902</v>
      </c>
      <c r="AD601" s="73">
        <f t="shared" si="348"/>
        <v>205.649032156863</v>
      </c>
      <c r="AE601" s="73">
        <f t="shared" si="344"/>
        <v>54.350967843137</v>
      </c>
    </row>
    <row r="602" customFormat="1" spans="1:31">
      <c r="A602" s="18"/>
      <c r="B602" s="19"/>
      <c r="C602" s="20">
        <v>240514000028</v>
      </c>
      <c r="D602" s="21">
        <v>45432</v>
      </c>
      <c r="E602" s="21" t="s">
        <v>37</v>
      </c>
      <c r="F602" s="19" t="s">
        <v>38</v>
      </c>
      <c r="G602" s="19" t="s">
        <v>143</v>
      </c>
      <c r="H602" s="19">
        <v>53.5</v>
      </c>
      <c r="I602" s="41">
        <v>3488</v>
      </c>
      <c r="J602" s="42"/>
      <c r="K602" s="43"/>
      <c r="L602" s="19"/>
      <c r="M602" s="44"/>
      <c r="N602" s="45"/>
      <c r="O602" s="46">
        <f t="shared" si="352"/>
        <v>3488</v>
      </c>
      <c r="P602" s="51"/>
      <c r="Q602" s="51"/>
      <c r="R602" s="73">
        <f t="shared" si="349"/>
        <v>2465.56323529412</v>
      </c>
      <c r="S602" s="73"/>
      <c r="T602" s="74">
        <f t="shared" si="350"/>
        <v>3.4093137254902</v>
      </c>
      <c r="U602" s="73"/>
      <c r="V602" s="73"/>
      <c r="W602" s="73">
        <f t="shared" si="342"/>
        <v>2468.97254901961</v>
      </c>
      <c r="X602" s="75">
        <f t="shared" si="351"/>
        <v>39.0004509803922</v>
      </c>
      <c r="Y602" s="75"/>
      <c r="Z602" s="75"/>
      <c r="AA602" s="75">
        <f t="shared" si="343"/>
        <v>39.0004509803922</v>
      </c>
      <c r="AB602" s="84">
        <v>7.22</v>
      </c>
      <c r="AC602" s="73">
        <f t="shared" si="347"/>
        <v>281.583256078431</v>
      </c>
      <c r="AD602" s="73">
        <f t="shared" si="348"/>
        <v>2750.55580509804</v>
      </c>
      <c r="AE602" s="73">
        <f t="shared" si="344"/>
        <v>737.44419490196</v>
      </c>
    </row>
    <row r="603" customFormat="1" spans="1:31">
      <c r="A603" s="18"/>
      <c r="B603" s="19"/>
      <c r="C603" s="20">
        <v>240514000036</v>
      </c>
      <c r="D603" s="21">
        <v>45432</v>
      </c>
      <c r="E603" s="21" t="s">
        <v>47</v>
      </c>
      <c r="F603" s="19" t="s">
        <v>48</v>
      </c>
      <c r="G603" s="19" t="s">
        <v>49</v>
      </c>
      <c r="H603" s="19">
        <v>0.96</v>
      </c>
      <c r="I603" s="41">
        <v>73.7</v>
      </c>
      <c r="J603" s="42"/>
      <c r="K603" s="43"/>
      <c r="L603" s="19"/>
      <c r="M603" s="44"/>
      <c r="N603" s="45"/>
      <c r="O603" s="46">
        <f t="shared" si="352"/>
        <v>73.7</v>
      </c>
      <c r="P603" s="51"/>
      <c r="Q603" s="51"/>
      <c r="R603" s="73">
        <f t="shared" si="349"/>
        <v>44.2418823529412</v>
      </c>
      <c r="S603" s="73"/>
      <c r="T603" s="74">
        <f t="shared" si="350"/>
        <v>0.0611764705882353</v>
      </c>
      <c r="U603" s="73"/>
      <c r="V603" s="73"/>
      <c r="W603" s="73">
        <f t="shared" si="342"/>
        <v>44.3030588235294</v>
      </c>
      <c r="X603" s="75">
        <f t="shared" si="351"/>
        <v>0.699821176470588</v>
      </c>
      <c r="Y603" s="75"/>
      <c r="Z603" s="75"/>
      <c r="AA603" s="75">
        <f t="shared" si="343"/>
        <v>0.699821176470588</v>
      </c>
      <c r="AB603" s="84">
        <v>7.22</v>
      </c>
      <c r="AC603" s="73">
        <f t="shared" si="347"/>
        <v>5.05270889411765</v>
      </c>
      <c r="AD603" s="73">
        <f t="shared" si="348"/>
        <v>49.3557677176471</v>
      </c>
      <c r="AE603" s="73">
        <f t="shared" si="344"/>
        <v>24.3442322823529</v>
      </c>
    </row>
    <row r="604" customFormat="1" spans="1:31">
      <c r="A604" s="18"/>
      <c r="B604" s="19"/>
      <c r="C604" s="20">
        <v>240514000052</v>
      </c>
      <c r="D604" s="21">
        <v>45432</v>
      </c>
      <c r="E604" s="21" t="s">
        <v>41</v>
      </c>
      <c r="F604" s="19" t="s">
        <v>42</v>
      </c>
      <c r="G604" s="19" t="s">
        <v>390</v>
      </c>
      <c r="H604" s="19">
        <v>9</v>
      </c>
      <c r="I604" s="52"/>
      <c r="J604" s="48">
        <v>125172</v>
      </c>
      <c r="K604" s="43"/>
      <c r="L604" s="49">
        <f>SUM(J604/M604)</f>
        <v>1761.74524982407</v>
      </c>
      <c r="M604" s="50">
        <v>71.05</v>
      </c>
      <c r="N604" s="89">
        <v>7.22</v>
      </c>
      <c r="O604" s="46">
        <f>SUM(M604*N604)</f>
        <v>512.981</v>
      </c>
      <c r="P604" s="51"/>
      <c r="Q604" s="51"/>
      <c r="R604" s="73">
        <f t="shared" si="349"/>
        <v>414.767647058824</v>
      </c>
      <c r="S604" s="73"/>
      <c r="T604" s="74">
        <f t="shared" si="350"/>
        <v>0.573529411764706</v>
      </c>
      <c r="U604" s="73"/>
      <c r="V604" s="73"/>
      <c r="W604" s="73">
        <f t="shared" si="342"/>
        <v>415.341176470588</v>
      </c>
      <c r="X604" s="75">
        <f t="shared" si="351"/>
        <v>6.56082352941176</v>
      </c>
      <c r="Y604" s="75"/>
      <c r="Z604" s="75"/>
      <c r="AA604" s="75">
        <f t="shared" si="343"/>
        <v>6.56082352941176</v>
      </c>
      <c r="AB604" s="84">
        <v>7.22</v>
      </c>
      <c r="AC604" s="73">
        <f t="shared" si="347"/>
        <v>47.3691458823529</v>
      </c>
      <c r="AD604" s="73">
        <f t="shared" ref="AD604:AD635" si="353">SUM(W604+AC604)</f>
        <v>462.710322352941</v>
      </c>
      <c r="AE604" s="73">
        <f t="shared" si="344"/>
        <v>50.270677647059</v>
      </c>
    </row>
    <row r="605" customFormat="1" spans="1:31">
      <c r="A605" s="18"/>
      <c r="B605" s="19"/>
      <c r="C605" s="20">
        <v>240514000057</v>
      </c>
      <c r="D605" s="21">
        <v>45432</v>
      </c>
      <c r="E605" s="21" t="s">
        <v>41</v>
      </c>
      <c r="F605" s="19" t="s">
        <v>42</v>
      </c>
      <c r="G605" s="19" t="s">
        <v>147</v>
      </c>
      <c r="H605" s="19">
        <v>0.64</v>
      </c>
      <c r="I605" s="52"/>
      <c r="J605" s="48">
        <v>12180</v>
      </c>
      <c r="K605" s="43"/>
      <c r="L605" s="49">
        <f>SUM(J605/M605)</f>
        <v>1516.81195516812</v>
      </c>
      <c r="M605" s="50">
        <v>8.03</v>
      </c>
      <c r="N605" s="45">
        <v>7.22</v>
      </c>
      <c r="O605" s="46">
        <f>SUM(M605*N605)</f>
        <v>57.9766</v>
      </c>
      <c r="P605" s="51"/>
      <c r="Q605" s="51"/>
      <c r="R605" s="73">
        <f t="shared" si="349"/>
        <v>29.4945882352941</v>
      </c>
      <c r="S605" s="73"/>
      <c r="T605" s="74">
        <f t="shared" si="350"/>
        <v>0.0407843137254902</v>
      </c>
      <c r="U605" s="73"/>
      <c r="V605" s="73"/>
      <c r="W605" s="73">
        <f t="shared" si="342"/>
        <v>29.5353725490196</v>
      </c>
      <c r="X605" s="75">
        <f t="shared" si="351"/>
        <v>0.466547450980392</v>
      </c>
      <c r="Y605" s="75"/>
      <c r="Z605" s="75"/>
      <c r="AA605" s="75">
        <f t="shared" si="343"/>
        <v>0.466547450980392</v>
      </c>
      <c r="AB605" s="84">
        <v>7.22</v>
      </c>
      <c r="AC605" s="73">
        <f t="shared" ref="AC605:AC636" si="354">SUM(AA605*AB605)</f>
        <v>3.36847259607843</v>
      </c>
      <c r="AD605" s="73">
        <f t="shared" si="353"/>
        <v>32.903845145098</v>
      </c>
      <c r="AE605" s="73">
        <f t="shared" si="344"/>
        <v>25.072754854902</v>
      </c>
    </row>
    <row r="606" customFormat="1" spans="1:31">
      <c r="A606" s="18"/>
      <c r="B606" s="19"/>
      <c r="C606" s="20">
        <v>240514000060</v>
      </c>
      <c r="D606" s="21">
        <v>45432</v>
      </c>
      <c r="E606" s="21" t="s">
        <v>54</v>
      </c>
      <c r="F606" s="19" t="s">
        <v>54</v>
      </c>
      <c r="G606" s="19" t="s">
        <v>92</v>
      </c>
      <c r="H606" s="19">
        <v>514.5</v>
      </c>
      <c r="I606" s="41">
        <v>25982.25</v>
      </c>
      <c r="J606" s="42"/>
      <c r="K606" s="43"/>
      <c r="L606" s="19"/>
      <c r="M606" s="44"/>
      <c r="N606" s="45"/>
      <c r="O606" s="46">
        <f t="shared" ref="O606:O611" si="355">SUM(I606)</f>
        <v>25982.25</v>
      </c>
      <c r="P606" s="53"/>
      <c r="Q606" s="53"/>
      <c r="R606" s="73">
        <f t="shared" si="349"/>
        <v>23710.8838235294</v>
      </c>
      <c r="S606" s="73"/>
      <c r="T606" s="74">
        <f t="shared" si="350"/>
        <v>32.7867647058823</v>
      </c>
      <c r="U606" s="73"/>
      <c r="V606" s="73"/>
      <c r="W606" s="73">
        <f t="shared" ref="W606:W637" si="356">SUM(R606:V606)</f>
        <v>23743.6705882353</v>
      </c>
      <c r="X606" s="75">
        <f t="shared" si="351"/>
        <v>375.060411764706</v>
      </c>
      <c r="Y606" s="75"/>
      <c r="Z606" s="75"/>
      <c r="AA606" s="75">
        <f t="shared" ref="AA606:AA637" si="357">SUM(X606:Z606)</f>
        <v>375.060411764706</v>
      </c>
      <c r="AB606" s="84">
        <v>7.22</v>
      </c>
      <c r="AC606" s="73">
        <f t="shared" si="354"/>
        <v>2707.93617294118</v>
      </c>
      <c r="AD606" s="73">
        <f t="shared" si="353"/>
        <v>26451.6067611765</v>
      </c>
      <c r="AE606" s="73">
        <f t="shared" ref="AE606:AE637" si="358">SUM(O606-AD606)</f>
        <v>-469.35676117647</v>
      </c>
    </row>
    <row r="607" customFormat="1" spans="1:31">
      <c r="A607" s="18" t="s">
        <v>428</v>
      </c>
      <c r="B607" s="19" t="s">
        <v>429</v>
      </c>
      <c r="C607" s="20">
        <v>240508000011</v>
      </c>
      <c r="D607" s="21">
        <v>45435</v>
      </c>
      <c r="E607" s="21" t="s">
        <v>41</v>
      </c>
      <c r="F607" s="19" t="s">
        <v>42</v>
      </c>
      <c r="G607" s="19" t="s">
        <v>430</v>
      </c>
      <c r="H607" s="19">
        <v>23.5</v>
      </c>
      <c r="I607" s="41">
        <v>1362.5</v>
      </c>
      <c r="J607" s="42"/>
      <c r="K607" s="44"/>
      <c r="L607" s="19"/>
      <c r="M607" s="44"/>
      <c r="N607" s="45"/>
      <c r="O607" s="46">
        <f t="shared" si="355"/>
        <v>1362.5</v>
      </c>
      <c r="P607" s="47">
        <f>SUM(O607:O656)</f>
        <v>76926.49861444</v>
      </c>
      <c r="Q607" s="47" t="s">
        <v>59</v>
      </c>
      <c r="R607" s="73">
        <f>SUM(57657.7/1227)*H607</f>
        <v>1104.28357783211</v>
      </c>
      <c r="S607" s="73"/>
      <c r="T607" s="74">
        <f>SUM(120/1227)*H607</f>
        <v>2.29828850855746</v>
      </c>
      <c r="U607" s="73"/>
      <c r="V607" s="73"/>
      <c r="W607" s="73">
        <f t="shared" si="356"/>
        <v>1106.58186634067</v>
      </c>
      <c r="X607" s="75">
        <f>SUM(1022.16/1227)*H607</f>
        <v>19.5768215158924</v>
      </c>
      <c r="Y607" s="75"/>
      <c r="Z607" s="75"/>
      <c r="AA607" s="75">
        <f t="shared" si="357"/>
        <v>19.5768215158924</v>
      </c>
      <c r="AB607" s="84">
        <v>7.22</v>
      </c>
      <c r="AC607" s="73">
        <f t="shared" si="354"/>
        <v>141.344651344743</v>
      </c>
      <c r="AD607" s="73">
        <f t="shared" si="353"/>
        <v>1247.92651768541</v>
      </c>
      <c r="AE607" s="73">
        <f t="shared" si="358"/>
        <v>114.573482314589</v>
      </c>
    </row>
    <row r="608" customFormat="1" spans="1:31">
      <c r="A608" s="18"/>
      <c r="B608" s="19"/>
      <c r="C608" s="20">
        <v>240511000002</v>
      </c>
      <c r="D608" s="21">
        <v>45435</v>
      </c>
      <c r="E608" s="21" t="s">
        <v>44</v>
      </c>
      <c r="F608" s="19" t="s">
        <v>45</v>
      </c>
      <c r="G608" s="19" t="s">
        <v>175</v>
      </c>
      <c r="H608" s="19">
        <v>17</v>
      </c>
      <c r="I608" s="52"/>
      <c r="J608" s="48">
        <v>251300.8</v>
      </c>
      <c r="K608" s="44"/>
      <c r="L608" s="49">
        <f>SUM(J608/M608)</f>
        <v>1752.93526785714</v>
      </c>
      <c r="M608" s="50">
        <v>143.36</v>
      </c>
      <c r="N608" s="45">
        <v>7.22</v>
      </c>
      <c r="O608" s="46">
        <f>SUM(M608*N608)</f>
        <v>1035.0592</v>
      </c>
      <c r="P608" s="51"/>
      <c r="Q608" s="51"/>
      <c r="R608" s="73">
        <f t="shared" ref="R608:R639" si="359">SUM(57657.7/1227)*H608</f>
        <v>798.843439282804</v>
      </c>
      <c r="S608" s="73"/>
      <c r="T608" s="74">
        <f t="shared" ref="T608:T639" si="360">SUM(120/1227)*H608</f>
        <v>1.66259168704156</v>
      </c>
      <c r="U608" s="73"/>
      <c r="V608" s="73"/>
      <c r="W608" s="73">
        <f t="shared" si="356"/>
        <v>800.506030969845</v>
      </c>
      <c r="X608" s="75">
        <f t="shared" ref="X608:X639" si="361">SUM(1022.16/1227)*H608</f>
        <v>14.16195599022</v>
      </c>
      <c r="Y608" s="75"/>
      <c r="Z608" s="75"/>
      <c r="AA608" s="75">
        <f t="shared" si="357"/>
        <v>14.16195599022</v>
      </c>
      <c r="AB608" s="84">
        <v>7.22</v>
      </c>
      <c r="AC608" s="73">
        <f t="shared" si="354"/>
        <v>102.249322249389</v>
      </c>
      <c r="AD608" s="73">
        <f t="shared" si="353"/>
        <v>902.755353219234</v>
      </c>
      <c r="AE608" s="73">
        <f t="shared" si="358"/>
        <v>132.303846780766</v>
      </c>
    </row>
    <row r="609" customFormat="1" spans="1:31">
      <c r="A609" s="18"/>
      <c r="B609" s="19"/>
      <c r="C609" s="20">
        <v>240511000008</v>
      </c>
      <c r="D609" s="21">
        <v>45435</v>
      </c>
      <c r="E609" s="21" t="s">
        <v>37</v>
      </c>
      <c r="F609" s="19" t="s">
        <v>38</v>
      </c>
      <c r="G609" s="19" t="s">
        <v>431</v>
      </c>
      <c r="H609" s="19">
        <v>0.1</v>
      </c>
      <c r="I609" s="41">
        <v>67</v>
      </c>
      <c r="J609" s="42"/>
      <c r="K609" s="44"/>
      <c r="L609" s="19"/>
      <c r="M609" s="44"/>
      <c r="N609" s="45"/>
      <c r="O609" s="46">
        <f t="shared" si="355"/>
        <v>67</v>
      </c>
      <c r="P609" s="51"/>
      <c r="Q609" s="51"/>
      <c r="R609" s="73">
        <f t="shared" si="359"/>
        <v>4.69907905460473</v>
      </c>
      <c r="S609" s="73"/>
      <c r="T609" s="74">
        <f t="shared" si="360"/>
        <v>0.0097799511002445</v>
      </c>
      <c r="U609" s="73"/>
      <c r="V609" s="73"/>
      <c r="W609" s="73">
        <f t="shared" si="356"/>
        <v>4.70885900570497</v>
      </c>
      <c r="X609" s="75">
        <f t="shared" si="361"/>
        <v>0.0833056234718826</v>
      </c>
      <c r="Y609" s="75"/>
      <c r="Z609" s="75"/>
      <c r="AA609" s="75">
        <f t="shared" si="357"/>
        <v>0.0833056234718826</v>
      </c>
      <c r="AB609" s="84">
        <v>7.22</v>
      </c>
      <c r="AC609" s="73">
        <f t="shared" si="354"/>
        <v>0.601466601466993</v>
      </c>
      <c r="AD609" s="73">
        <f t="shared" si="353"/>
        <v>5.31032560717196</v>
      </c>
      <c r="AE609" s="73">
        <f t="shared" si="358"/>
        <v>61.689674392828</v>
      </c>
    </row>
    <row r="610" customFormat="1" spans="1:31">
      <c r="A610" s="18"/>
      <c r="B610" s="19"/>
      <c r="C610" s="20">
        <v>240513000007</v>
      </c>
      <c r="D610" s="21">
        <v>45435</v>
      </c>
      <c r="E610" s="21" t="s">
        <v>47</v>
      </c>
      <c r="F610" s="19" t="s">
        <v>48</v>
      </c>
      <c r="G610" s="19" t="s">
        <v>432</v>
      </c>
      <c r="H610" s="19">
        <v>2</v>
      </c>
      <c r="I610" s="41">
        <v>166.6</v>
      </c>
      <c r="J610" s="42"/>
      <c r="K610" s="44"/>
      <c r="L610" s="19"/>
      <c r="M610" s="44"/>
      <c r="N610" s="45"/>
      <c r="O610" s="46">
        <f t="shared" si="355"/>
        <v>166.6</v>
      </c>
      <c r="P610" s="51"/>
      <c r="Q610" s="51"/>
      <c r="R610" s="73">
        <f t="shared" si="359"/>
        <v>93.9815810920945</v>
      </c>
      <c r="S610" s="73"/>
      <c r="T610" s="74">
        <f t="shared" si="360"/>
        <v>0.19559902200489</v>
      </c>
      <c r="U610" s="73"/>
      <c r="V610" s="73"/>
      <c r="W610" s="73">
        <f t="shared" si="356"/>
        <v>94.1771801140994</v>
      </c>
      <c r="X610" s="75">
        <f t="shared" si="361"/>
        <v>1.66611246943765</v>
      </c>
      <c r="Y610" s="75"/>
      <c r="Z610" s="75"/>
      <c r="AA610" s="75">
        <f t="shared" si="357"/>
        <v>1.66611246943765</v>
      </c>
      <c r="AB610" s="84">
        <v>7.22</v>
      </c>
      <c r="AC610" s="73">
        <f t="shared" si="354"/>
        <v>12.0293320293399</v>
      </c>
      <c r="AD610" s="73">
        <f t="shared" si="353"/>
        <v>106.206512143439</v>
      </c>
      <c r="AE610" s="73">
        <f t="shared" si="358"/>
        <v>60.3934878565607</v>
      </c>
    </row>
    <row r="611" customFormat="1" spans="1:31">
      <c r="A611" s="18"/>
      <c r="B611" s="19"/>
      <c r="C611" s="20">
        <v>240513000020</v>
      </c>
      <c r="D611" s="21">
        <v>45435</v>
      </c>
      <c r="E611" s="21" t="s">
        <v>44</v>
      </c>
      <c r="F611" s="19" t="s">
        <v>45</v>
      </c>
      <c r="G611" s="19" t="s">
        <v>433</v>
      </c>
      <c r="H611" s="19">
        <v>11</v>
      </c>
      <c r="I611" s="41">
        <v>855.4</v>
      </c>
      <c r="J611" s="42"/>
      <c r="K611" s="44"/>
      <c r="L611" s="19"/>
      <c r="M611" s="44"/>
      <c r="N611" s="45"/>
      <c r="O611" s="46">
        <f t="shared" si="355"/>
        <v>855.4</v>
      </c>
      <c r="P611" s="51"/>
      <c r="Q611" s="51"/>
      <c r="R611" s="73">
        <f t="shared" si="359"/>
        <v>516.89869600652</v>
      </c>
      <c r="S611" s="73"/>
      <c r="T611" s="74">
        <f t="shared" si="360"/>
        <v>1.07579462102689</v>
      </c>
      <c r="U611" s="73"/>
      <c r="V611" s="73"/>
      <c r="W611" s="73">
        <f t="shared" si="356"/>
        <v>517.974490627547</v>
      </c>
      <c r="X611" s="75">
        <f t="shared" si="361"/>
        <v>9.16361858190709</v>
      </c>
      <c r="Y611" s="75"/>
      <c r="Z611" s="75"/>
      <c r="AA611" s="75">
        <f t="shared" si="357"/>
        <v>9.16361858190709</v>
      </c>
      <c r="AB611" s="84">
        <v>7.22</v>
      </c>
      <c r="AC611" s="73">
        <f t="shared" si="354"/>
        <v>66.1613261613692</v>
      </c>
      <c r="AD611" s="73">
        <f t="shared" si="353"/>
        <v>584.135816788916</v>
      </c>
      <c r="AE611" s="73">
        <f t="shared" si="358"/>
        <v>271.264183211084</v>
      </c>
    </row>
    <row r="612" customFormat="1" spans="1:31">
      <c r="A612" s="18"/>
      <c r="B612" s="19"/>
      <c r="C612" s="20">
        <v>240513000035</v>
      </c>
      <c r="D612" s="21">
        <v>45435</v>
      </c>
      <c r="E612" s="21" t="s">
        <v>44</v>
      </c>
      <c r="F612" s="19" t="s">
        <v>45</v>
      </c>
      <c r="G612" s="19" t="s">
        <v>434</v>
      </c>
      <c r="H612" s="19">
        <v>18.5</v>
      </c>
      <c r="I612" s="52"/>
      <c r="J612" s="48">
        <v>253333</v>
      </c>
      <c r="K612" s="44"/>
      <c r="L612" s="49">
        <f>SUM(J612/M612)</f>
        <v>1465.70816940523</v>
      </c>
      <c r="M612" s="50">
        <v>172.84</v>
      </c>
      <c r="N612" s="45">
        <v>7.22</v>
      </c>
      <c r="O612" s="46">
        <f>SUM(M612*N612)</f>
        <v>1247.9048</v>
      </c>
      <c r="P612" s="51"/>
      <c r="Q612" s="51"/>
      <c r="R612" s="73">
        <f t="shared" si="359"/>
        <v>869.329625101874</v>
      </c>
      <c r="S612" s="73"/>
      <c r="T612" s="74">
        <f t="shared" si="360"/>
        <v>1.80929095354523</v>
      </c>
      <c r="U612" s="73"/>
      <c r="V612" s="73"/>
      <c r="W612" s="73">
        <f t="shared" si="356"/>
        <v>871.13891605542</v>
      </c>
      <c r="X612" s="75">
        <f t="shared" si="361"/>
        <v>15.4115403422983</v>
      </c>
      <c r="Y612" s="75"/>
      <c r="Z612" s="75"/>
      <c r="AA612" s="75">
        <f t="shared" si="357"/>
        <v>15.4115403422983</v>
      </c>
      <c r="AB612" s="84">
        <v>7.22</v>
      </c>
      <c r="AC612" s="73">
        <f t="shared" si="354"/>
        <v>111.271321271394</v>
      </c>
      <c r="AD612" s="73">
        <f t="shared" si="353"/>
        <v>982.410237326813</v>
      </c>
      <c r="AE612" s="73">
        <f t="shared" si="358"/>
        <v>265.494562673187</v>
      </c>
    </row>
    <row r="613" customFormat="1" spans="1:31">
      <c r="A613" s="18"/>
      <c r="B613" s="19"/>
      <c r="C613" s="20">
        <v>240513000040</v>
      </c>
      <c r="D613" s="21">
        <v>45435</v>
      </c>
      <c r="E613" s="21" t="s">
        <v>47</v>
      </c>
      <c r="F613" s="19" t="s">
        <v>48</v>
      </c>
      <c r="G613" s="19" t="s">
        <v>53</v>
      </c>
      <c r="H613" s="19">
        <v>16</v>
      </c>
      <c r="I613" s="41">
        <v>974</v>
      </c>
      <c r="J613" s="42"/>
      <c r="K613" s="44"/>
      <c r="L613" s="19"/>
      <c r="M613" s="44"/>
      <c r="N613" s="45"/>
      <c r="O613" s="46">
        <f t="shared" ref="O613:O622" si="362">SUM(I613)</f>
        <v>974</v>
      </c>
      <c r="P613" s="51"/>
      <c r="Q613" s="51"/>
      <c r="R613" s="73">
        <f t="shared" si="359"/>
        <v>751.852648736756</v>
      </c>
      <c r="S613" s="73"/>
      <c r="T613" s="74">
        <f t="shared" si="360"/>
        <v>1.56479217603912</v>
      </c>
      <c r="U613" s="73"/>
      <c r="V613" s="73"/>
      <c r="W613" s="73">
        <f t="shared" si="356"/>
        <v>753.417440912795</v>
      </c>
      <c r="X613" s="75">
        <f t="shared" si="361"/>
        <v>13.3288997555012</v>
      </c>
      <c r="Y613" s="75"/>
      <c r="Z613" s="75"/>
      <c r="AA613" s="75">
        <f t="shared" si="357"/>
        <v>13.3288997555012</v>
      </c>
      <c r="AB613" s="84">
        <v>7.22</v>
      </c>
      <c r="AC613" s="73">
        <f t="shared" si="354"/>
        <v>96.2346562347188</v>
      </c>
      <c r="AD613" s="73">
        <f t="shared" si="353"/>
        <v>849.652097147514</v>
      </c>
      <c r="AE613" s="73">
        <f t="shared" si="358"/>
        <v>124.347902852486</v>
      </c>
    </row>
    <row r="614" customFormat="1" spans="1:31">
      <c r="A614" s="18"/>
      <c r="B614" s="19"/>
      <c r="C614" s="20">
        <v>240513000047</v>
      </c>
      <c r="D614" s="21">
        <v>45435</v>
      </c>
      <c r="E614" s="21" t="s">
        <v>47</v>
      </c>
      <c r="F614" s="19" t="s">
        <v>48</v>
      </c>
      <c r="G614" s="19" t="s">
        <v>74</v>
      </c>
      <c r="H614" s="19">
        <v>4</v>
      </c>
      <c r="I614" s="46"/>
      <c r="J614" s="48">
        <v>53126</v>
      </c>
      <c r="K614" s="44"/>
      <c r="L614" s="49">
        <f>SUM(J614/M614)</f>
        <v>1467.9744974869</v>
      </c>
      <c r="M614" s="50">
        <v>36.190002</v>
      </c>
      <c r="N614" s="45">
        <v>7.22</v>
      </c>
      <c r="O614" s="46">
        <f>SUM(M614*N614)</f>
        <v>261.29181444</v>
      </c>
      <c r="P614" s="51"/>
      <c r="Q614" s="51"/>
      <c r="R614" s="73">
        <f t="shared" si="359"/>
        <v>187.963162184189</v>
      </c>
      <c r="S614" s="73"/>
      <c r="T614" s="74">
        <f t="shared" si="360"/>
        <v>0.39119804400978</v>
      </c>
      <c r="U614" s="73"/>
      <c r="V614" s="73"/>
      <c r="W614" s="73">
        <f t="shared" si="356"/>
        <v>188.354360228199</v>
      </c>
      <c r="X614" s="75">
        <f t="shared" si="361"/>
        <v>3.33222493887531</v>
      </c>
      <c r="Y614" s="75"/>
      <c r="Z614" s="75"/>
      <c r="AA614" s="75">
        <f t="shared" si="357"/>
        <v>3.33222493887531</v>
      </c>
      <c r="AB614" s="84">
        <v>7.22</v>
      </c>
      <c r="AC614" s="73">
        <f t="shared" si="354"/>
        <v>24.0586640586797</v>
      </c>
      <c r="AD614" s="73">
        <f t="shared" si="353"/>
        <v>212.413024286879</v>
      </c>
      <c r="AE614" s="73">
        <f t="shared" si="358"/>
        <v>48.8787901531215</v>
      </c>
    </row>
    <row r="615" customFormat="1" spans="1:31">
      <c r="A615" s="18"/>
      <c r="B615" s="19"/>
      <c r="C615" s="20">
        <v>240514000006</v>
      </c>
      <c r="D615" s="21">
        <v>45435</v>
      </c>
      <c r="E615" s="21" t="s">
        <v>37</v>
      </c>
      <c r="F615" s="19" t="s">
        <v>38</v>
      </c>
      <c r="G615" s="19" t="s">
        <v>377</v>
      </c>
      <c r="H615" s="19">
        <v>3</v>
      </c>
      <c r="I615" s="41">
        <v>215</v>
      </c>
      <c r="J615" s="42"/>
      <c r="K615" s="44"/>
      <c r="L615" s="19"/>
      <c r="M615" s="44"/>
      <c r="N615" s="45"/>
      <c r="O615" s="46">
        <f t="shared" si="362"/>
        <v>215</v>
      </c>
      <c r="P615" s="51"/>
      <c r="Q615" s="51"/>
      <c r="R615" s="73">
        <f t="shared" si="359"/>
        <v>140.972371638142</v>
      </c>
      <c r="S615" s="73"/>
      <c r="T615" s="74">
        <f t="shared" si="360"/>
        <v>0.293398533007335</v>
      </c>
      <c r="U615" s="73"/>
      <c r="V615" s="73"/>
      <c r="W615" s="73">
        <f t="shared" si="356"/>
        <v>141.265770171149</v>
      </c>
      <c r="X615" s="75">
        <f t="shared" si="361"/>
        <v>2.49916870415648</v>
      </c>
      <c r="Y615" s="75"/>
      <c r="Z615" s="75"/>
      <c r="AA615" s="75">
        <f t="shared" si="357"/>
        <v>2.49916870415648</v>
      </c>
      <c r="AB615" s="84">
        <v>7.22</v>
      </c>
      <c r="AC615" s="73">
        <f t="shared" si="354"/>
        <v>18.0439980440098</v>
      </c>
      <c r="AD615" s="73">
        <f t="shared" si="353"/>
        <v>159.309768215159</v>
      </c>
      <c r="AE615" s="73">
        <f t="shared" si="358"/>
        <v>55.6902317848411</v>
      </c>
    </row>
    <row r="616" customFormat="1" spans="1:31">
      <c r="A616" s="18"/>
      <c r="B616" s="19"/>
      <c r="C616" s="20">
        <v>240514000018</v>
      </c>
      <c r="D616" s="21">
        <v>45435</v>
      </c>
      <c r="E616" s="21" t="s">
        <v>44</v>
      </c>
      <c r="F616" s="19" t="s">
        <v>45</v>
      </c>
      <c r="G616" s="19" t="s">
        <v>435</v>
      </c>
      <c r="H616" s="19">
        <v>2</v>
      </c>
      <c r="I616" s="41">
        <v>130.9</v>
      </c>
      <c r="J616" s="42"/>
      <c r="K616" s="44"/>
      <c r="L616" s="19"/>
      <c r="M616" s="44"/>
      <c r="N616" s="45"/>
      <c r="O616" s="46">
        <f t="shared" si="362"/>
        <v>130.9</v>
      </c>
      <c r="P616" s="51"/>
      <c r="Q616" s="51"/>
      <c r="R616" s="73">
        <f t="shared" si="359"/>
        <v>93.9815810920945</v>
      </c>
      <c r="S616" s="73"/>
      <c r="T616" s="74">
        <f t="shared" si="360"/>
        <v>0.19559902200489</v>
      </c>
      <c r="U616" s="73"/>
      <c r="V616" s="73"/>
      <c r="W616" s="73">
        <f t="shared" si="356"/>
        <v>94.1771801140994</v>
      </c>
      <c r="X616" s="75">
        <f t="shared" si="361"/>
        <v>1.66611246943765</v>
      </c>
      <c r="Y616" s="75"/>
      <c r="Z616" s="75"/>
      <c r="AA616" s="75">
        <f t="shared" si="357"/>
        <v>1.66611246943765</v>
      </c>
      <c r="AB616" s="84">
        <v>7.22</v>
      </c>
      <c r="AC616" s="73">
        <f t="shared" si="354"/>
        <v>12.0293320293399</v>
      </c>
      <c r="AD616" s="73">
        <f t="shared" si="353"/>
        <v>106.206512143439</v>
      </c>
      <c r="AE616" s="73">
        <f t="shared" si="358"/>
        <v>24.6934878565607</v>
      </c>
    </row>
    <row r="617" customFormat="1" spans="1:31">
      <c r="A617" s="18"/>
      <c r="B617" s="19"/>
      <c r="C617" s="20">
        <v>240514000021</v>
      </c>
      <c r="D617" s="21">
        <v>45435</v>
      </c>
      <c r="E617" s="21" t="s">
        <v>41</v>
      </c>
      <c r="F617" s="19" t="s">
        <v>42</v>
      </c>
      <c r="G617" s="19" t="s">
        <v>436</v>
      </c>
      <c r="H617" s="19">
        <v>5.5</v>
      </c>
      <c r="I617" s="41">
        <v>454.2</v>
      </c>
      <c r="J617" s="42"/>
      <c r="K617" s="44"/>
      <c r="L617" s="19"/>
      <c r="M617" s="44"/>
      <c r="N617" s="45"/>
      <c r="O617" s="46">
        <f t="shared" si="362"/>
        <v>454.2</v>
      </c>
      <c r="P617" s="51"/>
      <c r="Q617" s="51"/>
      <c r="R617" s="73">
        <f t="shared" si="359"/>
        <v>258.44934800326</v>
      </c>
      <c r="S617" s="73"/>
      <c r="T617" s="74">
        <f t="shared" si="360"/>
        <v>0.537897310513447</v>
      </c>
      <c r="U617" s="73"/>
      <c r="V617" s="73"/>
      <c r="W617" s="73">
        <f t="shared" si="356"/>
        <v>258.987245313773</v>
      </c>
      <c r="X617" s="75">
        <f t="shared" si="361"/>
        <v>4.58180929095355</v>
      </c>
      <c r="Y617" s="75"/>
      <c r="Z617" s="75"/>
      <c r="AA617" s="75">
        <f t="shared" si="357"/>
        <v>4.58180929095355</v>
      </c>
      <c r="AB617" s="84">
        <v>7.22</v>
      </c>
      <c r="AC617" s="73">
        <f t="shared" si="354"/>
        <v>33.0806630806846</v>
      </c>
      <c r="AD617" s="73">
        <f t="shared" si="353"/>
        <v>292.067908394458</v>
      </c>
      <c r="AE617" s="73">
        <f t="shared" si="358"/>
        <v>162.132091605542</v>
      </c>
    </row>
    <row r="618" customFormat="1" spans="1:31">
      <c r="A618" s="18"/>
      <c r="B618" s="19"/>
      <c r="C618" s="20">
        <v>240514000023</v>
      </c>
      <c r="D618" s="21">
        <v>45435</v>
      </c>
      <c r="E618" s="21" t="s">
        <v>41</v>
      </c>
      <c r="F618" s="19" t="s">
        <v>42</v>
      </c>
      <c r="G618" s="19" t="s">
        <v>281</v>
      </c>
      <c r="H618" s="19">
        <v>11</v>
      </c>
      <c r="I618" s="41">
        <v>744.7</v>
      </c>
      <c r="J618" s="42"/>
      <c r="K618" s="44"/>
      <c r="L618" s="19"/>
      <c r="M618" s="44"/>
      <c r="N618" s="45"/>
      <c r="O618" s="46">
        <f t="shared" si="362"/>
        <v>744.7</v>
      </c>
      <c r="P618" s="51"/>
      <c r="Q618" s="51"/>
      <c r="R618" s="73">
        <f t="shared" si="359"/>
        <v>516.89869600652</v>
      </c>
      <c r="S618" s="73"/>
      <c r="T618" s="74">
        <f t="shared" si="360"/>
        <v>1.07579462102689</v>
      </c>
      <c r="U618" s="73"/>
      <c r="V618" s="73"/>
      <c r="W618" s="73">
        <f t="shared" si="356"/>
        <v>517.974490627547</v>
      </c>
      <c r="X618" s="75">
        <f t="shared" si="361"/>
        <v>9.16361858190709</v>
      </c>
      <c r="Y618" s="75"/>
      <c r="Z618" s="75"/>
      <c r="AA618" s="75">
        <f t="shared" si="357"/>
        <v>9.16361858190709</v>
      </c>
      <c r="AB618" s="84">
        <v>7.22</v>
      </c>
      <c r="AC618" s="73">
        <f t="shared" si="354"/>
        <v>66.1613261613692</v>
      </c>
      <c r="AD618" s="73">
        <f t="shared" si="353"/>
        <v>584.135816788916</v>
      </c>
      <c r="AE618" s="73">
        <f t="shared" si="358"/>
        <v>160.564183211084</v>
      </c>
    </row>
    <row r="619" customFormat="1" spans="1:31">
      <c r="A619" s="18"/>
      <c r="B619" s="19"/>
      <c r="C619" s="20">
        <v>240514000025</v>
      </c>
      <c r="D619" s="21">
        <v>45435</v>
      </c>
      <c r="E619" s="21" t="s">
        <v>54</v>
      </c>
      <c r="F619" s="19" t="s">
        <v>54</v>
      </c>
      <c r="G619" s="19" t="s">
        <v>100</v>
      </c>
      <c r="H619" s="19">
        <v>0.7</v>
      </c>
      <c r="I619" s="52">
        <v>67.1</v>
      </c>
      <c r="J619" s="42"/>
      <c r="K619" s="44"/>
      <c r="L619" s="19"/>
      <c r="M619" s="44"/>
      <c r="N619" s="45"/>
      <c r="O619" s="46">
        <f t="shared" si="362"/>
        <v>67.1</v>
      </c>
      <c r="P619" s="51"/>
      <c r="Q619" s="51"/>
      <c r="R619" s="73">
        <f t="shared" si="359"/>
        <v>32.8935533822331</v>
      </c>
      <c r="S619" s="73"/>
      <c r="T619" s="74">
        <f t="shared" si="360"/>
        <v>0.0684596577017115</v>
      </c>
      <c r="U619" s="73"/>
      <c r="V619" s="73"/>
      <c r="W619" s="73">
        <f t="shared" si="356"/>
        <v>32.9620130399348</v>
      </c>
      <c r="X619" s="75">
        <f t="shared" si="361"/>
        <v>0.583139364303178</v>
      </c>
      <c r="Y619" s="75"/>
      <c r="Z619" s="75"/>
      <c r="AA619" s="75">
        <f t="shared" si="357"/>
        <v>0.583139364303178</v>
      </c>
      <c r="AB619" s="84">
        <v>7.22</v>
      </c>
      <c r="AC619" s="73">
        <f t="shared" si="354"/>
        <v>4.21026621026895</v>
      </c>
      <c r="AD619" s="73">
        <f t="shared" si="353"/>
        <v>37.1722792502037</v>
      </c>
      <c r="AE619" s="73">
        <f t="shared" si="358"/>
        <v>29.9277207497963</v>
      </c>
    </row>
    <row r="620" customFormat="1" spans="1:31">
      <c r="A620" s="18"/>
      <c r="B620" s="19"/>
      <c r="C620" s="20">
        <v>240514000033</v>
      </c>
      <c r="D620" s="21">
        <v>45435</v>
      </c>
      <c r="E620" s="21" t="s">
        <v>44</v>
      </c>
      <c r="F620" s="19" t="s">
        <v>45</v>
      </c>
      <c r="G620" s="19" t="s">
        <v>437</v>
      </c>
      <c r="H620" s="19">
        <v>37.5</v>
      </c>
      <c r="I620" s="41">
        <v>2521</v>
      </c>
      <c r="J620" s="42"/>
      <c r="K620" s="44"/>
      <c r="L620" s="19"/>
      <c r="M620" s="44"/>
      <c r="N620" s="45"/>
      <c r="O620" s="46">
        <f t="shared" si="362"/>
        <v>2521</v>
      </c>
      <c r="P620" s="51"/>
      <c r="Q620" s="51"/>
      <c r="R620" s="73">
        <f t="shared" si="359"/>
        <v>1762.15464547677</v>
      </c>
      <c r="S620" s="73"/>
      <c r="T620" s="74">
        <f t="shared" si="360"/>
        <v>3.66748166259169</v>
      </c>
      <c r="U620" s="73">
        <f>SUM(30+40+50)</f>
        <v>120</v>
      </c>
      <c r="V620" s="73"/>
      <c r="W620" s="73">
        <f t="shared" si="356"/>
        <v>1885.82212713936</v>
      </c>
      <c r="X620" s="75">
        <f t="shared" si="361"/>
        <v>31.239608801956</v>
      </c>
      <c r="Y620" s="75"/>
      <c r="Z620" s="75"/>
      <c r="AA620" s="75">
        <f t="shared" si="357"/>
        <v>31.239608801956</v>
      </c>
      <c r="AB620" s="84">
        <v>7.22</v>
      </c>
      <c r="AC620" s="73">
        <f t="shared" si="354"/>
        <v>225.549975550122</v>
      </c>
      <c r="AD620" s="73">
        <f t="shared" si="353"/>
        <v>2111.37210268949</v>
      </c>
      <c r="AE620" s="73">
        <f t="shared" si="358"/>
        <v>409.627897310514</v>
      </c>
    </row>
    <row r="621" customFormat="1" spans="1:31">
      <c r="A621" s="18"/>
      <c r="B621" s="19"/>
      <c r="C621" s="20">
        <v>240514000035</v>
      </c>
      <c r="D621" s="21">
        <v>45435</v>
      </c>
      <c r="E621" s="21" t="s">
        <v>37</v>
      </c>
      <c r="F621" s="19" t="s">
        <v>38</v>
      </c>
      <c r="G621" s="19" t="s">
        <v>143</v>
      </c>
      <c r="H621" s="19">
        <v>4.5</v>
      </c>
      <c r="I621" s="41">
        <v>320</v>
      </c>
      <c r="J621" s="42"/>
      <c r="K621" s="44"/>
      <c r="L621" s="19"/>
      <c r="M621" s="44"/>
      <c r="N621" s="45"/>
      <c r="O621" s="46">
        <f t="shared" si="362"/>
        <v>320</v>
      </c>
      <c r="P621" s="51"/>
      <c r="Q621" s="51"/>
      <c r="R621" s="73">
        <f t="shared" si="359"/>
        <v>211.458557457213</v>
      </c>
      <c r="S621" s="73"/>
      <c r="T621" s="74">
        <f t="shared" si="360"/>
        <v>0.440097799511002</v>
      </c>
      <c r="U621" s="73">
        <v>30</v>
      </c>
      <c r="V621" s="73"/>
      <c r="W621" s="73">
        <f t="shared" si="356"/>
        <v>241.898655256724</v>
      </c>
      <c r="X621" s="75">
        <f t="shared" si="361"/>
        <v>3.74875305623472</v>
      </c>
      <c r="Y621" s="75"/>
      <c r="Z621" s="75"/>
      <c r="AA621" s="75">
        <f t="shared" si="357"/>
        <v>3.74875305623472</v>
      </c>
      <c r="AB621" s="84">
        <v>7.22</v>
      </c>
      <c r="AC621" s="73">
        <f t="shared" si="354"/>
        <v>27.0659970660147</v>
      </c>
      <c r="AD621" s="73">
        <f t="shared" si="353"/>
        <v>268.964652322738</v>
      </c>
      <c r="AE621" s="73">
        <f t="shared" si="358"/>
        <v>51.0353476772617</v>
      </c>
    </row>
    <row r="622" customFormat="1" spans="1:31">
      <c r="A622" s="18"/>
      <c r="B622" s="19"/>
      <c r="C622" s="20">
        <v>240514000041</v>
      </c>
      <c r="D622" s="21">
        <v>45435</v>
      </c>
      <c r="E622" s="21" t="s">
        <v>41</v>
      </c>
      <c r="F622" s="19" t="s">
        <v>42</v>
      </c>
      <c r="G622" s="19" t="s">
        <v>77</v>
      </c>
      <c r="H622" s="19">
        <v>11</v>
      </c>
      <c r="I622" s="41">
        <v>641</v>
      </c>
      <c r="J622" s="42"/>
      <c r="K622" s="44"/>
      <c r="L622" s="19"/>
      <c r="M622" s="44"/>
      <c r="N622" s="45"/>
      <c r="O622" s="46">
        <f t="shared" si="362"/>
        <v>641</v>
      </c>
      <c r="P622" s="51"/>
      <c r="Q622" s="51"/>
      <c r="R622" s="73">
        <f t="shared" si="359"/>
        <v>516.89869600652</v>
      </c>
      <c r="S622" s="73"/>
      <c r="T622" s="74">
        <f t="shared" si="360"/>
        <v>1.07579462102689</v>
      </c>
      <c r="U622" s="73">
        <v>30</v>
      </c>
      <c r="V622" s="73"/>
      <c r="W622" s="73">
        <f t="shared" si="356"/>
        <v>547.974490627547</v>
      </c>
      <c r="X622" s="75">
        <f t="shared" si="361"/>
        <v>9.16361858190709</v>
      </c>
      <c r="Y622" s="75"/>
      <c r="Z622" s="75"/>
      <c r="AA622" s="75">
        <f t="shared" si="357"/>
        <v>9.16361858190709</v>
      </c>
      <c r="AB622" s="84">
        <v>7.22</v>
      </c>
      <c r="AC622" s="73">
        <f t="shared" si="354"/>
        <v>66.1613261613692</v>
      </c>
      <c r="AD622" s="73">
        <f t="shared" si="353"/>
        <v>614.135816788916</v>
      </c>
      <c r="AE622" s="73">
        <f t="shared" si="358"/>
        <v>26.864183211084</v>
      </c>
    </row>
    <row r="623" customFormat="1" spans="1:31">
      <c r="A623" s="18"/>
      <c r="B623" s="19"/>
      <c r="C623" s="20">
        <v>240514000042</v>
      </c>
      <c r="D623" s="21">
        <v>45435</v>
      </c>
      <c r="E623" s="21" t="s">
        <v>41</v>
      </c>
      <c r="F623" s="19" t="s">
        <v>42</v>
      </c>
      <c r="G623" s="19" t="s">
        <v>438</v>
      </c>
      <c r="H623" s="19">
        <v>7.5</v>
      </c>
      <c r="I623" s="52"/>
      <c r="J623" s="48">
        <v>94371.75</v>
      </c>
      <c r="K623" s="44"/>
      <c r="L623" s="49">
        <f>SUM(J623/M623)</f>
        <v>1480.10900250941</v>
      </c>
      <c r="M623" s="50">
        <v>63.76</v>
      </c>
      <c r="N623" s="45">
        <v>7.22</v>
      </c>
      <c r="O623" s="46">
        <f>SUM(M623*N623)</f>
        <v>460.3472</v>
      </c>
      <c r="P623" s="51"/>
      <c r="Q623" s="51"/>
      <c r="R623" s="73">
        <f t="shared" si="359"/>
        <v>352.430929095354</v>
      </c>
      <c r="S623" s="73"/>
      <c r="T623" s="74">
        <f t="shared" si="360"/>
        <v>0.733496332518337</v>
      </c>
      <c r="U623" s="73"/>
      <c r="V623" s="73"/>
      <c r="W623" s="73">
        <f t="shared" si="356"/>
        <v>353.164425427873</v>
      </c>
      <c r="X623" s="75">
        <f t="shared" si="361"/>
        <v>6.2479217603912</v>
      </c>
      <c r="Y623" s="75"/>
      <c r="Z623" s="75"/>
      <c r="AA623" s="75">
        <f t="shared" si="357"/>
        <v>6.2479217603912</v>
      </c>
      <c r="AB623" s="84">
        <v>7.22</v>
      </c>
      <c r="AC623" s="73">
        <f t="shared" si="354"/>
        <v>45.1099951100244</v>
      </c>
      <c r="AD623" s="73">
        <f t="shared" si="353"/>
        <v>398.274420537897</v>
      </c>
      <c r="AE623" s="73">
        <f t="shared" si="358"/>
        <v>62.0727794621027</v>
      </c>
    </row>
    <row r="624" customFormat="1" spans="1:31">
      <c r="A624" s="18"/>
      <c r="B624" s="19"/>
      <c r="C624" s="20">
        <v>240514000044</v>
      </c>
      <c r="D624" s="21">
        <v>45435</v>
      </c>
      <c r="E624" s="21" t="s">
        <v>47</v>
      </c>
      <c r="F624" s="19" t="s">
        <v>48</v>
      </c>
      <c r="G624" s="19" t="s">
        <v>432</v>
      </c>
      <c r="H624" s="19">
        <v>1.5</v>
      </c>
      <c r="I624" s="41">
        <v>99</v>
      </c>
      <c r="J624" s="42"/>
      <c r="K624" s="44"/>
      <c r="L624" s="19"/>
      <c r="M624" s="44"/>
      <c r="N624" s="45"/>
      <c r="O624" s="46">
        <f t="shared" ref="O624:O626" si="363">SUM(I624)</f>
        <v>99</v>
      </c>
      <c r="P624" s="51"/>
      <c r="Q624" s="51"/>
      <c r="R624" s="73">
        <f t="shared" si="359"/>
        <v>70.4861858190709</v>
      </c>
      <c r="S624" s="73"/>
      <c r="T624" s="74">
        <f t="shared" si="360"/>
        <v>0.146699266503667</v>
      </c>
      <c r="U624" s="73"/>
      <c r="V624" s="73"/>
      <c r="W624" s="73">
        <f t="shared" si="356"/>
        <v>70.6328850855746</v>
      </c>
      <c r="X624" s="75">
        <f t="shared" si="361"/>
        <v>1.24958435207824</v>
      </c>
      <c r="Y624" s="75"/>
      <c r="Z624" s="75"/>
      <c r="AA624" s="75">
        <f t="shared" si="357"/>
        <v>1.24958435207824</v>
      </c>
      <c r="AB624" s="84">
        <v>7.22</v>
      </c>
      <c r="AC624" s="73">
        <f t="shared" si="354"/>
        <v>9.02199902200489</v>
      </c>
      <c r="AD624" s="73">
        <f t="shared" si="353"/>
        <v>79.6548841075795</v>
      </c>
      <c r="AE624" s="73">
        <f t="shared" si="358"/>
        <v>19.3451158924205</v>
      </c>
    </row>
    <row r="625" customFormat="1" spans="1:31">
      <c r="A625" s="18"/>
      <c r="B625" s="19"/>
      <c r="C625" s="20">
        <v>240514000048</v>
      </c>
      <c r="D625" s="21">
        <v>45435</v>
      </c>
      <c r="E625" s="21" t="s">
        <v>54</v>
      </c>
      <c r="F625" s="19" t="s">
        <v>54</v>
      </c>
      <c r="G625" s="19" t="s">
        <v>439</v>
      </c>
      <c r="H625" s="19">
        <v>0.36</v>
      </c>
      <c r="I625" s="41">
        <v>67.1</v>
      </c>
      <c r="J625" s="42"/>
      <c r="K625" s="44"/>
      <c r="L625" s="19"/>
      <c r="M625" s="44"/>
      <c r="N625" s="45"/>
      <c r="O625" s="46">
        <f t="shared" si="363"/>
        <v>67.1</v>
      </c>
      <c r="P625" s="51"/>
      <c r="Q625" s="51"/>
      <c r="R625" s="73">
        <f t="shared" si="359"/>
        <v>16.916684596577</v>
      </c>
      <c r="S625" s="73"/>
      <c r="T625" s="74">
        <f t="shared" si="360"/>
        <v>0.0352078239608802</v>
      </c>
      <c r="U625" s="73"/>
      <c r="V625" s="73"/>
      <c r="W625" s="73">
        <f t="shared" si="356"/>
        <v>16.9518924205379</v>
      </c>
      <c r="X625" s="75">
        <f t="shared" si="361"/>
        <v>0.299900244498778</v>
      </c>
      <c r="Y625" s="75"/>
      <c r="Z625" s="75"/>
      <c r="AA625" s="75">
        <f t="shared" si="357"/>
        <v>0.299900244498778</v>
      </c>
      <c r="AB625" s="84">
        <v>7.22</v>
      </c>
      <c r="AC625" s="73">
        <f t="shared" si="354"/>
        <v>2.16527976528117</v>
      </c>
      <c r="AD625" s="73">
        <f t="shared" si="353"/>
        <v>19.1171721858191</v>
      </c>
      <c r="AE625" s="73">
        <f t="shared" si="358"/>
        <v>47.9828278141809</v>
      </c>
    </row>
    <row r="626" customFormat="1" spans="1:31">
      <c r="A626" s="18"/>
      <c r="B626" s="19"/>
      <c r="C626" s="20">
        <v>240514000053</v>
      </c>
      <c r="D626" s="21">
        <v>45435</v>
      </c>
      <c r="E626" s="21" t="s">
        <v>44</v>
      </c>
      <c r="F626" s="19" t="s">
        <v>45</v>
      </c>
      <c r="G626" s="19" t="s">
        <v>213</v>
      </c>
      <c r="H626" s="19">
        <v>24</v>
      </c>
      <c r="I626" s="41">
        <v>2048</v>
      </c>
      <c r="J626" s="42"/>
      <c r="K626" s="44"/>
      <c r="L626" s="19"/>
      <c r="M626" s="44"/>
      <c r="N626" s="45"/>
      <c r="O626" s="46">
        <f t="shared" si="363"/>
        <v>2048</v>
      </c>
      <c r="P626" s="51"/>
      <c r="Q626" s="51"/>
      <c r="R626" s="73">
        <f t="shared" si="359"/>
        <v>1127.77897310513</v>
      </c>
      <c r="S626" s="73"/>
      <c r="T626" s="74">
        <f t="shared" si="360"/>
        <v>2.34718826405868</v>
      </c>
      <c r="U626" s="73"/>
      <c r="V626" s="73"/>
      <c r="W626" s="73">
        <f t="shared" si="356"/>
        <v>1130.12616136919</v>
      </c>
      <c r="X626" s="75">
        <f t="shared" si="361"/>
        <v>19.9933496332518</v>
      </c>
      <c r="Y626" s="75"/>
      <c r="Z626" s="75"/>
      <c r="AA626" s="75">
        <f t="shared" si="357"/>
        <v>19.9933496332518</v>
      </c>
      <c r="AB626" s="84">
        <v>7.22</v>
      </c>
      <c r="AC626" s="73">
        <f t="shared" si="354"/>
        <v>144.351984352078</v>
      </c>
      <c r="AD626" s="73">
        <f t="shared" si="353"/>
        <v>1274.47814572127</v>
      </c>
      <c r="AE626" s="73">
        <f t="shared" si="358"/>
        <v>773.521854278729</v>
      </c>
    </row>
    <row r="627" customFormat="1" spans="1:31">
      <c r="A627" s="18"/>
      <c r="B627" s="19"/>
      <c r="C627" s="20">
        <v>240514000055</v>
      </c>
      <c r="D627" s="21">
        <v>45435</v>
      </c>
      <c r="E627" s="21" t="s">
        <v>41</v>
      </c>
      <c r="F627" s="19" t="s">
        <v>323</v>
      </c>
      <c r="G627" s="19" t="s">
        <v>323</v>
      </c>
      <c r="H627" s="19">
        <v>5.5</v>
      </c>
      <c r="I627" s="46"/>
      <c r="J627" s="48">
        <v>80578</v>
      </c>
      <c r="K627" s="44"/>
      <c r="L627" s="49">
        <f>SUM(J627/M627)</f>
        <v>1467.99052650756</v>
      </c>
      <c r="M627" s="50">
        <v>54.89</v>
      </c>
      <c r="N627" s="45">
        <v>7.22</v>
      </c>
      <c r="O627" s="46">
        <f>SUM(M627*N627)</f>
        <v>396.3058</v>
      </c>
      <c r="P627" s="51"/>
      <c r="Q627" s="51"/>
      <c r="R627" s="73">
        <f t="shared" si="359"/>
        <v>258.44934800326</v>
      </c>
      <c r="S627" s="73"/>
      <c r="T627" s="74">
        <f t="shared" si="360"/>
        <v>0.537897310513447</v>
      </c>
      <c r="U627" s="73"/>
      <c r="V627" s="73"/>
      <c r="W627" s="73">
        <f t="shared" si="356"/>
        <v>258.987245313773</v>
      </c>
      <c r="X627" s="75">
        <f t="shared" si="361"/>
        <v>4.58180929095355</v>
      </c>
      <c r="Y627" s="75"/>
      <c r="Z627" s="75"/>
      <c r="AA627" s="75">
        <f t="shared" si="357"/>
        <v>4.58180929095355</v>
      </c>
      <c r="AB627" s="84">
        <v>7.22</v>
      </c>
      <c r="AC627" s="73">
        <f t="shared" si="354"/>
        <v>33.0806630806846</v>
      </c>
      <c r="AD627" s="73">
        <f t="shared" si="353"/>
        <v>292.067908394458</v>
      </c>
      <c r="AE627" s="73">
        <f t="shared" si="358"/>
        <v>104.237891605542</v>
      </c>
    </row>
    <row r="628" customFormat="1" spans="1:31">
      <c r="A628" s="18"/>
      <c r="B628" s="19"/>
      <c r="C628" s="20">
        <v>240515000001</v>
      </c>
      <c r="D628" s="21">
        <v>45435</v>
      </c>
      <c r="E628" s="21" t="s">
        <v>37</v>
      </c>
      <c r="F628" s="19" t="s">
        <v>38</v>
      </c>
      <c r="G628" s="19" t="s">
        <v>385</v>
      </c>
      <c r="H628" s="19">
        <v>16.5</v>
      </c>
      <c r="I628" s="41">
        <v>1172</v>
      </c>
      <c r="J628" s="42"/>
      <c r="K628" s="44"/>
      <c r="L628" s="19"/>
      <c r="M628" s="44"/>
      <c r="N628" s="45"/>
      <c r="O628" s="46">
        <f t="shared" ref="O628:O632" si="364">SUM(I628)</f>
        <v>1172</v>
      </c>
      <c r="P628" s="51"/>
      <c r="Q628" s="51"/>
      <c r="R628" s="73">
        <f t="shared" si="359"/>
        <v>775.34804400978</v>
      </c>
      <c r="S628" s="73"/>
      <c r="T628" s="74">
        <f t="shared" si="360"/>
        <v>1.61369193154034</v>
      </c>
      <c r="U628" s="73">
        <v>60</v>
      </c>
      <c r="V628" s="73"/>
      <c r="W628" s="73">
        <f t="shared" si="356"/>
        <v>836.96173594132</v>
      </c>
      <c r="X628" s="75">
        <f t="shared" si="361"/>
        <v>13.7454278728606</v>
      </c>
      <c r="Y628" s="75"/>
      <c r="Z628" s="75"/>
      <c r="AA628" s="75">
        <f t="shared" si="357"/>
        <v>13.7454278728606</v>
      </c>
      <c r="AB628" s="84">
        <v>7.22</v>
      </c>
      <c r="AC628" s="73">
        <f t="shared" si="354"/>
        <v>99.2419892420538</v>
      </c>
      <c r="AD628" s="73">
        <f t="shared" si="353"/>
        <v>936.203725183374</v>
      </c>
      <c r="AE628" s="73">
        <f t="shared" si="358"/>
        <v>235.796274816626</v>
      </c>
    </row>
    <row r="629" customFormat="1" spans="1:31">
      <c r="A629" s="18"/>
      <c r="B629" s="19"/>
      <c r="C629" s="20">
        <v>240515000002</v>
      </c>
      <c r="D629" s="21">
        <v>45435</v>
      </c>
      <c r="E629" s="21" t="s">
        <v>37</v>
      </c>
      <c r="F629" s="19" t="s">
        <v>38</v>
      </c>
      <c r="G629" s="19" t="s">
        <v>440</v>
      </c>
      <c r="H629" s="19">
        <v>12</v>
      </c>
      <c r="I629" s="90">
        <v>730</v>
      </c>
      <c r="J629" s="42"/>
      <c r="K629" s="44"/>
      <c r="L629" s="19"/>
      <c r="M629" s="44"/>
      <c r="N629" s="45"/>
      <c r="O629" s="46">
        <f>SUBTOTAL(9,I629)</f>
        <v>730</v>
      </c>
      <c r="P629" s="51"/>
      <c r="Q629" s="51"/>
      <c r="R629" s="73">
        <f t="shared" si="359"/>
        <v>563.889486552567</v>
      </c>
      <c r="S629" s="73"/>
      <c r="T629" s="74">
        <f t="shared" si="360"/>
        <v>1.17359413202934</v>
      </c>
      <c r="U629" s="73"/>
      <c r="V629" s="73"/>
      <c r="W629" s="73">
        <f t="shared" si="356"/>
        <v>565.063080684597</v>
      </c>
      <c r="X629" s="75">
        <f t="shared" si="361"/>
        <v>9.99667481662592</v>
      </c>
      <c r="Y629" s="75"/>
      <c r="Z629" s="75"/>
      <c r="AA629" s="75">
        <f t="shared" si="357"/>
        <v>9.99667481662592</v>
      </c>
      <c r="AB629" s="84">
        <v>7.22</v>
      </c>
      <c r="AC629" s="73">
        <f t="shared" si="354"/>
        <v>72.1759921760391</v>
      </c>
      <c r="AD629" s="73">
        <f t="shared" si="353"/>
        <v>637.239072860636</v>
      </c>
      <c r="AE629" s="73">
        <f t="shared" si="358"/>
        <v>92.760927139364</v>
      </c>
    </row>
    <row r="630" customFormat="1" spans="1:31">
      <c r="A630" s="18"/>
      <c r="B630" s="19"/>
      <c r="C630" s="20">
        <v>240515000003</v>
      </c>
      <c r="D630" s="21">
        <v>45435</v>
      </c>
      <c r="E630" s="21" t="s">
        <v>37</v>
      </c>
      <c r="F630" s="19" t="s">
        <v>38</v>
      </c>
      <c r="G630" s="19" t="s">
        <v>441</v>
      </c>
      <c r="H630" s="19">
        <v>66.5</v>
      </c>
      <c r="I630" s="41">
        <v>5519</v>
      </c>
      <c r="J630" s="42"/>
      <c r="K630" s="44"/>
      <c r="L630" s="19"/>
      <c r="M630" s="44"/>
      <c r="N630" s="45"/>
      <c r="O630" s="46">
        <f t="shared" si="364"/>
        <v>5519</v>
      </c>
      <c r="P630" s="51"/>
      <c r="Q630" s="51"/>
      <c r="R630" s="73">
        <f t="shared" si="359"/>
        <v>3124.88757131214</v>
      </c>
      <c r="S630" s="73"/>
      <c r="T630" s="74">
        <f t="shared" si="360"/>
        <v>6.50366748166259</v>
      </c>
      <c r="U630" s="73"/>
      <c r="V630" s="73"/>
      <c r="W630" s="73">
        <f t="shared" si="356"/>
        <v>3131.39123879381</v>
      </c>
      <c r="X630" s="75">
        <f t="shared" si="361"/>
        <v>55.398239608802</v>
      </c>
      <c r="Y630" s="75"/>
      <c r="Z630" s="75"/>
      <c r="AA630" s="75">
        <f t="shared" si="357"/>
        <v>55.398239608802</v>
      </c>
      <c r="AB630" s="84">
        <v>7.22</v>
      </c>
      <c r="AC630" s="73">
        <f t="shared" si="354"/>
        <v>399.97528997555</v>
      </c>
      <c r="AD630" s="73">
        <f t="shared" si="353"/>
        <v>3531.36652876936</v>
      </c>
      <c r="AE630" s="73">
        <f t="shared" si="358"/>
        <v>1987.63347123064</v>
      </c>
    </row>
    <row r="631" customFormat="1" spans="1:31">
      <c r="A631" s="18"/>
      <c r="B631" s="19"/>
      <c r="C631" s="22">
        <v>240515000004</v>
      </c>
      <c r="D631" s="23">
        <v>45435</v>
      </c>
      <c r="E631" s="21" t="s">
        <v>44</v>
      </c>
      <c r="F631" s="24" t="s">
        <v>45</v>
      </c>
      <c r="G631" s="24" t="s">
        <v>442</v>
      </c>
      <c r="H631" s="24">
        <v>0.6</v>
      </c>
      <c r="I631" s="99">
        <v>97.6</v>
      </c>
      <c r="J631" s="42"/>
      <c r="K631" s="44"/>
      <c r="L631" s="19"/>
      <c r="M631" s="44"/>
      <c r="N631" s="45"/>
      <c r="O631" s="46">
        <f t="shared" si="364"/>
        <v>97.6</v>
      </c>
      <c r="P631" s="51"/>
      <c r="Q631" s="51"/>
      <c r="R631" s="73">
        <f t="shared" si="359"/>
        <v>28.1944743276284</v>
      </c>
      <c r="S631" s="73"/>
      <c r="T631" s="74">
        <f t="shared" si="360"/>
        <v>0.058679706601467</v>
      </c>
      <c r="U631" s="73"/>
      <c r="V631" s="73"/>
      <c r="W631" s="73">
        <f t="shared" si="356"/>
        <v>28.2531540342298</v>
      </c>
      <c r="X631" s="75">
        <f t="shared" si="361"/>
        <v>0.499833740831296</v>
      </c>
      <c r="Y631" s="75"/>
      <c r="Z631" s="75"/>
      <c r="AA631" s="75">
        <f t="shared" si="357"/>
        <v>0.499833740831296</v>
      </c>
      <c r="AB631" s="84">
        <v>7.22</v>
      </c>
      <c r="AC631" s="73">
        <f t="shared" si="354"/>
        <v>3.60879960880196</v>
      </c>
      <c r="AD631" s="73">
        <f t="shared" si="353"/>
        <v>31.8619536430318</v>
      </c>
      <c r="AE631" s="73">
        <f t="shared" si="358"/>
        <v>65.7380463569682</v>
      </c>
    </row>
    <row r="632" customFormat="1" spans="1:31">
      <c r="A632" s="18"/>
      <c r="B632" s="19"/>
      <c r="C632" s="20">
        <v>240515000010</v>
      </c>
      <c r="D632" s="21">
        <v>45435</v>
      </c>
      <c r="E632" s="21" t="s">
        <v>44</v>
      </c>
      <c r="F632" s="19" t="s">
        <v>45</v>
      </c>
      <c r="G632" s="19" t="s">
        <v>443</v>
      </c>
      <c r="H632" s="19">
        <v>3</v>
      </c>
      <c r="I632" s="41">
        <v>229.7</v>
      </c>
      <c r="J632" s="42"/>
      <c r="K632" s="44"/>
      <c r="L632" s="19"/>
      <c r="M632" s="44"/>
      <c r="N632" s="45"/>
      <c r="O632" s="46">
        <f t="shared" si="364"/>
        <v>229.7</v>
      </c>
      <c r="P632" s="51"/>
      <c r="Q632" s="51"/>
      <c r="R632" s="73">
        <f t="shared" si="359"/>
        <v>140.972371638142</v>
      </c>
      <c r="S632" s="73"/>
      <c r="T632" s="74">
        <f t="shared" si="360"/>
        <v>0.293398533007335</v>
      </c>
      <c r="U632" s="73"/>
      <c r="V632" s="73"/>
      <c r="W632" s="73">
        <f t="shared" si="356"/>
        <v>141.265770171149</v>
      </c>
      <c r="X632" s="75">
        <f t="shared" si="361"/>
        <v>2.49916870415648</v>
      </c>
      <c r="Y632" s="75"/>
      <c r="Z632" s="75"/>
      <c r="AA632" s="75">
        <f t="shared" si="357"/>
        <v>2.49916870415648</v>
      </c>
      <c r="AB632" s="84">
        <v>7.22</v>
      </c>
      <c r="AC632" s="73">
        <f t="shared" si="354"/>
        <v>18.0439980440098</v>
      </c>
      <c r="AD632" s="73">
        <f t="shared" si="353"/>
        <v>159.309768215159</v>
      </c>
      <c r="AE632" s="73">
        <f t="shared" si="358"/>
        <v>70.3902317848411</v>
      </c>
    </row>
    <row r="633" customFormat="1" spans="1:31">
      <c r="A633" s="18"/>
      <c r="B633" s="19"/>
      <c r="C633" s="20">
        <v>240515000019</v>
      </c>
      <c r="D633" s="21">
        <v>45435</v>
      </c>
      <c r="E633" s="21" t="s">
        <v>41</v>
      </c>
      <c r="F633" s="19" t="s">
        <v>85</v>
      </c>
      <c r="G633" s="19" t="s">
        <v>86</v>
      </c>
      <c r="H633" s="19">
        <v>36</v>
      </c>
      <c r="I633" s="46"/>
      <c r="J633" s="48">
        <v>579038</v>
      </c>
      <c r="K633" s="44"/>
      <c r="L633" s="49">
        <f t="shared" ref="L633:L638" si="365">SUM(J633/M633)</f>
        <v>1468.00020281919</v>
      </c>
      <c r="M633" s="50">
        <v>394.44</v>
      </c>
      <c r="N633" s="45">
        <v>7.22</v>
      </c>
      <c r="O633" s="46">
        <f t="shared" ref="O633:O638" si="366">SUM(M633*N633)</f>
        <v>2847.8568</v>
      </c>
      <c r="P633" s="51"/>
      <c r="Q633" s="51"/>
      <c r="R633" s="73">
        <f t="shared" si="359"/>
        <v>1691.6684596577</v>
      </c>
      <c r="S633" s="73"/>
      <c r="T633" s="74">
        <f t="shared" si="360"/>
        <v>3.52078239608802</v>
      </c>
      <c r="U633" s="73"/>
      <c r="V633" s="73"/>
      <c r="W633" s="73">
        <f t="shared" si="356"/>
        <v>1695.18924205379</v>
      </c>
      <c r="X633" s="75">
        <f t="shared" si="361"/>
        <v>29.9900244498778</v>
      </c>
      <c r="Y633" s="75"/>
      <c r="Z633" s="75"/>
      <c r="AA633" s="75">
        <f t="shared" si="357"/>
        <v>29.9900244498778</v>
      </c>
      <c r="AB633" s="84">
        <v>7.22</v>
      </c>
      <c r="AC633" s="73">
        <f t="shared" si="354"/>
        <v>216.527976528117</v>
      </c>
      <c r="AD633" s="73">
        <f t="shared" si="353"/>
        <v>1911.71721858191</v>
      </c>
      <c r="AE633" s="73">
        <f t="shared" si="358"/>
        <v>936.139581418093</v>
      </c>
    </row>
    <row r="634" customFormat="1" spans="1:31">
      <c r="A634" s="18"/>
      <c r="B634" s="19"/>
      <c r="C634" s="20">
        <v>240516000001</v>
      </c>
      <c r="D634" s="21">
        <v>45435</v>
      </c>
      <c r="E634" s="21" t="s">
        <v>54</v>
      </c>
      <c r="F634" s="19" t="s">
        <v>54</v>
      </c>
      <c r="G634" s="19" t="s">
        <v>230</v>
      </c>
      <c r="H634" s="19">
        <v>3</v>
      </c>
      <c r="I634" s="46"/>
      <c r="J634" s="48">
        <v>50969</v>
      </c>
      <c r="K634" s="44"/>
      <c r="L634" s="49">
        <f t="shared" si="365"/>
        <v>1468.00115207373</v>
      </c>
      <c r="M634" s="50">
        <v>34.72</v>
      </c>
      <c r="N634" s="45">
        <v>7.22</v>
      </c>
      <c r="O634" s="46">
        <f t="shared" si="366"/>
        <v>250.6784</v>
      </c>
      <c r="P634" s="51"/>
      <c r="Q634" s="51"/>
      <c r="R634" s="73">
        <f t="shared" si="359"/>
        <v>140.972371638142</v>
      </c>
      <c r="S634" s="73"/>
      <c r="T634" s="74">
        <f t="shared" si="360"/>
        <v>0.293398533007335</v>
      </c>
      <c r="U634" s="73"/>
      <c r="V634" s="73"/>
      <c r="W634" s="73">
        <f t="shared" si="356"/>
        <v>141.265770171149</v>
      </c>
      <c r="X634" s="75">
        <f t="shared" si="361"/>
        <v>2.49916870415648</v>
      </c>
      <c r="Y634" s="75"/>
      <c r="Z634" s="75"/>
      <c r="AA634" s="75">
        <f t="shared" si="357"/>
        <v>2.49916870415648</v>
      </c>
      <c r="AB634" s="84">
        <v>7.22</v>
      </c>
      <c r="AC634" s="73">
        <f t="shared" si="354"/>
        <v>18.0439980440098</v>
      </c>
      <c r="AD634" s="73">
        <f t="shared" si="353"/>
        <v>159.309768215159</v>
      </c>
      <c r="AE634" s="73">
        <f t="shared" si="358"/>
        <v>91.3686317848411</v>
      </c>
    </row>
    <row r="635" customFormat="1" spans="1:31">
      <c r="A635" s="18"/>
      <c r="B635" s="19"/>
      <c r="C635" s="20">
        <v>240516000002</v>
      </c>
      <c r="D635" s="21">
        <v>45435</v>
      </c>
      <c r="E635" s="21" t="s">
        <v>37</v>
      </c>
      <c r="F635" s="19" t="s">
        <v>38</v>
      </c>
      <c r="G635" s="19" t="s">
        <v>143</v>
      </c>
      <c r="H635" s="19">
        <v>0.38</v>
      </c>
      <c r="I635" s="41">
        <v>68</v>
      </c>
      <c r="J635" s="42"/>
      <c r="K635" s="44"/>
      <c r="L635" s="19"/>
      <c r="M635" s="44"/>
      <c r="N635" s="45"/>
      <c r="O635" s="46">
        <f t="shared" ref="O635:O637" si="367">SUM(I635)</f>
        <v>68</v>
      </c>
      <c r="P635" s="51"/>
      <c r="Q635" s="51"/>
      <c r="R635" s="73">
        <f t="shared" si="359"/>
        <v>17.856500407498</v>
      </c>
      <c r="S635" s="73"/>
      <c r="T635" s="74">
        <f t="shared" si="360"/>
        <v>0.0371638141809291</v>
      </c>
      <c r="U635" s="73"/>
      <c r="V635" s="73"/>
      <c r="W635" s="73">
        <f t="shared" si="356"/>
        <v>17.8936642216789</v>
      </c>
      <c r="X635" s="75">
        <f t="shared" si="361"/>
        <v>0.316561369193154</v>
      </c>
      <c r="Y635" s="75"/>
      <c r="Z635" s="75"/>
      <c r="AA635" s="75">
        <f t="shared" si="357"/>
        <v>0.316561369193154</v>
      </c>
      <c r="AB635" s="84">
        <v>7.22</v>
      </c>
      <c r="AC635" s="73">
        <f t="shared" si="354"/>
        <v>2.28557308557457</v>
      </c>
      <c r="AD635" s="73">
        <f t="shared" si="353"/>
        <v>20.1792373072535</v>
      </c>
      <c r="AE635" s="73">
        <f t="shared" si="358"/>
        <v>47.8207626927465</v>
      </c>
    </row>
    <row r="636" customFormat="1" spans="1:31">
      <c r="A636" s="18"/>
      <c r="B636" s="19"/>
      <c r="C636" s="20">
        <v>240516000004</v>
      </c>
      <c r="D636" s="21">
        <v>45435</v>
      </c>
      <c r="E636" s="21" t="s">
        <v>37</v>
      </c>
      <c r="F636" s="19" t="s">
        <v>38</v>
      </c>
      <c r="G636" s="19" t="s">
        <v>338</v>
      </c>
      <c r="H636" s="19">
        <v>32.5</v>
      </c>
      <c r="I636" s="41">
        <v>2312.5</v>
      </c>
      <c r="J636" s="42"/>
      <c r="K636" s="44"/>
      <c r="L636" s="19"/>
      <c r="M636" s="44"/>
      <c r="N636" s="45"/>
      <c r="O636" s="46">
        <f t="shared" si="367"/>
        <v>2312.5</v>
      </c>
      <c r="P636" s="51"/>
      <c r="Q636" s="51"/>
      <c r="R636" s="73">
        <f t="shared" si="359"/>
        <v>1527.20069274654</v>
      </c>
      <c r="S636" s="73"/>
      <c r="T636" s="74">
        <f t="shared" si="360"/>
        <v>3.17848410757946</v>
      </c>
      <c r="U636" s="73"/>
      <c r="V636" s="73"/>
      <c r="W636" s="73">
        <f t="shared" si="356"/>
        <v>1530.37917685412</v>
      </c>
      <c r="X636" s="75">
        <f t="shared" si="361"/>
        <v>27.0743276283619</v>
      </c>
      <c r="Y636" s="75"/>
      <c r="Z636" s="75"/>
      <c r="AA636" s="75">
        <f t="shared" si="357"/>
        <v>27.0743276283619</v>
      </c>
      <c r="AB636" s="84">
        <v>7.22</v>
      </c>
      <c r="AC636" s="73">
        <f t="shared" si="354"/>
        <v>195.476645476773</v>
      </c>
      <c r="AD636" s="73">
        <f t="shared" ref="AD636:AD656" si="368">SUM(W636+AC636)</f>
        <v>1725.85582233089</v>
      </c>
      <c r="AE636" s="73">
        <f t="shared" si="358"/>
        <v>586.644177669112</v>
      </c>
    </row>
    <row r="637" customFormat="1" spans="1:31">
      <c r="A637" s="18"/>
      <c r="B637" s="19"/>
      <c r="C637" s="20">
        <v>240516000018</v>
      </c>
      <c r="D637" s="21">
        <v>45435</v>
      </c>
      <c r="E637" s="21" t="s">
        <v>44</v>
      </c>
      <c r="F637" s="19" t="s">
        <v>45</v>
      </c>
      <c r="G637" s="19" t="s">
        <v>367</v>
      </c>
      <c r="H637" s="19">
        <v>0.48</v>
      </c>
      <c r="I637" s="41">
        <v>67.1</v>
      </c>
      <c r="J637" s="42"/>
      <c r="K637" s="44"/>
      <c r="L637" s="19"/>
      <c r="M637" s="44"/>
      <c r="N637" s="45"/>
      <c r="O637" s="46">
        <f t="shared" si="367"/>
        <v>67.1</v>
      </c>
      <c r="P637" s="51"/>
      <c r="Q637" s="51"/>
      <c r="R637" s="73">
        <f t="shared" si="359"/>
        <v>22.5555794621027</v>
      </c>
      <c r="S637" s="73"/>
      <c r="T637" s="74">
        <f t="shared" si="360"/>
        <v>0.0469437652811736</v>
      </c>
      <c r="U637" s="73"/>
      <c r="V637" s="73"/>
      <c r="W637" s="73">
        <f t="shared" si="356"/>
        <v>22.6025232273839</v>
      </c>
      <c r="X637" s="75">
        <f t="shared" si="361"/>
        <v>0.399866992665037</v>
      </c>
      <c r="Y637" s="75"/>
      <c r="Z637" s="75"/>
      <c r="AA637" s="75">
        <f t="shared" si="357"/>
        <v>0.399866992665037</v>
      </c>
      <c r="AB637" s="84">
        <v>7.22</v>
      </c>
      <c r="AC637" s="73">
        <f t="shared" ref="AC637:AC656" si="369">SUM(AA637*AB637)</f>
        <v>2.88703968704156</v>
      </c>
      <c r="AD637" s="73">
        <f t="shared" si="368"/>
        <v>25.4895629144254</v>
      </c>
      <c r="AE637" s="73">
        <f t="shared" si="358"/>
        <v>41.6104370855746</v>
      </c>
    </row>
    <row r="638" customFormat="1" spans="1:31">
      <c r="A638" s="18"/>
      <c r="B638" s="19"/>
      <c r="C638" s="20">
        <v>240516000026</v>
      </c>
      <c r="D638" s="21">
        <v>45435</v>
      </c>
      <c r="E638" s="21" t="s">
        <v>41</v>
      </c>
      <c r="F638" s="19" t="s">
        <v>42</v>
      </c>
      <c r="G638" s="19" t="s">
        <v>115</v>
      </c>
      <c r="H638" s="19">
        <v>21.5</v>
      </c>
      <c r="I638" s="52"/>
      <c r="J638" s="48">
        <v>281736</v>
      </c>
      <c r="K638" s="44"/>
      <c r="L638" s="49">
        <f t="shared" si="365"/>
        <v>1501.79104477612</v>
      </c>
      <c r="M638" s="50">
        <v>187.6</v>
      </c>
      <c r="N638" s="45">
        <v>7.22</v>
      </c>
      <c r="O638" s="46">
        <f t="shared" si="366"/>
        <v>1354.472</v>
      </c>
      <c r="P638" s="51"/>
      <c r="Q638" s="51"/>
      <c r="R638" s="73">
        <f t="shared" si="359"/>
        <v>1010.30199674002</v>
      </c>
      <c r="S638" s="73"/>
      <c r="T638" s="74">
        <f t="shared" si="360"/>
        <v>2.10268948655257</v>
      </c>
      <c r="U638" s="73"/>
      <c r="V638" s="73"/>
      <c r="W638" s="73">
        <f t="shared" ref="W638:W656" si="370">SUM(R638:V638)</f>
        <v>1012.40468622657</v>
      </c>
      <c r="X638" s="75">
        <f t="shared" si="361"/>
        <v>17.9107090464548</v>
      </c>
      <c r="Y638" s="75"/>
      <c r="Z638" s="75"/>
      <c r="AA638" s="75">
        <f t="shared" ref="AA638:AA656" si="371">SUM(X638:Z638)</f>
        <v>17.9107090464548</v>
      </c>
      <c r="AB638" s="84">
        <v>7.22</v>
      </c>
      <c r="AC638" s="73">
        <f t="shared" si="369"/>
        <v>129.315319315403</v>
      </c>
      <c r="AD638" s="73">
        <f t="shared" si="368"/>
        <v>1141.72000554197</v>
      </c>
      <c r="AE638" s="73">
        <f t="shared" ref="AE638:AE656" si="372">SUM(O638-AD638)</f>
        <v>212.751994458028</v>
      </c>
    </row>
    <row r="639" customFormat="1" spans="1:31">
      <c r="A639" s="18"/>
      <c r="B639" s="19"/>
      <c r="C639" s="20">
        <v>240516000028</v>
      </c>
      <c r="D639" s="21">
        <v>45435</v>
      </c>
      <c r="E639" s="21" t="s">
        <v>41</v>
      </c>
      <c r="F639" s="19" t="s">
        <v>42</v>
      </c>
      <c r="G639" s="19" t="s">
        <v>281</v>
      </c>
      <c r="H639" s="19">
        <v>3</v>
      </c>
      <c r="I639" s="41">
        <v>214.5</v>
      </c>
      <c r="J639" s="42"/>
      <c r="K639" s="44"/>
      <c r="L639" s="19"/>
      <c r="M639" s="44"/>
      <c r="N639" s="45"/>
      <c r="O639" s="46">
        <f t="shared" ref="O639:O645" si="373">SUM(I639)</f>
        <v>214.5</v>
      </c>
      <c r="P639" s="51"/>
      <c r="Q639" s="51"/>
      <c r="R639" s="73">
        <f t="shared" si="359"/>
        <v>140.972371638142</v>
      </c>
      <c r="S639" s="73"/>
      <c r="T639" s="74">
        <f t="shared" si="360"/>
        <v>0.293398533007335</v>
      </c>
      <c r="U639" s="73"/>
      <c r="V639" s="73"/>
      <c r="W639" s="73">
        <f t="shared" si="370"/>
        <v>141.265770171149</v>
      </c>
      <c r="X639" s="75">
        <f t="shared" si="361"/>
        <v>2.49916870415648</v>
      </c>
      <c r="Y639" s="75"/>
      <c r="Z639" s="75"/>
      <c r="AA639" s="75">
        <f t="shared" si="371"/>
        <v>2.49916870415648</v>
      </c>
      <c r="AB639" s="84">
        <v>7.22</v>
      </c>
      <c r="AC639" s="73">
        <f t="shared" si="369"/>
        <v>18.0439980440098</v>
      </c>
      <c r="AD639" s="73">
        <f t="shared" si="368"/>
        <v>159.309768215159</v>
      </c>
      <c r="AE639" s="73">
        <f t="shared" si="372"/>
        <v>55.1902317848411</v>
      </c>
    </row>
    <row r="640" customFormat="1" spans="1:31">
      <c r="A640" s="18"/>
      <c r="B640" s="19"/>
      <c r="C640" s="20">
        <v>240516000029</v>
      </c>
      <c r="D640" s="21">
        <v>45435</v>
      </c>
      <c r="E640" s="21" t="s">
        <v>44</v>
      </c>
      <c r="F640" s="19" t="s">
        <v>45</v>
      </c>
      <c r="G640" s="19" t="s">
        <v>444</v>
      </c>
      <c r="H640" s="19">
        <v>5</v>
      </c>
      <c r="I640" s="41">
        <v>322.3</v>
      </c>
      <c r="J640" s="42"/>
      <c r="K640" s="44"/>
      <c r="L640" s="19"/>
      <c r="M640" s="44"/>
      <c r="N640" s="45"/>
      <c r="O640" s="46">
        <f t="shared" si="373"/>
        <v>322.3</v>
      </c>
      <c r="P640" s="51"/>
      <c r="Q640" s="51"/>
      <c r="R640" s="73">
        <f t="shared" ref="R640:R656" si="374">SUM(57657.7/1227)*H640</f>
        <v>234.953952730236</v>
      </c>
      <c r="S640" s="73"/>
      <c r="T640" s="74">
        <f t="shared" ref="T640:T656" si="375">SUM(120/1227)*H640</f>
        <v>0.488997555012225</v>
      </c>
      <c r="U640" s="73"/>
      <c r="V640" s="73"/>
      <c r="W640" s="73">
        <f t="shared" si="370"/>
        <v>235.442950285249</v>
      </c>
      <c r="X640" s="75">
        <f t="shared" ref="X640:X656" si="376">SUM(1022.16/1227)*H640</f>
        <v>4.16528117359413</v>
      </c>
      <c r="Y640" s="75"/>
      <c r="Z640" s="75"/>
      <c r="AA640" s="75">
        <f t="shared" si="371"/>
        <v>4.16528117359413</v>
      </c>
      <c r="AB640" s="84">
        <v>7.22</v>
      </c>
      <c r="AC640" s="73">
        <f t="shared" si="369"/>
        <v>30.0733300733496</v>
      </c>
      <c r="AD640" s="73">
        <f t="shared" si="368"/>
        <v>265.516280358598</v>
      </c>
      <c r="AE640" s="73">
        <f t="shared" si="372"/>
        <v>56.7837196414018</v>
      </c>
    </row>
    <row r="641" customFormat="1" spans="1:31">
      <c r="A641" s="18"/>
      <c r="B641" s="19"/>
      <c r="C641" s="20">
        <v>240516000030</v>
      </c>
      <c r="D641" s="21">
        <v>45435</v>
      </c>
      <c r="E641" s="21" t="s">
        <v>44</v>
      </c>
      <c r="F641" s="19" t="s">
        <v>45</v>
      </c>
      <c r="G641" s="19" t="s">
        <v>423</v>
      </c>
      <c r="H641" s="19">
        <v>4.5</v>
      </c>
      <c r="I641" s="41">
        <v>365.1</v>
      </c>
      <c r="J641" s="42"/>
      <c r="K641" s="44"/>
      <c r="L641" s="19"/>
      <c r="M641" s="44"/>
      <c r="N641" s="45"/>
      <c r="O641" s="46">
        <f t="shared" si="373"/>
        <v>365.1</v>
      </c>
      <c r="P641" s="51"/>
      <c r="Q641" s="51"/>
      <c r="R641" s="73">
        <f t="shared" si="374"/>
        <v>211.458557457213</v>
      </c>
      <c r="S641" s="73"/>
      <c r="T641" s="74">
        <f t="shared" si="375"/>
        <v>0.440097799511002</v>
      </c>
      <c r="U641" s="73"/>
      <c r="V641" s="73"/>
      <c r="W641" s="73">
        <f t="shared" si="370"/>
        <v>211.898655256724</v>
      </c>
      <c r="X641" s="75">
        <f t="shared" si="376"/>
        <v>3.74875305623472</v>
      </c>
      <c r="Y641" s="75">
        <v>6.23</v>
      </c>
      <c r="Z641" s="75"/>
      <c r="AA641" s="75">
        <f t="shared" si="371"/>
        <v>9.97875305623472</v>
      </c>
      <c r="AB641" s="84">
        <v>7.22</v>
      </c>
      <c r="AC641" s="73">
        <f t="shared" si="369"/>
        <v>72.0465970660147</v>
      </c>
      <c r="AD641" s="73">
        <f t="shared" si="368"/>
        <v>283.945252322738</v>
      </c>
      <c r="AE641" s="73">
        <f t="shared" si="372"/>
        <v>81.1547476772616</v>
      </c>
    </row>
    <row r="642" customFormat="1" spans="1:31">
      <c r="A642" s="18"/>
      <c r="B642" s="19"/>
      <c r="C642" s="20">
        <v>240516000035</v>
      </c>
      <c r="D642" s="21">
        <v>45435</v>
      </c>
      <c r="E642" s="21" t="s">
        <v>47</v>
      </c>
      <c r="F642" s="19" t="s">
        <v>48</v>
      </c>
      <c r="G642" s="19" t="s">
        <v>445</v>
      </c>
      <c r="H642" s="19">
        <v>11.5</v>
      </c>
      <c r="I642" s="41">
        <v>734</v>
      </c>
      <c r="J642" s="42"/>
      <c r="K642" s="44"/>
      <c r="L642" s="19"/>
      <c r="M642" s="44"/>
      <c r="N642" s="45"/>
      <c r="O642" s="46">
        <f t="shared" si="373"/>
        <v>734</v>
      </c>
      <c r="P642" s="51"/>
      <c r="Q642" s="51"/>
      <c r="R642" s="73">
        <f t="shared" si="374"/>
        <v>540.394091279544</v>
      </c>
      <c r="S642" s="73"/>
      <c r="T642" s="74">
        <f t="shared" si="375"/>
        <v>1.12469437652812</v>
      </c>
      <c r="U642" s="73"/>
      <c r="V642" s="73"/>
      <c r="W642" s="73">
        <f t="shared" si="370"/>
        <v>541.518785656072</v>
      </c>
      <c r="X642" s="75">
        <f t="shared" si="376"/>
        <v>9.5801466992665</v>
      </c>
      <c r="Y642" s="75"/>
      <c r="Z642" s="75"/>
      <c r="AA642" s="75">
        <f t="shared" si="371"/>
        <v>9.5801466992665</v>
      </c>
      <c r="AB642" s="84">
        <v>7.22</v>
      </c>
      <c r="AC642" s="73">
        <f t="shared" si="369"/>
        <v>69.1686591687042</v>
      </c>
      <c r="AD642" s="73">
        <f t="shared" si="368"/>
        <v>610.687444824776</v>
      </c>
      <c r="AE642" s="73">
        <f t="shared" si="372"/>
        <v>123.312555175224</v>
      </c>
    </row>
    <row r="643" customFormat="1" spans="1:31">
      <c r="A643" s="18"/>
      <c r="B643" s="19"/>
      <c r="C643" s="20">
        <v>240517000002</v>
      </c>
      <c r="D643" s="21">
        <v>45435</v>
      </c>
      <c r="E643" s="21" t="s">
        <v>54</v>
      </c>
      <c r="F643" s="19" t="s">
        <v>54</v>
      </c>
      <c r="G643" s="19" t="s">
        <v>90</v>
      </c>
      <c r="H643" s="19">
        <v>140.5</v>
      </c>
      <c r="I643" s="41">
        <v>7675.5</v>
      </c>
      <c r="J643" s="42"/>
      <c r="K643" s="44"/>
      <c r="L643" s="19"/>
      <c r="M643" s="44"/>
      <c r="N643" s="45"/>
      <c r="O643" s="46">
        <f t="shared" si="373"/>
        <v>7675.5</v>
      </c>
      <c r="P643" s="51"/>
      <c r="Q643" s="51"/>
      <c r="R643" s="73">
        <f t="shared" si="374"/>
        <v>6602.20607171964</v>
      </c>
      <c r="S643" s="73"/>
      <c r="T643" s="74">
        <f t="shared" si="375"/>
        <v>13.7408312958435</v>
      </c>
      <c r="U643" s="73"/>
      <c r="V643" s="73"/>
      <c r="W643" s="73">
        <f t="shared" si="370"/>
        <v>6615.94690301548</v>
      </c>
      <c r="X643" s="75">
        <f t="shared" si="376"/>
        <v>117.044400977995</v>
      </c>
      <c r="Y643" s="75"/>
      <c r="Z643" s="75"/>
      <c r="AA643" s="75">
        <f t="shared" si="371"/>
        <v>117.044400977995</v>
      </c>
      <c r="AB643" s="84">
        <v>7.22</v>
      </c>
      <c r="AC643" s="73">
        <f t="shared" si="369"/>
        <v>845.060575061125</v>
      </c>
      <c r="AD643" s="73">
        <f t="shared" si="368"/>
        <v>7461.00747807661</v>
      </c>
      <c r="AE643" s="73">
        <f t="shared" si="372"/>
        <v>214.492521923391</v>
      </c>
    </row>
    <row r="644" customFormat="1" spans="1:31">
      <c r="A644" s="18"/>
      <c r="B644" s="19"/>
      <c r="C644" s="20">
        <v>240517000011</v>
      </c>
      <c r="D644" s="21">
        <v>45435</v>
      </c>
      <c r="E644" s="21" t="s">
        <v>41</v>
      </c>
      <c r="F644" s="19" t="s">
        <v>42</v>
      </c>
      <c r="G644" s="19" t="s">
        <v>156</v>
      </c>
      <c r="H644" s="19">
        <v>19.5</v>
      </c>
      <c r="I644" s="41">
        <v>1072.5</v>
      </c>
      <c r="J644" s="42"/>
      <c r="K644" s="44"/>
      <c r="L644" s="19"/>
      <c r="M644" s="44"/>
      <c r="N644" s="45"/>
      <c r="O644" s="46">
        <f t="shared" si="373"/>
        <v>1072.5</v>
      </c>
      <c r="P644" s="51"/>
      <c r="Q644" s="51"/>
      <c r="R644" s="73">
        <f t="shared" si="374"/>
        <v>916.320415647922</v>
      </c>
      <c r="S644" s="73"/>
      <c r="T644" s="74">
        <f t="shared" si="375"/>
        <v>1.90709046454768</v>
      </c>
      <c r="U644" s="73"/>
      <c r="V644" s="73"/>
      <c r="W644" s="73">
        <f t="shared" si="370"/>
        <v>918.227506112469</v>
      </c>
      <c r="X644" s="75">
        <f t="shared" si="376"/>
        <v>16.2445965770171</v>
      </c>
      <c r="Y644" s="75"/>
      <c r="Z644" s="75"/>
      <c r="AA644" s="75">
        <f t="shared" si="371"/>
        <v>16.2445965770171</v>
      </c>
      <c r="AB644" s="84">
        <v>7.22</v>
      </c>
      <c r="AC644" s="73">
        <f t="shared" si="369"/>
        <v>117.285987286064</v>
      </c>
      <c r="AD644" s="73">
        <f t="shared" si="368"/>
        <v>1035.51349339853</v>
      </c>
      <c r="AE644" s="73">
        <f t="shared" si="372"/>
        <v>36.9865066014672</v>
      </c>
    </row>
    <row r="645" customFormat="1" spans="1:31">
      <c r="A645" s="18"/>
      <c r="B645" s="19"/>
      <c r="C645" s="20">
        <v>240517000012</v>
      </c>
      <c r="D645" s="21">
        <v>45435</v>
      </c>
      <c r="E645" s="21" t="s">
        <v>41</v>
      </c>
      <c r="F645" s="19" t="s">
        <v>42</v>
      </c>
      <c r="G645" s="19" t="s">
        <v>446</v>
      </c>
      <c r="H645" s="19">
        <v>7</v>
      </c>
      <c r="I645" s="41">
        <v>442.75</v>
      </c>
      <c r="J645" s="42"/>
      <c r="K645" s="44"/>
      <c r="L645" s="19"/>
      <c r="M645" s="44"/>
      <c r="N645" s="45"/>
      <c r="O645" s="46">
        <f t="shared" si="373"/>
        <v>442.75</v>
      </c>
      <c r="P645" s="51"/>
      <c r="Q645" s="51"/>
      <c r="R645" s="73">
        <f t="shared" si="374"/>
        <v>328.935533822331</v>
      </c>
      <c r="S645" s="73"/>
      <c r="T645" s="74">
        <f t="shared" si="375"/>
        <v>0.684596577017115</v>
      </c>
      <c r="U645" s="73"/>
      <c r="V645" s="73"/>
      <c r="W645" s="73">
        <f t="shared" si="370"/>
        <v>329.620130399348</v>
      </c>
      <c r="X645" s="75">
        <f t="shared" si="376"/>
        <v>5.83139364303178</v>
      </c>
      <c r="Y645" s="75"/>
      <c r="Z645" s="75"/>
      <c r="AA645" s="75">
        <f t="shared" si="371"/>
        <v>5.83139364303178</v>
      </c>
      <c r="AB645" s="84">
        <v>7.22</v>
      </c>
      <c r="AC645" s="73">
        <f t="shared" si="369"/>
        <v>42.1026621026895</v>
      </c>
      <c r="AD645" s="73">
        <f t="shared" si="368"/>
        <v>371.722792502037</v>
      </c>
      <c r="AE645" s="73">
        <f t="shared" si="372"/>
        <v>71.0272074979626</v>
      </c>
    </row>
    <row r="646" customFormat="1" spans="1:31">
      <c r="A646" s="18"/>
      <c r="B646" s="19"/>
      <c r="C646" s="20">
        <v>240517000013</v>
      </c>
      <c r="D646" s="21">
        <v>45435</v>
      </c>
      <c r="E646" s="21" t="s">
        <v>41</v>
      </c>
      <c r="F646" s="19" t="s">
        <v>42</v>
      </c>
      <c r="G646" s="19" t="s">
        <v>447</v>
      </c>
      <c r="H646" s="19">
        <v>9.5</v>
      </c>
      <c r="I646" s="52"/>
      <c r="J646" s="48">
        <v>130833</v>
      </c>
      <c r="K646" s="44"/>
      <c r="L646" s="49">
        <f>SUM(J646/M646)</f>
        <v>1468.71351594073</v>
      </c>
      <c r="M646" s="50">
        <v>89.08</v>
      </c>
      <c r="N646" s="45">
        <v>7.22</v>
      </c>
      <c r="O646" s="46">
        <f>SUM(M646*N646)</f>
        <v>643.1576</v>
      </c>
      <c r="P646" s="51"/>
      <c r="Q646" s="51"/>
      <c r="R646" s="73">
        <f t="shared" si="374"/>
        <v>446.412510187449</v>
      </c>
      <c r="S646" s="73"/>
      <c r="T646" s="74">
        <f t="shared" si="375"/>
        <v>0.929095354523227</v>
      </c>
      <c r="U646" s="73"/>
      <c r="V646" s="73"/>
      <c r="W646" s="73">
        <f t="shared" si="370"/>
        <v>447.341605541972</v>
      </c>
      <c r="X646" s="75">
        <f t="shared" si="376"/>
        <v>7.91403422982885</v>
      </c>
      <c r="Y646" s="75"/>
      <c r="Z646" s="75"/>
      <c r="AA646" s="75">
        <f t="shared" si="371"/>
        <v>7.91403422982885</v>
      </c>
      <c r="AB646" s="84">
        <v>7.22</v>
      </c>
      <c r="AC646" s="73">
        <f t="shared" si="369"/>
        <v>57.1393271393643</v>
      </c>
      <c r="AD646" s="73">
        <f t="shared" si="368"/>
        <v>504.480932681337</v>
      </c>
      <c r="AE646" s="73">
        <f t="shared" si="372"/>
        <v>138.676667318663</v>
      </c>
    </row>
    <row r="647" customFormat="1" spans="1:31">
      <c r="A647" s="18"/>
      <c r="B647" s="19"/>
      <c r="C647" s="20">
        <v>240517000014</v>
      </c>
      <c r="D647" s="21">
        <v>45435</v>
      </c>
      <c r="E647" s="21" t="s">
        <v>41</v>
      </c>
      <c r="F647" s="19" t="s">
        <v>42</v>
      </c>
      <c r="G647" s="19" t="s">
        <v>448</v>
      </c>
      <c r="H647" s="19">
        <v>9</v>
      </c>
      <c r="I647" s="41">
        <v>551.1</v>
      </c>
      <c r="J647" s="42"/>
      <c r="K647" s="44"/>
      <c r="L647" s="19"/>
      <c r="M647" s="44"/>
      <c r="N647" s="45"/>
      <c r="O647" s="46">
        <f t="shared" ref="O647:O649" si="377">SUM(I647)</f>
        <v>551.1</v>
      </c>
      <c r="P647" s="51"/>
      <c r="Q647" s="51"/>
      <c r="R647" s="73">
        <f t="shared" si="374"/>
        <v>422.917114914425</v>
      </c>
      <c r="S647" s="73"/>
      <c r="T647" s="74">
        <f t="shared" si="375"/>
        <v>0.880195599022005</v>
      </c>
      <c r="U647" s="73"/>
      <c r="V647" s="73"/>
      <c r="W647" s="73">
        <f t="shared" si="370"/>
        <v>423.797310513447</v>
      </c>
      <c r="X647" s="75">
        <f t="shared" si="376"/>
        <v>7.49750611246944</v>
      </c>
      <c r="Y647" s="75"/>
      <c r="Z647" s="75"/>
      <c r="AA647" s="75">
        <f t="shared" si="371"/>
        <v>7.49750611246944</v>
      </c>
      <c r="AB647" s="84">
        <v>7.22</v>
      </c>
      <c r="AC647" s="73">
        <f t="shared" si="369"/>
        <v>54.1319941320293</v>
      </c>
      <c r="AD647" s="73">
        <f t="shared" si="368"/>
        <v>477.929304645477</v>
      </c>
      <c r="AE647" s="73">
        <f t="shared" si="372"/>
        <v>73.1706953545233</v>
      </c>
    </row>
    <row r="648" customFormat="1" spans="1:31">
      <c r="A648" s="18"/>
      <c r="B648" s="19"/>
      <c r="C648" s="20">
        <v>240517000020</v>
      </c>
      <c r="D648" s="21">
        <v>45435</v>
      </c>
      <c r="E648" s="21" t="s">
        <v>44</v>
      </c>
      <c r="F648" s="19" t="s">
        <v>45</v>
      </c>
      <c r="G648" s="19" t="s">
        <v>449</v>
      </c>
      <c r="H648" s="19">
        <v>6</v>
      </c>
      <c r="I648" s="41">
        <v>398.2</v>
      </c>
      <c r="J648" s="42"/>
      <c r="K648" s="44"/>
      <c r="L648" s="19"/>
      <c r="M648" s="44"/>
      <c r="N648" s="45"/>
      <c r="O648" s="46">
        <f t="shared" si="377"/>
        <v>398.2</v>
      </c>
      <c r="P648" s="51"/>
      <c r="Q648" s="51"/>
      <c r="R648" s="73">
        <f t="shared" si="374"/>
        <v>281.944743276284</v>
      </c>
      <c r="S648" s="73"/>
      <c r="T648" s="74">
        <f t="shared" si="375"/>
        <v>0.58679706601467</v>
      </c>
      <c r="U648" s="73">
        <v>30</v>
      </c>
      <c r="V648" s="73"/>
      <c r="W648" s="73">
        <f t="shared" si="370"/>
        <v>312.531540342298</v>
      </c>
      <c r="X648" s="75">
        <f t="shared" si="376"/>
        <v>4.99833740831296</v>
      </c>
      <c r="Y648" s="75"/>
      <c r="Z648" s="75"/>
      <c r="AA648" s="75">
        <f t="shared" si="371"/>
        <v>4.99833740831296</v>
      </c>
      <c r="AB648" s="84">
        <v>7.22</v>
      </c>
      <c r="AC648" s="73">
        <f t="shared" si="369"/>
        <v>36.0879960880196</v>
      </c>
      <c r="AD648" s="73">
        <f t="shared" si="368"/>
        <v>348.619536430318</v>
      </c>
      <c r="AE648" s="73">
        <f t="shared" si="372"/>
        <v>49.5804635696821</v>
      </c>
    </row>
    <row r="649" customFormat="1" spans="1:31">
      <c r="A649" s="18"/>
      <c r="B649" s="19"/>
      <c r="C649" s="20">
        <v>240517000021</v>
      </c>
      <c r="D649" s="21">
        <v>45435</v>
      </c>
      <c r="E649" s="21" t="s">
        <v>44</v>
      </c>
      <c r="F649" s="19" t="s">
        <v>45</v>
      </c>
      <c r="G649" s="19" t="s">
        <v>437</v>
      </c>
      <c r="H649" s="19">
        <v>6</v>
      </c>
      <c r="I649" s="41">
        <v>439</v>
      </c>
      <c r="J649" s="42"/>
      <c r="K649" s="44"/>
      <c r="L649" s="19"/>
      <c r="M649" s="44"/>
      <c r="N649" s="45"/>
      <c r="O649" s="46">
        <f t="shared" si="377"/>
        <v>439</v>
      </c>
      <c r="P649" s="51"/>
      <c r="Q649" s="51"/>
      <c r="R649" s="73">
        <f t="shared" si="374"/>
        <v>281.944743276284</v>
      </c>
      <c r="S649" s="73"/>
      <c r="T649" s="74">
        <f t="shared" si="375"/>
        <v>0.58679706601467</v>
      </c>
      <c r="U649" s="73">
        <v>30</v>
      </c>
      <c r="V649" s="73"/>
      <c r="W649" s="73">
        <f t="shared" si="370"/>
        <v>312.531540342298</v>
      </c>
      <c r="X649" s="75">
        <f t="shared" si="376"/>
        <v>4.99833740831296</v>
      </c>
      <c r="Y649" s="75"/>
      <c r="Z649" s="75"/>
      <c r="AA649" s="75">
        <f t="shared" si="371"/>
        <v>4.99833740831296</v>
      </c>
      <c r="AB649" s="84">
        <v>7.22</v>
      </c>
      <c r="AC649" s="73">
        <f t="shared" si="369"/>
        <v>36.0879960880196</v>
      </c>
      <c r="AD649" s="73">
        <f t="shared" si="368"/>
        <v>348.619536430318</v>
      </c>
      <c r="AE649" s="73">
        <f t="shared" si="372"/>
        <v>90.3804635696821</v>
      </c>
    </row>
    <row r="650" customFormat="1" spans="1:31">
      <c r="A650" s="18"/>
      <c r="B650" s="19"/>
      <c r="C650" s="20">
        <v>240517000024</v>
      </c>
      <c r="D650" s="21">
        <v>45435</v>
      </c>
      <c r="E650" s="21" t="s">
        <v>41</v>
      </c>
      <c r="F650" s="19" t="s">
        <v>42</v>
      </c>
      <c r="G650" s="19" t="s">
        <v>370</v>
      </c>
      <c r="H650" s="19">
        <v>170</v>
      </c>
      <c r="I650" s="52"/>
      <c r="J650" s="48">
        <v>2181780</v>
      </c>
      <c r="K650" s="44"/>
      <c r="L650" s="49">
        <f>SUM(J650/M650)</f>
        <v>1494.54388524691</v>
      </c>
      <c r="M650" s="50">
        <v>1459.83</v>
      </c>
      <c r="N650" s="45">
        <v>7.22</v>
      </c>
      <c r="O650" s="52">
        <f>SUM(M650*N650)</f>
        <v>10539.9726</v>
      </c>
      <c r="P650" s="51"/>
      <c r="Q650" s="51"/>
      <c r="R650" s="73">
        <f t="shared" si="374"/>
        <v>7988.43439282804</v>
      </c>
      <c r="S650" s="73"/>
      <c r="T650" s="74">
        <f t="shared" si="375"/>
        <v>16.6259168704157</v>
      </c>
      <c r="U650" s="73"/>
      <c r="V650" s="73"/>
      <c r="W650" s="73">
        <f t="shared" si="370"/>
        <v>8005.06030969845</v>
      </c>
      <c r="X650" s="75">
        <f t="shared" si="376"/>
        <v>141.6195599022</v>
      </c>
      <c r="Y650" s="75"/>
      <c r="Z650" s="75"/>
      <c r="AA650" s="75">
        <f t="shared" si="371"/>
        <v>141.6195599022</v>
      </c>
      <c r="AB650" s="84">
        <v>7.22</v>
      </c>
      <c r="AC650" s="73">
        <f t="shared" si="369"/>
        <v>1022.49322249389</v>
      </c>
      <c r="AD650" s="73">
        <f t="shared" si="368"/>
        <v>9027.55353219234</v>
      </c>
      <c r="AE650" s="73">
        <f t="shared" si="372"/>
        <v>1512.41906780766</v>
      </c>
    </row>
    <row r="651" customFormat="1" spans="1:31">
      <c r="A651" s="18"/>
      <c r="B651" s="19"/>
      <c r="C651" s="20">
        <v>240517000038</v>
      </c>
      <c r="D651" s="21">
        <v>45435</v>
      </c>
      <c r="E651" s="21" t="s">
        <v>37</v>
      </c>
      <c r="F651" s="19" t="s">
        <v>38</v>
      </c>
      <c r="G651" s="19" t="s">
        <v>89</v>
      </c>
      <c r="H651" s="19">
        <v>11</v>
      </c>
      <c r="I651" s="41">
        <v>687.5</v>
      </c>
      <c r="J651" s="42"/>
      <c r="K651" s="44"/>
      <c r="L651" s="19"/>
      <c r="M651" s="44"/>
      <c r="N651" s="45"/>
      <c r="O651" s="46">
        <f t="shared" ref="O651:O662" si="378">SUM(I651)</f>
        <v>687.5</v>
      </c>
      <c r="P651" s="51"/>
      <c r="Q651" s="51"/>
      <c r="R651" s="73">
        <f t="shared" si="374"/>
        <v>516.89869600652</v>
      </c>
      <c r="S651" s="73"/>
      <c r="T651" s="74">
        <f t="shared" si="375"/>
        <v>1.07579462102689</v>
      </c>
      <c r="U651" s="73"/>
      <c r="V651" s="73"/>
      <c r="W651" s="73">
        <f t="shared" si="370"/>
        <v>517.974490627547</v>
      </c>
      <c r="X651" s="75">
        <f t="shared" si="376"/>
        <v>9.16361858190709</v>
      </c>
      <c r="Y651" s="75"/>
      <c r="Z651" s="75"/>
      <c r="AA651" s="75">
        <f t="shared" si="371"/>
        <v>9.16361858190709</v>
      </c>
      <c r="AB651" s="84">
        <v>7.22</v>
      </c>
      <c r="AC651" s="73">
        <f t="shared" si="369"/>
        <v>66.1613261613692</v>
      </c>
      <c r="AD651" s="73">
        <f t="shared" si="368"/>
        <v>584.135816788916</v>
      </c>
      <c r="AE651" s="73">
        <f t="shared" si="372"/>
        <v>103.364183211084</v>
      </c>
    </row>
    <row r="652" customFormat="1" spans="1:31">
      <c r="A652" s="18"/>
      <c r="B652" s="19"/>
      <c r="C652" s="20">
        <v>240517000039</v>
      </c>
      <c r="D652" s="21">
        <v>45435</v>
      </c>
      <c r="E652" s="21" t="s">
        <v>44</v>
      </c>
      <c r="F652" s="19" t="s">
        <v>45</v>
      </c>
      <c r="G652" s="19" t="s">
        <v>187</v>
      </c>
      <c r="H652" s="19">
        <v>0.6</v>
      </c>
      <c r="I652" s="41">
        <v>166</v>
      </c>
      <c r="J652" s="42"/>
      <c r="K652" s="44"/>
      <c r="L652" s="19"/>
      <c r="M652" s="44"/>
      <c r="N652" s="45"/>
      <c r="O652" s="46">
        <f t="shared" si="378"/>
        <v>166</v>
      </c>
      <c r="P652" s="51"/>
      <c r="Q652" s="51"/>
      <c r="R652" s="73">
        <f t="shared" si="374"/>
        <v>28.1944743276284</v>
      </c>
      <c r="S652" s="73"/>
      <c r="T652" s="74">
        <f t="shared" si="375"/>
        <v>0.058679706601467</v>
      </c>
      <c r="U652" s="73"/>
      <c r="V652" s="73"/>
      <c r="W652" s="73">
        <f t="shared" si="370"/>
        <v>28.2531540342298</v>
      </c>
      <c r="X652" s="75">
        <f t="shared" si="376"/>
        <v>0.499833740831296</v>
      </c>
      <c r="Y652" s="75">
        <v>11.16</v>
      </c>
      <c r="Z652" s="75"/>
      <c r="AA652" s="75">
        <f t="shared" si="371"/>
        <v>11.6598337408313</v>
      </c>
      <c r="AB652" s="84">
        <v>7.22</v>
      </c>
      <c r="AC652" s="73">
        <f t="shared" si="369"/>
        <v>84.183999608802</v>
      </c>
      <c r="AD652" s="73">
        <f t="shared" si="368"/>
        <v>112.437153643032</v>
      </c>
      <c r="AE652" s="73">
        <f t="shared" si="372"/>
        <v>53.5628463569682</v>
      </c>
    </row>
    <row r="653" customFormat="1" spans="1:31">
      <c r="A653" s="18"/>
      <c r="B653" s="19"/>
      <c r="C653" s="20">
        <v>240517000044</v>
      </c>
      <c r="D653" s="21">
        <v>45435</v>
      </c>
      <c r="E653" s="21" t="s">
        <v>47</v>
      </c>
      <c r="F653" s="19" t="s">
        <v>48</v>
      </c>
      <c r="G653" s="19" t="s">
        <v>195</v>
      </c>
      <c r="H653" s="19">
        <v>1.5</v>
      </c>
      <c r="I653" s="46"/>
      <c r="J653" s="48">
        <v>20434.56</v>
      </c>
      <c r="K653" s="44"/>
      <c r="L653" s="49">
        <f>SUM(J653/M653)</f>
        <v>1468</v>
      </c>
      <c r="M653" s="50">
        <v>13.92</v>
      </c>
      <c r="N653" s="45">
        <v>7.22</v>
      </c>
      <c r="O653" s="46">
        <f>SUM(M653*N653)</f>
        <v>100.5024</v>
      </c>
      <c r="P653" s="51"/>
      <c r="Q653" s="51"/>
      <c r="R653" s="73">
        <f t="shared" si="374"/>
        <v>70.4861858190709</v>
      </c>
      <c r="S653" s="73"/>
      <c r="T653" s="74">
        <f t="shared" si="375"/>
        <v>0.146699266503667</v>
      </c>
      <c r="U653" s="73"/>
      <c r="V653" s="73"/>
      <c r="W653" s="73">
        <f t="shared" si="370"/>
        <v>70.6328850855746</v>
      </c>
      <c r="X653" s="75">
        <f t="shared" si="376"/>
        <v>1.24958435207824</v>
      </c>
      <c r="Y653" s="75"/>
      <c r="Z653" s="75"/>
      <c r="AA653" s="75">
        <f t="shared" si="371"/>
        <v>1.24958435207824</v>
      </c>
      <c r="AB653" s="84">
        <v>7.22</v>
      </c>
      <c r="AC653" s="73">
        <f t="shared" si="369"/>
        <v>9.02199902200489</v>
      </c>
      <c r="AD653" s="73">
        <f t="shared" si="368"/>
        <v>79.6548841075795</v>
      </c>
      <c r="AE653" s="73">
        <f t="shared" si="372"/>
        <v>20.8475158924205</v>
      </c>
    </row>
    <row r="654" customFormat="1" spans="1:31">
      <c r="A654" s="18"/>
      <c r="B654" s="19"/>
      <c r="C654" s="20">
        <v>240518000005</v>
      </c>
      <c r="D654" s="21">
        <v>45435</v>
      </c>
      <c r="E654" s="21" t="s">
        <v>44</v>
      </c>
      <c r="F654" s="19" t="s">
        <v>45</v>
      </c>
      <c r="G654" s="19" t="s">
        <v>329</v>
      </c>
      <c r="H654" s="19">
        <v>0.5</v>
      </c>
      <c r="I654" s="41">
        <v>67.1</v>
      </c>
      <c r="J654" s="42"/>
      <c r="K654" s="44"/>
      <c r="L654" s="19"/>
      <c r="M654" s="44"/>
      <c r="N654" s="45"/>
      <c r="O654" s="46">
        <f t="shared" si="378"/>
        <v>67.1</v>
      </c>
      <c r="P654" s="51"/>
      <c r="Q654" s="51"/>
      <c r="R654" s="73">
        <f t="shared" si="374"/>
        <v>23.4953952730236</v>
      </c>
      <c r="S654" s="73"/>
      <c r="T654" s="74">
        <f t="shared" si="375"/>
        <v>0.0488997555012225</v>
      </c>
      <c r="U654" s="73"/>
      <c r="V654" s="73"/>
      <c r="W654" s="73">
        <f t="shared" si="370"/>
        <v>23.5442950285249</v>
      </c>
      <c r="X654" s="75">
        <f t="shared" si="376"/>
        <v>0.416528117359413</v>
      </c>
      <c r="Y654" s="75"/>
      <c r="Z654" s="75"/>
      <c r="AA654" s="75">
        <f t="shared" si="371"/>
        <v>0.416528117359413</v>
      </c>
      <c r="AB654" s="84">
        <v>7.22</v>
      </c>
      <c r="AC654" s="73">
        <f t="shared" si="369"/>
        <v>3.00733300733496</v>
      </c>
      <c r="AD654" s="73">
        <f t="shared" si="368"/>
        <v>26.5516280358598</v>
      </c>
      <c r="AE654" s="73">
        <f t="shared" si="372"/>
        <v>40.5483719641402</v>
      </c>
    </row>
    <row r="655" customFormat="1" spans="1:31">
      <c r="A655" s="18"/>
      <c r="B655" s="19"/>
      <c r="C655" s="20">
        <v>240518000011</v>
      </c>
      <c r="D655" s="21">
        <v>45435</v>
      </c>
      <c r="E655" s="21" t="s">
        <v>54</v>
      </c>
      <c r="F655" s="19" t="s">
        <v>54</v>
      </c>
      <c r="G655" s="19" t="s">
        <v>92</v>
      </c>
      <c r="H655" s="19">
        <v>456</v>
      </c>
      <c r="I655" s="41">
        <v>23028</v>
      </c>
      <c r="J655" s="42"/>
      <c r="K655" s="44"/>
      <c r="L655" s="19"/>
      <c r="M655" s="44"/>
      <c r="N655" s="45"/>
      <c r="O655" s="46">
        <f t="shared" si="378"/>
        <v>23028</v>
      </c>
      <c r="P655" s="51"/>
      <c r="Q655" s="51"/>
      <c r="R655" s="73">
        <f t="shared" si="374"/>
        <v>21427.8004889976</v>
      </c>
      <c r="S655" s="73"/>
      <c r="T655" s="74">
        <f t="shared" si="375"/>
        <v>44.5965770171149</v>
      </c>
      <c r="U655" s="73"/>
      <c r="V655" s="73"/>
      <c r="W655" s="73">
        <f t="shared" si="370"/>
        <v>21472.3970660147</v>
      </c>
      <c r="X655" s="75">
        <f t="shared" si="376"/>
        <v>379.873643031785</v>
      </c>
      <c r="Y655" s="75"/>
      <c r="Z655" s="75"/>
      <c r="AA655" s="75">
        <f t="shared" si="371"/>
        <v>379.873643031785</v>
      </c>
      <c r="AB655" s="84">
        <v>7.22</v>
      </c>
      <c r="AC655" s="73">
        <f t="shared" ref="AC655:AC701" si="379">SUM(AA655*AB655)</f>
        <v>2742.68770268949</v>
      </c>
      <c r="AD655" s="73">
        <f t="shared" ref="AD655:AD701" si="380">SUM(W655+AC655)</f>
        <v>24215.0847687042</v>
      </c>
      <c r="AE655" s="73">
        <f t="shared" ref="AE655:AE701" si="381">SUM(O655-AD655)</f>
        <v>-1187.08476870415</v>
      </c>
    </row>
    <row r="656" customFormat="1" spans="1:31">
      <c r="A656" s="18"/>
      <c r="B656" s="19"/>
      <c r="C656" s="20">
        <v>240518000019</v>
      </c>
      <c r="D656" s="21">
        <v>45435</v>
      </c>
      <c r="E656" s="21" t="s">
        <v>41</v>
      </c>
      <c r="F656" s="19" t="s">
        <v>42</v>
      </c>
      <c r="G656" s="19" t="s">
        <v>450</v>
      </c>
      <c r="H656" s="19">
        <v>12.5</v>
      </c>
      <c r="I656" s="41">
        <v>696</v>
      </c>
      <c r="J656" s="42"/>
      <c r="K656" s="44"/>
      <c r="L656" s="19"/>
      <c r="M656" s="44"/>
      <c r="N656" s="45"/>
      <c r="O656" s="46">
        <f t="shared" si="378"/>
        <v>696</v>
      </c>
      <c r="P656" s="53"/>
      <c r="Q656" s="53"/>
      <c r="R656" s="73">
        <f t="shared" si="374"/>
        <v>587.384881825591</v>
      </c>
      <c r="S656" s="73"/>
      <c r="T656" s="74">
        <f t="shared" si="375"/>
        <v>1.22249388753056</v>
      </c>
      <c r="U656" s="73"/>
      <c r="V656" s="73"/>
      <c r="W656" s="73">
        <f t="shared" ref="W656:W701" si="382">SUM(R656:V656)</f>
        <v>588.607375713121</v>
      </c>
      <c r="X656" s="75">
        <f t="shared" si="376"/>
        <v>10.4132029339853</v>
      </c>
      <c r="Y656" s="75"/>
      <c r="Z656" s="75"/>
      <c r="AA656" s="75">
        <f t="shared" ref="AA656:AA701" si="383">SUM(X656:Z656)</f>
        <v>10.4132029339853</v>
      </c>
      <c r="AB656" s="84">
        <v>7.22</v>
      </c>
      <c r="AC656" s="73">
        <f t="shared" si="379"/>
        <v>75.1833251833741</v>
      </c>
      <c r="AD656" s="73">
        <f t="shared" si="380"/>
        <v>663.790700896496</v>
      </c>
      <c r="AE656" s="73">
        <f t="shared" si="381"/>
        <v>32.2092991035045</v>
      </c>
    </row>
    <row r="657" customFormat="1" spans="1:31">
      <c r="A657" s="18" t="s">
        <v>451</v>
      </c>
      <c r="B657" s="19" t="s">
        <v>452</v>
      </c>
      <c r="C657" s="20">
        <v>240511000009</v>
      </c>
      <c r="D657" s="21">
        <v>45432</v>
      </c>
      <c r="E657" s="21" t="s">
        <v>37</v>
      </c>
      <c r="F657" s="19" t="s">
        <v>38</v>
      </c>
      <c r="G657" s="19" t="s">
        <v>431</v>
      </c>
      <c r="H657" s="19">
        <v>3</v>
      </c>
      <c r="I657" s="41">
        <v>177</v>
      </c>
      <c r="J657" s="42"/>
      <c r="K657" s="44"/>
      <c r="L657" s="19"/>
      <c r="M657" s="44"/>
      <c r="N657" s="119"/>
      <c r="O657" s="46">
        <f t="shared" si="378"/>
        <v>177</v>
      </c>
      <c r="P657" s="47">
        <f>SUM(O657:O700)</f>
        <v>191617.74101444</v>
      </c>
      <c r="Q657" s="47" t="s">
        <v>59</v>
      </c>
      <c r="R657" s="73">
        <f>SUM(131262/3233)*H657</f>
        <v>121.802041447572</v>
      </c>
      <c r="S657" s="73"/>
      <c r="T657" s="74">
        <f>SUM(187.3/3233)*H657</f>
        <v>0.173801422827096</v>
      </c>
      <c r="U657" s="73"/>
      <c r="V657" s="73"/>
      <c r="W657" s="73">
        <f t="shared" si="382"/>
        <v>121.975842870399</v>
      </c>
      <c r="X657" s="75">
        <f>SUM(2752.38/3233)*H657</f>
        <v>2.55401793999381</v>
      </c>
      <c r="Y657" s="75"/>
      <c r="Z657" s="75"/>
      <c r="AA657" s="75">
        <f t="shared" si="383"/>
        <v>2.55401793999381</v>
      </c>
      <c r="AB657" s="84">
        <v>7.22</v>
      </c>
      <c r="AC657" s="73">
        <f t="shared" si="379"/>
        <v>18.4400095267553</v>
      </c>
      <c r="AD657" s="73">
        <f t="shared" si="380"/>
        <v>140.415852397154</v>
      </c>
      <c r="AE657" s="73">
        <f t="shared" si="381"/>
        <v>36.5841476028457</v>
      </c>
    </row>
    <row r="658" customFormat="1" spans="1:31">
      <c r="A658" s="18"/>
      <c r="B658" s="19"/>
      <c r="C658" s="20">
        <v>240513000026</v>
      </c>
      <c r="D658" s="21">
        <v>45432</v>
      </c>
      <c r="E658" s="21" t="s">
        <v>44</v>
      </c>
      <c r="F658" s="19" t="s">
        <v>45</v>
      </c>
      <c r="G658" s="19" t="s">
        <v>453</v>
      </c>
      <c r="H658" s="19">
        <v>13.5</v>
      </c>
      <c r="I658" s="41">
        <v>748.5</v>
      </c>
      <c r="J658" s="42"/>
      <c r="K658" s="44"/>
      <c r="L658" s="19"/>
      <c r="M658" s="44"/>
      <c r="N658" s="119"/>
      <c r="O658" s="46">
        <f t="shared" si="378"/>
        <v>748.5</v>
      </c>
      <c r="P658" s="51"/>
      <c r="Q658" s="51"/>
      <c r="R658" s="73">
        <f t="shared" ref="R658:R700" si="384">SUM(131262/3233)*H658</f>
        <v>548.109186514074</v>
      </c>
      <c r="S658" s="73"/>
      <c r="T658" s="74">
        <f t="shared" ref="T658:T700" si="385">SUM(187.3/3233)*H658</f>
        <v>0.78210640272193</v>
      </c>
      <c r="U658" s="73"/>
      <c r="V658" s="73"/>
      <c r="W658" s="73">
        <f t="shared" si="382"/>
        <v>548.891292916796</v>
      </c>
      <c r="X658" s="75">
        <f t="shared" ref="X658:X700" si="386">SUM(2752.38/3233)*H658</f>
        <v>11.4930807299722</v>
      </c>
      <c r="Y658" s="75"/>
      <c r="Z658" s="75"/>
      <c r="AA658" s="75">
        <f t="shared" si="383"/>
        <v>11.4930807299722</v>
      </c>
      <c r="AB658" s="84">
        <v>7.22</v>
      </c>
      <c r="AC658" s="73">
        <f t="shared" si="379"/>
        <v>82.980042870399</v>
      </c>
      <c r="AD658" s="73">
        <f t="shared" si="380"/>
        <v>631.871335787195</v>
      </c>
      <c r="AE658" s="73">
        <f t="shared" si="381"/>
        <v>116.628664212805</v>
      </c>
    </row>
    <row r="659" customFormat="1" spans="1:31">
      <c r="A659" s="18"/>
      <c r="B659" s="19"/>
      <c r="C659" s="20">
        <v>240513000034</v>
      </c>
      <c r="D659" s="21">
        <v>45432</v>
      </c>
      <c r="E659" s="21" t="s">
        <v>44</v>
      </c>
      <c r="F659" s="19" t="s">
        <v>45</v>
      </c>
      <c r="G659" s="19" t="s">
        <v>412</v>
      </c>
      <c r="H659" s="19">
        <v>7</v>
      </c>
      <c r="I659" s="41">
        <v>391</v>
      </c>
      <c r="J659" s="42"/>
      <c r="K659" s="44"/>
      <c r="L659" s="19"/>
      <c r="M659" s="44"/>
      <c r="N659" s="119"/>
      <c r="O659" s="46">
        <f t="shared" si="378"/>
        <v>391</v>
      </c>
      <c r="P659" s="51"/>
      <c r="Q659" s="51"/>
      <c r="R659" s="73">
        <f t="shared" si="384"/>
        <v>284.204763377668</v>
      </c>
      <c r="S659" s="73"/>
      <c r="T659" s="74">
        <f t="shared" si="385"/>
        <v>0.405536653263223</v>
      </c>
      <c r="U659" s="73"/>
      <c r="V659" s="73"/>
      <c r="W659" s="73">
        <f t="shared" si="382"/>
        <v>284.610300030931</v>
      </c>
      <c r="X659" s="75">
        <f t="shared" si="386"/>
        <v>5.9593751933189</v>
      </c>
      <c r="Y659" s="75"/>
      <c r="Z659" s="75"/>
      <c r="AA659" s="75">
        <f t="shared" si="383"/>
        <v>5.9593751933189</v>
      </c>
      <c r="AB659" s="84">
        <v>7.22</v>
      </c>
      <c r="AC659" s="73">
        <f t="shared" si="379"/>
        <v>43.0266888957624</v>
      </c>
      <c r="AD659" s="73">
        <f t="shared" si="380"/>
        <v>327.636988926693</v>
      </c>
      <c r="AE659" s="73">
        <f t="shared" si="381"/>
        <v>63.3630110733066</v>
      </c>
    </row>
    <row r="660" customFormat="1" spans="1:31">
      <c r="A660" s="18"/>
      <c r="B660" s="19"/>
      <c r="C660" s="20">
        <v>240514000001</v>
      </c>
      <c r="D660" s="21">
        <v>45432</v>
      </c>
      <c r="E660" s="21" t="s">
        <v>41</v>
      </c>
      <c r="F660" s="19" t="s">
        <v>42</v>
      </c>
      <c r="G660" s="19" t="s">
        <v>454</v>
      </c>
      <c r="H660" s="19">
        <v>5.5</v>
      </c>
      <c r="I660" s="41">
        <v>385</v>
      </c>
      <c r="J660" s="42"/>
      <c r="K660" s="44"/>
      <c r="L660" s="19"/>
      <c r="M660" s="44"/>
      <c r="N660" s="119"/>
      <c r="O660" s="46">
        <f t="shared" si="378"/>
        <v>385</v>
      </c>
      <c r="P660" s="51"/>
      <c r="Q660" s="51"/>
      <c r="R660" s="73">
        <f t="shared" si="384"/>
        <v>223.303742653882</v>
      </c>
      <c r="S660" s="73"/>
      <c r="T660" s="74">
        <f t="shared" si="385"/>
        <v>0.318635941849675</v>
      </c>
      <c r="U660" s="73"/>
      <c r="V660" s="73"/>
      <c r="W660" s="73">
        <f t="shared" si="382"/>
        <v>223.622378595732</v>
      </c>
      <c r="X660" s="75">
        <f t="shared" si="386"/>
        <v>4.68236622332199</v>
      </c>
      <c r="Y660" s="75"/>
      <c r="Z660" s="75"/>
      <c r="AA660" s="75">
        <f t="shared" si="383"/>
        <v>4.68236622332199</v>
      </c>
      <c r="AB660" s="84">
        <v>7.22</v>
      </c>
      <c r="AC660" s="73">
        <f t="shared" si="379"/>
        <v>33.8066841323848</v>
      </c>
      <c r="AD660" s="73">
        <f t="shared" si="380"/>
        <v>257.429062728116</v>
      </c>
      <c r="AE660" s="73">
        <f t="shared" si="381"/>
        <v>127.570937271884</v>
      </c>
    </row>
    <row r="661" customFormat="1" spans="1:31">
      <c r="A661" s="18"/>
      <c r="B661" s="19"/>
      <c r="C661" s="20">
        <v>240514000009</v>
      </c>
      <c r="D661" s="21">
        <v>45432</v>
      </c>
      <c r="E661" s="21" t="s">
        <v>37</v>
      </c>
      <c r="F661" s="19" t="s">
        <v>38</v>
      </c>
      <c r="G661" s="19" t="s">
        <v>143</v>
      </c>
      <c r="H661" s="19">
        <v>0.36</v>
      </c>
      <c r="I661" s="41">
        <v>61</v>
      </c>
      <c r="J661" s="42"/>
      <c r="K661" s="44"/>
      <c r="L661" s="19"/>
      <c r="M661" s="44"/>
      <c r="N661" s="119"/>
      <c r="O661" s="46">
        <f t="shared" si="378"/>
        <v>61</v>
      </c>
      <c r="P661" s="51"/>
      <c r="Q661" s="51"/>
      <c r="R661" s="73">
        <f t="shared" si="384"/>
        <v>14.6162449737086</v>
      </c>
      <c r="S661" s="73"/>
      <c r="T661" s="74">
        <f t="shared" si="385"/>
        <v>0.0208561707392515</v>
      </c>
      <c r="U661" s="73"/>
      <c r="V661" s="73"/>
      <c r="W661" s="73">
        <f t="shared" si="382"/>
        <v>14.6371011444479</v>
      </c>
      <c r="X661" s="75">
        <f t="shared" si="386"/>
        <v>0.306482152799258</v>
      </c>
      <c r="Y661" s="75"/>
      <c r="Z661" s="75"/>
      <c r="AA661" s="75">
        <f t="shared" si="383"/>
        <v>0.306482152799258</v>
      </c>
      <c r="AB661" s="84">
        <v>7.22</v>
      </c>
      <c r="AC661" s="73">
        <f t="shared" si="379"/>
        <v>2.21280114321064</v>
      </c>
      <c r="AD661" s="73">
        <f t="shared" si="380"/>
        <v>16.8499022876585</v>
      </c>
      <c r="AE661" s="73">
        <f t="shared" si="381"/>
        <v>44.1500977123415</v>
      </c>
    </row>
    <row r="662" customFormat="1" spans="1:31">
      <c r="A662" s="18"/>
      <c r="B662" s="19"/>
      <c r="C662" s="20">
        <v>240514000030</v>
      </c>
      <c r="D662" s="21">
        <v>45432</v>
      </c>
      <c r="E662" s="21" t="s">
        <v>44</v>
      </c>
      <c r="F662" s="19" t="s">
        <v>45</v>
      </c>
      <c r="G662" s="19" t="s">
        <v>455</v>
      </c>
      <c r="H662" s="19">
        <v>23</v>
      </c>
      <c r="I662" s="41">
        <v>1334</v>
      </c>
      <c r="J662" s="42"/>
      <c r="K662" s="44"/>
      <c r="L662" s="19"/>
      <c r="M662" s="44"/>
      <c r="N662" s="119"/>
      <c r="O662" s="46">
        <f t="shared" si="378"/>
        <v>1334</v>
      </c>
      <c r="P662" s="51"/>
      <c r="Q662" s="51"/>
      <c r="R662" s="73">
        <f t="shared" si="384"/>
        <v>933.815651098051</v>
      </c>
      <c r="S662" s="73"/>
      <c r="T662" s="74">
        <f t="shared" si="385"/>
        <v>1.33247757500773</v>
      </c>
      <c r="U662" s="73"/>
      <c r="V662" s="73"/>
      <c r="W662" s="73">
        <f t="shared" si="382"/>
        <v>935.148128673059</v>
      </c>
      <c r="X662" s="75">
        <f t="shared" si="386"/>
        <v>19.5808042066192</v>
      </c>
      <c r="Y662" s="75"/>
      <c r="Z662" s="75"/>
      <c r="AA662" s="75">
        <f t="shared" si="383"/>
        <v>19.5808042066192</v>
      </c>
      <c r="AB662" s="84">
        <v>7.22</v>
      </c>
      <c r="AC662" s="73">
        <f t="shared" si="379"/>
        <v>141.373406371791</v>
      </c>
      <c r="AD662" s="73">
        <f t="shared" si="380"/>
        <v>1076.52153504485</v>
      </c>
      <c r="AE662" s="73">
        <f t="shared" si="381"/>
        <v>257.47846495515</v>
      </c>
    </row>
    <row r="663" customFormat="1" spans="1:31">
      <c r="A663" s="18"/>
      <c r="B663" s="19"/>
      <c r="C663" s="20">
        <v>240514000037</v>
      </c>
      <c r="D663" s="21">
        <v>45432</v>
      </c>
      <c r="E663" s="21" t="s">
        <v>44</v>
      </c>
      <c r="F663" s="19" t="s">
        <v>45</v>
      </c>
      <c r="G663" s="19" t="s">
        <v>456</v>
      </c>
      <c r="H663" s="19">
        <v>0.5</v>
      </c>
      <c r="I663" s="52"/>
      <c r="J663" s="48">
        <v>12932</v>
      </c>
      <c r="K663" s="44"/>
      <c r="L663" s="49">
        <f t="shared" ref="L663:L666" si="387">SUM(J663/M663)</f>
        <v>1532.22748815166</v>
      </c>
      <c r="M663" s="50">
        <v>8.44</v>
      </c>
      <c r="N663" s="119">
        <v>7.22</v>
      </c>
      <c r="O663" s="46">
        <f t="shared" ref="O663:O666" si="388">SUM(M663*N663)</f>
        <v>60.9368</v>
      </c>
      <c r="P663" s="51"/>
      <c r="Q663" s="51"/>
      <c r="R663" s="73">
        <f t="shared" si="384"/>
        <v>20.300340241262</v>
      </c>
      <c r="S663" s="73"/>
      <c r="T663" s="74">
        <f t="shared" si="385"/>
        <v>0.0289669038045159</v>
      </c>
      <c r="U663" s="73"/>
      <c r="V663" s="73"/>
      <c r="W663" s="73">
        <f t="shared" si="382"/>
        <v>20.3293071450665</v>
      </c>
      <c r="X663" s="75">
        <f t="shared" si="386"/>
        <v>0.425669656665636</v>
      </c>
      <c r="Y663" s="75"/>
      <c r="Z663" s="75"/>
      <c r="AA663" s="75">
        <f t="shared" si="383"/>
        <v>0.425669656665636</v>
      </c>
      <c r="AB663" s="84">
        <v>7.22</v>
      </c>
      <c r="AC663" s="73">
        <f t="shared" si="379"/>
        <v>3.07333492112589</v>
      </c>
      <c r="AD663" s="73">
        <f t="shared" si="380"/>
        <v>23.4026420661924</v>
      </c>
      <c r="AE663" s="73">
        <f t="shared" si="381"/>
        <v>37.5341579338076</v>
      </c>
    </row>
    <row r="664" customFormat="1" spans="1:31">
      <c r="A664" s="18"/>
      <c r="B664" s="19"/>
      <c r="C664" s="20">
        <v>240514000046</v>
      </c>
      <c r="D664" s="21">
        <v>45432</v>
      </c>
      <c r="E664" s="21" t="s">
        <v>44</v>
      </c>
      <c r="F664" s="19" t="s">
        <v>45</v>
      </c>
      <c r="G664" s="19" t="s">
        <v>189</v>
      </c>
      <c r="H664" s="19">
        <v>10.5</v>
      </c>
      <c r="I664" s="52"/>
      <c r="J664" s="48">
        <v>123702</v>
      </c>
      <c r="K664" s="44"/>
      <c r="L664" s="49">
        <f t="shared" si="387"/>
        <v>1530.77589407252</v>
      </c>
      <c r="M664" s="50">
        <v>80.81</v>
      </c>
      <c r="N664" s="119">
        <v>7.22</v>
      </c>
      <c r="O664" s="46">
        <f t="shared" si="388"/>
        <v>583.4482</v>
      </c>
      <c r="P664" s="51"/>
      <c r="Q664" s="51"/>
      <c r="R664" s="73">
        <f t="shared" si="384"/>
        <v>426.307145066502</v>
      </c>
      <c r="S664" s="73"/>
      <c r="T664" s="74">
        <f t="shared" si="385"/>
        <v>0.608304979894835</v>
      </c>
      <c r="U664" s="73"/>
      <c r="V664" s="73"/>
      <c r="W664" s="73">
        <f t="shared" si="382"/>
        <v>426.915450046397</v>
      </c>
      <c r="X664" s="75">
        <f t="shared" si="386"/>
        <v>8.93906278997835</v>
      </c>
      <c r="Y664" s="75"/>
      <c r="Z664" s="75"/>
      <c r="AA664" s="75">
        <f t="shared" si="383"/>
        <v>8.93906278997835</v>
      </c>
      <c r="AB664" s="84">
        <v>7.22</v>
      </c>
      <c r="AC664" s="73">
        <f t="shared" si="379"/>
        <v>64.5400333436437</v>
      </c>
      <c r="AD664" s="73">
        <f t="shared" si="380"/>
        <v>491.45548339004</v>
      </c>
      <c r="AE664" s="73">
        <f t="shared" si="381"/>
        <v>91.9927166099598</v>
      </c>
    </row>
    <row r="665" customFormat="1" spans="1:31">
      <c r="A665" s="18"/>
      <c r="B665" s="19"/>
      <c r="C665" s="20">
        <v>240514000061</v>
      </c>
      <c r="D665" s="21">
        <v>45432</v>
      </c>
      <c r="E665" s="21" t="s">
        <v>44</v>
      </c>
      <c r="F665" s="19" t="s">
        <v>457</v>
      </c>
      <c r="G665" s="19" t="s">
        <v>458</v>
      </c>
      <c r="H665" s="19">
        <v>4</v>
      </c>
      <c r="I665" s="41">
        <v>235</v>
      </c>
      <c r="J665" s="42"/>
      <c r="K665" s="44"/>
      <c r="L665" s="19"/>
      <c r="M665" s="44"/>
      <c r="N665" s="119"/>
      <c r="O665" s="46">
        <f t="shared" ref="O665:O670" si="389">SUM(I665)</f>
        <v>235</v>
      </c>
      <c r="P665" s="51"/>
      <c r="Q665" s="51"/>
      <c r="R665" s="73">
        <f t="shared" si="384"/>
        <v>162.402721930096</v>
      </c>
      <c r="S665" s="73"/>
      <c r="T665" s="74">
        <f t="shared" si="385"/>
        <v>0.231735230436127</v>
      </c>
      <c r="U665" s="73"/>
      <c r="V665" s="73"/>
      <c r="W665" s="73">
        <f t="shared" si="382"/>
        <v>162.634457160532</v>
      </c>
      <c r="X665" s="75">
        <f t="shared" si="386"/>
        <v>3.40535725332509</v>
      </c>
      <c r="Y665" s="75"/>
      <c r="Z665" s="75"/>
      <c r="AA665" s="75">
        <f t="shared" si="383"/>
        <v>3.40535725332509</v>
      </c>
      <c r="AB665" s="84">
        <v>7.22</v>
      </c>
      <c r="AC665" s="73">
        <f t="shared" si="379"/>
        <v>24.5866793690071</v>
      </c>
      <c r="AD665" s="73">
        <f t="shared" si="380"/>
        <v>187.221136529539</v>
      </c>
      <c r="AE665" s="73">
        <f t="shared" si="381"/>
        <v>47.7788634704609</v>
      </c>
    </row>
    <row r="666" customFormat="1" spans="1:31">
      <c r="A666" s="18"/>
      <c r="B666" s="19"/>
      <c r="C666" s="20">
        <v>240515000008</v>
      </c>
      <c r="D666" s="21">
        <v>45432</v>
      </c>
      <c r="E666" s="21" t="s">
        <v>41</v>
      </c>
      <c r="F666" s="19" t="s">
        <v>42</v>
      </c>
      <c r="G666" s="19" t="s">
        <v>141</v>
      </c>
      <c r="H666" s="19">
        <v>38.5</v>
      </c>
      <c r="I666" s="52"/>
      <c r="J666" s="48">
        <v>453299</v>
      </c>
      <c r="K666" s="44"/>
      <c r="L666" s="49">
        <f t="shared" si="387"/>
        <v>1465.70634073787</v>
      </c>
      <c r="M666" s="50">
        <v>309.27</v>
      </c>
      <c r="N666" s="119">
        <v>7.22</v>
      </c>
      <c r="O666" s="46">
        <f t="shared" si="388"/>
        <v>2232.9294</v>
      </c>
      <c r="P666" s="51"/>
      <c r="Q666" s="51"/>
      <c r="R666" s="73">
        <f t="shared" si="384"/>
        <v>1563.12619857717</v>
      </c>
      <c r="S666" s="73"/>
      <c r="T666" s="74">
        <f t="shared" si="385"/>
        <v>2.23045159294773</v>
      </c>
      <c r="U666" s="73"/>
      <c r="V666" s="73"/>
      <c r="W666" s="73">
        <f t="shared" si="382"/>
        <v>1565.35665017012</v>
      </c>
      <c r="X666" s="75">
        <f t="shared" si="386"/>
        <v>32.7765635632539</v>
      </c>
      <c r="Y666" s="75"/>
      <c r="Z666" s="75"/>
      <c r="AA666" s="75">
        <f t="shared" si="383"/>
        <v>32.7765635632539</v>
      </c>
      <c r="AB666" s="84">
        <v>7.22</v>
      </c>
      <c r="AC666" s="73">
        <f t="shared" si="379"/>
        <v>236.646788926693</v>
      </c>
      <c r="AD666" s="73">
        <f t="shared" si="380"/>
        <v>1802.00343909681</v>
      </c>
      <c r="AE666" s="73">
        <f t="shared" si="381"/>
        <v>430.925960903186</v>
      </c>
    </row>
    <row r="667" customFormat="1" spans="1:31">
      <c r="A667" s="18"/>
      <c r="B667" s="19"/>
      <c r="C667" s="20">
        <v>240515000009</v>
      </c>
      <c r="D667" s="21">
        <v>45432</v>
      </c>
      <c r="E667" s="21" t="s">
        <v>41</v>
      </c>
      <c r="F667" s="19" t="s">
        <v>42</v>
      </c>
      <c r="G667" s="19" t="s">
        <v>459</v>
      </c>
      <c r="H667" s="19">
        <v>4.5</v>
      </c>
      <c r="I667" s="41">
        <v>264</v>
      </c>
      <c r="J667" s="42"/>
      <c r="K667" s="44"/>
      <c r="L667" s="19"/>
      <c r="M667" s="44"/>
      <c r="N667" s="119"/>
      <c r="O667" s="46">
        <f t="shared" si="389"/>
        <v>264</v>
      </c>
      <c r="P667" s="51"/>
      <c r="Q667" s="51"/>
      <c r="R667" s="73">
        <f t="shared" si="384"/>
        <v>182.703062171358</v>
      </c>
      <c r="S667" s="73"/>
      <c r="T667" s="74">
        <f t="shared" si="385"/>
        <v>0.260702134240643</v>
      </c>
      <c r="U667" s="73"/>
      <c r="V667" s="73"/>
      <c r="W667" s="73">
        <f t="shared" si="382"/>
        <v>182.963764305598</v>
      </c>
      <c r="X667" s="75">
        <f t="shared" si="386"/>
        <v>3.83102690999072</v>
      </c>
      <c r="Y667" s="75"/>
      <c r="Z667" s="75"/>
      <c r="AA667" s="75">
        <f t="shared" si="383"/>
        <v>3.83102690999072</v>
      </c>
      <c r="AB667" s="84">
        <v>7.22</v>
      </c>
      <c r="AC667" s="73">
        <f t="shared" si="379"/>
        <v>27.660014290133</v>
      </c>
      <c r="AD667" s="73">
        <f t="shared" si="380"/>
        <v>210.623778595731</v>
      </c>
      <c r="AE667" s="73">
        <f t="shared" si="381"/>
        <v>53.3762214042685</v>
      </c>
    </row>
    <row r="668" customFormat="1" spans="1:31">
      <c r="A668" s="18"/>
      <c r="B668" s="19"/>
      <c r="C668" s="20">
        <v>240515000012</v>
      </c>
      <c r="D668" s="21">
        <v>45432</v>
      </c>
      <c r="E668" s="21" t="s">
        <v>47</v>
      </c>
      <c r="F668" s="19" t="s">
        <v>48</v>
      </c>
      <c r="G668" s="19" t="s">
        <v>74</v>
      </c>
      <c r="H668" s="19">
        <v>0.69</v>
      </c>
      <c r="I668" s="52"/>
      <c r="J668" s="48">
        <v>12932</v>
      </c>
      <c r="K668" s="44"/>
      <c r="L668" s="49">
        <f>SUM(J668/M668)</f>
        <v>1532.22748815166</v>
      </c>
      <c r="M668" s="50">
        <v>8.44</v>
      </c>
      <c r="N668" s="119">
        <v>7.22</v>
      </c>
      <c r="O668" s="46">
        <f>SUM(M668*N668)</f>
        <v>60.9368</v>
      </c>
      <c r="P668" s="51"/>
      <c r="Q668" s="51"/>
      <c r="R668" s="73">
        <f t="shared" si="384"/>
        <v>28.0144695329415</v>
      </c>
      <c r="S668" s="73"/>
      <c r="T668" s="74">
        <f t="shared" si="385"/>
        <v>0.039974327250232</v>
      </c>
      <c r="U668" s="73"/>
      <c r="V668" s="73"/>
      <c r="W668" s="73">
        <f t="shared" si="382"/>
        <v>28.0544438601918</v>
      </c>
      <c r="X668" s="75">
        <f t="shared" si="386"/>
        <v>0.587424126198577</v>
      </c>
      <c r="Y668" s="75"/>
      <c r="Z668" s="75"/>
      <c r="AA668" s="75">
        <f t="shared" si="383"/>
        <v>0.587424126198577</v>
      </c>
      <c r="AB668" s="84">
        <v>7.22</v>
      </c>
      <c r="AC668" s="73">
        <f t="shared" si="379"/>
        <v>4.24120219115373</v>
      </c>
      <c r="AD668" s="73">
        <f t="shared" si="380"/>
        <v>32.2956460513455</v>
      </c>
      <c r="AE668" s="73">
        <f t="shared" si="381"/>
        <v>28.6411539486545</v>
      </c>
    </row>
    <row r="669" customFormat="1" spans="1:31">
      <c r="A669" s="18"/>
      <c r="B669" s="19"/>
      <c r="C669" s="20">
        <v>240515000013</v>
      </c>
      <c r="D669" s="21">
        <v>45432</v>
      </c>
      <c r="E669" s="21" t="s">
        <v>47</v>
      </c>
      <c r="F669" s="19" t="s">
        <v>48</v>
      </c>
      <c r="G669" s="19" t="s">
        <v>460</v>
      </c>
      <c r="H669" s="19">
        <v>24</v>
      </c>
      <c r="I669" s="41">
        <v>1440</v>
      </c>
      <c r="J669" s="42"/>
      <c r="K669" s="44"/>
      <c r="L669" s="19"/>
      <c r="M669" s="44"/>
      <c r="N669" s="119"/>
      <c r="O669" s="46">
        <f t="shared" si="389"/>
        <v>1440</v>
      </c>
      <c r="P669" s="51"/>
      <c r="Q669" s="51"/>
      <c r="R669" s="73">
        <f t="shared" si="384"/>
        <v>974.416331580575</v>
      </c>
      <c r="S669" s="73"/>
      <c r="T669" s="74">
        <f t="shared" si="385"/>
        <v>1.39041138261676</v>
      </c>
      <c r="U669" s="73"/>
      <c r="V669" s="73"/>
      <c r="W669" s="73">
        <f t="shared" si="382"/>
        <v>975.806742963192</v>
      </c>
      <c r="X669" s="75">
        <f t="shared" si="386"/>
        <v>20.4321435199505</v>
      </c>
      <c r="Y669" s="75"/>
      <c r="Z669" s="75"/>
      <c r="AA669" s="75">
        <f t="shared" si="383"/>
        <v>20.4321435199505</v>
      </c>
      <c r="AB669" s="84">
        <v>7.22</v>
      </c>
      <c r="AC669" s="73">
        <f t="shared" si="379"/>
        <v>147.520076214043</v>
      </c>
      <c r="AD669" s="73">
        <f t="shared" si="380"/>
        <v>1123.32681917723</v>
      </c>
      <c r="AE669" s="73">
        <f t="shared" si="381"/>
        <v>316.673180822765</v>
      </c>
    </row>
    <row r="670" customFormat="1" spans="1:31">
      <c r="A670" s="18"/>
      <c r="B670" s="19"/>
      <c r="C670" s="20">
        <v>240515000015</v>
      </c>
      <c r="D670" s="21">
        <v>45432</v>
      </c>
      <c r="E670" s="21" t="s">
        <v>47</v>
      </c>
      <c r="F670" s="19" t="s">
        <v>48</v>
      </c>
      <c r="G670" s="19" t="s">
        <v>331</v>
      </c>
      <c r="H670" s="19">
        <v>1.5</v>
      </c>
      <c r="I670" s="41">
        <v>90</v>
      </c>
      <c r="J670" s="42"/>
      <c r="K670" s="44"/>
      <c r="L670" s="19"/>
      <c r="M670" s="44"/>
      <c r="N670" s="119"/>
      <c r="O670" s="46">
        <f t="shared" si="389"/>
        <v>90</v>
      </c>
      <c r="P670" s="51"/>
      <c r="Q670" s="51"/>
      <c r="R670" s="73">
        <f t="shared" si="384"/>
        <v>60.901020723786</v>
      </c>
      <c r="S670" s="73"/>
      <c r="T670" s="74">
        <f t="shared" si="385"/>
        <v>0.0869007114135478</v>
      </c>
      <c r="U670" s="73"/>
      <c r="V670" s="73"/>
      <c r="W670" s="73">
        <f t="shared" si="382"/>
        <v>60.9879214351995</v>
      </c>
      <c r="X670" s="75">
        <f t="shared" si="386"/>
        <v>1.27700896999691</v>
      </c>
      <c r="Y670" s="75"/>
      <c r="Z670" s="75"/>
      <c r="AA670" s="75">
        <f t="shared" si="383"/>
        <v>1.27700896999691</v>
      </c>
      <c r="AB670" s="84">
        <v>7.22</v>
      </c>
      <c r="AC670" s="73">
        <f t="shared" si="379"/>
        <v>9.22000476337767</v>
      </c>
      <c r="AD670" s="73">
        <f t="shared" si="380"/>
        <v>70.2079261985772</v>
      </c>
      <c r="AE670" s="73">
        <f t="shared" si="381"/>
        <v>19.7920738014228</v>
      </c>
    </row>
    <row r="671" customFormat="1" spans="1:31">
      <c r="A671" s="18"/>
      <c r="B671" s="19"/>
      <c r="C671" s="20">
        <v>240515000016</v>
      </c>
      <c r="D671" s="21">
        <v>45432</v>
      </c>
      <c r="E671" s="21" t="s">
        <v>44</v>
      </c>
      <c r="F671" s="19" t="s">
        <v>45</v>
      </c>
      <c r="G671" s="19" t="s">
        <v>461</v>
      </c>
      <c r="H671" s="19">
        <v>45.5</v>
      </c>
      <c r="I671" s="52"/>
      <c r="J671" s="48">
        <v>512934</v>
      </c>
      <c r="K671" s="44"/>
      <c r="L671" s="49">
        <f>SUM(J671/M671)</f>
        <v>1530.64366924294</v>
      </c>
      <c r="M671" s="50">
        <v>335.11</v>
      </c>
      <c r="N671" s="119">
        <v>7.22</v>
      </c>
      <c r="O671" s="46">
        <f>SUM(M671*N671)</f>
        <v>2419.4942</v>
      </c>
      <c r="P671" s="51"/>
      <c r="Q671" s="51"/>
      <c r="R671" s="73">
        <f t="shared" si="384"/>
        <v>1847.33096195484</v>
      </c>
      <c r="S671" s="73"/>
      <c r="T671" s="74">
        <f t="shared" si="385"/>
        <v>2.63598824621095</v>
      </c>
      <c r="U671" s="73"/>
      <c r="V671" s="73"/>
      <c r="W671" s="73">
        <f t="shared" si="382"/>
        <v>1849.96695020105</v>
      </c>
      <c r="X671" s="75">
        <f t="shared" si="386"/>
        <v>38.7359387565728</v>
      </c>
      <c r="Y671" s="75"/>
      <c r="Z671" s="75"/>
      <c r="AA671" s="75">
        <f t="shared" si="383"/>
        <v>38.7359387565728</v>
      </c>
      <c r="AB671" s="84">
        <v>7.22</v>
      </c>
      <c r="AC671" s="73">
        <f t="shared" si="379"/>
        <v>279.673477822456</v>
      </c>
      <c r="AD671" s="73">
        <f t="shared" si="380"/>
        <v>2129.64042802351</v>
      </c>
      <c r="AE671" s="73">
        <f t="shared" si="381"/>
        <v>289.853771976493</v>
      </c>
    </row>
    <row r="672" customFormat="1" spans="1:31">
      <c r="A672" s="18"/>
      <c r="B672" s="19"/>
      <c r="C672" s="20">
        <v>240515000017</v>
      </c>
      <c r="D672" s="21">
        <v>45432</v>
      </c>
      <c r="E672" s="21" t="s">
        <v>37</v>
      </c>
      <c r="F672" s="19" t="s">
        <v>38</v>
      </c>
      <c r="G672" s="19" t="s">
        <v>143</v>
      </c>
      <c r="H672" s="19">
        <v>2</v>
      </c>
      <c r="I672" s="41">
        <v>119</v>
      </c>
      <c r="J672" s="42"/>
      <c r="K672" s="44"/>
      <c r="L672" s="19"/>
      <c r="M672" s="44"/>
      <c r="N672" s="119"/>
      <c r="O672" s="46">
        <f t="shared" ref="O672:O675" si="390">SUM(I672)</f>
        <v>119</v>
      </c>
      <c r="P672" s="51"/>
      <c r="Q672" s="51"/>
      <c r="R672" s="73">
        <f t="shared" si="384"/>
        <v>81.2013609650479</v>
      </c>
      <c r="S672" s="73"/>
      <c r="T672" s="74">
        <f t="shared" si="385"/>
        <v>0.115867615218064</v>
      </c>
      <c r="U672" s="73"/>
      <c r="V672" s="73"/>
      <c r="W672" s="73">
        <f t="shared" si="382"/>
        <v>81.317228580266</v>
      </c>
      <c r="X672" s="75">
        <f t="shared" si="386"/>
        <v>1.70267862666254</v>
      </c>
      <c r="Y672" s="75"/>
      <c r="Z672" s="75"/>
      <c r="AA672" s="75">
        <f t="shared" si="383"/>
        <v>1.70267862666254</v>
      </c>
      <c r="AB672" s="84">
        <v>7.22</v>
      </c>
      <c r="AC672" s="73">
        <f t="shared" si="379"/>
        <v>12.2933396845036</v>
      </c>
      <c r="AD672" s="73">
        <f t="shared" si="380"/>
        <v>93.6105682647696</v>
      </c>
      <c r="AE672" s="73">
        <f t="shared" si="381"/>
        <v>25.3894317352304</v>
      </c>
    </row>
    <row r="673" customFormat="1" spans="1:31">
      <c r="A673" s="18"/>
      <c r="B673" s="19"/>
      <c r="C673" s="20">
        <v>240516000003</v>
      </c>
      <c r="D673" s="21">
        <v>45432</v>
      </c>
      <c r="E673" s="21" t="s">
        <v>37</v>
      </c>
      <c r="F673" s="19" t="s">
        <v>38</v>
      </c>
      <c r="G673" s="19" t="s">
        <v>462</v>
      </c>
      <c r="H673" s="19">
        <v>4</v>
      </c>
      <c r="I673" s="41">
        <v>224</v>
      </c>
      <c r="J673" s="42"/>
      <c r="K673" s="44"/>
      <c r="L673" s="19"/>
      <c r="M673" s="44"/>
      <c r="N673" s="119"/>
      <c r="O673" s="46">
        <f t="shared" si="390"/>
        <v>224</v>
      </c>
      <c r="P673" s="51"/>
      <c r="Q673" s="51"/>
      <c r="R673" s="73">
        <f t="shared" si="384"/>
        <v>162.402721930096</v>
      </c>
      <c r="S673" s="73"/>
      <c r="T673" s="74">
        <f t="shared" si="385"/>
        <v>0.231735230436127</v>
      </c>
      <c r="U673" s="73"/>
      <c r="V673" s="73"/>
      <c r="W673" s="73">
        <f t="shared" si="382"/>
        <v>162.634457160532</v>
      </c>
      <c r="X673" s="75">
        <f t="shared" si="386"/>
        <v>3.40535725332509</v>
      </c>
      <c r="Y673" s="75"/>
      <c r="Z673" s="75"/>
      <c r="AA673" s="75">
        <f t="shared" si="383"/>
        <v>3.40535725332509</v>
      </c>
      <c r="AB673" s="84">
        <v>7.22</v>
      </c>
      <c r="AC673" s="73">
        <f t="shared" si="379"/>
        <v>24.5866793690071</v>
      </c>
      <c r="AD673" s="73">
        <f t="shared" si="380"/>
        <v>187.221136529539</v>
      </c>
      <c r="AE673" s="73">
        <f t="shared" si="381"/>
        <v>36.7788634704609</v>
      </c>
    </row>
    <row r="674" customFormat="1" spans="1:31">
      <c r="A674" s="18"/>
      <c r="B674" s="19"/>
      <c r="C674" s="20">
        <v>240516000007</v>
      </c>
      <c r="D674" s="21">
        <v>45432</v>
      </c>
      <c r="E674" s="21" t="s">
        <v>54</v>
      </c>
      <c r="F674" s="19" t="s">
        <v>54</v>
      </c>
      <c r="G674" s="19" t="s">
        <v>463</v>
      </c>
      <c r="H674" s="19">
        <v>303.5</v>
      </c>
      <c r="I674" s="52">
        <v>24292</v>
      </c>
      <c r="J674" s="42"/>
      <c r="K674" s="44"/>
      <c r="L674" s="19"/>
      <c r="M674" s="44"/>
      <c r="N674" s="119"/>
      <c r="O674" s="46">
        <f t="shared" si="390"/>
        <v>24292</v>
      </c>
      <c r="P674" s="51"/>
      <c r="Q674" s="51"/>
      <c r="R674" s="73">
        <f t="shared" si="384"/>
        <v>12322.306526446</v>
      </c>
      <c r="S674" s="73"/>
      <c r="T674" s="74">
        <f t="shared" si="385"/>
        <v>17.5829106093412</v>
      </c>
      <c r="U674" s="73"/>
      <c r="V674" s="73"/>
      <c r="W674" s="73">
        <f t="shared" si="382"/>
        <v>12339.8894370554</v>
      </c>
      <c r="X674" s="75">
        <f t="shared" si="386"/>
        <v>258.381481596041</v>
      </c>
      <c r="Y674" s="75"/>
      <c r="Z674" s="75"/>
      <c r="AA674" s="75">
        <f t="shared" si="383"/>
        <v>258.381481596041</v>
      </c>
      <c r="AB674" s="84">
        <v>7.22</v>
      </c>
      <c r="AC674" s="73">
        <f t="shared" si="379"/>
        <v>1865.51429712341</v>
      </c>
      <c r="AD674" s="73">
        <f t="shared" si="380"/>
        <v>14205.4037341788</v>
      </c>
      <c r="AE674" s="73">
        <f t="shared" si="381"/>
        <v>10086.5962658212</v>
      </c>
    </row>
    <row r="675" customFormat="1" spans="1:31">
      <c r="A675" s="18"/>
      <c r="B675" s="19"/>
      <c r="C675" s="20">
        <v>240516000008</v>
      </c>
      <c r="D675" s="21">
        <v>45432</v>
      </c>
      <c r="E675" s="21" t="s">
        <v>47</v>
      </c>
      <c r="F675" s="19" t="s">
        <v>48</v>
      </c>
      <c r="G675" s="19" t="s">
        <v>464</v>
      </c>
      <c r="H675" s="19">
        <v>59</v>
      </c>
      <c r="I675" s="41">
        <v>3127</v>
      </c>
      <c r="J675" s="42"/>
      <c r="K675" s="44"/>
      <c r="L675" s="19"/>
      <c r="M675" s="44"/>
      <c r="N675" s="119"/>
      <c r="O675" s="46">
        <f t="shared" si="390"/>
        <v>3127</v>
      </c>
      <c r="P675" s="51"/>
      <c r="Q675" s="51"/>
      <c r="R675" s="73">
        <f t="shared" si="384"/>
        <v>2395.44014846891</v>
      </c>
      <c r="S675" s="73"/>
      <c r="T675" s="74">
        <f t="shared" si="385"/>
        <v>3.41809464893288</v>
      </c>
      <c r="U675" s="73"/>
      <c r="V675" s="73"/>
      <c r="W675" s="73">
        <f t="shared" si="382"/>
        <v>2398.85824311785</v>
      </c>
      <c r="X675" s="75">
        <f t="shared" si="386"/>
        <v>50.229019486545</v>
      </c>
      <c r="Y675" s="75"/>
      <c r="Z675" s="75"/>
      <c r="AA675" s="75">
        <f t="shared" si="383"/>
        <v>50.229019486545</v>
      </c>
      <c r="AB675" s="84">
        <v>7.22</v>
      </c>
      <c r="AC675" s="73">
        <f t="shared" si="379"/>
        <v>362.653520692855</v>
      </c>
      <c r="AD675" s="73">
        <f t="shared" si="380"/>
        <v>2761.5117638107</v>
      </c>
      <c r="AE675" s="73">
        <f t="shared" si="381"/>
        <v>365.488236189298</v>
      </c>
    </row>
    <row r="676" customFormat="1" spans="1:31">
      <c r="A676" s="18"/>
      <c r="B676" s="19"/>
      <c r="C676" s="20">
        <v>240516000009</v>
      </c>
      <c r="D676" s="21">
        <v>45432</v>
      </c>
      <c r="E676" s="21" t="s">
        <v>47</v>
      </c>
      <c r="F676" s="19" t="s">
        <v>48</v>
      </c>
      <c r="G676" s="19" t="s">
        <v>74</v>
      </c>
      <c r="H676" s="19">
        <v>0.42</v>
      </c>
      <c r="I676" s="46"/>
      <c r="J676" s="48">
        <v>13072</v>
      </c>
      <c r="K676" s="44"/>
      <c r="L676" s="49">
        <f>SUM(J676/M676)</f>
        <v>1520</v>
      </c>
      <c r="M676" s="50">
        <v>8.6</v>
      </c>
      <c r="N676" s="119">
        <v>7.22</v>
      </c>
      <c r="O676" s="46">
        <f>SUM(M676*N676)</f>
        <v>62.092</v>
      </c>
      <c r="P676" s="51"/>
      <c r="Q676" s="51"/>
      <c r="R676" s="73">
        <f t="shared" si="384"/>
        <v>17.0522858026601</v>
      </c>
      <c r="S676" s="73"/>
      <c r="T676" s="74">
        <f t="shared" si="385"/>
        <v>0.0243321991957934</v>
      </c>
      <c r="U676" s="73"/>
      <c r="V676" s="73"/>
      <c r="W676" s="73">
        <f t="shared" si="382"/>
        <v>17.0766180018559</v>
      </c>
      <c r="X676" s="75">
        <f t="shared" si="386"/>
        <v>0.357562511599134</v>
      </c>
      <c r="Y676" s="75"/>
      <c r="Z676" s="75"/>
      <c r="AA676" s="75">
        <f t="shared" si="383"/>
        <v>0.357562511599134</v>
      </c>
      <c r="AB676" s="84">
        <v>7.22</v>
      </c>
      <c r="AC676" s="73">
        <f t="shared" si="379"/>
        <v>2.58160133374575</v>
      </c>
      <c r="AD676" s="73">
        <f t="shared" si="380"/>
        <v>19.6582193356016</v>
      </c>
      <c r="AE676" s="73">
        <f t="shared" si="381"/>
        <v>42.4337806643984</v>
      </c>
    </row>
    <row r="677" customFormat="1" spans="1:31">
      <c r="A677" s="18"/>
      <c r="B677" s="19"/>
      <c r="C677" s="20">
        <v>240516000010</v>
      </c>
      <c r="D677" s="21">
        <v>45432</v>
      </c>
      <c r="E677" s="21" t="s">
        <v>47</v>
      </c>
      <c r="F677" s="19" t="s">
        <v>48</v>
      </c>
      <c r="G677" s="19" t="s">
        <v>256</v>
      </c>
      <c r="H677" s="19">
        <v>468.5</v>
      </c>
      <c r="I677" s="41">
        <v>24328</v>
      </c>
      <c r="J677" s="42"/>
      <c r="K677" s="44"/>
      <c r="L677" s="19"/>
      <c r="M677" s="44"/>
      <c r="N677" s="119"/>
      <c r="O677" s="46">
        <f t="shared" ref="O677:O680" si="391">SUM(I677)</f>
        <v>24328</v>
      </c>
      <c r="P677" s="51"/>
      <c r="Q677" s="51"/>
      <c r="R677" s="73">
        <f t="shared" si="384"/>
        <v>19021.4188060625</v>
      </c>
      <c r="S677" s="73"/>
      <c r="T677" s="74">
        <f t="shared" si="385"/>
        <v>27.1419888648314</v>
      </c>
      <c r="U677" s="73"/>
      <c r="V677" s="73"/>
      <c r="W677" s="73">
        <f t="shared" si="382"/>
        <v>19048.5607949273</v>
      </c>
      <c r="X677" s="75">
        <f t="shared" si="386"/>
        <v>398.852468295701</v>
      </c>
      <c r="Y677" s="75"/>
      <c r="Z677" s="75"/>
      <c r="AA677" s="75">
        <f t="shared" si="383"/>
        <v>398.852468295701</v>
      </c>
      <c r="AB677" s="84">
        <v>7.22</v>
      </c>
      <c r="AC677" s="73">
        <f t="shared" si="379"/>
        <v>2879.71482109496</v>
      </c>
      <c r="AD677" s="73">
        <f t="shared" si="380"/>
        <v>21928.2756160223</v>
      </c>
      <c r="AE677" s="73">
        <f t="shared" si="381"/>
        <v>2399.72438397773</v>
      </c>
    </row>
    <row r="678" customFormat="1" spans="1:31">
      <c r="A678" s="18"/>
      <c r="B678" s="19"/>
      <c r="C678" s="22">
        <v>240516000015</v>
      </c>
      <c r="D678" s="23">
        <v>45432</v>
      </c>
      <c r="E678" s="21" t="s">
        <v>54</v>
      </c>
      <c r="F678" s="24" t="s">
        <v>54</v>
      </c>
      <c r="G678" s="24" t="s">
        <v>250</v>
      </c>
      <c r="H678" s="24">
        <v>1.5</v>
      </c>
      <c r="I678" s="41">
        <v>90</v>
      </c>
      <c r="J678" s="42"/>
      <c r="K678" s="44"/>
      <c r="L678" s="19"/>
      <c r="M678" s="44"/>
      <c r="N678" s="119"/>
      <c r="O678" s="46">
        <f t="shared" si="391"/>
        <v>90</v>
      </c>
      <c r="P678" s="51"/>
      <c r="Q678" s="51"/>
      <c r="R678" s="73">
        <f t="shared" si="384"/>
        <v>60.901020723786</v>
      </c>
      <c r="S678" s="73"/>
      <c r="T678" s="74">
        <f t="shared" si="385"/>
        <v>0.0869007114135478</v>
      </c>
      <c r="U678" s="73"/>
      <c r="V678" s="73"/>
      <c r="W678" s="73">
        <f t="shared" si="382"/>
        <v>60.9879214351995</v>
      </c>
      <c r="X678" s="75">
        <f t="shared" si="386"/>
        <v>1.27700896999691</v>
      </c>
      <c r="Y678" s="75"/>
      <c r="Z678" s="75"/>
      <c r="AA678" s="75">
        <f t="shared" si="383"/>
        <v>1.27700896999691</v>
      </c>
      <c r="AB678" s="84">
        <v>7.22</v>
      </c>
      <c r="AC678" s="73">
        <f t="shared" si="379"/>
        <v>9.22000476337767</v>
      </c>
      <c r="AD678" s="73">
        <f t="shared" si="380"/>
        <v>70.2079261985772</v>
      </c>
      <c r="AE678" s="73">
        <f t="shared" si="381"/>
        <v>19.7920738014228</v>
      </c>
    </row>
    <row r="679" customFormat="1" spans="1:31">
      <c r="A679" s="18"/>
      <c r="B679" s="19"/>
      <c r="C679" s="20">
        <v>240516000017</v>
      </c>
      <c r="D679" s="21">
        <v>45432</v>
      </c>
      <c r="E679" s="21" t="s">
        <v>41</v>
      </c>
      <c r="F679" s="19" t="s">
        <v>42</v>
      </c>
      <c r="G679" s="19" t="s">
        <v>77</v>
      </c>
      <c r="H679" s="19">
        <v>1.5</v>
      </c>
      <c r="I679" s="41">
        <v>99</v>
      </c>
      <c r="J679" s="42"/>
      <c r="K679" s="44"/>
      <c r="L679" s="19"/>
      <c r="M679" s="44"/>
      <c r="N679" s="119"/>
      <c r="O679" s="46">
        <f t="shared" si="391"/>
        <v>99</v>
      </c>
      <c r="P679" s="51"/>
      <c r="Q679" s="51"/>
      <c r="R679" s="73">
        <f t="shared" si="384"/>
        <v>60.901020723786</v>
      </c>
      <c r="S679" s="73"/>
      <c r="T679" s="74">
        <f t="shared" si="385"/>
        <v>0.0869007114135478</v>
      </c>
      <c r="U679" s="73"/>
      <c r="V679" s="73"/>
      <c r="W679" s="73">
        <f t="shared" si="382"/>
        <v>60.9879214351995</v>
      </c>
      <c r="X679" s="75">
        <f t="shared" si="386"/>
        <v>1.27700896999691</v>
      </c>
      <c r="Y679" s="75"/>
      <c r="Z679" s="75"/>
      <c r="AA679" s="75">
        <f t="shared" si="383"/>
        <v>1.27700896999691</v>
      </c>
      <c r="AB679" s="84">
        <v>7.22</v>
      </c>
      <c r="AC679" s="73">
        <f t="shared" si="379"/>
        <v>9.22000476337767</v>
      </c>
      <c r="AD679" s="73">
        <f t="shared" si="380"/>
        <v>70.2079261985772</v>
      </c>
      <c r="AE679" s="73">
        <f t="shared" si="381"/>
        <v>28.7920738014228</v>
      </c>
    </row>
    <row r="680" customFormat="1" spans="1:31">
      <c r="A680" s="18"/>
      <c r="B680" s="19"/>
      <c r="C680" s="20">
        <v>240516000022</v>
      </c>
      <c r="D680" s="21">
        <v>45432</v>
      </c>
      <c r="E680" s="21" t="s">
        <v>41</v>
      </c>
      <c r="F680" s="19" t="s">
        <v>42</v>
      </c>
      <c r="G680" s="19" t="s">
        <v>465</v>
      </c>
      <c r="H680" s="19">
        <v>16.5</v>
      </c>
      <c r="I680" s="41">
        <v>874.5</v>
      </c>
      <c r="J680" s="42"/>
      <c r="K680" s="44"/>
      <c r="L680" s="19"/>
      <c r="M680" s="44"/>
      <c r="N680" s="119"/>
      <c r="O680" s="46">
        <f t="shared" si="391"/>
        <v>874.5</v>
      </c>
      <c r="P680" s="51"/>
      <c r="Q680" s="51"/>
      <c r="R680" s="73">
        <f t="shared" si="384"/>
        <v>669.911227961646</v>
      </c>
      <c r="S680" s="73"/>
      <c r="T680" s="74">
        <f t="shared" si="385"/>
        <v>0.955907825549026</v>
      </c>
      <c r="U680" s="73"/>
      <c r="V680" s="73"/>
      <c r="W680" s="73">
        <f t="shared" si="382"/>
        <v>670.867135787195</v>
      </c>
      <c r="X680" s="75">
        <f t="shared" si="386"/>
        <v>14.047098669966</v>
      </c>
      <c r="Y680" s="75"/>
      <c r="Z680" s="75"/>
      <c r="AA680" s="75">
        <f t="shared" si="383"/>
        <v>14.047098669966</v>
      </c>
      <c r="AB680" s="84">
        <v>7.22</v>
      </c>
      <c r="AC680" s="73">
        <f t="shared" si="379"/>
        <v>101.420052397154</v>
      </c>
      <c r="AD680" s="73">
        <f t="shared" si="380"/>
        <v>772.287188184349</v>
      </c>
      <c r="AE680" s="73">
        <f t="shared" si="381"/>
        <v>102.212811815651</v>
      </c>
    </row>
    <row r="681" customFormat="1" spans="1:31">
      <c r="A681" s="18"/>
      <c r="B681" s="19"/>
      <c r="C681" s="20">
        <v>240516000027</v>
      </c>
      <c r="D681" s="21">
        <v>45432</v>
      </c>
      <c r="E681" s="21" t="s">
        <v>41</v>
      </c>
      <c r="F681" s="19" t="s">
        <v>42</v>
      </c>
      <c r="G681" s="19" t="s">
        <v>147</v>
      </c>
      <c r="H681" s="19">
        <v>250</v>
      </c>
      <c r="I681" s="52"/>
      <c r="J681" s="48">
        <v>2940000</v>
      </c>
      <c r="K681" s="44"/>
      <c r="L681" s="49">
        <f t="shared" ref="L681:L687" si="392">SUM(J681/M681)</f>
        <v>1516.20638972693</v>
      </c>
      <c r="M681" s="50">
        <v>1939.05</v>
      </c>
      <c r="N681" s="119">
        <v>7.22</v>
      </c>
      <c r="O681" s="46">
        <f t="shared" ref="O681:O687" si="393">SUM(M681*N681)</f>
        <v>13999.941</v>
      </c>
      <c r="P681" s="51"/>
      <c r="Q681" s="51"/>
      <c r="R681" s="73">
        <f t="shared" si="384"/>
        <v>10150.170120631</v>
      </c>
      <c r="S681" s="73"/>
      <c r="T681" s="74">
        <f t="shared" si="385"/>
        <v>14.483451902258</v>
      </c>
      <c r="U681" s="73"/>
      <c r="V681" s="73"/>
      <c r="W681" s="73">
        <f t="shared" si="382"/>
        <v>10164.6535725333</v>
      </c>
      <c r="X681" s="75">
        <f t="shared" si="386"/>
        <v>212.834828332818</v>
      </c>
      <c r="Y681" s="75"/>
      <c r="Z681" s="75"/>
      <c r="AA681" s="75">
        <f t="shared" si="383"/>
        <v>212.834828332818</v>
      </c>
      <c r="AB681" s="84">
        <v>7.22</v>
      </c>
      <c r="AC681" s="73">
        <f t="shared" si="379"/>
        <v>1536.66746056294</v>
      </c>
      <c r="AD681" s="73">
        <f t="shared" si="380"/>
        <v>11701.3210330962</v>
      </c>
      <c r="AE681" s="73">
        <f t="shared" si="381"/>
        <v>2298.61996690381</v>
      </c>
    </row>
    <row r="682" customFormat="1" spans="1:31">
      <c r="A682" s="18"/>
      <c r="B682" s="19"/>
      <c r="C682" s="20">
        <v>240516000031</v>
      </c>
      <c r="D682" s="21">
        <v>45432</v>
      </c>
      <c r="E682" s="21" t="s">
        <v>44</v>
      </c>
      <c r="F682" s="19" t="s">
        <v>45</v>
      </c>
      <c r="G682" s="19" t="s">
        <v>466</v>
      </c>
      <c r="H682" s="19">
        <v>0.7708333</v>
      </c>
      <c r="I682" s="41">
        <v>74</v>
      </c>
      <c r="J682" s="42"/>
      <c r="K682" s="44"/>
      <c r="L682" s="19"/>
      <c r="M682" s="44"/>
      <c r="N682" s="119"/>
      <c r="O682" s="46">
        <f>SUM(I682)</f>
        <v>74</v>
      </c>
      <c r="P682" s="51"/>
      <c r="Q682" s="51"/>
      <c r="R682" s="73">
        <f t="shared" si="384"/>
        <v>31.2963565185895</v>
      </c>
      <c r="S682" s="73"/>
      <c r="T682" s="74">
        <f t="shared" si="385"/>
        <v>0.0446573081008351</v>
      </c>
      <c r="U682" s="73"/>
      <c r="V682" s="74">
        <v>13</v>
      </c>
      <c r="W682" s="73">
        <f t="shared" si="382"/>
        <v>44.3410138266904</v>
      </c>
      <c r="X682" s="75">
        <f t="shared" si="386"/>
        <v>0.656240692314878</v>
      </c>
      <c r="Y682" s="75"/>
      <c r="Z682" s="75"/>
      <c r="AA682" s="75">
        <f t="shared" si="383"/>
        <v>0.656240692314878</v>
      </c>
      <c r="AB682" s="84">
        <v>7.22</v>
      </c>
      <c r="AC682" s="73">
        <f t="shared" si="379"/>
        <v>4.73805779851342</v>
      </c>
      <c r="AD682" s="73">
        <f t="shared" si="380"/>
        <v>49.0790716252038</v>
      </c>
      <c r="AE682" s="73">
        <f t="shared" si="381"/>
        <v>24.9209283747962</v>
      </c>
    </row>
    <row r="683" customFormat="1" spans="1:31">
      <c r="A683" s="18"/>
      <c r="B683" s="19"/>
      <c r="C683" s="20">
        <v>240516000034</v>
      </c>
      <c r="D683" s="21">
        <v>45432</v>
      </c>
      <c r="E683" s="21" t="s">
        <v>41</v>
      </c>
      <c r="F683" s="19" t="s">
        <v>42</v>
      </c>
      <c r="G683" s="19" t="s">
        <v>147</v>
      </c>
      <c r="H683" s="19">
        <v>3.5</v>
      </c>
      <c r="I683" s="52"/>
      <c r="J683" s="48">
        <v>38955</v>
      </c>
      <c r="K683" s="44"/>
      <c r="L683" s="49">
        <f t="shared" si="392"/>
        <v>1516.34877384196</v>
      </c>
      <c r="M683" s="50">
        <v>25.69</v>
      </c>
      <c r="N683" s="119">
        <v>7.22</v>
      </c>
      <c r="O683" s="46">
        <f t="shared" si="393"/>
        <v>185.4818</v>
      </c>
      <c r="P683" s="51"/>
      <c r="Q683" s="51"/>
      <c r="R683" s="73">
        <f t="shared" si="384"/>
        <v>142.102381688834</v>
      </c>
      <c r="S683" s="73"/>
      <c r="T683" s="74">
        <f t="shared" si="385"/>
        <v>0.202768326631612</v>
      </c>
      <c r="U683" s="73"/>
      <c r="V683" s="74">
        <v>17</v>
      </c>
      <c r="W683" s="73">
        <f t="shared" si="382"/>
        <v>159.305150015466</v>
      </c>
      <c r="X683" s="75">
        <f t="shared" si="386"/>
        <v>2.97968759665945</v>
      </c>
      <c r="Y683" s="75"/>
      <c r="Z683" s="75"/>
      <c r="AA683" s="75">
        <f t="shared" si="383"/>
        <v>2.97968759665945</v>
      </c>
      <c r="AB683" s="84">
        <v>7.22</v>
      </c>
      <c r="AC683" s="73">
        <f t="shared" si="379"/>
        <v>21.5133444478812</v>
      </c>
      <c r="AD683" s="73">
        <f t="shared" si="380"/>
        <v>180.818494463347</v>
      </c>
      <c r="AE683" s="73">
        <f t="shared" si="381"/>
        <v>4.66330553665327</v>
      </c>
    </row>
    <row r="684" customFormat="1" spans="1:31">
      <c r="A684" s="18"/>
      <c r="B684" s="19"/>
      <c r="C684" s="20">
        <v>240516000036</v>
      </c>
      <c r="D684" s="21">
        <v>45432</v>
      </c>
      <c r="E684" s="21" t="s">
        <v>157</v>
      </c>
      <c r="F684" s="19" t="s">
        <v>239</v>
      </c>
      <c r="G684" s="19" t="s">
        <v>467</v>
      </c>
      <c r="H684" s="19">
        <v>22.5</v>
      </c>
      <c r="I684" s="46"/>
      <c r="J684" s="42"/>
      <c r="K684" s="50">
        <v>167.7</v>
      </c>
      <c r="L684" s="49">
        <f t="shared" si="392"/>
        <v>0</v>
      </c>
      <c r="M684" s="50">
        <v>167.7</v>
      </c>
      <c r="N684" s="119">
        <v>7.22</v>
      </c>
      <c r="O684" s="46">
        <f t="shared" si="393"/>
        <v>1210.794</v>
      </c>
      <c r="P684" s="51"/>
      <c r="Q684" s="51"/>
      <c r="R684" s="73">
        <f t="shared" si="384"/>
        <v>913.515310856789</v>
      </c>
      <c r="S684" s="73"/>
      <c r="T684" s="74">
        <f t="shared" si="385"/>
        <v>1.30351067120322</v>
      </c>
      <c r="U684" s="73"/>
      <c r="V684" s="73"/>
      <c r="W684" s="73">
        <f t="shared" si="382"/>
        <v>914.818821527993</v>
      </c>
      <c r="X684" s="75">
        <f t="shared" si="386"/>
        <v>19.1551345499536</v>
      </c>
      <c r="Y684" s="75"/>
      <c r="Z684" s="75"/>
      <c r="AA684" s="75">
        <f t="shared" si="383"/>
        <v>19.1551345499536</v>
      </c>
      <c r="AB684" s="84">
        <v>7.22</v>
      </c>
      <c r="AC684" s="73">
        <f t="shared" si="379"/>
        <v>138.300071450665</v>
      </c>
      <c r="AD684" s="73">
        <f t="shared" si="380"/>
        <v>1053.11889297866</v>
      </c>
      <c r="AE684" s="73">
        <f t="shared" si="381"/>
        <v>157.675107021342</v>
      </c>
    </row>
    <row r="685" customFormat="1" spans="1:31">
      <c r="A685" s="18"/>
      <c r="B685" s="19"/>
      <c r="C685" s="20">
        <v>240516000037</v>
      </c>
      <c r="D685" s="21">
        <v>45432</v>
      </c>
      <c r="E685" s="21" t="s">
        <v>54</v>
      </c>
      <c r="F685" s="19" t="s">
        <v>54</v>
      </c>
      <c r="G685" s="19" t="s">
        <v>188</v>
      </c>
      <c r="H685" s="19">
        <v>6</v>
      </c>
      <c r="I685" s="46"/>
      <c r="J685" s="48">
        <v>80043.2</v>
      </c>
      <c r="K685" s="44"/>
      <c r="L685" s="49">
        <f t="shared" si="392"/>
        <v>1520</v>
      </c>
      <c r="M685" s="50">
        <v>52.66</v>
      </c>
      <c r="N685" s="119">
        <v>7.22</v>
      </c>
      <c r="O685" s="46">
        <f t="shared" si="393"/>
        <v>380.2052</v>
      </c>
      <c r="P685" s="51"/>
      <c r="Q685" s="51"/>
      <c r="R685" s="73">
        <f t="shared" si="384"/>
        <v>243.604082895144</v>
      </c>
      <c r="S685" s="73"/>
      <c r="T685" s="74">
        <f t="shared" si="385"/>
        <v>0.347602845654191</v>
      </c>
      <c r="U685" s="73">
        <v>40</v>
      </c>
      <c r="V685" s="73"/>
      <c r="W685" s="73">
        <f t="shared" si="382"/>
        <v>283.951685740798</v>
      </c>
      <c r="X685" s="75">
        <f t="shared" si="386"/>
        <v>5.10803587998763</v>
      </c>
      <c r="Y685" s="75"/>
      <c r="Z685" s="75"/>
      <c r="AA685" s="75">
        <f t="shared" si="383"/>
        <v>5.10803587998763</v>
      </c>
      <c r="AB685" s="84">
        <v>7.22</v>
      </c>
      <c r="AC685" s="73">
        <f t="shared" si="379"/>
        <v>36.8800190535107</v>
      </c>
      <c r="AD685" s="73">
        <f t="shared" si="380"/>
        <v>320.831704794309</v>
      </c>
      <c r="AE685" s="73">
        <f t="shared" si="381"/>
        <v>59.3734952056913</v>
      </c>
    </row>
    <row r="686" customFormat="1" spans="1:31">
      <c r="A686" s="18"/>
      <c r="B686" s="19"/>
      <c r="C686" s="20">
        <v>240517000001</v>
      </c>
      <c r="D686" s="21">
        <v>45432</v>
      </c>
      <c r="E686" s="21" t="s">
        <v>54</v>
      </c>
      <c r="F686" s="19" t="s">
        <v>54</v>
      </c>
      <c r="G686" s="19" t="s">
        <v>468</v>
      </c>
      <c r="H686" s="19">
        <v>1.5</v>
      </c>
      <c r="I686" s="52"/>
      <c r="J686" s="48">
        <v>19080</v>
      </c>
      <c r="K686" s="44"/>
      <c r="L686" s="49">
        <f t="shared" si="392"/>
        <v>1531.30016051364</v>
      </c>
      <c r="M686" s="50">
        <v>12.46</v>
      </c>
      <c r="N686" s="119">
        <v>7.22</v>
      </c>
      <c r="O686" s="46">
        <f t="shared" si="393"/>
        <v>89.9612</v>
      </c>
      <c r="P686" s="51"/>
      <c r="Q686" s="51"/>
      <c r="R686" s="73">
        <f t="shared" si="384"/>
        <v>60.901020723786</v>
      </c>
      <c r="S686" s="73"/>
      <c r="T686" s="74">
        <f t="shared" si="385"/>
        <v>0.0869007114135478</v>
      </c>
      <c r="U686" s="73"/>
      <c r="V686" s="73"/>
      <c r="W686" s="73">
        <f t="shared" si="382"/>
        <v>60.9879214351995</v>
      </c>
      <c r="X686" s="75">
        <f t="shared" si="386"/>
        <v>1.27700896999691</v>
      </c>
      <c r="Y686" s="75"/>
      <c r="Z686" s="75"/>
      <c r="AA686" s="75">
        <f t="shared" si="383"/>
        <v>1.27700896999691</v>
      </c>
      <c r="AB686" s="84">
        <v>7.22</v>
      </c>
      <c r="AC686" s="73">
        <f t="shared" si="379"/>
        <v>9.22000476337767</v>
      </c>
      <c r="AD686" s="73">
        <f t="shared" si="380"/>
        <v>70.2079261985772</v>
      </c>
      <c r="AE686" s="73">
        <f t="shared" si="381"/>
        <v>19.7532738014228</v>
      </c>
    </row>
    <row r="687" customFormat="1" spans="1:31">
      <c r="A687" s="18"/>
      <c r="B687" s="19"/>
      <c r="C687" s="20">
        <v>240517000003</v>
      </c>
      <c r="D687" s="21">
        <v>45432</v>
      </c>
      <c r="E687" s="21" t="s">
        <v>37</v>
      </c>
      <c r="F687" s="19" t="s">
        <v>38</v>
      </c>
      <c r="G687" s="19" t="s">
        <v>132</v>
      </c>
      <c r="H687" s="19">
        <v>0.36</v>
      </c>
      <c r="I687" s="46"/>
      <c r="J687" s="48">
        <v>13072</v>
      </c>
      <c r="K687" s="44"/>
      <c r="L687" s="49">
        <f t="shared" si="392"/>
        <v>1520</v>
      </c>
      <c r="M687" s="50">
        <v>8.6</v>
      </c>
      <c r="N687" s="45">
        <v>7.22</v>
      </c>
      <c r="O687" s="46">
        <f t="shared" si="393"/>
        <v>62.092</v>
      </c>
      <c r="P687" s="51"/>
      <c r="Q687" s="51"/>
      <c r="R687" s="73">
        <f t="shared" si="384"/>
        <v>14.6162449737086</v>
      </c>
      <c r="S687" s="73"/>
      <c r="T687" s="74">
        <f t="shared" si="385"/>
        <v>0.0208561707392515</v>
      </c>
      <c r="U687" s="73"/>
      <c r="V687" s="73"/>
      <c r="W687" s="73">
        <f t="shared" si="382"/>
        <v>14.6371011444479</v>
      </c>
      <c r="X687" s="75">
        <f t="shared" si="386"/>
        <v>0.306482152799258</v>
      </c>
      <c r="Y687" s="75"/>
      <c r="Z687" s="75"/>
      <c r="AA687" s="75">
        <f t="shared" si="383"/>
        <v>0.306482152799258</v>
      </c>
      <c r="AB687" s="84">
        <v>7.22</v>
      </c>
      <c r="AC687" s="73">
        <f t="shared" si="379"/>
        <v>2.21280114321064</v>
      </c>
      <c r="AD687" s="73">
        <f t="shared" si="380"/>
        <v>16.8499022876585</v>
      </c>
      <c r="AE687" s="73">
        <f t="shared" si="381"/>
        <v>45.2420977123415</v>
      </c>
    </row>
    <row r="688" customFormat="1" spans="1:31">
      <c r="A688" s="18"/>
      <c r="B688" s="19"/>
      <c r="C688" s="20">
        <v>240517000007</v>
      </c>
      <c r="D688" s="21">
        <v>45432</v>
      </c>
      <c r="E688" s="21" t="s">
        <v>41</v>
      </c>
      <c r="F688" s="19" t="s">
        <v>42</v>
      </c>
      <c r="G688" s="19" t="s">
        <v>167</v>
      </c>
      <c r="H688" s="19">
        <v>208.5</v>
      </c>
      <c r="I688" s="41">
        <v>12093</v>
      </c>
      <c r="J688" s="42"/>
      <c r="K688" s="44"/>
      <c r="L688" s="19"/>
      <c r="M688" s="44"/>
      <c r="N688" s="119"/>
      <c r="O688" s="46">
        <f t="shared" ref="O688:O691" si="394">SUM(I688)</f>
        <v>12093</v>
      </c>
      <c r="P688" s="51"/>
      <c r="Q688" s="51"/>
      <c r="R688" s="73">
        <f t="shared" si="384"/>
        <v>8465.24188060625</v>
      </c>
      <c r="S688" s="73"/>
      <c r="T688" s="74">
        <f t="shared" si="385"/>
        <v>12.0791988864831</v>
      </c>
      <c r="U688" s="73"/>
      <c r="V688" s="73"/>
      <c r="W688" s="73">
        <f t="shared" si="382"/>
        <v>8477.32107949273</v>
      </c>
      <c r="X688" s="75">
        <f t="shared" si="386"/>
        <v>177.50424682957</v>
      </c>
      <c r="Y688" s="75"/>
      <c r="Z688" s="75"/>
      <c r="AA688" s="75">
        <f t="shared" si="383"/>
        <v>177.50424682957</v>
      </c>
      <c r="AB688" s="84">
        <v>7.22</v>
      </c>
      <c r="AC688" s="73">
        <f t="shared" si="379"/>
        <v>1281.5806621095</v>
      </c>
      <c r="AD688" s="73">
        <f t="shared" si="380"/>
        <v>9758.90174160223</v>
      </c>
      <c r="AE688" s="73">
        <f t="shared" si="381"/>
        <v>2334.09825839777</v>
      </c>
    </row>
    <row r="689" customFormat="1" spans="1:31">
      <c r="A689" s="18"/>
      <c r="B689" s="19"/>
      <c r="C689" s="20">
        <v>240517000008</v>
      </c>
      <c r="D689" s="21">
        <v>45432</v>
      </c>
      <c r="E689" s="21" t="s">
        <v>37</v>
      </c>
      <c r="F689" s="19" t="s">
        <v>38</v>
      </c>
      <c r="G689" s="19" t="s">
        <v>89</v>
      </c>
      <c r="H689" s="19">
        <v>4.5</v>
      </c>
      <c r="I689" s="41">
        <v>299.25</v>
      </c>
      <c r="J689" s="42"/>
      <c r="K689" s="44"/>
      <c r="L689" s="19"/>
      <c r="M689" s="44"/>
      <c r="N689" s="119"/>
      <c r="O689" s="46">
        <f t="shared" si="394"/>
        <v>299.25</v>
      </c>
      <c r="P689" s="51"/>
      <c r="Q689" s="51"/>
      <c r="R689" s="73">
        <f t="shared" si="384"/>
        <v>182.703062171358</v>
      </c>
      <c r="S689" s="73"/>
      <c r="T689" s="74">
        <f t="shared" si="385"/>
        <v>0.260702134240643</v>
      </c>
      <c r="U689" s="73"/>
      <c r="V689" s="73"/>
      <c r="W689" s="73">
        <f t="shared" si="382"/>
        <v>182.963764305598</v>
      </c>
      <c r="X689" s="75">
        <f t="shared" si="386"/>
        <v>3.83102690999072</v>
      </c>
      <c r="Y689" s="75"/>
      <c r="Z689" s="75"/>
      <c r="AA689" s="75">
        <f t="shared" si="383"/>
        <v>3.83102690999072</v>
      </c>
      <c r="AB689" s="84">
        <v>7.22</v>
      </c>
      <c r="AC689" s="73">
        <f t="shared" si="379"/>
        <v>27.660014290133</v>
      </c>
      <c r="AD689" s="73">
        <f t="shared" si="380"/>
        <v>210.623778595731</v>
      </c>
      <c r="AE689" s="73">
        <f t="shared" si="381"/>
        <v>88.626221404269</v>
      </c>
    </row>
    <row r="690" customFormat="1" spans="1:31">
      <c r="A690" s="18"/>
      <c r="B690" s="19"/>
      <c r="C690" s="20">
        <v>240517000016</v>
      </c>
      <c r="D690" s="21">
        <v>45432</v>
      </c>
      <c r="E690" s="21" t="s">
        <v>41</v>
      </c>
      <c r="F690" s="19" t="s">
        <v>42</v>
      </c>
      <c r="G690" s="19" t="s">
        <v>300</v>
      </c>
      <c r="H690" s="19">
        <v>15</v>
      </c>
      <c r="I690" s="52"/>
      <c r="J690" s="48">
        <v>195252</v>
      </c>
      <c r="K690" s="44"/>
      <c r="L690" s="49">
        <f>SUM(J690/M690)</f>
        <v>1530.66792097836</v>
      </c>
      <c r="M690" s="50">
        <v>127.56</v>
      </c>
      <c r="N690" s="119">
        <v>7.22</v>
      </c>
      <c r="O690" s="46">
        <f t="shared" ref="O690:O694" si="395">SUM(M690*N690)</f>
        <v>920.9832</v>
      </c>
      <c r="P690" s="51"/>
      <c r="Q690" s="51"/>
      <c r="R690" s="73">
        <f t="shared" si="384"/>
        <v>609.01020723786</v>
      </c>
      <c r="S690" s="73"/>
      <c r="T690" s="74">
        <f t="shared" si="385"/>
        <v>0.869007114135478</v>
      </c>
      <c r="U690" s="73"/>
      <c r="V690" s="73"/>
      <c r="W690" s="73">
        <f t="shared" si="382"/>
        <v>609.879214351995</v>
      </c>
      <c r="X690" s="75">
        <f t="shared" si="386"/>
        <v>12.7700896999691</v>
      </c>
      <c r="Y690" s="75"/>
      <c r="Z690" s="75"/>
      <c r="AA690" s="75">
        <f t="shared" si="383"/>
        <v>12.7700896999691</v>
      </c>
      <c r="AB690" s="84">
        <v>7.22</v>
      </c>
      <c r="AC690" s="73">
        <f t="shared" si="379"/>
        <v>92.2000476337767</v>
      </c>
      <c r="AD690" s="73">
        <f t="shared" si="380"/>
        <v>702.079261985772</v>
      </c>
      <c r="AE690" s="73">
        <f t="shared" si="381"/>
        <v>218.903938014228</v>
      </c>
    </row>
    <row r="691" customFormat="1" spans="1:31">
      <c r="A691" s="18"/>
      <c r="B691" s="19"/>
      <c r="C691" s="20">
        <v>240517000018</v>
      </c>
      <c r="D691" s="21">
        <v>45432</v>
      </c>
      <c r="E691" s="21" t="s">
        <v>41</v>
      </c>
      <c r="F691" s="19" t="s">
        <v>42</v>
      </c>
      <c r="G691" s="19" t="s">
        <v>177</v>
      </c>
      <c r="H691" s="19">
        <v>52</v>
      </c>
      <c r="I691" s="41">
        <v>3016</v>
      </c>
      <c r="J691" s="42"/>
      <c r="K691" s="44"/>
      <c r="L691" s="19"/>
      <c r="M691" s="44"/>
      <c r="N691" s="119"/>
      <c r="O691" s="46">
        <f t="shared" si="394"/>
        <v>3016</v>
      </c>
      <c r="P691" s="51"/>
      <c r="Q691" s="51"/>
      <c r="R691" s="73">
        <f t="shared" si="384"/>
        <v>2111.23538509125</v>
      </c>
      <c r="S691" s="73"/>
      <c r="T691" s="74">
        <f t="shared" si="385"/>
        <v>3.01255799566966</v>
      </c>
      <c r="U691" s="73"/>
      <c r="V691" s="73"/>
      <c r="W691" s="73">
        <f t="shared" si="382"/>
        <v>2114.24794308692</v>
      </c>
      <c r="X691" s="75">
        <f t="shared" si="386"/>
        <v>44.2696442932261</v>
      </c>
      <c r="Y691" s="75"/>
      <c r="Z691" s="75"/>
      <c r="AA691" s="75">
        <f t="shared" si="383"/>
        <v>44.2696442932261</v>
      </c>
      <c r="AB691" s="84">
        <v>7.22</v>
      </c>
      <c r="AC691" s="73">
        <f t="shared" si="379"/>
        <v>319.626831797093</v>
      </c>
      <c r="AD691" s="73">
        <f t="shared" si="380"/>
        <v>2433.87477488401</v>
      </c>
      <c r="AE691" s="73">
        <f t="shared" si="381"/>
        <v>582.12522511599</v>
      </c>
    </row>
    <row r="692" customFormat="1" spans="1:31">
      <c r="A692" s="18"/>
      <c r="B692" s="19"/>
      <c r="C692" s="20">
        <v>240517000023</v>
      </c>
      <c r="D692" s="21">
        <v>45432</v>
      </c>
      <c r="E692" s="21" t="s">
        <v>41</v>
      </c>
      <c r="F692" s="19" t="s">
        <v>42</v>
      </c>
      <c r="G692" s="19" t="s">
        <v>370</v>
      </c>
      <c r="H692" s="19">
        <v>1550</v>
      </c>
      <c r="I692" s="52"/>
      <c r="J692" s="48">
        <v>18350550</v>
      </c>
      <c r="K692" s="44"/>
      <c r="L692" s="49">
        <f>SUM(J692/M692)</f>
        <v>1494.54040798509</v>
      </c>
      <c r="M692" s="50">
        <v>12278.39</v>
      </c>
      <c r="N692" s="119">
        <v>7.22</v>
      </c>
      <c r="O692" s="46">
        <f t="shared" si="395"/>
        <v>88649.9758</v>
      </c>
      <c r="P692" s="51"/>
      <c r="Q692" s="51"/>
      <c r="R692" s="73">
        <f t="shared" si="384"/>
        <v>62931.0547479122</v>
      </c>
      <c r="S692" s="73"/>
      <c r="T692" s="74">
        <f t="shared" si="385"/>
        <v>89.7974017939994</v>
      </c>
      <c r="U692" s="74">
        <f>SUM(220+80)</f>
        <v>300</v>
      </c>
      <c r="V692" s="73"/>
      <c r="W692" s="73">
        <f t="shared" si="382"/>
        <v>63320.8521497062</v>
      </c>
      <c r="X692" s="75">
        <f t="shared" si="386"/>
        <v>1319.57593566347</v>
      </c>
      <c r="Y692" s="75"/>
      <c r="Z692" s="75"/>
      <c r="AA692" s="75">
        <f t="shared" si="383"/>
        <v>1319.57593566347</v>
      </c>
      <c r="AB692" s="84">
        <v>7.22</v>
      </c>
      <c r="AC692" s="73">
        <f t="shared" si="379"/>
        <v>9527.33825549026</v>
      </c>
      <c r="AD692" s="73">
        <f t="shared" si="380"/>
        <v>72848.1904051964</v>
      </c>
      <c r="AE692" s="73">
        <f t="shared" si="381"/>
        <v>15801.7853948036</v>
      </c>
    </row>
    <row r="693" customFormat="1" spans="1:31">
      <c r="A693" s="18"/>
      <c r="B693" s="19"/>
      <c r="C693" s="20">
        <v>240517000027</v>
      </c>
      <c r="D693" s="21">
        <v>45432</v>
      </c>
      <c r="E693" s="21" t="s">
        <v>47</v>
      </c>
      <c r="F693" s="19" t="s">
        <v>48</v>
      </c>
      <c r="G693" s="19" t="s">
        <v>53</v>
      </c>
      <c r="H693" s="19">
        <v>13</v>
      </c>
      <c r="I693" s="41">
        <v>721</v>
      </c>
      <c r="J693" s="42"/>
      <c r="K693" s="44"/>
      <c r="L693" s="19"/>
      <c r="M693" s="44"/>
      <c r="N693" s="119"/>
      <c r="O693" s="46">
        <f t="shared" ref="O693:O696" si="396">SUM(I693)</f>
        <v>721</v>
      </c>
      <c r="P693" s="51"/>
      <c r="Q693" s="51"/>
      <c r="R693" s="73">
        <f t="shared" si="384"/>
        <v>527.808846272812</v>
      </c>
      <c r="S693" s="73"/>
      <c r="T693" s="74">
        <f t="shared" si="385"/>
        <v>0.753139498917414</v>
      </c>
      <c r="U693" s="73"/>
      <c r="V693" s="73"/>
      <c r="W693" s="73">
        <f t="shared" si="382"/>
        <v>528.561985771729</v>
      </c>
      <c r="X693" s="75">
        <f t="shared" si="386"/>
        <v>11.0674110733065</v>
      </c>
      <c r="Y693" s="75"/>
      <c r="Z693" s="75"/>
      <c r="AA693" s="75">
        <f t="shared" si="383"/>
        <v>11.0674110733065</v>
      </c>
      <c r="AB693" s="84">
        <v>7.22</v>
      </c>
      <c r="AC693" s="73">
        <f t="shared" si="379"/>
        <v>79.9067079492731</v>
      </c>
      <c r="AD693" s="73">
        <f t="shared" si="380"/>
        <v>608.468693721002</v>
      </c>
      <c r="AE693" s="73">
        <f t="shared" si="381"/>
        <v>112.531306278998</v>
      </c>
    </row>
    <row r="694" customFormat="1" spans="1:31">
      <c r="A694" s="18"/>
      <c r="B694" s="19"/>
      <c r="C694" s="20">
        <v>240517000029</v>
      </c>
      <c r="D694" s="21">
        <v>45432</v>
      </c>
      <c r="E694" s="21" t="s">
        <v>47</v>
      </c>
      <c r="F694" s="19" t="s">
        <v>469</v>
      </c>
      <c r="G694" s="19" t="s">
        <v>470</v>
      </c>
      <c r="H694" s="19">
        <v>6</v>
      </c>
      <c r="I694" s="46"/>
      <c r="J694" s="48">
        <v>71592</v>
      </c>
      <c r="K694" s="44"/>
      <c r="L694" s="49">
        <f>SUM(J694/M694)</f>
        <v>1520</v>
      </c>
      <c r="M694" s="50">
        <v>47.1</v>
      </c>
      <c r="N694" s="119">
        <v>7.22</v>
      </c>
      <c r="O694" s="46">
        <f t="shared" si="395"/>
        <v>340.062</v>
      </c>
      <c r="P694" s="51"/>
      <c r="Q694" s="51"/>
      <c r="R694" s="73">
        <f t="shared" si="384"/>
        <v>243.604082895144</v>
      </c>
      <c r="S694" s="73"/>
      <c r="T694" s="74">
        <f t="shared" si="385"/>
        <v>0.347602845654191</v>
      </c>
      <c r="U694" s="73"/>
      <c r="V694" s="73"/>
      <c r="W694" s="73">
        <f t="shared" si="382"/>
        <v>243.951685740798</v>
      </c>
      <c r="X694" s="75">
        <f t="shared" si="386"/>
        <v>5.10803587998763</v>
      </c>
      <c r="Y694" s="75"/>
      <c r="Z694" s="75"/>
      <c r="AA694" s="75">
        <f t="shared" si="383"/>
        <v>5.10803587998763</v>
      </c>
      <c r="AB694" s="84">
        <v>7.22</v>
      </c>
      <c r="AC694" s="73">
        <f t="shared" si="379"/>
        <v>36.8800190535107</v>
      </c>
      <c r="AD694" s="73">
        <f t="shared" si="380"/>
        <v>280.831704794309</v>
      </c>
      <c r="AE694" s="73">
        <f t="shared" si="381"/>
        <v>59.2302952056913</v>
      </c>
    </row>
    <row r="695" customFormat="1" spans="1:31">
      <c r="A695" s="18"/>
      <c r="B695" s="19"/>
      <c r="C695" s="20">
        <v>240517000031</v>
      </c>
      <c r="D695" s="21">
        <v>45432</v>
      </c>
      <c r="E695" s="21" t="s">
        <v>44</v>
      </c>
      <c r="F695" s="19" t="s">
        <v>45</v>
      </c>
      <c r="G695" s="19" t="s">
        <v>471</v>
      </c>
      <c r="H695" s="19">
        <v>32</v>
      </c>
      <c r="I695" s="41">
        <v>1696</v>
      </c>
      <c r="J695" s="42"/>
      <c r="K695" s="44"/>
      <c r="L695" s="19"/>
      <c r="M695" s="44"/>
      <c r="N695" s="119"/>
      <c r="O695" s="46">
        <f t="shared" si="396"/>
        <v>1696</v>
      </c>
      <c r="P695" s="51"/>
      <c r="Q695" s="51"/>
      <c r="R695" s="73">
        <f t="shared" si="384"/>
        <v>1299.22177544077</v>
      </c>
      <c r="S695" s="73"/>
      <c r="T695" s="74">
        <f t="shared" si="385"/>
        <v>1.85388184348902</v>
      </c>
      <c r="U695" s="73"/>
      <c r="V695" s="73"/>
      <c r="W695" s="73">
        <f t="shared" si="382"/>
        <v>1301.07565728426</v>
      </c>
      <c r="X695" s="75">
        <f t="shared" si="386"/>
        <v>27.2428580266007</v>
      </c>
      <c r="Y695" s="75"/>
      <c r="Z695" s="75"/>
      <c r="AA695" s="75">
        <f t="shared" si="383"/>
        <v>27.2428580266007</v>
      </c>
      <c r="AB695" s="84">
        <v>7.22</v>
      </c>
      <c r="AC695" s="73">
        <f t="shared" si="379"/>
        <v>196.693434952057</v>
      </c>
      <c r="AD695" s="73">
        <f t="shared" si="380"/>
        <v>1497.76909223631</v>
      </c>
      <c r="AE695" s="73">
        <f t="shared" si="381"/>
        <v>198.230907763687</v>
      </c>
    </row>
    <row r="696" customFormat="1" spans="1:31">
      <c r="A696" s="18"/>
      <c r="B696" s="19"/>
      <c r="C696" s="20">
        <v>240517000032</v>
      </c>
      <c r="D696" s="21">
        <v>45432</v>
      </c>
      <c r="E696" s="21" t="s">
        <v>37</v>
      </c>
      <c r="F696" s="19" t="s">
        <v>38</v>
      </c>
      <c r="G696" s="19" t="s">
        <v>143</v>
      </c>
      <c r="H696" s="19">
        <v>3</v>
      </c>
      <c r="I696" s="41">
        <v>177</v>
      </c>
      <c r="J696" s="42"/>
      <c r="K696" s="44"/>
      <c r="L696" s="19"/>
      <c r="M696" s="44"/>
      <c r="N696" s="119"/>
      <c r="O696" s="46">
        <f t="shared" si="396"/>
        <v>177</v>
      </c>
      <c r="P696" s="51"/>
      <c r="Q696" s="51"/>
      <c r="R696" s="73">
        <f t="shared" si="384"/>
        <v>121.802041447572</v>
      </c>
      <c r="S696" s="73"/>
      <c r="T696" s="74">
        <f t="shared" si="385"/>
        <v>0.173801422827096</v>
      </c>
      <c r="U696" s="73"/>
      <c r="V696" s="73"/>
      <c r="W696" s="73">
        <f t="shared" si="382"/>
        <v>121.975842870399</v>
      </c>
      <c r="X696" s="75">
        <f t="shared" si="386"/>
        <v>2.55401793999381</v>
      </c>
      <c r="Y696" s="75"/>
      <c r="Z696" s="75"/>
      <c r="AA696" s="75">
        <f t="shared" si="383"/>
        <v>2.55401793999381</v>
      </c>
      <c r="AB696" s="84">
        <v>7.22</v>
      </c>
      <c r="AC696" s="73">
        <f t="shared" si="379"/>
        <v>18.4400095267553</v>
      </c>
      <c r="AD696" s="73">
        <f t="shared" si="380"/>
        <v>140.415852397154</v>
      </c>
      <c r="AE696" s="73">
        <f t="shared" si="381"/>
        <v>36.5841476028457</v>
      </c>
    </row>
    <row r="697" customFormat="1" spans="1:31">
      <c r="A697" s="18"/>
      <c r="B697" s="19"/>
      <c r="C697" s="20">
        <v>240517000034</v>
      </c>
      <c r="D697" s="21">
        <v>45432</v>
      </c>
      <c r="E697" s="21" t="s">
        <v>47</v>
      </c>
      <c r="F697" s="19" t="s">
        <v>48</v>
      </c>
      <c r="G697" s="19" t="s">
        <v>472</v>
      </c>
      <c r="H697" s="19">
        <v>4</v>
      </c>
      <c r="I697" s="46"/>
      <c r="J697" s="48">
        <v>48138</v>
      </c>
      <c r="K697" s="44"/>
      <c r="L697" s="49">
        <f>SUM(J697/M697)</f>
        <v>1519.98727376146</v>
      </c>
      <c r="M697" s="50">
        <v>31.670002</v>
      </c>
      <c r="N697" s="119">
        <v>7.22</v>
      </c>
      <c r="O697" s="46">
        <f>SUM(M697*N697)</f>
        <v>228.65741444</v>
      </c>
      <c r="P697" s="51"/>
      <c r="Q697" s="51"/>
      <c r="R697" s="73">
        <f t="shared" si="384"/>
        <v>162.402721930096</v>
      </c>
      <c r="S697" s="73"/>
      <c r="T697" s="74">
        <f t="shared" si="385"/>
        <v>0.231735230436127</v>
      </c>
      <c r="U697" s="73"/>
      <c r="V697" s="73"/>
      <c r="W697" s="73">
        <f t="shared" si="382"/>
        <v>162.634457160532</v>
      </c>
      <c r="X697" s="75">
        <f t="shared" si="386"/>
        <v>3.40535725332509</v>
      </c>
      <c r="Y697" s="75"/>
      <c r="Z697" s="75"/>
      <c r="AA697" s="75">
        <f t="shared" si="383"/>
        <v>3.40535725332509</v>
      </c>
      <c r="AB697" s="84">
        <v>7.22</v>
      </c>
      <c r="AC697" s="73">
        <f t="shared" si="379"/>
        <v>24.5866793690071</v>
      </c>
      <c r="AD697" s="73">
        <f t="shared" si="380"/>
        <v>187.221136529539</v>
      </c>
      <c r="AE697" s="73">
        <f t="shared" si="381"/>
        <v>41.4362779104609</v>
      </c>
    </row>
    <row r="698" customFormat="1" spans="1:31">
      <c r="A698" s="18"/>
      <c r="B698" s="19"/>
      <c r="C698" s="20">
        <v>240517000040</v>
      </c>
      <c r="D698" s="21">
        <v>45432</v>
      </c>
      <c r="E698" s="21" t="s">
        <v>41</v>
      </c>
      <c r="F698" s="19" t="s">
        <v>42</v>
      </c>
      <c r="G698" s="19" t="s">
        <v>254</v>
      </c>
      <c r="H698" s="19">
        <v>3.5</v>
      </c>
      <c r="I698" s="41">
        <v>206</v>
      </c>
      <c r="J698" s="42"/>
      <c r="K698" s="44"/>
      <c r="L698" s="19"/>
      <c r="M698" s="44"/>
      <c r="N698" s="119"/>
      <c r="O698" s="46">
        <f t="shared" ref="O698:O707" si="397">SUM(I698)</f>
        <v>206</v>
      </c>
      <c r="P698" s="51"/>
      <c r="Q698" s="51"/>
      <c r="R698" s="73">
        <f t="shared" si="384"/>
        <v>142.102381688834</v>
      </c>
      <c r="S698" s="73"/>
      <c r="T698" s="74">
        <f t="shared" si="385"/>
        <v>0.202768326631612</v>
      </c>
      <c r="U698" s="73"/>
      <c r="V698" s="73"/>
      <c r="W698" s="73">
        <f t="shared" si="382"/>
        <v>142.305150015466</v>
      </c>
      <c r="X698" s="75">
        <f t="shared" si="386"/>
        <v>2.97968759665945</v>
      </c>
      <c r="Y698" s="75"/>
      <c r="Z698" s="75"/>
      <c r="AA698" s="75">
        <f t="shared" si="383"/>
        <v>2.97968759665945</v>
      </c>
      <c r="AB698" s="84">
        <v>7.22</v>
      </c>
      <c r="AC698" s="73">
        <f t="shared" si="379"/>
        <v>21.5133444478812</v>
      </c>
      <c r="AD698" s="73">
        <f t="shared" si="380"/>
        <v>163.818494463347</v>
      </c>
      <c r="AE698" s="73">
        <f t="shared" si="381"/>
        <v>42.181505536653</v>
      </c>
    </row>
    <row r="699" customFormat="1" spans="1:31">
      <c r="A699" s="18"/>
      <c r="B699" s="19"/>
      <c r="C699" s="20">
        <v>240517000041</v>
      </c>
      <c r="D699" s="21">
        <v>45432</v>
      </c>
      <c r="E699" s="21" t="s">
        <v>54</v>
      </c>
      <c r="F699" s="19" t="s">
        <v>54</v>
      </c>
      <c r="G699" s="19" t="s">
        <v>80</v>
      </c>
      <c r="H699" s="19">
        <v>19</v>
      </c>
      <c r="I699" s="41">
        <v>1051</v>
      </c>
      <c r="J699" s="42"/>
      <c r="K699" s="44"/>
      <c r="L699" s="19"/>
      <c r="M699" s="44"/>
      <c r="N699" s="119"/>
      <c r="O699" s="46">
        <f t="shared" si="397"/>
        <v>1051</v>
      </c>
      <c r="P699" s="51"/>
      <c r="Q699" s="51"/>
      <c r="R699" s="73">
        <f t="shared" si="384"/>
        <v>771.412929167955</v>
      </c>
      <c r="S699" s="73"/>
      <c r="T699" s="74">
        <f t="shared" si="385"/>
        <v>1.10074234457161</v>
      </c>
      <c r="U699" s="73"/>
      <c r="V699" s="73"/>
      <c r="W699" s="73">
        <f t="shared" si="382"/>
        <v>772.513671512527</v>
      </c>
      <c r="X699" s="75">
        <f t="shared" si="386"/>
        <v>16.1754469532942</v>
      </c>
      <c r="Y699" s="75"/>
      <c r="Z699" s="75"/>
      <c r="AA699" s="75">
        <f t="shared" si="383"/>
        <v>16.1754469532942</v>
      </c>
      <c r="AB699" s="84">
        <v>7.22</v>
      </c>
      <c r="AC699" s="73">
        <f t="shared" si="379"/>
        <v>116.786727002784</v>
      </c>
      <c r="AD699" s="73">
        <f t="shared" si="380"/>
        <v>889.300398515311</v>
      </c>
      <c r="AE699" s="73">
        <f t="shared" si="381"/>
        <v>161.699601484689</v>
      </c>
    </row>
    <row r="700" customFormat="1" spans="1:31">
      <c r="A700" s="18"/>
      <c r="B700" s="19"/>
      <c r="C700" s="20">
        <v>240517000048</v>
      </c>
      <c r="D700" s="21">
        <v>45432</v>
      </c>
      <c r="E700" s="21" t="s">
        <v>41</v>
      </c>
      <c r="F700" s="19" t="s">
        <v>42</v>
      </c>
      <c r="G700" s="19" t="s">
        <v>165</v>
      </c>
      <c r="H700" s="19">
        <v>47.5</v>
      </c>
      <c r="I700" s="41">
        <v>2517.5</v>
      </c>
      <c r="J700" s="42"/>
      <c r="K700" s="44"/>
      <c r="L700" s="19"/>
      <c r="M700" s="44"/>
      <c r="N700" s="119"/>
      <c r="O700" s="46">
        <f t="shared" si="397"/>
        <v>2517.5</v>
      </c>
      <c r="P700" s="53"/>
      <c r="Q700" s="53"/>
      <c r="R700" s="73">
        <f t="shared" si="384"/>
        <v>1928.53232291989</v>
      </c>
      <c r="S700" s="73"/>
      <c r="T700" s="74">
        <f t="shared" si="385"/>
        <v>2.75185586142901</v>
      </c>
      <c r="U700" s="73"/>
      <c r="V700" s="73"/>
      <c r="W700" s="73">
        <f t="shared" si="382"/>
        <v>1931.28417878132</v>
      </c>
      <c r="X700" s="75">
        <f t="shared" si="386"/>
        <v>40.4386173832354</v>
      </c>
      <c r="Y700" s="75"/>
      <c r="Z700" s="75"/>
      <c r="AA700" s="75">
        <f t="shared" si="383"/>
        <v>40.4386173832354</v>
      </c>
      <c r="AB700" s="84">
        <v>7.22</v>
      </c>
      <c r="AC700" s="73">
        <f t="shared" si="379"/>
        <v>291.96681750696</v>
      </c>
      <c r="AD700" s="73">
        <f t="shared" ref="AD700:AD716" si="398">SUM(W700+AC700)</f>
        <v>2223.25099628828</v>
      </c>
      <c r="AE700" s="73">
        <f t="shared" ref="AE700:AE716" si="399">SUM(O700-AD700)</f>
        <v>294.24900371172</v>
      </c>
    </row>
    <row r="701" customFormat="1" spans="1:31">
      <c r="A701" s="18" t="s">
        <v>473</v>
      </c>
      <c r="B701" s="19" t="s">
        <v>474</v>
      </c>
      <c r="C701" s="20">
        <v>240521000034</v>
      </c>
      <c r="D701" s="21">
        <v>45432</v>
      </c>
      <c r="E701" s="21" t="s">
        <v>54</v>
      </c>
      <c r="F701" s="19" t="s">
        <v>54</v>
      </c>
      <c r="G701" s="19" t="s">
        <v>71</v>
      </c>
      <c r="H701" s="19">
        <v>3.4364</v>
      </c>
      <c r="I701" s="41">
        <v>10876</v>
      </c>
      <c r="J701" s="42"/>
      <c r="K701" s="44"/>
      <c r="L701" s="19"/>
      <c r="M701" s="44"/>
      <c r="N701" s="120"/>
      <c r="O701" s="46">
        <f t="shared" si="397"/>
        <v>10876</v>
      </c>
      <c r="P701" s="112">
        <f>SUM(O701)</f>
        <v>10876</v>
      </c>
      <c r="Q701" s="112"/>
      <c r="R701" s="121">
        <v>7920</v>
      </c>
      <c r="S701" s="112"/>
      <c r="T701" s="112">
        <v>0</v>
      </c>
      <c r="U701" s="112"/>
      <c r="V701" s="112"/>
      <c r="W701" s="73">
        <f t="shared" ref="W701:W716" si="400">SUM(R701:V701)</f>
        <v>7920</v>
      </c>
      <c r="X701" s="43">
        <v>0</v>
      </c>
      <c r="Y701" s="43"/>
      <c r="Z701" s="43"/>
      <c r="AA701" s="75">
        <f t="shared" ref="AA701:AA716" si="401">SUM(X701:Z701)</f>
        <v>0</v>
      </c>
      <c r="AB701" s="84">
        <v>7.22</v>
      </c>
      <c r="AC701" s="73">
        <f t="shared" ref="AC701:AC716" si="402">SUM(AA701*AB701)</f>
        <v>0</v>
      </c>
      <c r="AD701" s="73">
        <f t="shared" si="398"/>
        <v>7920</v>
      </c>
      <c r="AE701" s="73">
        <f t="shared" si="399"/>
        <v>2956</v>
      </c>
    </row>
    <row r="702" customFormat="1" spans="1:31">
      <c r="A702" s="18" t="s">
        <v>475</v>
      </c>
      <c r="B702" s="19" t="s">
        <v>476</v>
      </c>
      <c r="C702" s="20">
        <v>240516000032</v>
      </c>
      <c r="D702" s="21">
        <v>45435</v>
      </c>
      <c r="E702" s="21" t="s">
        <v>44</v>
      </c>
      <c r="F702" s="19" t="s">
        <v>45</v>
      </c>
      <c r="G702" s="19" t="s">
        <v>477</v>
      </c>
      <c r="H702" s="19">
        <v>2</v>
      </c>
      <c r="I702" s="41">
        <v>570</v>
      </c>
      <c r="J702" s="42"/>
      <c r="K702" s="44"/>
      <c r="L702" s="19"/>
      <c r="M702" s="44"/>
      <c r="N702" s="45"/>
      <c r="O702" s="46">
        <f t="shared" si="397"/>
        <v>570</v>
      </c>
      <c r="P702" s="47">
        <f>SUM(O702:O716)</f>
        <v>9302.2968556</v>
      </c>
      <c r="Q702" s="47" t="s">
        <v>40</v>
      </c>
      <c r="R702" s="73">
        <f>SUM(4400/64)*H702</f>
        <v>137.5</v>
      </c>
      <c r="S702" s="73"/>
      <c r="T702" s="74">
        <f>SUM(50.61/64)*H702</f>
        <v>1.5815625</v>
      </c>
      <c r="U702" s="73"/>
      <c r="V702" s="73"/>
      <c r="W702" s="73">
        <f t="shared" si="400"/>
        <v>139.0815625</v>
      </c>
      <c r="X702" s="75">
        <f>SUM(156.22/64)*H702</f>
        <v>4.881875</v>
      </c>
      <c r="Y702" s="75"/>
      <c r="Z702" s="75"/>
      <c r="AA702" s="75">
        <f t="shared" si="401"/>
        <v>4.881875</v>
      </c>
      <c r="AB702" s="84">
        <v>7.22</v>
      </c>
      <c r="AC702" s="73">
        <f t="shared" si="402"/>
        <v>35.2471375</v>
      </c>
      <c r="AD702" s="73">
        <f t="shared" si="398"/>
        <v>174.3287</v>
      </c>
      <c r="AE702" s="73">
        <f t="shared" si="399"/>
        <v>395.6713</v>
      </c>
    </row>
    <row r="703" customFormat="1" spans="1:31">
      <c r="A703" s="18"/>
      <c r="B703" s="19"/>
      <c r="C703" s="20">
        <v>240517000047</v>
      </c>
      <c r="D703" s="21">
        <v>45435</v>
      </c>
      <c r="E703" s="21" t="s">
        <v>478</v>
      </c>
      <c r="F703" s="19" t="s">
        <v>54</v>
      </c>
      <c r="G703" s="19" t="s">
        <v>97</v>
      </c>
      <c r="H703" s="19">
        <v>6</v>
      </c>
      <c r="I703" s="41">
        <v>870</v>
      </c>
      <c r="J703" s="42"/>
      <c r="K703" s="44"/>
      <c r="L703" s="19"/>
      <c r="M703" s="44"/>
      <c r="N703" s="45"/>
      <c r="O703" s="46">
        <f t="shared" si="397"/>
        <v>870</v>
      </c>
      <c r="P703" s="51"/>
      <c r="Q703" s="51"/>
      <c r="R703" s="73">
        <f t="shared" ref="R703:R716" si="403">SUM(4400/64)*H703</f>
        <v>412.5</v>
      </c>
      <c r="S703" s="73"/>
      <c r="T703" s="74">
        <f t="shared" ref="T703:T716" si="404">SUM(50.61/64)*H703</f>
        <v>4.7446875</v>
      </c>
      <c r="U703" s="73"/>
      <c r="V703" s="73"/>
      <c r="W703" s="73">
        <f t="shared" si="400"/>
        <v>417.2446875</v>
      </c>
      <c r="X703" s="75">
        <f t="shared" ref="X703:X716" si="405">SUM(156.22/64)*H703</f>
        <v>14.645625</v>
      </c>
      <c r="Y703" s="75"/>
      <c r="Z703" s="75"/>
      <c r="AA703" s="75">
        <f t="shared" si="401"/>
        <v>14.645625</v>
      </c>
      <c r="AB703" s="84">
        <v>7.22</v>
      </c>
      <c r="AC703" s="73">
        <f t="shared" si="402"/>
        <v>105.7414125</v>
      </c>
      <c r="AD703" s="73">
        <f t="shared" si="398"/>
        <v>522.9861</v>
      </c>
      <c r="AE703" s="73">
        <f t="shared" si="399"/>
        <v>347.0139</v>
      </c>
    </row>
    <row r="704" customFormat="1" spans="1:31">
      <c r="A704" s="18"/>
      <c r="B704" s="19"/>
      <c r="C704" s="20">
        <v>240520000001</v>
      </c>
      <c r="D704" s="21">
        <v>45435</v>
      </c>
      <c r="E704" s="21" t="s">
        <v>37</v>
      </c>
      <c r="F704" s="19" t="s">
        <v>38</v>
      </c>
      <c r="G704" s="19" t="s">
        <v>137</v>
      </c>
      <c r="H704" s="19">
        <v>3</v>
      </c>
      <c r="I704" s="41">
        <v>345</v>
      </c>
      <c r="J704" s="42"/>
      <c r="K704" s="44"/>
      <c r="L704" s="19"/>
      <c r="M704" s="44"/>
      <c r="N704" s="45"/>
      <c r="O704" s="46">
        <f t="shared" si="397"/>
        <v>345</v>
      </c>
      <c r="P704" s="51"/>
      <c r="Q704" s="51"/>
      <c r="R704" s="73">
        <f t="shared" si="403"/>
        <v>206.25</v>
      </c>
      <c r="S704" s="73"/>
      <c r="T704" s="74">
        <f t="shared" si="404"/>
        <v>2.37234375</v>
      </c>
      <c r="U704" s="73"/>
      <c r="V704" s="73"/>
      <c r="W704" s="73">
        <f t="shared" si="400"/>
        <v>208.62234375</v>
      </c>
      <c r="X704" s="75">
        <f t="shared" si="405"/>
        <v>7.3228125</v>
      </c>
      <c r="Y704" s="75"/>
      <c r="Z704" s="75"/>
      <c r="AA704" s="75">
        <f t="shared" si="401"/>
        <v>7.3228125</v>
      </c>
      <c r="AB704" s="84">
        <v>7.22</v>
      </c>
      <c r="AC704" s="73">
        <f t="shared" si="402"/>
        <v>52.87070625</v>
      </c>
      <c r="AD704" s="73">
        <f t="shared" si="398"/>
        <v>261.49305</v>
      </c>
      <c r="AE704" s="73">
        <f t="shared" si="399"/>
        <v>83.50695</v>
      </c>
    </row>
    <row r="705" customFormat="1" spans="1:31">
      <c r="A705" s="18"/>
      <c r="B705" s="19"/>
      <c r="C705" s="20">
        <v>240520000010</v>
      </c>
      <c r="D705" s="21">
        <v>45435</v>
      </c>
      <c r="E705" s="21" t="s">
        <v>47</v>
      </c>
      <c r="F705" s="19" t="s">
        <v>48</v>
      </c>
      <c r="G705" s="19" t="s">
        <v>49</v>
      </c>
      <c r="H705" s="19">
        <v>4</v>
      </c>
      <c r="I705" s="41">
        <v>521</v>
      </c>
      <c r="J705" s="42"/>
      <c r="K705" s="44"/>
      <c r="L705" s="19"/>
      <c r="M705" s="44"/>
      <c r="N705" s="45"/>
      <c r="O705" s="46">
        <f t="shared" si="397"/>
        <v>521</v>
      </c>
      <c r="P705" s="51"/>
      <c r="Q705" s="51"/>
      <c r="R705" s="73">
        <f t="shared" si="403"/>
        <v>275</v>
      </c>
      <c r="S705" s="73"/>
      <c r="T705" s="74">
        <f t="shared" si="404"/>
        <v>3.163125</v>
      </c>
      <c r="U705" s="73"/>
      <c r="V705" s="74">
        <f>SUM(23+18)</f>
        <v>41</v>
      </c>
      <c r="W705" s="73">
        <f t="shared" si="400"/>
        <v>319.163125</v>
      </c>
      <c r="X705" s="75">
        <f t="shared" si="405"/>
        <v>9.76375</v>
      </c>
      <c r="Y705" s="75"/>
      <c r="Z705" s="75"/>
      <c r="AA705" s="75">
        <f t="shared" si="401"/>
        <v>9.76375</v>
      </c>
      <c r="AB705" s="84">
        <v>7.22</v>
      </c>
      <c r="AC705" s="73">
        <f t="shared" si="402"/>
        <v>70.494275</v>
      </c>
      <c r="AD705" s="73">
        <f t="shared" si="398"/>
        <v>389.6574</v>
      </c>
      <c r="AE705" s="73">
        <f t="shared" si="399"/>
        <v>131.3426</v>
      </c>
    </row>
    <row r="706" customFormat="1" spans="1:31">
      <c r="A706" s="18"/>
      <c r="B706" s="19"/>
      <c r="C706" s="20">
        <v>240520000012</v>
      </c>
      <c r="D706" s="21">
        <v>45435</v>
      </c>
      <c r="E706" s="21" t="s">
        <v>37</v>
      </c>
      <c r="F706" s="19" t="s">
        <v>38</v>
      </c>
      <c r="G706" s="19" t="s">
        <v>399</v>
      </c>
      <c r="H706" s="19">
        <v>6.5</v>
      </c>
      <c r="I706" s="41">
        <v>780</v>
      </c>
      <c r="J706" s="42"/>
      <c r="K706" s="44"/>
      <c r="L706" s="19"/>
      <c r="M706" s="44"/>
      <c r="N706" s="45"/>
      <c r="O706" s="46">
        <f t="shared" si="397"/>
        <v>780</v>
      </c>
      <c r="P706" s="51"/>
      <c r="Q706" s="51"/>
      <c r="R706" s="73">
        <f t="shared" si="403"/>
        <v>446.875</v>
      </c>
      <c r="S706" s="73"/>
      <c r="T706" s="74">
        <f t="shared" si="404"/>
        <v>5.140078125</v>
      </c>
      <c r="U706" s="73"/>
      <c r="V706" s="73"/>
      <c r="W706" s="73">
        <f t="shared" si="400"/>
        <v>452.015078125</v>
      </c>
      <c r="X706" s="75">
        <f t="shared" si="405"/>
        <v>15.86609375</v>
      </c>
      <c r="Y706" s="75"/>
      <c r="Z706" s="75"/>
      <c r="AA706" s="75">
        <f t="shared" si="401"/>
        <v>15.86609375</v>
      </c>
      <c r="AB706" s="84">
        <v>7.22</v>
      </c>
      <c r="AC706" s="73">
        <f t="shared" si="402"/>
        <v>114.553196875</v>
      </c>
      <c r="AD706" s="73">
        <f t="shared" si="398"/>
        <v>566.568275</v>
      </c>
      <c r="AE706" s="73">
        <f t="shared" si="399"/>
        <v>213.431725</v>
      </c>
    </row>
    <row r="707" customFormat="1" spans="1:31">
      <c r="A707" s="18"/>
      <c r="B707" s="19"/>
      <c r="C707" s="20">
        <v>240520000018</v>
      </c>
      <c r="D707" s="21">
        <v>45435</v>
      </c>
      <c r="E707" s="21" t="s">
        <v>37</v>
      </c>
      <c r="F707" s="19" t="s">
        <v>38</v>
      </c>
      <c r="G707" s="19" t="s">
        <v>398</v>
      </c>
      <c r="H707" s="19">
        <v>5.5</v>
      </c>
      <c r="I707" s="41">
        <v>660</v>
      </c>
      <c r="J707" s="42"/>
      <c r="K707" s="44"/>
      <c r="L707" s="19"/>
      <c r="M707" s="44"/>
      <c r="N707" s="45"/>
      <c r="O707" s="46">
        <f t="shared" si="397"/>
        <v>660</v>
      </c>
      <c r="P707" s="51"/>
      <c r="Q707" s="51"/>
      <c r="R707" s="73">
        <f t="shared" si="403"/>
        <v>378.125</v>
      </c>
      <c r="S707" s="73"/>
      <c r="T707" s="74">
        <f t="shared" si="404"/>
        <v>4.349296875</v>
      </c>
      <c r="U707" s="73"/>
      <c r="V707" s="73"/>
      <c r="W707" s="73">
        <f t="shared" si="400"/>
        <v>382.474296875</v>
      </c>
      <c r="X707" s="75">
        <f t="shared" si="405"/>
        <v>13.42515625</v>
      </c>
      <c r="Y707" s="75"/>
      <c r="Z707" s="75"/>
      <c r="AA707" s="75">
        <f t="shared" si="401"/>
        <v>13.42515625</v>
      </c>
      <c r="AB707" s="84">
        <v>7.22</v>
      </c>
      <c r="AC707" s="73">
        <f t="shared" si="402"/>
        <v>96.929628125</v>
      </c>
      <c r="AD707" s="73">
        <f t="shared" si="398"/>
        <v>479.403925</v>
      </c>
      <c r="AE707" s="73">
        <f t="shared" si="399"/>
        <v>180.596075</v>
      </c>
    </row>
    <row r="708" customFormat="1" spans="1:31">
      <c r="A708" s="18"/>
      <c r="B708" s="19"/>
      <c r="C708" s="20">
        <v>240520000038</v>
      </c>
      <c r="D708" s="21">
        <v>45435</v>
      </c>
      <c r="E708" s="21" t="s">
        <v>47</v>
      </c>
      <c r="F708" s="19" t="s">
        <v>48</v>
      </c>
      <c r="G708" s="19" t="s">
        <v>479</v>
      </c>
      <c r="H708" s="19">
        <v>19</v>
      </c>
      <c r="I708" s="46"/>
      <c r="J708" s="48">
        <v>481339</v>
      </c>
      <c r="K708" s="44"/>
      <c r="L708" s="49">
        <f t="shared" ref="L708:L713" si="406">SUM(J708/M708)</f>
        <v>1520.00199071601</v>
      </c>
      <c r="M708" s="50">
        <v>316.66998</v>
      </c>
      <c r="N708" s="45">
        <v>7.22</v>
      </c>
      <c r="O708" s="46">
        <f t="shared" ref="O708:O713" si="407">SUM(M708*N708)</f>
        <v>2286.3572556</v>
      </c>
      <c r="P708" s="51"/>
      <c r="Q708" s="51"/>
      <c r="R708" s="73">
        <f t="shared" si="403"/>
        <v>1306.25</v>
      </c>
      <c r="S708" s="73"/>
      <c r="T708" s="74">
        <f t="shared" si="404"/>
        <v>15.02484375</v>
      </c>
      <c r="U708" s="73"/>
      <c r="V708" s="73"/>
      <c r="W708" s="73">
        <f t="shared" si="400"/>
        <v>1321.27484375</v>
      </c>
      <c r="X708" s="75">
        <f t="shared" si="405"/>
        <v>46.3778125</v>
      </c>
      <c r="Y708" s="75"/>
      <c r="Z708" s="75"/>
      <c r="AA708" s="75">
        <f t="shared" si="401"/>
        <v>46.3778125</v>
      </c>
      <c r="AB708" s="84">
        <v>7.22</v>
      </c>
      <c r="AC708" s="73">
        <f t="shared" si="402"/>
        <v>334.84780625</v>
      </c>
      <c r="AD708" s="73">
        <f t="shared" si="398"/>
        <v>1656.12265</v>
      </c>
      <c r="AE708" s="73">
        <f t="shared" si="399"/>
        <v>630.2346056</v>
      </c>
    </row>
    <row r="709" customFormat="1" spans="1:31">
      <c r="A709" s="18"/>
      <c r="B709" s="19"/>
      <c r="C709" s="20">
        <v>240520000048</v>
      </c>
      <c r="D709" s="21">
        <v>45435</v>
      </c>
      <c r="E709" s="21" t="s">
        <v>41</v>
      </c>
      <c r="F709" s="19" t="s">
        <v>42</v>
      </c>
      <c r="G709" s="19" t="s">
        <v>167</v>
      </c>
      <c r="H709" s="19">
        <v>9.5</v>
      </c>
      <c r="I709" s="41">
        <v>1140</v>
      </c>
      <c r="J709" s="42"/>
      <c r="K709" s="44"/>
      <c r="L709" s="19"/>
      <c r="M709" s="44"/>
      <c r="N709" s="45"/>
      <c r="O709" s="46">
        <f t="shared" ref="O709:O712" si="408">SUM(I709)</f>
        <v>1140</v>
      </c>
      <c r="P709" s="51"/>
      <c r="Q709" s="51"/>
      <c r="R709" s="73">
        <f t="shared" si="403"/>
        <v>653.125</v>
      </c>
      <c r="S709" s="73"/>
      <c r="T709" s="74">
        <f t="shared" si="404"/>
        <v>7.512421875</v>
      </c>
      <c r="U709" s="73"/>
      <c r="V709" s="73"/>
      <c r="W709" s="73">
        <f t="shared" si="400"/>
        <v>660.637421875</v>
      </c>
      <c r="X709" s="75">
        <f t="shared" si="405"/>
        <v>23.18890625</v>
      </c>
      <c r="Y709" s="75"/>
      <c r="Z709" s="75"/>
      <c r="AA709" s="75">
        <f t="shared" si="401"/>
        <v>23.18890625</v>
      </c>
      <c r="AB709" s="84">
        <v>7.22</v>
      </c>
      <c r="AC709" s="73">
        <f t="shared" si="402"/>
        <v>167.423903125</v>
      </c>
      <c r="AD709" s="73">
        <f t="shared" si="398"/>
        <v>828.061325</v>
      </c>
      <c r="AE709" s="73">
        <f t="shared" si="399"/>
        <v>311.938675</v>
      </c>
    </row>
    <row r="710" customFormat="1" spans="1:31">
      <c r="A710" s="18"/>
      <c r="B710" s="19"/>
      <c r="C710" s="20">
        <v>240520000050</v>
      </c>
      <c r="D710" s="21">
        <v>45435</v>
      </c>
      <c r="E710" s="21" t="s">
        <v>41</v>
      </c>
      <c r="F710" s="19" t="s">
        <v>42</v>
      </c>
      <c r="G710" s="19" t="s">
        <v>378</v>
      </c>
      <c r="H710" s="19">
        <v>0.34</v>
      </c>
      <c r="I710" s="52"/>
      <c r="J710" s="48">
        <v>25400</v>
      </c>
      <c r="K710" s="44"/>
      <c r="L710" s="49">
        <f t="shared" si="406"/>
        <v>1528.27918170878</v>
      </c>
      <c r="M710" s="50">
        <v>16.62</v>
      </c>
      <c r="N710" s="45">
        <v>7.22</v>
      </c>
      <c r="O710" s="46">
        <f t="shared" si="407"/>
        <v>119.9964</v>
      </c>
      <c r="P710" s="51"/>
      <c r="Q710" s="51"/>
      <c r="R710" s="73">
        <f t="shared" si="403"/>
        <v>23.375</v>
      </c>
      <c r="S710" s="73"/>
      <c r="T710" s="74">
        <f t="shared" si="404"/>
        <v>0.268865625</v>
      </c>
      <c r="U710" s="73"/>
      <c r="V710" s="73"/>
      <c r="W710" s="73">
        <f t="shared" si="400"/>
        <v>23.643865625</v>
      </c>
      <c r="X710" s="75">
        <f t="shared" si="405"/>
        <v>0.82991875</v>
      </c>
      <c r="Y710" s="75"/>
      <c r="Z710" s="75"/>
      <c r="AA710" s="75">
        <f t="shared" si="401"/>
        <v>0.82991875</v>
      </c>
      <c r="AB710" s="84">
        <v>7.22</v>
      </c>
      <c r="AC710" s="73">
        <f t="shared" si="402"/>
        <v>5.992013375</v>
      </c>
      <c r="AD710" s="73">
        <f t="shared" si="398"/>
        <v>29.635879</v>
      </c>
      <c r="AE710" s="73">
        <f t="shared" si="399"/>
        <v>90.360521</v>
      </c>
    </row>
    <row r="711" customFormat="1" spans="1:31">
      <c r="A711" s="18"/>
      <c r="B711" s="19"/>
      <c r="C711" s="20">
        <v>240520000053</v>
      </c>
      <c r="D711" s="21">
        <v>45435</v>
      </c>
      <c r="E711" s="21" t="s">
        <v>54</v>
      </c>
      <c r="F711" s="19" t="s">
        <v>108</v>
      </c>
      <c r="G711" s="19" t="s">
        <v>109</v>
      </c>
      <c r="H711" s="19">
        <v>0.44</v>
      </c>
      <c r="I711" s="41">
        <v>120</v>
      </c>
      <c r="J711" s="42"/>
      <c r="K711" s="44"/>
      <c r="L711" s="19"/>
      <c r="M711" s="44"/>
      <c r="N711" s="45"/>
      <c r="O711" s="46">
        <f t="shared" si="408"/>
        <v>120</v>
      </c>
      <c r="P711" s="51"/>
      <c r="Q711" s="51"/>
      <c r="R711" s="73">
        <f t="shared" si="403"/>
        <v>30.25</v>
      </c>
      <c r="S711" s="73"/>
      <c r="T711" s="74">
        <f t="shared" si="404"/>
        <v>0.34794375</v>
      </c>
      <c r="U711" s="73"/>
      <c r="V711" s="73"/>
      <c r="W711" s="73">
        <f t="shared" si="400"/>
        <v>30.59794375</v>
      </c>
      <c r="X711" s="75">
        <f t="shared" si="405"/>
        <v>1.0740125</v>
      </c>
      <c r="Y711" s="75"/>
      <c r="Z711" s="75"/>
      <c r="AA711" s="75">
        <f t="shared" si="401"/>
        <v>1.0740125</v>
      </c>
      <c r="AB711" s="84">
        <v>7.22</v>
      </c>
      <c r="AC711" s="73">
        <f t="shared" si="402"/>
        <v>7.75437025</v>
      </c>
      <c r="AD711" s="73">
        <f t="shared" si="398"/>
        <v>38.352314</v>
      </c>
      <c r="AE711" s="73">
        <f t="shared" si="399"/>
        <v>81.647686</v>
      </c>
    </row>
    <row r="712" customFormat="1" spans="1:31">
      <c r="A712" s="18"/>
      <c r="B712" s="19"/>
      <c r="C712" s="20">
        <v>240520000054</v>
      </c>
      <c r="D712" s="21">
        <v>45435</v>
      </c>
      <c r="E712" s="21" t="s">
        <v>54</v>
      </c>
      <c r="F712" s="19" t="s">
        <v>108</v>
      </c>
      <c r="G712" s="19" t="s">
        <v>109</v>
      </c>
      <c r="H712" s="19">
        <v>3</v>
      </c>
      <c r="I712" s="41">
        <v>360</v>
      </c>
      <c r="J712" s="42"/>
      <c r="K712" s="44"/>
      <c r="L712" s="19"/>
      <c r="M712" s="44"/>
      <c r="N712" s="45"/>
      <c r="O712" s="46">
        <f t="shared" si="408"/>
        <v>360</v>
      </c>
      <c r="P712" s="51"/>
      <c r="Q712" s="51"/>
      <c r="R712" s="73">
        <f t="shared" si="403"/>
        <v>206.25</v>
      </c>
      <c r="S712" s="73"/>
      <c r="T712" s="74">
        <f t="shared" si="404"/>
        <v>2.37234375</v>
      </c>
      <c r="U712" s="73"/>
      <c r="V712" s="73"/>
      <c r="W712" s="73">
        <f t="shared" si="400"/>
        <v>208.62234375</v>
      </c>
      <c r="X712" s="75">
        <f t="shared" si="405"/>
        <v>7.3228125</v>
      </c>
      <c r="Y712" s="75"/>
      <c r="Z712" s="75"/>
      <c r="AA712" s="75">
        <f t="shared" si="401"/>
        <v>7.3228125</v>
      </c>
      <c r="AB712" s="84">
        <v>7.22</v>
      </c>
      <c r="AC712" s="73">
        <f t="shared" si="402"/>
        <v>52.87070625</v>
      </c>
      <c r="AD712" s="73">
        <f t="shared" si="398"/>
        <v>261.49305</v>
      </c>
      <c r="AE712" s="73">
        <f t="shared" si="399"/>
        <v>98.50695</v>
      </c>
    </row>
    <row r="713" customFormat="1" spans="1:31">
      <c r="A713" s="18"/>
      <c r="B713" s="19"/>
      <c r="C713" s="20">
        <v>240520000055</v>
      </c>
      <c r="D713" s="21">
        <v>45435</v>
      </c>
      <c r="E713" s="21" t="s">
        <v>81</v>
      </c>
      <c r="F713" s="19" t="s">
        <v>253</v>
      </c>
      <c r="G713" s="19" t="s">
        <v>254</v>
      </c>
      <c r="H713" s="19">
        <v>6</v>
      </c>
      <c r="I713" s="52"/>
      <c r="J713" s="48">
        <v>146280</v>
      </c>
      <c r="K713" s="44"/>
      <c r="L713" s="49">
        <f t="shared" si="406"/>
        <v>1530.76601088321</v>
      </c>
      <c r="M713" s="50">
        <v>95.56</v>
      </c>
      <c r="N713" s="45">
        <v>7.22</v>
      </c>
      <c r="O713" s="46">
        <f t="shared" si="407"/>
        <v>689.9432</v>
      </c>
      <c r="P713" s="51"/>
      <c r="Q713" s="51"/>
      <c r="R713" s="73">
        <f t="shared" si="403"/>
        <v>412.5</v>
      </c>
      <c r="S713" s="73"/>
      <c r="T713" s="74">
        <f t="shared" si="404"/>
        <v>4.7446875</v>
      </c>
      <c r="U713" s="73"/>
      <c r="V713" s="73"/>
      <c r="W713" s="73">
        <f t="shared" si="400"/>
        <v>417.2446875</v>
      </c>
      <c r="X713" s="75">
        <f t="shared" si="405"/>
        <v>14.645625</v>
      </c>
      <c r="Y713" s="75"/>
      <c r="Z713" s="75"/>
      <c r="AA713" s="75">
        <f t="shared" si="401"/>
        <v>14.645625</v>
      </c>
      <c r="AB713" s="84">
        <v>7.22</v>
      </c>
      <c r="AC713" s="73">
        <f t="shared" si="402"/>
        <v>105.7414125</v>
      </c>
      <c r="AD713" s="73">
        <f t="shared" si="398"/>
        <v>522.9861</v>
      </c>
      <c r="AE713" s="73">
        <f t="shared" si="399"/>
        <v>166.9571</v>
      </c>
    </row>
    <row r="714" customFormat="1" spans="1:31">
      <c r="A714" s="18"/>
      <c r="B714" s="19"/>
      <c r="C714" s="20">
        <v>240521000009</v>
      </c>
      <c r="D714" s="21">
        <v>45435</v>
      </c>
      <c r="E714" s="21" t="s">
        <v>37</v>
      </c>
      <c r="F714" s="19" t="s">
        <v>38</v>
      </c>
      <c r="G714" s="19" t="s">
        <v>399</v>
      </c>
      <c r="H714" s="19">
        <v>0.7</v>
      </c>
      <c r="I714" s="41">
        <v>120</v>
      </c>
      <c r="J714" s="42"/>
      <c r="K714" s="44"/>
      <c r="L714" s="19"/>
      <c r="M714" s="44"/>
      <c r="N714" s="45"/>
      <c r="O714" s="46">
        <f t="shared" ref="O714:O717" si="409">SUM(I714)</f>
        <v>120</v>
      </c>
      <c r="P714" s="51"/>
      <c r="Q714" s="51"/>
      <c r="R714" s="73">
        <f t="shared" si="403"/>
        <v>48.125</v>
      </c>
      <c r="S714" s="73"/>
      <c r="T714" s="74">
        <f t="shared" si="404"/>
        <v>0.553546875</v>
      </c>
      <c r="U714" s="73"/>
      <c r="V714" s="73"/>
      <c r="W714" s="73">
        <f t="shared" si="400"/>
        <v>48.678546875</v>
      </c>
      <c r="X714" s="75">
        <f t="shared" si="405"/>
        <v>1.70865625</v>
      </c>
      <c r="Y714" s="75"/>
      <c r="Z714" s="75"/>
      <c r="AA714" s="75">
        <f t="shared" si="401"/>
        <v>1.70865625</v>
      </c>
      <c r="AB714" s="84">
        <v>7.22</v>
      </c>
      <c r="AC714" s="73">
        <f t="shared" si="402"/>
        <v>12.336498125</v>
      </c>
      <c r="AD714" s="73">
        <f t="shared" si="398"/>
        <v>61.015045</v>
      </c>
      <c r="AE714" s="73">
        <f t="shared" si="399"/>
        <v>58.984955</v>
      </c>
    </row>
    <row r="715" customFormat="1" spans="1:31">
      <c r="A715" s="18"/>
      <c r="B715" s="19"/>
      <c r="C715" s="20">
        <v>240521000010</v>
      </c>
      <c r="D715" s="21">
        <v>45435</v>
      </c>
      <c r="E715" s="21" t="s">
        <v>37</v>
      </c>
      <c r="F715" s="19" t="s">
        <v>38</v>
      </c>
      <c r="G715" s="19" t="s">
        <v>398</v>
      </c>
      <c r="H715" s="19">
        <v>1.5</v>
      </c>
      <c r="I715" s="41">
        <v>180</v>
      </c>
      <c r="J715" s="42"/>
      <c r="K715" s="44"/>
      <c r="L715" s="19"/>
      <c r="M715" s="44"/>
      <c r="N715" s="45"/>
      <c r="O715" s="46">
        <f t="shared" si="409"/>
        <v>180</v>
      </c>
      <c r="P715" s="51"/>
      <c r="Q715" s="51"/>
      <c r="R715" s="73">
        <f t="shared" si="403"/>
        <v>103.125</v>
      </c>
      <c r="S715" s="73"/>
      <c r="T715" s="74">
        <f t="shared" si="404"/>
        <v>1.186171875</v>
      </c>
      <c r="U715" s="73"/>
      <c r="V715" s="73"/>
      <c r="W715" s="73">
        <f t="shared" si="400"/>
        <v>104.311171875</v>
      </c>
      <c r="X715" s="75">
        <f t="shared" si="405"/>
        <v>3.66140625</v>
      </c>
      <c r="Y715" s="75"/>
      <c r="Z715" s="75"/>
      <c r="AA715" s="75">
        <f t="shared" si="401"/>
        <v>3.66140625</v>
      </c>
      <c r="AB715" s="84">
        <v>7.22</v>
      </c>
      <c r="AC715" s="73">
        <f t="shared" si="402"/>
        <v>26.435353125</v>
      </c>
      <c r="AD715" s="73">
        <f t="shared" si="398"/>
        <v>130.746525</v>
      </c>
      <c r="AE715" s="73">
        <f t="shared" ref="AE715:AE751" si="410">SUM(O715-AD715)</f>
        <v>49.253475</v>
      </c>
    </row>
    <row r="716" customFormat="1" spans="1:31">
      <c r="A716" s="18"/>
      <c r="B716" s="19"/>
      <c r="C716" s="20">
        <v>240521000032</v>
      </c>
      <c r="D716" s="21">
        <v>45435</v>
      </c>
      <c r="E716" s="21" t="s">
        <v>47</v>
      </c>
      <c r="F716" s="19" t="s">
        <v>48</v>
      </c>
      <c r="G716" s="19" t="s">
        <v>49</v>
      </c>
      <c r="H716" s="19">
        <v>4.5</v>
      </c>
      <c r="I716" s="41">
        <v>540</v>
      </c>
      <c r="J716" s="42"/>
      <c r="K716" s="44"/>
      <c r="L716" s="19"/>
      <c r="M716" s="44"/>
      <c r="N716" s="45"/>
      <c r="O716" s="46">
        <f t="shared" si="409"/>
        <v>540</v>
      </c>
      <c r="P716" s="53"/>
      <c r="Q716" s="53"/>
      <c r="R716" s="73">
        <f t="shared" si="403"/>
        <v>309.375</v>
      </c>
      <c r="S716" s="73"/>
      <c r="T716" s="74">
        <f t="shared" si="404"/>
        <v>3.558515625</v>
      </c>
      <c r="U716" s="73"/>
      <c r="V716" s="73"/>
      <c r="W716" s="73">
        <f t="shared" ref="W716:W751" si="411">SUM(R716:V716)</f>
        <v>312.933515625</v>
      </c>
      <c r="X716" s="75">
        <f t="shared" si="405"/>
        <v>10.98421875</v>
      </c>
      <c r="Y716" s="75"/>
      <c r="Z716" s="75"/>
      <c r="AA716" s="75">
        <f t="shared" si="401"/>
        <v>10.98421875</v>
      </c>
      <c r="AB716" s="84">
        <v>7.22</v>
      </c>
      <c r="AC716" s="73">
        <f t="shared" ref="AC716:AC751" si="412">SUM(AA716*AB716)</f>
        <v>79.306059375</v>
      </c>
      <c r="AD716" s="73">
        <f t="shared" ref="AD716:AD751" si="413">SUM(W716+AC716)</f>
        <v>392.239575</v>
      </c>
      <c r="AE716" s="73">
        <f t="shared" si="410"/>
        <v>147.760425</v>
      </c>
    </row>
    <row r="717" customFormat="1" spans="1:31">
      <c r="A717" s="18" t="s">
        <v>480</v>
      </c>
      <c r="B717" s="19" t="s">
        <v>481</v>
      </c>
      <c r="C717" s="20">
        <v>240516000016</v>
      </c>
      <c r="D717" s="21">
        <v>45437</v>
      </c>
      <c r="E717" s="21" t="s">
        <v>44</v>
      </c>
      <c r="F717" s="19" t="s">
        <v>45</v>
      </c>
      <c r="G717" s="19" t="s">
        <v>465</v>
      </c>
      <c r="H717" s="19">
        <v>3.5</v>
      </c>
      <c r="I717" s="41">
        <v>329.6</v>
      </c>
      <c r="J717" s="42"/>
      <c r="K717" s="44"/>
      <c r="L717" s="19"/>
      <c r="M717" s="44"/>
      <c r="N717" s="45"/>
      <c r="O717" s="46">
        <f t="shared" si="409"/>
        <v>329.6</v>
      </c>
      <c r="P717" s="47">
        <f>SUM(O717:O751)</f>
        <v>60154.83539278</v>
      </c>
      <c r="Q717" s="47" t="s">
        <v>59</v>
      </c>
      <c r="R717" s="73">
        <f>SUM(48282.8/1039)*H717</f>
        <v>162.646583253128</v>
      </c>
      <c r="S717" s="73"/>
      <c r="T717" s="74">
        <f>SUM(125/1039)*H717</f>
        <v>0.421077959576516</v>
      </c>
      <c r="U717" s="73"/>
      <c r="V717" s="73"/>
      <c r="W717" s="73">
        <f t="shared" si="411"/>
        <v>163.067661212705</v>
      </c>
      <c r="X717" s="75">
        <f>SUM(797.42/1039)*H717</f>
        <v>2.68620789220404</v>
      </c>
      <c r="Y717" s="75"/>
      <c r="Z717" s="75"/>
      <c r="AA717" s="75">
        <f t="shared" ref="AA717:AA751" si="414">SUM(X717:Z717)</f>
        <v>2.68620789220404</v>
      </c>
      <c r="AB717" s="84">
        <v>7.22</v>
      </c>
      <c r="AC717" s="73">
        <f t="shared" si="412"/>
        <v>19.3944209817132</v>
      </c>
      <c r="AD717" s="73">
        <f t="shared" si="413"/>
        <v>182.462082194418</v>
      </c>
      <c r="AE717" s="73">
        <f t="shared" si="410"/>
        <v>147.137917805582</v>
      </c>
    </row>
    <row r="718" customFormat="1" spans="1:31">
      <c r="A718" s="18"/>
      <c r="B718" s="19"/>
      <c r="C718" s="20">
        <v>240517000030</v>
      </c>
      <c r="D718" s="21">
        <v>45437</v>
      </c>
      <c r="E718" s="21" t="s">
        <v>41</v>
      </c>
      <c r="F718" s="19" t="s">
        <v>42</v>
      </c>
      <c r="G718" s="19" t="s">
        <v>77</v>
      </c>
      <c r="H718" s="19">
        <v>11</v>
      </c>
      <c r="I718" s="52"/>
      <c r="J718" s="48">
        <v>188384</v>
      </c>
      <c r="K718" s="44"/>
      <c r="L718" s="49">
        <f>SUM(J718/M718)</f>
        <v>1465.6811639306</v>
      </c>
      <c r="M718" s="50">
        <v>128.53</v>
      </c>
      <c r="N718" s="45">
        <v>7.22</v>
      </c>
      <c r="O718" s="46">
        <f>SUM(M718*N718)</f>
        <v>927.9866</v>
      </c>
      <c r="P718" s="51"/>
      <c r="Q718" s="51"/>
      <c r="R718" s="73">
        <f t="shared" ref="R718:R751" si="415">SUM(48282.8/1039)*H718</f>
        <v>511.174975938402</v>
      </c>
      <c r="S718" s="73"/>
      <c r="T718" s="74">
        <f t="shared" ref="T718:T751" si="416">SUM(125/1039)*H718</f>
        <v>1.32338787295476</v>
      </c>
      <c r="U718" s="73"/>
      <c r="V718" s="73"/>
      <c r="W718" s="73">
        <f t="shared" si="411"/>
        <v>512.498363811357</v>
      </c>
      <c r="X718" s="75">
        <f t="shared" ref="X718:X751" si="417">SUM(797.42/1039)*H718</f>
        <v>8.4423676612127</v>
      </c>
      <c r="Y718" s="75"/>
      <c r="Z718" s="75"/>
      <c r="AA718" s="75">
        <f t="shared" si="414"/>
        <v>8.4423676612127</v>
      </c>
      <c r="AB718" s="84">
        <v>7.22</v>
      </c>
      <c r="AC718" s="73">
        <f t="shared" si="412"/>
        <v>60.9538945139557</v>
      </c>
      <c r="AD718" s="73">
        <f t="shared" si="413"/>
        <v>573.452258325313</v>
      </c>
      <c r="AE718" s="73">
        <f t="shared" si="410"/>
        <v>354.534341674687</v>
      </c>
    </row>
    <row r="719" customFormat="1" spans="1:31">
      <c r="A719" s="18"/>
      <c r="B719" s="19"/>
      <c r="C719" s="20">
        <v>240517000033</v>
      </c>
      <c r="D719" s="21">
        <v>45437</v>
      </c>
      <c r="E719" s="21" t="s">
        <v>41</v>
      </c>
      <c r="F719" s="19" t="s">
        <v>85</v>
      </c>
      <c r="G719" s="19" t="s">
        <v>86</v>
      </c>
      <c r="H719" s="19">
        <v>3.5</v>
      </c>
      <c r="I719" s="46"/>
      <c r="J719" s="48">
        <v>65560</v>
      </c>
      <c r="K719" s="44"/>
      <c r="L719" s="49">
        <f>SUM(J719/M719)</f>
        <v>1467.9802955665</v>
      </c>
      <c r="M719" s="50">
        <v>44.66</v>
      </c>
      <c r="N719" s="45">
        <v>7.22</v>
      </c>
      <c r="O719" s="46">
        <f>SUM(M719*N719)</f>
        <v>322.4452</v>
      </c>
      <c r="P719" s="51"/>
      <c r="Q719" s="51"/>
      <c r="R719" s="73">
        <f t="shared" si="415"/>
        <v>162.646583253128</v>
      </c>
      <c r="S719" s="73"/>
      <c r="T719" s="74">
        <f t="shared" si="416"/>
        <v>0.421077959576516</v>
      </c>
      <c r="U719" s="73"/>
      <c r="V719" s="73"/>
      <c r="W719" s="73">
        <f t="shared" si="411"/>
        <v>163.067661212705</v>
      </c>
      <c r="X719" s="75">
        <f t="shared" si="417"/>
        <v>2.68620789220404</v>
      </c>
      <c r="Y719" s="75"/>
      <c r="Z719" s="75"/>
      <c r="AA719" s="75">
        <f t="shared" si="414"/>
        <v>2.68620789220404</v>
      </c>
      <c r="AB719" s="84">
        <v>7.22</v>
      </c>
      <c r="AC719" s="73">
        <f t="shared" si="412"/>
        <v>19.3944209817132</v>
      </c>
      <c r="AD719" s="73">
        <f t="shared" si="413"/>
        <v>182.462082194418</v>
      </c>
      <c r="AE719" s="73">
        <f t="shared" si="410"/>
        <v>139.983117805582</v>
      </c>
    </row>
    <row r="720" customFormat="1" spans="1:31">
      <c r="A720" s="18"/>
      <c r="B720" s="19"/>
      <c r="C720" s="20">
        <v>240517000042</v>
      </c>
      <c r="D720" s="21">
        <v>45437</v>
      </c>
      <c r="E720" s="21" t="s">
        <v>44</v>
      </c>
      <c r="F720" s="19" t="s">
        <v>45</v>
      </c>
      <c r="G720" s="19" t="s">
        <v>482</v>
      </c>
      <c r="H720" s="19">
        <v>1.5</v>
      </c>
      <c r="I720" s="41">
        <v>90</v>
      </c>
      <c r="J720" s="42"/>
      <c r="K720" s="44"/>
      <c r="L720" s="19"/>
      <c r="M720" s="44"/>
      <c r="N720" s="45"/>
      <c r="O720" s="46">
        <f t="shared" ref="O720:O723" si="418">SUM(I720)</f>
        <v>90</v>
      </c>
      <c r="P720" s="51"/>
      <c r="Q720" s="51"/>
      <c r="R720" s="73">
        <f t="shared" si="415"/>
        <v>69.7056785370549</v>
      </c>
      <c r="S720" s="73"/>
      <c r="T720" s="74">
        <f t="shared" si="416"/>
        <v>0.18046198267565</v>
      </c>
      <c r="U720" s="73"/>
      <c r="V720" s="73"/>
      <c r="W720" s="73">
        <f t="shared" si="411"/>
        <v>69.8861405197305</v>
      </c>
      <c r="X720" s="75">
        <f t="shared" si="417"/>
        <v>1.15123195380173</v>
      </c>
      <c r="Y720" s="75"/>
      <c r="Z720" s="75"/>
      <c r="AA720" s="75">
        <f t="shared" si="414"/>
        <v>1.15123195380173</v>
      </c>
      <c r="AB720" s="84">
        <v>7.22</v>
      </c>
      <c r="AC720" s="73">
        <f t="shared" si="412"/>
        <v>8.31189470644849</v>
      </c>
      <c r="AD720" s="73">
        <f t="shared" si="413"/>
        <v>78.198035226179</v>
      </c>
      <c r="AE720" s="73">
        <f t="shared" si="410"/>
        <v>11.801964773821</v>
      </c>
    </row>
    <row r="721" customFormat="1" spans="1:31">
      <c r="A721" s="18"/>
      <c r="B721" s="19"/>
      <c r="C721" s="20">
        <v>240518000002</v>
      </c>
      <c r="D721" s="21">
        <v>45437</v>
      </c>
      <c r="E721" s="21" t="s">
        <v>44</v>
      </c>
      <c r="F721" s="19" t="s">
        <v>45</v>
      </c>
      <c r="G721" s="19" t="s">
        <v>444</v>
      </c>
      <c r="H721" s="19">
        <v>3</v>
      </c>
      <c r="I721" s="41">
        <v>194.7</v>
      </c>
      <c r="J721" s="42"/>
      <c r="K721" s="44"/>
      <c r="L721" s="19"/>
      <c r="M721" s="44"/>
      <c r="N721" s="45"/>
      <c r="O721" s="46">
        <f t="shared" si="418"/>
        <v>194.7</v>
      </c>
      <c r="P721" s="51"/>
      <c r="Q721" s="51"/>
      <c r="R721" s="73">
        <f t="shared" si="415"/>
        <v>139.41135707411</v>
      </c>
      <c r="S721" s="73"/>
      <c r="T721" s="74">
        <f t="shared" si="416"/>
        <v>0.360923965351299</v>
      </c>
      <c r="U721" s="73"/>
      <c r="V721" s="73"/>
      <c r="W721" s="73">
        <f t="shared" si="411"/>
        <v>139.772281039461</v>
      </c>
      <c r="X721" s="75">
        <f t="shared" si="417"/>
        <v>2.30246390760346</v>
      </c>
      <c r="Y721" s="75"/>
      <c r="Z721" s="75"/>
      <c r="AA721" s="75">
        <f t="shared" si="414"/>
        <v>2.30246390760346</v>
      </c>
      <c r="AB721" s="84">
        <v>7.22</v>
      </c>
      <c r="AC721" s="73">
        <f t="shared" si="412"/>
        <v>16.623789412897</v>
      </c>
      <c r="AD721" s="73">
        <f t="shared" si="413"/>
        <v>156.396070452358</v>
      </c>
      <c r="AE721" s="73">
        <f t="shared" si="410"/>
        <v>38.303929547642</v>
      </c>
    </row>
    <row r="722" customFormat="1" spans="1:31">
      <c r="A722" s="18"/>
      <c r="B722" s="19"/>
      <c r="C722" s="20">
        <v>240518000006</v>
      </c>
      <c r="D722" s="21">
        <v>45437</v>
      </c>
      <c r="E722" s="21" t="s">
        <v>41</v>
      </c>
      <c r="F722" s="19" t="s">
        <v>42</v>
      </c>
      <c r="G722" s="19" t="s">
        <v>436</v>
      </c>
      <c r="H722" s="19">
        <v>1.5</v>
      </c>
      <c r="I722" s="41">
        <v>190</v>
      </c>
      <c r="J722" s="42"/>
      <c r="K722" s="44"/>
      <c r="L722" s="19"/>
      <c r="M722" s="44"/>
      <c r="N722" s="45"/>
      <c r="O722" s="46">
        <f t="shared" si="418"/>
        <v>190</v>
      </c>
      <c r="P722" s="51"/>
      <c r="Q722" s="51"/>
      <c r="R722" s="73">
        <f t="shared" si="415"/>
        <v>69.7056785370549</v>
      </c>
      <c r="S722" s="73"/>
      <c r="T722" s="74">
        <f t="shared" si="416"/>
        <v>0.18046198267565</v>
      </c>
      <c r="U722" s="73"/>
      <c r="V722" s="73"/>
      <c r="W722" s="73">
        <f t="shared" si="411"/>
        <v>69.8861405197305</v>
      </c>
      <c r="X722" s="75">
        <f t="shared" si="417"/>
        <v>1.15123195380173</v>
      </c>
      <c r="Y722" s="75"/>
      <c r="Z722" s="75"/>
      <c r="AA722" s="75">
        <f t="shared" si="414"/>
        <v>1.15123195380173</v>
      </c>
      <c r="AB722" s="84">
        <v>7.22</v>
      </c>
      <c r="AC722" s="73">
        <f t="shared" si="412"/>
        <v>8.31189470644849</v>
      </c>
      <c r="AD722" s="73">
        <f t="shared" si="413"/>
        <v>78.198035226179</v>
      </c>
      <c r="AE722" s="73">
        <f t="shared" si="410"/>
        <v>111.801964773821</v>
      </c>
    </row>
    <row r="723" customFormat="1" spans="1:31">
      <c r="A723" s="18"/>
      <c r="B723" s="19"/>
      <c r="C723" s="20">
        <v>240518000012</v>
      </c>
      <c r="D723" s="21">
        <v>45437</v>
      </c>
      <c r="E723" s="21" t="s">
        <v>64</v>
      </c>
      <c r="F723" s="19" t="s">
        <v>65</v>
      </c>
      <c r="G723" s="19" t="s">
        <v>483</v>
      </c>
      <c r="H723" s="19">
        <v>0.56</v>
      </c>
      <c r="I723" s="41">
        <v>152.1</v>
      </c>
      <c r="J723" s="42"/>
      <c r="K723" s="44"/>
      <c r="L723" s="19"/>
      <c r="M723" s="44"/>
      <c r="N723" s="45"/>
      <c r="O723" s="46">
        <f t="shared" si="418"/>
        <v>152.1</v>
      </c>
      <c r="P723" s="51"/>
      <c r="Q723" s="51"/>
      <c r="R723" s="73">
        <f t="shared" si="415"/>
        <v>26.0234533205005</v>
      </c>
      <c r="S723" s="73"/>
      <c r="T723" s="74">
        <f t="shared" si="416"/>
        <v>0.0673724735322425</v>
      </c>
      <c r="U723" s="73"/>
      <c r="V723" s="73"/>
      <c r="W723" s="73">
        <f t="shared" si="411"/>
        <v>26.0908257940327</v>
      </c>
      <c r="X723" s="75">
        <f t="shared" si="417"/>
        <v>0.429793262752647</v>
      </c>
      <c r="Y723" s="75"/>
      <c r="Z723" s="75"/>
      <c r="AA723" s="75">
        <f t="shared" si="414"/>
        <v>0.429793262752647</v>
      </c>
      <c r="AB723" s="84">
        <v>7.22</v>
      </c>
      <c r="AC723" s="73">
        <f t="shared" si="412"/>
        <v>3.10310735707411</v>
      </c>
      <c r="AD723" s="73">
        <f t="shared" si="413"/>
        <v>29.1939331511068</v>
      </c>
      <c r="AE723" s="73">
        <f t="shared" si="410"/>
        <v>122.906066848893</v>
      </c>
    </row>
    <row r="724" customFormat="1" spans="1:31">
      <c r="A724" s="18"/>
      <c r="B724" s="19"/>
      <c r="C724" s="20">
        <v>240518000014</v>
      </c>
      <c r="D724" s="21">
        <v>45437</v>
      </c>
      <c r="E724" s="21" t="s">
        <v>41</v>
      </c>
      <c r="F724" s="19" t="s">
        <v>323</v>
      </c>
      <c r="G724" s="19" t="s">
        <v>323</v>
      </c>
      <c r="H724" s="19">
        <v>2</v>
      </c>
      <c r="I724" s="46"/>
      <c r="J724" s="48">
        <v>29712</v>
      </c>
      <c r="K724" s="44"/>
      <c r="L724" s="49">
        <f t="shared" ref="L724:L728" si="419">SUM(J724/M724)</f>
        <v>1467.98418972332</v>
      </c>
      <c r="M724" s="50">
        <v>20.24</v>
      </c>
      <c r="N724" s="45">
        <v>7.22</v>
      </c>
      <c r="O724" s="46">
        <f t="shared" ref="O724:O728" si="420">SUM(M724*N724)</f>
        <v>146.1328</v>
      </c>
      <c r="P724" s="51"/>
      <c r="Q724" s="51"/>
      <c r="R724" s="73">
        <f t="shared" si="415"/>
        <v>92.9409047160731</v>
      </c>
      <c r="S724" s="73"/>
      <c r="T724" s="74">
        <f t="shared" si="416"/>
        <v>0.240615976900866</v>
      </c>
      <c r="U724" s="73"/>
      <c r="V724" s="73"/>
      <c r="W724" s="73">
        <f t="shared" si="411"/>
        <v>93.181520692974</v>
      </c>
      <c r="X724" s="75">
        <f t="shared" si="417"/>
        <v>1.53497593840231</v>
      </c>
      <c r="Y724" s="75"/>
      <c r="Z724" s="75"/>
      <c r="AA724" s="75">
        <f t="shared" si="414"/>
        <v>1.53497593840231</v>
      </c>
      <c r="AB724" s="84">
        <v>7.22</v>
      </c>
      <c r="AC724" s="73">
        <f t="shared" si="412"/>
        <v>11.0825262752647</v>
      </c>
      <c r="AD724" s="73">
        <f t="shared" si="413"/>
        <v>104.264046968239</v>
      </c>
      <c r="AE724" s="73">
        <f t="shared" si="410"/>
        <v>41.8687530317613</v>
      </c>
    </row>
    <row r="725" customFormat="1" spans="1:31">
      <c r="A725" s="18"/>
      <c r="B725" s="19"/>
      <c r="C725" s="20">
        <v>240518000018</v>
      </c>
      <c r="D725" s="21">
        <v>45437</v>
      </c>
      <c r="E725" s="21" t="s">
        <v>41</v>
      </c>
      <c r="F725" s="19" t="s">
        <v>42</v>
      </c>
      <c r="G725" s="19" t="s">
        <v>484</v>
      </c>
      <c r="H725" s="19">
        <v>21</v>
      </c>
      <c r="I725" s="41">
        <v>1200</v>
      </c>
      <c r="J725" s="42"/>
      <c r="K725" s="44"/>
      <c r="L725" s="19"/>
      <c r="M725" s="44"/>
      <c r="N725" s="45"/>
      <c r="O725" s="46">
        <f t="shared" ref="O725:O729" si="421">SUM(I725)</f>
        <v>1200</v>
      </c>
      <c r="P725" s="51"/>
      <c r="Q725" s="51"/>
      <c r="R725" s="73">
        <f t="shared" si="415"/>
        <v>975.879499518768</v>
      </c>
      <c r="S725" s="73"/>
      <c r="T725" s="74">
        <f t="shared" si="416"/>
        <v>2.5264677574591</v>
      </c>
      <c r="U725" s="73"/>
      <c r="V725" s="73"/>
      <c r="W725" s="73">
        <f t="shared" si="411"/>
        <v>978.405967276227</v>
      </c>
      <c r="X725" s="75">
        <f t="shared" si="417"/>
        <v>16.1172473532243</v>
      </c>
      <c r="Y725" s="75"/>
      <c r="Z725" s="75"/>
      <c r="AA725" s="75">
        <f t="shared" si="414"/>
        <v>16.1172473532243</v>
      </c>
      <c r="AB725" s="84">
        <v>7.22</v>
      </c>
      <c r="AC725" s="73">
        <f t="shared" si="412"/>
        <v>116.366525890279</v>
      </c>
      <c r="AD725" s="73">
        <f t="shared" si="413"/>
        <v>1094.77249316651</v>
      </c>
      <c r="AE725" s="73">
        <f t="shared" si="410"/>
        <v>105.227506833494</v>
      </c>
    </row>
    <row r="726" customFormat="1" spans="1:31">
      <c r="A726" s="18"/>
      <c r="B726" s="19"/>
      <c r="C726" s="20">
        <v>240519000002</v>
      </c>
      <c r="D726" s="21">
        <v>45437</v>
      </c>
      <c r="E726" s="21" t="s">
        <v>44</v>
      </c>
      <c r="F726" s="19" t="s">
        <v>45</v>
      </c>
      <c r="G726" s="19" t="s">
        <v>485</v>
      </c>
      <c r="H726" s="19">
        <v>4</v>
      </c>
      <c r="I726" s="52"/>
      <c r="J726" s="48">
        <v>52475.2</v>
      </c>
      <c r="K726" s="44"/>
      <c r="L726" s="49">
        <f t="shared" si="419"/>
        <v>1465.78770949721</v>
      </c>
      <c r="M726" s="50">
        <v>35.8</v>
      </c>
      <c r="N726" s="45">
        <v>7.22</v>
      </c>
      <c r="O726" s="46">
        <f t="shared" si="420"/>
        <v>258.476</v>
      </c>
      <c r="P726" s="51"/>
      <c r="Q726" s="51"/>
      <c r="R726" s="73">
        <f t="shared" si="415"/>
        <v>185.881809432146</v>
      </c>
      <c r="S726" s="73"/>
      <c r="T726" s="74">
        <f t="shared" si="416"/>
        <v>0.481231953801732</v>
      </c>
      <c r="U726" s="73"/>
      <c r="V726" s="73"/>
      <c r="W726" s="73">
        <f t="shared" si="411"/>
        <v>186.363041385948</v>
      </c>
      <c r="X726" s="75">
        <f t="shared" si="417"/>
        <v>3.06995187680462</v>
      </c>
      <c r="Y726" s="75"/>
      <c r="Z726" s="75"/>
      <c r="AA726" s="75">
        <f t="shared" si="414"/>
        <v>3.06995187680462</v>
      </c>
      <c r="AB726" s="84">
        <v>7.22</v>
      </c>
      <c r="AC726" s="73">
        <f t="shared" si="412"/>
        <v>22.1650525505294</v>
      </c>
      <c r="AD726" s="73">
        <f t="shared" si="413"/>
        <v>208.528093936477</v>
      </c>
      <c r="AE726" s="73">
        <f t="shared" si="410"/>
        <v>49.9479060635226</v>
      </c>
    </row>
    <row r="727" customFormat="1" spans="1:31">
      <c r="A727" s="18"/>
      <c r="B727" s="19"/>
      <c r="C727" s="20">
        <v>240519000003</v>
      </c>
      <c r="D727" s="21">
        <v>45437</v>
      </c>
      <c r="E727" s="21" t="s">
        <v>44</v>
      </c>
      <c r="F727" s="19" t="s">
        <v>45</v>
      </c>
      <c r="G727" s="19" t="s">
        <v>486</v>
      </c>
      <c r="H727" s="19">
        <v>8</v>
      </c>
      <c r="I727" s="41">
        <v>490.6</v>
      </c>
      <c r="J727" s="42"/>
      <c r="K727" s="44"/>
      <c r="L727" s="19"/>
      <c r="M727" s="44"/>
      <c r="N727" s="45"/>
      <c r="O727" s="46">
        <f t="shared" si="421"/>
        <v>490.6</v>
      </c>
      <c r="P727" s="51"/>
      <c r="Q727" s="51"/>
      <c r="R727" s="73">
        <f t="shared" si="415"/>
        <v>371.763618864293</v>
      </c>
      <c r="S727" s="73"/>
      <c r="T727" s="74">
        <f t="shared" si="416"/>
        <v>0.962463907603465</v>
      </c>
      <c r="U727" s="73"/>
      <c r="V727" s="73"/>
      <c r="W727" s="73">
        <f t="shared" si="411"/>
        <v>372.726082771896</v>
      </c>
      <c r="X727" s="75">
        <f t="shared" si="417"/>
        <v>6.13990375360924</v>
      </c>
      <c r="Y727" s="75"/>
      <c r="Z727" s="75"/>
      <c r="AA727" s="75">
        <f t="shared" si="414"/>
        <v>6.13990375360924</v>
      </c>
      <c r="AB727" s="84">
        <v>7.22</v>
      </c>
      <c r="AC727" s="73">
        <f t="shared" si="412"/>
        <v>44.3301051010587</v>
      </c>
      <c r="AD727" s="73">
        <f t="shared" si="413"/>
        <v>417.056187872955</v>
      </c>
      <c r="AE727" s="73">
        <f t="shared" si="410"/>
        <v>73.5438121270453</v>
      </c>
    </row>
    <row r="728" customFormat="1" spans="1:31">
      <c r="A728" s="18"/>
      <c r="B728" s="19"/>
      <c r="C728" s="20">
        <v>240519000004</v>
      </c>
      <c r="D728" s="21">
        <v>45437</v>
      </c>
      <c r="E728" s="21" t="s">
        <v>44</v>
      </c>
      <c r="F728" s="19" t="s">
        <v>45</v>
      </c>
      <c r="G728" s="19" t="s">
        <v>207</v>
      </c>
      <c r="H728" s="19">
        <v>0.51166666</v>
      </c>
      <c r="I728" s="52"/>
      <c r="J728" s="48">
        <v>13889</v>
      </c>
      <c r="K728" s="44"/>
      <c r="L728" s="49">
        <f t="shared" si="419"/>
        <v>1495.04843918192</v>
      </c>
      <c r="M728" s="50">
        <v>9.29</v>
      </c>
      <c r="N728" s="45">
        <v>7.22</v>
      </c>
      <c r="O728" s="46">
        <f t="shared" si="420"/>
        <v>67.0738</v>
      </c>
      <c r="P728" s="51"/>
      <c r="Q728" s="51"/>
      <c r="R728" s="73">
        <f t="shared" si="415"/>
        <v>23.7773811467257</v>
      </c>
      <c r="S728" s="73"/>
      <c r="T728" s="74">
        <f t="shared" si="416"/>
        <v>0.0615575866217517</v>
      </c>
      <c r="U728" s="73"/>
      <c r="V728" s="73"/>
      <c r="W728" s="73">
        <f t="shared" si="411"/>
        <v>23.8389387333475</v>
      </c>
      <c r="X728" s="75">
        <f t="shared" si="417"/>
        <v>0.392698005791338</v>
      </c>
      <c r="Y728" s="75"/>
      <c r="Z728" s="75"/>
      <c r="AA728" s="75">
        <f t="shared" si="414"/>
        <v>0.392698005791338</v>
      </c>
      <c r="AB728" s="84">
        <v>7.22</v>
      </c>
      <c r="AC728" s="73">
        <f t="shared" si="412"/>
        <v>2.83527960181346</v>
      </c>
      <c r="AD728" s="73">
        <f t="shared" si="413"/>
        <v>26.674218335161</v>
      </c>
      <c r="AE728" s="73">
        <f t="shared" si="410"/>
        <v>40.399581664839</v>
      </c>
    </row>
    <row r="729" customFormat="1" spans="1:31">
      <c r="A729" s="18"/>
      <c r="B729" s="19"/>
      <c r="C729" s="20">
        <v>240519000006</v>
      </c>
      <c r="D729" s="21">
        <v>45437</v>
      </c>
      <c r="E729" s="21" t="s">
        <v>44</v>
      </c>
      <c r="F729" s="19" t="s">
        <v>45</v>
      </c>
      <c r="G729" s="19" t="s">
        <v>487</v>
      </c>
      <c r="H729" s="19">
        <v>14.5</v>
      </c>
      <c r="I729" s="41">
        <v>877.25</v>
      </c>
      <c r="J729" s="42"/>
      <c r="K729" s="44"/>
      <c r="L729" s="19"/>
      <c r="M729" s="44"/>
      <c r="N729" s="45"/>
      <c r="O729" s="46">
        <f t="shared" si="421"/>
        <v>877.25</v>
      </c>
      <c r="P729" s="51"/>
      <c r="Q729" s="51"/>
      <c r="R729" s="73">
        <f t="shared" si="415"/>
        <v>673.82155919153</v>
      </c>
      <c r="S729" s="73"/>
      <c r="T729" s="74">
        <f t="shared" si="416"/>
        <v>1.74446583253128</v>
      </c>
      <c r="U729" s="73"/>
      <c r="V729" s="73"/>
      <c r="W729" s="73">
        <f t="shared" si="411"/>
        <v>675.566025024062</v>
      </c>
      <c r="X729" s="75">
        <f t="shared" si="417"/>
        <v>11.1285755534167</v>
      </c>
      <c r="Y729" s="75"/>
      <c r="Z729" s="75"/>
      <c r="AA729" s="75">
        <f t="shared" si="414"/>
        <v>11.1285755534167</v>
      </c>
      <c r="AB729" s="84">
        <v>7.22</v>
      </c>
      <c r="AC729" s="73">
        <f t="shared" si="412"/>
        <v>80.3483154956686</v>
      </c>
      <c r="AD729" s="73">
        <f t="shared" si="413"/>
        <v>755.914340519731</v>
      </c>
      <c r="AE729" s="73">
        <f t="shared" si="410"/>
        <v>121.335659480269</v>
      </c>
    </row>
    <row r="730" customFormat="1" spans="1:31">
      <c r="A730" s="18"/>
      <c r="B730" s="19"/>
      <c r="C730" s="20">
        <v>240520000008</v>
      </c>
      <c r="D730" s="21">
        <v>45437</v>
      </c>
      <c r="E730" s="21" t="s">
        <v>37</v>
      </c>
      <c r="F730" s="19" t="s">
        <v>38</v>
      </c>
      <c r="G730" s="19" t="s">
        <v>488</v>
      </c>
      <c r="H730" s="19">
        <v>0.42</v>
      </c>
      <c r="I730" s="46"/>
      <c r="J730" s="48">
        <v>12540</v>
      </c>
      <c r="K730" s="44"/>
      <c r="L730" s="49">
        <f t="shared" ref="L730:L741" si="422">SUM(J730/M730)</f>
        <v>1458.13953488372</v>
      </c>
      <c r="M730" s="87">
        <v>8.6</v>
      </c>
      <c r="N730" s="45">
        <v>7.22</v>
      </c>
      <c r="O730" s="46">
        <f t="shared" ref="O730:O741" si="423">SUM(M730*N730)</f>
        <v>62.092</v>
      </c>
      <c r="P730" s="51"/>
      <c r="Q730" s="51"/>
      <c r="R730" s="73">
        <f t="shared" si="415"/>
        <v>19.5175899903754</v>
      </c>
      <c r="S730" s="73"/>
      <c r="T730" s="74">
        <f t="shared" si="416"/>
        <v>0.0505293551491819</v>
      </c>
      <c r="U730" s="73"/>
      <c r="V730" s="73"/>
      <c r="W730" s="73">
        <f t="shared" si="411"/>
        <v>19.5681193455245</v>
      </c>
      <c r="X730" s="75">
        <f t="shared" si="417"/>
        <v>0.322344947064485</v>
      </c>
      <c r="Y730" s="75"/>
      <c r="Z730" s="75"/>
      <c r="AA730" s="75">
        <f t="shared" si="414"/>
        <v>0.322344947064485</v>
      </c>
      <c r="AB730" s="84">
        <v>7.22</v>
      </c>
      <c r="AC730" s="73">
        <f t="shared" si="412"/>
        <v>2.32733051780558</v>
      </c>
      <c r="AD730" s="73">
        <f t="shared" si="413"/>
        <v>21.8954498633301</v>
      </c>
      <c r="AE730" s="73">
        <f t="shared" si="410"/>
        <v>40.1965501366699</v>
      </c>
    </row>
    <row r="731" customFormat="1" spans="1:31">
      <c r="A731" s="18"/>
      <c r="B731" s="19"/>
      <c r="C731" s="20">
        <v>240520000011</v>
      </c>
      <c r="D731" s="21">
        <v>45437</v>
      </c>
      <c r="E731" s="21" t="s">
        <v>47</v>
      </c>
      <c r="F731" s="19" t="s">
        <v>48</v>
      </c>
      <c r="G731" s="19" t="s">
        <v>49</v>
      </c>
      <c r="H731" s="19">
        <v>5.5</v>
      </c>
      <c r="I731" s="41">
        <v>420.5</v>
      </c>
      <c r="J731" s="42"/>
      <c r="K731" s="44"/>
      <c r="L731" s="19"/>
      <c r="M731" s="44"/>
      <c r="N731" s="45"/>
      <c r="O731" s="46">
        <f t="shared" ref="O731:O733" si="424">SUM(I731)</f>
        <v>420.5</v>
      </c>
      <c r="P731" s="51"/>
      <c r="Q731" s="51"/>
      <c r="R731" s="73">
        <f t="shared" si="415"/>
        <v>255.587487969201</v>
      </c>
      <c r="S731" s="73"/>
      <c r="T731" s="74">
        <f t="shared" si="416"/>
        <v>0.661693936477382</v>
      </c>
      <c r="U731" s="73">
        <v>30</v>
      </c>
      <c r="V731" s="73"/>
      <c r="W731" s="73">
        <f t="shared" si="411"/>
        <v>286.249181905679</v>
      </c>
      <c r="X731" s="75">
        <f t="shared" si="417"/>
        <v>4.22118383060635</v>
      </c>
      <c r="Y731" s="75"/>
      <c r="Z731" s="75"/>
      <c r="AA731" s="75">
        <f t="shared" si="414"/>
        <v>4.22118383060635</v>
      </c>
      <c r="AB731" s="84">
        <v>7.22</v>
      </c>
      <c r="AC731" s="73">
        <f t="shared" si="412"/>
        <v>30.4769472569778</v>
      </c>
      <c r="AD731" s="73">
        <f t="shared" si="413"/>
        <v>316.726129162657</v>
      </c>
      <c r="AE731" s="73">
        <f t="shared" si="410"/>
        <v>103.773870837343</v>
      </c>
    </row>
    <row r="732" customFormat="1" spans="1:31">
      <c r="A732" s="18"/>
      <c r="B732" s="19"/>
      <c r="C732" s="20">
        <v>240520000013</v>
      </c>
      <c r="D732" s="21">
        <v>45437</v>
      </c>
      <c r="E732" s="21" t="s">
        <v>47</v>
      </c>
      <c r="F732" s="19" t="s">
        <v>48</v>
      </c>
      <c r="G732" s="19" t="s">
        <v>432</v>
      </c>
      <c r="H732" s="19">
        <v>0.2</v>
      </c>
      <c r="I732" s="41">
        <v>105</v>
      </c>
      <c r="J732" s="42"/>
      <c r="K732" s="44"/>
      <c r="L732" s="19"/>
      <c r="M732" s="44"/>
      <c r="N732" s="45"/>
      <c r="O732" s="46">
        <f t="shared" si="424"/>
        <v>105</v>
      </c>
      <c r="P732" s="51"/>
      <c r="Q732" s="51"/>
      <c r="R732" s="73">
        <f t="shared" si="415"/>
        <v>9.29409047160732</v>
      </c>
      <c r="S732" s="73"/>
      <c r="T732" s="74">
        <f t="shared" si="416"/>
        <v>0.0240615976900866</v>
      </c>
      <c r="U732" s="73"/>
      <c r="V732" s="73"/>
      <c r="W732" s="73">
        <f t="shared" si="411"/>
        <v>9.3181520692974</v>
      </c>
      <c r="X732" s="75">
        <f t="shared" si="417"/>
        <v>0.153497593840231</v>
      </c>
      <c r="Y732" s="75"/>
      <c r="Z732" s="75"/>
      <c r="AA732" s="75">
        <f t="shared" si="414"/>
        <v>0.153497593840231</v>
      </c>
      <c r="AB732" s="84">
        <v>7.22</v>
      </c>
      <c r="AC732" s="73">
        <f t="shared" si="412"/>
        <v>1.10825262752647</v>
      </c>
      <c r="AD732" s="73">
        <f t="shared" si="413"/>
        <v>10.4264046968239</v>
      </c>
      <c r="AE732" s="73">
        <f t="shared" si="410"/>
        <v>94.5735953031761</v>
      </c>
    </row>
    <row r="733" customFormat="1" spans="1:31">
      <c r="A733" s="18"/>
      <c r="B733" s="19"/>
      <c r="C733" s="20">
        <v>240520000014</v>
      </c>
      <c r="D733" s="21">
        <v>45437</v>
      </c>
      <c r="E733" s="21" t="s">
        <v>47</v>
      </c>
      <c r="F733" s="19" t="s">
        <v>48</v>
      </c>
      <c r="G733" s="19" t="s">
        <v>415</v>
      </c>
      <c r="H733" s="19">
        <v>3.5</v>
      </c>
      <c r="I733" s="41">
        <v>360.25</v>
      </c>
      <c r="J733" s="42"/>
      <c r="K733" s="44"/>
      <c r="L733" s="19"/>
      <c r="M733" s="44"/>
      <c r="N733" s="45"/>
      <c r="O733" s="46">
        <f t="shared" si="424"/>
        <v>360.25</v>
      </c>
      <c r="P733" s="51"/>
      <c r="Q733" s="51"/>
      <c r="R733" s="73">
        <f t="shared" si="415"/>
        <v>162.646583253128</v>
      </c>
      <c r="S733" s="73"/>
      <c r="T733" s="74">
        <f t="shared" si="416"/>
        <v>0.421077959576516</v>
      </c>
      <c r="U733" s="73"/>
      <c r="V733" s="73"/>
      <c r="W733" s="73">
        <f t="shared" si="411"/>
        <v>163.067661212705</v>
      </c>
      <c r="X733" s="75">
        <f t="shared" si="417"/>
        <v>2.68620789220404</v>
      </c>
      <c r="Y733" s="75"/>
      <c r="Z733" s="75"/>
      <c r="AA733" s="75">
        <f t="shared" si="414"/>
        <v>2.68620789220404</v>
      </c>
      <c r="AB733" s="84">
        <v>7.22</v>
      </c>
      <c r="AC733" s="73">
        <f t="shared" si="412"/>
        <v>19.3944209817132</v>
      </c>
      <c r="AD733" s="73">
        <f t="shared" si="413"/>
        <v>182.462082194418</v>
      </c>
      <c r="AE733" s="73">
        <f t="shared" si="410"/>
        <v>177.787917805582</v>
      </c>
    </row>
    <row r="734" customFormat="1" spans="1:31">
      <c r="A734" s="18"/>
      <c r="B734" s="19"/>
      <c r="C734" s="20">
        <v>240520000022</v>
      </c>
      <c r="D734" s="21">
        <v>45437</v>
      </c>
      <c r="E734" s="21" t="s">
        <v>41</v>
      </c>
      <c r="F734" s="19" t="s">
        <v>42</v>
      </c>
      <c r="G734" s="19" t="s">
        <v>77</v>
      </c>
      <c r="H734" s="19">
        <v>10.5</v>
      </c>
      <c r="I734" s="52"/>
      <c r="J734" s="48">
        <v>127890</v>
      </c>
      <c r="K734" s="44"/>
      <c r="L734" s="49">
        <f t="shared" si="422"/>
        <v>1465.78796561605</v>
      </c>
      <c r="M734" s="50">
        <v>87.25</v>
      </c>
      <c r="N734" s="45">
        <v>7.22</v>
      </c>
      <c r="O734" s="46">
        <f t="shared" si="423"/>
        <v>629.945</v>
      </c>
      <c r="P734" s="51"/>
      <c r="Q734" s="51"/>
      <c r="R734" s="73">
        <f t="shared" si="415"/>
        <v>487.939749759384</v>
      </c>
      <c r="S734" s="73"/>
      <c r="T734" s="74">
        <f t="shared" si="416"/>
        <v>1.26323387872955</v>
      </c>
      <c r="U734" s="73"/>
      <c r="V734" s="73"/>
      <c r="W734" s="73">
        <f t="shared" si="411"/>
        <v>489.202983638114</v>
      </c>
      <c r="X734" s="75">
        <f t="shared" si="417"/>
        <v>8.05862367661213</v>
      </c>
      <c r="Y734" s="75"/>
      <c r="Z734" s="75"/>
      <c r="AA734" s="75">
        <f t="shared" si="414"/>
        <v>8.05862367661213</v>
      </c>
      <c r="AB734" s="84">
        <v>7.22</v>
      </c>
      <c r="AC734" s="73">
        <f t="shared" si="412"/>
        <v>58.1832629451396</v>
      </c>
      <c r="AD734" s="73">
        <f t="shared" si="413"/>
        <v>547.386246583254</v>
      </c>
      <c r="AE734" s="73">
        <f t="shared" si="410"/>
        <v>82.5587534167464</v>
      </c>
    </row>
    <row r="735" customFormat="1" spans="1:31">
      <c r="A735" s="18"/>
      <c r="B735" s="19"/>
      <c r="C735" s="20">
        <v>240520000035</v>
      </c>
      <c r="D735" s="21">
        <v>45437</v>
      </c>
      <c r="E735" s="21" t="s">
        <v>41</v>
      </c>
      <c r="F735" s="19" t="s">
        <v>85</v>
      </c>
      <c r="G735" s="19" t="s">
        <v>86</v>
      </c>
      <c r="H735" s="19">
        <v>11</v>
      </c>
      <c r="I735" s="46"/>
      <c r="J735" s="48">
        <v>154051</v>
      </c>
      <c r="K735" s="44"/>
      <c r="L735" s="49">
        <f t="shared" si="422"/>
        <v>1467.99123308557</v>
      </c>
      <c r="M735" s="50">
        <v>104.94</v>
      </c>
      <c r="N735" s="45">
        <v>7.22</v>
      </c>
      <c r="O735" s="46">
        <f t="shared" si="423"/>
        <v>757.6668</v>
      </c>
      <c r="P735" s="51"/>
      <c r="Q735" s="51"/>
      <c r="R735" s="73">
        <f t="shared" si="415"/>
        <v>511.174975938402</v>
      </c>
      <c r="S735" s="73"/>
      <c r="T735" s="74">
        <f t="shared" si="416"/>
        <v>1.32338787295476</v>
      </c>
      <c r="U735" s="73"/>
      <c r="V735" s="73"/>
      <c r="W735" s="73">
        <f t="shared" si="411"/>
        <v>512.498363811357</v>
      </c>
      <c r="X735" s="75">
        <f t="shared" si="417"/>
        <v>8.4423676612127</v>
      </c>
      <c r="Y735" s="75"/>
      <c r="Z735" s="75"/>
      <c r="AA735" s="75">
        <f t="shared" si="414"/>
        <v>8.4423676612127</v>
      </c>
      <c r="AB735" s="84">
        <v>7.22</v>
      </c>
      <c r="AC735" s="73">
        <f t="shared" si="412"/>
        <v>60.9538945139557</v>
      </c>
      <c r="AD735" s="73">
        <f t="shared" si="413"/>
        <v>573.452258325313</v>
      </c>
      <c r="AE735" s="73">
        <f t="shared" si="410"/>
        <v>184.214541674687</v>
      </c>
    </row>
    <row r="736" customFormat="1" spans="1:31">
      <c r="A736" s="18"/>
      <c r="B736" s="19"/>
      <c r="C736" s="20">
        <v>240520000036</v>
      </c>
      <c r="D736" s="21">
        <v>45437</v>
      </c>
      <c r="E736" s="21" t="s">
        <v>54</v>
      </c>
      <c r="F736" s="19" t="s">
        <v>54</v>
      </c>
      <c r="G736" s="19" t="s">
        <v>261</v>
      </c>
      <c r="H736" s="19">
        <v>30</v>
      </c>
      <c r="I736" s="99"/>
      <c r="J736" s="48">
        <v>426420</v>
      </c>
      <c r="K736" s="44"/>
      <c r="L736" s="49">
        <f t="shared" si="422"/>
        <v>1487.33868154866</v>
      </c>
      <c r="M736" s="50">
        <v>286.7</v>
      </c>
      <c r="N736" s="45">
        <v>7.22</v>
      </c>
      <c r="O736" s="100">
        <f t="shared" si="423"/>
        <v>2069.974</v>
      </c>
      <c r="P736" s="51"/>
      <c r="Q736" s="51"/>
      <c r="R736" s="73">
        <f t="shared" si="415"/>
        <v>1394.1135707411</v>
      </c>
      <c r="S736" s="73"/>
      <c r="T736" s="74">
        <f t="shared" si="416"/>
        <v>3.60923965351299</v>
      </c>
      <c r="U736" s="73"/>
      <c r="V736" s="73"/>
      <c r="W736" s="73">
        <f t="shared" si="411"/>
        <v>1397.72281039461</v>
      </c>
      <c r="X736" s="75">
        <f t="shared" si="417"/>
        <v>23.0246390760346</v>
      </c>
      <c r="Y736" s="75"/>
      <c r="Z736" s="75"/>
      <c r="AA736" s="75">
        <f t="shared" si="414"/>
        <v>23.0246390760346</v>
      </c>
      <c r="AB736" s="84">
        <v>7.22</v>
      </c>
      <c r="AC736" s="73">
        <f t="shared" si="412"/>
        <v>166.23789412897</v>
      </c>
      <c r="AD736" s="73">
        <f t="shared" si="413"/>
        <v>1563.96070452358</v>
      </c>
      <c r="AE736" s="73">
        <f t="shared" si="410"/>
        <v>506.01329547642</v>
      </c>
    </row>
    <row r="737" customFormat="1" spans="1:31">
      <c r="A737" s="18"/>
      <c r="B737" s="19"/>
      <c r="C737" s="20">
        <v>240520000037</v>
      </c>
      <c r="D737" s="21">
        <v>45437</v>
      </c>
      <c r="E737" s="21" t="s">
        <v>37</v>
      </c>
      <c r="F737" s="19" t="s">
        <v>38</v>
      </c>
      <c r="G737" s="19" t="s">
        <v>385</v>
      </c>
      <c r="H737" s="19">
        <v>0.78</v>
      </c>
      <c r="I737" s="46"/>
      <c r="J737" s="48">
        <v>15530</v>
      </c>
      <c r="K737" s="44"/>
      <c r="L737" s="49">
        <f t="shared" si="422"/>
        <v>1501.93438123156</v>
      </c>
      <c r="M737" s="50">
        <v>10.339999</v>
      </c>
      <c r="N737" s="45">
        <v>7.22</v>
      </c>
      <c r="O737" s="46">
        <f t="shared" si="423"/>
        <v>74.65479278</v>
      </c>
      <c r="P737" s="51"/>
      <c r="Q737" s="51"/>
      <c r="R737" s="73">
        <f t="shared" si="415"/>
        <v>36.2469528392685</v>
      </c>
      <c r="S737" s="73"/>
      <c r="T737" s="74">
        <f t="shared" si="416"/>
        <v>0.0938402309913378</v>
      </c>
      <c r="U737" s="73"/>
      <c r="V737" s="73"/>
      <c r="W737" s="73">
        <f t="shared" si="411"/>
        <v>36.3407930702599</v>
      </c>
      <c r="X737" s="75">
        <f t="shared" si="417"/>
        <v>0.598640615976901</v>
      </c>
      <c r="Y737" s="75"/>
      <c r="Z737" s="75"/>
      <c r="AA737" s="75">
        <f t="shared" si="414"/>
        <v>0.598640615976901</v>
      </c>
      <c r="AB737" s="84">
        <v>7.22</v>
      </c>
      <c r="AC737" s="73">
        <f t="shared" si="412"/>
        <v>4.32218524735323</v>
      </c>
      <c r="AD737" s="73">
        <f t="shared" si="413"/>
        <v>40.6629783176131</v>
      </c>
      <c r="AE737" s="73">
        <f t="shared" si="410"/>
        <v>33.9918144623869</v>
      </c>
    </row>
    <row r="738" customFormat="1" spans="1:31">
      <c r="A738" s="18"/>
      <c r="B738" s="19"/>
      <c r="C738" s="22">
        <v>240520000039</v>
      </c>
      <c r="D738" s="23">
        <v>45437</v>
      </c>
      <c r="E738" s="21" t="s">
        <v>44</v>
      </c>
      <c r="F738" s="24" t="s">
        <v>45</v>
      </c>
      <c r="G738" s="24" t="s">
        <v>489</v>
      </c>
      <c r="H738" s="24">
        <v>8</v>
      </c>
      <c r="I738" s="52"/>
      <c r="J738" s="48">
        <v>104703</v>
      </c>
      <c r="K738" s="44"/>
      <c r="L738" s="49">
        <f t="shared" si="422"/>
        <v>1480.31952495405</v>
      </c>
      <c r="M738" s="50">
        <v>70.73</v>
      </c>
      <c r="N738" s="45">
        <v>7.22</v>
      </c>
      <c r="O738" s="46">
        <f t="shared" si="423"/>
        <v>510.6706</v>
      </c>
      <c r="P738" s="51"/>
      <c r="Q738" s="51"/>
      <c r="R738" s="73">
        <f t="shared" si="415"/>
        <v>371.763618864293</v>
      </c>
      <c r="S738" s="73"/>
      <c r="T738" s="74">
        <f t="shared" si="416"/>
        <v>0.962463907603465</v>
      </c>
      <c r="U738" s="73"/>
      <c r="V738" s="73"/>
      <c r="W738" s="73">
        <f t="shared" si="411"/>
        <v>372.726082771896</v>
      </c>
      <c r="X738" s="75">
        <f t="shared" si="417"/>
        <v>6.13990375360924</v>
      </c>
      <c r="Y738" s="75">
        <v>2.08</v>
      </c>
      <c r="Z738" s="75"/>
      <c r="AA738" s="75">
        <f t="shared" si="414"/>
        <v>8.21990375360924</v>
      </c>
      <c r="AB738" s="84">
        <v>7.22</v>
      </c>
      <c r="AC738" s="73">
        <f t="shared" si="412"/>
        <v>59.3477051010587</v>
      </c>
      <c r="AD738" s="73">
        <f t="shared" si="413"/>
        <v>432.073787872955</v>
      </c>
      <c r="AE738" s="73">
        <f t="shared" si="410"/>
        <v>78.5968121270452</v>
      </c>
    </row>
    <row r="739" customFormat="1" spans="1:31">
      <c r="A739" s="18"/>
      <c r="B739" s="19"/>
      <c r="C739" s="20">
        <v>240520000040</v>
      </c>
      <c r="D739" s="21">
        <v>45437</v>
      </c>
      <c r="E739" s="21" t="s">
        <v>37</v>
      </c>
      <c r="F739" s="19" t="s">
        <v>38</v>
      </c>
      <c r="G739" s="19" t="s">
        <v>209</v>
      </c>
      <c r="H739" s="19">
        <v>26</v>
      </c>
      <c r="I739" s="52"/>
      <c r="J739" s="48">
        <v>314470</v>
      </c>
      <c r="K739" s="44"/>
      <c r="L739" s="49">
        <f t="shared" si="422"/>
        <v>1480.13743763532</v>
      </c>
      <c r="M739" s="50">
        <v>212.46</v>
      </c>
      <c r="N739" s="45">
        <v>7.22</v>
      </c>
      <c r="O739" s="46">
        <f t="shared" si="423"/>
        <v>1533.9612</v>
      </c>
      <c r="P739" s="51"/>
      <c r="Q739" s="51"/>
      <c r="R739" s="73">
        <f t="shared" si="415"/>
        <v>1208.23176130895</v>
      </c>
      <c r="S739" s="73"/>
      <c r="T739" s="74">
        <f t="shared" si="416"/>
        <v>3.12800769971126</v>
      </c>
      <c r="U739" s="73"/>
      <c r="V739" s="73"/>
      <c r="W739" s="73">
        <f t="shared" si="411"/>
        <v>1211.35976900866</v>
      </c>
      <c r="X739" s="75">
        <f t="shared" si="417"/>
        <v>19.95468719923</v>
      </c>
      <c r="Y739" s="75"/>
      <c r="Z739" s="75"/>
      <c r="AA739" s="75">
        <f t="shared" si="414"/>
        <v>19.95468719923</v>
      </c>
      <c r="AB739" s="84">
        <v>7.22</v>
      </c>
      <c r="AC739" s="73">
        <f t="shared" si="412"/>
        <v>144.072841578441</v>
      </c>
      <c r="AD739" s="73">
        <f t="shared" si="413"/>
        <v>1355.4326105871</v>
      </c>
      <c r="AE739" s="73">
        <f t="shared" si="410"/>
        <v>178.528589412899</v>
      </c>
    </row>
    <row r="740" customFormat="1" spans="1:31">
      <c r="A740" s="18"/>
      <c r="B740" s="19"/>
      <c r="C740" s="20">
        <v>240520000042</v>
      </c>
      <c r="D740" s="21">
        <v>45437</v>
      </c>
      <c r="E740" s="21" t="s">
        <v>37</v>
      </c>
      <c r="F740" s="19" t="s">
        <v>38</v>
      </c>
      <c r="G740" s="19" t="s">
        <v>180</v>
      </c>
      <c r="H740" s="19">
        <v>0.64</v>
      </c>
      <c r="I740" s="46"/>
      <c r="J740" s="48">
        <v>25200</v>
      </c>
      <c r="K740" s="44"/>
      <c r="L740" s="49">
        <f t="shared" si="422"/>
        <v>1831.39534883721</v>
      </c>
      <c r="M740" s="50">
        <v>13.76</v>
      </c>
      <c r="N740" s="45">
        <v>7.22</v>
      </c>
      <c r="O740" s="46">
        <f t="shared" si="423"/>
        <v>99.3472</v>
      </c>
      <c r="P740" s="51"/>
      <c r="Q740" s="51"/>
      <c r="R740" s="73">
        <f t="shared" si="415"/>
        <v>29.7410895091434</v>
      </c>
      <c r="S740" s="73"/>
      <c r="T740" s="74">
        <f t="shared" si="416"/>
        <v>0.0769971126082772</v>
      </c>
      <c r="U740" s="73"/>
      <c r="V740" s="73"/>
      <c r="W740" s="73">
        <f t="shared" si="411"/>
        <v>29.8180866217517</v>
      </c>
      <c r="X740" s="75">
        <f t="shared" si="417"/>
        <v>0.491192300288739</v>
      </c>
      <c r="Y740" s="75"/>
      <c r="Z740" s="75"/>
      <c r="AA740" s="75">
        <f t="shared" si="414"/>
        <v>0.491192300288739</v>
      </c>
      <c r="AB740" s="84">
        <v>7.22</v>
      </c>
      <c r="AC740" s="73">
        <f t="shared" si="412"/>
        <v>3.5464084080847</v>
      </c>
      <c r="AD740" s="73">
        <f t="shared" si="413"/>
        <v>33.3644950298364</v>
      </c>
      <c r="AE740" s="73">
        <f t="shared" si="410"/>
        <v>65.9827049701636</v>
      </c>
    </row>
    <row r="741" customFormat="1" spans="1:31">
      <c r="A741" s="18"/>
      <c r="B741" s="19"/>
      <c r="C741" s="20">
        <v>240520000043</v>
      </c>
      <c r="D741" s="21">
        <v>45437</v>
      </c>
      <c r="E741" s="21" t="s">
        <v>54</v>
      </c>
      <c r="F741" s="19" t="s">
        <v>54</v>
      </c>
      <c r="G741" s="19" t="s">
        <v>261</v>
      </c>
      <c r="H741" s="19">
        <v>4.5</v>
      </c>
      <c r="I741" s="99"/>
      <c r="J741" s="48">
        <v>84975</v>
      </c>
      <c r="K741" s="44"/>
      <c r="L741" s="49">
        <f t="shared" si="422"/>
        <v>1487.39716436198</v>
      </c>
      <c r="M741" s="50">
        <v>57.13</v>
      </c>
      <c r="N741" s="45">
        <v>7.22</v>
      </c>
      <c r="O741" s="100">
        <f t="shared" si="423"/>
        <v>412.4786</v>
      </c>
      <c r="P741" s="51"/>
      <c r="Q741" s="51"/>
      <c r="R741" s="73">
        <f t="shared" si="415"/>
        <v>209.117035611165</v>
      </c>
      <c r="S741" s="73"/>
      <c r="T741" s="74">
        <f t="shared" si="416"/>
        <v>0.541385948026949</v>
      </c>
      <c r="U741" s="73">
        <v>40</v>
      </c>
      <c r="V741" s="73"/>
      <c r="W741" s="73">
        <f t="shared" si="411"/>
        <v>249.658421559192</v>
      </c>
      <c r="X741" s="75">
        <f t="shared" si="417"/>
        <v>3.4536958614052</v>
      </c>
      <c r="Y741" s="75"/>
      <c r="Z741" s="75"/>
      <c r="AA741" s="75">
        <f t="shared" si="414"/>
        <v>3.4536958614052</v>
      </c>
      <c r="AB741" s="84">
        <v>7.22</v>
      </c>
      <c r="AC741" s="73">
        <f t="shared" si="412"/>
        <v>24.9356841193455</v>
      </c>
      <c r="AD741" s="73">
        <f t="shared" si="413"/>
        <v>274.594105678538</v>
      </c>
      <c r="AE741" s="73">
        <f t="shared" si="410"/>
        <v>137.884494321462</v>
      </c>
    </row>
    <row r="742" customFormat="1" spans="1:31">
      <c r="A742" s="18"/>
      <c r="B742" s="19"/>
      <c r="C742" s="20">
        <v>240520000051</v>
      </c>
      <c r="D742" s="21">
        <v>45437</v>
      </c>
      <c r="E742" s="21" t="s">
        <v>41</v>
      </c>
      <c r="F742" s="19" t="s">
        <v>42</v>
      </c>
      <c r="G742" s="19" t="s">
        <v>490</v>
      </c>
      <c r="H742" s="19">
        <v>8</v>
      </c>
      <c r="I742" s="41">
        <v>512</v>
      </c>
      <c r="J742" s="42"/>
      <c r="K742" s="44"/>
      <c r="L742" s="19"/>
      <c r="M742" s="44"/>
      <c r="N742" s="45"/>
      <c r="O742" s="46">
        <f t="shared" ref="O742:O746" si="425">SUM(I742)</f>
        <v>512</v>
      </c>
      <c r="P742" s="51"/>
      <c r="Q742" s="51"/>
      <c r="R742" s="73">
        <f t="shared" si="415"/>
        <v>371.763618864293</v>
      </c>
      <c r="S742" s="73"/>
      <c r="T742" s="74">
        <f t="shared" si="416"/>
        <v>0.962463907603465</v>
      </c>
      <c r="U742" s="73"/>
      <c r="V742" s="73"/>
      <c r="W742" s="73">
        <f t="shared" si="411"/>
        <v>372.726082771896</v>
      </c>
      <c r="X742" s="75">
        <f t="shared" si="417"/>
        <v>6.13990375360924</v>
      </c>
      <c r="Y742" s="75"/>
      <c r="Z742" s="75"/>
      <c r="AA742" s="75">
        <f t="shared" si="414"/>
        <v>6.13990375360924</v>
      </c>
      <c r="AB742" s="84">
        <v>7.22</v>
      </c>
      <c r="AC742" s="73">
        <f t="shared" si="412"/>
        <v>44.3301051010587</v>
      </c>
      <c r="AD742" s="73">
        <f t="shared" si="413"/>
        <v>417.056187872955</v>
      </c>
      <c r="AE742" s="73">
        <f t="shared" si="410"/>
        <v>94.9438121270452</v>
      </c>
    </row>
    <row r="743" customFormat="1" spans="1:31">
      <c r="A743" s="18"/>
      <c r="B743" s="19"/>
      <c r="C743" s="20">
        <v>240521000007</v>
      </c>
      <c r="D743" s="21">
        <v>45437</v>
      </c>
      <c r="E743" s="21" t="s">
        <v>37</v>
      </c>
      <c r="F743" s="19" t="s">
        <v>38</v>
      </c>
      <c r="G743" s="19" t="s">
        <v>89</v>
      </c>
      <c r="H743" s="19">
        <v>13</v>
      </c>
      <c r="I743" s="41">
        <v>812.5</v>
      </c>
      <c r="J743" s="42"/>
      <c r="K743" s="44"/>
      <c r="L743" s="19"/>
      <c r="M743" s="44"/>
      <c r="N743" s="45"/>
      <c r="O743" s="46">
        <f t="shared" si="425"/>
        <v>812.5</v>
      </c>
      <c r="P743" s="51"/>
      <c r="Q743" s="51"/>
      <c r="R743" s="73">
        <f t="shared" si="415"/>
        <v>604.115880654476</v>
      </c>
      <c r="S743" s="73"/>
      <c r="T743" s="74">
        <f t="shared" si="416"/>
        <v>1.56400384985563</v>
      </c>
      <c r="U743" s="73"/>
      <c r="V743" s="73"/>
      <c r="W743" s="73">
        <f t="shared" si="411"/>
        <v>605.679884504331</v>
      </c>
      <c r="X743" s="75">
        <f t="shared" si="417"/>
        <v>9.97734359961501</v>
      </c>
      <c r="Y743" s="75"/>
      <c r="Z743" s="75"/>
      <c r="AA743" s="75">
        <f t="shared" si="414"/>
        <v>9.97734359961501</v>
      </c>
      <c r="AB743" s="84">
        <v>7.22</v>
      </c>
      <c r="AC743" s="73">
        <f t="shared" si="412"/>
        <v>72.0364207892204</v>
      </c>
      <c r="AD743" s="73">
        <f t="shared" si="413"/>
        <v>677.716305293551</v>
      </c>
      <c r="AE743" s="73">
        <f t="shared" si="410"/>
        <v>134.783694706449</v>
      </c>
    </row>
    <row r="744" customFormat="1" spans="1:31">
      <c r="A744" s="18"/>
      <c r="B744" s="19"/>
      <c r="C744" s="20">
        <v>240521000012</v>
      </c>
      <c r="D744" s="21">
        <v>45437</v>
      </c>
      <c r="E744" s="21" t="s">
        <v>54</v>
      </c>
      <c r="F744" s="19" t="s">
        <v>54</v>
      </c>
      <c r="G744" s="19" t="s">
        <v>90</v>
      </c>
      <c r="H744" s="19">
        <v>259.5</v>
      </c>
      <c r="I744" s="41">
        <v>13786</v>
      </c>
      <c r="J744" s="42"/>
      <c r="K744" s="44"/>
      <c r="L744" s="19"/>
      <c r="M744" s="44"/>
      <c r="N744" s="45"/>
      <c r="O744" s="46">
        <f t="shared" si="425"/>
        <v>13786</v>
      </c>
      <c r="P744" s="51"/>
      <c r="Q744" s="51"/>
      <c r="R744" s="73">
        <f t="shared" si="415"/>
        <v>12059.0823869105</v>
      </c>
      <c r="S744" s="73"/>
      <c r="T744" s="74">
        <f t="shared" si="416"/>
        <v>31.2199230028874</v>
      </c>
      <c r="U744" s="73"/>
      <c r="V744" s="73"/>
      <c r="W744" s="73">
        <f t="shared" si="411"/>
        <v>12090.3023099134</v>
      </c>
      <c r="X744" s="75">
        <f t="shared" si="417"/>
        <v>199.1631280077</v>
      </c>
      <c r="Y744" s="75"/>
      <c r="Z744" s="75"/>
      <c r="AA744" s="75">
        <f t="shared" si="414"/>
        <v>199.1631280077</v>
      </c>
      <c r="AB744" s="84">
        <v>7.22</v>
      </c>
      <c r="AC744" s="73">
        <f t="shared" si="412"/>
        <v>1437.95778421559</v>
      </c>
      <c r="AD744" s="73">
        <f t="shared" si="413"/>
        <v>13528.260094129</v>
      </c>
      <c r="AE744" s="73">
        <f t="shared" si="410"/>
        <v>257.739905871005</v>
      </c>
    </row>
    <row r="745" customFormat="1" spans="1:31">
      <c r="A745" s="18"/>
      <c r="B745" s="19"/>
      <c r="C745" s="20">
        <v>240521000014</v>
      </c>
      <c r="D745" s="21">
        <v>45437</v>
      </c>
      <c r="E745" s="21" t="s">
        <v>44</v>
      </c>
      <c r="F745" s="19" t="s">
        <v>45</v>
      </c>
      <c r="G745" s="19" t="s">
        <v>311</v>
      </c>
      <c r="H745" s="19">
        <v>0.48</v>
      </c>
      <c r="I745" s="41">
        <v>67.1</v>
      </c>
      <c r="J745" s="42"/>
      <c r="K745" s="44"/>
      <c r="L745" s="19"/>
      <c r="M745" s="44"/>
      <c r="N745" s="45"/>
      <c r="O745" s="46">
        <f t="shared" si="425"/>
        <v>67.1</v>
      </c>
      <c r="P745" s="51"/>
      <c r="Q745" s="51"/>
      <c r="R745" s="73">
        <f t="shared" si="415"/>
        <v>22.3058171318576</v>
      </c>
      <c r="S745" s="73"/>
      <c r="T745" s="74">
        <f t="shared" si="416"/>
        <v>0.0577478344562079</v>
      </c>
      <c r="U745" s="73"/>
      <c r="V745" s="73"/>
      <c r="W745" s="73">
        <f t="shared" si="411"/>
        <v>22.3635649663138</v>
      </c>
      <c r="X745" s="75">
        <f t="shared" si="417"/>
        <v>0.368394225216554</v>
      </c>
      <c r="Y745" s="75"/>
      <c r="Z745" s="75"/>
      <c r="AA745" s="75">
        <f t="shared" si="414"/>
        <v>0.368394225216554</v>
      </c>
      <c r="AB745" s="84">
        <v>7.22</v>
      </c>
      <c r="AC745" s="73">
        <f t="shared" si="412"/>
        <v>2.65980630606352</v>
      </c>
      <c r="AD745" s="73">
        <f t="shared" si="413"/>
        <v>25.0233712723773</v>
      </c>
      <c r="AE745" s="73">
        <f t="shared" si="410"/>
        <v>42.0766287276227</v>
      </c>
    </row>
    <row r="746" customFormat="1" spans="1:31">
      <c r="A746" s="18"/>
      <c r="B746" s="19"/>
      <c r="C746" s="20">
        <v>240521000024</v>
      </c>
      <c r="D746" s="21">
        <v>45437</v>
      </c>
      <c r="E746" s="21" t="s">
        <v>54</v>
      </c>
      <c r="F746" s="19" t="s">
        <v>54</v>
      </c>
      <c r="G746" s="19" t="s">
        <v>491</v>
      </c>
      <c r="H746" s="19">
        <v>0.22</v>
      </c>
      <c r="I746" s="41">
        <v>85.4</v>
      </c>
      <c r="J746" s="42"/>
      <c r="K746" s="44"/>
      <c r="L746" s="19"/>
      <c r="M746" s="44"/>
      <c r="N746" s="45"/>
      <c r="O746" s="46">
        <f t="shared" si="425"/>
        <v>85.4</v>
      </c>
      <c r="P746" s="51"/>
      <c r="Q746" s="51"/>
      <c r="R746" s="73">
        <f t="shared" si="415"/>
        <v>10.223499518768</v>
      </c>
      <c r="S746" s="73"/>
      <c r="T746" s="74">
        <f t="shared" si="416"/>
        <v>0.0264677574590953</v>
      </c>
      <c r="U746" s="73"/>
      <c r="V746" s="73"/>
      <c r="W746" s="73">
        <f t="shared" si="411"/>
        <v>10.2499672762271</v>
      </c>
      <c r="X746" s="75">
        <f t="shared" si="417"/>
        <v>0.168847353224254</v>
      </c>
      <c r="Y746" s="75"/>
      <c r="Z746" s="75"/>
      <c r="AA746" s="75">
        <f t="shared" si="414"/>
        <v>0.168847353224254</v>
      </c>
      <c r="AB746" s="84">
        <v>7.22</v>
      </c>
      <c r="AC746" s="73">
        <f t="shared" si="412"/>
        <v>1.21907789027911</v>
      </c>
      <c r="AD746" s="73">
        <f t="shared" si="413"/>
        <v>11.4690451665062</v>
      </c>
      <c r="AE746" s="73">
        <f t="shared" si="410"/>
        <v>73.9309548334938</v>
      </c>
    </row>
    <row r="747" customFormat="1" spans="1:31">
      <c r="A747" s="18"/>
      <c r="B747" s="19"/>
      <c r="C747" s="20">
        <v>240521000026</v>
      </c>
      <c r="D747" s="21">
        <v>45437</v>
      </c>
      <c r="E747" s="21" t="s">
        <v>44</v>
      </c>
      <c r="F747" s="19" t="s">
        <v>45</v>
      </c>
      <c r="G747" s="19" t="s">
        <v>492</v>
      </c>
      <c r="H747" s="19">
        <v>2</v>
      </c>
      <c r="I747" s="41">
        <v>144</v>
      </c>
      <c r="J747" s="48"/>
      <c r="K747" s="44"/>
      <c r="L747" s="49"/>
      <c r="M747" s="50"/>
      <c r="N747" s="45"/>
      <c r="O747" s="46">
        <f>SUBTOTAL(9,I747)</f>
        <v>144</v>
      </c>
      <c r="P747" s="51"/>
      <c r="Q747" s="51"/>
      <c r="R747" s="73">
        <f t="shared" si="415"/>
        <v>92.9409047160731</v>
      </c>
      <c r="S747" s="73"/>
      <c r="T747" s="74">
        <f t="shared" si="416"/>
        <v>0.240615976900866</v>
      </c>
      <c r="U747" s="73"/>
      <c r="V747" s="73"/>
      <c r="W747" s="73">
        <f t="shared" si="411"/>
        <v>93.181520692974</v>
      </c>
      <c r="X747" s="75">
        <f t="shared" si="417"/>
        <v>1.53497593840231</v>
      </c>
      <c r="Y747" s="75"/>
      <c r="Z747" s="75"/>
      <c r="AA747" s="75">
        <f t="shared" si="414"/>
        <v>1.53497593840231</v>
      </c>
      <c r="AB747" s="84">
        <v>7.22</v>
      </c>
      <c r="AC747" s="73">
        <f t="shared" si="412"/>
        <v>11.0825262752647</v>
      </c>
      <c r="AD747" s="73">
        <f t="shared" si="413"/>
        <v>104.264046968239</v>
      </c>
      <c r="AE747" s="73">
        <f t="shared" si="410"/>
        <v>39.735953031761</v>
      </c>
    </row>
    <row r="748" customFormat="1" spans="1:31">
      <c r="A748" s="18"/>
      <c r="B748" s="19"/>
      <c r="C748" s="20">
        <v>240521000031</v>
      </c>
      <c r="D748" s="21">
        <v>45437</v>
      </c>
      <c r="E748" s="21" t="s">
        <v>37</v>
      </c>
      <c r="F748" s="19" t="s">
        <v>38</v>
      </c>
      <c r="G748" s="19" t="s">
        <v>89</v>
      </c>
      <c r="H748" s="19">
        <v>31</v>
      </c>
      <c r="I748" s="41">
        <v>2006.5</v>
      </c>
      <c r="J748" s="42"/>
      <c r="K748" s="44"/>
      <c r="L748" s="19"/>
      <c r="M748" s="44"/>
      <c r="N748" s="45"/>
      <c r="O748" s="46">
        <f t="shared" ref="O748:O753" si="426">SUM(I748)</f>
        <v>2006.5</v>
      </c>
      <c r="P748" s="51"/>
      <c r="Q748" s="51"/>
      <c r="R748" s="73">
        <f t="shared" si="415"/>
        <v>1440.58402309913</v>
      </c>
      <c r="S748" s="73"/>
      <c r="T748" s="74">
        <f t="shared" si="416"/>
        <v>3.72954764196343</v>
      </c>
      <c r="U748" s="73"/>
      <c r="V748" s="73"/>
      <c r="W748" s="73">
        <f t="shared" si="411"/>
        <v>1444.3135707411</v>
      </c>
      <c r="X748" s="75">
        <f t="shared" si="417"/>
        <v>23.7921270452358</v>
      </c>
      <c r="Y748" s="75">
        <v>35.12</v>
      </c>
      <c r="Z748" s="75"/>
      <c r="AA748" s="75">
        <f t="shared" si="414"/>
        <v>58.9121270452358</v>
      </c>
      <c r="AB748" s="84">
        <v>7.22</v>
      </c>
      <c r="AC748" s="73">
        <f t="shared" si="412"/>
        <v>425.345557266602</v>
      </c>
      <c r="AD748" s="73">
        <f t="shared" si="413"/>
        <v>1869.6591280077</v>
      </c>
      <c r="AE748" s="73">
        <f t="shared" si="410"/>
        <v>136.8408719923</v>
      </c>
    </row>
    <row r="749" customFormat="1" spans="1:31">
      <c r="A749" s="18"/>
      <c r="B749" s="19"/>
      <c r="C749" s="20">
        <v>240521000043</v>
      </c>
      <c r="D749" s="21">
        <v>45437</v>
      </c>
      <c r="E749" s="21" t="s">
        <v>41</v>
      </c>
      <c r="F749" s="19" t="s">
        <v>42</v>
      </c>
      <c r="G749" s="19" t="s">
        <v>493</v>
      </c>
      <c r="H749" s="19">
        <v>24</v>
      </c>
      <c r="I749" s="52"/>
      <c r="J749" s="48">
        <v>275520</v>
      </c>
      <c r="K749" s="44"/>
      <c r="L749" s="49">
        <f>SUM(J749/M749)</f>
        <v>1480.17621145374</v>
      </c>
      <c r="M749" s="50">
        <v>186.14</v>
      </c>
      <c r="N749" s="45">
        <v>7.22</v>
      </c>
      <c r="O749" s="46">
        <f>SUM(M749*N749)</f>
        <v>1343.9308</v>
      </c>
      <c r="P749" s="51"/>
      <c r="Q749" s="51"/>
      <c r="R749" s="73">
        <f t="shared" si="415"/>
        <v>1115.29085659288</v>
      </c>
      <c r="S749" s="73"/>
      <c r="T749" s="74">
        <f t="shared" si="416"/>
        <v>2.88739172281039</v>
      </c>
      <c r="U749" s="73"/>
      <c r="V749" s="73"/>
      <c r="W749" s="73">
        <f t="shared" si="411"/>
        <v>1118.17824831569</v>
      </c>
      <c r="X749" s="75">
        <f t="shared" si="417"/>
        <v>18.4197112608277</v>
      </c>
      <c r="Y749" s="75"/>
      <c r="Z749" s="75"/>
      <c r="AA749" s="75">
        <f t="shared" si="414"/>
        <v>18.4197112608277</v>
      </c>
      <c r="AB749" s="84">
        <v>7.22</v>
      </c>
      <c r="AC749" s="73">
        <f t="shared" si="412"/>
        <v>132.990315303176</v>
      </c>
      <c r="AD749" s="73">
        <f t="shared" si="413"/>
        <v>1251.16856361887</v>
      </c>
      <c r="AE749" s="73">
        <f t="shared" si="410"/>
        <v>92.762236381134</v>
      </c>
    </row>
    <row r="750" customFormat="1" spans="1:31">
      <c r="A750" s="18"/>
      <c r="B750" s="19"/>
      <c r="C750" s="20">
        <v>240521000047</v>
      </c>
      <c r="D750" s="21">
        <v>45437</v>
      </c>
      <c r="E750" s="21" t="s">
        <v>54</v>
      </c>
      <c r="F750" s="19" t="s">
        <v>54</v>
      </c>
      <c r="G750" s="19" t="s">
        <v>100</v>
      </c>
      <c r="H750" s="19">
        <v>16</v>
      </c>
      <c r="I750" s="52">
        <v>1137.5</v>
      </c>
      <c r="J750" s="42"/>
      <c r="K750" s="44"/>
      <c r="L750" s="19"/>
      <c r="M750" s="44"/>
      <c r="N750" s="45"/>
      <c r="O750" s="46">
        <f t="shared" si="426"/>
        <v>1137.5</v>
      </c>
      <c r="P750" s="51"/>
      <c r="Q750" s="51"/>
      <c r="R750" s="73">
        <f t="shared" si="415"/>
        <v>743.527237728585</v>
      </c>
      <c r="S750" s="73"/>
      <c r="T750" s="74">
        <f t="shared" si="416"/>
        <v>1.92492781520693</v>
      </c>
      <c r="U750" s="73">
        <v>30</v>
      </c>
      <c r="V750" s="73"/>
      <c r="W750" s="73">
        <f t="shared" si="411"/>
        <v>775.452165543792</v>
      </c>
      <c r="X750" s="75">
        <f t="shared" si="417"/>
        <v>12.2798075072185</v>
      </c>
      <c r="Y750" s="75"/>
      <c r="Z750" s="75"/>
      <c r="AA750" s="75">
        <f t="shared" si="414"/>
        <v>12.2798075072185</v>
      </c>
      <c r="AB750" s="84">
        <v>7.22</v>
      </c>
      <c r="AC750" s="73">
        <f t="shared" si="412"/>
        <v>88.6602102021176</v>
      </c>
      <c r="AD750" s="73">
        <f t="shared" si="413"/>
        <v>864.11237574591</v>
      </c>
      <c r="AE750" s="73">
        <f t="shared" ref="AE750:AE781" si="427">SUM(O750-AD750)</f>
        <v>273.38762425409</v>
      </c>
    </row>
    <row r="751" customFormat="1" spans="1:31">
      <c r="A751" s="18"/>
      <c r="B751" s="19"/>
      <c r="C751" s="20">
        <v>240521000048</v>
      </c>
      <c r="D751" s="21">
        <v>45437</v>
      </c>
      <c r="E751" s="21" t="s">
        <v>54</v>
      </c>
      <c r="F751" s="19" t="s">
        <v>54</v>
      </c>
      <c r="G751" s="19" t="s">
        <v>92</v>
      </c>
      <c r="H751" s="19">
        <v>554</v>
      </c>
      <c r="I751" s="41">
        <v>27977</v>
      </c>
      <c r="J751" s="42"/>
      <c r="K751" s="44"/>
      <c r="L751" s="19"/>
      <c r="M751" s="44"/>
      <c r="N751" s="45"/>
      <c r="O751" s="46">
        <f t="shared" si="426"/>
        <v>27977</v>
      </c>
      <c r="P751" s="53"/>
      <c r="Q751" s="53"/>
      <c r="R751" s="73">
        <f t="shared" si="415"/>
        <v>25744.6306063523</v>
      </c>
      <c r="S751" s="73"/>
      <c r="T751" s="74">
        <f t="shared" si="416"/>
        <v>66.6506256015399</v>
      </c>
      <c r="U751" s="73"/>
      <c r="V751" s="73"/>
      <c r="W751" s="73">
        <f t="shared" ref="W751:W782" si="428">SUM(R751:V751)</f>
        <v>25811.2812319538</v>
      </c>
      <c r="X751" s="75">
        <f t="shared" si="417"/>
        <v>425.18833493744</v>
      </c>
      <c r="Y751" s="75"/>
      <c r="Z751" s="75"/>
      <c r="AA751" s="75">
        <f t="shared" si="414"/>
        <v>425.18833493744</v>
      </c>
      <c r="AB751" s="84">
        <v>7.22</v>
      </c>
      <c r="AC751" s="73">
        <f t="shared" ref="AC751:AC782" si="429">SUM(AA751*AB751)</f>
        <v>3069.85977824832</v>
      </c>
      <c r="AD751" s="73">
        <f t="shared" ref="AD751:AD782" si="430">SUM(W751+AC751)</f>
        <v>28881.1410102021</v>
      </c>
      <c r="AE751" s="73">
        <f t="shared" si="427"/>
        <v>-904.1410102021</v>
      </c>
    </row>
    <row r="752" customFormat="1" spans="1:31">
      <c r="A752" s="18" t="s">
        <v>494</v>
      </c>
      <c r="B752" s="19" t="s">
        <v>495</v>
      </c>
      <c r="C752" s="20">
        <v>240511000016</v>
      </c>
      <c r="D752" s="21">
        <v>45436</v>
      </c>
      <c r="E752" s="21" t="s">
        <v>44</v>
      </c>
      <c r="F752" s="19" t="s">
        <v>45</v>
      </c>
      <c r="G752" s="19" t="s">
        <v>119</v>
      </c>
      <c r="H752" s="19">
        <v>219.5</v>
      </c>
      <c r="I752" s="41">
        <v>12072.5</v>
      </c>
      <c r="J752" s="42"/>
      <c r="K752" s="44"/>
      <c r="L752" s="19"/>
      <c r="M752" s="44"/>
      <c r="N752" s="45"/>
      <c r="O752" s="46">
        <f t="shared" si="426"/>
        <v>12072.5</v>
      </c>
      <c r="P752" s="47">
        <f>SUM(O752:O813)</f>
        <v>129224.45305054</v>
      </c>
      <c r="Q752" s="47" t="s">
        <v>59</v>
      </c>
      <c r="R752" s="73">
        <f>SUM(92460/2284)*H752</f>
        <v>8885.71366024518</v>
      </c>
      <c r="S752" s="73"/>
      <c r="T752" s="74">
        <f>SUM(192.3/2284)*H752</f>
        <v>18.4806698774081</v>
      </c>
      <c r="U752" s="73"/>
      <c r="V752" s="73"/>
      <c r="W752" s="73">
        <f t="shared" si="428"/>
        <v>8904.19433012259</v>
      </c>
      <c r="X752" s="75">
        <f>SUM(1590.55/2284)*H752</f>
        <v>152.857147548161</v>
      </c>
      <c r="Y752" s="75"/>
      <c r="Z752" s="75"/>
      <c r="AA752" s="75">
        <f t="shared" ref="AA752:AA783" si="431">SUM(X752:Z752)</f>
        <v>152.857147548161</v>
      </c>
      <c r="AB752" s="84">
        <v>7.22</v>
      </c>
      <c r="AC752" s="73">
        <f t="shared" si="429"/>
        <v>1103.62860529772</v>
      </c>
      <c r="AD752" s="73">
        <f t="shared" si="430"/>
        <v>10007.8229354203</v>
      </c>
      <c r="AE752" s="73">
        <f t="shared" si="427"/>
        <v>2064.6770645797</v>
      </c>
    </row>
    <row r="753" customFormat="1" spans="1:31">
      <c r="A753" s="18"/>
      <c r="B753" s="19"/>
      <c r="C753" s="20">
        <v>240513000023</v>
      </c>
      <c r="D753" s="21">
        <v>45436</v>
      </c>
      <c r="E753" s="21" t="s">
        <v>41</v>
      </c>
      <c r="F753" s="19" t="s">
        <v>42</v>
      </c>
      <c r="G753" s="19" t="s">
        <v>141</v>
      </c>
      <c r="H753" s="19">
        <v>188.5</v>
      </c>
      <c r="I753" s="52"/>
      <c r="J753" s="48">
        <v>2481791</v>
      </c>
      <c r="K753" s="44"/>
      <c r="L753" s="49">
        <f t="shared" ref="L753:L759" si="432">SUM(J753/M753)</f>
        <v>1638.94641607122</v>
      </c>
      <c r="M753" s="50">
        <v>1514.26</v>
      </c>
      <c r="N753" s="45">
        <v>7.22</v>
      </c>
      <c r="O753" s="46">
        <f t="shared" ref="O753:O759" si="433">SUM(M753*N753)</f>
        <v>10932.9572</v>
      </c>
      <c r="P753" s="51"/>
      <c r="Q753" s="51"/>
      <c r="R753" s="73">
        <f t="shared" ref="R753:R784" si="434">SUM(92460/2284)*H753</f>
        <v>7630.78371278459</v>
      </c>
      <c r="S753" s="73"/>
      <c r="T753" s="74">
        <f t="shared" ref="T753:T784" si="435">SUM(192.3/2284)*H753</f>
        <v>15.8706436077058</v>
      </c>
      <c r="U753" s="73"/>
      <c r="V753" s="73"/>
      <c r="W753" s="73">
        <f t="shared" si="428"/>
        <v>7646.65435639229</v>
      </c>
      <c r="X753" s="75">
        <f t="shared" ref="X753:X784" si="436">SUM(1590.55/2284)*H753</f>
        <v>131.269122154116</v>
      </c>
      <c r="Y753" s="75"/>
      <c r="Z753" s="75"/>
      <c r="AA753" s="75">
        <f t="shared" si="431"/>
        <v>131.269122154116</v>
      </c>
      <c r="AB753" s="84">
        <v>7.22</v>
      </c>
      <c r="AC753" s="73">
        <f t="shared" si="429"/>
        <v>947.763061952715</v>
      </c>
      <c r="AD753" s="73">
        <f t="shared" si="430"/>
        <v>8594.41741834501</v>
      </c>
      <c r="AE753" s="73">
        <f t="shared" si="427"/>
        <v>2338.53978165499</v>
      </c>
    </row>
    <row r="754" customFormat="1" spans="1:31">
      <c r="A754" s="18"/>
      <c r="B754" s="19"/>
      <c r="C754" s="20">
        <v>240515000018</v>
      </c>
      <c r="D754" s="21">
        <v>45436</v>
      </c>
      <c r="E754" s="21" t="s">
        <v>47</v>
      </c>
      <c r="F754" s="19">
        <v>13635229849</v>
      </c>
      <c r="G754" s="19" t="s">
        <v>50</v>
      </c>
      <c r="H754" s="19">
        <v>4.5</v>
      </c>
      <c r="I754" s="46"/>
      <c r="J754" s="48">
        <v>60041</v>
      </c>
      <c r="K754" s="44"/>
      <c r="L754" s="49">
        <f t="shared" si="432"/>
        <v>1467.99511002445</v>
      </c>
      <c r="M754" s="50">
        <v>40.9</v>
      </c>
      <c r="N754" s="45">
        <v>7.22</v>
      </c>
      <c r="O754" s="46">
        <f t="shared" si="433"/>
        <v>295.298</v>
      </c>
      <c r="P754" s="51"/>
      <c r="Q754" s="51"/>
      <c r="R754" s="73">
        <f t="shared" si="434"/>
        <v>182.167250437828</v>
      </c>
      <c r="S754" s="73"/>
      <c r="T754" s="74">
        <f t="shared" si="435"/>
        <v>0.378874781085814</v>
      </c>
      <c r="U754" s="73"/>
      <c r="V754" s="73"/>
      <c r="W754" s="73">
        <f t="shared" si="428"/>
        <v>182.546125218914</v>
      </c>
      <c r="X754" s="75">
        <f t="shared" si="436"/>
        <v>3.13374562171629</v>
      </c>
      <c r="Y754" s="75"/>
      <c r="Z754" s="75"/>
      <c r="AA754" s="75">
        <f t="shared" si="431"/>
        <v>3.13374562171629</v>
      </c>
      <c r="AB754" s="84">
        <v>7.22</v>
      </c>
      <c r="AC754" s="73">
        <f t="shared" si="429"/>
        <v>22.6256433887916</v>
      </c>
      <c r="AD754" s="73">
        <f t="shared" si="430"/>
        <v>205.171768607706</v>
      </c>
      <c r="AE754" s="73">
        <f t="shared" si="427"/>
        <v>90.126231392294</v>
      </c>
    </row>
    <row r="755" customFormat="1" spans="1:31">
      <c r="A755" s="18"/>
      <c r="B755" s="19"/>
      <c r="C755" s="20">
        <v>240516000011</v>
      </c>
      <c r="D755" s="21">
        <v>45436</v>
      </c>
      <c r="E755" s="21" t="s">
        <v>44</v>
      </c>
      <c r="F755" s="19" t="s">
        <v>45</v>
      </c>
      <c r="G755" s="19" t="s">
        <v>496</v>
      </c>
      <c r="H755" s="19">
        <v>201.5</v>
      </c>
      <c r="I755" s="41">
        <v>11222.5</v>
      </c>
      <c r="J755" s="42"/>
      <c r="K755" s="44"/>
      <c r="L755" s="19"/>
      <c r="M755" s="44"/>
      <c r="N755" s="45"/>
      <c r="O755" s="46">
        <f t="shared" ref="O755:O758" si="437">SUM(I755)</f>
        <v>11222.5</v>
      </c>
      <c r="P755" s="51"/>
      <c r="Q755" s="51"/>
      <c r="R755" s="73">
        <f t="shared" si="434"/>
        <v>8157.04465849387</v>
      </c>
      <c r="S755" s="73"/>
      <c r="T755" s="74">
        <f t="shared" si="435"/>
        <v>16.9651707530648</v>
      </c>
      <c r="U755" s="74">
        <v>140</v>
      </c>
      <c r="V755" s="73"/>
      <c r="W755" s="73">
        <f t="shared" si="428"/>
        <v>8314.00982924694</v>
      </c>
      <c r="X755" s="75">
        <f t="shared" si="436"/>
        <v>140.322165061296</v>
      </c>
      <c r="Y755" s="75"/>
      <c r="Z755" s="75"/>
      <c r="AA755" s="75">
        <f t="shared" si="431"/>
        <v>140.322165061296</v>
      </c>
      <c r="AB755" s="84">
        <v>7.22</v>
      </c>
      <c r="AC755" s="73">
        <f t="shared" si="429"/>
        <v>1013.12603174256</v>
      </c>
      <c r="AD755" s="73">
        <f t="shared" si="430"/>
        <v>9327.13586098949</v>
      </c>
      <c r="AE755" s="73">
        <f t="shared" si="427"/>
        <v>1895.36413901051</v>
      </c>
    </row>
    <row r="756" customFormat="1" spans="1:31">
      <c r="A756" s="18"/>
      <c r="B756" s="19"/>
      <c r="C756" s="20">
        <v>240516000013</v>
      </c>
      <c r="D756" s="21">
        <v>45436</v>
      </c>
      <c r="E756" s="21" t="s">
        <v>41</v>
      </c>
      <c r="F756" s="19" t="s">
        <v>42</v>
      </c>
      <c r="G756" s="19" t="s">
        <v>232</v>
      </c>
      <c r="H756" s="19">
        <v>5</v>
      </c>
      <c r="I756" s="41">
        <v>323</v>
      </c>
      <c r="J756" s="42"/>
      <c r="K756" s="44"/>
      <c r="L756" s="19"/>
      <c r="M756" s="44"/>
      <c r="N756" s="45"/>
      <c r="O756" s="46">
        <f t="shared" si="437"/>
        <v>323</v>
      </c>
      <c r="P756" s="51"/>
      <c r="Q756" s="51"/>
      <c r="R756" s="73">
        <f t="shared" si="434"/>
        <v>202.408056042032</v>
      </c>
      <c r="S756" s="73"/>
      <c r="T756" s="74">
        <f t="shared" si="435"/>
        <v>0.420971978984238</v>
      </c>
      <c r="U756" s="73"/>
      <c r="V756" s="73"/>
      <c r="W756" s="73">
        <f t="shared" si="428"/>
        <v>202.829028021016</v>
      </c>
      <c r="X756" s="75">
        <f t="shared" si="436"/>
        <v>3.48193957968476</v>
      </c>
      <c r="Y756" s="75"/>
      <c r="Z756" s="75"/>
      <c r="AA756" s="75">
        <f t="shared" si="431"/>
        <v>3.48193957968476</v>
      </c>
      <c r="AB756" s="84">
        <v>7.22</v>
      </c>
      <c r="AC756" s="73">
        <f t="shared" si="429"/>
        <v>25.139603765324</v>
      </c>
      <c r="AD756" s="73">
        <f t="shared" si="430"/>
        <v>227.96863178634</v>
      </c>
      <c r="AE756" s="73">
        <f t="shared" si="427"/>
        <v>95.03136821366</v>
      </c>
    </row>
    <row r="757" customFormat="1" spans="1:31">
      <c r="A757" s="18"/>
      <c r="B757" s="19"/>
      <c r="C757" s="20">
        <v>240516000020</v>
      </c>
      <c r="D757" s="21">
        <v>45436</v>
      </c>
      <c r="E757" s="21" t="s">
        <v>41</v>
      </c>
      <c r="F757" s="19" t="s">
        <v>42</v>
      </c>
      <c r="G757" s="19" t="s">
        <v>156</v>
      </c>
      <c r="H757" s="19">
        <v>2</v>
      </c>
      <c r="I757" s="41">
        <v>106</v>
      </c>
      <c r="J757" s="42"/>
      <c r="K757" s="44"/>
      <c r="L757" s="19"/>
      <c r="M757" s="44"/>
      <c r="N757" s="45"/>
      <c r="O757" s="46">
        <f t="shared" si="437"/>
        <v>106</v>
      </c>
      <c r="P757" s="51"/>
      <c r="Q757" s="51"/>
      <c r="R757" s="73">
        <f t="shared" si="434"/>
        <v>80.9632224168126</v>
      </c>
      <c r="S757" s="73"/>
      <c r="T757" s="74">
        <f t="shared" si="435"/>
        <v>0.168388791593695</v>
      </c>
      <c r="U757" s="73"/>
      <c r="V757" s="73"/>
      <c r="W757" s="73">
        <f t="shared" si="428"/>
        <v>81.1316112084063</v>
      </c>
      <c r="X757" s="75">
        <f t="shared" si="436"/>
        <v>1.39277583187391</v>
      </c>
      <c r="Y757" s="75"/>
      <c r="Z757" s="75"/>
      <c r="AA757" s="75">
        <f t="shared" si="431"/>
        <v>1.39277583187391</v>
      </c>
      <c r="AB757" s="84">
        <v>7.22</v>
      </c>
      <c r="AC757" s="73">
        <f t="shared" si="429"/>
        <v>10.0558415061296</v>
      </c>
      <c r="AD757" s="73">
        <f t="shared" si="430"/>
        <v>91.1874527145359</v>
      </c>
      <c r="AE757" s="73">
        <f t="shared" si="427"/>
        <v>14.8125472854641</v>
      </c>
    </row>
    <row r="758" customFormat="1" spans="1:31">
      <c r="A758" s="18"/>
      <c r="B758" s="19"/>
      <c r="C758" s="20">
        <v>240516000023</v>
      </c>
      <c r="D758" s="21">
        <v>45436</v>
      </c>
      <c r="E758" s="21" t="s">
        <v>41</v>
      </c>
      <c r="F758" s="19" t="s">
        <v>42</v>
      </c>
      <c r="G758" s="19" t="s">
        <v>390</v>
      </c>
      <c r="H758" s="19">
        <v>9</v>
      </c>
      <c r="I758" s="52"/>
      <c r="J758" s="48">
        <v>116388</v>
      </c>
      <c r="K758" s="44"/>
      <c r="L758" s="49">
        <f t="shared" si="432"/>
        <v>1761.85286103542</v>
      </c>
      <c r="M758" s="50">
        <v>66.06</v>
      </c>
      <c r="N758" s="89">
        <v>7.22</v>
      </c>
      <c r="O758" s="46">
        <f t="shared" si="433"/>
        <v>476.9532</v>
      </c>
      <c r="P758" s="51"/>
      <c r="Q758" s="51"/>
      <c r="R758" s="73">
        <f t="shared" si="434"/>
        <v>364.334500875657</v>
      </c>
      <c r="S758" s="73"/>
      <c r="T758" s="74">
        <f t="shared" si="435"/>
        <v>0.757749562171629</v>
      </c>
      <c r="U758" s="73"/>
      <c r="V758" s="73"/>
      <c r="W758" s="73">
        <f t="shared" si="428"/>
        <v>365.092250437828</v>
      </c>
      <c r="X758" s="75">
        <f t="shared" si="436"/>
        <v>6.26749124343257</v>
      </c>
      <c r="Y758" s="75"/>
      <c r="Z758" s="75"/>
      <c r="AA758" s="75">
        <f t="shared" si="431"/>
        <v>6.26749124343257</v>
      </c>
      <c r="AB758" s="84">
        <v>7.22</v>
      </c>
      <c r="AC758" s="73">
        <f t="shared" si="429"/>
        <v>45.2512867775832</v>
      </c>
      <c r="AD758" s="73">
        <f t="shared" si="430"/>
        <v>410.343537215412</v>
      </c>
      <c r="AE758" s="73">
        <f t="shared" si="427"/>
        <v>66.609662784588</v>
      </c>
    </row>
    <row r="759" customFormat="1" spans="1:31">
      <c r="A759" s="18"/>
      <c r="B759" s="19"/>
      <c r="C759" s="20">
        <v>240516000025</v>
      </c>
      <c r="D759" s="21">
        <v>45436</v>
      </c>
      <c r="E759" s="21" t="s">
        <v>41</v>
      </c>
      <c r="F759" s="19" t="s">
        <v>42</v>
      </c>
      <c r="G759" s="19" t="s">
        <v>87</v>
      </c>
      <c r="H759" s="19">
        <v>42.5</v>
      </c>
      <c r="I759" s="52"/>
      <c r="J759" s="48">
        <v>473025</v>
      </c>
      <c r="K759" s="44"/>
      <c r="L759" s="49">
        <f t="shared" si="432"/>
        <v>1516.20296172832</v>
      </c>
      <c r="M759" s="50">
        <v>311.98</v>
      </c>
      <c r="N759" s="45">
        <v>7.22</v>
      </c>
      <c r="O759" s="46">
        <f t="shared" si="433"/>
        <v>2252.4956</v>
      </c>
      <c r="P759" s="51"/>
      <c r="Q759" s="51"/>
      <c r="R759" s="73">
        <f t="shared" si="434"/>
        <v>1720.46847635727</v>
      </c>
      <c r="S759" s="73"/>
      <c r="T759" s="74">
        <f t="shared" si="435"/>
        <v>3.57826182136602</v>
      </c>
      <c r="U759" s="73"/>
      <c r="V759" s="73"/>
      <c r="W759" s="73">
        <f t="shared" si="428"/>
        <v>1724.04673817863</v>
      </c>
      <c r="X759" s="75">
        <f t="shared" si="436"/>
        <v>29.5964864273205</v>
      </c>
      <c r="Y759" s="75"/>
      <c r="Z759" s="75"/>
      <c r="AA759" s="75">
        <f t="shared" si="431"/>
        <v>29.5964864273205</v>
      </c>
      <c r="AB759" s="84">
        <v>7.22</v>
      </c>
      <c r="AC759" s="73">
        <f t="shared" si="429"/>
        <v>213.686632005254</v>
      </c>
      <c r="AD759" s="73">
        <f t="shared" si="430"/>
        <v>1937.73337018389</v>
      </c>
      <c r="AE759" s="73">
        <f t="shared" si="427"/>
        <v>314.76222981611</v>
      </c>
    </row>
    <row r="760" customFormat="1" spans="1:31">
      <c r="A760" s="18"/>
      <c r="B760" s="19"/>
      <c r="C760" s="20">
        <v>240516000038</v>
      </c>
      <c r="D760" s="21">
        <v>45436</v>
      </c>
      <c r="E760" s="21" t="s">
        <v>44</v>
      </c>
      <c r="F760" s="19" t="s">
        <v>127</v>
      </c>
      <c r="G760" s="19" t="s">
        <v>128</v>
      </c>
      <c r="H760" s="19">
        <v>7</v>
      </c>
      <c r="I760" s="41">
        <v>721</v>
      </c>
      <c r="J760" s="42"/>
      <c r="K760" s="44"/>
      <c r="L760" s="19"/>
      <c r="M760" s="44"/>
      <c r="N760" s="45"/>
      <c r="O760" s="46">
        <f t="shared" ref="O760:O763" si="438">SUM(I760)</f>
        <v>721</v>
      </c>
      <c r="P760" s="51"/>
      <c r="Q760" s="51"/>
      <c r="R760" s="73">
        <f t="shared" si="434"/>
        <v>283.371278458844</v>
      </c>
      <c r="S760" s="73"/>
      <c r="T760" s="74">
        <f t="shared" si="435"/>
        <v>0.589360770577933</v>
      </c>
      <c r="U760" s="73"/>
      <c r="V760" s="73"/>
      <c r="W760" s="73">
        <f t="shared" si="428"/>
        <v>283.960639229422</v>
      </c>
      <c r="X760" s="75">
        <f t="shared" si="436"/>
        <v>4.87471541155867</v>
      </c>
      <c r="Y760" s="75"/>
      <c r="Z760" s="75"/>
      <c r="AA760" s="75">
        <f t="shared" si="431"/>
        <v>4.87471541155867</v>
      </c>
      <c r="AB760" s="84">
        <v>7.22</v>
      </c>
      <c r="AC760" s="73">
        <f t="shared" si="429"/>
        <v>35.1954452714536</v>
      </c>
      <c r="AD760" s="73">
        <f t="shared" si="430"/>
        <v>319.156084500876</v>
      </c>
      <c r="AE760" s="73">
        <f t="shared" si="427"/>
        <v>401.843915499124</v>
      </c>
    </row>
    <row r="761" customFormat="1" spans="1:31">
      <c r="A761" s="18"/>
      <c r="B761" s="19"/>
      <c r="C761" s="20">
        <v>240516000039</v>
      </c>
      <c r="D761" s="21">
        <v>45436</v>
      </c>
      <c r="E761" s="21" t="s">
        <v>44</v>
      </c>
      <c r="F761" s="19" t="s">
        <v>45</v>
      </c>
      <c r="G761" s="19" t="s">
        <v>367</v>
      </c>
      <c r="H761" s="19">
        <v>5.5</v>
      </c>
      <c r="I761" s="41">
        <v>322</v>
      </c>
      <c r="J761" s="42"/>
      <c r="K761" s="44"/>
      <c r="L761" s="19"/>
      <c r="M761" s="44"/>
      <c r="N761" s="45"/>
      <c r="O761" s="46">
        <f t="shared" si="438"/>
        <v>322</v>
      </c>
      <c r="P761" s="51"/>
      <c r="Q761" s="51"/>
      <c r="R761" s="73">
        <f t="shared" si="434"/>
        <v>222.648861646235</v>
      </c>
      <c r="S761" s="73"/>
      <c r="T761" s="74">
        <f t="shared" si="435"/>
        <v>0.463069176882662</v>
      </c>
      <c r="U761" s="73"/>
      <c r="V761" s="73"/>
      <c r="W761" s="73">
        <f t="shared" si="428"/>
        <v>223.111930823117</v>
      </c>
      <c r="X761" s="75">
        <f t="shared" si="436"/>
        <v>3.83013353765324</v>
      </c>
      <c r="Y761" s="75"/>
      <c r="Z761" s="75"/>
      <c r="AA761" s="75">
        <f t="shared" si="431"/>
        <v>3.83013353765324</v>
      </c>
      <c r="AB761" s="84">
        <v>7.22</v>
      </c>
      <c r="AC761" s="73">
        <f t="shared" si="429"/>
        <v>27.6535641418564</v>
      </c>
      <c r="AD761" s="73">
        <f t="shared" si="430"/>
        <v>250.765494964974</v>
      </c>
      <c r="AE761" s="73">
        <f t="shared" si="427"/>
        <v>71.234505035026</v>
      </c>
    </row>
    <row r="762" customFormat="1" spans="1:31">
      <c r="A762" s="18"/>
      <c r="B762" s="19"/>
      <c r="C762" s="20">
        <v>240517000006</v>
      </c>
      <c r="D762" s="21">
        <v>45436</v>
      </c>
      <c r="E762" s="21" t="s">
        <v>41</v>
      </c>
      <c r="F762" s="19" t="s">
        <v>42</v>
      </c>
      <c r="G762" s="19" t="s">
        <v>497</v>
      </c>
      <c r="H762" s="19">
        <v>3.5</v>
      </c>
      <c r="I762" s="41">
        <v>206</v>
      </c>
      <c r="J762" s="42"/>
      <c r="K762" s="44"/>
      <c r="L762" s="19"/>
      <c r="M762" s="44"/>
      <c r="N762" s="45"/>
      <c r="O762" s="46">
        <f t="shared" si="438"/>
        <v>206</v>
      </c>
      <c r="P762" s="51"/>
      <c r="Q762" s="51"/>
      <c r="R762" s="73">
        <f t="shared" si="434"/>
        <v>141.685639229422</v>
      </c>
      <c r="S762" s="73"/>
      <c r="T762" s="74">
        <f t="shared" si="435"/>
        <v>0.294680385288967</v>
      </c>
      <c r="U762" s="73"/>
      <c r="V762" s="73"/>
      <c r="W762" s="73">
        <f t="shared" si="428"/>
        <v>141.980319614711</v>
      </c>
      <c r="X762" s="75">
        <f t="shared" si="436"/>
        <v>2.43735770577933</v>
      </c>
      <c r="Y762" s="75"/>
      <c r="Z762" s="75"/>
      <c r="AA762" s="75">
        <f t="shared" si="431"/>
        <v>2.43735770577933</v>
      </c>
      <c r="AB762" s="84">
        <v>7.22</v>
      </c>
      <c r="AC762" s="73">
        <f t="shared" si="429"/>
        <v>17.5977226357268</v>
      </c>
      <c r="AD762" s="73">
        <f t="shared" si="430"/>
        <v>159.578042250438</v>
      </c>
      <c r="AE762" s="73">
        <f t="shared" si="427"/>
        <v>46.421957749562</v>
      </c>
    </row>
    <row r="763" customFormat="1" spans="1:31">
      <c r="A763" s="18"/>
      <c r="B763" s="19"/>
      <c r="C763" s="20">
        <v>240517000009</v>
      </c>
      <c r="D763" s="21">
        <v>45436</v>
      </c>
      <c r="E763" s="21" t="s">
        <v>41</v>
      </c>
      <c r="F763" s="19" t="s">
        <v>42</v>
      </c>
      <c r="G763" s="19" t="s">
        <v>298</v>
      </c>
      <c r="H763" s="19">
        <v>5</v>
      </c>
      <c r="I763" s="41">
        <v>265</v>
      </c>
      <c r="J763" s="42"/>
      <c r="K763" s="44"/>
      <c r="L763" s="19"/>
      <c r="M763" s="44"/>
      <c r="N763" s="45"/>
      <c r="O763" s="46">
        <f t="shared" si="438"/>
        <v>265</v>
      </c>
      <c r="P763" s="51"/>
      <c r="Q763" s="51"/>
      <c r="R763" s="73">
        <f t="shared" si="434"/>
        <v>202.408056042032</v>
      </c>
      <c r="S763" s="73"/>
      <c r="T763" s="74">
        <f t="shared" si="435"/>
        <v>0.420971978984238</v>
      </c>
      <c r="U763" s="73"/>
      <c r="V763" s="73"/>
      <c r="W763" s="73">
        <f t="shared" si="428"/>
        <v>202.829028021016</v>
      </c>
      <c r="X763" s="75">
        <f t="shared" si="436"/>
        <v>3.48193957968476</v>
      </c>
      <c r="Y763" s="75"/>
      <c r="Z763" s="75"/>
      <c r="AA763" s="75">
        <f t="shared" si="431"/>
        <v>3.48193957968476</v>
      </c>
      <c r="AB763" s="84">
        <v>7.22</v>
      </c>
      <c r="AC763" s="73">
        <f t="shared" si="429"/>
        <v>25.139603765324</v>
      </c>
      <c r="AD763" s="73">
        <f t="shared" si="430"/>
        <v>227.96863178634</v>
      </c>
      <c r="AE763" s="73">
        <f t="shared" si="427"/>
        <v>37.03136821366</v>
      </c>
    </row>
    <row r="764" customFormat="1" spans="1:31">
      <c r="A764" s="18"/>
      <c r="B764" s="19"/>
      <c r="C764" s="20">
        <v>240517000017</v>
      </c>
      <c r="D764" s="21">
        <v>45436</v>
      </c>
      <c r="E764" s="21" t="s">
        <v>37</v>
      </c>
      <c r="F764" s="19" t="s">
        <v>38</v>
      </c>
      <c r="G764" s="19" t="s">
        <v>498</v>
      </c>
      <c r="H764" s="19">
        <v>10.5</v>
      </c>
      <c r="I764" s="52"/>
      <c r="J764" s="48">
        <v>121584</v>
      </c>
      <c r="K764" s="44"/>
      <c r="L764" s="49">
        <f t="shared" ref="L764:L769" si="439">SUM(J764/M764)</f>
        <v>1473.03125757209</v>
      </c>
      <c r="M764" s="50">
        <v>82.54</v>
      </c>
      <c r="N764" s="45">
        <v>7.22</v>
      </c>
      <c r="O764" s="46">
        <f t="shared" ref="O764:O769" si="440">SUM(M764*N764)</f>
        <v>595.9388</v>
      </c>
      <c r="P764" s="51"/>
      <c r="Q764" s="51"/>
      <c r="R764" s="73">
        <f t="shared" si="434"/>
        <v>425.056917688266</v>
      </c>
      <c r="S764" s="73"/>
      <c r="T764" s="74">
        <f t="shared" si="435"/>
        <v>0.8840411558669</v>
      </c>
      <c r="U764" s="73">
        <v>40</v>
      </c>
      <c r="V764" s="73"/>
      <c r="W764" s="73">
        <f t="shared" si="428"/>
        <v>465.940958844133</v>
      </c>
      <c r="X764" s="75">
        <f t="shared" si="436"/>
        <v>7.312073117338</v>
      </c>
      <c r="Y764" s="75"/>
      <c r="Z764" s="75"/>
      <c r="AA764" s="75">
        <f t="shared" si="431"/>
        <v>7.312073117338</v>
      </c>
      <c r="AB764" s="84">
        <v>7.22</v>
      </c>
      <c r="AC764" s="73">
        <f t="shared" si="429"/>
        <v>52.7931679071804</v>
      </c>
      <c r="AD764" s="73">
        <f t="shared" si="430"/>
        <v>518.734126751314</v>
      </c>
      <c r="AE764" s="73">
        <f t="shared" si="427"/>
        <v>77.204673248686</v>
      </c>
    </row>
    <row r="765" customFormat="1" spans="1:31">
      <c r="A765" s="18"/>
      <c r="B765" s="19"/>
      <c r="C765" s="20">
        <v>240517000019</v>
      </c>
      <c r="D765" s="21">
        <v>45436</v>
      </c>
      <c r="E765" s="21" t="s">
        <v>44</v>
      </c>
      <c r="F765" s="19" t="s">
        <v>45</v>
      </c>
      <c r="G765" s="19" t="s">
        <v>435</v>
      </c>
      <c r="H765" s="19">
        <v>0.45</v>
      </c>
      <c r="I765" s="41">
        <v>61</v>
      </c>
      <c r="J765" s="42"/>
      <c r="K765" s="44"/>
      <c r="L765" s="19"/>
      <c r="M765" s="44"/>
      <c r="N765" s="45"/>
      <c r="O765" s="46">
        <f t="shared" ref="O765:O768" si="441">SUM(I765)</f>
        <v>61</v>
      </c>
      <c r="P765" s="51"/>
      <c r="Q765" s="51"/>
      <c r="R765" s="73">
        <f t="shared" si="434"/>
        <v>18.2167250437828</v>
      </c>
      <c r="S765" s="73"/>
      <c r="T765" s="74">
        <f t="shared" si="435"/>
        <v>0.0378874781085814</v>
      </c>
      <c r="U765" s="73"/>
      <c r="V765" s="73"/>
      <c r="W765" s="73">
        <f t="shared" si="428"/>
        <v>18.2546125218914</v>
      </c>
      <c r="X765" s="75">
        <f t="shared" si="436"/>
        <v>0.313374562171629</v>
      </c>
      <c r="Y765" s="75"/>
      <c r="Z765" s="75"/>
      <c r="AA765" s="75">
        <f t="shared" si="431"/>
        <v>0.313374562171629</v>
      </c>
      <c r="AB765" s="84">
        <v>7.22</v>
      </c>
      <c r="AC765" s="73">
        <f t="shared" si="429"/>
        <v>2.26256433887916</v>
      </c>
      <c r="AD765" s="73">
        <f t="shared" si="430"/>
        <v>20.5171768607706</v>
      </c>
      <c r="AE765" s="73">
        <f t="shared" si="427"/>
        <v>40.4828231392294</v>
      </c>
    </row>
    <row r="766" customFormat="1" spans="1:31">
      <c r="A766" s="18"/>
      <c r="B766" s="19"/>
      <c r="C766" s="20">
        <v>240517000028</v>
      </c>
      <c r="D766" s="21">
        <v>45436</v>
      </c>
      <c r="E766" s="21" t="s">
        <v>41</v>
      </c>
      <c r="F766" s="19" t="s">
        <v>42</v>
      </c>
      <c r="G766" s="19" t="s">
        <v>142</v>
      </c>
      <c r="H766" s="19">
        <v>56</v>
      </c>
      <c r="I766" s="52"/>
      <c r="J766" s="48">
        <v>605472</v>
      </c>
      <c r="K766" s="44"/>
      <c r="L766" s="49">
        <f t="shared" si="439"/>
        <v>1472.88119100905</v>
      </c>
      <c r="M766" s="50">
        <v>411.08</v>
      </c>
      <c r="N766" s="45">
        <v>7.22</v>
      </c>
      <c r="O766" s="46">
        <f t="shared" si="440"/>
        <v>2967.9976</v>
      </c>
      <c r="P766" s="51"/>
      <c r="Q766" s="51"/>
      <c r="R766" s="73">
        <f t="shared" si="434"/>
        <v>2266.97022767075</v>
      </c>
      <c r="S766" s="73"/>
      <c r="T766" s="74">
        <f t="shared" si="435"/>
        <v>4.71488616462347</v>
      </c>
      <c r="U766" s="73"/>
      <c r="V766" s="73"/>
      <c r="W766" s="73">
        <f t="shared" si="428"/>
        <v>2271.68511383538</v>
      </c>
      <c r="X766" s="75">
        <f t="shared" si="436"/>
        <v>38.9977232924694</v>
      </c>
      <c r="Y766" s="75"/>
      <c r="Z766" s="75"/>
      <c r="AA766" s="75">
        <f t="shared" si="431"/>
        <v>38.9977232924694</v>
      </c>
      <c r="AB766" s="84">
        <v>7.22</v>
      </c>
      <c r="AC766" s="73">
        <f t="shared" si="429"/>
        <v>281.563562171629</v>
      </c>
      <c r="AD766" s="73">
        <f t="shared" si="430"/>
        <v>2553.24867600701</v>
      </c>
      <c r="AE766" s="73">
        <f t="shared" si="427"/>
        <v>414.74892399299</v>
      </c>
    </row>
    <row r="767" customFormat="1" spans="1:31">
      <c r="A767" s="18"/>
      <c r="B767" s="19"/>
      <c r="C767" s="20">
        <v>240517000035</v>
      </c>
      <c r="D767" s="21">
        <v>45436</v>
      </c>
      <c r="E767" s="21" t="s">
        <v>478</v>
      </c>
      <c r="F767" s="19" t="s">
        <v>54</v>
      </c>
      <c r="G767" s="19" t="s">
        <v>97</v>
      </c>
      <c r="H767" s="19">
        <v>2</v>
      </c>
      <c r="I767" s="41">
        <v>119</v>
      </c>
      <c r="J767" s="42"/>
      <c r="K767" s="44"/>
      <c r="L767" s="19"/>
      <c r="M767" s="44"/>
      <c r="N767" s="45"/>
      <c r="O767" s="46">
        <f t="shared" si="441"/>
        <v>119</v>
      </c>
      <c r="P767" s="51"/>
      <c r="Q767" s="51"/>
      <c r="R767" s="73">
        <f t="shared" si="434"/>
        <v>80.9632224168126</v>
      </c>
      <c r="S767" s="73"/>
      <c r="T767" s="74">
        <f t="shared" si="435"/>
        <v>0.168388791593695</v>
      </c>
      <c r="U767" s="73"/>
      <c r="V767" s="73"/>
      <c r="W767" s="73">
        <f t="shared" si="428"/>
        <v>81.1316112084063</v>
      </c>
      <c r="X767" s="75">
        <f t="shared" si="436"/>
        <v>1.39277583187391</v>
      </c>
      <c r="Y767" s="75"/>
      <c r="Z767" s="75"/>
      <c r="AA767" s="75">
        <f t="shared" si="431"/>
        <v>1.39277583187391</v>
      </c>
      <c r="AB767" s="84">
        <v>7.22</v>
      </c>
      <c r="AC767" s="73">
        <f t="shared" si="429"/>
        <v>10.0558415061296</v>
      </c>
      <c r="AD767" s="73">
        <f t="shared" si="430"/>
        <v>91.1874527145359</v>
      </c>
      <c r="AE767" s="73">
        <f t="shared" si="427"/>
        <v>27.8125472854641</v>
      </c>
    </row>
    <row r="768" customFormat="1" spans="1:31">
      <c r="A768" s="18"/>
      <c r="B768" s="19"/>
      <c r="C768" s="20">
        <v>240517000036</v>
      </c>
      <c r="D768" s="21">
        <v>45436</v>
      </c>
      <c r="E768" s="21" t="s">
        <v>44</v>
      </c>
      <c r="F768" s="19" t="s">
        <v>45</v>
      </c>
      <c r="G768" s="19" t="s">
        <v>128</v>
      </c>
      <c r="H768" s="19">
        <v>15.5</v>
      </c>
      <c r="I768" s="41">
        <v>821.5</v>
      </c>
      <c r="J768" s="42"/>
      <c r="K768" s="44"/>
      <c r="L768" s="19"/>
      <c r="M768" s="44"/>
      <c r="N768" s="45"/>
      <c r="O768" s="46">
        <f t="shared" si="441"/>
        <v>821.5</v>
      </c>
      <c r="P768" s="51"/>
      <c r="Q768" s="51"/>
      <c r="R768" s="73">
        <f t="shared" si="434"/>
        <v>627.464973730298</v>
      </c>
      <c r="S768" s="73"/>
      <c r="T768" s="74">
        <f t="shared" si="435"/>
        <v>1.30501313485114</v>
      </c>
      <c r="U768" s="73"/>
      <c r="V768" s="73"/>
      <c r="W768" s="73">
        <f t="shared" si="428"/>
        <v>628.769986865149</v>
      </c>
      <c r="X768" s="75">
        <f t="shared" si="436"/>
        <v>10.7940126970228</v>
      </c>
      <c r="Y768" s="75"/>
      <c r="Z768" s="75"/>
      <c r="AA768" s="75">
        <f t="shared" si="431"/>
        <v>10.7940126970228</v>
      </c>
      <c r="AB768" s="84">
        <v>7.22</v>
      </c>
      <c r="AC768" s="73">
        <f t="shared" si="429"/>
        <v>77.9327716725044</v>
      </c>
      <c r="AD768" s="73">
        <f t="shared" si="430"/>
        <v>706.702758537653</v>
      </c>
      <c r="AE768" s="73">
        <f t="shared" si="427"/>
        <v>114.797241462347</v>
      </c>
    </row>
    <row r="769" customFormat="1" spans="1:31">
      <c r="A769" s="18"/>
      <c r="B769" s="19"/>
      <c r="C769" s="20">
        <v>240517000037</v>
      </c>
      <c r="D769" s="21">
        <v>45436</v>
      </c>
      <c r="E769" s="21" t="s">
        <v>47</v>
      </c>
      <c r="F769" s="19" t="s">
        <v>48</v>
      </c>
      <c r="G769" s="19" t="s">
        <v>169</v>
      </c>
      <c r="H769" s="19">
        <v>8.5</v>
      </c>
      <c r="I769" s="46"/>
      <c r="J769" s="48">
        <v>120764</v>
      </c>
      <c r="K769" s="44"/>
      <c r="L769" s="49">
        <f t="shared" si="439"/>
        <v>1519.99990434236</v>
      </c>
      <c r="M769" s="50">
        <v>79.450005</v>
      </c>
      <c r="N769" s="45">
        <v>7.22</v>
      </c>
      <c r="O769" s="46">
        <f t="shared" si="440"/>
        <v>573.6290361</v>
      </c>
      <c r="P769" s="51"/>
      <c r="Q769" s="51"/>
      <c r="R769" s="73">
        <f t="shared" si="434"/>
        <v>344.093695271454</v>
      </c>
      <c r="S769" s="73"/>
      <c r="T769" s="74">
        <f t="shared" si="435"/>
        <v>0.715652364273205</v>
      </c>
      <c r="U769" s="73">
        <v>40</v>
      </c>
      <c r="V769" s="73"/>
      <c r="W769" s="73">
        <f t="shared" si="428"/>
        <v>384.809347635727</v>
      </c>
      <c r="X769" s="75">
        <f t="shared" si="436"/>
        <v>5.9192972854641</v>
      </c>
      <c r="Y769" s="75"/>
      <c r="Z769" s="75"/>
      <c r="AA769" s="75">
        <f t="shared" si="431"/>
        <v>5.9192972854641</v>
      </c>
      <c r="AB769" s="84">
        <v>7.22</v>
      </c>
      <c r="AC769" s="73">
        <f t="shared" si="429"/>
        <v>42.7373264010508</v>
      </c>
      <c r="AD769" s="73">
        <f t="shared" si="430"/>
        <v>427.546674036778</v>
      </c>
      <c r="AE769" s="73">
        <f t="shared" si="427"/>
        <v>146.082362063222</v>
      </c>
    </row>
    <row r="770" customFormat="1" spans="1:31">
      <c r="A770" s="18"/>
      <c r="B770" s="19"/>
      <c r="C770" s="20">
        <v>240517000043</v>
      </c>
      <c r="D770" s="21">
        <v>45436</v>
      </c>
      <c r="E770" s="21" t="s">
        <v>44</v>
      </c>
      <c r="F770" s="19" t="s">
        <v>45</v>
      </c>
      <c r="G770" s="19" t="s">
        <v>489</v>
      </c>
      <c r="H770" s="19">
        <v>39.5</v>
      </c>
      <c r="I770" s="41">
        <v>2254.5</v>
      </c>
      <c r="J770" s="42"/>
      <c r="K770" s="44"/>
      <c r="L770" s="19"/>
      <c r="M770" s="44"/>
      <c r="N770" s="45"/>
      <c r="O770" s="46">
        <f t="shared" ref="O770:O772" si="442">SUM(I770)</f>
        <v>2254.5</v>
      </c>
      <c r="P770" s="51"/>
      <c r="Q770" s="51"/>
      <c r="R770" s="73">
        <f t="shared" si="434"/>
        <v>1599.02364273205</v>
      </c>
      <c r="S770" s="73"/>
      <c r="T770" s="74">
        <f t="shared" si="435"/>
        <v>3.32567863397548</v>
      </c>
      <c r="U770" s="73"/>
      <c r="V770" s="74">
        <v>161</v>
      </c>
      <c r="W770" s="73">
        <f t="shared" si="428"/>
        <v>1763.34932136602</v>
      </c>
      <c r="X770" s="75">
        <f t="shared" si="436"/>
        <v>27.5073226795096</v>
      </c>
      <c r="Y770" s="75"/>
      <c r="Z770" s="75"/>
      <c r="AA770" s="75">
        <f t="shared" si="431"/>
        <v>27.5073226795096</v>
      </c>
      <c r="AB770" s="84">
        <v>7.22</v>
      </c>
      <c r="AC770" s="73">
        <f t="shared" si="429"/>
        <v>198.60286974606</v>
      </c>
      <c r="AD770" s="73">
        <f t="shared" si="430"/>
        <v>1961.95219111208</v>
      </c>
      <c r="AE770" s="73">
        <f t="shared" si="427"/>
        <v>292.54780888792</v>
      </c>
    </row>
    <row r="771" customFormat="1" spans="1:31">
      <c r="A771" s="18"/>
      <c r="B771" s="19"/>
      <c r="C771" s="20">
        <v>240517000045</v>
      </c>
      <c r="D771" s="21">
        <v>45436</v>
      </c>
      <c r="E771" s="21" t="s">
        <v>44</v>
      </c>
      <c r="F771" s="19" t="s">
        <v>45</v>
      </c>
      <c r="G771" s="19" t="s">
        <v>499</v>
      </c>
      <c r="H771" s="19">
        <v>20.5</v>
      </c>
      <c r="I771" s="41">
        <v>1086.5</v>
      </c>
      <c r="J771" s="42"/>
      <c r="K771" s="44"/>
      <c r="L771" s="19"/>
      <c r="M771" s="44"/>
      <c r="N771" s="45"/>
      <c r="O771" s="46">
        <f t="shared" si="442"/>
        <v>1086.5</v>
      </c>
      <c r="P771" s="51"/>
      <c r="Q771" s="51"/>
      <c r="R771" s="73">
        <f t="shared" si="434"/>
        <v>829.873029772329</v>
      </c>
      <c r="S771" s="73"/>
      <c r="T771" s="74">
        <f t="shared" si="435"/>
        <v>1.72598511383538</v>
      </c>
      <c r="U771" s="73"/>
      <c r="V771" s="73"/>
      <c r="W771" s="73">
        <f t="shared" si="428"/>
        <v>831.599014886165</v>
      </c>
      <c r="X771" s="75">
        <f t="shared" si="436"/>
        <v>14.2759522767075</v>
      </c>
      <c r="Y771" s="75"/>
      <c r="Z771" s="75"/>
      <c r="AA771" s="75">
        <f t="shared" si="431"/>
        <v>14.2759522767075</v>
      </c>
      <c r="AB771" s="84">
        <v>7.22</v>
      </c>
      <c r="AC771" s="73">
        <f t="shared" si="429"/>
        <v>103.072375437828</v>
      </c>
      <c r="AD771" s="73">
        <f t="shared" si="430"/>
        <v>934.671390323993</v>
      </c>
      <c r="AE771" s="73">
        <f t="shared" si="427"/>
        <v>151.828609676007</v>
      </c>
    </row>
    <row r="772" customFormat="1" spans="1:31">
      <c r="A772" s="18"/>
      <c r="B772" s="19"/>
      <c r="C772" s="20">
        <v>240518000003</v>
      </c>
      <c r="D772" s="21">
        <v>45436</v>
      </c>
      <c r="E772" s="21" t="s">
        <v>44</v>
      </c>
      <c r="F772" s="19" t="s">
        <v>45</v>
      </c>
      <c r="G772" s="19" t="s">
        <v>500</v>
      </c>
      <c r="H772" s="19">
        <v>11.5</v>
      </c>
      <c r="I772" s="41">
        <v>638.5</v>
      </c>
      <c r="J772" s="42"/>
      <c r="K772" s="44"/>
      <c r="L772" s="19"/>
      <c r="M772" s="44"/>
      <c r="N772" s="45"/>
      <c r="O772" s="46">
        <f t="shared" si="442"/>
        <v>638.5</v>
      </c>
      <c r="P772" s="51"/>
      <c r="Q772" s="51"/>
      <c r="R772" s="73">
        <f t="shared" si="434"/>
        <v>465.538528896673</v>
      </c>
      <c r="S772" s="73"/>
      <c r="T772" s="74">
        <f t="shared" si="435"/>
        <v>0.968235551663748</v>
      </c>
      <c r="U772" s="73"/>
      <c r="V772" s="73"/>
      <c r="W772" s="73">
        <f t="shared" si="428"/>
        <v>466.506764448336</v>
      </c>
      <c r="X772" s="75">
        <f t="shared" si="436"/>
        <v>8.00846103327496</v>
      </c>
      <c r="Y772" s="75"/>
      <c r="Z772" s="75"/>
      <c r="AA772" s="75">
        <f t="shared" si="431"/>
        <v>8.00846103327496</v>
      </c>
      <c r="AB772" s="84">
        <v>7.22</v>
      </c>
      <c r="AC772" s="73">
        <f t="shared" si="429"/>
        <v>57.8210886602452</v>
      </c>
      <c r="AD772" s="73">
        <f t="shared" si="430"/>
        <v>524.327853108581</v>
      </c>
      <c r="AE772" s="73">
        <f t="shared" si="427"/>
        <v>114.172146891419</v>
      </c>
    </row>
    <row r="773" customFormat="1" spans="1:31">
      <c r="A773" s="18"/>
      <c r="B773" s="19"/>
      <c r="C773" s="22">
        <v>240518000004</v>
      </c>
      <c r="D773" s="23">
        <v>45436</v>
      </c>
      <c r="E773" s="21" t="s">
        <v>44</v>
      </c>
      <c r="F773" s="24" t="s">
        <v>45</v>
      </c>
      <c r="G773" s="24" t="s">
        <v>501</v>
      </c>
      <c r="H773" s="24">
        <v>217.5</v>
      </c>
      <c r="I773" s="52"/>
      <c r="J773" s="48">
        <v>2650977</v>
      </c>
      <c r="K773" s="44"/>
      <c r="L773" s="49">
        <f>SUM(J773/M773)</f>
        <v>1465.66466893715</v>
      </c>
      <c r="M773" s="50">
        <v>1808.72</v>
      </c>
      <c r="N773" s="45">
        <v>7.22</v>
      </c>
      <c r="O773" s="46">
        <f>SUM(M773*N773)</f>
        <v>13058.9584</v>
      </c>
      <c r="P773" s="51"/>
      <c r="Q773" s="51"/>
      <c r="R773" s="73">
        <f t="shared" si="434"/>
        <v>8804.75043782837</v>
      </c>
      <c r="S773" s="73"/>
      <c r="T773" s="74">
        <f t="shared" si="435"/>
        <v>18.3122810858144</v>
      </c>
      <c r="U773" s="73"/>
      <c r="V773" s="73"/>
      <c r="W773" s="73">
        <f t="shared" si="428"/>
        <v>8823.06271891419</v>
      </c>
      <c r="X773" s="75">
        <f t="shared" si="436"/>
        <v>151.464371716287</v>
      </c>
      <c r="Y773" s="75"/>
      <c r="Z773" s="75"/>
      <c r="AA773" s="75">
        <f t="shared" si="431"/>
        <v>151.464371716287</v>
      </c>
      <c r="AB773" s="84">
        <v>7.22</v>
      </c>
      <c r="AC773" s="73">
        <f t="shared" si="429"/>
        <v>1093.57276379159</v>
      </c>
      <c r="AD773" s="73">
        <f t="shared" si="430"/>
        <v>9916.63548270578</v>
      </c>
      <c r="AE773" s="73">
        <f t="shared" si="427"/>
        <v>3142.32291729422</v>
      </c>
    </row>
    <row r="774" customFormat="1" spans="1:31">
      <c r="A774" s="18"/>
      <c r="B774" s="19"/>
      <c r="C774" s="20">
        <v>240518000007</v>
      </c>
      <c r="D774" s="21">
        <v>45436</v>
      </c>
      <c r="E774" s="21" t="s">
        <v>44</v>
      </c>
      <c r="F774" s="19" t="s">
        <v>45</v>
      </c>
      <c r="G774" s="19" t="s">
        <v>433</v>
      </c>
      <c r="H774" s="19">
        <v>8</v>
      </c>
      <c r="I774" s="41">
        <v>446</v>
      </c>
      <c r="J774" s="42"/>
      <c r="K774" s="44"/>
      <c r="L774" s="19"/>
      <c r="M774" s="44"/>
      <c r="N774" s="45"/>
      <c r="O774" s="46">
        <f t="shared" ref="O774:O779" si="443">SUM(I774)</f>
        <v>446</v>
      </c>
      <c r="P774" s="51"/>
      <c r="Q774" s="51"/>
      <c r="R774" s="73">
        <f t="shared" si="434"/>
        <v>323.85288966725</v>
      </c>
      <c r="S774" s="73"/>
      <c r="T774" s="74">
        <f t="shared" si="435"/>
        <v>0.673555166374781</v>
      </c>
      <c r="U774" s="73"/>
      <c r="V774" s="73"/>
      <c r="W774" s="73">
        <f t="shared" si="428"/>
        <v>324.526444833625</v>
      </c>
      <c r="X774" s="75">
        <f t="shared" si="436"/>
        <v>5.57110332749562</v>
      </c>
      <c r="Y774" s="75"/>
      <c r="Z774" s="75"/>
      <c r="AA774" s="75">
        <f t="shared" si="431"/>
        <v>5.57110332749562</v>
      </c>
      <c r="AB774" s="84">
        <v>7.22</v>
      </c>
      <c r="AC774" s="73">
        <f t="shared" si="429"/>
        <v>40.2233660245184</v>
      </c>
      <c r="AD774" s="73">
        <f t="shared" si="430"/>
        <v>364.749810858144</v>
      </c>
      <c r="AE774" s="73">
        <f t="shared" si="427"/>
        <v>81.250189141856</v>
      </c>
    </row>
    <row r="775" customFormat="1" spans="1:31">
      <c r="A775" s="18"/>
      <c r="B775" s="19"/>
      <c r="C775" s="20">
        <v>240518000009</v>
      </c>
      <c r="D775" s="21">
        <v>45436</v>
      </c>
      <c r="E775" s="21" t="s">
        <v>41</v>
      </c>
      <c r="F775" s="19" t="s">
        <v>42</v>
      </c>
      <c r="G775" s="19" t="s">
        <v>502</v>
      </c>
      <c r="H775" s="19">
        <v>3.5</v>
      </c>
      <c r="I775" s="41">
        <v>206</v>
      </c>
      <c r="J775" s="42"/>
      <c r="K775" s="44"/>
      <c r="L775" s="19"/>
      <c r="M775" s="44"/>
      <c r="N775" s="45"/>
      <c r="O775" s="46">
        <f t="shared" si="443"/>
        <v>206</v>
      </c>
      <c r="P775" s="51"/>
      <c r="Q775" s="51"/>
      <c r="R775" s="73">
        <f t="shared" si="434"/>
        <v>141.685639229422</v>
      </c>
      <c r="S775" s="73"/>
      <c r="T775" s="74">
        <f t="shared" si="435"/>
        <v>0.294680385288967</v>
      </c>
      <c r="U775" s="73"/>
      <c r="V775" s="73"/>
      <c r="W775" s="73">
        <f t="shared" si="428"/>
        <v>141.980319614711</v>
      </c>
      <c r="X775" s="75">
        <f t="shared" si="436"/>
        <v>2.43735770577933</v>
      </c>
      <c r="Y775" s="75"/>
      <c r="Z775" s="75"/>
      <c r="AA775" s="75">
        <f t="shared" si="431"/>
        <v>2.43735770577933</v>
      </c>
      <c r="AB775" s="84">
        <v>7.22</v>
      </c>
      <c r="AC775" s="73">
        <f t="shared" si="429"/>
        <v>17.5977226357268</v>
      </c>
      <c r="AD775" s="73">
        <f t="shared" si="430"/>
        <v>159.578042250438</v>
      </c>
      <c r="AE775" s="73">
        <f t="shared" si="427"/>
        <v>46.421957749562</v>
      </c>
    </row>
    <row r="776" customFormat="1" spans="1:31">
      <c r="A776" s="18"/>
      <c r="B776" s="19"/>
      <c r="C776" s="20">
        <v>240518000010</v>
      </c>
      <c r="D776" s="21">
        <v>45436</v>
      </c>
      <c r="E776" s="21" t="s">
        <v>41</v>
      </c>
      <c r="F776" s="19" t="s">
        <v>42</v>
      </c>
      <c r="G776" s="19" t="s">
        <v>325</v>
      </c>
      <c r="H776" s="19">
        <v>4</v>
      </c>
      <c r="I776" s="41">
        <v>259</v>
      </c>
      <c r="J776" s="42"/>
      <c r="K776" s="44"/>
      <c r="L776" s="19"/>
      <c r="M776" s="44"/>
      <c r="N776" s="45"/>
      <c r="O776" s="46">
        <f t="shared" si="443"/>
        <v>259</v>
      </c>
      <c r="P776" s="51"/>
      <c r="Q776" s="51"/>
      <c r="R776" s="73">
        <f t="shared" si="434"/>
        <v>161.926444833625</v>
      </c>
      <c r="S776" s="73"/>
      <c r="T776" s="74">
        <f t="shared" si="435"/>
        <v>0.336777583187391</v>
      </c>
      <c r="U776" s="73"/>
      <c r="V776" s="73"/>
      <c r="W776" s="73">
        <f t="shared" si="428"/>
        <v>162.263222416813</v>
      </c>
      <c r="X776" s="75">
        <f t="shared" si="436"/>
        <v>2.78555166374781</v>
      </c>
      <c r="Y776" s="75"/>
      <c r="Z776" s="75"/>
      <c r="AA776" s="75">
        <f t="shared" si="431"/>
        <v>2.78555166374781</v>
      </c>
      <c r="AB776" s="84">
        <v>7.22</v>
      </c>
      <c r="AC776" s="73">
        <f t="shared" si="429"/>
        <v>20.1116830122592</v>
      </c>
      <c r="AD776" s="73">
        <f t="shared" si="430"/>
        <v>182.374905429072</v>
      </c>
      <c r="AE776" s="73">
        <f t="shared" si="427"/>
        <v>76.625094570928</v>
      </c>
    </row>
    <row r="777" customFormat="1" spans="1:31">
      <c r="A777" s="18"/>
      <c r="B777" s="19"/>
      <c r="C777" s="20">
        <v>240518000013</v>
      </c>
      <c r="D777" s="21">
        <v>45436</v>
      </c>
      <c r="E777" s="21" t="s">
        <v>54</v>
      </c>
      <c r="F777" s="19" t="s">
        <v>54</v>
      </c>
      <c r="G777" s="19" t="s">
        <v>71</v>
      </c>
      <c r="H777" s="19">
        <v>8</v>
      </c>
      <c r="I777" s="41">
        <v>506</v>
      </c>
      <c r="J777" s="42"/>
      <c r="K777" s="44"/>
      <c r="L777" s="19"/>
      <c r="M777" s="44"/>
      <c r="N777" s="45"/>
      <c r="O777" s="46">
        <f t="shared" si="443"/>
        <v>506</v>
      </c>
      <c r="P777" s="51"/>
      <c r="Q777" s="51"/>
      <c r="R777" s="73">
        <f t="shared" si="434"/>
        <v>323.85288966725</v>
      </c>
      <c r="S777" s="73"/>
      <c r="T777" s="74">
        <f t="shared" si="435"/>
        <v>0.673555166374781</v>
      </c>
      <c r="U777" s="73">
        <v>30</v>
      </c>
      <c r="V777" s="73"/>
      <c r="W777" s="73">
        <f t="shared" si="428"/>
        <v>354.526444833625</v>
      </c>
      <c r="X777" s="75">
        <f t="shared" si="436"/>
        <v>5.57110332749562</v>
      </c>
      <c r="Y777" s="75"/>
      <c r="Z777" s="75"/>
      <c r="AA777" s="75">
        <f t="shared" si="431"/>
        <v>5.57110332749562</v>
      </c>
      <c r="AB777" s="84">
        <v>7.22</v>
      </c>
      <c r="AC777" s="73">
        <f t="shared" si="429"/>
        <v>40.2233660245184</v>
      </c>
      <c r="AD777" s="73">
        <f t="shared" si="430"/>
        <v>394.749810858144</v>
      </c>
      <c r="AE777" s="73">
        <f t="shared" si="427"/>
        <v>111.250189141856</v>
      </c>
    </row>
    <row r="778" customFormat="1" spans="1:31">
      <c r="A778" s="18"/>
      <c r="B778" s="19"/>
      <c r="C778" s="20">
        <v>240518000017</v>
      </c>
      <c r="D778" s="21">
        <v>45436</v>
      </c>
      <c r="E778" s="21" t="s">
        <v>41</v>
      </c>
      <c r="F778" s="19" t="s">
        <v>42</v>
      </c>
      <c r="G778" s="19" t="s">
        <v>503</v>
      </c>
      <c r="H778" s="19">
        <v>3.5</v>
      </c>
      <c r="I778" s="41">
        <v>244</v>
      </c>
      <c r="J778" s="42"/>
      <c r="K778" s="44"/>
      <c r="L778" s="19"/>
      <c r="M778" s="44"/>
      <c r="N778" s="45"/>
      <c r="O778" s="46">
        <f t="shared" si="443"/>
        <v>244</v>
      </c>
      <c r="P778" s="51"/>
      <c r="Q778" s="51"/>
      <c r="R778" s="73">
        <f t="shared" si="434"/>
        <v>141.685639229422</v>
      </c>
      <c r="S778" s="73"/>
      <c r="T778" s="74">
        <f t="shared" si="435"/>
        <v>0.294680385288967</v>
      </c>
      <c r="U778" s="73"/>
      <c r="V778" s="74">
        <v>13</v>
      </c>
      <c r="W778" s="73">
        <f t="shared" si="428"/>
        <v>154.980319614711</v>
      </c>
      <c r="X778" s="75">
        <f t="shared" si="436"/>
        <v>2.43735770577933</v>
      </c>
      <c r="Y778" s="75"/>
      <c r="Z778" s="75"/>
      <c r="AA778" s="75">
        <f t="shared" si="431"/>
        <v>2.43735770577933</v>
      </c>
      <c r="AB778" s="84">
        <v>7.22</v>
      </c>
      <c r="AC778" s="73">
        <f t="shared" si="429"/>
        <v>17.5977226357268</v>
      </c>
      <c r="AD778" s="73">
        <f t="shared" si="430"/>
        <v>172.578042250438</v>
      </c>
      <c r="AE778" s="73">
        <f t="shared" si="427"/>
        <v>71.421957749562</v>
      </c>
    </row>
    <row r="779" customFormat="1" spans="1:31">
      <c r="A779" s="18"/>
      <c r="B779" s="19"/>
      <c r="C779" s="20">
        <v>240519000001</v>
      </c>
      <c r="D779" s="21">
        <v>45436</v>
      </c>
      <c r="E779" s="21" t="s">
        <v>157</v>
      </c>
      <c r="F779" s="19" t="s">
        <v>282</v>
      </c>
      <c r="G779" s="19" t="s">
        <v>283</v>
      </c>
      <c r="H779" s="19">
        <v>1.5</v>
      </c>
      <c r="I779" s="41">
        <v>99</v>
      </c>
      <c r="J779" s="42"/>
      <c r="K779" s="44"/>
      <c r="L779" s="19"/>
      <c r="M779" s="44"/>
      <c r="N779" s="45"/>
      <c r="O779" s="46">
        <f t="shared" si="443"/>
        <v>99</v>
      </c>
      <c r="P779" s="51"/>
      <c r="Q779" s="51"/>
      <c r="R779" s="73">
        <f t="shared" si="434"/>
        <v>60.7224168126095</v>
      </c>
      <c r="S779" s="73"/>
      <c r="T779" s="74">
        <f t="shared" si="435"/>
        <v>0.126291593695271</v>
      </c>
      <c r="U779" s="73"/>
      <c r="V779" s="73"/>
      <c r="W779" s="73">
        <f t="shared" si="428"/>
        <v>60.8487084063047</v>
      </c>
      <c r="X779" s="75">
        <f t="shared" si="436"/>
        <v>1.04458187390543</v>
      </c>
      <c r="Y779" s="75"/>
      <c r="Z779" s="75"/>
      <c r="AA779" s="75">
        <f t="shared" si="431"/>
        <v>1.04458187390543</v>
      </c>
      <c r="AB779" s="84">
        <v>7.22</v>
      </c>
      <c r="AC779" s="73">
        <f t="shared" si="429"/>
        <v>7.5418811295972</v>
      </c>
      <c r="AD779" s="73">
        <f t="shared" si="430"/>
        <v>68.3905895359019</v>
      </c>
      <c r="AE779" s="73">
        <f t="shared" si="427"/>
        <v>30.6094104640981</v>
      </c>
    </row>
    <row r="780" customFormat="1" spans="1:31">
      <c r="A780" s="18"/>
      <c r="B780" s="19"/>
      <c r="C780" s="20">
        <v>240519000005</v>
      </c>
      <c r="D780" s="21">
        <v>45436</v>
      </c>
      <c r="E780" s="21" t="s">
        <v>44</v>
      </c>
      <c r="F780" s="19" t="s">
        <v>45</v>
      </c>
      <c r="G780" s="19" t="s">
        <v>504</v>
      </c>
      <c r="H780" s="19">
        <v>24</v>
      </c>
      <c r="I780" s="52"/>
      <c r="J780" s="48">
        <v>282578</v>
      </c>
      <c r="K780" s="44"/>
      <c r="L780" s="49">
        <f>SUM(J780/M780)</f>
        <v>1456.28736343022</v>
      </c>
      <c r="M780" s="50">
        <v>194.04</v>
      </c>
      <c r="N780" s="45">
        <v>7.22</v>
      </c>
      <c r="O780" s="46">
        <f>SUM(M780*N780)</f>
        <v>1400.9688</v>
      </c>
      <c r="P780" s="51"/>
      <c r="Q780" s="51"/>
      <c r="R780" s="73">
        <f t="shared" si="434"/>
        <v>971.558669001751</v>
      </c>
      <c r="S780" s="73"/>
      <c r="T780" s="74">
        <f t="shared" si="435"/>
        <v>2.02066549912434</v>
      </c>
      <c r="U780" s="73"/>
      <c r="V780" s="73"/>
      <c r="W780" s="73">
        <f t="shared" si="428"/>
        <v>973.579334500876</v>
      </c>
      <c r="X780" s="75">
        <f t="shared" si="436"/>
        <v>16.7133099824869</v>
      </c>
      <c r="Y780" s="75"/>
      <c r="Z780" s="75"/>
      <c r="AA780" s="75">
        <f t="shared" si="431"/>
        <v>16.7133099824869</v>
      </c>
      <c r="AB780" s="84">
        <v>7.22</v>
      </c>
      <c r="AC780" s="73">
        <f t="shared" si="429"/>
        <v>120.670098073555</v>
      </c>
      <c r="AD780" s="73">
        <f t="shared" si="430"/>
        <v>1094.24943257443</v>
      </c>
      <c r="AE780" s="73">
        <f t="shared" si="427"/>
        <v>306.71936742557</v>
      </c>
    </row>
    <row r="781" customFormat="1" spans="1:31">
      <c r="A781" s="18"/>
      <c r="B781" s="19"/>
      <c r="C781" s="20">
        <v>240519000007</v>
      </c>
      <c r="D781" s="21">
        <v>45436</v>
      </c>
      <c r="E781" s="21" t="s">
        <v>44</v>
      </c>
      <c r="F781" s="19" t="s">
        <v>45</v>
      </c>
      <c r="G781" s="19" t="s">
        <v>505</v>
      </c>
      <c r="H781" s="19">
        <v>3</v>
      </c>
      <c r="I781" s="41">
        <v>177</v>
      </c>
      <c r="J781" s="42"/>
      <c r="K781" s="44"/>
      <c r="L781" s="19"/>
      <c r="M781" s="44"/>
      <c r="N781" s="45"/>
      <c r="O781" s="46">
        <f t="shared" ref="O781:O784" si="444">SUM(I781)</f>
        <v>177</v>
      </c>
      <c r="P781" s="51"/>
      <c r="Q781" s="51"/>
      <c r="R781" s="73">
        <f t="shared" si="434"/>
        <v>121.444833625219</v>
      </c>
      <c r="S781" s="73"/>
      <c r="T781" s="74">
        <f t="shared" si="435"/>
        <v>0.252583187390543</v>
      </c>
      <c r="U781" s="73"/>
      <c r="V781" s="73"/>
      <c r="W781" s="73">
        <f t="shared" si="428"/>
        <v>121.697416812609</v>
      </c>
      <c r="X781" s="75">
        <f t="shared" si="436"/>
        <v>2.08916374781086</v>
      </c>
      <c r="Y781" s="75"/>
      <c r="Z781" s="75"/>
      <c r="AA781" s="75">
        <f t="shared" si="431"/>
        <v>2.08916374781086</v>
      </c>
      <c r="AB781" s="84">
        <v>7.22</v>
      </c>
      <c r="AC781" s="73">
        <f t="shared" si="429"/>
        <v>15.0837622591944</v>
      </c>
      <c r="AD781" s="73">
        <f t="shared" si="430"/>
        <v>136.781179071804</v>
      </c>
      <c r="AE781" s="73">
        <f t="shared" si="427"/>
        <v>40.218820928196</v>
      </c>
    </row>
    <row r="782" customFormat="1" spans="1:31">
      <c r="A782" s="18"/>
      <c r="B782" s="19"/>
      <c r="C782" s="20">
        <v>240520000002</v>
      </c>
      <c r="D782" s="21">
        <v>45436</v>
      </c>
      <c r="E782" s="21" t="s">
        <v>37</v>
      </c>
      <c r="F782" s="19" t="s">
        <v>38</v>
      </c>
      <c r="G782" s="19" t="s">
        <v>506</v>
      </c>
      <c r="H782" s="19">
        <v>108</v>
      </c>
      <c r="I782" s="41">
        <v>5724</v>
      </c>
      <c r="J782" s="42"/>
      <c r="K782" s="44"/>
      <c r="L782" s="19"/>
      <c r="M782" s="44"/>
      <c r="N782" s="45"/>
      <c r="O782" s="46">
        <f t="shared" si="444"/>
        <v>5724</v>
      </c>
      <c r="P782" s="51"/>
      <c r="Q782" s="51"/>
      <c r="R782" s="73">
        <f t="shared" si="434"/>
        <v>4372.01401050788</v>
      </c>
      <c r="S782" s="73"/>
      <c r="T782" s="74">
        <f t="shared" si="435"/>
        <v>9.09299474605954</v>
      </c>
      <c r="U782" s="73"/>
      <c r="V782" s="73"/>
      <c r="W782" s="73">
        <f t="shared" si="428"/>
        <v>4381.10700525394</v>
      </c>
      <c r="X782" s="75">
        <f t="shared" si="436"/>
        <v>75.2098949211909</v>
      </c>
      <c r="Y782" s="75"/>
      <c r="Z782" s="75"/>
      <c r="AA782" s="75">
        <f t="shared" si="431"/>
        <v>75.2098949211909</v>
      </c>
      <c r="AB782" s="84">
        <v>7.22</v>
      </c>
      <c r="AC782" s="73">
        <f t="shared" si="429"/>
        <v>543.015441330998</v>
      </c>
      <c r="AD782" s="73">
        <f t="shared" si="430"/>
        <v>4924.12244658494</v>
      </c>
      <c r="AE782" s="73">
        <f t="shared" ref="AE782:AE813" si="445">SUM(O782-AD782)</f>
        <v>799.877553415061</v>
      </c>
    </row>
    <row r="783" customFormat="1" spans="1:31">
      <c r="A783" s="18"/>
      <c r="B783" s="19"/>
      <c r="C783" s="20">
        <v>240520000003</v>
      </c>
      <c r="D783" s="21">
        <v>45436</v>
      </c>
      <c r="E783" s="21" t="s">
        <v>37</v>
      </c>
      <c r="F783" s="19" t="s">
        <v>38</v>
      </c>
      <c r="G783" s="19" t="s">
        <v>507</v>
      </c>
      <c r="H783" s="19">
        <v>4</v>
      </c>
      <c r="I783" s="41">
        <v>259</v>
      </c>
      <c r="J783" s="42"/>
      <c r="K783" s="44"/>
      <c r="L783" s="19"/>
      <c r="M783" s="44"/>
      <c r="N783" s="45"/>
      <c r="O783" s="46">
        <f t="shared" si="444"/>
        <v>259</v>
      </c>
      <c r="P783" s="51"/>
      <c r="Q783" s="51"/>
      <c r="R783" s="73">
        <f t="shared" si="434"/>
        <v>161.926444833625</v>
      </c>
      <c r="S783" s="73"/>
      <c r="T783" s="74">
        <f t="shared" si="435"/>
        <v>0.336777583187391</v>
      </c>
      <c r="U783" s="73"/>
      <c r="V783" s="73"/>
      <c r="W783" s="73">
        <f t="shared" ref="W783:W813" si="446">SUM(R783:V783)</f>
        <v>162.263222416813</v>
      </c>
      <c r="X783" s="75">
        <f t="shared" si="436"/>
        <v>2.78555166374781</v>
      </c>
      <c r="Y783" s="75"/>
      <c r="Z783" s="75"/>
      <c r="AA783" s="75">
        <f t="shared" si="431"/>
        <v>2.78555166374781</v>
      </c>
      <c r="AB783" s="84">
        <v>7.22</v>
      </c>
      <c r="AC783" s="73">
        <f t="shared" ref="AC783:AC813" si="447">SUM(AA783*AB783)</f>
        <v>20.1116830122592</v>
      </c>
      <c r="AD783" s="73">
        <f t="shared" ref="AD783:AD813" si="448">SUM(W783+AC783)</f>
        <v>182.374905429072</v>
      </c>
      <c r="AE783" s="73">
        <f t="shared" si="445"/>
        <v>76.6250945709282</v>
      </c>
    </row>
    <row r="784" customFormat="1" spans="1:31">
      <c r="A784" s="18"/>
      <c r="B784" s="19"/>
      <c r="C784" s="20">
        <v>240520000004</v>
      </c>
      <c r="D784" s="21">
        <v>45436</v>
      </c>
      <c r="E784" s="21" t="s">
        <v>37</v>
      </c>
      <c r="F784" s="19" t="s">
        <v>38</v>
      </c>
      <c r="G784" s="19" t="s">
        <v>143</v>
      </c>
      <c r="H784" s="19">
        <v>0.9</v>
      </c>
      <c r="I784" s="41">
        <v>160</v>
      </c>
      <c r="J784" s="42"/>
      <c r="K784" s="44"/>
      <c r="L784" s="19"/>
      <c r="M784" s="44"/>
      <c r="N784" s="45"/>
      <c r="O784" s="46">
        <f t="shared" si="444"/>
        <v>160</v>
      </c>
      <c r="P784" s="51"/>
      <c r="Q784" s="51"/>
      <c r="R784" s="73">
        <f t="shared" si="434"/>
        <v>36.4334500875657</v>
      </c>
      <c r="S784" s="73"/>
      <c r="T784" s="74">
        <f t="shared" si="435"/>
        <v>0.0757749562171629</v>
      </c>
      <c r="U784" s="73"/>
      <c r="V784" s="73"/>
      <c r="W784" s="73">
        <f t="shared" si="446"/>
        <v>36.5092250437828</v>
      </c>
      <c r="X784" s="75">
        <f t="shared" si="436"/>
        <v>0.626749124343257</v>
      </c>
      <c r="Y784" s="75"/>
      <c r="Z784" s="75"/>
      <c r="AA784" s="75">
        <f t="shared" ref="AA784:AA813" si="449">SUM(X784:Z784)</f>
        <v>0.626749124343257</v>
      </c>
      <c r="AB784" s="84">
        <v>7.22</v>
      </c>
      <c r="AC784" s="73">
        <f t="shared" si="447"/>
        <v>4.52512867775832</v>
      </c>
      <c r="AD784" s="73">
        <f t="shared" si="448"/>
        <v>41.0343537215412</v>
      </c>
      <c r="AE784" s="73">
        <f t="shared" si="445"/>
        <v>118.965646278459</v>
      </c>
    </row>
    <row r="785" customFormat="1" spans="1:31">
      <c r="A785" s="18"/>
      <c r="B785" s="19"/>
      <c r="C785" s="20">
        <v>240520000006</v>
      </c>
      <c r="D785" s="21">
        <v>45436</v>
      </c>
      <c r="E785" s="21" t="s">
        <v>37</v>
      </c>
      <c r="F785" s="19" t="s">
        <v>38</v>
      </c>
      <c r="G785" s="19" t="s">
        <v>318</v>
      </c>
      <c r="H785" s="19">
        <v>1.5</v>
      </c>
      <c r="I785" s="46"/>
      <c r="J785" s="48">
        <v>22800</v>
      </c>
      <c r="K785" s="44"/>
      <c r="L785" s="49">
        <f>SUM(J785/M785)</f>
        <v>1802.37139902202</v>
      </c>
      <c r="M785" s="50">
        <v>12.650001</v>
      </c>
      <c r="N785" s="45">
        <v>7.22</v>
      </c>
      <c r="O785" s="46">
        <f>SUM(M785*N785)</f>
        <v>91.33300722</v>
      </c>
      <c r="P785" s="51"/>
      <c r="Q785" s="51"/>
      <c r="R785" s="73">
        <f t="shared" ref="R785:R813" si="450">SUM(92460/2284)*H785</f>
        <v>60.7224168126095</v>
      </c>
      <c r="S785" s="73"/>
      <c r="T785" s="74">
        <f t="shared" ref="T785:T813" si="451">SUM(192.3/2284)*H785</f>
        <v>0.126291593695271</v>
      </c>
      <c r="U785" s="73"/>
      <c r="V785" s="73"/>
      <c r="W785" s="73">
        <f t="shared" si="446"/>
        <v>60.8487084063047</v>
      </c>
      <c r="X785" s="75">
        <f t="shared" ref="X785:X813" si="452">SUM(1590.55/2284)*H785</f>
        <v>1.04458187390543</v>
      </c>
      <c r="Y785" s="75"/>
      <c r="Z785" s="75"/>
      <c r="AA785" s="75">
        <f t="shared" si="449"/>
        <v>1.04458187390543</v>
      </c>
      <c r="AB785" s="84">
        <v>7.22</v>
      </c>
      <c r="AC785" s="73">
        <f t="shared" si="447"/>
        <v>7.5418811295972</v>
      </c>
      <c r="AD785" s="73">
        <f t="shared" si="448"/>
        <v>68.3905895359019</v>
      </c>
      <c r="AE785" s="73">
        <f t="shared" si="445"/>
        <v>22.9424176840981</v>
      </c>
    </row>
    <row r="786" customFormat="1" spans="1:31">
      <c r="A786" s="18"/>
      <c r="B786" s="19"/>
      <c r="C786" s="20">
        <v>240520000007</v>
      </c>
      <c r="D786" s="21">
        <v>45436</v>
      </c>
      <c r="E786" s="21" t="s">
        <v>47</v>
      </c>
      <c r="F786" s="19" t="s">
        <v>48</v>
      </c>
      <c r="G786" s="19" t="s">
        <v>508</v>
      </c>
      <c r="H786" s="19">
        <v>0.72</v>
      </c>
      <c r="I786" s="90">
        <v>67</v>
      </c>
      <c r="J786" s="42"/>
      <c r="K786" s="44"/>
      <c r="L786" s="19"/>
      <c r="M786" s="44"/>
      <c r="N786" s="45"/>
      <c r="O786" s="46">
        <f>SUBTOTAL(9,I786)</f>
        <v>67</v>
      </c>
      <c r="P786" s="51"/>
      <c r="Q786" s="51"/>
      <c r="R786" s="73">
        <f t="shared" si="450"/>
        <v>29.1467600700525</v>
      </c>
      <c r="S786" s="73"/>
      <c r="T786" s="74">
        <f t="shared" si="451"/>
        <v>0.0606199649737303</v>
      </c>
      <c r="U786" s="73"/>
      <c r="V786" s="73"/>
      <c r="W786" s="73">
        <f t="shared" si="446"/>
        <v>29.2073800350263</v>
      </c>
      <c r="X786" s="75">
        <f t="shared" si="452"/>
        <v>0.501399299474606</v>
      </c>
      <c r="Y786" s="75"/>
      <c r="Z786" s="75"/>
      <c r="AA786" s="75">
        <f t="shared" si="449"/>
        <v>0.501399299474606</v>
      </c>
      <c r="AB786" s="84">
        <v>7.22</v>
      </c>
      <c r="AC786" s="73">
        <f t="shared" si="447"/>
        <v>3.62010294220665</v>
      </c>
      <c r="AD786" s="73">
        <f t="shared" si="448"/>
        <v>32.8274829772329</v>
      </c>
      <c r="AE786" s="73">
        <f t="shared" si="445"/>
        <v>34.1725170227671</v>
      </c>
    </row>
    <row r="787" customFormat="1" spans="1:31">
      <c r="A787" s="18"/>
      <c r="B787" s="19"/>
      <c r="C787" s="20">
        <v>240520000015</v>
      </c>
      <c r="D787" s="21">
        <v>45436</v>
      </c>
      <c r="E787" s="21" t="s">
        <v>47</v>
      </c>
      <c r="F787" s="19" t="s">
        <v>48</v>
      </c>
      <c r="G787" s="19" t="s">
        <v>509</v>
      </c>
      <c r="H787" s="19">
        <v>1.5</v>
      </c>
      <c r="I787" s="46"/>
      <c r="J787" s="48">
        <v>19228</v>
      </c>
      <c r="K787" s="44"/>
      <c r="L787" s="49">
        <f>SUM(J787/M787)</f>
        <v>1519.99987984191</v>
      </c>
      <c r="M787" s="50">
        <v>12.650001</v>
      </c>
      <c r="N787" s="45">
        <v>7.22</v>
      </c>
      <c r="O787" s="46">
        <f>SUM(M787*N787)</f>
        <v>91.33300722</v>
      </c>
      <c r="P787" s="51"/>
      <c r="Q787" s="51"/>
      <c r="R787" s="73">
        <f t="shared" si="450"/>
        <v>60.7224168126095</v>
      </c>
      <c r="S787" s="73"/>
      <c r="T787" s="74">
        <f t="shared" si="451"/>
        <v>0.126291593695271</v>
      </c>
      <c r="U787" s="73"/>
      <c r="V787" s="73"/>
      <c r="W787" s="73">
        <f t="shared" si="446"/>
        <v>60.8487084063047</v>
      </c>
      <c r="X787" s="75">
        <f t="shared" si="452"/>
        <v>1.04458187390543</v>
      </c>
      <c r="Y787" s="75"/>
      <c r="Z787" s="75"/>
      <c r="AA787" s="75">
        <f t="shared" si="449"/>
        <v>1.04458187390543</v>
      </c>
      <c r="AB787" s="84">
        <v>7.22</v>
      </c>
      <c r="AC787" s="73">
        <f t="shared" si="447"/>
        <v>7.5418811295972</v>
      </c>
      <c r="AD787" s="73">
        <f t="shared" si="448"/>
        <v>68.3905895359019</v>
      </c>
      <c r="AE787" s="73">
        <f t="shared" si="445"/>
        <v>22.9424176840981</v>
      </c>
    </row>
    <row r="788" customFormat="1" spans="1:31">
      <c r="A788" s="18"/>
      <c r="B788" s="19"/>
      <c r="C788" s="20">
        <v>240520000017</v>
      </c>
      <c r="D788" s="21">
        <v>45436</v>
      </c>
      <c r="E788" s="21" t="s">
        <v>44</v>
      </c>
      <c r="F788" s="19" t="s">
        <v>127</v>
      </c>
      <c r="G788" s="19" t="s">
        <v>128</v>
      </c>
      <c r="H788" s="19">
        <v>15</v>
      </c>
      <c r="I788" s="41">
        <v>795</v>
      </c>
      <c r="J788" s="42"/>
      <c r="K788" s="44"/>
      <c r="L788" s="19"/>
      <c r="M788" s="44"/>
      <c r="N788" s="45"/>
      <c r="O788" s="46">
        <f t="shared" ref="O788:O795" si="453">SUM(I788)</f>
        <v>795</v>
      </c>
      <c r="P788" s="51"/>
      <c r="Q788" s="51"/>
      <c r="R788" s="73">
        <f t="shared" si="450"/>
        <v>607.224168126095</v>
      </c>
      <c r="S788" s="73"/>
      <c r="T788" s="74">
        <f t="shared" si="451"/>
        <v>1.26291593695271</v>
      </c>
      <c r="U788" s="73"/>
      <c r="V788" s="73"/>
      <c r="W788" s="73">
        <f t="shared" si="446"/>
        <v>608.487084063047</v>
      </c>
      <c r="X788" s="75">
        <f t="shared" si="452"/>
        <v>10.4458187390543</v>
      </c>
      <c r="Y788" s="75"/>
      <c r="Z788" s="75"/>
      <c r="AA788" s="75">
        <f t="shared" si="449"/>
        <v>10.4458187390543</v>
      </c>
      <c r="AB788" s="84">
        <v>7.22</v>
      </c>
      <c r="AC788" s="73">
        <f t="shared" si="447"/>
        <v>75.418811295972</v>
      </c>
      <c r="AD788" s="73">
        <f t="shared" si="448"/>
        <v>683.905895359019</v>
      </c>
      <c r="AE788" s="73">
        <f t="shared" si="445"/>
        <v>111.094104640981</v>
      </c>
    </row>
    <row r="789" customFormat="1" spans="1:31">
      <c r="A789" s="18"/>
      <c r="B789" s="19"/>
      <c r="C789" s="20">
        <v>240520000019</v>
      </c>
      <c r="D789" s="21">
        <v>45436</v>
      </c>
      <c r="E789" s="21" t="s">
        <v>41</v>
      </c>
      <c r="F789" s="19" t="s">
        <v>42</v>
      </c>
      <c r="G789" s="19" t="s">
        <v>141</v>
      </c>
      <c r="H789" s="19">
        <v>0.16</v>
      </c>
      <c r="I789" s="41">
        <v>58</v>
      </c>
      <c r="J789" s="42"/>
      <c r="K789" s="44"/>
      <c r="L789" s="19"/>
      <c r="M789" s="44"/>
      <c r="N789" s="45"/>
      <c r="O789" s="46">
        <f t="shared" si="453"/>
        <v>58</v>
      </c>
      <c r="P789" s="51"/>
      <c r="Q789" s="51"/>
      <c r="R789" s="73">
        <f t="shared" si="450"/>
        <v>6.47705779334501</v>
      </c>
      <c r="S789" s="73"/>
      <c r="T789" s="74">
        <f t="shared" si="451"/>
        <v>0.0134711033274956</v>
      </c>
      <c r="U789" s="73"/>
      <c r="V789" s="73"/>
      <c r="W789" s="73">
        <f t="shared" si="446"/>
        <v>6.49052889667251</v>
      </c>
      <c r="X789" s="75">
        <f t="shared" si="452"/>
        <v>0.111422066549912</v>
      </c>
      <c r="Y789" s="75"/>
      <c r="Z789" s="75"/>
      <c r="AA789" s="75">
        <f t="shared" si="449"/>
        <v>0.111422066549912</v>
      </c>
      <c r="AB789" s="84">
        <v>7.22</v>
      </c>
      <c r="AC789" s="73">
        <f t="shared" si="447"/>
        <v>0.804467320490368</v>
      </c>
      <c r="AD789" s="73">
        <f t="shared" si="448"/>
        <v>7.29499621716287</v>
      </c>
      <c r="AE789" s="73">
        <f t="shared" si="445"/>
        <v>50.7050037828371</v>
      </c>
    </row>
    <row r="790" customFormat="1" spans="1:31">
      <c r="A790" s="18"/>
      <c r="B790" s="19"/>
      <c r="C790" s="20">
        <v>240520000020</v>
      </c>
      <c r="D790" s="21">
        <v>45436</v>
      </c>
      <c r="E790" s="21" t="s">
        <v>41</v>
      </c>
      <c r="F790" s="19" t="s">
        <v>42</v>
      </c>
      <c r="G790" s="19" t="s">
        <v>503</v>
      </c>
      <c r="H790" s="19">
        <v>6.5</v>
      </c>
      <c r="I790" s="41">
        <v>375</v>
      </c>
      <c r="J790" s="42"/>
      <c r="K790" s="44"/>
      <c r="L790" s="19"/>
      <c r="M790" s="44"/>
      <c r="N790" s="45"/>
      <c r="O790" s="46">
        <f t="shared" si="453"/>
        <v>375</v>
      </c>
      <c r="P790" s="51"/>
      <c r="Q790" s="51"/>
      <c r="R790" s="73">
        <f t="shared" si="450"/>
        <v>263.130472854641</v>
      </c>
      <c r="S790" s="73"/>
      <c r="T790" s="74">
        <f t="shared" si="451"/>
        <v>0.54726357267951</v>
      </c>
      <c r="U790" s="73"/>
      <c r="V790" s="73"/>
      <c r="W790" s="73">
        <f t="shared" si="446"/>
        <v>263.67773642732</v>
      </c>
      <c r="X790" s="75">
        <f t="shared" si="452"/>
        <v>4.52652145359019</v>
      </c>
      <c r="Y790" s="75"/>
      <c r="Z790" s="75"/>
      <c r="AA790" s="75">
        <f t="shared" si="449"/>
        <v>4.52652145359019</v>
      </c>
      <c r="AB790" s="84">
        <v>7.22</v>
      </c>
      <c r="AC790" s="73">
        <f t="shared" si="447"/>
        <v>32.6814848949212</v>
      </c>
      <c r="AD790" s="73">
        <f t="shared" si="448"/>
        <v>296.359221322242</v>
      </c>
      <c r="AE790" s="73">
        <f t="shared" si="445"/>
        <v>78.6407786777583</v>
      </c>
    </row>
    <row r="791" customFormat="1" spans="1:31">
      <c r="A791" s="18"/>
      <c r="B791" s="19"/>
      <c r="C791" s="20">
        <v>240520000025</v>
      </c>
      <c r="D791" s="21">
        <v>45436</v>
      </c>
      <c r="E791" s="21" t="s">
        <v>44</v>
      </c>
      <c r="F791" s="19" t="s">
        <v>45</v>
      </c>
      <c r="G791" s="19" t="s">
        <v>437</v>
      </c>
      <c r="H791" s="19">
        <v>3.5</v>
      </c>
      <c r="I791" s="41">
        <v>277</v>
      </c>
      <c r="J791" s="42"/>
      <c r="K791" s="44"/>
      <c r="L791" s="19"/>
      <c r="M791" s="44"/>
      <c r="N791" s="45"/>
      <c r="O791" s="46">
        <f t="shared" si="453"/>
        <v>277</v>
      </c>
      <c r="P791" s="51"/>
      <c r="Q791" s="51"/>
      <c r="R791" s="73">
        <f t="shared" si="450"/>
        <v>141.685639229422</v>
      </c>
      <c r="S791" s="73"/>
      <c r="T791" s="74">
        <f t="shared" si="451"/>
        <v>0.294680385288967</v>
      </c>
      <c r="U791" s="73"/>
      <c r="V791" s="73"/>
      <c r="W791" s="73">
        <f t="shared" si="446"/>
        <v>141.980319614711</v>
      </c>
      <c r="X791" s="75">
        <f t="shared" si="452"/>
        <v>2.43735770577933</v>
      </c>
      <c r="Y791" s="75"/>
      <c r="Z791" s="75"/>
      <c r="AA791" s="75">
        <f t="shared" si="449"/>
        <v>2.43735770577933</v>
      </c>
      <c r="AB791" s="84">
        <v>7.22</v>
      </c>
      <c r="AC791" s="73">
        <f t="shared" si="447"/>
        <v>17.5977226357268</v>
      </c>
      <c r="AD791" s="73">
        <f t="shared" si="448"/>
        <v>159.578042250438</v>
      </c>
      <c r="AE791" s="73">
        <f t="shared" si="445"/>
        <v>117.421957749562</v>
      </c>
    </row>
    <row r="792" customFormat="1" spans="1:31">
      <c r="A792" s="18"/>
      <c r="B792" s="19"/>
      <c r="C792" s="20">
        <v>240520000026</v>
      </c>
      <c r="D792" s="21">
        <v>45436</v>
      </c>
      <c r="E792" s="21" t="s">
        <v>41</v>
      </c>
      <c r="F792" s="19" t="s">
        <v>42</v>
      </c>
      <c r="G792" s="19" t="s">
        <v>177</v>
      </c>
      <c r="H792" s="19">
        <v>35</v>
      </c>
      <c r="I792" s="41">
        <v>2030</v>
      </c>
      <c r="J792" s="42"/>
      <c r="K792" s="44"/>
      <c r="L792" s="19"/>
      <c r="M792" s="44"/>
      <c r="N792" s="45"/>
      <c r="O792" s="46">
        <f t="shared" si="453"/>
        <v>2030</v>
      </c>
      <c r="P792" s="51"/>
      <c r="Q792" s="51"/>
      <c r="R792" s="73">
        <f t="shared" si="450"/>
        <v>1416.85639229422</v>
      </c>
      <c r="S792" s="73"/>
      <c r="T792" s="74">
        <f t="shared" si="451"/>
        <v>2.94680385288967</v>
      </c>
      <c r="U792" s="73"/>
      <c r="V792" s="73"/>
      <c r="W792" s="73">
        <f t="shared" si="446"/>
        <v>1419.80319614711</v>
      </c>
      <c r="X792" s="75">
        <f t="shared" si="452"/>
        <v>24.3735770577933</v>
      </c>
      <c r="Y792" s="75"/>
      <c r="Z792" s="75"/>
      <c r="AA792" s="75">
        <f t="shared" si="449"/>
        <v>24.3735770577933</v>
      </c>
      <c r="AB792" s="84">
        <v>7.22</v>
      </c>
      <c r="AC792" s="73">
        <f t="shared" si="447"/>
        <v>175.977226357268</v>
      </c>
      <c r="AD792" s="73">
        <f t="shared" si="448"/>
        <v>1595.78042250438</v>
      </c>
      <c r="AE792" s="73">
        <f t="shared" si="445"/>
        <v>434.219577495622</v>
      </c>
    </row>
    <row r="793" customFormat="1" spans="1:31">
      <c r="A793" s="18"/>
      <c r="B793" s="19"/>
      <c r="C793" s="20">
        <v>240520000028</v>
      </c>
      <c r="D793" s="21">
        <v>45436</v>
      </c>
      <c r="E793" s="21" t="s">
        <v>41</v>
      </c>
      <c r="F793" s="19" t="s">
        <v>42</v>
      </c>
      <c r="G793" s="19" t="s">
        <v>156</v>
      </c>
      <c r="H793" s="19">
        <v>25.5</v>
      </c>
      <c r="I793" s="41">
        <v>1351.5</v>
      </c>
      <c r="J793" s="42"/>
      <c r="K793" s="44"/>
      <c r="L793" s="19"/>
      <c r="M793" s="44"/>
      <c r="N793" s="45"/>
      <c r="O793" s="46">
        <f t="shared" si="453"/>
        <v>1351.5</v>
      </c>
      <c r="P793" s="51"/>
      <c r="Q793" s="51"/>
      <c r="R793" s="73">
        <f t="shared" si="450"/>
        <v>1032.28108581436</v>
      </c>
      <c r="S793" s="73"/>
      <c r="T793" s="74">
        <f t="shared" si="451"/>
        <v>2.14695709281961</v>
      </c>
      <c r="U793" s="73"/>
      <c r="V793" s="73"/>
      <c r="W793" s="73">
        <f t="shared" si="446"/>
        <v>1034.42804290718</v>
      </c>
      <c r="X793" s="75">
        <f t="shared" si="452"/>
        <v>17.7578918563923</v>
      </c>
      <c r="Y793" s="75"/>
      <c r="Z793" s="75"/>
      <c r="AA793" s="75">
        <f t="shared" si="449"/>
        <v>17.7578918563923</v>
      </c>
      <c r="AB793" s="84">
        <v>7.22</v>
      </c>
      <c r="AC793" s="73">
        <f t="shared" si="447"/>
        <v>128.211979203152</v>
      </c>
      <c r="AD793" s="73">
        <f t="shared" si="448"/>
        <v>1162.64002211033</v>
      </c>
      <c r="AE793" s="73">
        <f t="shared" si="445"/>
        <v>188.859977889667</v>
      </c>
    </row>
    <row r="794" customFormat="1" spans="1:31">
      <c r="A794" s="18"/>
      <c r="B794" s="19"/>
      <c r="C794" s="20">
        <v>240520000029</v>
      </c>
      <c r="D794" s="21">
        <v>45436</v>
      </c>
      <c r="E794" s="21" t="s">
        <v>41</v>
      </c>
      <c r="F794" s="19" t="s">
        <v>42</v>
      </c>
      <c r="G794" s="19" t="s">
        <v>281</v>
      </c>
      <c r="H794" s="19">
        <v>1.5</v>
      </c>
      <c r="I794" s="41">
        <v>99</v>
      </c>
      <c r="J794" s="42"/>
      <c r="K794" s="44"/>
      <c r="L794" s="19"/>
      <c r="M794" s="44"/>
      <c r="N794" s="45"/>
      <c r="O794" s="46">
        <f t="shared" si="453"/>
        <v>99</v>
      </c>
      <c r="P794" s="51"/>
      <c r="Q794" s="51"/>
      <c r="R794" s="73">
        <f t="shared" si="450"/>
        <v>60.7224168126095</v>
      </c>
      <c r="S794" s="73"/>
      <c r="T794" s="74">
        <f t="shared" si="451"/>
        <v>0.126291593695271</v>
      </c>
      <c r="U794" s="73"/>
      <c r="V794" s="73"/>
      <c r="W794" s="73">
        <f t="shared" si="446"/>
        <v>60.8487084063047</v>
      </c>
      <c r="X794" s="75">
        <f t="shared" si="452"/>
        <v>1.04458187390543</v>
      </c>
      <c r="Y794" s="75"/>
      <c r="Z794" s="75"/>
      <c r="AA794" s="75">
        <f t="shared" si="449"/>
        <v>1.04458187390543</v>
      </c>
      <c r="AB794" s="84">
        <v>7.22</v>
      </c>
      <c r="AC794" s="73">
        <f t="shared" si="447"/>
        <v>7.5418811295972</v>
      </c>
      <c r="AD794" s="73">
        <f t="shared" si="448"/>
        <v>68.3905895359019</v>
      </c>
      <c r="AE794" s="73">
        <f t="shared" si="445"/>
        <v>30.6094104640981</v>
      </c>
    </row>
    <row r="795" customFormat="1" spans="1:31">
      <c r="A795" s="18"/>
      <c r="B795" s="19"/>
      <c r="C795" s="22">
        <v>240520000031</v>
      </c>
      <c r="D795" s="23">
        <v>45436</v>
      </c>
      <c r="E795" s="21" t="s">
        <v>44</v>
      </c>
      <c r="F795" s="24" t="s">
        <v>45</v>
      </c>
      <c r="G795" s="24" t="s">
        <v>492</v>
      </c>
      <c r="H795" s="24">
        <v>45.5</v>
      </c>
      <c r="I795" s="41">
        <v>2639</v>
      </c>
      <c r="J795" s="42"/>
      <c r="K795" s="44"/>
      <c r="L795" s="19"/>
      <c r="M795" s="44"/>
      <c r="N795" s="45"/>
      <c r="O795" s="46">
        <f t="shared" si="453"/>
        <v>2639</v>
      </c>
      <c r="P795" s="51"/>
      <c r="Q795" s="51"/>
      <c r="R795" s="73">
        <f t="shared" si="450"/>
        <v>1841.91330998249</v>
      </c>
      <c r="S795" s="73"/>
      <c r="T795" s="74">
        <f t="shared" si="451"/>
        <v>3.83084500875657</v>
      </c>
      <c r="U795" s="73"/>
      <c r="V795" s="73"/>
      <c r="W795" s="73">
        <f t="shared" si="446"/>
        <v>1845.74415499124</v>
      </c>
      <c r="X795" s="75">
        <f t="shared" si="452"/>
        <v>31.6856501751313</v>
      </c>
      <c r="Y795" s="75"/>
      <c r="Z795" s="75"/>
      <c r="AA795" s="75">
        <f t="shared" si="449"/>
        <v>31.6856501751313</v>
      </c>
      <c r="AB795" s="84">
        <v>7.22</v>
      </c>
      <c r="AC795" s="73">
        <f t="shared" si="447"/>
        <v>228.770394264448</v>
      </c>
      <c r="AD795" s="73">
        <f t="shared" si="448"/>
        <v>2074.51454925569</v>
      </c>
      <c r="AE795" s="73">
        <f t="shared" si="445"/>
        <v>564.485450744308</v>
      </c>
    </row>
    <row r="796" customFormat="1" spans="1:31">
      <c r="A796" s="18"/>
      <c r="B796" s="19"/>
      <c r="C796" s="20">
        <v>240520000033</v>
      </c>
      <c r="D796" s="21">
        <v>45436</v>
      </c>
      <c r="E796" s="21" t="s">
        <v>44</v>
      </c>
      <c r="F796" s="19" t="s">
        <v>45</v>
      </c>
      <c r="G796" s="19" t="s">
        <v>299</v>
      </c>
      <c r="H796" s="19">
        <v>3.5</v>
      </c>
      <c r="I796" s="52"/>
      <c r="J796" s="48">
        <v>42848</v>
      </c>
      <c r="K796" s="44"/>
      <c r="L796" s="49">
        <f t="shared" ref="L796:L799" si="454">SUM(J796/M796)</f>
        <v>1501.8576936558</v>
      </c>
      <c r="M796" s="50">
        <v>28.53</v>
      </c>
      <c r="N796" s="45">
        <v>7.22</v>
      </c>
      <c r="O796" s="46">
        <f t="shared" ref="O796:O799" si="455">SUM(M796*N796)</f>
        <v>205.9866</v>
      </c>
      <c r="P796" s="51"/>
      <c r="Q796" s="51"/>
      <c r="R796" s="73">
        <f t="shared" si="450"/>
        <v>141.685639229422</v>
      </c>
      <c r="S796" s="73"/>
      <c r="T796" s="74">
        <f t="shared" si="451"/>
        <v>0.294680385288967</v>
      </c>
      <c r="U796" s="73"/>
      <c r="V796" s="73"/>
      <c r="W796" s="73">
        <f t="shared" si="446"/>
        <v>141.980319614711</v>
      </c>
      <c r="X796" s="75">
        <f t="shared" si="452"/>
        <v>2.43735770577933</v>
      </c>
      <c r="Y796" s="75"/>
      <c r="Z796" s="75"/>
      <c r="AA796" s="75">
        <f t="shared" si="449"/>
        <v>2.43735770577933</v>
      </c>
      <c r="AB796" s="84">
        <v>7.22</v>
      </c>
      <c r="AC796" s="73">
        <f t="shared" si="447"/>
        <v>17.5977226357268</v>
      </c>
      <c r="AD796" s="73">
        <f t="shared" si="448"/>
        <v>159.578042250438</v>
      </c>
      <c r="AE796" s="73">
        <f t="shared" si="445"/>
        <v>46.4085577495622</v>
      </c>
    </row>
    <row r="797" customFormat="1" spans="1:31">
      <c r="A797" s="18"/>
      <c r="B797" s="19"/>
      <c r="C797" s="20">
        <v>240520000034</v>
      </c>
      <c r="D797" s="21">
        <v>45436</v>
      </c>
      <c r="E797" s="21" t="s">
        <v>44</v>
      </c>
      <c r="F797" s="19" t="s">
        <v>45</v>
      </c>
      <c r="G797" s="19" t="s">
        <v>289</v>
      </c>
      <c r="H797" s="19">
        <v>21.5</v>
      </c>
      <c r="I797" s="41">
        <v>1139.5</v>
      </c>
      <c r="J797" s="42"/>
      <c r="K797" s="44"/>
      <c r="L797" s="19"/>
      <c r="M797" s="44"/>
      <c r="N797" s="45"/>
      <c r="O797" s="46">
        <f t="shared" ref="O797:O801" si="456">SUM(I797)</f>
        <v>1139.5</v>
      </c>
      <c r="P797" s="51"/>
      <c r="Q797" s="51"/>
      <c r="R797" s="73">
        <f t="shared" si="450"/>
        <v>870.354640980736</v>
      </c>
      <c r="S797" s="73"/>
      <c r="T797" s="74">
        <f t="shared" si="451"/>
        <v>1.81017950963222</v>
      </c>
      <c r="U797" s="73"/>
      <c r="V797" s="73"/>
      <c r="W797" s="73">
        <f t="shared" si="446"/>
        <v>872.164820490368</v>
      </c>
      <c r="X797" s="75">
        <f t="shared" si="452"/>
        <v>14.9723401926445</v>
      </c>
      <c r="Y797" s="75"/>
      <c r="Z797" s="75"/>
      <c r="AA797" s="75">
        <f t="shared" si="449"/>
        <v>14.9723401926445</v>
      </c>
      <c r="AB797" s="84">
        <v>7.22</v>
      </c>
      <c r="AC797" s="73">
        <f t="shared" si="447"/>
        <v>108.100296190893</v>
      </c>
      <c r="AD797" s="73">
        <f t="shared" si="448"/>
        <v>980.265116681261</v>
      </c>
      <c r="AE797" s="73">
        <f t="shared" si="445"/>
        <v>159.234883318739</v>
      </c>
    </row>
    <row r="798" customFormat="1" spans="1:31">
      <c r="A798" s="18"/>
      <c r="B798" s="19"/>
      <c r="C798" s="20">
        <v>240520000041</v>
      </c>
      <c r="D798" s="21">
        <v>45436</v>
      </c>
      <c r="E798" s="21" t="s">
        <v>37</v>
      </c>
      <c r="F798" s="19" t="s">
        <v>38</v>
      </c>
      <c r="G798" s="19" t="s">
        <v>132</v>
      </c>
      <c r="H798" s="19">
        <v>3</v>
      </c>
      <c r="I798" s="46"/>
      <c r="J798" s="48">
        <v>37696</v>
      </c>
      <c r="K798" s="44"/>
      <c r="L798" s="49">
        <f t="shared" si="454"/>
        <v>1520</v>
      </c>
      <c r="M798" s="50">
        <v>24.8</v>
      </c>
      <c r="N798" s="45">
        <v>7.22</v>
      </c>
      <c r="O798" s="46">
        <f t="shared" si="455"/>
        <v>179.056</v>
      </c>
      <c r="P798" s="51"/>
      <c r="Q798" s="51"/>
      <c r="R798" s="73">
        <f t="shared" si="450"/>
        <v>121.444833625219</v>
      </c>
      <c r="S798" s="73"/>
      <c r="T798" s="74">
        <f t="shared" si="451"/>
        <v>0.252583187390543</v>
      </c>
      <c r="U798" s="73"/>
      <c r="V798" s="73"/>
      <c r="W798" s="73">
        <f t="shared" si="446"/>
        <v>121.697416812609</v>
      </c>
      <c r="X798" s="75">
        <f t="shared" si="452"/>
        <v>2.08916374781086</v>
      </c>
      <c r="Y798" s="75"/>
      <c r="Z798" s="75"/>
      <c r="AA798" s="75">
        <f t="shared" si="449"/>
        <v>2.08916374781086</v>
      </c>
      <c r="AB798" s="84">
        <v>7.22</v>
      </c>
      <c r="AC798" s="73">
        <f t="shared" si="447"/>
        <v>15.0837622591944</v>
      </c>
      <c r="AD798" s="73">
        <f t="shared" si="448"/>
        <v>136.781179071804</v>
      </c>
      <c r="AE798" s="73">
        <f t="shared" si="445"/>
        <v>42.2748209281962</v>
      </c>
    </row>
    <row r="799" customFormat="1" spans="1:31">
      <c r="A799" s="18"/>
      <c r="B799" s="19"/>
      <c r="C799" s="20">
        <v>240520000045</v>
      </c>
      <c r="D799" s="21">
        <v>45436</v>
      </c>
      <c r="E799" s="21" t="s">
        <v>44</v>
      </c>
      <c r="F799" s="19" t="s">
        <v>45</v>
      </c>
      <c r="G799" s="19" t="s">
        <v>510</v>
      </c>
      <c r="H799" s="19">
        <v>7.5</v>
      </c>
      <c r="I799" s="52"/>
      <c r="J799" s="48">
        <v>88722</v>
      </c>
      <c r="K799" s="44"/>
      <c r="L799" s="49">
        <f t="shared" si="454"/>
        <v>1530.74534161491</v>
      </c>
      <c r="M799" s="50">
        <v>57.96</v>
      </c>
      <c r="N799" s="45">
        <v>7.22</v>
      </c>
      <c r="O799" s="46">
        <f t="shared" si="455"/>
        <v>418.4712</v>
      </c>
      <c r="P799" s="51"/>
      <c r="Q799" s="51"/>
      <c r="R799" s="73">
        <f t="shared" si="450"/>
        <v>303.612084063047</v>
      </c>
      <c r="S799" s="73"/>
      <c r="T799" s="74">
        <f t="shared" si="451"/>
        <v>0.631457968476357</v>
      </c>
      <c r="U799" s="73"/>
      <c r="V799" s="73"/>
      <c r="W799" s="73">
        <f t="shared" si="446"/>
        <v>304.243542031524</v>
      </c>
      <c r="X799" s="75">
        <f t="shared" si="452"/>
        <v>5.22290936952715</v>
      </c>
      <c r="Y799" s="75"/>
      <c r="Z799" s="75"/>
      <c r="AA799" s="75">
        <f t="shared" si="449"/>
        <v>5.22290936952715</v>
      </c>
      <c r="AB799" s="84">
        <v>7.22</v>
      </c>
      <c r="AC799" s="73">
        <f t="shared" si="447"/>
        <v>37.709405647986</v>
      </c>
      <c r="AD799" s="73">
        <f t="shared" si="448"/>
        <v>341.95294767951</v>
      </c>
      <c r="AE799" s="73">
        <f t="shared" si="445"/>
        <v>76.5182523204904</v>
      </c>
    </row>
    <row r="800" customFormat="1" spans="1:31">
      <c r="A800" s="18"/>
      <c r="B800" s="19"/>
      <c r="C800" s="20">
        <v>240520000046</v>
      </c>
      <c r="D800" s="21">
        <v>45436</v>
      </c>
      <c r="E800" s="21" t="s">
        <v>41</v>
      </c>
      <c r="F800" s="19" t="s">
        <v>42</v>
      </c>
      <c r="G800" s="19" t="s">
        <v>96</v>
      </c>
      <c r="H800" s="19">
        <v>95</v>
      </c>
      <c r="I800" s="41">
        <v>4845</v>
      </c>
      <c r="J800" s="42"/>
      <c r="K800" s="44"/>
      <c r="L800" s="19"/>
      <c r="M800" s="44"/>
      <c r="N800" s="45"/>
      <c r="O800" s="46">
        <f t="shared" si="456"/>
        <v>4845</v>
      </c>
      <c r="P800" s="51"/>
      <c r="Q800" s="51"/>
      <c r="R800" s="73">
        <f t="shared" si="450"/>
        <v>3845.7530647986</v>
      </c>
      <c r="S800" s="73"/>
      <c r="T800" s="74">
        <f t="shared" si="451"/>
        <v>7.99846760070053</v>
      </c>
      <c r="U800" s="73"/>
      <c r="V800" s="73"/>
      <c r="W800" s="73">
        <f t="shared" si="446"/>
        <v>3853.7515323993</v>
      </c>
      <c r="X800" s="75">
        <f t="shared" si="452"/>
        <v>66.1568520140105</v>
      </c>
      <c r="Y800" s="75"/>
      <c r="Z800" s="75"/>
      <c r="AA800" s="75">
        <f t="shared" si="449"/>
        <v>66.1568520140105</v>
      </c>
      <c r="AB800" s="84">
        <v>7.22</v>
      </c>
      <c r="AC800" s="73">
        <f t="shared" si="447"/>
        <v>477.652471541156</v>
      </c>
      <c r="AD800" s="73">
        <f t="shared" si="448"/>
        <v>4331.40400394046</v>
      </c>
      <c r="AE800" s="73">
        <f t="shared" si="445"/>
        <v>513.595996059545</v>
      </c>
    </row>
    <row r="801" customFormat="1" spans="1:31">
      <c r="A801" s="18"/>
      <c r="B801" s="19"/>
      <c r="C801" s="20">
        <v>240520000047</v>
      </c>
      <c r="D801" s="21">
        <v>45436</v>
      </c>
      <c r="E801" s="21" t="s">
        <v>41</v>
      </c>
      <c r="F801" s="19" t="s">
        <v>42</v>
      </c>
      <c r="G801" s="19" t="s">
        <v>96</v>
      </c>
      <c r="H801" s="19">
        <v>47</v>
      </c>
      <c r="I801" s="41">
        <v>2371.5</v>
      </c>
      <c r="J801" s="42"/>
      <c r="K801" s="44"/>
      <c r="L801" s="19"/>
      <c r="M801" s="44"/>
      <c r="N801" s="45"/>
      <c r="O801" s="46">
        <f t="shared" si="456"/>
        <v>2371.5</v>
      </c>
      <c r="P801" s="51"/>
      <c r="Q801" s="51"/>
      <c r="R801" s="73">
        <f t="shared" si="450"/>
        <v>1902.6357267951</v>
      </c>
      <c r="S801" s="73"/>
      <c r="T801" s="74">
        <f t="shared" si="451"/>
        <v>3.95713660245184</v>
      </c>
      <c r="U801" s="73"/>
      <c r="V801" s="73"/>
      <c r="W801" s="73">
        <f t="shared" si="446"/>
        <v>1906.59286339755</v>
      </c>
      <c r="X801" s="75">
        <f t="shared" si="452"/>
        <v>32.7302320490368</v>
      </c>
      <c r="Y801" s="75"/>
      <c r="Z801" s="75"/>
      <c r="AA801" s="75">
        <f t="shared" si="449"/>
        <v>32.7302320490368</v>
      </c>
      <c r="AB801" s="84">
        <v>7.22</v>
      </c>
      <c r="AC801" s="73">
        <f t="shared" si="447"/>
        <v>236.312275394046</v>
      </c>
      <c r="AD801" s="73">
        <f t="shared" si="448"/>
        <v>2142.90513879159</v>
      </c>
      <c r="AE801" s="73">
        <f t="shared" si="445"/>
        <v>228.594861208406</v>
      </c>
    </row>
    <row r="802" customFormat="1" spans="1:31">
      <c r="A802" s="18"/>
      <c r="B802" s="19"/>
      <c r="C802" s="20">
        <v>240520000052</v>
      </c>
      <c r="D802" s="21">
        <v>45436</v>
      </c>
      <c r="E802" s="21" t="s">
        <v>157</v>
      </c>
      <c r="F802" s="19"/>
      <c r="G802" s="19" t="s">
        <v>158</v>
      </c>
      <c r="H802" s="19">
        <v>8</v>
      </c>
      <c r="I802" s="46"/>
      <c r="J802" s="48">
        <v>169050.1</v>
      </c>
      <c r="K802" s="44"/>
      <c r="L802" s="49">
        <f t="shared" ref="L802:L807" si="457">SUM(J802/M802)</f>
        <v>1502</v>
      </c>
      <c r="M802" s="50">
        <v>112.55</v>
      </c>
      <c r="N802" s="45">
        <v>7.22</v>
      </c>
      <c r="O802" s="46">
        <f t="shared" ref="O802:O807" si="458">SUM(M802*N802)</f>
        <v>812.611</v>
      </c>
      <c r="P802" s="51"/>
      <c r="Q802" s="51"/>
      <c r="R802" s="73">
        <f t="shared" si="450"/>
        <v>323.85288966725</v>
      </c>
      <c r="S802" s="73"/>
      <c r="T802" s="74">
        <f t="shared" si="451"/>
        <v>0.673555166374781</v>
      </c>
      <c r="U802" s="73"/>
      <c r="V802" s="73"/>
      <c r="W802" s="73">
        <f t="shared" si="446"/>
        <v>324.526444833625</v>
      </c>
      <c r="X802" s="75">
        <f t="shared" si="452"/>
        <v>5.57110332749562</v>
      </c>
      <c r="Y802" s="75"/>
      <c r="Z802" s="75"/>
      <c r="AA802" s="75">
        <f t="shared" si="449"/>
        <v>5.57110332749562</v>
      </c>
      <c r="AB802" s="84">
        <v>7.22</v>
      </c>
      <c r="AC802" s="73">
        <f t="shared" si="447"/>
        <v>40.2233660245184</v>
      </c>
      <c r="AD802" s="73">
        <f t="shared" si="448"/>
        <v>364.749810858144</v>
      </c>
      <c r="AE802" s="73">
        <f t="shared" si="445"/>
        <v>447.861189141856</v>
      </c>
    </row>
    <row r="803" customFormat="1" spans="1:31">
      <c r="A803" s="18"/>
      <c r="B803" s="19"/>
      <c r="C803" s="20">
        <v>240521000001</v>
      </c>
      <c r="D803" s="21">
        <v>45436</v>
      </c>
      <c r="E803" s="21" t="s">
        <v>47</v>
      </c>
      <c r="F803" s="19" t="s">
        <v>48</v>
      </c>
      <c r="G803" s="19" t="s">
        <v>511</v>
      </c>
      <c r="H803" s="19">
        <v>10.5</v>
      </c>
      <c r="I803" s="41">
        <v>646.5</v>
      </c>
      <c r="J803" s="42"/>
      <c r="K803" s="44"/>
      <c r="L803" s="19"/>
      <c r="M803" s="44"/>
      <c r="N803" s="45"/>
      <c r="O803" s="46">
        <f t="shared" ref="O803:O805" si="459">SUM(I803)</f>
        <v>646.5</v>
      </c>
      <c r="P803" s="51"/>
      <c r="Q803" s="51"/>
      <c r="R803" s="73">
        <f t="shared" si="450"/>
        <v>425.056917688266</v>
      </c>
      <c r="S803" s="73"/>
      <c r="T803" s="74">
        <f t="shared" si="451"/>
        <v>0.8840411558669</v>
      </c>
      <c r="U803" s="73"/>
      <c r="V803" s="73"/>
      <c r="W803" s="73">
        <f t="shared" si="446"/>
        <v>425.940958844133</v>
      </c>
      <c r="X803" s="75">
        <f t="shared" si="452"/>
        <v>7.312073117338</v>
      </c>
      <c r="Y803" s="75"/>
      <c r="Z803" s="75"/>
      <c r="AA803" s="75">
        <f t="shared" si="449"/>
        <v>7.312073117338</v>
      </c>
      <c r="AB803" s="84">
        <v>7.22</v>
      </c>
      <c r="AC803" s="73">
        <f t="shared" si="447"/>
        <v>52.7931679071804</v>
      </c>
      <c r="AD803" s="73">
        <f t="shared" si="448"/>
        <v>478.734126751313</v>
      </c>
      <c r="AE803" s="73">
        <f t="shared" si="445"/>
        <v>167.765873248687</v>
      </c>
    </row>
    <row r="804" customFormat="1" spans="1:31">
      <c r="A804" s="18"/>
      <c r="B804" s="19"/>
      <c r="C804" s="20">
        <v>240521000005</v>
      </c>
      <c r="D804" s="21">
        <v>45436</v>
      </c>
      <c r="E804" s="21" t="s">
        <v>47</v>
      </c>
      <c r="F804" s="19" t="s">
        <v>48</v>
      </c>
      <c r="G804" s="19" t="s">
        <v>111</v>
      </c>
      <c r="H804" s="19">
        <v>39</v>
      </c>
      <c r="I804" s="41">
        <v>2075</v>
      </c>
      <c r="J804" s="42"/>
      <c r="K804" s="44"/>
      <c r="L804" s="19"/>
      <c r="M804" s="44"/>
      <c r="N804" s="45"/>
      <c r="O804" s="46">
        <f t="shared" si="459"/>
        <v>2075</v>
      </c>
      <c r="P804" s="51"/>
      <c r="Q804" s="51"/>
      <c r="R804" s="73">
        <f t="shared" si="450"/>
        <v>1578.78283712785</v>
      </c>
      <c r="S804" s="73"/>
      <c r="T804" s="74">
        <f t="shared" si="451"/>
        <v>3.28358143607706</v>
      </c>
      <c r="U804" s="73"/>
      <c r="V804" s="73"/>
      <c r="W804" s="73">
        <f t="shared" si="446"/>
        <v>1582.06641856392</v>
      </c>
      <c r="X804" s="75">
        <f t="shared" si="452"/>
        <v>27.1591287215412</v>
      </c>
      <c r="Y804" s="75"/>
      <c r="Z804" s="75"/>
      <c r="AA804" s="75">
        <f t="shared" si="449"/>
        <v>27.1591287215412</v>
      </c>
      <c r="AB804" s="84">
        <v>7.22</v>
      </c>
      <c r="AC804" s="73">
        <f t="shared" si="447"/>
        <v>196.088909369527</v>
      </c>
      <c r="AD804" s="73">
        <f t="shared" si="448"/>
        <v>1778.15532793345</v>
      </c>
      <c r="AE804" s="73">
        <f t="shared" si="445"/>
        <v>296.84467206655</v>
      </c>
    </row>
    <row r="805" customFormat="1" spans="1:31">
      <c r="A805" s="18"/>
      <c r="B805" s="19"/>
      <c r="C805" s="20">
        <v>240521000008</v>
      </c>
      <c r="D805" s="21">
        <v>45436</v>
      </c>
      <c r="E805" s="21" t="s">
        <v>37</v>
      </c>
      <c r="F805" s="19" t="s">
        <v>38</v>
      </c>
      <c r="G805" s="19" t="s">
        <v>89</v>
      </c>
      <c r="H805" s="19">
        <v>38.5</v>
      </c>
      <c r="I805" s="41">
        <v>2136.75</v>
      </c>
      <c r="J805" s="42"/>
      <c r="K805" s="44"/>
      <c r="L805" s="19"/>
      <c r="M805" s="44"/>
      <c r="N805" s="45"/>
      <c r="O805" s="46">
        <f t="shared" si="459"/>
        <v>2136.75</v>
      </c>
      <c r="P805" s="51"/>
      <c r="Q805" s="51"/>
      <c r="R805" s="73">
        <f t="shared" si="450"/>
        <v>1558.54203152364</v>
      </c>
      <c r="S805" s="73"/>
      <c r="T805" s="74">
        <f t="shared" si="451"/>
        <v>3.24148423817863</v>
      </c>
      <c r="U805" s="73"/>
      <c r="V805" s="73"/>
      <c r="W805" s="73">
        <f t="shared" si="446"/>
        <v>1561.78351576182</v>
      </c>
      <c r="X805" s="75">
        <f t="shared" si="452"/>
        <v>26.8109347635727</v>
      </c>
      <c r="Y805" s="75"/>
      <c r="Z805" s="75"/>
      <c r="AA805" s="75">
        <f t="shared" si="449"/>
        <v>26.8109347635727</v>
      </c>
      <c r="AB805" s="84">
        <v>7.22</v>
      </c>
      <c r="AC805" s="73">
        <f t="shared" si="447"/>
        <v>193.574948992995</v>
      </c>
      <c r="AD805" s="73">
        <f t="shared" si="448"/>
        <v>1755.35846475482</v>
      </c>
      <c r="AE805" s="73">
        <f t="shared" si="445"/>
        <v>381.391535245184</v>
      </c>
    </row>
    <row r="806" customFormat="1" spans="1:31">
      <c r="A806" s="18"/>
      <c r="B806" s="19"/>
      <c r="C806" s="20">
        <v>240521000013</v>
      </c>
      <c r="D806" s="21">
        <v>45436</v>
      </c>
      <c r="E806" s="21" t="s">
        <v>41</v>
      </c>
      <c r="F806" s="19" t="s">
        <v>42</v>
      </c>
      <c r="G806" s="19" t="s">
        <v>493</v>
      </c>
      <c r="H806" s="19">
        <v>10.5</v>
      </c>
      <c r="I806" s="52"/>
      <c r="J806" s="48">
        <v>115752</v>
      </c>
      <c r="K806" s="44"/>
      <c r="L806" s="49">
        <f t="shared" si="457"/>
        <v>1501.90735694823</v>
      </c>
      <c r="M806" s="50">
        <v>77.07</v>
      </c>
      <c r="N806" s="45">
        <v>7.22</v>
      </c>
      <c r="O806" s="46">
        <f t="shared" si="458"/>
        <v>556.4454</v>
      </c>
      <c r="P806" s="51"/>
      <c r="Q806" s="51"/>
      <c r="R806" s="73">
        <f t="shared" si="450"/>
        <v>425.056917688266</v>
      </c>
      <c r="S806" s="73"/>
      <c r="T806" s="74">
        <f t="shared" si="451"/>
        <v>0.8840411558669</v>
      </c>
      <c r="U806" s="73"/>
      <c r="V806" s="73"/>
      <c r="W806" s="73">
        <f t="shared" si="446"/>
        <v>425.940958844133</v>
      </c>
      <c r="X806" s="75">
        <f t="shared" si="452"/>
        <v>7.312073117338</v>
      </c>
      <c r="Y806" s="75"/>
      <c r="Z806" s="75"/>
      <c r="AA806" s="75">
        <f t="shared" si="449"/>
        <v>7.312073117338</v>
      </c>
      <c r="AB806" s="84">
        <v>7.22</v>
      </c>
      <c r="AC806" s="73">
        <f t="shared" si="447"/>
        <v>52.7931679071804</v>
      </c>
      <c r="AD806" s="73">
        <f t="shared" si="448"/>
        <v>478.734126751313</v>
      </c>
      <c r="AE806" s="73">
        <f t="shared" si="445"/>
        <v>77.7112732486865</v>
      </c>
    </row>
    <row r="807" customFormat="1" spans="1:31">
      <c r="A807" s="18"/>
      <c r="B807" s="19"/>
      <c r="C807" s="20">
        <v>240521000017</v>
      </c>
      <c r="D807" s="21">
        <v>45436</v>
      </c>
      <c r="E807" s="21" t="s">
        <v>41</v>
      </c>
      <c r="F807" s="19" t="s">
        <v>42</v>
      </c>
      <c r="G807" s="19" t="s">
        <v>147</v>
      </c>
      <c r="H807" s="19">
        <v>167</v>
      </c>
      <c r="I807" s="52"/>
      <c r="J807" s="48">
        <v>1858710</v>
      </c>
      <c r="K807" s="44"/>
      <c r="L807" s="49">
        <f t="shared" si="457"/>
        <v>1516.20034260543</v>
      </c>
      <c r="M807" s="50">
        <v>1225.9</v>
      </c>
      <c r="N807" s="45">
        <v>7.22</v>
      </c>
      <c r="O807" s="46">
        <f t="shared" si="458"/>
        <v>8850.998</v>
      </c>
      <c r="P807" s="51"/>
      <c r="Q807" s="51"/>
      <c r="R807" s="73">
        <f t="shared" si="450"/>
        <v>6760.42907180385</v>
      </c>
      <c r="S807" s="73"/>
      <c r="T807" s="74">
        <f t="shared" si="451"/>
        <v>14.0604640980736</v>
      </c>
      <c r="U807" s="73"/>
      <c r="V807" s="73"/>
      <c r="W807" s="73">
        <f t="shared" si="446"/>
        <v>6774.48953590193</v>
      </c>
      <c r="X807" s="75">
        <f t="shared" si="452"/>
        <v>116.296781961471</v>
      </c>
      <c r="Y807" s="75"/>
      <c r="Z807" s="75"/>
      <c r="AA807" s="75">
        <f t="shared" si="449"/>
        <v>116.296781961471</v>
      </c>
      <c r="AB807" s="84">
        <v>7.22</v>
      </c>
      <c r="AC807" s="73">
        <f t="shared" si="447"/>
        <v>839.662765761821</v>
      </c>
      <c r="AD807" s="73">
        <f t="shared" si="448"/>
        <v>7614.15230166375</v>
      </c>
      <c r="AE807" s="73">
        <f t="shared" si="445"/>
        <v>1236.84569833625</v>
      </c>
    </row>
    <row r="808" customFormat="1" spans="1:31">
      <c r="A808" s="18"/>
      <c r="B808" s="19"/>
      <c r="C808" s="20">
        <v>240521000019</v>
      </c>
      <c r="D808" s="21">
        <v>45436</v>
      </c>
      <c r="E808" s="21" t="s">
        <v>54</v>
      </c>
      <c r="F808" s="19" t="s">
        <v>383</v>
      </c>
      <c r="G808" s="19" t="s">
        <v>384</v>
      </c>
      <c r="H808" s="19">
        <v>33</v>
      </c>
      <c r="I808" s="41">
        <v>1757</v>
      </c>
      <c r="J808" s="42"/>
      <c r="K808" s="44"/>
      <c r="L808" s="19"/>
      <c r="M808" s="44"/>
      <c r="N808" s="45"/>
      <c r="O808" s="46">
        <f t="shared" ref="O808:O812" si="460">SUM(I808)</f>
        <v>1757</v>
      </c>
      <c r="P808" s="51"/>
      <c r="Q808" s="51"/>
      <c r="R808" s="73">
        <f t="shared" si="450"/>
        <v>1335.89316987741</v>
      </c>
      <c r="S808" s="73"/>
      <c r="T808" s="74">
        <f t="shared" si="451"/>
        <v>2.77841506129597</v>
      </c>
      <c r="U808" s="73"/>
      <c r="V808" s="73"/>
      <c r="W808" s="73">
        <f t="shared" si="446"/>
        <v>1338.6715849387</v>
      </c>
      <c r="X808" s="75">
        <f t="shared" si="452"/>
        <v>22.9808012259194</v>
      </c>
      <c r="Y808" s="75"/>
      <c r="Z808" s="75"/>
      <c r="AA808" s="75">
        <f t="shared" si="449"/>
        <v>22.9808012259194</v>
      </c>
      <c r="AB808" s="84">
        <v>7.22</v>
      </c>
      <c r="AC808" s="73">
        <f t="shared" si="447"/>
        <v>165.921384851138</v>
      </c>
      <c r="AD808" s="73">
        <f t="shared" si="448"/>
        <v>1504.59296978984</v>
      </c>
      <c r="AE808" s="73">
        <f t="shared" si="445"/>
        <v>252.407030210157</v>
      </c>
    </row>
    <row r="809" customFormat="1" spans="1:31">
      <c r="A809" s="18"/>
      <c r="B809" s="19"/>
      <c r="C809" s="20">
        <v>240521000021</v>
      </c>
      <c r="D809" s="21">
        <v>45436</v>
      </c>
      <c r="E809" s="21" t="s">
        <v>41</v>
      </c>
      <c r="F809" s="19" t="s">
        <v>42</v>
      </c>
      <c r="G809" s="19" t="s">
        <v>512</v>
      </c>
      <c r="H809" s="19">
        <v>199.5</v>
      </c>
      <c r="I809" s="52"/>
      <c r="J809" s="48">
        <v>2348913</v>
      </c>
      <c r="K809" s="44"/>
      <c r="L809" s="49">
        <f t="shared" ref="L809:L813" si="461">SUM(J809/M809)</f>
        <v>1465.66144400142</v>
      </c>
      <c r="M809" s="50">
        <v>1602.63</v>
      </c>
      <c r="N809" s="45">
        <v>7.22</v>
      </c>
      <c r="O809" s="52">
        <f t="shared" ref="O809:O813" si="462">SUM(M809*N809)</f>
        <v>11570.9886</v>
      </c>
      <c r="P809" s="51"/>
      <c r="Q809" s="51"/>
      <c r="R809" s="73">
        <f t="shared" si="450"/>
        <v>8076.08143607706</v>
      </c>
      <c r="S809" s="73"/>
      <c r="T809" s="74">
        <f t="shared" si="451"/>
        <v>16.7967819614711</v>
      </c>
      <c r="U809" s="73"/>
      <c r="V809" s="73"/>
      <c r="W809" s="73">
        <f t="shared" si="446"/>
        <v>8092.87821803853</v>
      </c>
      <c r="X809" s="75">
        <f t="shared" si="452"/>
        <v>138.929389229422</v>
      </c>
      <c r="Y809" s="75"/>
      <c r="Z809" s="75"/>
      <c r="AA809" s="75">
        <f t="shared" si="449"/>
        <v>138.929389229422</v>
      </c>
      <c r="AB809" s="84">
        <v>7.22</v>
      </c>
      <c r="AC809" s="73">
        <f t="shared" si="447"/>
        <v>1003.07019023643</v>
      </c>
      <c r="AD809" s="73">
        <f t="shared" si="448"/>
        <v>9095.94840827496</v>
      </c>
      <c r="AE809" s="73">
        <f t="shared" si="445"/>
        <v>2475.04019172504</v>
      </c>
    </row>
    <row r="810" customFormat="1" spans="1:31">
      <c r="A810" s="18"/>
      <c r="B810" s="19"/>
      <c r="C810" s="20">
        <v>240521000028</v>
      </c>
      <c r="D810" s="21">
        <v>45436</v>
      </c>
      <c r="E810" s="21" t="s">
        <v>54</v>
      </c>
      <c r="F810" s="19" t="s">
        <v>54</v>
      </c>
      <c r="G810" s="19" t="s">
        <v>513</v>
      </c>
      <c r="H810" s="19">
        <v>226</v>
      </c>
      <c r="I810" s="41">
        <v>11986</v>
      </c>
      <c r="J810" s="42"/>
      <c r="K810" s="44"/>
      <c r="L810" s="19"/>
      <c r="M810" s="44"/>
      <c r="N810" s="45"/>
      <c r="O810" s="46">
        <f t="shared" si="460"/>
        <v>11986</v>
      </c>
      <c r="P810" s="51"/>
      <c r="Q810" s="51"/>
      <c r="R810" s="73">
        <f t="shared" si="450"/>
        <v>9148.84413309982</v>
      </c>
      <c r="S810" s="73"/>
      <c r="T810" s="74">
        <f t="shared" si="451"/>
        <v>19.0279334500876</v>
      </c>
      <c r="U810" s="73"/>
      <c r="V810" s="73"/>
      <c r="W810" s="73">
        <f t="shared" si="446"/>
        <v>9167.87206654991</v>
      </c>
      <c r="X810" s="75">
        <f t="shared" si="452"/>
        <v>157.383669001751</v>
      </c>
      <c r="Y810" s="75"/>
      <c r="Z810" s="75"/>
      <c r="AA810" s="75">
        <f t="shared" si="449"/>
        <v>157.383669001751</v>
      </c>
      <c r="AB810" s="84">
        <v>7.22</v>
      </c>
      <c r="AC810" s="73">
        <f t="shared" si="447"/>
        <v>1136.31009019264</v>
      </c>
      <c r="AD810" s="73">
        <f t="shared" si="448"/>
        <v>10304.1821567426</v>
      </c>
      <c r="AE810" s="73">
        <f t="shared" si="445"/>
        <v>1681.81784325744</v>
      </c>
    </row>
    <row r="811" customFormat="1" spans="1:31">
      <c r="A811" s="18"/>
      <c r="B811" s="19"/>
      <c r="C811" s="20">
        <v>240521000029</v>
      </c>
      <c r="D811" s="21">
        <v>45436</v>
      </c>
      <c r="E811" s="21" t="s">
        <v>37</v>
      </c>
      <c r="F811" s="19" t="s">
        <v>38</v>
      </c>
      <c r="G811" s="19" t="s">
        <v>182</v>
      </c>
      <c r="H811" s="19">
        <v>3.5</v>
      </c>
      <c r="I811" s="46"/>
      <c r="J811" s="48">
        <v>43852</v>
      </c>
      <c r="K811" s="44"/>
      <c r="L811" s="49">
        <f t="shared" si="461"/>
        <v>1520</v>
      </c>
      <c r="M811" s="50">
        <v>28.85</v>
      </c>
      <c r="N811" s="45">
        <v>7.22</v>
      </c>
      <c r="O811" s="46">
        <f t="shared" si="462"/>
        <v>208.297</v>
      </c>
      <c r="P811" s="51"/>
      <c r="Q811" s="51"/>
      <c r="R811" s="73">
        <f t="shared" si="450"/>
        <v>141.685639229422</v>
      </c>
      <c r="S811" s="73"/>
      <c r="T811" s="74">
        <f t="shared" si="451"/>
        <v>0.294680385288967</v>
      </c>
      <c r="U811" s="73"/>
      <c r="V811" s="73"/>
      <c r="W811" s="73">
        <f t="shared" si="446"/>
        <v>141.980319614711</v>
      </c>
      <c r="X811" s="75">
        <f t="shared" si="452"/>
        <v>2.43735770577933</v>
      </c>
      <c r="Y811" s="75"/>
      <c r="Z811" s="75"/>
      <c r="AA811" s="75">
        <f t="shared" si="449"/>
        <v>2.43735770577933</v>
      </c>
      <c r="AB811" s="84">
        <v>7.22</v>
      </c>
      <c r="AC811" s="73">
        <f t="shared" si="447"/>
        <v>17.5977226357268</v>
      </c>
      <c r="AD811" s="73">
        <f t="shared" si="448"/>
        <v>159.578042250438</v>
      </c>
      <c r="AE811" s="73">
        <f t="shared" si="445"/>
        <v>48.7189577495622</v>
      </c>
    </row>
    <row r="812" customFormat="1" spans="1:31">
      <c r="A812" s="18"/>
      <c r="B812" s="19"/>
      <c r="C812" s="20">
        <v>240521000044</v>
      </c>
      <c r="D812" s="21">
        <v>45436</v>
      </c>
      <c r="E812" s="21" t="s">
        <v>41</v>
      </c>
      <c r="F812" s="19" t="s">
        <v>42</v>
      </c>
      <c r="G812" s="19" t="s">
        <v>208</v>
      </c>
      <c r="H812" s="19">
        <v>8.5</v>
      </c>
      <c r="I812" s="41">
        <v>530</v>
      </c>
      <c r="J812" s="42"/>
      <c r="K812" s="44"/>
      <c r="L812" s="19"/>
      <c r="M812" s="44"/>
      <c r="N812" s="45"/>
      <c r="O812" s="46">
        <f t="shared" si="460"/>
        <v>530</v>
      </c>
      <c r="P812" s="51"/>
      <c r="Q812" s="51"/>
      <c r="R812" s="73">
        <f t="shared" si="450"/>
        <v>344.093695271454</v>
      </c>
      <c r="S812" s="73"/>
      <c r="T812" s="74">
        <f t="shared" si="451"/>
        <v>0.715652364273205</v>
      </c>
      <c r="U812" s="73"/>
      <c r="V812" s="73"/>
      <c r="W812" s="73">
        <f t="shared" si="446"/>
        <v>344.809347635727</v>
      </c>
      <c r="X812" s="75">
        <f t="shared" si="452"/>
        <v>5.9192972854641</v>
      </c>
      <c r="Y812" s="75"/>
      <c r="Z812" s="75"/>
      <c r="AA812" s="75">
        <f t="shared" si="449"/>
        <v>5.9192972854641</v>
      </c>
      <c r="AB812" s="84">
        <v>7.22</v>
      </c>
      <c r="AC812" s="73">
        <f t="shared" si="447"/>
        <v>42.7373264010508</v>
      </c>
      <c r="AD812" s="73">
        <f t="shared" si="448"/>
        <v>387.546674036778</v>
      </c>
      <c r="AE812" s="73">
        <f t="shared" ref="AE812:AE844" si="463">SUM(O812-AD812)</f>
        <v>142.453325963222</v>
      </c>
    </row>
    <row r="813" customFormat="1" spans="1:31">
      <c r="A813" s="18"/>
      <c r="B813" s="19"/>
      <c r="C813" s="20">
        <v>240521000046</v>
      </c>
      <c r="D813" s="21">
        <v>45436</v>
      </c>
      <c r="E813" s="21" t="s">
        <v>81</v>
      </c>
      <c r="F813" s="19" t="s">
        <v>253</v>
      </c>
      <c r="G813" s="19" t="s">
        <v>514</v>
      </c>
      <c r="H813" s="19">
        <v>3.5</v>
      </c>
      <c r="I813" s="52"/>
      <c r="J813" s="48">
        <v>42848</v>
      </c>
      <c r="K813" s="44"/>
      <c r="L813" s="49">
        <f t="shared" si="461"/>
        <v>1501.8576936558</v>
      </c>
      <c r="M813" s="50">
        <v>28.53</v>
      </c>
      <c r="N813" s="45">
        <v>7.22</v>
      </c>
      <c r="O813" s="46">
        <f t="shared" si="462"/>
        <v>205.9866</v>
      </c>
      <c r="P813" s="53"/>
      <c r="Q813" s="53"/>
      <c r="R813" s="73">
        <f t="shared" si="450"/>
        <v>141.685639229422</v>
      </c>
      <c r="S813" s="73"/>
      <c r="T813" s="74">
        <f t="shared" si="451"/>
        <v>0.294680385288967</v>
      </c>
      <c r="U813" s="73"/>
      <c r="V813" s="73"/>
      <c r="W813" s="73">
        <f t="shared" ref="W813:W844" si="464">SUM(R813:V813)</f>
        <v>141.980319614711</v>
      </c>
      <c r="X813" s="75">
        <f t="shared" si="452"/>
        <v>2.43735770577933</v>
      </c>
      <c r="Y813" s="75"/>
      <c r="Z813" s="75"/>
      <c r="AA813" s="75">
        <f t="shared" ref="AA813:AA844" si="465">SUM(X813:Z813)</f>
        <v>2.43735770577933</v>
      </c>
      <c r="AB813" s="84">
        <v>7.22</v>
      </c>
      <c r="AC813" s="73">
        <f t="shared" ref="AC813:AC844" si="466">SUM(AA813*AB813)</f>
        <v>17.5977226357268</v>
      </c>
      <c r="AD813" s="73">
        <f t="shared" ref="AD813:AD844" si="467">SUM(W813+AC813)</f>
        <v>159.578042250438</v>
      </c>
      <c r="AE813" s="73">
        <f t="shared" si="463"/>
        <v>46.408557749562</v>
      </c>
    </row>
    <row r="814" customFormat="1" spans="1:31">
      <c r="A814" s="18" t="s">
        <v>515</v>
      </c>
      <c r="B814" s="19" t="s">
        <v>516</v>
      </c>
      <c r="C814" s="20">
        <v>240521000022</v>
      </c>
      <c r="D814" s="21">
        <v>45439</v>
      </c>
      <c r="E814" s="21" t="s">
        <v>44</v>
      </c>
      <c r="F814" s="19" t="s">
        <v>45</v>
      </c>
      <c r="G814" s="19" t="s">
        <v>46</v>
      </c>
      <c r="H814" s="19">
        <v>0.34</v>
      </c>
      <c r="I814" s="41">
        <v>115</v>
      </c>
      <c r="J814" s="42"/>
      <c r="K814" s="44"/>
      <c r="L814" s="19"/>
      <c r="M814" s="44"/>
      <c r="N814" s="45"/>
      <c r="O814" s="46">
        <f t="shared" ref="O814:O821" si="468">SUM(I814)</f>
        <v>115</v>
      </c>
      <c r="P814" s="47">
        <f>SUM(O814:O844)</f>
        <v>17472.60701444</v>
      </c>
      <c r="Q814" s="47" t="s">
        <v>40</v>
      </c>
      <c r="R814" s="73">
        <f>SUM(8800/128)*H814</f>
        <v>23.375</v>
      </c>
      <c r="S814" s="73"/>
      <c r="T814" s="74">
        <f>SUM(165.83/128)*H814</f>
        <v>0.4404859375</v>
      </c>
      <c r="U814" s="73"/>
      <c r="V814" s="73"/>
      <c r="W814" s="73">
        <f t="shared" si="464"/>
        <v>23.8154859375</v>
      </c>
      <c r="X814" s="75">
        <f>SUM(226.3/128)*H814</f>
        <v>0.601109375</v>
      </c>
      <c r="Y814" s="75"/>
      <c r="Z814" s="75"/>
      <c r="AA814" s="75">
        <f t="shared" si="465"/>
        <v>0.601109375</v>
      </c>
      <c r="AB814" s="84">
        <v>7.22</v>
      </c>
      <c r="AC814" s="73">
        <f t="shared" si="466"/>
        <v>4.3400096875</v>
      </c>
      <c r="AD814" s="73">
        <f t="shared" si="467"/>
        <v>28.155495625</v>
      </c>
      <c r="AE814" s="73">
        <f t="shared" si="463"/>
        <v>86.844504375</v>
      </c>
    </row>
    <row r="815" customFormat="1" spans="1:31">
      <c r="A815" s="18"/>
      <c r="B815" s="19"/>
      <c r="C815" s="20">
        <v>240521000023</v>
      </c>
      <c r="D815" s="21">
        <v>45439</v>
      </c>
      <c r="E815" s="21" t="s">
        <v>54</v>
      </c>
      <c r="F815" s="19" t="s">
        <v>54</v>
      </c>
      <c r="G815" s="19" t="s">
        <v>517</v>
      </c>
      <c r="H815" s="19">
        <v>7</v>
      </c>
      <c r="I815" s="46"/>
      <c r="J815" s="48">
        <v>95638</v>
      </c>
      <c r="K815" s="44"/>
      <c r="L815" s="49">
        <f>SUM(J815/M815)</f>
        <v>1519.9935944058</v>
      </c>
      <c r="M815" s="50">
        <v>62.920002</v>
      </c>
      <c r="N815" s="45">
        <v>7.22</v>
      </c>
      <c r="O815" s="46">
        <f>SUM(M815*N815)</f>
        <v>454.28241444</v>
      </c>
      <c r="P815" s="51"/>
      <c r="Q815" s="51"/>
      <c r="R815" s="73">
        <f t="shared" ref="R815:R844" si="469">SUM(8800/128)*H815</f>
        <v>481.25</v>
      </c>
      <c r="S815" s="73"/>
      <c r="T815" s="74">
        <f t="shared" ref="T815:T844" si="470">SUM(165.83/128)*H815</f>
        <v>9.068828125</v>
      </c>
      <c r="U815" s="73"/>
      <c r="V815" s="73"/>
      <c r="W815" s="73">
        <f t="shared" si="464"/>
        <v>490.318828125</v>
      </c>
      <c r="X815" s="75">
        <f t="shared" ref="X815:X844" si="471">SUM(226.3/128)*H815</f>
        <v>12.37578125</v>
      </c>
      <c r="Y815" s="75"/>
      <c r="Z815" s="75"/>
      <c r="AA815" s="75">
        <f t="shared" si="465"/>
        <v>12.37578125</v>
      </c>
      <c r="AB815" s="84">
        <v>7.22</v>
      </c>
      <c r="AC815" s="73">
        <f t="shared" si="466"/>
        <v>89.353140625</v>
      </c>
      <c r="AD815" s="73">
        <f t="shared" si="467"/>
        <v>579.67196875</v>
      </c>
      <c r="AE815" s="73">
        <f t="shared" si="463"/>
        <v>-125.38955431</v>
      </c>
    </row>
    <row r="816" customFormat="1" spans="1:31">
      <c r="A816" s="18"/>
      <c r="B816" s="19"/>
      <c r="C816" s="20">
        <v>240521000033</v>
      </c>
      <c r="D816" s="21">
        <v>45439</v>
      </c>
      <c r="E816" s="21" t="s">
        <v>47</v>
      </c>
      <c r="F816" s="19" t="s">
        <v>48</v>
      </c>
      <c r="G816" s="19" t="s">
        <v>49</v>
      </c>
      <c r="H816" s="19">
        <v>14.5</v>
      </c>
      <c r="I816" s="41">
        <v>1740</v>
      </c>
      <c r="J816" s="42"/>
      <c r="K816" s="44"/>
      <c r="L816" s="19"/>
      <c r="M816" s="44"/>
      <c r="N816" s="45"/>
      <c r="O816" s="46">
        <f t="shared" si="468"/>
        <v>1740</v>
      </c>
      <c r="P816" s="51"/>
      <c r="Q816" s="51"/>
      <c r="R816" s="73">
        <f t="shared" si="469"/>
        <v>996.875</v>
      </c>
      <c r="S816" s="73"/>
      <c r="T816" s="74">
        <f t="shared" si="470"/>
        <v>18.7854296875</v>
      </c>
      <c r="U816" s="73"/>
      <c r="V816" s="73"/>
      <c r="W816" s="73">
        <f t="shared" si="464"/>
        <v>1015.6604296875</v>
      </c>
      <c r="X816" s="75">
        <f t="shared" si="471"/>
        <v>25.635546875</v>
      </c>
      <c r="Y816" s="75"/>
      <c r="Z816" s="75"/>
      <c r="AA816" s="75">
        <f t="shared" si="465"/>
        <v>25.635546875</v>
      </c>
      <c r="AB816" s="84">
        <v>7.22</v>
      </c>
      <c r="AC816" s="73">
        <f t="shared" si="466"/>
        <v>185.0886484375</v>
      </c>
      <c r="AD816" s="73">
        <f t="shared" si="467"/>
        <v>1200.749078125</v>
      </c>
      <c r="AE816" s="73">
        <f t="shared" si="463"/>
        <v>539.250921875</v>
      </c>
    </row>
    <row r="817" customFormat="1" spans="1:31">
      <c r="A817" s="18"/>
      <c r="B817" s="19"/>
      <c r="C817" s="20">
        <v>240521000038</v>
      </c>
      <c r="D817" s="21">
        <v>45439</v>
      </c>
      <c r="E817" s="21" t="s">
        <v>41</v>
      </c>
      <c r="F817" s="19" t="s">
        <v>42</v>
      </c>
      <c r="G817" s="19" t="s">
        <v>167</v>
      </c>
      <c r="H817" s="19">
        <v>5</v>
      </c>
      <c r="I817" s="41">
        <v>600</v>
      </c>
      <c r="J817" s="42"/>
      <c r="K817" s="44"/>
      <c r="L817" s="19"/>
      <c r="M817" s="44"/>
      <c r="N817" s="45"/>
      <c r="O817" s="46">
        <f t="shared" si="468"/>
        <v>600</v>
      </c>
      <c r="P817" s="51"/>
      <c r="Q817" s="51"/>
      <c r="R817" s="73">
        <f t="shared" si="469"/>
        <v>343.75</v>
      </c>
      <c r="S817" s="73"/>
      <c r="T817" s="74">
        <f t="shared" si="470"/>
        <v>6.477734375</v>
      </c>
      <c r="U817" s="73"/>
      <c r="V817" s="73"/>
      <c r="W817" s="73">
        <f t="shared" si="464"/>
        <v>350.227734375</v>
      </c>
      <c r="X817" s="75">
        <f t="shared" si="471"/>
        <v>8.83984375</v>
      </c>
      <c r="Y817" s="75"/>
      <c r="Z817" s="75"/>
      <c r="AA817" s="75">
        <f t="shared" si="465"/>
        <v>8.83984375</v>
      </c>
      <c r="AB817" s="84">
        <v>7.22</v>
      </c>
      <c r="AC817" s="73">
        <f t="shared" si="466"/>
        <v>63.823671875</v>
      </c>
      <c r="AD817" s="73">
        <f t="shared" si="467"/>
        <v>414.05140625</v>
      </c>
      <c r="AE817" s="73">
        <f t="shared" si="463"/>
        <v>185.94859375</v>
      </c>
    </row>
    <row r="818" customFormat="1" spans="1:31">
      <c r="A818" s="18"/>
      <c r="B818" s="19"/>
      <c r="C818" s="20">
        <v>240522000004</v>
      </c>
      <c r="D818" s="21">
        <v>45439</v>
      </c>
      <c r="E818" s="21" t="s">
        <v>37</v>
      </c>
      <c r="F818" s="19" t="s">
        <v>38</v>
      </c>
      <c r="G818" s="19" t="s">
        <v>39</v>
      </c>
      <c r="H818" s="19">
        <v>2</v>
      </c>
      <c r="I818" s="41">
        <v>230</v>
      </c>
      <c r="J818" s="42"/>
      <c r="K818" s="44"/>
      <c r="L818" s="19"/>
      <c r="M818" s="44"/>
      <c r="N818" s="45"/>
      <c r="O818" s="46">
        <f t="shared" si="468"/>
        <v>230</v>
      </c>
      <c r="P818" s="51"/>
      <c r="Q818" s="51"/>
      <c r="R818" s="73">
        <f t="shared" si="469"/>
        <v>137.5</v>
      </c>
      <c r="S818" s="73"/>
      <c r="T818" s="74">
        <f t="shared" si="470"/>
        <v>2.59109375</v>
      </c>
      <c r="U818" s="73"/>
      <c r="V818" s="73"/>
      <c r="W818" s="73">
        <f t="shared" si="464"/>
        <v>140.09109375</v>
      </c>
      <c r="X818" s="75">
        <f t="shared" si="471"/>
        <v>3.5359375</v>
      </c>
      <c r="Y818" s="75"/>
      <c r="Z818" s="75"/>
      <c r="AA818" s="75">
        <f t="shared" si="465"/>
        <v>3.5359375</v>
      </c>
      <c r="AB818" s="84">
        <v>7.22</v>
      </c>
      <c r="AC818" s="73">
        <f t="shared" si="466"/>
        <v>25.52946875</v>
      </c>
      <c r="AD818" s="73">
        <f t="shared" si="467"/>
        <v>165.6205625</v>
      </c>
      <c r="AE818" s="73">
        <f t="shared" si="463"/>
        <v>64.3794375</v>
      </c>
    </row>
    <row r="819" customFormat="1" spans="1:31">
      <c r="A819" s="18"/>
      <c r="B819" s="19"/>
      <c r="C819" s="20">
        <v>240522000005</v>
      </c>
      <c r="D819" s="21">
        <v>45439</v>
      </c>
      <c r="E819" s="21" t="s">
        <v>47</v>
      </c>
      <c r="F819" s="19" t="s">
        <v>48</v>
      </c>
      <c r="G819" s="19" t="s">
        <v>518</v>
      </c>
      <c r="H819" s="19">
        <v>0.92</v>
      </c>
      <c r="I819" s="41">
        <v>115</v>
      </c>
      <c r="J819" s="42"/>
      <c r="K819" s="44"/>
      <c r="L819" s="19"/>
      <c r="M819" s="44"/>
      <c r="N819" s="45"/>
      <c r="O819" s="46">
        <f t="shared" si="468"/>
        <v>115</v>
      </c>
      <c r="P819" s="51"/>
      <c r="Q819" s="51"/>
      <c r="R819" s="73">
        <f t="shared" si="469"/>
        <v>63.25</v>
      </c>
      <c r="S819" s="73"/>
      <c r="T819" s="74">
        <f t="shared" si="470"/>
        <v>1.191903125</v>
      </c>
      <c r="U819" s="73"/>
      <c r="V819" s="73"/>
      <c r="W819" s="73">
        <f t="shared" si="464"/>
        <v>64.441903125</v>
      </c>
      <c r="X819" s="75">
        <f t="shared" si="471"/>
        <v>1.62653125</v>
      </c>
      <c r="Y819" s="75"/>
      <c r="Z819" s="75"/>
      <c r="AA819" s="75">
        <f t="shared" si="465"/>
        <v>1.62653125</v>
      </c>
      <c r="AB819" s="84">
        <v>7.22</v>
      </c>
      <c r="AC819" s="73">
        <f t="shared" si="466"/>
        <v>11.743555625</v>
      </c>
      <c r="AD819" s="73">
        <f t="shared" si="467"/>
        <v>76.18545875</v>
      </c>
      <c r="AE819" s="73">
        <f t="shared" si="463"/>
        <v>38.81454125</v>
      </c>
    </row>
    <row r="820" customFormat="1" spans="1:31">
      <c r="A820" s="18"/>
      <c r="B820" s="19"/>
      <c r="C820" s="20">
        <v>240522000010</v>
      </c>
      <c r="D820" s="21">
        <v>45439</v>
      </c>
      <c r="E820" s="21" t="s">
        <v>64</v>
      </c>
      <c r="F820" s="19" t="s">
        <v>65</v>
      </c>
      <c r="G820" s="19" t="s">
        <v>519</v>
      </c>
      <c r="H820" s="19">
        <v>1.5</v>
      </c>
      <c r="I820" s="41">
        <v>245.5</v>
      </c>
      <c r="J820" s="42"/>
      <c r="K820" s="44"/>
      <c r="L820" s="19"/>
      <c r="M820" s="44"/>
      <c r="N820" s="45"/>
      <c r="O820" s="46">
        <f t="shared" si="468"/>
        <v>245.5</v>
      </c>
      <c r="P820" s="51"/>
      <c r="Q820" s="51"/>
      <c r="R820" s="73">
        <f t="shared" si="469"/>
        <v>103.125</v>
      </c>
      <c r="S820" s="73"/>
      <c r="T820" s="74">
        <f t="shared" si="470"/>
        <v>1.9433203125</v>
      </c>
      <c r="U820" s="73"/>
      <c r="V820" s="73"/>
      <c r="W820" s="73">
        <f t="shared" si="464"/>
        <v>105.0683203125</v>
      </c>
      <c r="X820" s="75">
        <f t="shared" si="471"/>
        <v>2.651953125</v>
      </c>
      <c r="Y820" s="75"/>
      <c r="Z820" s="75"/>
      <c r="AA820" s="75">
        <f t="shared" si="465"/>
        <v>2.651953125</v>
      </c>
      <c r="AB820" s="84">
        <v>7.22</v>
      </c>
      <c r="AC820" s="73">
        <f t="shared" si="466"/>
        <v>19.1471015625</v>
      </c>
      <c r="AD820" s="73">
        <f t="shared" si="467"/>
        <v>124.215421875</v>
      </c>
      <c r="AE820" s="73">
        <f t="shared" si="463"/>
        <v>121.284578125</v>
      </c>
    </row>
    <row r="821" customFormat="1" spans="1:31">
      <c r="A821" s="18"/>
      <c r="B821" s="19"/>
      <c r="C821" s="20">
        <v>240522000012</v>
      </c>
      <c r="D821" s="21">
        <v>45439</v>
      </c>
      <c r="E821" s="21" t="s">
        <v>47</v>
      </c>
      <c r="F821" s="19" t="s">
        <v>48</v>
      </c>
      <c r="G821" s="19" t="s">
        <v>520</v>
      </c>
      <c r="H821" s="19">
        <v>3.5</v>
      </c>
      <c r="I821" s="41">
        <v>402.5</v>
      </c>
      <c r="J821" s="42"/>
      <c r="K821" s="44"/>
      <c r="L821" s="19"/>
      <c r="M821" s="44"/>
      <c r="N821" s="45"/>
      <c r="O821" s="46">
        <f t="shared" si="468"/>
        <v>402.5</v>
      </c>
      <c r="P821" s="51"/>
      <c r="Q821" s="51"/>
      <c r="R821" s="73">
        <f t="shared" si="469"/>
        <v>240.625</v>
      </c>
      <c r="S821" s="73"/>
      <c r="T821" s="74">
        <f t="shared" si="470"/>
        <v>4.5344140625</v>
      </c>
      <c r="U821" s="73"/>
      <c r="V821" s="73"/>
      <c r="W821" s="73">
        <f t="shared" si="464"/>
        <v>245.1594140625</v>
      </c>
      <c r="X821" s="75">
        <f t="shared" si="471"/>
        <v>6.187890625</v>
      </c>
      <c r="Y821" s="75"/>
      <c r="Z821" s="75"/>
      <c r="AA821" s="75">
        <f t="shared" si="465"/>
        <v>6.187890625</v>
      </c>
      <c r="AB821" s="84">
        <v>7.22</v>
      </c>
      <c r="AC821" s="73">
        <f t="shared" si="466"/>
        <v>44.6765703125</v>
      </c>
      <c r="AD821" s="73">
        <f t="shared" si="467"/>
        <v>289.835984375</v>
      </c>
      <c r="AE821" s="73">
        <f t="shared" si="463"/>
        <v>112.664015625</v>
      </c>
    </row>
    <row r="822" customFormat="1" spans="1:31">
      <c r="A822" s="18"/>
      <c r="B822" s="19"/>
      <c r="C822" s="20">
        <v>240522000013</v>
      </c>
      <c r="D822" s="21">
        <v>45439</v>
      </c>
      <c r="E822" s="21" t="s">
        <v>47</v>
      </c>
      <c r="F822" s="19">
        <v>13635229849</v>
      </c>
      <c r="G822" s="19" t="s">
        <v>50</v>
      </c>
      <c r="H822" s="19">
        <v>0.74666667</v>
      </c>
      <c r="I822" s="46"/>
      <c r="J822" s="48">
        <v>24456</v>
      </c>
      <c r="K822" s="44"/>
      <c r="L822" s="49">
        <f>SUM(J822/M822)</f>
        <v>1467.94717887155</v>
      </c>
      <c r="M822" s="50">
        <v>16.66</v>
      </c>
      <c r="N822" s="45">
        <v>7.22</v>
      </c>
      <c r="O822" s="46">
        <f>SUM(M822*N822)</f>
        <v>120.2852</v>
      </c>
      <c r="P822" s="51"/>
      <c r="Q822" s="51"/>
      <c r="R822" s="73">
        <f t="shared" si="469"/>
        <v>51.3333335625</v>
      </c>
      <c r="S822" s="73"/>
      <c r="T822" s="74">
        <f t="shared" si="470"/>
        <v>0.967341670985156</v>
      </c>
      <c r="U822" s="73"/>
      <c r="V822" s="73"/>
      <c r="W822" s="73">
        <f t="shared" si="464"/>
        <v>52.3006752334852</v>
      </c>
      <c r="X822" s="75">
        <f t="shared" si="471"/>
        <v>1.32008333922656</v>
      </c>
      <c r="Y822" s="75"/>
      <c r="Z822" s="75"/>
      <c r="AA822" s="75">
        <f t="shared" si="465"/>
        <v>1.32008333922656</v>
      </c>
      <c r="AB822" s="84">
        <v>7.22</v>
      </c>
      <c r="AC822" s="73">
        <f t="shared" si="466"/>
        <v>9.53100170921578</v>
      </c>
      <c r="AD822" s="73">
        <f t="shared" si="467"/>
        <v>61.8316769427009</v>
      </c>
      <c r="AE822" s="73">
        <f t="shared" si="463"/>
        <v>58.4535230572991</v>
      </c>
    </row>
    <row r="823" customFormat="1" spans="1:31">
      <c r="A823" s="18"/>
      <c r="B823" s="19"/>
      <c r="C823" s="20">
        <v>240522000023</v>
      </c>
      <c r="D823" s="21">
        <v>45439</v>
      </c>
      <c r="E823" s="21" t="s">
        <v>47</v>
      </c>
      <c r="F823" s="19" t="s">
        <v>48</v>
      </c>
      <c r="G823" s="19" t="s">
        <v>521</v>
      </c>
      <c r="H823" s="19">
        <v>0.5</v>
      </c>
      <c r="I823" s="41">
        <v>250</v>
      </c>
      <c r="J823" s="42"/>
      <c r="K823" s="44"/>
      <c r="L823" s="19"/>
      <c r="M823" s="44"/>
      <c r="N823" s="45"/>
      <c r="O823" s="46">
        <f t="shared" ref="O823:O828" si="472">SUM(I823)</f>
        <v>250</v>
      </c>
      <c r="P823" s="51"/>
      <c r="Q823" s="51"/>
      <c r="R823" s="73">
        <f t="shared" si="469"/>
        <v>34.375</v>
      </c>
      <c r="S823" s="73"/>
      <c r="T823" s="74">
        <f t="shared" si="470"/>
        <v>0.6477734375</v>
      </c>
      <c r="U823" s="73"/>
      <c r="V823" s="73"/>
      <c r="W823" s="73">
        <f t="shared" si="464"/>
        <v>35.0227734375</v>
      </c>
      <c r="X823" s="75">
        <f t="shared" si="471"/>
        <v>0.883984375</v>
      </c>
      <c r="Y823" s="75"/>
      <c r="Z823" s="75"/>
      <c r="AA823" s="75">
        <f t="shared" si="465"/>
        <v>0.883984375</v>
      </c>
      <c r="AB823" s="84">
        <v>7.22</v>
      </c>
      <c r="AC823" s="73">
        <f t="shared" si="466"/>
        <v>6.3823671875</v>
      </c>
      <c r="AD823" s="73">
        <f t="shared" si="467"/>
        <v>41.405140625</v>
      </c>
      <c r="AE823" s="73">
        <f t="shared" si="463"/>
        <v>208.594859375</v>
      </c>
    </row>
    <row r="824" customFormat="1" spans="1:31">
      <c r="A824" s="18"/>
      <c r="B824" s="19"/>
      <c r="C824" s="20">
        <v>240522000030</v>
      </c>
      <c r="D824" s="21">
        <v>45439</v>
      </c>
      <c r="E824" s="21" t="s">
        <v>41</v>
      </c>
      <c r="F824" s="19" t="s">
        <v>42</v>
      </c>
      <c r="G824" s="19" t="s">
        <v>265</v>
      </c>
      <c r="H824" s="19">
        <v>6</v>
      </c>
      <c r="I824" s="41">
        <v>720</v>
      </c>
      <c r="J824" s="42"/>
      <c r="K824" s="44"/>
      <c r="L824" s="19"/>
      <c r="M824" s="44"/>
      <c r="N824" s="45"/>
      <c r="O824" s="46">
        <f t="shared" si="472"/>
        <v>720</v>
      </c>
      <c r="P824" s="51"/>
      <c r="Q824" s="51"/>
      <c r="R824" s="73">
        <f t="shared" si="469"/>
        <v>412.5</v>
      </c>
      <c r="S824" s="73"/>
      <c r="T824" s="74">
        <f t="shared" si="470"/>
        <v>7.77328125</v>
      </c>
      <c r="U824" s="73"/>
      <c r="V824" s="73"/>
      <c r="W824" s="73">
        <f t="shared" si="464"/>
        <v>420.27328125</v>
      </c>
      <c r="X824" s="75">
        <f t="shared" si="471"/>
        <v>10.6078125</v>
      </c>
      <c r="Y824" s="75"/>
      <c r="Z824" s="75"/>
      <c r="AA824" s="75">
        <f t="shared" si="465"/>
        <v>10.6078125</v>
      </c>
      <c r="AB824" s="84">
        <v>7.22</v>
      </c>
      <c r="AC824" s="73">
        <f t="shared" si="466"/>
        <v>76.58840625</v>
      </c>
      <c r="AD824" s="73">
        <f t="shared" si="467"/>
        <v>496.8616875</v>
      </c>
      <c r="AE824" s="73">
        <f t="shared" si="463"/>
        <v>223.1383125</v>
      </c>
    </row>
    <row r="825" customFormat="1" spans="1:31">
      <c r="A825" s="18"/>
      <c r="B825" s="19"/>
      <c r="C825" s="20">
        <v>240522000032</v>
      </c>
      <c r="D825" s="21">
        <v>45439</v>
      </c>
      <c r="E825" s="21" t="s">
        <v>41</v>
      </c>
      <c r="F825" s="19" t="s">
        <v>85</v>
      </c>
      <c r="G825" s="19" t="s">
        <v>86</v>
      </c>
      <c r="H825" s="19">
        <v>8</v>
      </c>
      <c r="I825" s="46"/>
      <c r="J825" s="48">
        <v>253339</v>
      </c>
      <c r="K825" s="44"/>
      <c r="L825" s="49">
        <f t="shared" ref="L825:L830" si="473">SUM(J825/M825)</f>
        <v>1520.003599928</v>
      </c>
      <c r="M825" s="50">
        <v>166.67</v>
      </c>
      <c r="N825" s="45">
        <v>7.22</v>
      </c>
      <c r="O825" s="46">
        <f t="shared" ref="O825:O830" si="474">SUM(M825*N825)</f>
        <v>1203.3574</v>
      </c>
      <c r="P825" s="51"/>
      <c r="Q825" s="51"/>
      <c r="R825" s="73">
        <f t="shared" si="469"/>
        <v>550</v>
      </c>
      <c r="S825" s="73"/>
      <c r="T825" s="74">
        <f t="shared" si="470"/>
        <v>10.364375</v>
      </c>
      <c r="U825" s="73"/>
      <c r="V825" s="73"/>
      <c r="W825" s="73">
        <f t="shared" si="464"/>
        <v>560.364375</v>
      </c>
      <c r="X825" s="75">
        <f t="shared" si="471"/>
        <v>14.14375</v>
      </c>
      <c r="Y825" s="75"/>
      <c r="Z825" s="75"/>
      <c r="AA825" s="75">
        <f t="shared" si="465"/>
        <v>14.14375</v>
      </c>
      <c r="AB825" s="84">
        <v>7.22</v>
      </c>
      <c r="AC825" s="73">
        <f t="shared" si="466"/>
        <v>102.117875</v>
      </c>
      <c r="AD825" s="73">
        <f t="shared" si="467"/>
        <v>662.48225</v>
      </c>
      <c r="AE825" s="73">
        <f t="shared" si="463"/>
        <v>540.87515</v>
      </c>
    </row>
    <row r="826" customFormat="1" spans="1:31">
      <c r="A826" s="18"/>
      <c r="B826" s="19"/>
      <c r="C826" s="20">
        <v>240523000003</v>
      </c>
      <c r="D826" s="21">
        <v>45439</v>
      </c>
      <c r="E826" s="21" t="s">
        <v>47</v>
      </c>
      <c r="F826" s="19" t="s">
        <v>48</v>
      </c>
      <c r="G826" s="19" t="s">
        <v>522</v>
      </c>
      <c r="H826" s="19">
        <v>0.64</v>
      </c>
      <c r="I826" s="41">
        <v>250</v>
      </c>
      <c r="J826" s="42"/>
      <c r="K826" s="44"/>
      <c r="L826" s="19"/>
      <c r="M826" s="44"/>
      <c r="N826" s="45"/>
      <c r="O826" s="46">
        <f t="shared" si="472"/>
        <v>250</v>
      </c>
      <c r="P826" s="51"/>
      <c r="Q826" s="51"/>
      <c r="R826" s="73">
        <f t="shared" si="469"/>
        <v>44</v>
      </c>
      <c r="S826" s="73"/>
      <c r="T826" s="74">
        <f t="shared" si="470"/>
        <v>0.82915</v>
      </c>
      <c r="U826" s="73"/>
      <c r="V826" s="73"/>
      <c r="W826" s="73">
        <f t="shared" si="464"/>
        <v>44.82915</v>
      </c>
      <c r="X826" s="75">
        <f t="shared" si="471"/>
        <v>1.1315</v>
      </c>
      <c r="Y826" s="75"/>
      <c r="Z826" s="75"/>
      <c r="AA826" s="75">
        <f t="shared" si="465"/>
        <v>1.1315</v>
      </c>
      <c r="AB826" s="84">
        <v>7.22</v>
      </c>
      <c r="AC826" s="73">
        <f t="shared" si="466"/>
        <v>8.16943</v>
      </c>
      <c r="AD826" s="73">
        <f t="shared" si="467"/>
        <v>52.99858</v>
      </c>
      <c r="AE826" s="73">
        <f t="shared" si="463"/>
        <v>197.00142</v>
      </c>
    </row>
    <row r="827" customFormat="1" spans="1:31">
      <c r="A827" s="18"/>
      <c r="B827" s="19"/>
      <c r="C827" s="20">
        <v>240523000008</v>
      </c>
      <c r="D827" s="21">
        <v>45439</v>
      </c>
      <c r="E827" s="21" t="s">
        <v>41</v>
      </c>
      <c r="F827" s="19" t="s">
        <v>42</v>
      </c>
      <c r="G827" s="19" t="s">
        <v>523</v>
      </c>
      <c r="H827" s="19">
        <v>8.5</v>
      </c>
      <c r="I827" s="41">
        <v>1062.5</v>
      </c>
      <c r="J827" s="42"/>
      <c r="K827" s="44"/>
      <c r="L827" s="19"/>
      <c r="M827" s="44"/>
      <c r="N827" s="45"/>
      <c r="O827" s="46">
        <f t="shared" si="472"/>
        <v>1062.5</v>
      </c>
      <c r="P827" s="51"/>
      <c r="Q827" s="51"/>
      <c r="R827" s="73">
        <f t="shared" si="469"/>
        <v>584.375</v>
      </c>
      <c r="S827" s="73"/>
      <c r="T827" s="74">
        <f t="shared" si="470"/>
        <v>11.0121484375</v>
      </c>
      <c r="U827" s="73"/>
      <c r="V827" s="73"/>
      <c r="W827" s="73">
        <f t="shared" si="464"/>
        <v>595.3871484375</v>
      </c>
      <c r="X827" s="75">
        <f t="shared" si="471"/>
        <v>15.027734375</v>
      </c>
      <c r="Y827" s="75"/>
      <c r="Z827" s="75"/>
      <c r="AA827" s="75">
        <f t="shared" si="465"/>
        <v>15.027734375</v>
      </c>
      <c r="AB827" s="84">
        <v>7.22</v>
      </c>
      <c r="AC827" s="73">
        <f t="shared" si="466"/>
        <v>108.5002421875</v>
      </c>
      <c r="AD827" s="73">
        <f t="shared" si="467"/>
        <v>703.887390625</v>
      </c>
      <c r="AE827" s="73">
        <f t="shared" si="463"/>
        <v>358.612609375</v>
      </c>
    </row>
    <row r="828" customFormat="1" spans="1:31">
      <c r="A828" s="18"/>
      <c r="B828" s="19"/>
      <c r="C828" s="20">
        <v>240523000026</v>
      </c>
      <c r="D828" s="21">
        <v>45439</v>
      </c>
      <c r="E828" s="21" t="s">
        <v>41</v>
      </c>
      <c r="F828" s="19" t="s">
        <v>42</v>
      </c>
      <c r="G828" s="19" t="s">
        <v>167</v>
      </c>
      <c r="H828" s="19">
        <v>0.52</v>
      </c>
      <c r="I828" s="41">
        <v>120</v>
      </c>
      <c r="J828" s="42"/>
      <c r="K828" s="44"/>
      <c r="L828" s="19"/>
      <c r="M828" s="44"/>
      <c r="N828" s="45"/>
      <c r="O828" s="46">
        <f t="shared" si="472"/>
        <v>120</v>
      </c>
      <c r="P828" s="51"/>
      <c r="Q828" s="51"/>
      <c r="R828" s="73">
        <f t="shared" si="469"/>
        <v>35.75</v>
      </c>
      <c r="S828" s="73"/>
      <c r="T828" s="74">
        <f t="shared" si="470"/>
        <v>0.673684375</v>
      </c>
      <c r="U828" s="73"/>
      <c r="V828" s="73"/>
      <c r="W828" s="73">
        <f t="shared" si="464"/>
        <v>36.423684375</v>
      </c>
      <c r="X828" s="75">
        <f t="shared" si="471"/>
        <v>0.91934375</v>
      </c>
      <c r="Y828" s="75"/>
      <c r="Z828" s="75"/>
      <c r="AA828" s="75">
        <f t="shared" si="465"/>
        <v>0.91934375</v>
      </c>
      <c r="AB828" s="84">
        <v>7.22</v>
      </c>
      <c r="AC828" s="73">
        <f t="shared" si="466"/>
        <v>6.637661875</v>
      </c>
      <c r="AD828" s="73">
        <f t="shared" si="467"/>
        <v>43.06134625</v>
      </c>
      <c r="AE828" s="73">
        <f t="shared" si="463"/>
        <v>76.93865375</v>
      </c>
    </row>
    <row r="829" customFormat="1" spans="1:31">
      <c r="A829" s="18"/>
      <c r="B829" s="19"/>
      <c r="C829" s="20">
        <v>240524000007</v>
      </c>
      <c r="D829" s="21">
        <v>45439</v>
      </c>
      <c r="E829" s="21" t="s">
        <v>47</v>
      </c>
      <c r="F829" s="19" t="s">
        <v>48</v>
      </c>
      <c r="G829" s="19" t="s">
        <v>135</v>
      </c>
      <c r="H829" s="19">
        <v>5.5</v>
      </c>
      <c r="I829" s="46"/>
      <c r="J829" s="48">
        <v>132287.04</v>
      </c>
      <c r="K829" s="44"/>
      <c r="L829" s="49">
        <f t="shared" si="473"/>
        <v>1506</v>
      </c>
      <c r="M829" s="50">
        <v>87.84</v>
      </c>
      <c r="N829" s="45">
        <v>7.22</v>
      </c>
      <c r="O829" s="46">
        <f t="shared" si="474"/>
        <v>634.2048</v>
      </c>
      <c r="P829" s="51"/>
      <c r="Q829" s="51"/>
      <c r="R829" s="73">
        <f t="shared" si="469"/>
        <v>378.125</v>
      </c>
      <c r="S829" s="73"/>
      <c r="T829" s="74">
        <f t="shared" si="470"/>
        <v>7.1255078125</v>
      </c>
      <c r="U829" s="73"/>
      <c r="V829" s="73"/>
      <c r="W829" s="73">
        <f t="shared" si="464"/>
        <v>385.2505078125</v>
      </c>
      <c r="X829" s="75">
        <f t="shared" si="471"/>
        <v>9.723828125</v>
      </c>
      <c r="Y829" s="75"/>
      <c r="Z829" s="75"/>
      <c r="AA829" s="75">
        <f t="shared" si="465"/>
        <v>9.723828125</v>
      </c>
      <c r="AB829" s="84">
        <v>7.22</v>
      </c>
      <c r="AC829" s="73">
        <f t="shared" si="466"/>
        <v>70.2060390625</v>
      </c>
      <c r="AD829" s="73">
        <f t="shared" si="467"/>
        <v>455.456546875</v>
      </c>
      <c r="AE829" s="73">
        <f t="shared" si="463"/>
        <v>178.748253125</v>
      </c>
    </row>
    <row r="830" customFormat="1" spans="1:31">
      <c r="A830" s="18"/>
      <c r="B830" s="19"/>
      <c r="C830" s="20">
        <v>240524000015</v>
      </c>
      <c r="D830" s="21">
        <v>45439</v>
      </c>
      <c r="E830" s="21" t="s">
        <v>41</v>
      </c>
      <c r="F830" s="19" t="s">
        <v>42</v>
      </c>
      <c r="G830" s="19" t="s">
        <v>142</v>
      </c>
      <c r="H830" s="19">
        <v>2</v>
      </c>
      <c r="I830" s="52"/>
      <c r="J830" s="48">
        <v>46920</v>
      </c>
      <c r="K830" s="44"/>
      <c r="L830" s="49">
        <f t="shared" si="473"/>
        <v>1473.15541601256</v>
      </c>
      <c r="M830" s="50">
        <v>31.85</v>
      </c>
      <c r="N830" s="45">
        <v>7.22</v>
      </c>
      <c r="O830" s="46">
        <f t="shared" si="474"/>
        <v>229.957</v>
      </c>
      <c r="P830" s="51"/>
      <c r="Q830" s="51"/>
      <c r="R830" s="73">
        <f t="shared" si="469"/>
        <v>137.5</v>
      </c>
      <c r="S830" s="73"/>
      <c r="T830" s="74">
        <f t="shared" si="470"/>
        <v>2.59109375</v>
      </c>
      <c r="U830" s="73"/>
      <c r="V830" s="73"/>
      <c r="W830" s="73">
        <f t="shared" si="464"/>
        <v>140.09109375</v>
      </c>
      <c r="X830" s="75">
        <f t="shared" si="471"/>
        <v>3.5359375</v>
      </c>
      <c r="Y830" s="75"/>
      <c r="Z830" s="75"/>
      <c r="AA830" s="75">
        <f t="shared" si="465"/>
        <v>3.5359375</v>
      </c>
      <c r="AB830" s="84">
        <v>7.22</v>
      </c>
      <c r="AC830" s="73">
        <f t="shared" si="466"/>
        <v>25.52946875</v>
      </c>
      <c r="AD830" s="73">
        <f t="shared" si="467"/>
        <v>165.6205625</v>
      </c>
      <c r="AE830" s="73">
        <f t="shared" si="463"/>
        <v>64.3364375</v>
      </c>
    </row>
    <row r="831" customFormat="1" spans="1:31">
      <c r="A831" s="18"/>
      <c r="B831" s="19"/>
      <c r="C831" s="20">
        <v>240524000018</v>
      </c>
      <c r="D831" s="21">
        <v>45439</v>
      </c>
      <c r="E831" s="21" t="s">
        <v>44</v>
      </c>
      <c r="F831" s="19" t="s">
        <v>45</v>
      </c>
      <c r="G831" s="19" t="s">
        <v>524</v>
      </c>
      <c r="H831" s="19">
        <v>4</v>
      </c>
      <c r="I831" s="41">
        <v>525</v>
      </c>
      <c r="J831" s="42"/>
      <c r="K831" s="44"/>
      <c r="L831" s="19"/>
      <c r="M831" s="44"/>
      <c r="N831" s="45"/>
      <c r="O831" s="46">
        <f t="shared" ref="O831:O841" si="475">SUM(I831)</f>
        <v>525</v>
      </c>
      <c r="P831" s="51"/>
      <c r="Q831" s="51"/>
      <c r="R831" s="73">
        <f t="shared" si="469"/>
        <v>275</v>
      </c>
      <c r="S831" s="73"/>
      <c r="T831" s="74">
        <f t="shared" si="470"/>
        <v>5.1821875</v>
      </c>
      <c r="U831" s="73"/>
      <c r="V831" s="73"/>
      <c r="W831" s="73">
        <f t="shared" si="464"/>
        <v>280.1821875</v>
      </c>
      <c r="X831" s="75">
        <f t="shared" si="471"/>
        <v>7.071875</v>
      </c>
      <c r="Y831" s="75">
        <v>9</v>
      </c>
      <c r="Z831" s="75"/>
      <c r="AA831" s="75">
        <f t="shared" si="465"/>
        <v>16.071875</v>
      </c>
      <c r="AB831" s="84">
        <v>7.22</v>
      </c>
      <c r="AC831" s="73">
        <f t="shared" si="466"/>
        <v>116.0389375</v>
      </c>
      <c r="AD831" s="73">
        <f t="shared" si="467"/>
        <v>396.221125</v>
      </c>
      <c r="AE831" s="73">
        <f t="shared" si="463"/>
        <v>128.778875</v>
      </c>
    </row>
    <row r="832" customFormat="1" spans="1:31">
      <c r="A832" s="18"/>
      <c r="B832" s="19"/>
      <c r="C832" s="20">
        <v>240524000019</v>
      </c>
      <c r="D832" s="21">
        <v>45439</v>
      </c>
      <c r="E832" s="21" t="s">
        <v>44</v>
      </c>
      <c r="F832" s="19" t="s">
        <v>45</v>
      </c>
      <c r="G832" s="19" t="s">
        <v>46</v>
      </c>
      <c r="H832" s="19">
        <v>0.64</v>
      </c>
      <c r="I832" s="41">
        <v>115</v>
      </c>
      <c r="J832" s="42"/>
      <c r="K832" s="44"/>
      <c r="L832" s="19"/>
      <c r="M832" s="44"/>
      <c r="N832" s="45"/>
      <c r="O832" s="46">
        <f t="shared" si="475"/>
        <v>115</v>
      </c>
      <c r="P832" s="51"/>
      <c r="Q832" s="51"/>
      <c r="R832" s="73">
        <f t="shared" si="469"/>
        <v>44</v>
      </c>
      <c r="S832" s="73"/>
      <c r="T832" s="74">
        <f t="shared" si="470"/>
        <v>0.82915</v>
      </c>
      <c r="U832" s="73"/>
      <c r="V832" s="73"/>
      <c r="W832" s="73">
        <f t="shared" si="464"/>
        <v>44.82915</v>
      </c>
      <c r="X832" s="75">
        <f t="shared" si="471"/>
        <v>1.1315</v>
      </c>
      <c r="Y832" s="75"/>
      <c r="Z832" s="75"/>
      <c r="AA832" s="75">
        <f t="shared" si="465"/>
        <v>1.1315</v>
      </c>
      <c r="AB832" s="84">
        <v>7.22</v>
      </c>
      <c r="AC832" s="73">
        <f t="shared" si="466"/>
        <v>8.16943</v>
      </c>
      <c r="AD832" s="73">
        <f t="shared" si="467"/>
        <v>52.99858</v>
      </c>
      <c r="AE832" s="73">
        <f t="shared" si="463"/>
        <v>62.00142</v>
      </c>
    </row>
    <row r="833" customFormat="1" spans="1:31">
      <c r="A833" s="18"/>
      <c r="B833" s="19"/>
      <c r="C833" s="20">
        <v>240524000032</v>
      </c>
      <c r="D833" s="21">
        <v>45439</v>
      </c>
      <c r="E833" s="21" t="s">
        <v>44</v>
      </c>
      <c r="F833" s="19" t="s">
        <v>45</v>
      </c>
      <c r="G833" s="19" t="s">
        <v>46</v>
      </c>
      <c r="H833" s="19">
        <v>0.66</v>
      </c>
      <c r="I833" s="41">
        <v>115</v>
      </c>
      <c r="J833" s="42"/>
      <c r="K833" s="44"/>
      <c r="L833" s="19"/>
      <c r="M833" s="44"/>
      <c r="N833" s="45"/>
      <c r="O833" s="46">
        <f t="shared" si="475"/>
        <v>115</v>
      </c>
      <c r="P833" s="51"/>
      <c r="Q833" s="51"/>
      <c r="R833" s="73">
        <f t="shared" si="469"/>
        <v>45.375</v>
      </c>
      <c r="S833" s="73"/>
      <c r="T833" s="74">
        <f t="shared" si="470"/>
        <v>0.8550609375</v>
      </c>
      <c r="U833" s="73"/>
      <c r="V833" s="73"/>
      <c r="W833" s="73">
        <f t="shared" si="464"/>
        <v>46.2300609375</v>
      </c>
      <c r="X833" s="75">
        <f t="shared" si="471"/>
        <v>1.166859375</v>
      </c>
      <c r="Y833" s="75"/>
      <c r="Z833" s="75"/>
      <c r="AA833" s="75">
        <f t="shared" si="465"/>
        <v>1.166859375</v>
      </c>
      <c r="AB833" s="84">
        <v>7.22</v>
      </c>
      <c r="AC833" s="73">
        <f t="shared" si="466"/>
        <v>8.4247246875</v>
      </c>
      <c r="AD833" s="73">
        <f t="shared" si="467"/>
        <v>54.654785625</v>
      </c>
      <c r="AE833" s="73">
        <f t="shared" si="463"/>
        <v>60.345214375</v>
      </c>
    </row>
    <row r="834" customFormat="1" spans="1:31">
      <c r="A834" s="18"/>
      <c r="B834" s="19"/>
      <c r="C834" s="20">
        <v>240524000033</v>
      </c>
      <c r="D834" s="21">
        <v>45439</v>
      </c>
      <c r="E834" s="21" t="s">
        <v>44</v>
      </c>
      <c r="F834" s="19" t="s">
        <v>45</v>
      </c>
      <c r="G834" s="19" t="s">
        <v>46</v>
      </c>
      <c r="H834" s="19">
        <v>1.5</v>
      </c>
      <c r="I834" s="41">
        <v>172.5</v>
      </c>
      <c r="J834" s="42"/>
      <c r="K834" s="44"/>
      <c r="L834" s="19"/>
      <c r="M834" s="44"/>
      <c r="N834" s="45"/>
      <c r="O834" s="46">
        <f t="shared" si="475"/>
        <v>172.5</v>
      </c>
      <c r="P834" s="51"/>
      <c r="Q834" s="51"/>
      <c r="R834" s="73">
        <f t="shared" si="469"/>
        <v>103.125</v>
      </c>
      <c r="S834" s="73"/>
      <c r="T834" s="74">
        <f t="shared" si="470"/>
        <v>1.9433203125</v>
      </c>
      <c r="U834" s="73"/>
      <c r="V834" s="73"/>
      <c r="W834" s="73">
        <f t="shared" si="464"/>
        <v>105.0683203125</v>
      </c>
      <c r="X834" s="75">
        <f t="shared" si="471"/>
        <v>2.651953125</v>
      </c>
      <c r="Y834" s="75"/>
      <c r="Z834" s="75"/>
      <c r="AA834" s="75">
        <f t="shared" si="465"/>
        <v>2.651953125</v>
      </c>
      <c r="AB834" s="84">
        <v>7.22</v>
      </c>
      <c r="AC834" s="73">
        <f t="shared" si="466"/>
        <v>19.1471015625</v>
      </c>
      <c r="AD834" s="73">
        <f t="shared" si="467"/>
        <v>124.215421875</v>
      </c>
      <c r="AE834" s="73">
        <f t="shared" si="463"/>
        <v>48.284578125</v>
      </c>
    </row>
    <row r="835" customFormat="1" spans="1:31">
      <c r="A835" s="18"/>
      <c r="B835" s="19"/>
      <c r="C835" s="22">
        <v>240524000035</v>
      </c>
      <c r="D835" s="23">
        <v>45439</v>
      </c>
      <c r="E835" s="21" t="s">
        <v>41</v>
      </c>
      <c r="F835" s="24" t="s">
        <v>42</v>
      </c>
      <c r="G835" s="24" t="s">
        <v>167</v>
      </c>
      <c r="H835" s="24">
        <v>5</v>
      </c>
      <c r="I835" s="41">
        <v>600</v>
      </c>
      <c r="J835" s="42"/>
      <c r="K835" s="44"/>
      <c r="L835" s="19"/>
      <c r="M835" s="44"/>
      <c r="N835" s="45"/>
      <c r="O835" s="46">
        <f t="shared" si="475"/>
        <v>600</v>
      </c>
      <c r="P835" s="51"/>
      <c r="Q835" s="51"/>
      <c r="R835" s="73">
        <f t="shared" si="469"/>
        <v>343.75</v>
      </c>
      <c r="S835" s="73"/>
      <c r="T835" s="74">
        <f t="shared" si="470"/>
        <v>6.477734375</v>
      </c>
      <c r="U835" s="73"/>
      <c r="V835" s="73"/>
      <c r="W835" s="73">
        <f t="shared" si="464"/>
        <v>350.227734375</v>
      </c>
      <c r="X835" s="75">
        <f t="shared" si="471"/>
        <v>8.83984375</v>
      </c>
      <c r="Y835" s="75"/>
      <c r="Z835" s="75"/>
      <c r="AA835" s="75">
        <f t="shared" si="465"/>
        <v>8.83984375</v>
      </c>
      <c r="AB835" s="84">
        <v>7.22</v>
      </c>
      <c r="AC835" s="73">
        <f t="shared" si="466"/>
        <v>63.823671875</v>
      </c>
      <c r="AD835" s="73">
        <f t="shared" si="467"/>
        <v>414.05140625</v>
      </c>
      <c r="AE835" s="73">
        <f t="shared" si="463"/>
        <v>185.94859375</v>
      </c>
    </row>
    <row r="836" customFormat="1" spans="1:31">
      <c r="A836" s="18"/>
      <c r="B836" s="19"/>
      <c r="C836" s="20">
        <v>240524000051</v>
      </c>
      <c r="D836" s="21">
        <v>45439</v>
      </c>
      <c r="E836" s="21" t="s">
        <v>41</v>
      </c>
      <c r="F836" s="19" t="s">
        <v>42</v>
      </c>
      <c r="G836" s="19" t="s">
        <v>525</v>
      </c>
      <c r="H836" s="19">
        <v>1</v>
      </c>
      <c r="I836" s="41">
        <v>120</v>
      </c>
      <c r="J836" s="42"/>
      <c r="K836" s="44"/>
      <c r="L836" s="19"/>
      <c r="M836" s="44"/>
      <c r="N836" s="45"/>
      <c r="O836" s="46">
        <f t="shared" si="475"/>
        <v>120</v>
      </c>
      <c r="P836" s="51"/>
      <c r="Q836" s="51"/>
      <c r="R836" s="73">
        <f t="shared" si="469"/>
        <v>68.75</v>
      </c>
      <c r="S836" s="73"/>
      <c r="T836" s="74">
        <f t="shared" si="470"/>
        <v>1.295546875</v>
      </c>
      <c r="U836" s="73"/>
      <c r="V836" s="73"/>
      <c r="W836" s="73">
        <f t="shared" si="464"/>
        <v>70.045546875</v>
      </c>
      <c r="X836" s="75">
        <f t="shared" si="471"/>
        <v>1.76796875</v>
      </c>
      <c r="Y836" s="75"/>
      <c r="Z836" s="75"/>
      <c r="AA836" s="75">
        <f t="shared" si="465"/>
        <v>1.76796875</v>
      </c>
      <c r="AB836" s="84">
        <v>7.22</v>
      </c>
      <c r="AC836" s="73">
        <f t="shared" si="466"/>
        <v>12.764734375</v>
      </c>
      <c r="AD836" s="73">
        <f t="shared" si="467"/>
        <v>82.81028125</v>
      </c>
      <c r="AE836" s="73">
        <f t="shared" si="463"/>
        <v>37.18971875</v>
      </c>
    </row>
    <row r="837" customFormat="1" spans="1:31">
      <c r="A837" s="18"/>
      <c r="B837" s="19"/>
      <c r="C837" s="20">
        <v>240524000056</v>
      </c>
      <c r="D837" s="21">
        <v>45439</v>
      </c>
      <c r="E837" s="21" t="s">
        <v>54</v>
      </c>
      <c r="F837" s="19" t="s">
        <v>108</v>
      </c>
      <c r="G837" s="19" t="s">
        <v>109</v>
      </c>
      <c r="H837" s="19">
        <v>15.5</v>
      </c>
      <c r="I837" s="52">
        <v>1860</v>
      </c>
      <c r="J837" s="42"/>
      <c r="K837" s="44"/>
      <c r="L837" s="19"/>
      <c r="M837" s="44"/>
      <c r="N837" s="45"/>
      <c r="O837" s="46">
        <f t="shared" si="475"/>
        <v>1860</v>
      </c>
      <c r="P837" s="51"/>
      <c r="Q837" s="51"/>
      <c r="R837" s="73">
        <f t="shared" si="469"/>
        <v>1065.625</v>
      </c>
      <c r="S837" s="73"/>
      <c r="T837" s="74">
        <f t="shared" si="470"/>
        <v>20.0809765625</v>
      </c>
      <c r="U837" s="73"/>
      <c r="V837" s="73"/>
      <c r="W837" s="73">
        <f t="shared" si="464"/>
        <v>1085.7059765625</v>
      </c>
      <c r="X837" s="75">
        <f t="shared" si="471"/>
        <v>27.403515625</v>
      </c>
      <c r="Y837" s="75"/>
      <c r="Z837" s="75"/>
      <c r="AA837" s="75">
        <f t="shared" si="465"/>
        <v>27.403515625</v>
      </c>
      <c r="AB837" s="84">
        <v>7.22</v>
      </c>
      <c r="AC837" s="73">
        <f t="shared" si="466"/>
        <v>197.8533828125</v>
      </c>
      <c r="AD837" s="73">
        <f t="shared" si="467"/>
        <v>1283.559359375</v>
      </c>
      <c r="AE837" s="73">
        <f t="shared" si="463"/>
        <v>576.440640625</v>
      </c>
    </row>
    <row r="838" customFormat="1" spans="1:31">
      <c r="A838" s="18"/>
      <c r="B838" s="19"/>
      <c r="C838" s="20">
        <v>240525000009</v>
      </c>
      <c r="D838" s="21">
        <v>45439</v>
      </c>
      <c r="E838" s="21" t="s">
        <v>54</v>
      </c>
      <c r="F838" s="19" t="s">
        <v>54</v>
      </c>
      <c r="G838" s="19" t="s">
        <v>80</v>
      </c>
      <c r="H838" s="19">
        <v>0.15</v>
      </c>
      <c r="I838" s="41">
        <v>145</v>
      </c>
      <c r="J838" s="42"/>
      <c r="K838" s="44"/>
      <c r="L838" s="19"/>
      <c r="M838" s="44"/>
      <c r="N838" s="45"/>
      <c r="O838" s="46">
        <f t="shared" si="475"/>
        <v>145</v>
      </c>
      <c r="P838" s="51"/>
      <c r="Q838" s="51"/>
      <c r="R838" s="73">
        <f t="shared" si="469"/>
        <v>10.3125</v>
      </c>
      <c r="S838" s="73"/>
      <c r="T838" s="74">
        <f t="shared" si="470"/>
        <v>0.19433203125</v>
      </c>
      <c r="U838" s="73"/>
      <c r="V838" s="73"/>
      <c r="W838" s="73">
        <f t="shared" si="464"/>
        <v>10.50683203125</v>
      </c>
      <c r="X838" s="75">
        <f t="shared" si="471"/>
        <v>0.2651953125</v>
      </c>
      <c r="Y838" s="75"/>
      <c r="Z838" s="75"/>
      <c r="AA838" s="75">
        <f t="shared" si="465"/>
        <v>0.2651953125</v>
      </c>
      <c r="AB838" s="84">
        <v>7.22</v>
      </c>
      <c r="AC838" s="73">
        <f t="shared" si="466"/>
        <v>1.91471015625</v>
      </c>
      <c r="AD838" s="73">
        <f t="shared" si="467"/>
        <v>12.4215421875</v>
      </c>
      <c r="AE838" s="73">
        <f t="shared" si="463"/>
        <v>132.5784578125</v>
      </c>
    </row>
    <row r="839" customFormat="1" spans="1:31">
      <c r="A839" s="18"/>
      <c r="B839" s="19"/>
      <c r="C839" s="20">
        <v>240525000012</v>
      </c>
      <c r="D839" s="21">
        <v>45439</v>
      </c>
      <c r="E839" s="21" t="s">
        <v>54</v>
      </c>
      <c r="F839" s="19" t="s">
        <v>54</v>
      </c>
      <c r="G839" s="19" t="s">
        <v>526</v>
      </c>
      <c r="H839" s="19">
        <v>5.5</v>
      </c>
      <c r="I839" s="41">
        <v>632.5</v>
      </c>
      <c r="J839" s="42"/>
      <c r="K839" s="44"/>
      <c r="L839" s="19"/>
      <c r="M839" s="44"/>
      <c r="N839" s="45"/>
      <c r="O839" s="46">
        <f t="shared" si="475"/>
        <v>632.5</v>
      </c>
      <c r="P839" s="51"/>
      <c r="Q839" s="51"/>
      <c r="R839" s="73">
        <f t="shared" si="469"/>
        <v>378.125</v>
      </c>
      <c r="S839" s="73"/>
      <c r="T839" s="74">
        <f t="shared" si="470"/>
        <v>7.1255078125</v>
      </c>
      <c r="U839" s="73"/>
      <c r="V839" s="73"/>
      <c r="W839" s="73">
        <f t="shared" si="464"/>
        <v>385.2505078125</v>
      </c>
      <c r="X839" s="75">
        <f t="shared" si="471"/>
        <v>9.723828125</v>
      </c>
      <c r="Y839" s="75"/>
      <c r="Z839" s="75"/>
      <c r="AA839" s="75">
        <f t="shared" si="465"/>
        <v>9.723828125</v>
      </c>
      <c r="AB839" s="84">
        <v>7.22</v>
      </c>
      <c r="AC839" s="73">
        <f t="shared" si="466"/>
        <v>70.2060390625</v>
      </c>
      <c r="AD839" s="73">
        <f t="shared" si="467"/>
        <v>455.456546875</v>
      </c>
      <c r="AE839" s="73">
        <f t="shared" si="463"/>
        <v>177.043453125</v>
      </c>
    </row>
    <row r="840" customFormat="1" spans="1:31">
      <c r="A840" s="18"/>
      <c r="B840" s="19"/>
      <c r="C840" s="20">
        <v>240525000013</v>
      </c>
      <c r="D840" s="21">
        <v>45439</v>
      </c>
      <c r="E840" s="21" t="s">
        <v>41</v>
      </c>
      <c r="F840" s="19" t="s">
        <v>42</v>
      </c>
      <c r="G840" s="19" t="s">
        <v>141</v>
      </c>
      <c r="H840" s="19">
        <v>16.5</v>
      </c>
      <c r="I840" s="52"/>
      <c r="J840" s="48">
        <v>485780</v>
      </c>
      <c r="K840" s="44"/>
      <c r="L840" s="49">
        <f>SUM(J840/M840)</f>
        <v>1638.98916967509</v>
      </c>
      <c r="M840" s="50">
        <v>296.39</v>
      </c>
      <c r="N840" s="45">
        <v>7.22</v>
      </c>
      <c r="O840" s="46">
        <f>SUM(M840*N840)</f>
        <v>2139.9358</v>
      </c>
      <c r="P840" s="51"/>
      <c r="Q840" s="51"/>
      <c r="R840" s="73">
        <f t="shared" si="469"/>
        <v>1134.375</v>
      </c>
      <c r="S840" s="73"/>
      <c r="T840" s="74">
        <f t="shared" si="470"/>
        <v>21.3765234375</v>
      </c>
      <c r="U840" s="73"/>
      <c r="V840" s="74">
        <v>160</v>
      </c>
      <c r="W840" s="73">
        <f t="shared" si="464"/>
        <v>1315.7515234375</v>
      </c>
      <c r="X840" s="75">
        <f t="shared" si="471"/>
        <v>29.171484375</v>
      </c>
      <c r="Y840" s="75"/>
      <c r="Z840" s="75"/>
      <c r="AA840" s="75">
        <f t="shared" si="465"/>
        <v>29.171484375</v>
      </c>
      <c r="AB840" s="84">
        <v>7.22</v>
      </c>
      <c r="AC840" s="73">
        <f t="shared" si="466"/>
        <v>210.6181171875</v>
      </c>
      <c r="AD840" s="73">
        <f t="shared" si="467"/>
        <v>1526.369640625</v>
      </c>
      <c r="AE840" s="73">
        <f t="shared" si="463"/>
        <v>613.566159375</v>
      </c>
    </row>
    <row r="841" customFormat="1" spans="1:31">
      <c r="A841" s="18"/>
      <c r="B841" s="19"/>
      <c r="C841" s="20">
        <v>240525000014</v>
      </c>
      <c r="D841" s="21">
        <v>45439</v>
      </c>
      <c r="E841" s="21" t="s">
        <v>47</v>
      </c>
      <c r="F841" s="19" t="s">
        <v>48</v>
      </c>
      <c r="G841" s="19" t="s">
        <v>527</v>
      </c>
      <c r="H841" s="19">
        <v>12.5</v>
      </c>
      <c r="I841" s="41">
        <v>1875</v>
      </c>
      <c r="J841" s="42"/>
      <c r="K841" s="44"/>
      <c r="L841" s="19"/>
      <c r="M841" s="44"/>
      <c r="N841" s="45"/>
      <c r="O841" s="46">
        <f t="shared" si="475"/>
        <v>1875</v>
      </c>
      <c r="P841" s="51"/>
      <c r="Q841" s="51"/>
      <c r="R841" s="73">
        <f t="shared" si="469"/>
        <v>859.375</v>
      </c>
      <c r="S841" s="73"/>
      <c r="T841" s="74">
        <f t="shared" si="470"/>
        <v>16.1943359375</v>
      </c>
      <c r="U841" s="73"/>
      <c r="V841" s="73"/>
      <c r="W841" s="73">
        <f t="shared" si="464"/>
        <v>875.5693359375</v>
      </c>
      <c r="X841" s="75">
        <f t="shared" si="471"/>
        <v>22.099609375</v>
      </c>
      <c r="Y841" s="75"/>
      <c r="Z841" s="75"/>
      <c r="AA841" s="75">
        <f t="shared" si="465"/>
        <v>22.099609375</v>
      </c>
      <c r="AB841" s="84">
        <v>7.22</v>
      </c>
      <c r="AC841" s="73">
        <f t="shared" ref="AC841:AC872" si="476">SUM(AA841*AB841)</f>
        <v>159.5591796875</v>
      </c>
      <c r="AD841" s="73">
        <f t="shared" si="467"/>
        <v>1035.128515625</v>
      </c>
      <c r="AE841" s="73">
        <f t="shared" si="463"/>
        <v>839.871484375</v>
      </c>
    </row>
    <row r="842" customFormat="1" spans="1:31">
      <c r="A842" s="18"/>
      <c r="B842" s="19"/>
      <c r="C842" s="20">
        <v>240525000015</v>
      </c>
      <c r="D842" s="21">
        <v>45439</v>
      </c>
      <c r="E842" s="21" t="s">
        <v>44</v>
      </c>
      <c r="F842" s="19" t="s">
        <v>528</v>
      </c>
      <c r="G842" s="19" t="s">
        <v>529</v>
      </c>
      <c r="H842" s="19">
        <v>2</v>
      </c>
      <c r="I842" s="46"/>
      <c r="J842" s="48">
        <v>48550</v>
      </c>
      <c r="K842" s="44"/>
      <c r="L842" s="49">
        <f t="shared" ref="L842:L848" si="477">SUM(J842/M842)</f>
        <v>1520.03757044458</v>
      </c>
      <c r="M842" s="50">
        <v>31.94</v>
      </c>
      <c r="N842" s="45">
        <v>7.22</v>
      </c>
      <c r="O842" s="46">
        <f t="shared" ref="O842:O848" si="478">SUM(M842*N842)</f>
        <v>230.6068</v>
      </c>
      <c r="P842" s="51"/>
      <c r="Q842" s="51"/>
      <c r="R842" s="73">
        <f t="shared" si="469"/>
        <v>137.5</v>
      </c>
      <c r="S842" s="73"/>
      <c r="T842" s="74">
        <f t="shared" si="470"/>
        <v>2.59109375</v>
      </c>
      <c r="U842" s="73"/>
      <c r="V842" s="73"/>
      <c r="W842" s="73">
        <f t="shared" si="464"/>
        <v>140.09109375</v>
      </c>
      <c r="X842" s="75">
        <f t="shared" si="471"/>
        <v>3.5359375</v>
      </c>
      <c r="Y842" s="75"/>
      <c r="Z842" s="75"/>
      <c r="AA842" s="75">
        <f t="shared" si="465"/>
        <v>3.5359375</v>
      </c>
      <c r="AB842" s="84">
        <v>7.22</v>
      </c>
      <c r="AC842" s="73">
        <f t="shared" si="476"/>
        <v>25.52946875</v>
      </c>
      <c r="AD842" s="73">
        <f t="shared" si="467"/>
        <v>165.6205625</v>
      </c>
      <c r="AE842" s="73">
        <f t="shared" si="463"/>
        <v>64.9862375</v>
      </c>
    </row>
    <row r="843" customFormat="1" spans="1:31">
      <c r="A843" s="18"/>
      <c r="B843" s="19"/>
      <c r="C843" s="20">
        <v>240525000017</v>
      </c>
      <c r="D843" s="21">
        <v>45439</v>
      </c>
      <c r="E843" s="21" t="s">
        <v>47</v>
      </c>
      <c r="F843" s="19" t="s">
        <v>48</v>
      </c>
      <c r="G843" s="19" t="s">
        <v>420</v>
      </c>
      <c r="H843" s="19">
        <v>0.15</v>
      </c>
      <c r="I843" s="52"/>
      <c r="J843" s="48">
        <v>29435</v>
      </c>
      <c r="K843" s="44"/>
      <c r="L843" s="49">
        <f t="shared" si="477"/>
        <v>1465.88645418327</v>
      </c>
      <c r="M843" s="50">
        <v>20.08</v>
      </c>
      <c r="N843" s="45">
        <v>7.22</v>
      </c>
      <c r="O843" s="46">
        <f t="shared" si="478"/>
        <v>144.9776</v>
      </c>
      <c r="P843" s="51"/>
      <c r="Q843" s="51"/>
      <c r="R843" s="73">
        <f t="shared" si="469"/>
        <v>10.3125</v>
      </c>
      <c r="S843" s="73"/>
      <c r="T843" s="74">
        <f t="shared" si="470"/>
        <v>0.19433203125</v>
      </c>
      <c r="U843" s="73"/>
      <c r="V843" s="73"/>
      <c r="W843" s="73">
        <f t="shared" si="464"/>
        <v>10.50683203125</v>
      </c>
      <c r="X843" s="75">
        <f t="shared" si="471"/>
        <v>0.2651953125</v>
      </c>
      <c r="Y843" s="75"/>
      <c r="Z843" s="75"/>
      <c r="AA843" s="75">
        <f t="shared" si="465"/>
        <v>0.2651953125</v>
      </c>
      <c r="AB843" s="84">
        <v>7.22</v>
      </c>
      <c r="AC843" s="73">
        <f t="shared" si="476"/>
        <v>1.91471015625</v>
      </c>
      <c r="AD843" s="73">
        <f t="shared" si="467"/>
        <v>12.4215421875</v>
      </c>
      <c r="AE843" s="73">
        <f t="shared" ref="AE843:AE874" si="479">SUM(O843-AD843)</f>
        <v>132.5560578125</v>
      </c>
    </row>
    <row r="844" customFormat="1" spans="1:31">
      <c r="A844" s="18"/>
      <c r="B844" s="19"/>
      <c r="C844" s="20">
        <v>240525000018</v>
      </c>
      <c r="D844" s="21">
        <v>45439</v>
      </c>
      <c r="E844" s="21" t="s">
        <v>47</v>
      </c>
      <c r="F844" s="19" t="s">
        <v>48</v>
      </c>
      <c r="G844" s="19" t="s">
        <v>52</v>
      </c>
      <c r="H844" s="19">
        <v>2.5</v>
      </c>
      <c r="I844" s="41">
        <v>304.5</v>
      </c>
      <c r="J844" s="42"/>
      <c r="K844" s="44"/>
      <c r="L844" s="19"/>
      <c r="M844" s="44"/>
      <c r="N844" s="45"/>
      <c r="O844" s="46">
        <f t="shared" ref="O844:O846" si="480">SUM(I844)</f>
        <v>304.5</v>
      </c>
      <c r="P844" s="53"/>
      <c r="Q844" s="53"/>
      <c r="R844" s="73">
        <f t="shared" si="469"/>
        <v>171.875</v>
      </c>
      <c r="S844" s="73"/>
      <c r="T844" s="74">
        <f t="shared" si="470"/>
        <v>3.2388671875</v>
      </c>
      <c r="U844" s="73"/>
      <c r="V844" s="74">
        <v>17</v>
      </c>
      <c r="W844" s="73">
        <f t="shared" ref="W844:W875" si="481">SUM(R844:V844)</f>
        <v>192.1138671875</v>
      </c>
      <c r="X844" s="75">
        <f t="shared" si="471"/>
        <v>4.419921875</v>
      </c>
      <c r="Y844" s="75"/>
      <c r="Z844" s="75"/>
      <c r="AA844" s="75">
        <f t="shared" ref="AA844:AA875" si="482">SUM(X844:Z844)</f>
        <v>4.419921875</v>
      </c>
      <c r="AB844" s="84">
        <v>7.22</v>
      </c>
      <c r="AC844" s="73">
        <f t="shared" si="476"/>
        <v>31.9118359375</v>
      </c>
      <c r="AD844" s="73">
        <f t="shared" ref="AD844:AD875" si="483">SUM(W844+AC844)</f>
        <v>224.025703125</v>
      </c>
      <c r="AE844" s="73">
        <f t="shared" si="479"/>
        <v>80.474296875</v>
      </c>
    </row>
    <row r="845" customFormat="1" spans="1:31">
      <c r="A845" s="18" t="s">
        <v>530</v>
      </c>
      <c r="B845" s="19" t="s">
        <v>531</v>
      </c>
      <c r="C845" s="20">
        <v>240520000005</v>
      </c>
      <c r="D845" s="21">
        <v>45440</v>
      </c>
      <c r="E845" s="21" t="s">
        <v>37</v>
      </c>
      <c r="F845" s="19" t="s">
        <v>38</v>
      </c>
      <c r="G845" s="19" t="s">
        <v>143</v>
      </c>
      <c r="H845" s="19">
        <v>3.5</v>
      </c>
      <c r="I845" s="41">
        <v>206</v>
      </c>
      <c r="J845" s="42"/>
      <c r="K845" s="44"/>
      <c r="L845" s="19"/>
      <c r="M845" s="44"/>
      <c r="N845" s="45"/>
      <c r="O845" s="46">
        <f t="shared" si="480"/>
        <v>206</v>
      </c>
      <c r="P845" s="47">
        <f>SUM(O845:O909)</f>
        <v>154539.968522</v>
      </c>
      <c r="Q845" s="47" t="s">
        <v>59</v>
      </c>
      <c r="R845" s="73">
        <f>SUM(109782/2680)*H845</f>
        <v>143.372014925373</v>
      </c>
      <c r="S845" s="73"/>
      <c r="T845" s="74">
        <f>SUM(320.05/2680)*H845</f>
        <v>0.417975746268657</v>
      </c>
      <c r="U845" s="73"/>
      <c r="V845" s="73"/>
      <c r="W845" s="73">
        <f t="shared" si="481"/>
        <v>143.789990671642</v>
      </c>
      <c r="X845" s="75">
        <f>SUM(2015.16/2680)*H845</f>
        <v>2.63173880597015</v>
      </c>
      <c r="Y845" s="75"/>
      <c r="Z845" s="75"/>
      <c r="AA845" s="75">
        <f t="shared" si="482"/>
        <v>2.63173880597015</v>
      </c>
      <c r="AB845" s="84">
        <v>7.22</v>
      </c>
      <c r="AC845" s="73">
        <f t="shared" si="476"/>
        <v>19.0011541791045</v>
      </c>
      <c r="AD845" s="73">
        <f t="shared" si="483"/>
        <v>162.791144850746</v>
      </c>
      <c r="AE845" s="73">
        <f t="shared" si="479"/>
        <v>43.208855149254</v>
      </c>
    </row>
    <row r="846" customFormat="1" spans="1:31">
      <c r="A846" s="18"/>
      <c r="B846" s="19"/>
      <c r="C846" s="20">
        <v>240520000009</v>
      </c>
      <c r="D846" s="21">
        <v>45440</v>
      </c>
      <c r="E846" s="21" t="s">
        <v>47</v>
      </c>
      <c r="F846" s="19" t="s">
        <v>48</v>
      </c>
      <c r="G846" s="19" t="s">
        <v>134</v>
      </c>
      <c r="H846" s="19">
        <v>5.5</v>
      </c>
      <c r="I846" s="41">
        <v>322</v>
      </c>
      <c r="J846" s="42"/>
      <c r="K846" s="44"/>
      <c r="L846" s="19"/>
      <c r="M846" s="44"/>
      <c r="N846" s="45"/>
      <c r="O846" s="46">
        <f t="shared" si="480"/>
        <v>322</v>
      </c>
      <c r="P846" s="51"/>
      <c r="Q846" s="51"/>
      <c r="R846" s="73">
        <f t="shared" ref="R846:R877" si="484">SUM(109782/2680)*H846</f>
        <v>225.298880597015</v>
      </c>
      <c r="S846" s="73"/>
      <c r="T846" s="74">
        <f t="shared" ref="T846:T877" si="485">SUM(320.05/2680)*H846</f>
        <v>0.656819029850746</v>
      </c>
      <c r="U846" s="73"/>
      <c r="V846" s="73"/>
      <c r="W846" s="73">
        <f t="shared" si="481"/>
        <v>225.955699626866</v>
      </c>
      <c r="X846" s="75">
        <f t="shared" ref="X846:X877" si="486">SUM(2015.16/2680)*H846</f>
        <v>4.13558955223881</v>
      </c>
      <c r="Y846" s="75"/>
      <c r="Z846" s="75"/>
      <c r="AA846" s="75">
        <f t="shared" si="482"/>
        <v>4.13558955223881</v>
      </c>
      <c r="AB846" s="84">
        <v>7.22</v>
      </c>
      <c r="AC846" s="73">
        <f t="shared" si="476"/>
        <v>29.8589565671642</v>
      </c>
      <c r="AD846" s="73">
        <f t="shared" si="483"/>
        <v>255.81465619403</v>
      </c>
      <c r="AE846" s="73">
        <f t="shared" si="479"/>
        <v>66.18534380597</v>
      </c>
    </row>
    <row r="847" customFormat="1" spans="1:31">
      <c r="A847" s="18"/>
      <c r="B847" s="19"/>
      <c r="C847" s="20">
        <v>240520000021</v>
      </c>
      <c r="D847" s="21">
        <v>45440</v>
      </c>
      <c r="E847" s="21" t="s">
        <v>41</v>
      </c>
      <c r="F847" s="19" t="s">
        <v>42</v>
      </c>
      <c r="G847" s="19" t="s">
        <v>142</v>
      </c>
      <c r="H847" s="19">
        <v>20</v>
      </c>
      <c r="I847" s="52"/>
      <c r="J847" s="48">
        <v>216240</v>
      </c>
      <c r="K847" s="44"/>
      <c r="L847" s="49">
        <f t="shared" si="477"/>
        <v>1472.92418772563</v>
      </c>
      <c r="M847" s="50">
        <v>146.81</v>
      </c>
      <c r="N847" s="45">
        <v>7.22</v>
      </c>
      <c r="O847" s="46">
        <f t="shared" si="478"/>
        <v>1059.9682</v>
      </c>
      <c r="P847" s="51"/>
      <c r="Q847" s="51"/>
      <c r="R847" s="73">
        <f t="shared" si="484"/>
        <v>819.268656716418</v>
      </c>
      <c r="S847" s="73"/>
      <c r="T847" s="74">
        <f t="shared" si="485"/>
        <v>2.3884328358209</v>
      </c>
      <c r="U847" s="73"/>
      <c r="V847" s="73"/>
      <c r="W847" s="73">
        <f t="shared" si="481"/>
        <v>821.657089552239</v>
      </c>
      <c r="X847" s="75">
        <f t="shared" si="486"/>
        <v>15.0385074626866</v>
      </c>
      <c r="Y847" s="75"/>
      <c r="Z847" s="75"/>
      <c r="AA847" s="75">
        <f t="shared" si="482"/>
        <v>15.0385074626866</v>
      </c>
      <c r="AB847" s="84">
        <v>7.22</v>
      </c>
      <c r="AC847" s="73">
        <f t="shared" si="476"/>
        <v>108.578023880597</v>
      </c>
      <c r="AD847" s="73">
        <f t="shared" si="483"/>
        <v>930.235113432836</v>
      </c>
      <c r="AE847" s="73">
        <f t="shared" si="479"/>
        <v>129.733086567164</v>
      </c>
    </row>
    <row r="848" customFormat="1" spans="1:31">
      <c r="A848" s="18"/>
      <c r="B848" s="19"/>
      <c r="C848" s="20">
        <v>240520000023</v>
      </c>
      <c r="D848" s="21">
        <v>45440</v>
      </c>
      <c r="E848" s="21" t="s">
        <v>37</v>
      </c>
      <c r="F848" s="19" t="s">
        <v>38</v>
      </c>
      <c r="G848" s="19" t="s">
        <v>498</v>
      </c>
      <c r="H848" s="19">
        <v>11.5</v>
      </c>
      <c r="I848" s="52"/>
      <c r="J848" s="48">
        <v>138312</v>
      </c>
      <c r="K848" s="44"/>
      <c r="L848" s="49">
        <f t="shared" si="477"/>
        <v>1471.87400234117</v>
      </c>
      <c r="M848" s="50">
        <v>93.97</v>
      </c>
      <c r="N848" s="45">
        <v>7.22</v>
      </c>
      <c r="O848" s="46">
        <f t="shared" si="478"/>
        <v>678.4634</v>
      </c>
      <c r="P848" s="51"/>
      <c r="Q848" s="51"/>
      <c r="R848" s="73">
        <f t="shared" si="484"/>
        <v>471.07947761194</v>
      </c>
      <c r="S848" s="73"/>
      <c r="T848" s="74">
        <f t="shared" si="485"/>
        <v>1.37334888059701</v>
      </c>
      <c r="U848" s="73">
        <v>40</v>
      </c>
      <c r="V848" s="73"/>
      <c r="W848" s="73">
        <f t="shared" si="481"/>
        <v>512.452826492537</v>
      </c>
      <c r="X848" s="75">
        <f t="shared" si="486"/>
        <v>8.64714179104478</v>
      </c>
      <c r="Y848" s="75"/>
      <c r="Z848" s="75"/>
      <c r="AA848" s="75">
        <f t="shared" si="482"/>
        <v>8.64714179104478</v>
      </c>
      <c r="AB848" s="84">
        <v>7.22</v>
      </c>
      <c r="AC848" s="73">
        <f t="shared" si="476"/>
        <v>62.4323637313433</v>
      </c>
      <c r="AD848" s="73">
        <f t="shared" si="483"/>
        <v>574.885190223881</v>
      </c>
      <c r="AE848" s="73">
        <f t="shared" si="479"/>
        <v>103.578209776119</v>
      </c>
    </row>
    <row r="849" customFormat="1" spans="1:31">
      <c r="A849" s="18"/>
      <c r="B849" s="19"/>
      <c r="C849" s="20">
        <v>240520000030</v>
      </c>
      <c r="D849" s="21">
        <v>45440</v>
      </c>
      <c r="E849" s="21" t="s">
        <v>44</v>
      </c>
      <c r="F849" s="19" t="s">
        <v>45</v>
      </c>
      <c r="G849" s="19" t="s">
        <v>162</v>
      </c>
      <c r="H849" s="19">
        <v>20</v>
      </c>
      <c r="I849" s="41">
        <v>1060</v>
      </c>
      <c r="J849" s="42"/>
      <c r="K849" s="44"/>
      <c r="L849" s="19"/>
      <c r="M849" s="44"/>
      <c r="N849" s="45"/>
      <c r="O849" s="46">
        <f t="shared" ref="O849:O853" si="487">SUM(I849)</f>
        <v>1060</v>
      </c>
      <c r="P849" s="51"/>
      <c r="Q849" s="51"/>
      <c r="R849" s="73">
        <f t="shared" si="484"/>
        <v>819.268656716418</v>
      </c>
      <c r="S849" s="73"/>
      <c r="T849" s="74">
        <f t="shared" si="485"/>
        <v>2.3884328358209</v>
      </c>
      <c r="U849" s="73"/>
      <c r="V849" s="73"/>
      <c r="W849" s="73">
        <f t="shared" si="481"/>
        <v>821.657089552239</v>
      </c>
      <c r="X849" s="75">
        <f t="shared" si="486"/>
        <v>15.0385074626866</v>
      </c>
      <c r="Y849" s="75"/>
      <c r="Z849" s="75"/>
      <c r="AA849" s="75">
        <f t="shared" si="482"/>
        <v>15.0385074626866</v>
      </c>
      <c r="AB849" s="84">
        <v>7.22</v>
      </c>
      <c r="AC849" s="73">
        <f t="shared" si="476"/>
        <v>108.578023880597</v>
      </c>
      <c r="AD849" s="73">
        <f t="shared" si="483"/>
        <v>930.235113432836</v>
      </c>
      <c r="AE849" s="73">
        <f t="shared" si="479"/>
        <v>129.764886567164</v>
      </c>
    </row>
    <row r="850" customFormat="1" spans="1:31">
      <c r="A850" s="18"/>
      <c r="B850" s="19"/>
      <c r="C850" s="20">
        <v>240520000032</v>
      </c>
      <c r="D850" s="21">
        <v>45440</v>
      </c>
      <c r="E850" s="21" t="s">
        <v>44</v>
      </c>
      <c r="F850" s="19" t="s">
        <v>127</v>
      </c>
      <c r="G850" s="19" t="s">
        <v>128</v>
      </c>
      <c r="H850" s="19">
        <v>43</v>
      </c>
      <c r="I850" s="41">
        <v>2973</v>
      </c>
      <c r="J850" s="42"/>
      <c r="K850" s="44"/>
      <c r="L850" s="19"/>
      <c r="M850" s="44"/>
      <c r="N850" s="45"/>
      <c r="O850" s="46">
        <f t="shared" si="487"/>
        <v>2973</v>
      </c>
      <c r="P850" s="51"/>
      <c r="Q850" s="51"/>
      <c r="R850" s="73">
        <f t="shared" si="484"/>
        <v>1761.4276119403</v>
      </c>
      <c r="S850" s="73"/>
      <c r="T850" s="74">
        <f t="shared" si="485"/>
        <v>5.13513059701493</v>
      </c>
      <c r="U850" s="73"/>
      <c r="V850" s="73"/>
      <c r="W850" s="73">
        <f t="shared" si="481"/>
        <v>1766.56274253731</v>
      </c>
      <c r="X850" s="75">
        <f t="shared" si="486"/>
        <v>32.3327910447761</v>
      </c>
      <c r="Y850" s="75"/>
      <c r="Z850" s="75"/>
      <c r="AA850" s="75">
        <f t="shared" si="482"/>
        <v>32.3327910447761</v>
      </c>
      <c r="AB850" s="84">
        <v>7.22</v>
      </c>
      <c r="AC850" s="73">
        <f t="shared" si="476"/>
        <v>233.442751343284</v>
      </c>
      <c r="AD850" s="73">
        <f t="shared" si="483"/>
        <v>2000.0054938806</v>
      </c>
      <c r="AE850" s="73">
        <f t="shared" si="479"/>
        <v>972.9945061194</v>
      </c>
    </row>
    <row r="851" customFormat="1" spans="1:31">
      <c r="A851" s="18"/>
      <c r="B851" s="19"/>
      <c r="C851" s="20">
        <v>240520000049</v>
      </c>
      <c r="D851" s="21">
        <v>45440</v>
      </c>
      <c r="E851" s="21" t="s">
        <v>41</v>
      </c>
      <c r="F851" s="19" t="s">
        <v>42</v>
      </c>
      <c r="G851" s="19" t="s">
        <v>43</v>
      </c>
      <c r="H851" s="19">
        <v>10</v>
      </c>
      <c r="I851" s="46"/>
      <c r="J851" s="48">
        <v>114342</v>
      </c>
      <c r="K851" s="44"/>
      <c r="L851" s="49">
        <f t="shared" ref="L851:L855" si="488">SUM(J851/M851)</f>
        <v>1467.99332391835</v>
      </c>
      <c r="M851" s="50">
        <v>77.89</v>
      </c>
      <c r="N851" s="45">
        <v>7.22</v>
      </c>
      <c r="O851" s="46">
        <f t="shared" ref="O851:O855" si="489">SUM(M851*N851)</f>
        <v>562.3658</v>
      </c>
      <c r="P851" s="51"/>
      <c r="Q851" s="51"/>
      <c r="R851" s="73">
        <f t="shared" si="484"/>
        <v>409.634328358209</v>
      </c>
      <c r="S851" s="73"/>
      <c r="T851" s="74">
        <f t="shared" si="485"/>
        <v>1.19421641791045</v>
      </c>
      <c r="U851" s="73"/>
      <c r="V851" s="73"/>
      <c r="W851" s="73">
        <f t="shared" si="481"/>
        <v>410.828544776119</v>
      </c>
      <c r="X851" s="75">
        <f t="shared" si="486"/>
        <v>7.51925373134328</v>
      </c>
      <c r="Y851" s="75"/>
      <c r="Z851" s="75"/>
      <c r="AA851" s="75">
        <f t="shared" si="482"/>
        <v>7.51925373134328</v>
      </c>
      <c r="AB851" s="84">
        <v>7.22</v>
      </c>
      <c r="AC851" s="73">
        <f t="shared" si="476"/>
        <v>54.2890119402985</v>
      </c>
      <c r="AD851" s="73">
        <f t="shared" si="483"/>
        <v>465.117556716418</v>
      </c>
      <c r="AE851" s="73">
        <f t="shared" si="479"/>
        <v>97.248243283582</v>
      </c>
    </row>
    <row r="852" customFormat="1" spans="1:31">
      <c r="A852" s="18"/>
      <c r="B852" s="19"/>
      <c r="C852" s="20">
        <v>240521000002</v>
      </c>
      <c r="D852" s="21">
        <v>45440</v>
      </c>
      <c r="E852" s="21" t="s">
        <v>37</v>
      </c>
      <c r="F852" s="19" t="s">
        <v>38</v>
      </c>
      <c r="G852" s="19" t="s">
        <v>338</v>
      </c>
      <c r="H852" s="19">
        <v>33.5</v>
      </c>
      <c r="I852" s="41">
        <v>1975.5</v>
      </c>
      <c r="J852" s="42"/>
      <c r="K852" s="44"/>
      <c r="L852" s="19"/>
      <c r="M852" s="44"/>
      <c r="N852" s="45"/>
      <c r="O852" s="46">
        <f t="shared" si="487"/>
        <v>1975.5</v>
      </c>
      <c r="P852" s="51"/>
      <c r="Q852" s="51"/>
      <c r="R852" s="73">
        <f t="shared" si="484"/>
        <v>1372.275</v>
      </c>
      <c r="S852" s="73"/>
      <c r="T852" s="74">
        <f t="shared" si="485"/>
        <v>4.000625</v>
      </c>
      <c r="U852" s="73"/>
      <c r="V852" s="73"/>
      <c r="W852" s="73">
        <f t="shared" si="481"/>
        <v>1376.275625</v>
      </c>
      <c r="X852" s="75">
        <f t="shared" si="486"/>
        <v>25.1895</v>
      </c>
      <c r="Y852" s="75"/>
      <c r="Z852" s="75"/>
      <c r="AA852" s="75">
        <f t="shared" si="482"/>
        <v>25.1895</v>
      </c>
      <c r="AB852" s="84">
        <v>7.22</v>
      </c>
      <c r="AC852" s="73">
        <f t="shared" si="476"/>
        <v>181.86819</v>
      </c>
      <c r="AD852" s="73">
        <f t="shared" si="483"/>
        <v>1558.143815</v>
      </c>
      <c r="AE852" s="73">
        <f t="shared" si="479"/>
        <v>417.356185</v>
      </c>
    </row>
    <row r="853" customFormat="1" spans="1:31">
      <c r="A853" s="18"/>
      <c r="B853" s="19"/>
      <c r="C853" s="20">
        <v>240521000003</v>
      </c>
      <c r="D853" s="21">
        <v>45440</v>
      </c>
      <c r="E853" s="21" t="s">
        <v>47</v>
      </c>
      <c r="F853" s="19" t="s">
        <v>48</v>
      </c>
      <c r="G853" s="19" t="s">
        <v>134</v>
      </c>
      <c r="H853" s="19">
        <v>2</v>
      </c>
      <c r="I853" s="41">
        <v>119</v>
      </c>
      <c r="J853" s="42"/>
      <c r="K853" s="44"/>
      <c r="L853" s="19"/>
      <c r="M853" s="44"/>
      <c r="N853" s="45"/>
      <c r="O853" s="46">
        <f t="shared" si="487"/>
        <v>119</v>
      </c>
      <c r="P853" s="51"/>
      <c r="Q853" s="51"/>
      <c r="R853" s="73">
        <f t="shared" si="484"/>
        <v>81.9268656716418</v>
      </c>
      <c r="S853" s="73"/>
      <c r="T853" s="74">
        <f t="shared" si="485"/>
        <v>0.23884328358209</v>
      </c>
      <c r="U853" s="73"/>
      <c r="V853" s="73"/>
      <c r="W853" s="73">
        <f t="shared" si="481"/>
        <v>82.1657089552239</v>
      </c>
      <c r="X853" s="75">
        <f t="shared" si="486"/>
        <v>1.50385074626866</v>
      </c>
      <c r="Y853" s="75"/>
      <c r="Z853" s="75"/>
      <c r="AA853" s="75">
        <f t="shared" si="482"/>
        <v>1.50385074626866</v>
      </c>
      <c r="AB853" s="84">
        <v>7.22</v>
      </c>
      <c r="AC853" s="73">
        <f t="shared" si="476"/>
        <v>10.8578023880597</v>
      </c>
      <c r="AD853" s="73">
        <f t="shared" si="483"/>
        <v>93.0235113432836</v>
      </c>
      <c r="AE853" s="73">
        <f t="shared" si="479"/>
        <v>25.9764886567164</v>
      </c>
    </row>
    <row r="854" customFormat="1" spans="1:31">
      <c r="A854" s="18"/>
      <c r="B854" s="19"/>
      <c r="C854" s="20">
        <v>240521000011</v>
      </c>
      <c r="D854" s="21">
        <v>45440</v>
      </c>
      <c r="E854" s="21" t="s">
        <v>47</v>
      </c>
      <c r="F854" s="19" t="s">
        <v>48</v>
      </c>
      <c r="G854" s="19" t="s">
        <v>135</v>
      </c>
      <c r="H854" s="19">
        <v>108</v>
      </c>
      <c r="I854" s="46"/>
      <c r="J854" s="48">
        <v>1240794.72</v>
      </c>
      <c r="K854" s="44"/>
      <c r="L854" s="49">
        <f t="shared" si="488"/>
        <v>1584</v>
      </c>
      <c r="M854" s="50">
        <v>783.33</v>
      </c>
      <c r="N854" s="45">
        <v>7.22</v>
      </c>
      <c r="O854" s="46">
        <f t="shared" si="489"/>
        <v>5655.6426</v>
      </c>
      <c r="P854" s="51"/>
      <c r="Q854" s="51"/>
      <c r="R854" s="73">
        <f t="shared" si="484"/>
        <v>4424.05074626866</v>
      </c>
      <c r="S854" s="73"/>
      <c r="T854" s="74">
        <f t="shared" si="485"/>
        <v>12.8975373134328</v>
      </c>
      <c r="U854" s="73"/>
      <c r="V854" s="73"/>
      <c r="W854" s="73">
        <f t="shared" si="481"/>
        <v>4436.94828358209</v>
      </c>
      <c r="X854" s="75">
        <f t="shared" si="486"/>
        <v>81.2079402985075</v>
      </c>
      <c r="Y854" s="75"/>
      <c r="Z854" s="75"/>
      <c r="AA854" s="75">
        <f t="shared" si="482"/>
        <v>81.2079402985075</v>
      </c>
      <c r="AB854" s="84">
        <v>7.22</v>
      </c>
      <c r="AC854" s="73">
        <f t="shared" si="476"/>
        <v>586.321328955224</v>
      </c>
      <c r="AD854" s="73">
        <f t="shared" si="483"/>
        <v>5023.26961253731</v>
      </c>
      <c r="AE854" s="73">
        <f t="shared" si="479"/>
        <v>632.37298746269</v>
      </c>
    </row>
    <row r="855" customFormat="1" spans="1:31">
      <c r="A855" s="18"/>
      <c r="B855" s="19"/>
      <c r="C855" s="20">
        <v>240521000016</v>
      </c>
      <c r="D855" s="21">
        <v>45440</v>
      </c>
      <c r="E855" s="21" t="s">
        <v>47</v>
      </c>
      <c r="F855" s="19" t="s">
        <v>48</v>
      </c>
      <c r="G855" s="19" t="s">
        <v>135</v>
      </c>
      <c r="H855" s="19">
        <v>16</v>
      </c>
      <c r="I855" s="46"/>
      <c r="J855" s="48">
        <v>196574</v>
      </c>
      <c r="K855" s="44"/>
      <c r="L855" s="49">
        <f t="shared" si="488"/>
        <v>1583.99677679291</v>
      </c>
      <c r="M855" s="50">
        <v>124.1</v>
      </c>
      <c r="N855" s="45">
        <v>7.22</v>
      </c>
      <c r="O855" s="46">
        <f t="shared" si="489"/>
        <v>896.002</v>
      </c>
      <c r="P855" s="51"/>
      <c r="Q855" s="51"/>
      <c r="R855" s="73">
        <f t="shared" si="484"/>
        <v>655.414925373134</v>
      </c>
      <c r="S855" s="73"/>
      <c r="T855" s="74">
        <f t="shared" si="485"/>
        <v>1.91074626865672</v>
      </c>
      <c r="U855" s="73"/>
      <c r="V855" s="73"/>
      <c r="W855" s="73">
        <f t="shared" si="481"/>
        <v>657.325671641791</v>
      </c>
      <c r="X855" s="75">
        <f t="shared" si="486"/>
        <v>12.0308059701493</v>
      </c>
      <c r="Y855" s="75"/>
      <c r="Z855" s="75"/>
      <c r="AA855" s="75">
        <f t="shared" si="482"/>
        <v>12.0308059701493</v>
      </c>
      <c r="AB855" s="84">
        <v>7.22</v>
      </c>
      <c r="AC855" s="73">
        <f t="shared" si="476"/>
        <v>86.8624191044776</v>
      </c>
      <c r="AD855" s="73">
        <f t="shared" si="483"/>
        <v>744.188090746269</v>
      </c>
      <c r="AE855" s="73">
        <f t="shared" si="479"/>
        <v>151.813909253731</v>
      </c>
    </row>
    <row r="856" customFormat="1" spans="1:31">
      <c r="A856" s="18"/>
      <c r="B856" s="19"/>
      <c r="C856" s="20">
        <v>240521000027</v>
      </c>
      <c r="D856" s="21">
        <v>45440</v>
      </c>
      <c r="E856" s="21" t="s">
        <v>54</v>
      </c>
      <c r="F856" s="19" t="s">
        <v>54</v>
      </c>
      <c r="G856" s="19" t="s">
        <v>250</v>
      </c>
      <c r="H856" s="19">
        <v>0.9</v>
      </c>
      <c r="I856" s="41">
        <v>61</v>
      </c>
      <c r="J856" s="42"/>
      <c r="K856" s="44"/>
      <c r="L856" s="19"/>
      <c r="M856" s="44"/>
      <c r="N856" s="45"/>
      <c r="O856" s="46">
        <f t="shared" ref="O856:O865" si="490">SUM(I856)</f>
        <v>61</v>
      </c>
      <c r="P856" s="51"/>
      <c r="Q856" s="51"/>
      <c r="R856" s="73">
        <f t="shared" si="484"/>
        <v>36.8670895522388</v>
      </c>
      <c r="S856" s="73"/>
      <c r="T856" s="74">
        <f t="shared" si="485"/>
        <v>0.10747947761194</v>
      </c>
      <c r="U856" s="73"/>
      <c r="V856" s="73"/>
      <c r="W856" s="73">
        <f t="shared" si="481"/>
        <v>36.9745690298507</v>
      </c>
      <c r="X856" s="75">
        <f t="shared" si="486"/>
        <v>0.676732835820896</v>
      </c>
      <c r="Y856" s="75"/>
      <c r="Z856" s="75"/>
      <c r="AA856" s="75">
        <f t="shared" si="482"/>
        <v>0.676732835820896</v>
      </c>
      <c r="AB856" s="84">
        <v>7.22</v>
      </c>
      <c r="AC856" s="73">
        <f t="shared" si="476"/>
        <v>4.88601107462687</v>
      </c>
      <c r="AD856" s="73">
        <f t="shared" si="483"/>
        <v>41.8605801044776</v>
      </c>
      <c r="AE856" s="73">
        <f t="shared" si="479"/>
        <v>19.1394198955224</v>
      </c>
    </row>
    <row r="857" customFormat="1" spans="1:31">
      <c r="A857" s="18"/>
      <c r="B857" s="19"/>
      <c r="C857" s="20">
        <v>240521000030</v>
      </c>
      <c r="D857" s="21">
        <v>45440</v>
      </c>
      <c r="E857" s="21" t="s">
        <v>157</v>
      </c>
      <c r="F857" s="19" t="s">
        <v>239</v>
      </c>
      <c r="G857" s="19" t="s">
        <v>240</v>
      </c>
      <c r="H857" s="19">
        <v>2.5</v>
      </c>
      <c r="I857" s="46"/>
      <c r="J857" s="48">
        <v>30461</v>
      </c>
      <c r="K857" s="44"/>
      <c r="L857" s="49">
        <f t="shared" ref="L857:L859" si="491">SUM(J857/M857)</f>
        <v>1468</v>
      </c>
      <c r="M857" s="50">
        <v>20.75</v>
      </c>
      <c r="N857" s="45">
        <v>7.22</v>
      </c>
      <c r="O857" s="46">
        <f t="shared" ref="O857:O859" si="492">SUM(M857*N857)</f>
        <v>149.815</v>
      </c>
      <c r="P857" s="51"/>
      <c r="Q857" s="51"/>
      <c r="R857" s="73">
        <f t="shared" si="484"/>
        <v>102.408582089552</v>
      </c>
      <c r="S857" s="73"/>
      <c r="T857" s="74">
        <f t="shared" si="485"/>
        <v>0.298554104477612</v>
      </c>
      <c r="U857" s="73"/>
      <c r="V857" s="73"/>
      <c r="W857" s="73">
        <f t="shared" si="481"/>
        <v>102.70713619403</v>
      </c>
      <c r="X857" s="75">
        <f t="shared" si="486"/>
        <v>1.87981343283582</v>
      </c>
      <c r="Y857" s="75"/>
      <c r="Z857" s="75"/>
      <c r="AA857" s="75">
        <f t="shared" si="482"/>
        <v>1.87981343283582</v>
      </c>
      <c r="AB857" s="84">
        <v>7.22</v>
      </c>
      <c r="AC857" s="73">
        <f t="shared" si="476"/>
        <v>13.5722529850746</v>
      </c>
      <c r="AD857" s="73">
        <f t="shared" si="483"/>
        <v>116.279389179104</v>
      </c>
      <c r="AE857" s="73">
        <f t="shared" si="479"/>
        <v>33.535610820896</v>
      </c>
    </row>
    <row r="858" customFormat="1" spans="1:31">
      <c r="A858" s="18"/>
      <c r="B858" s="19"/>
      <c r="C858" s="20">
        <v>240521000039</v>
      </c>
      <c r="D858" s="21">
        <v>45440</v>
      </c>
      <c r="E858" s="21" t="s">
        <v>47</v>
      </c>
      <c r="F858" s="19" t="s">
        <v>48</v>
      </c>
      <c r="G858" s="19" t="s">
        <v>74</v>
      </c>
      <c r="H858" s="19">
        <v>0.9</v>
      </c>
      <c r="I858" s="46"/>
      <c r="J858" s="48">
        <v>12915</v>
      </c>
      <c r="K858" s="44"/>
      <c r="L858" s="49">
        <f t="shared" si="491"/>
        <v>1501.74418604651</v>
      </c>
      <c r="M858" s="50">
        <v>8.6</v>
      </c>
      <c r="N858" s="45">
        <v>7.22</v>
      </c>
      <c r="O858" s="46">
        <f t="shared" si="492"/>
        <v>62.092</v>
      </c>
      <c r="P858" s="51"/>
      <c r="Q858" s="51"/>
      <c r="R858" s="73">
        <f t="shared" si="484"/>
        <v>36.8670895522388</v>
      </c>
      <c r="S858" s="73"/>
      <c r="T858" s="74">
        <f t="shared" si="485"/>
        <v>0.10747947761194</v>
      </c>
      <c r="U858" s="73"/>
      <c r="V858" s="73"/>
      <c r="W858" s="73">
        <f t="shared" si="481"/>
        <v>36.9745690298507</v>
      </c>
      <c r="X858" s="75">
        <f t="shared" si="486"/>
        <v>0.676732835820896</v>
      </c>
      <c r="Y858" s="75"/>
      <c r="Z858" s="75"/>
      <c r="AA858" s="75">
        <f t="shared" si="482"/>
        <v>0.676732835820896</v>
      </c>
      <c r="AB858" s="84">
        <v>7.22</v>
      </c>
      <c r="AC858" s="73">
        <f t="shared" si="476"/>
        <v>4.88601107462687</v>
      </c>
      <c r="AD858" s="73">
        <f t="shared" si="483"/>
        <v>41.8605801044776</v>
      </c>
      <c r="AE858" s="73">
        <f t="shared" si="479"/>
        <v>20.2314198955224</v>
      </c>
    </row>
    <row r="859" customFormat="1" spans="1:31">
      <c r="A859" s="18"/>
      <c r="B859" s="19"/>
      <c r="C859" s="20">
        <v>240521000040</v>
      </c>
      <c r="D859" s="21">
        <v>45440</v>
      </c>
      <c r="E859" s="21" t="s">
        <v>41</v>
      </c>
      <c r="F859" s="19" t="s">
        <v>42</v>
      </c>
      <c r="G859" s="19" t="s">
        <v>532</v>
      </c>
      <c r="H859" s="19">
        <v>14.5</v>
      </c>
      <c r="I859" s="52"/>
      <c r="J859" s="48">
        <v>195750</v>
      </c>
      <c r="K859" s="44"/>
      <c r="L859" s="49">
        <f t="shared" si="491"/>
        <v>1624.6161507179</v>
      </c>
      <c r="M859" s="50">
        <v>120.49</v>
      </c>
      <c r="N859" s="45">
        <v>7.22</v>
      </c>
      <c r="O859" s="46">
        <f t="shared" si="492"/>
        <v>869.9378</v>
      </c>
      <c r="P859" s="51"/>
      <c r="Q859" s="51"/>
      <c r="R859" s="73">
        <f t="shared" si="484"/>
        <v>593.969776119403</v>
      </c>
      <c r="S859" s="73"/>
      <c r="T859" s="74">
        <f t="shared" si="485"/>
        <v>1.73161380597015</v>
      </c>
      <c r="U859" s="73"/>
      <c r="V859" s="73"/>
      <c r="W859" s="73">
        <f t="shared" si="481"/>
        <v>595.701389925373</v>
      </c>
      <c r="X859" s="75">
        <f t="shared" si="486"/>
        <v>10.9029179104478</v>
      </c>
      <c r="Y859" s="75"/>
      <c r="Z859" s="75"/>
      <c r="AA859" s="75">
        <f t="shared" si="482"/>
        <v>10.9029179104478</v>
      </c>
      <c r="AB859" s="84">
        <v>7.22</v>
      </c>
      <c r="AC859" s="73">
        <f t="shared" si="476"/>
        <v>78.7190673134328</v>
      </c>
      <c r="AD859" s="73">
        <f t="shared" si="483"/>
        <v>674.420457238806</v>
      </c>
      <c r="AE859" s="73">
        <f t="shared" si="479"/>
        <v>195.517342761194</v>
      </c>
    </row>
    <row r="860" customFormat="1" spans="1:31">
      <c r="A860" s="18"/>
      <c r="B860" s="19"/>
      <c r="C860" s="20">
        <v>240521000041</v>
      </c>
      <c r="D860" s="21">
        <v>45440</v>
      </c>
      <c r="E860" s="21" t="s">
        <v>44</v>
      </c>
      <c r="F860" s="19" t="s">
        <v>45</v>
      </c>
      <c r="G860" s="19" t="s">
        <v>533</v>
      </c>
      <c r="H860" s="19">
        <v>5</v>
      </c>
      <c r="I860" s="41">
        <v>293</v>
      </c>
      <c r="J860" s="42"/>
      <c r="K860" s="44"/>
      <c r="L860" s="19"/>
      <c r="M860" s="44"/>
      <c r="N860" s="45"/>
      <c r="O860" s="46">
        <f t="shared" si="490"/>
        <v>293</v>
      </c>
      <c r="P860" s="51"/>
      <c r="Q860" s="51"/>
      <c r="R860" s="73">
        <f t="shared" si="484"/>
        <v>204.817164179104</v>
      </c>
      <c r="S860" s="73"/>
      <c r="T860" s="74">
        <f t="shared" si="485"/>
        <v>0.597108208955224</v>
      </c>
      <c r="U860" s="73"/>
      <c r="V860" s="73"/>
      <c r="W860" s="73">
        <f t="shared" si="481"/>
        <v>205.41427238806</v>
      </c>
      <c r="X860" s="75">
        <f t="shared" si="486"/>
        <v>3.75962686567164</v>
      </c>
      <c r="Y860" s="75"/>
      <c r="Z860" s="75"/>
      <c r="AA860" s="75">
        <f t="shared" si="482"/>
        <v>3.75962686567164</v>
      </c>
      <c r="AB860" s="84">
        <v>7.22</v>
      </c>
      <c r="AC860" s="73">
        <f t="shared" si="476"/>
        <v>27.1445059701493</v>
      </c>
      <c r="AD860" s="73">
        <f t="shared" si="483"/>
        <v>232.558778358209</v>
      </c>
      <c r="AE860" s="73">
        <f t="shared" si="479"/>
        <v>60.441221641791</v>
      </c>
    </row>
    <row r="861" customFormat="1" spans="1:31">
      <c r="A861" s="18"/>
      <c r="B861" s="19"/>
      <c r="C861" s="20">
        <v>240522000001</v>
      </c>
      <c r="D861" s="21">
        <v>45440</v>
      </c>
      <c r="E861" s="21" t="s">
        <v>37</v>
      </c>
      <c r="F861" s="19" t="s">
        <v>38</v>
      </c>
      <c r="G861" s="19" t="s">
        <v>431</v>
      </c>
      <c r="H861" s="19">
        <v>7</v>
      </c>
      <c r="I861" s="41">
        <v>535</v>
      </c>
      <c r="J861" s="42"/>
      <c r="K861" s="44"/>
      <c r="L861" s="19"/>
      <c r="M861" s="44"/>
      <c r="N861" s="45"/>
      <c r="O861" s="46">
        <f t="shared" si="490"/>
        <v>535</v>
      </c>
      <c r="P861" s="51"/>
      <c r="Q861" s="51"/>
      <c r="R861" s="73">
        <f t="shared" si="484"/>
        <v>286.744029850746</v>
      </c>
      <c r="S861" s="73"/>
      <c r="T861" s="74">
        <f t="shared" si="485"/>
        <v>0.835951492537313</v>
      </c>
      <c r="U861" s="73"/>
      <c r="V861" s="73"/>
      <c r="W861" s="73">
        <f t="shared" si="481"/>
        <v>287.579981343284</v>
      </c>
      <c r="X861" s="75">
        <f t="shared" si="486"/>
        <v>5.2634776119403</v>
      </c>
      <c r="Y861" s="75"/>
      <c r="Z861" s="75"/>
      <c r="AA861" s="75">
        <f t="shared" si="482"/>
        <v>5.2634776119403</v>
      </c>
      <c r="AB861" s="84">
        <v>7.22</v>
      </c>
      <c r="AC861" s="73">
        <f t="shared" si="476"/>
        <v>38.0023083582089</v>
      </c>
      <c r="AD861" s="73">
        <f t="shared" si="483"/>
        <v>325.582289701493</v>
      </c>
      <c r="AE861" s="73">
        <f t="shared" si="479"/>
        <v>209.417710298507</v>
      </c>
    </row>
    <row r="862" customFormat="1" spans="1:31">
      <c r="A862" s="18"/>
      <c r="B862" s="19"/>
      <c r="C862" s="20">
        <v>240522000002</v>
      </c>
      <c r="D862" s="21">
        <v>45440</v>
      </c>
      <c r="E862" s="21" t="s">
        <v>37</v>
      </c>
      <c r="F862" s="19" t="s">
        <v>38</v>
      </c>
      <c r="G862" s="19" t="s">
        <v>143</v>
      </c>
      <c r="H862" s="19">
        <v>0.48</v>
      </c>
      <c r="I862" s="41">
        <v>61</v>
      </c>
      <c r="J862" s="42"/>
      <c r="K862" s="44"/>
      <c r="L862" s="19"/>
      <c r="M862" s="44"/>
      <c r="N862" s="45"/>
      <c r="O862" s="46">
        <f t="shared" si="490"/>
        <v>61</v>
      </c>
      <c r="P862" s="51"/>
      <c r="Q862" s="51"/>
      <c r="R862" s="73">
        <f t="shared" si="484"/>
        <v>19.662447761194</v>
      </c>
      <c r="S862" s="73"/>
      <c r="T862" s="74">
        <f t="shared" si="485"/>
        <v>0.0573223880597015</v>
      </c>
      <c r="U862" s="73"/>
      <c r="V862" s="73"/>
      <c r="W862" s="73">
        <f t="shared" si="481"/>
        <v>19.7197701492537</v>
      </c>
      <c r="X862" s="75">
        <f t="shared" si="486"/>
        <v>0.360924179104478</v>
      </c>
      <c r="Y862" s="75"/>
      <c r="Z862" s="75"/>
      <c r="AA862" s="75">
        <f t="shared" si="482"/>
        <v>0.360924179104478</v>
      </c>
      <c r="AB862" s="84">
        <v>7.22</v>
      </c>
      <c r="AC862" s="73">
        <f t="shared" si="476"/>
        <v>2.60587257313433</v>
      </c>
      <c r="AD862" s="73">
        <f t="shared" si="483"/>
        <v>22.3256427223881</v>
      </c>
      <c r="AE862" s="73">
        <f t="shared" si="479"/>
        <v>38.6743572776119</v>
      </c>
    </row>
    <row r="863" customFormat="1" spans="1:31">
      <c r="A863" s="18"/>
      <c r="B863" s="19"/>
      <c r="C863" s="20">
        <v>240522000006</v>
      </c>
      <c r="D863" s="21">
        <v>45440</v>
      </c>
      <c r="E863" s="21" t="s">
        <v>44</v>
      </c>
      <c r="F863" s="19" t="s">
        <v>45</v>
      </c>
      <c r="G863" s="19" t="s">
        <v>458</v>
      </c>
      <c r="H863" s="19">
        <v>15.5</v>
      </c>
      <c r="I863" s="41">
        <v>858.5</v>
      </c>
      <c r="J863" s="42"/>
      <c r="K863" s="44"/>
      <c r="L863" s="19"/>
      <c r="M863" s="44"/>
      <c r="N863" s="45"/>
      <c r="O863" s="46">
        <f t="shared" si="490"/>
        <v>858.5</v>
      </c>
      <c r="P863" s="51"/>
      <c r="Q863" s="51"/>
      <c r="R863" s="73">
        <f t="shared" si="484"/>
        <v>634.933208955224</v>
      </c>
      <c r="S863" s="73"/>
      <c r="T863" s="74">
        <f t="shared" si="485"/>
        <v>1.85103544776119</v>
      </c>
      <c r="U863" s="73"/>
      <c r="V863" s="73"/>
      <c r="W863" s="73">
        <f t="shared" si="481"/>
        <v>636.784244402985</v>
      </c>
      <c r="X863" s="75">
        <f t="shared" si="486"/>
        <v>11.6548432835821</v>
      </c>
      <c r="Y863" s="75"/>
      <c r="Z863" s="75"/>
      <c r="AA863" s="75">
        <f t="shared" si="482"/>
        <v>11.6548432835821</v>
      </c>
      <c r="AB863" s="84">
        <v>7.22</v>
      </c>
      <c r="AC863" s="73">
        <f t="shared" si="476"/>
        <v>84.1479685074627</v>
      </c>
      <c r="AD863" s="73">
        <f t="shared" si="483"/>
        <v>720.932212910448</v>
      </c>
      <c r="AE863" s="73">
        <f t="shared" si="479"/>
        <v>137.567787089552</v>
      </c>
    </row>
    <row r="864" customFormat="1" spans="1:31">
      <c r="A864" s="18"/>
      <c r="B864" s="19"/>
      <c r="C864" s="20">
        <v>240522000007</v>
      </c>
      <c r="D864" s="21">
        <v>45440</v>
      </c>
      <c r="E864" s="21" t="s">
        <v>44</v>
      </c>
      <c r="F864" s="19" t="s">
        <v>45</v>
      </c>
      <c r="G864" s="19" t="s">
        <v>500</v>
      </c>
      <c r="H864" s="19">
        <v>1.5</v>
      </c>
      <c r="I864" s="41">
        <v>-189.64</v>
      </c>
      <c r="J864" s="42"/>
      <c r="K864" s="44"/>
      <c r="L864" s="19"/>
      <c r="M864" s="44"/>
      <c r="N864" s="45"/>
      <c r="O864" s="46">
        <f t="shared" si="490"/>
        <v>-189.64</v>
      </c>
      <c r="P864" s="51"/>
      <c r="Q864" s="51"/>
      <c r="R864" s="73">
        <f t="shared" si="484"/>
        <v>61.4451492537313</v>
      </c>
      <c r="S864" s="73"/>
      <c r="T864" s="74">
        <f t="shared" si="485"/>
        <v>0.179132462686567</v>
      </c>
      <c r="U864" s="73"/>
      <c r="V864" s="73"/>
      <c r="W864" s="73">
        <f t="shared" si="481"/>
        <v>61.6242817164179</v>
      </c>
      <c r="X864" s="75">
        <f t="shared" si="486"/>
        <v>1.12788805970149</v>
      </c>
      <c r="Y864" s="75"/>
      <c r="Z864" s="75"/>
      <c r="AA864" s="75">
        <f t="shared" si="482"/>
        <v>1.12788805970149</v>
      </c>
      <c r="AB864" s="84">
        <v>7.22</v>
      </c>
      <c r="AC864" s="73">
        <f t="shared" si="476"/>
        <v>8.14335179104478</v>
      </c>
      <c r="AD864" s="73">
        <f t="shared" si="483"/>
        <v>69.7676335074627</v>
      </c>
      <c r="AE864" s="73">
        <f t="shared" si="479"/>
        <v>-259.407633507463</v>
      </c>
    </row>
    <row r="865" customFormat="1" spans="1:31">
      <c r="A865" s="18"/>
      <c r="B865" s="19"/>
      <c r="C865" s="20">
        <v>240522000008</v>
      </c>
      <c r="D865" s="21">
        <v>45440</v>
      </c>
      <c r="E865" s="21" t="s">
        <v>44</v>
      </c>
      <c r="F865" s="19" t="s">
        <v>45</v>
      </c>
      <c r="G865" s="19" t="s">
        <v>534</v>
      </c>
      <c r="H865" s="19">
        <v>2.5</v>
      </c>
      <c r="I865" s="41">
        <v>178</v>
      </c>
      <c r="J865" s="42"/>
      <c r="K865" s="44"/>
      <c r="L865" s="19"/>
      <c r="M865" s="44"/>
      <c r="N865" s="45"/>
      <c r="O865" s="46">
        <f t="shared" si="490"/>
        <v>178</v>
      </c>
      <c r="P865" s="51"/>
      <c r="Q865" s="51"/>
      <c r="R865" s="73">
        <f t="shared" si="484"/>
        <v>102.408582089552</v>
      </c>
      <c r="S865" s="73"/>
      <c r="T865" s="74">
        <f t="shared" si="485"/>
        <v>0.298554104477612</v>
      </c>
      <c r="U865" s="73">
        <v>30</v>
      </c>
      <c r="V865" s="73"/>
      <c r="W865" s="73">
        <f t="shared" si="481"/>
        <v>132.70713619403</v>
      </c>
      <c r="X865" s="75">
        <f t="shared" si="486"/>
        <v>1.87981343283582</v>
      </c>
      <c r="Y865" s="75"/>
      <c r="Z865" s="75"/>
      <c r="AA865" s="75">
        <f t="shared" si="482"/>
        <v>1.87981343283582</v>
      </c>
      <c r="AB865" s="84">
        <v>7.22</v>
      </c>
      <c r="AC865" s="73">
        <f t="shared" si="476"/>
        <v>13.5722529850746</v>
      </c>
      <c r="AD865" s="73">
        <f t="shared" si="483"/>
        <v>146.279389179104</v>
      </c>
      <c r="AE865" s="73">
        <f t="shared" si="479"/>
        <v>31.720610820896</v>
      </c>
    </row>
    <row r="866" customFormat="1" spans="1:31">
      <c r="A866" s="18"/>
      <c r="B866" s="19"/>
      <c r="C866" s="22">
        <v>240522000009</v>
      </c>
      <c r="D866" s="23">
        <v>45440</v>
      </c>
      <c r="E866" s="23" t="s">
        <v>157</v>
      </c>
      <c r="F866" s="24" t="s">
        <v>535</v>
      </c>
      <c r="G866" s="24" t="s">
        <v>536</v>
      </c>
      <c r="H866" s="24">
        <v>0.24</v>
      </c>
      <c r="I866" s="99">
        <v>61</v>
      </c>
      <c r="J866" s="117"/>
      <c r="K866" s="118"/>
      <c r="L866" s="24"/>
      <c r="M866" s="118"/>
      <c r="N866" s="45"/>
      <c r="O866" s="46">
        <f>SUBTOTAL(9,I866)</f>
        <v>61</v>
      </c>
      <c r="P866" s="51"/>
      <c r="Q866" s="51"/>
      <c r="R866" s="73">
        <f t="shared" si="484"/>
        <v>9.83122388059702</v>
      </c>
      <c r="S866" s="73"/>
      <c r="T866" s="74">
        <f t="shared" si="485"/>
        <v>0.0286611940298507</v>
      </c>
      <c r="U866" s="73"/>
      <c r="V866" s="73"/>
      <c r="W866" s="73">
        <f t="shared" si="481"/>
        <v>9.85988507462687</v>
      </c>
      <c r="X866" s="75">
        <f t="shared" si="486"/>
        <v>0.180462089552239</v>
      </c>
      <c r="Y866" s="75"/>
      <c r="Z866" s="75"/>
      <c r="AA866" s="75">
        <f t="shared" si="482"/>
        <v>0.180462089552239</v>
      </c>
      <c r="AB866" s="84">
        <v>7.22</v>
      </c>
      <c r="AC866" s="73">
        <f t="shared" si="476"/>
        <v>1.30293628656716</v>
      </c>
      <c r="AD866" s="73">
        <f t="shared" si="483"/>
        <v>11.162821361194</v>
      </c>
      <c r="AE866" s="73">
        <f t="shared" si="479"/>
        <v>49.837178638806</v>
      </c>
    </row>
    <row r="867" customFormat="1" spans="1:31">
      <c r="A867" s="18"/>
      <c r="B867" s="19"/>
      <c r="C867" s="20">
        <v>240522000015</v>
      </c>
      <c r="D867" s="21">
        <v>45440</v>
      </c>
      <c r="E867" s="21" t="s">
        <v>44</v>
      </c>
      <c r="F867" s="19" t="s">
        <v>45</v>
      </c>
      <c r="G867" s="19" t="s">
        <v>234</v>
      </c>
      <c r="H867" s="19">
        <v>48.5</v>
      </c>
      <c r="I867" s="52"/>
      <c r="J867" s="48">
        <v>584154</v>
      </c>
      <c r="K867" s="44"/>
      <c r="L867" s="49">
        <f>SUM(J867/M867)</f>
        <v>1494.57336574133</v>
      </c>
      <c r="M867" s="50">
        <v>390.85</v>
      </c>
      <c r="N867" s="45">
        <v>7.22</v>
      </c>
      <c r="O867" s="46">
        <f>SUM(M867*N867)</f>
        <v>2821.937</v>
      </c>
      <c r="P867" s="51"/>
      <c r="Q867" s="51"/>
      <c r="R867" s="73">
        <f t="shared" si="484"/>
        <v>1986.72649253731</v>
      </c>
      <c r="S867" s="73"/>
      <c r="T867" s="74">
        <f t="shared" si="485"/>
        <v>5.79194962686567</v>
      </c>
      <c r="U867" s="73"/>
      <c r="V867" s="73"/>
      <c r="W867" s="73">
        <f t="shared" si="481"/>
        <v>1992.51844216418</v>
      </c>
      <c r="X867" s="75">
        <f t="shared" si="486"/>
        <v>36.4683805970149</v>
      </c>
      <c r="Y867" s="75"/>
      <c r="Z867" s="75"/>
      <c r="AA867" s="75">
        <f t="shared" si="482"/>
        <v>36.4683805970149</v>
      </c>
      <c r="AB867" s="84">
        <v>7.22</v>
      </c>
      <c r="AC867" s="73">
        <f t="shared" si="476"/>
        <v>263.301707910448</v>
      </c>
      <c r="AD867" s="73">
        <f t="shared" si="483"/>
        <v>2255.82015007463</v>
      </c>
      <c r="AE867" s="73">
        <f t="shared" si="479"/>
        <v>566.11684992537</v>
      </c>
    </row>
    <row r="868" customFormat="1" spans="1:31">
      <c r="A868" s="18"/>
      <c r="B868" s="19"/>
      <c r="C868" s="20">
        <v>240522000017</v>
      </c>
      <c r="D868" s="21">
        <v>45440</v>
      </c>
      <c r="E868" s="21" t="s">
        <v>44</v>
      </c>
      <c r="F868" s="19" t="s">
        <v>45</v>
      </c>
      <c r="G868" s="19" t="s">
        <v>162</v>
      </c>
      <c r="H868" s="19">
        <v>4</v>
      </c>
      <c r="I868" s="41">
        <v>235</v>
      </c>
      <c r="J868" s="42"/>
      <c r="K868" s="44"/>
      <c r="L868" s="19"/>
      <c r="M868" s="44"/>
      <c r="N868" s="45"/>
      <c r="O868" s="46">
        <f t="shared" ref="O868:O872" si="493">SUM(I868)</f>
        <v>235</v>
      </c>
      <c r="P868" s="51"/>
      <c r="Q868" s="51"/>
      <c r="R868" s="73">
        <f t="shared" si="484"/>
        <v>163.853731343284</v>
      </c>
      <c r="S868" s="73"/>
      <c r="T868" s="74">
        <f t="shared" si="485"/>
        <v>0.477686567164179</v>
      </c>
      <c r="U868" s="73"/>
      <c r="V868" s="73"/>
      <c r="W868" s="73">
        <f t="shared" si="481"/>
        <v>164.331417910448</v>
      </c>
      <c r="X868" s="75">
        <f t="shared" si="486"/>
        <v>3.00770149253731</v>
      </c>
      <c r="Y868" s="75"/>
      <c r="Z868" s="75"/>
      <c r="AA868" s="75">
        <f t="shared" si="482"/>
        <v>3.00770149253731</v>
      </c>
      <c r="AB868" s="84">
        <v>7.22</v>
      </c>
      <c r="AC868" s="73">
        <f t="shared" si="476"/>
        <v>21.7156047761194</v>
      </c>
      <c r="AD868" s="73">
        <f t="shared" si="483"/>
        <v>186.047022686567</v>
      </c>
      <c r="AE868" s="73">
        <f t="shared" si="479"/>
        <v>48.952977313433</v>
      </c>
    </row>
    <row r="869" customFormat="1" spans="1:31">
      <c r="A869" s="18"/>
      <c r="B869" s="19"/>
      <c r="C869" s="20">
        <v>240522000019</v>
      </c>
      <c r="D869" s="21">
        <v>45440</v>
      </c>
      <c r="E869" s="21" t="s">
        <v>44</v>
      </c>
      <c r="F869" s="19" t="s">
        <v>45</v>
      </c>
      <c r="G869" s="19" t="s">
        <v>537</v>
      </c>
      <c r="H869" s="19">
        <v>24</v>
      </c>
      <c r="I869" s="52"/>
      <c r="J869" s="48">
        <v>259488</v>
      </c>
      <c r="K869" s="44"/>
      <c r="L869" s="49">
        <f t="shared" ref="L869:L878" si="494">SUM(J869/M869)</f>
        <v>1472.94090934892</v>
      </c>
      <c r="M869" s="50">
        <v>176.17</v>
      </c>
      <c r="N869" s="45">
        <v>7.22</v>
      </c>
      <c r="O869" s="46">
        <f t="shared" ref="O869:O878" si="495">SUM(M869*N869)</f>
        <v>1271.9474</v>
      </c>
      <c r="P869" s="51"/>
      <c r="Q869" s="51"/>
      <c r="R869" s="73">
        <f t="shared" si="484"/>
        <v>983.122388059702</v>
      </c>
      <c r="S869" s="73"/>
      <c r="T869" s="74">
        <f t="shared" si="485"/>
        <v>2.86611940298507</v>
      </c>
      <c r="U869" s="73"/>
      <c r="V869" s="73"/>
      <c r="W869" s="73">
        <f t="shared" si="481"/>
        <v>985.988507462687</v>
      </c>
      <c r="X869" s="75">
        <f t="shared" si="486"/>
        <v>18.0462089552239</v>
      </c>
      <c r="Y869" s="75"/>
      <c r="Z869" s="75"/>
      <c r="AA869" s="75">
        <f t="shared" si="482"/>
        <v>18.0462089552239</v>
      </c>
      <c r="AB869" s="84">
        <v>7.22</v>
      </c>
      <c r="AC869" s="73">
        <f t="shared" si="476"/>
        <v>130.293628656716</v>
      </c>
      <c r="AD869" s="73">
        <f t="shared" si="483"/>
        <v>1116.2821361194</v>
      </c>
      <c r="AE869" s="73">
        <f t="shared" si="479"/>
        <v>155.6652638806</v>
      </c>
    </row>
    <row r="870" customFormat="1" spans="1:31">
      <c r="A870" s="18"/>
      <c r="B870" s="19"/>
      <c r="C870" s="20">
        <v>240522000020</v>
      </c>
      <c r="D870" s="21">
        <v>45440</v>
      </c>
      <c r="E870" s="21" t="s">
        <v>44</v>
      </c>
      <c r="F870" s="19" t="s">
        <v>45</v>
      </c>
      <c r="G870" s="19" t="s">
        <v>538</v>
      </c>
      <c r="H870" s="19">
        <v>4</v>
      </c>
      <c r="I870" s="41">
        <v>235</v>
      </c>
      <c r="J870" s="42"/>
      <c r="K870" s="44"/>
      <c r="L870" s="19"/>
      <c r="M870" s="44"/>
      <c r="N870" s="45"/>
      <c r="O870" s="46">
        <f t="shared" si="493"/>
        <v>235</v>
      </c>
      <c r="P870" s="51"/>
      <c r="Q870" s="51"/>
      <c r="R870" s="73">
        <f t="shared" si="484"/>
        <v>163.853731343284</v>
      </c>
      <c r="S870" s="73"/>
      <c r="T870" s="74">
        <f t="shared" si="485"/>
        <v>0.477686567164179</v>
      </c>
      <c r="U870" s="73"/>
      <c r="V870" s="73"/>
      <c r="W870" s="73">
        <f t="shared" si="481"/>
        <v>164.331417910448</v>
      </c>
      <c r="X870" s="75">
        <f t="shared" si="486"/>
        <v>3.00770149253731</v>
      </c>
      <c r="Y870" s="75"/>
      <c r="Z870" s="75"/>
      <c r="AA870" s="75">
        <f t="shared" si="482"/>
        <v>3.00770149253731</v>
      </c>
      <c r="AB870" s="84">
        <v>7.22</v>
      </c>
      <c r="AC870" s="73">
        <f t="shared" si="476"/>
        <v>21.7156047761194</v>
      </c>
      <c r="AD870" s="73">
        <f t="shared" si="483"/>
        <v>186.047022686567</v>
      </c>
      <c r="AE870" s="73">
        <f t="shared" si="479"/>
        <v>48.952977313433</v>
      </c>
    </row>
    <row r="871" customFormat="1" spans="1:31">
      <c r="A871" s="18"/>
      <c r="B871" s="19"/>
      <c r="C871" s="20">
        <v>240522000027</v>
      </c>
      <c r="D871" s="21">
        <v>45440</v>
      </c>
      <c r="E871" s="21" t="s">
        <v>41</v>
      </c>
      <c r="F871" s="19" t="s">
        <v>42</v>
      </c>
      <c r="G871" s="19" t="s">
        <v>361</v>
      </c>
      <c r="H871" s="19">
        <v>2</v>
      </c>
      <c r="I871" s="41">
        <v>131</v>
      </c>
      <c r="J871" s="42"/>
      <c r="K871" s="44"/>
      <c r="L871" s="19"/>
      <c r="M871" s="44"/>
      <c r="N871" s="45"/>
      <c r="O871" s="46">
        <f t="shared" si="493"/>
        <v>131</v>
      </c>
      <c r="P871" s="51"/>
      <c r="Q871" s="51"/>
      <c r="R871" s="73">
        <f t="shared" si="484"/>
        <v>81.9268656716418</v>
      </c>
      <c r="S871" s="73"/>
      <c r="T871" s="74">
        <f t="shared" si="485"/>
        <v>0.23884328358209</v>
      </c>
      <c r="U871" s="73"/>
      <c r="V871" s="73"/>
      <c r="W871" s="73">
        <f t="shared" si="481"/>
        <v>82.1657089552239</v>
      </c>
      <c r="X871" s="75">
        <f t="shared" si="486"/>
        <v>1.50385074626866</v>
      </c>
      <c r="Y871" s="75"/>
      <c r="Z871" s="75"/>
      <c r="AA871" s="75">
        <f t="shared" si="482"/>
        <v>1.50385074626866</v>
      </c>
      <c r="AB871" s="84">
        <v>7.22</v>
      </c>
      <c r="AC871" s="73">
        <f t="shared" si="476"/>
        <v>10.8578023880597</v>
      </c>
      <c r="AD871" s="73">
        <f t="shared" si="483"/>
        <v>93.0235113432836</v>
      </c>
      <c r="AE871" s="73">
        <f t="shared" si="479"/>
        <v>37.9764886567164</v>
      </c>
    </row>
    <row r="872" customFormat="1" spans="1:31">
      <c r="A872" s="18"/>
      <c r="B872" s="19"/>
      <c r="C872" s="20">
        <v>240522000028</v>
      </c>
      <c r="D872" s="21">
        <v>45440</v>
      </c>
      <c r="E872" s="21" t="s">
        <v>41</v>
      </c>
      <c r="F872" s="19" t="s">
        <v>42</v>
      </c>
      <c r="G872" s="19" t="s">
        <v>232</v>
      </c>
      <c r="H872" s="19">
        <v>2.5</v>
      </c>
      <c r="I872" s="41">
        <v>163</v>
      </c>
      <c r="J872" s="42"/>
      <c r="K872" s="44"/>
      <c r="L872" s="19"/>
      <c r="M872" s="44"/>
      <c r="N872" s="45"/>
      <c r="O872" s="46">
        <f t="shared" si="493"/>
        <v>163</v>
      </c>
      <c r="P872" s="51"/>
      <c r="Q872" s="51"/>
      <c r="R872" s="73">
        <f t="shared" si="484"/>
        <v>102.408582089552</v>
      </c>
      <c r="S872" s="73"/>
      <c r="T872" s="74">
        <f t="shared" si="485"/>
        <v>0.298554104477612</v>
      </c>
      <c r="U872" s="73"/>
      <c r="V872" s="73"/>
      <c r="W872" s="73">
        <f t="shared" si="481"/>
        <v>102.70713619403</v>
      </c>
      <c r="X872" s="75">
        <f t="shared" si="486"/>
        <v>1.87981343283582</v>
      </c>
      <c r="Y872" s="75"/>
      <c r="Z872" s="75"/>
      <c r="AA872" s="75">
        <f t="shared" si="482"/>
        <v>1.87981343283582</v>
      </c>
      <c r="AB872" s="84">
        <v>7.22</v>
      </c>
      <c r="AC872" s="73">
        <f t="shared" si="476"/>
        <v>13.5722529850746</v>
      </c>
      <c r="AD872" s="73">
        <f t="shared" si="483"/>
        <v>116.279389179104</v>
      </c>
      <c r="AE872" s="73">
        <f t="shared" si="479"/>
        <v>46.720610820896</v>
      </c>
    </row>
    <row r="873" customFormat="1" spans="1:31">
      <c r="A873" s="18"/>
      <c r="B873" s="19"/>
      <c r="C873" s="20">
        <v>240522000031</v>
      </c>
      <c r="D873" s="21">
        <v>45440</v>
      </c>
      <c r="E873" s="21" t="s">
        <v>47</v>
      </c>
      <c r="F873" s="19">
        <v>13635229849</v>
      </c>
      <c r="G873" s="19" t="s">
        <v>50</v>
      </c>
      <c r="H873" s="19">
        <v>7</v>
      </c>
      <c r="I873" s="46"/>
      <c r="J873" s="48">
        <v>91622</v>
      </c>
      <c r="K873" s="44"/>
      <c r="L873" s="49">
        <f t="shared" si="494"/>
        <v>1502</v>
      </c>
      <c r="M873" s="50">
        <v>61</v>
      </c>
      <c r="N873" s="45">
        <v>7.22</v>
      </c>
      <c r="O873" s="46">
        <f t="shared" si="495"/>
        <v>440.42</v>
      </c>
      <c r="P873" s="51"/>
      <c r="Q873" s="51"/>
      <c r="R873" s="73">
        <f t="shared" si="484"/>
        <v>286.744029850746</v>
      </c>
      <c r="S873" s="73"/>
      <c r="T873" s="74">
        <f t="shared" si="485"/>
        <v>0.835951492537313</v>
      </c>
      <c r="U873" s="73"/>
      <c r="V873" s="73"/>
      <c r="W873" s="73">
        <f t="shared" si="481"/>
        <v>287.579981343284</v>
      </c>
      <c r="X873" s="75">
        <f t="shared" si="486"/>
        <v>5.2634776119403</v>
      </c>
      <c r="Y873" s="75"/>
      <c r="Z873" s="75"/>
      <c r="AA873" s="75">
        <f t="shared" si="482"/>
        <v>5.2634776119403</v>
      </c>
      <c r="AB873" s="84">
        <v>7.22</v>
      </c>
      <c r="AC873" s="73">
        <f t="shared" ref="AC873:AC906" si="496">SUM(AA873*AB873)</f>
        <v>38.0023083582089</v>
      </c>
      <c r="AD873" s="73">
        <f t="shared" si="483"/>
        <v>325.582289701493</v>
      </c>
      <c r="AE873" s="73">
        <f t="shared" si="479"/>
        <v>114.837710298507</v>
      </c>
    </row>
    <row r="874" customFormat="1" spans="1:31">
      <c r="A874" s="18"/>
      <c r="B874" s="19"/>
      <c r="C874" s="20">
        <v>240523000001</v>
      </c>
      <c r="D874" s="21">
        <v>45440</v>
      </c>
      <c r="E874" s="21" t="s">
        <v>54</v>
      </c>
      <c r="F874" s="19" t="s">
        <v>539</v>
      </c>
      <c r="G874" s="19" t="s">
        <v>540</v>
      </c>
      <c r="H874" s="19">
        <v>62</v>
      </c>
      <c r="I874" s="46"/>
      <c r="J874" s="48">
        <v>756257</v>
      </c>
      <c r="K874" s="44"/>
      <c r="L874" s="49">
        <f t="shared" si="494"/>
        <v>1502</v>
      </c>
      <c r="M874" s="50">
        <v>503.5</v>
      </c>
      <c r="N874" s="45">
        <v>7.22</v>
      </c>
      <c r="O874" s="46">
        <f t="shared" si="495"/>
        <v>3635.27</v>
      </c>
      <c r="P874" s="51"/>
      <c r="Q874" s="51"/>
      <c r="R874" s="73">
        <f t="shared" si="484"/>
        <v>2539.7328358209</v>
      </c>
      <c r="S874" s="73"/>
      <c r="T874" s="74">
        <f t="shared" si="485"/>
        <v>7.40414179104478</v>
      </c>
      <c r="U874" s="73"/>
      <c r="V874" s="73"/>
      <c r="W874" s="73">
        <f t="shared" si="481"/>
        <v>2547.13697761194</v>
      </c>
      <c r="X874" s="75">
        <f t="shared" si="486"/>
        <v>46.6193731343284</v>
      </c>
      <c r="Y874" s="75"/>
      <c r="Z874" s="75"/>
      <c r="AA874" s="75">
        <f t="shared" si="482"/>
        <v>46.6193731343284</v>
      </c>
      <c r="AB874" s="84">
        <v>7.22</v>
      </c>
      <c r="AC874" s="73">
        <f t="shared" si="496"/>
        <v>336.591874029851</v>
      </c>
      <c r="AD874" s="73">
        <f t="shared" si="483"/>
        <v>2883.72885164179</v>
      </c>
      <c r="AE874" s="73">
        <f t="shared" si="479"/>
        <v>751.54114835821</v>
      </c>
    </row>
    <row r="875" customFormat="1" spans="1:31">
      <c r="A875" s="18"/>
      <c r="B875" s="19"/>
      <c r="C875" s="20">
        <v>240523000005</v>
      </c>
      <c r="D875" s="21">
        <v>45440</v>
      </c>
      <c r="E875" s="21" t="s">
        <v>41</v>
      </c>
      <c r="F875" s="19" t="s">
        <v>42</v>
      </c>
      <c r="G875" s="19" t="s">
        <v>370</v>
      </c>
      <c r="H875" s="19">
        <v>24.5</v>
      </c>
      <c r="I875" s="52"/>
      <c r="J875" s="48">
        <v>294147</v>
      </c>
      <c r="K875" s="44"/>
      <c r="L875" s="49">
        <f t="shared" si="494"/>
        <v>1493.51104341203</v>
      </c>
      <c r="M875" s="50">
        <v>196.95</v>
      </c>
      <c r="N875" s="45">
        <v>7.22</v>
      </c>
      <c r="O875" s="46">
        <f t="shared" si="495"/>
        <v>1421.979</v>
      </c>
      <c r="P875" s="51"/>
      <c r="Q875" s="51"/>
      <c r="R875" s="73">
        <f t="shared" si="484"/>
        <v>1003.60410447761</v>
      </c>
      <c r="S875" s="73"/>
      <c r="T875" s="74">
        <f t="shared" si="485"/>
        <v>2.9258302238806</v>
      </c>
      <c r="U875" s="73"/>
      <c r="V875" s="73"/>
      <c r="W875" s="73">
        <f t="shared" si="481"/>
        <v>1006.52993470149</v>
      </c>
      <c r="X875" s="75">
        <f t="shared" si="486"/>
        <v>18.422171641791</v>
      </c>
      <c r="Y875" s="75"/>
      <c r="Z875" s="75"/>
      <c r="AA875" s="75">
        <f t="shared" si="482"/>
        <v>18.422171641791</v>
      </c>
      <c r="AB875" s="84">
        <v>7.22</v>
      </c>
      <c r="AC875" s="73">
        <f t="shared" si="496"/>
        <v>133.008079253731</v>
      </c>
      <c r="AD875" s="73">
        <f t="shared" si="483"/>
        <v>1139.53801395522</v>
      </c>
      <c r="AE875" s="73">
        <f t="shared" ref="AE875:AE906" si="497">SUM(O875-AD875)</f>
        <v>282.44098604478</v>
      </c>
    </row>
    <row r="876" customFormat="1" spans="1:31">
      <c r="A876" s="18"/>
      <c r="B876" s="19"/>
      <c r="C876" s="20">
        <v>240523000009</v>
      </c>
      <c r="D876" s="21">
        <v>45440</v>
      </c>
      <c r="E876" s="21" t="s">
        <v>41</v>
      </c>
      <c r="F876" s="19" t="s">
        <v>42</v>
      </c>
      <c r="G876" s="19" t="s">
        <v>145</v>
      </c>
      <c r="H876" s="19">
        <v>95</v>
      </c>
      <c r="I876" s="52"/>
      <c r="J876" s="48">
        <v>1057350</v>
      </c>
      <c r="K876" s="44"/>
      <c r="L876" s="49">
        <f t="shared" si="494"/>
        <v>1516.21830905128</v>
      </c>
      <c r="M876" s="50">
        <v>697.36</v>
      </c>
      <c r="N876" s="45">
        <v>7.22</v>
      </c>
      <c r="O876" s="46">
        <f t="shared" si="495"/>
        <v>5034.9392</v>
      </c>
      <c r="P876" s="51"/>
      <c r="Q876" s="51"/>
      <c r="R876" s="73">
        <f t="shared" si="484"/>
        <v>3891.52611940298</v>
      </c>
      <c r="S876" s="73"/>
      <c r="T876" s="74">
        <f t="shared" si="485"/>
        <v>11.3450559701493</v>
      </c>
      <c r="U876" s="73"/>
      <c r="V876" s="73"/>
      <c r="W876" s="73">
        <f t="shared" ref="W876:W909" si="498">SUM(R876:V876)</f>
        <v>3902.87117537313</v>
      </c>
      <c r="X876" s="75">
        <f t="shared" si="486"/>
        <v>71.4329104477612</v>
      </c>
      <c r="Y876" s="75"/>
      <c r="Z876" s="75"/>
      <c r="AA876" s="75">
        <f t="shared" ref="AA876:AA908" si="499">SUM(X876:Z876)</f>
        <v>71.4329104477612</v>
      </c>
      <c r="AB876" s="84">
        <v>7.22</v>
      </c>
      <c r="AC876" s="73">
        <f t="shared" si="496"/>
        <v>515.745613432836</v>
      </c>
      <c r="AD876" s="73">
        <f t="shared" ref="AD876:AD907" si="500">SUM(W876+AC876)</f>
        <v>4418.61678880597</v>
      </c>
      <c r="AE876" s="73">
        <f t="shared" si="497"/>
        <v>616.32241119403</v>
      </c>
    </row>
    <row r="877" customFormat="1" spans="1:31">
      <c r="A877" s="18"/>
      <c r="B877" s="19"/>
      <c r="C877" s="20">
        <v>240523000010</v>
      </c>
      <c r="D877" s="21">
        <v>45440</v>
      </c>
      <c r="E877" s="21" t="s">
        <v>41</v>
      </c>
      <c r="F877" s="19" t="s">
        <v>42</v>
      </c>
      <c r="G877" s="19" t="s">
        <v>147</v>
      </c>
      <c r="H877" s="19">
        <v>46</v>
      </c>
      <c r="I877" s="52"/>
      <c r="J877" s="48">
        <v>528675</v>
      </c>
      <c r="K877" s="44"/>
      <c r="L877" s="49">
        <f t="shared" si="494"/>
        <v>1516.21830905128</v>
      </c>
      <c r="M877" s="50">
        <v>348.68</v>
      </c>
      <c r="N877" s="45">
        <v>7.22</v>
      </c>
      <c r="O877" s="46">
        <f t="shared" si="495"/>
        <v>2517.4696</v>
      </c>
      <c r="P877" s="51"/>
      <c r="Q877" s="51"/>
      <c r="R877" s="73">
        <f t="shared" si="484"/>
        <v>1884.31791044776</v>
      </c>
      <c r="S877" s="73"/>
      <c r="T877" s="74">
        <f t="shared" si="485"/>
        <v>5.49339552238806</v>
      </c>
      <c r="U877" s="73">
        <v>80</v>
      </c>
      <c r="V877" s="73"/>
      <c r="W877" s="73">
        <f t="shared" si="498"/>
        <v>1969.81130597015</v>
      </c>
      <c r="X877" s="75">
        <f t="shared" si="486"/>
        <v>34.5885671641791</v>
      </c>
      <c r="Y877" s="75"/>
      <c r="Z877" s="75"/>
      <c r="AA877" s="75">
        <f t="shared" si="499"/>
        <v>34.5885671641791</v>
      </c>
      <c r="AB877" s="84">
        <v>7.22</v>
      </c>
      <c r="AC877" s="73">
        <f t="shared" si="496"/>
        <v>249.729454925373</v>
      </c>
      <c r="AD877" s="73">
        <f t="shared" si="500"/>
        <v>2219.54076089552</v>
      </c>
      <c r="AE877" s="73">
        <f t="shared" si="497"/>
        <v>297.92883910448</v>
      </c>
    </row>
    <row r="878" customFormat="1" spans="1:31">
      <c r="A878" s="18"/>
      <c r="B878" s="19"/>
      <c r="C878" s="20">
        <v>240523000011</v>
      </c>
      <c r="D878" s="21">
        <v>45440</v>
      </c>
      <c r="E878" s="21" t="s">
        <v>41</v>
      </c>
      <c r="F878" s="19" t="s">
        <v>42</v>
      </c>
      <c r="G878" s="19" t="s">
        <v>147</v>
      </c>
      <c r="H878" s="19">
        <v>29</v>
      </c>
      <c r="I878" s="52"/>
      <c r="J878" s="48">
        <v>354060</v>
      </c>
      <c r="K878" s="44"/>
      <c r="L878" s="49">
        <f t="shared" si="494"/>
        <v>1516.25198064323</v>
      </c>
      <c r="M878" s="50">
        <v>233.51</v>
      </c>
      <c r="N878" s="45">
        <v>7.22</v>
      </c>
      <c r="O878" s="46">
        <f t="shared" si="495"/>
        <v>1685.9422</v>
      </c>
      <c r="P878" s="51"/>
      <c r="Q878" s="51"/>
      <c r="R878" s="73">
        <f t="shared" ref="R878:R909" si="501">SUM(109782/2680)*H878</f>
        <v>1187.93955223881</v>
      </c>
      <c r="S878" s="73"/>
      <c r="T878" s="74">
        <f t="shared" ref="T878:T909" si="502">SUM(320.05/2680)*H878</f>
        <v>3.4632276119403</v>
      </c>
      <c r="U878" s="73">
        <f>SUM(60+30+40)</f>
        <v>130</v>
      </c>
      <c r="V878" s="73"/>
      <c r="W878" s="73">
        <f t="shared" si="498"/>
        <v>1321.40277985075</v>
      </c>
      <c r="X878" s="75">
        <f t="shared" ref="X878:X909" si="503">SUM(2015.16/2680)*H878</f>
        <v>21.8058358208955</v>
      </c>
      <c r="Y878" s="75"/>
      <c r="Z878" s="75"/>
      <c r="AA878" s="75">
        <f t="shared" si="499"/>
        <v>21.8058358208955</v>
      </c>
      <c r="AB878" s="84">
        <v>7.22</v>
      </c>
      <c r="AC878" s="73">
        <f t="shared" si="496"/>
        <v>157.438134626866</v>
      </c>
      <c r="AD878" s="73">
        <f t="shared" si="500"/>
        <v>1478.84091447761</v>
      </c>
      <c r="AE878" s="73">
        <f t="shared" si="497"/>
        <v>207.10128552239</v>
      </c>
    </row>
    <row r="879" customFormat="1" spans="1:31">
      <c r="A879" s="18"/>
      <c r="B879" s="19"/>
      <c r="C879" s="20">
        <v>240523000012</v>
      </c>
      <c r="D879" s="21">
        <v>45440</v>
      </c>
      <c r="E879" s="21" t="s">
        <v>41</v>
      </c>
      <c r="F879" s="19" t="s">
        <v>42</v>
      </c>
      <c r="G879" s="19" t="s">
        <v>541</v>
      </c>
      <c r="H879" s="19">
        <v>13</v>
      </c>
      <c r="I879" s="41">
        <v>845</v>
      </c>
      <c r="J879" s="42"/>
      <c r="K879" s="44"/>
      <c r="L879" s="19"/>
      <c r="M879" s="44"/>
      <c r="N879" s="45"/>
      <c r="O879" s="46">
        <f t="shared" ref="O879:O884" si="504">SUM(I879)</f>
        <v>845</v>
      </c>
      <c r="P879" s="51"/>
      <c r="Q879" s="51"/>
      <c r="R879" s="73">
        <f t="shared" si="501"/>
        <v>532.524626865672</v>
      </c>
      <c r="S879" s="73"/>
      <c r="T879" s="74">
        <f t="shared" si="502"/>
        <v>1.55248134328358</v>
      </c>
      <c r="U879" s="73"/>
      <c r="V879" s="73"/>
      <c r="W879" s="73">
        <f t="shared" si="498"/>
        <v>534.077108208955</v>
      </c>
      <c r="X879" s="75">
        <f t="shared" si="503"/>
        <v>9.77502985074627</v>
      </c>
      <c r="Y879" s="75"/>
      <c r="Z879" s="75"/>
      <c r="AA879" s="75">
        <f t="shared" si="499"/>
        <v>9.77502985074627</v>
      </c>
      <c r="AB879" s="84">
        <v>7.22</v>
      </c>
      <c r="AC879" s="73">
        <f t="shared" si="496"/>
        <v>70.5757155223881</v>
      </c>
      <c r="AD879" s="73">
        <f t="shared" si="500"/>
        <v>604.652823731343</v>
      </c>
      <c r="AE879" s="73">
        <f t="shared" si="497"/>
        <v>240.347176268657</v>
      </c>
    </row>
    <row r="880" customFormat="1" spans="1:31">
      <c r="A880" s="18"/>
      <c r="B880" s="19"/>
      <c r="C880" s="20">
        <v>240523000014</v>
      </c>
      <c r="D880" s="21">
        <v>45440</v>
      </c>
      <c r="E880" s="21" t="s">
        <v>44</v>
      </c>
      <c r="F880" s="19" t="s">
        <v>45</v>
      </c>
      <c r="G880" s="19" t="s">
        <v>435</v>
      </c>
      <c r="H880" s="19">
        <v>2</v>
      </c>
      <c r="I880" s="41">
        <v>119</v>
      </c>
      <c r="J880" s="42"/>
      <c r="K880" s="44"/>
      <c r="L880" s="19"/>
      <c r="M880" s="44"/>
      <c r="N880" s="45"/>
      <c r="O880" s="46">
        <f t="shared" si="504"/>
        <v>119</v>
      </c>
      <c r="P880" s="51"/>
      <c r="Q880" s="51"/>
      <c r="R880" s="73">
        <f t="shared" si="501"/>
        <v>81.9268656716418</v>
      </c>
      <c r="S880" s="73"/>
      <c r="T880" s="74">
        <f t="shared" si="502"/>
        <v>0.23884328358209</v>
      </c>
      <c r="U880" s="73"/>
      <c r="V880" s="73"/>
      <c r="W880" s="73">
        <f t="shared" si="498"/>
        <v>82.1657089552239</v>
      </c>
      <c r="X880" s="75">
        <f t="shared" si="503"/>
        <v>1.50385074626866</v>
      </c>
      <c r="Y880" s="75"/>
      <c r="Z880" s="75"/>
      <c r="AA880" s="75">
        <f t="shared" si="499"/>
        <v>1.50385074626866</v>
      </c>
      <c r="AB880" s="84">
        <v>7.22</v>
      </c>
      <c r="AC880" s="73">
        <f t="shared" si="496"/>
        <v>10.8578023880597</v>
      </c>
      <c r="AD880" s="73">
        <f t="shared" si="500"/>
        <v>93.0235113432836</v>
      </c>
      <c r="AE880" s="73">
        <f t="shared" si="497"/>
        <v>25.9764886567164</v>
      </c>
    </row>
    <row r="881" customFormat="1" spans="1:31">
      <c r="A881" s="18"/>
      <c r="B881" s="19"/>
      <c r="C881" s="20">
        <v>240523000016</v>
      </c>
      <c r="D881" s="21">
        <v>45440</v>
      </c>
      <c r="E881" s="21" t="s">
        <v>44</v>
      </c>
      <c r="F881" s="19" t="s">
        <v>45</v>
      </c>
      <c r="G881" s="19" t="s">
        <v>542</v>
      </c>
      <c r="H881" s="19">
        <v>40.5</v>
      </c>
      <c r="I881" s="41">
        <v>2146</v>
      </c>
      <c r="J881" s="42"/>
      <c r="K881" s="44"/>
      <c r="L881" s="19"/>
      <c r="M881" s="44"/>
      <c r="N881" s="45"/>
      <c r="O881" s="46">
        <f t="shared" si="504"/>
        <v>2146</v>
      </c>
      <c r="P881" s="51"/>
      <c r="Q881" s="51"/>
      <c r="R881" s="73">
        <f t="shared" si="501"/>
        <v>1659.01902985075</v>
      </c>
      <c r="S881" s="73"/>
      <c r="T881" s="74">
        <f t="shared" si="502"/>
        <v>4.83657649253731</v>
      </c>
      <c r="U881" s="73"/>
      <c r="V881" s="73"/>
      <c r="W881" s="73">
        <f t="shared" si="498"/>
        <v>1663.85560634328</v>
      </c>
      <c r="X881" s="75">
        <f t="shared" si="503"/>
        <v>30.4529776119403</v>
      </c>
      <c r="Y881" s="75"/>
      <c r="Z881" s="75"/>
      <c r="AA881" s="75">
        <f t="shared" si="499"/>
        <v>30.4529776119403</v>
      </c>
      <c r="AB881" s="84">
        <v>7.22</v>
      </c>
      <c r="AC881" s="73">
        <f t="shared" si="496"/>
        <v>219.870498358209</v>
      </c>
      <c r="AD881" s="73">
        <f t="shared" si="500"/>
        <v>1883.72610470149</v>
      </c>
      <c r="AE881" s="73">
        <f t="shared" si="497"/>
        <v>262.27389529851</v>
      </c>
    </row>
    <row r="882" customFormat="1" spans="1:31">
      <c r="A882" s="18"/>
      <c r="B882" s="19"/>
      <c r="C882" s="20">
        <v>240523000020</v>
      </c>
      <c r="D882" s="21">
        <v>45440</v>
      </c>
      <c r="E882" s="21" t="s">
        <v>41</v>
      </c>
      <c r="F882" s="19" t="s">
        <v>42</v>
      </c>
      <c r="G882" s="19" t="s">
        <v>96</v>
      </c>
      <c r="H882" s="19">
        <v>2</v>
      </c>
      <c r="I882" s="41">
        <v>186</v>
      </c>
      <c r="J882" s="42"/>
      <c r="K882" s="44"/>
      <c r="L882" s="19"/>
      <c r="M882" s="44"/>
      <c r="N882" s="45"/>
      <c r="O882" s="46">
        <f t="shared" si="504"/>
        <v>186</v>
      </c>
      <c r="P882" s="51"/>
      <c r="Q882" s="51"/>
      <c r="R882" s="73">
        <f t="shared" si="501"/>
        <v>81.9268656716418</v>
      </c>
      <c r="S882" s="73"/>
      <c r="T882" s="74">
        <f t="shared" si="502"/>
        <v>0.23884328358209</v>
      </c>
      <c r="U882" s="73"/>
      <c r="V882" s="73"/>
      <c r="W882" s="73">
        <f t="shared" si="498"/>
        <v>82.1657089552239</v>
      </c>
      <c r="X882" s="75">
        <f t="shared" si="503"/>
        <v>1.50385074626866</v>
      </c>
      <c r="Y882" s="75">
        <v>11.08</v>
      </c>
      <c r="Z882" s="75"/>
      <c r="AA882" s="75">
        <f t="shared" si="499"/>
        <v>12.5838507462687</v>
      </c>
      <c r="AB882" s="84">
        <v>7.22</v>
      </c>
      <c r="AC882" s="73">
        <f t="shared" si="496"/>
        <v>90.8554023880597</v>
      </c>
      <c r="AD882" s="73">
        <f t="shared" si="500"/>
        <v>173.021111343284</v>
      </c>
      <c r="AE882" s="73">
        <f t="shared" si="497"/>
        <v>12.978888656716</v>
      </c>
    </row>
    <row r="883" customFormat="1" spans="1:31">
      <c r="A883" s="18"/>
      <c r="B883" s="19"/>
      <c r="C883" s="20">
        <v>240523000025</v>
      </c>
      <c r="D883" s="21">
        <v>45440</v>
      </c>
      <c r="E883" s="21" t="s">
        <v>54</v>
      </c>
      <c r="F883" s="19" t="s">
        <v>54</v>
      </c>
      <c r="G883" s="19" t="s">
        <v>513</v>
      </c>
      <c r="H883" s="19">
        <v>49.5</v>
      </c>
      <c r="I883" s="52">
        <v>2722.5</v>
      </c>
      <c r="J883" s="42"/>
      <c r="K883" s="44"/>
      <c r="L883" s="19"/>
      <c r="M883" s="44"/>
      <c r="N883" s="45"/>
      <c r="O883" s="46">
        <f t="shared" si="504"/>
        <v>2722.5</v>
      </c>
      <c r="P883" s="51"/>
      <c r="Q883" s="51"/>
      <c r="R883" s="73">
        <f t="shared" si="501"/>
        <v>2027.68992537313</v>
      </c>
      <c r="S883" s="73"/>
      <c r="T883" s="74">
        <f t="shared" si="502"/>
        <v>5.91137126865672</v>
      </c>
      <c r="U883" s="73"/>
      <c r="V883" s="73"/>
      <c r="W883" s="73">
        <f t="shared" si="498"/>
        <v>2033.60129664179</v>
      </c>
      <c r="X883" s="75">
        <f t="shared" si="503"/>
        <v>37.2203059701493</v>
      </c>
      <c r="Y883" s="75"/>
      <c r="Z883" s="75"/>
      <c r="AA883" s="75">
        <f t="shared" si="499"/>
        <v>37.2203059701493</v>
      </c>
      <c r="AB883" s="84">
        <v>7.22</v>
      </c>
      <c r="AC883" s="73">
        <f t="shared" si="496"/>
        <v>268.730609104478</v>
      </c>
      <c r="AD883" s="73">
        <f t="shared" si="500"/>
        <v>2302.33190574627</v>
      </c>
      <c r="AE883" s="73">
        <f t="shared" si="497"/>
        <v>420.16809425373</v>
      </c>
    </row>
    <row r="884" customFormat="1" spans="1:31">
      <c r="A884" s="18"/>
      <c r="B884" s="19"/>
      <c r="C884" s="20">
        <v>240523000028</v>
      </c>
      <c r="D884" s="21">
        <v>45440</v>
      </c>
      <c r="E884" s="21" t="s">
        <v>44</v>
      </c>
      <c r="F884" s="19" t="s">
        <v>45</v>
      </c>
      <c r="G884" s="19" t="s">
        <v>443</v>
      </c>
      <c r="H884" s="19">
        <v>6</v>
      </c>
      <c r="I884" s="41">
        <v>371</v>
      </c>
      <c r="J884" s="42"/>
      <c r="K884" s="44"/>
      <c r="L884" s="19"/>
      <c r="M884" s="44"/>
      <c r="N884" s="45"/>
      <c r="O884" s="46">
        <f t="shared" si="504"/>
        <v>371</v>
      </c>
      <c r="P884" s="51"/>
      <c r="Q884" s="51"/>
      <c r="R884" s="73">
        <f t="shared" si="501"/>
        <v>245.780597014925</v>
      </c>
      <c r="S884" s="73"/>
      <c r="T884" s="74">
        <f t="shared" si="502"/>
        <v>0.716529850746269</v>
      </c>
      <c r="U884" s="73"/>
      <c r="V884" s="73"/>
      <c r="W884" s="73">
        <f t="shared" si="498"/>
        <v>246.497126865672</v>
      </c>
      <c r="X884" s="75">
        <f t="shared" si="503"/>
        <v>4.51155223880597</v>
      </c>
      <c r="Y884" s="75">
        <v>4.84</v>
      </c>
      <c r="Z884" s="75"/>
      <c r="AA884" s="75">
        <f t="shared" si="499"/>
        <v>9.35155223880597</v>
      </c>
      <c r="AB884" s="84">
        <v>7.22</v>
      </c>
      <c r="AC884" s="73">
        <f t="shared" si="496"/>
        <v>67.5182071641791</v>
      </c>
      <c r="AD884" s="73">
        <f t="shared" si="500"/>
        <v>314.015334029851</v>
      </c>
      <c r="AE884" s="73">
        <f t="shared" si="497"/>
        <v>56.984665970149</v>
      </c>
    </row>
    <row r="885" customFormat="1" spans="1:31">
      <c r="A885" s="18"/>
      <c r="B885" s="19"/>
      <c r="C885" s="20">
        <v>240523000030</v>
      </c>
      <c r="D885" s="21">
        <v>45440</v>
      </c>
      <c r="E885" s="21" t="s">
        <v>157</v>
      </c>
      <c r="F885" s="19" t="s">
        <v>239</v>
      </c>
      <c r="G885" s="19" t="s">
        <v>389</v>
      </c>
      <c r="H885" s="19">
        <v>0.51</v>
      </c>
      <c r="I885" s="46"/>
      <c r="J885" s="42"/>
      <c r="K885" s="44"/>
      <c r="L885" s="49">
        <f t="shared" ref="L885:L889" si="505">SUM(J885/M885)</f>
        <v>0</v>
      </c>
      <c r="M885" s="44">
        <v>8.6</v>
      </c>
      <c r="N885" s="45">
        <v>7.22</v>
      </c>
      <c r="O885" s="46">
        <f t="shared" ref="O885:O889" si="506">SUM(M885*N885)</f>
        <v>62.092</v>
      </c>
      <c r="P885" s="51"/>
      <c r="Q885" s="51"/>
      <c r="R885" s="73">
        <f t="shared" si="501"/>
        <v>20.8913507462687</v>
      </c>
      <c r="S885" s="73"/>
      <c r="T885" s="74">
        <f t="shared" si="502"/>
        <v>0.0609050373134328</v>
      </c>
      <c r="U885" s="73"/>
      <c r="V885" s="73"/>
      <c r="W885" s="73">
        <f t="shared" si="498"/>
        <v>20.9522557835821</v>
      </c>
      <c r="X885" s="75">
        <f t="shared" si="503"/>
        <v>0.383481940298507</v>
      </c>
      <c r="Y885" s="75"/>
      <c r="Z885" s="75"/>
      <c r="AA885" s="75">
        <f t="shared" si="499"/>
        <v>0.383481940298507</v>
      </c>
      <c r="AB885" s="84">
        <v>7.22</v>
      </c>
      <c r="AC885" s="73">
        <f t="shared" si="496"/>
        <v>2.76873960895522</v>
      </c>
      <c r="AD885" s="73">
        <f t="shared" si="500"/>
        <v>23.7209953925373</v>
      </c>
      <c r="AE885" s="73">
        <f t="shared" si="497"/>
        <v>38.3710046074627</v>
      </c>
    </row>
    <row r="886" customFormat="1" spans="1:31">
      <c r="A886" s="18"/>
      <c r="B886" s="19"/>
      <c r="C886" s="20">
        <v>240524000003</v>
      </c>
      <c r="D886" s="21">
        <v>45440</v>
      </c>
      <c r="E886" s="21" t="s">
        <v>37</v>
      </c>
      <c r="F886" s="19" t="s">
        <v>38</v>
      </c>
      <c r="G886" s="19" t="s">
        <v>543</v>
      </c>
      <c r="H886" s="19">
        <v>4</v>
      </c>
      <c r="I886" s="46"/>
      <c r="J886" s="48">
        <v>54672</v>
      </c>
      <c r="K886" s="44"/>
      <c r="L886" s="49">
        <f t="shared" si="505"/>
        <v>1501.97802197802</v>
      </c>
      <c r="M886" s="50">
        <v>36.4</v>
      </c>
      <c r="N886" s="45">
        <v>7.22</v>
      </c>
      <c r="O886" s="46">
        <f t="shared" si="506"/>
        <v>262.808</v>
      </c>
      <c r="P886" s="51"/>
      <c r="Q886" s="51"/>
      <c r="R886" s="73">
        <f t="shared" si="501"/>
        <v>163.853731343284</v>
      </c>
      <c r="S886" s="73"/>
      <c r="T886" s="74">
        <f t="shared" si="502"/>
        <v>0.477686567164179</v>
      </c>
      <c r="U886" s="73"/>
      <c r="V886" s="73"/>
      <c r="W886" s="73">
        <f t="shared" si="498"/>
        <v>164.331417910448</v>
      </c>
      <c r="X886" s="75">
        <f t="shared" si="503"/>
        <v>3.00770149253731</v>
      </c>
      <c r="Y886" s="75"/>
      <c r="Z886" s="75"/>
      <c r="AA886" s="75">
        <f t="shared" si="499"/>
        <v>3.00770149253731</v>
      </c>
      <c r="AB886" s="84">
        <v>7.22</v>
      </c>
      <c r="AC886" s="73">
        <f t="shared" si="496"/>
        <v>21.7156047761194</v>
      </c>
      <c r="AD886" s="73">
        <f t="shared" si="500"/>
        <v>186.047022686567</v>
      </c>
      <c r="AE886" s="73">
        <f t="shared" si="497"/>
        <v>76.760977313433</v>
      </c>
    </row>
    <row r="887" customFormat="1" spans="1:31">
      <c r="A887" s="18"/>
      <c r="B887" s="19"/>
      <c r="C887" s="20">
        <v>240524000005</v>
      </c>
      <c r="D887" s="21">
        <v>45440</v>
      </c>
      <c r="E887" s="21" t="s">
        <v>37</v>
      </c>
      <c r="F887" s="19" t="s">
        <v>38</v>
      </c>
      <c r="G887" s="19" t="s">
        <v>544</v>
      </c>
      <c r="H887" s="19">
        <v>44</v>
      </c>
      <c r="I887" s="52"/>
      <c r="J887" s="48">
        <v>530816</v>
      </c>
      <c r="K887" s="44"/>
      <c r="L887" s="49">
        <f t="shared" si="505"/>
        <v>1501.77106320376</v>
      </c>
      <c r="M887" s="50">
        <v>353.46</v>
      </c>
      <c r="N887" s="45">
        <v>7.22</v>
      </c>
      <c r="O887" s="46">
        <f t="shared" si="506"/>
        <v>2551.9812</v>
      </c>
      <c r="P887" s="51"/>
      <c r="Q887" s="51"/>
      <c r="R887" s="73">
        <f t="shared" si="501"/>
        <v>1802.39104477612</v>
      </c>
      <c r="S887" s="73"/>
      <c r="T887" s="74">
        <f t="shared" si="502"/>
        <v>5.25455223880597</v>
      </c>
      <c r="U887" s="73"/>
      <c r="V887" s="73"/>
      <c r="W887" s="73">
        <f t="shared" si="498"/>
        <v>1807.64559701493</v>
      </c>
      <c r="X887" s="75">
        <f t="shared" si="503"/>
        <v>33.0847164179104</v>
      </c>
      <c r="Y887" s="75"/>
      <c r="Z887" s="75"/>
      <c r="AA887" s="75">
        <f t="shared" si="499"/>
        <v>33.0847164179104</v>
      </c>
      <c r="AB887" s="84">
        <v>7.22</v>
      </c>
      <c r="AC887" s="73">
        <f t="shared" si="496"/>
        <v>238.871652537313</v>
      </c>
      <c r="AD887" s="73">
        <f t="shared" si="500"/>
        <v>2046.51724955224</v>
      </c>
      <c r="AE887" s="73">
        <f t="shared" si="497"/>
        <v>505.46395044776</v>
      </c>
    </row>
    <row r="888" customFormat="1" spans="1:31">
      <c r="A888" s="18"/>
      <c r="B888" s="19"/>
      <c r="C888" s="22">
        <v>240524000008</v>
      </c>
      <c r="D888" s="23">
        <v>45440</v>
      </c>
      <c r="E888" s="21" t="s">
        <v>47</v>
      </c>
      <c r="F888" s="24" t="s">
        <v>48</v>
      </c>
      <c r="G888" s="24" t="s">
        <v>135</v>
      </c>
      <c r="H888" s="24">
        <v>193</v>
      </c>
      <c r="I888" s="52"/>
      <c r="J888" s="49">
        <v>2340296.64</v>
      </c>
      <c r="K888" s="118"/>
      <c r="L888" s="49">
        <f t="shared" si="505"/>
        <v>1583.99989278898</v>
      </c>
      <c r="M888" s="87">
        <v>1477.4601</v>
      </c>
      <c r="N888" s="45">
        <v>7.22</v>
      </c>
      <c r="O888" s="52">
        <f t="shared" si="506"/>
        <v>10667.261922</v>
      </c>
      <c r="P888" s="51"/>
      <c r="Q888" s="51"/>
      <c r="R888" s="73">
        <f t="shared" si="501"/>
        <v>7905.94253731343</v>
      </c>
      <c r="S888" s="73"/>
      <c r="T888" s="74">
        <f t="shared" si="502"/>
        <v>23.0483768656716</v>
      </c>
      <c r="U888" s="73"/>
      <c r="V888" s="73"/>
      <c r="W888" s="73">
        <f t="shared" si="498"/>
        <v>7928.9909141791</v>
      </c>
      <c r="X888" s="75">
        <f t="shared" si="503"/>
        <v>145.121597014925</v>
      </c>
      <c r="Y888" s="75"/>
      <c r="Z888" s="75"/>
      <c r="AA888" s="75">
        <f t="shared" si="499"/>
        <v>145.121597014925</v>
      </c>
      <c r="AB888" s="84">
        <v>7.22</v>
      </c>
      <c r="AC888" s="73">
        <f t="shared" si="496"/>
        <v>1047.77793044776</v>
      </c>
      <c r="AD888" s="73">
        <f t="shared" si="500"/>
        <v>8976.76884462687</v>
      </c>
      <c r="AE888" s="73">
        <f t="shared" si="497"/>
        <v>1690.49307737313</v>
      </c>
    </row>
    <row r="889" customFormat="1" spans="1:31">
      <c r="A889" s="18"/>
      <c r="B889" s="19"/>
      <c r="C889" s="20">
        <v>240524000010</v>
      </c>
      <c r="D889" s="21">
        <v>45440</v>
      </c>
      <c r="E889" s="21" t="s">
        <v>157</v>
      </c>
      <c r="F889" s="19" t="s">
        <v>159</v>
      </c>
      <c r="G889" s="19" t="s">
        <v>216</v>
      </c>
      <c r="H889" s="19">
        <v>2</v>
      </c>
      <c r="I889" s="46"/>
      <c r="J889" s="42"/>
      <c r="K889" s="50">
        <v>16.7</v>
      </c>
      <c r="L889" s="49">
        <f t="shared" si="505"/>
        <v>0</v>
      </c>
      <c r="M889" s="50">
        <v>16.7</v>
      </c>
      <c r="N889" s="45">
        <v>7.22</v>
      </c>
      <c r="O889" s="46">
        <f t="shared" si="506"/>
        <v>120.574</v>
      </c>
      <c r="P889" s="51"/>
      <c r="Q889" s="51"/>
      <c r="R889" s="73">
        <f t="shared" si="501"/>
        <v>81.9268656716418</v>
      </c>
      <c r="S889" s="73"/>
      <c r="T889" s="74">
        <f t="shared" si="502"/>
        <v>0.23884328358209</v>
      </c>
      <c r="U889" s="73"/>
      <c r="V889" s="73"/>
      <c r="W889" s="73">
        <f t="shared" si="498"/>
        <v>82.1657089552239</v>
      </c>
      <c r="X889" s="75">
        <f t="shared" si="503"/>
        <v>1.50385074626866</v>
      </c>
      <c r="Y889" s="75"/>
      <c r="Z889" s="75"/>
      <c r="AA889" s="75">
        <f t="shared" si="499"/>
        <v>1.50385074626866</v>
      </c>
      <c r="AB889" s="84">
        <v>7.22</v>
      </c>
      <c r="AC889" s="73">
        <f t="shared" si="496"/>
        <v>10.8578023880597</v>
      </c>
      <c r="AD889" s="73">
        <f t="shared" si="500"/>
        <v>93.0235113432836</v>
      </c>
      <c r="AE889" s="73">
        <f t="shared" si="497"/>
        <v>27.5504886567164</v>
      </c>
    </row>
    <row r="890" customFormat="1" spans="1:31">
      <c r="A890" s="18"/>
      <c r="B890" s="19"/>
      <c r="C890" s="20">
        <v>240524000012</v>
      </c>
      <c r="D890" s="21">
        <v>45440</v>
      </c>
      <c r="E890" s="21" t="s">
        <v>54</v>
      </c>
      <c r="F890" s="19" t="s">
        <v>54</v>
      </c>
      <c r="G890" s="19" t="s">
        <v>545</v>
      </c>
      <c r="H890" s="19">
        <v>37.5</v>
      </c>
      <c r="I890" s="41">
        <v>3367.5</v>
      </c>
      <c r="J890" s="42"/>
      <c r="K890" s="44"/>
      <c r="L890" s="19"/>
      <c r="M890" s="44"/>
      <c r="N890" s="45"/>
      <c r="O890" s="46">
        <f t="shared" ref="O890:O894" si="507">SUM(I890)</f>
        <v>3367.5</v>
      </c>
      <c r="P890" s="51"/>
      <c r="Q890" s="51"/>
      <c r="R890" s="73">
        <f t="shared" si="501"/>
        <v>1536.12873134328</v>
      </c>
      <c r="S890" s="73"/>
      <c r="T890" s="74">
        <f t="shared" si="502"/>
        <v>4.47831156716418</v>
      </c>
      <c r="U890" s="73"/>
      <c r="V890" s="73"/>
      <c r="W890" s="73">
        <f t="shared" si="498"/>
        <v>1540.60704291045</v>
      </c>
      <c r="X890" s="75">
        <f t="shared" si="503"/>
        <v>28.1972014925373</v>
      </c>
      <c r="Y890" s="75"/>
      <c r="Z890" s="75"/>
      <c r="AA890" s="75">
        <f t="shared" si="499"/>
        <v>28.1972014925373</v>
      </c>
      <c r="AB890" s="84">
        <v>7.22</v>
      </c>
      <c r="AC890" s="73">
        <f t="shared" si="496"/>
        <v>203.583794776119</v>
      </c>
      <c r="AD890" s="73">
        <f t="shared" si="500"/>
        <v>1744.19083768657</v>
      </c>
      <c r="AE890" s="73">
        <f t="shared" si="497"/>
        <v>1623.30916231343</v>
      </c>
    </row>
    <row r="891" customFormat="1" spans="1:31">
      <c r="A891" s="18"/>
      <c r="B891" s="19"/>
      <c r="C891" s="20">
        <v>240524000013</v>
      </c>
      <c r="D891" s="21">
        <v>45440</v>
      </c>
      <c r="E891" s="21" t="s">
        <v>44</v>
      </c>
      <c r="F891" s="19" t="s">
        <v>45</v>
      </c>
      <c r="G891" s="19" t="s">
        <v>367</v>
      </c>
      <c r="H891" s="19">
        <v>0.36</v>
      </c>
      <c r="I891" s="41">
        <v>61</v>
      </c>
      <c r="J891" s="42"/>
      <c r="K891" s="44"/>
      <c r="L891" s="19"/>
      <c r="M891" s="44"/>
      <c r="N891" s="45"/>
      <c r="O891" s="46">
        <f t="shared" si="507"/>
        <v>61</v>
      </c>
      <c r="P891" s="51"/>
      <c r="Q891" s="51"/>
      <c r="R891" s="73">
        <f t="shared" si="501"/>
        <v>14.7468358208955</v>
      </c>
      <c r="S891" s="73"/>
      <c r="T891" s="74">
        <f t="shared" si="502"/>
        <v>0.0429917910447761</v>
      </c>
      <c r="U891" s="73"/>
      <c r="V891" s="73"/>
      <c r="W891" s="73">
        <f t="shared" si="498"/>
        <v>14.7898276119403</v>
      </c>
      <c r="X891" s="75">
        <f t="shared" si="503"/>
        <v>0.270693134328358</v>
      </c>
      <c r="Y891" s="75"/>
      <c r="Z891" s="75"/>
      <c r="AA891" s="75">
        <f t="shared" si="499"/>
        <v>0.270693134328358</v>
      </c>
      <c r="AB891" s="84">
        <v>7.22</v>
      </c>
      <c r="AC891" s="73">
        <f t="shared" si="496"/>
        <v>1.95440442985075</v>
      </c>
      <c r="AD891" s="73">
        <f t="shared" si="500"/>
        <v>16.744232041791</v>
      </c>
      <c r="AE891" s="73">
        <f t="shared" si="497"/>
        <v>44.255767958209</v>
      </c>
    </row>
    <row r="892" customFormat="1" spans="1:31">
      <c r="A892" s="18"/>
      <c r="B892" s="19"/>
      <c r="C892" s="20">
        <v>240524000014</v>
      </c>
      <c r="D892" s="21">
        <v>45440</v>
      </c>
      <c r="E892" s="21" t="s">
        <v>44</v>
      </c>
      <c r="F892" s="19" t="s">
        <v>45</v>
      </c>
      <c r="G892" s="19" t="s">
        <v>461</v>
      </c>
      <c r="H892" s="19">
        <v>69.5</v>
      </c>
      <c r="I892" s="52"/>
      <c r="J892" s="48">
        <v>749374.5</v>
      </c>
      <c r="K892" s="44"/>
      <c r="L892" s="49">
        <f t="shared" ref="L892:L898" si="508">SUM(J892/M892)</f>
        <v>1465.68318729463</v>
      </c>
      <c r="M892" s="50">
        <v>511.28</v>
      </c>
      <c r="N892" s="45">
        <v>7.22</v>
      </c>
      <c r="O892" s="46">
        <f t="shared" ref="O892:O898" si="509">SUM(M892*N892)</f>
        <v>3691.4416</v>
      </c>
      <c r="P892" s="51"/>
      <c r="Q892" s="51"/>
      <c r="R892" s="73">
        <f t="shared" si="501"/>
        <v>2846.95858208955</v>
      </c>
      <c r="S892" s="73"/>
      <c r="T892" s="74">
        <f t="shared" si="502"/>
        <v>8.29980410447761</v>
      </c>
      <c r="U892" s="73"/>
      <c r="V892" s="73"/>
      <c r="W892" s="73">
        <f t="shared" si="498"/>
        <v>2855.25838619403</v>
      </c>
      <c r="X892" s="75">
        <f t="shared" si="503"/>
        <v>52.2588134328358</v>
      </c>
      <c r="Y892" s="75"/>
      <c r="Z892" s="75"/>
      <c r="AA892" s="75">
        <f t="shared" si="499"/>
        <v>52.2588134328358</v>
      </c>
      <c r="AB892" s="84">
        <v>7.22</v>
      </c>
      <c r="AC892" s="73">
        <f t="shared" si="496"/>
        <v>377.308632985075</v>
      </c>
      <c r="AD892" s="73">
        <f t="shared" si="500"/>
        <v>3232.5670191791</v>
      </c>
      <c r="AE892" s="73">
        <f t="shared" si="497"/>
        <v>458.8745808209</v>
      </c>
    </row>
    <row r="893" customFormat="1" spans="1:31">
      <c r="A893" s="18"/>
      <c r="B893" s="19"/>
      <c r="C893" s="20">
        <v>240524000017</v>
      </c>
      <c r="D893" s="21">
        <v>45440</v>
      </c>
      <c r="E893" s="21" t="s">
        <v>41</v>
      </c>
      <c r="F893" s="19" t="s">
        <v>42</v>
      </c>
      <c r="G893" s="19" t="s">
        <v>300</v>
      </c>
      <c r="H893" s="19">
        <v>218.5</v>
      </c>
      <c r="I893" s="52"/>
      <c r="J893" s="48">
        <v>2470104</v>
      </c>
      <c r="K893" s="44"/>
      <c r="L893" s="49">
        <f t="shared" si="508"/>
        <v>1501.76556420233</v>
      </c>
      <c r="M893" s="50">
        <v>1644.8</v>
      </c>
      <c r="N893" s="45">
        <v>7.22</v>
      </c>
      <c r="O893" s="46">
        <f t="shared" si="509"/>
        <v>11875.456</v>
      </c>
      <c r="P893" s="51"/>
      <c r="Q893" s="51"/>
      <c r="R893" s="73">
        <f t="shared" si="501"/>
        <v>8950.51007462687</v>
      </c>
      <c r="S893" s="73"/>
      <c r="T893" s="74">
        <f t="shared" si="502"/>
        <v>26.0936287313433</v>
      </c>
      <c r="U893" s="73"/>
      <c r="V893" s="73"/>
      <c r="W893" s="73">
        <f t="shared" si="498"/>
        <v>8976.60370335821</v>
      </c>
      <c r="X893" s="75">
        <f t="shared" si="503"/>
        <v>164.295694029851</v>
      </c>
      <c r="Y893" s="75"/>
      <c r="Z893" s="75"/>
      <c r="AA893" s="75">
        <f t="shared" si="499"/>
        <v>164.295694029851</v>
      </c>
      <c r="AB893" s="84">
        <v>7.22</v>
      </c>
      <c r="AC893" s="73">
        <f t="shared" si="496"/>
        <v>1186.21491089552</v>
      </c>
      <c r="AD893" s="73">
        <f t="shared" si="500"/>
        <v>10162.8186142537</v>
      </c>
      <c r="AE893" s="73">
        <f t="shared" si="497"/>
        <v>1712.6373857463</v>
      </c>
    </row>
    <row r="894" customFormat="1" spans="1:31">
      <c r="A894" s="18"/>
      <c r="B894" s="19"/>
      <c r="C894" s="20">
        <v>240524000021</v>
      </c>
      <c r="D894" s="21">
        <v>45440</v>
      </c>
      <c r="E894" s="21" t="s">
        <v>54</v>
      </c>
      <c r="F894" s="19" t="s">
        <v>54</v>
      </c>
      <c r="G894" s="19" t="s">
        <v>152</v>
      </c>
      <c r="H894" s="19">
        <v>20.5</v>
      </c>
      <c r="I894" s="41">
        <v>1133.5</v>
      </c>
      <c r="J894" s="42"/>
      <c r="K894" s="44"/>
      <c r="L894" s="19"/>
      <c r="M894" s="44"/>
      <c r="N894" s="45"/>
      <c r="O894" s="46">
        <f t="shared" si="507"/>
        <v>1133.5</v>
      </c>
      <c r="P894" s="51"/>
      <c r="Q894" s="51"/>
      <c r="R894" s="73">
        <f t="shared" si="501"/>
        <v>839.750373134328</v>
      </c>
      <c r="S894" s="73"/>
      <c r="T894" s="74">
        <f t="shared" si="502"/>
        <v>2.44814365671642</v>
      </c>
      <c r="U894" s="73"/>
      <c r="V894" s="73"/>
      <c r="W894" s="73">
        <f t="shared" si="498"/>
        <v>842.198516791045</v>
      </c>
      <c r="X894" s="75">
        <f t="shared" si="503"/>
        <v>15.4144701492537</v>
      </c>
      <c r="Y894" s="75"/>
      <c r="Z894" s="75"/>
      <c r="AA894" s="75">
        <f t="shared" si="499"/>
        <v>15.4144701492537</v>
      </c>
      <c r="AB894" s="84">
        <v>7.22</v>
      </c>
      <c r="AC894" s="73">
        <f t="shared" si="496"/>
        <v>111.292474477612</v>
      </c>
      <c r="AD894" s="73">
        <f t="shared" si="500"/>
        <v>953.490991268657</v>
      </c>
      <c r="AE894" s="73">
        <f t="shared" si="497"/>
        <v>180.009008731343</v>
      </c>
    </row>
    <row r="895" customFormat="1" spans="1:31">
      <c r="A895" s="18"/>
      <c r="B895" s="19"/>
      <c r="C895" s="20">
        <v>240524000025</v>
      </c>
      <c r="D895" s="21">
        <v>45440</v>
      </c>
      <c r="E895" s="21" t="s">
        <v>47</v>
      </c>
      <c r="F895" s="19" t="s">
        <v>48</v>
      </c>
      <c r="G895" s="19" t="s">
        <v>216</v>
      </c>
      <c r="H895" s="19">
        <v>32</v>
      </c>
      <c r="I895" s="46"/>
      <c r="J895" s="48">
        <v>164108</v>
      </c>
      <c r="K895" s="50">
        <v>126.21</v>
      </c>
      <c r="L895" s="122">
        <v>1468</v>
      </c>
      <c r="M895" s="50">
        <v>238</v>
      </c>
      <c r="N895" s="45">
        <v>7.22</v>
      </c>
      <c r="O895" s="46">
        <f t="shared" si="509"/>
        <v>1718.36</v>
      </c>
      <c r="P895" s="51"/>
      <c r="Q895" s="51"/>
      <c r="R895" s="73">
        <f t="shared" si="501"/>
        <v>1310.82985074627</v>
      </c>
      <c r="S895" s="73"/>
      <c r="T895" s="74">
        <f t="shared" si="502"/>
        <v>3.82149253731343</v>
      </c>
      <c r="U895" s="73"/>
      <c r="V895" s="73"/>
      <c r="W895" s="73">
        <f t="shared" si="498"/>
        <v>1314.65134328358</v>
      </c>
      <c r="X895" s="75">
        <f t="shared" si="503"/>
        <v>24.0616119402985</v>
      </c>
      <c r="Y895" s="75"/>
      <c r="Z895" s="75"/>
      <c r="AA895" s="75">
        <f t="shared" si="499"/>
        <v>24.0616119402985</v>
      </c>
      <c r="AB895" s="84">
        <v>7.22</v>
      </c>
      <c r="AC895" s="73">
        <f t="shared" si="496"/>
        <v>173.724838208955</v>
      </c>
      <c r="AD895" s="73">
        <f t="shared" si="500"/>
        <v>1488.37618149254</v>
      </c>
      <c r="AE895" s="73">
        <f t="shared" si="497"/>
        <v>229.98381850746</v>
      </c>
    </row>
    <row r="896" customFormat="1" spans="1:31">
      <c r="A896" s="18"/>
      <c r="B896" s="19"/>
      <c r="C896" s="20">
        <v>240524000027</v>
      </c>
      <c r="D896" s="21">
        <v>45440</v>
      </c>
      <c r="E896" s="21" t="s">
        <v>41</v>
      </c>
      <c r="F896" s="19" t="s">
        <v>42</v>
      </c>
      <c r="G896" s="19" t="s">
        <v>147</v>
      </c>
      <c r="H896" s="19">
        <v>24.5</v>
      </c>
      <c r="I896" s="52"/>
      <c r="J896" s="48">
        <v>272685</v>
      </c>
      <c r="K896" s="44"/>
      <c r="L896" s="49">
        <f t="shared" si="508"/>
        <v>1516.26445729537</v>
      </c>
      <c r="M896" s="50">
        <v>179.84</v>
      </c>
      <c r="N896" s="45">
        <v>7.22</v>
      </c>
      <c r="O896" s="46">
        <f t="shared" si="509"/>
        <v>1298.4448</v>
      </c>
      <c r="P896" s="51"/>
      <c r="Q896" s="51"/>
      <c r="R896" s="73">
        <f t="shared" si="501"/>
        <v>1003.60410447761</v>
      </c>
      <c r="S896" s="73"/>
      <c r="T896" s="74">
        <f t="shared" si="502"/>
        <v>2.9258302238806</v>
      </c>
      <c r="U896" s="73"/>
      <c r="V896" s="73"/>
      <c r="W896" s="73">
        <f t="shared" si="498"/>
        <v>1006.52993470149</v>
      </c>
      <c r="X896" s="75">
        <f t="shared" si="503"/>
        <v>18.422171641791</v>
      </c>
      <c r="Y896" s="75"/>
      <c r="Z896" s="75"/>
      <c r="AA896" s="75">
        <f t="shared" si="499"/>
        <v>18.422171641791</v>
      </c>
      <c r="AB896" s="84">
        <v>7.22</v>
      </c>
      <c r="AC896" s="73">
        <f t="shared" si="496"/>
        <v>133.008079253731</v>
      </c>
      <c r="AD896" s="73">
        <f t="shared" si="500"/>
        <v>1139.53801395522</v>
      </c>
      <c r="AE896" s="73">
        <f t="shared" si="497"/>
        <v>158.90678604478</v>
      </c>
    </row>
    <row r="897" customFormat="1" spans="1:31">
      <c r="A897" s="18"/>
      <c r="B897" s="19"/>
      <c r="C897" s="20">
        <v>240524000029</v>
      </c>
      <c r="D897" s="21">
        <v>45440</v>
      </c>
      <c r="E897" s="21" t="s">
        <v>41</v>
      </c>
      <c r="F897" s="19" t="s">
        <v>42</v>
      </c>
      <c r="G897" s="19" t="s">
        <v>141</v>
      </c>
      <c r="H897" s="19">
        <v>16</v>
      </c>
      <c r="I897" s="52"/>
      <c r="J897" s="48">
        <v>210656</v>
      </c>
      <c r="K897" s="44"/>
      <c r="L897" s="49">
        <f t="shared" si="508"/>
        <v>1638.96366607018</v>
      </c>
      <c r="M897" s="50">
        <v>128.53</v>
      </c>
      <c r="N897" s="45">
        <v>7.22</v>
      </c>
      <c r="O897" s="46">
        <f t="shared" si="509"/>
        <v>927.9866</v>
      </c>
      <c r="P897" s="51"/>
      <c r="Q897" s="51"/>
      <c r="R897" s="73">
        <f t="shared" si="501"/>
        <v>655.414925373134</v>
      </c>
      <c r="S897" s="73"/>
      <c r="T897" s="74">
        <f t="shared" si="502"/>
        <v>1.91074626865672</v>
      </c>
      <c r="U897" s="73"/>
      <c r="V897" s="73"/>
      <c r="W897" s="73">
        <f t="shared" si="498"/>
        <v>657.325671641791</v>
      </c>
      <c r="X897" s="75">
        <f t="shared" si="503"/>
        <v>12.0308059701493</v>
      </c>
      <c r="Y897" s="75"/>
      <c r="Z897" s="75"/>
      <c r="AA897" s="75">
        <f t="shared" si="499"/>
        <v>12.0308059701493</v>
      </c>
      <c r="AB897" s="84">
        <v>7.22</v>
      </c>
      <c r="AC897" s="73">
        <f t="shared" si="496"/>
        <v>86.8624191044776</v>
      </c>
      <c r="AD897" s="73">
        <f t="shared" si="500"/>
        <v>744.188090746269</v>
      </c>
      <c r="AE897" s="73">
        <f t="shared" si="497"/>
        <v>183.798509253731</v>
      </c>
    </row>
    <row r="898" customFormat="1" spans="1:31">
      <c r="A898" s="18"/>
      <c r="B898" s="19"/>
      <c r="C898" s="20">
        <v>240524000034</v>
      </c>
      <c r="D898" s="21">
        <v>45440</v>
      </c>
      <c r="E898" s="21" t="s">
        <v>41</v>
      </c>
      <c r="F898" s="19" t="s">
        <v>42</v>
      </c>
      <c r="G898" s="19" t="s">
        <v>141</v>
      </c>
      <c r="H898" s="19">
        <v>2</v>
      </c>
      <c r="I898" s="52"/>
      <c r="J898" s="48">
        <v>26332</v>
      </c>
      <c r="K898" s="44"/>
      <c r="L898" s="49">
        <f t="shared" si="508"/>
        <v>1639.60149439602</v>
      </c>
      <c r="M898" s="50">
        <v>16.06</v>
      </c>
      <c r="N898" s="45">
        <v>7.22</v>
      </c>
      <c r="O898" s="46">
        <f t="shared" si="509"/>
        <v>115.9532</v>
      </c>
      <c r="P898" s="51"/>
      <c r="Q898" s="51"/>
      <c r="R898" s="73">
        <f t="shared" si="501"/>
        <v>81.9268656716418</v>
      </c>
      <c r="S898" s="73"/>
      <c r="T898" s="74">
        <f t="shared" si="502"/>
        <v>0.23884328358209</v>
      </c>
      <c r="U898" s="73"/>
      <c r="V898" s="73"/>
      <c r="W898" s="73">
        <f t="shared" si="498"/>
        <v>82.1657089552239</v>
      </c>
      <c r="X898" s="75">
        <f t="shared" si="503"/>
        <v>1.50385074626866</v>
      </c>
      <c r="Y898" s="75"/>
      <c r="Z898" s="75"/>
      <c r="AA898" s="75">
        <f t="shared" si="499"/>
        <v>1.50385074626866</v>
      </c>
      <c r="AB898" s="84">
        <v>7.22</v>
      </c>
      <c r="AC898" s="73">
        <f t="shared" si="496"/>
        <v>10.8578023880597</v>
      </c>
      <c r="AD898" s="73">
        <f t="shared" si="500"/>
        <v>93.0235113432836</v>
      </c>
      <c r="AE898" s="73">
        <f t="shared" si="497"/>
        <v>22.9296886567164</v>
      </c>
    </row>
    <row r="899" customFormat="1" spans="1:31">
      <c r="A899" s="18"/>
      <c r="B899" s="19"/>
      <c r="C899" s="20">
        <v>240524000037</v>
      </c>
      <c r="D899" s="21">
        <v>45440</v>
      </c>
      <c r="E899" s="21" t="s">
        <v>44</v>
      </c>
      <c r="F899" s="19" t="s">
        <v>45</v>
      </c>
      <c r="G899" s="19" t="s">
        <v>546</v>
      </c>
      <c r="H899" s="19">
        <v>0.5</v>
      </c>
      <c r="I899" s="41">
        <v>61</v>
      </c>
      <c r="J899" s="42"/>
      <c r="K899" s="44"/>
      <c r="L899" s="19"/>
      <c r="M899" s="44"/>
      <c r="N899" s="45"/>
      <c r="O899" s="46">
        <f t="shared" ref="O897:O900" si="510">SUM(I899)</f>
        <v>61</v>
      </c>
      <c r="P899" s="51"/>
      <c r="Q899" s="51"/>
      <c r="R899" s="73">
        <f t="shared" si="501"/>
        <v>20.4817164179104</v>
      </c>
      <c r="S899" s="73"/>
      <c r="T899" s="74">
        <f t="shared" si="502"/>
        <v>0.0597108208955224</v>
      </c>
      <c r="U899" s="73"/>
      <c r="V899" s="73"/>
      <c r="W899" s="73">
        <f t="shared" si="498"/>
        <v>20.541427238806</v>
      </c>
      <c r="X899" s="75">
        <f t="shared" si="503"/>
        <v>0.375962686567164</v>
      </c>
      <c r="Y899" s="75"/>
      <c r="Z899" s="75"/>
      <c r="AA899" s="75">
        <f t="shared" si="499"/>
        <v>0.375962686567164</v>
      </c>
      <c r="AB899" s="84">
        <v>7.22</v>
      </c>
      <c r="AC899" s="73">
        <f t="shared" si="496"/>
        <v>2.71445059701493</v>
      </c>
      <c r="AD899" s="73">
        <f t="shared" si="500"/>
        <v>23.2558778358209</v>
      </c>
      <c r="AE899" s="73">
        <f t="shared" si="497"/>
        <v>37.7441221641791</v>
      </c>
    </row>
    <row r="900" customFormat="1" spans="1:31">
      <c r="A900" s="18"/>
      <c r="B900" s="19"/>
      <c r="C900" s="20">
        <v>240524000040</v>
      </c>
      <c r="D900" s="21">
        <v>45440</v>
      </c>
      <c r="E900" s="21" t="s">
        <v>41</v>
      </c>
      <c r="F900" s="19" t="s">
        <v>42</v>
      </c>
      <c r="G900" s="19" t="s">
        <v>547</v>
      </c>
      <c r="H900" s="19">
        <v>4</v>
      </c>
      <c r="I900" s="41">
        <v>310</v>
      </c>
      <c r="J900" s="42"/>
      <c r="K900" s="44"/>
      <c r="L900" s="19"/>
      <c r="M900" s="44"/>
      <c r="N900" s="45"/>
      <c r="O900" s="46">
        <f t="shared" si="510"/>
        <v>310</v>
      </c>
      <c r="P900" s="51"/>
      <c r="Q900" s="51"/>
      <c r="R900" s="73">
        <f t="shared" si="501"/>
        <v>163.853731343284</v>
      </c>
      <c r="S900" s="73"/>
      <c r="T900" s="74">
        <f t="shared" si="502"/>
        <v>0.477686567164179</v>
      </c>
      <c r="U900" s="73"/>
      <c r="V900" s="73"/>
      <c r="W900" s="73">
        <f t="shared" si="498"/>
        <v>164.331417910448</v>
      </c>
      <c r="X900" s="75">
        <f t="shared" si="503"/>
        <v>3.00770149253731</v>
      </c>
      <c r="Y900" s="75">
        <v>10.38</v>
      </c>
      <c r="Z900" s="75"/>
      <c r="AA900" s="75">
        <f t="shared" si="499"/>
        <v>13.3877014925373</v>
      </c>
      <c r="AB900" s="84">
        <v>7.22</v>
      </c>
      <c r="AC900" s="73">
        <f t="shared" si="496"/>
        <v>96.6592047761194</v>
      </c>
      <c r="AD900" s="73">
        <f t="shared" si="500"/>
        <v>260.990622686567</v>
      </c>
      <c r="AE900" s="73">
        <f t="shared" si="497"/>
        <v>49.009377313433</v>
      </c>
    </row>
    <row r="901" customFormat="1" spans="1:31">
      <c r="A901" s="18"/>
      <c r="B901" s="19"/>
      <c r="C901" s="20">
        <v>240524000041</v>
      </c>
      <c r="D901" s="21">
        <v>45440</v>
      </c>
      <c r="E901" s="21" t="s">
        <v>44</v>
      </c>
      <c r="F901" s="19" t="s">
        <v>45</v>
      </c>
      <c r="G901" s="19" t="s">
        <v>175</v>
      </c>
      <c r="H901" s="19">
        <v>27</v>
      </c>
      <c r="I901" s="52"/>
      <c r="J901" s="48">
        <v>299312</v>
      </c>
      <c r="K901" s="44"/>
      <c r="L901" s="49">
        <f t="shared" ref="L901:L908" si="511">SUM(J901/M901)</f>
        <v>1501.81635725038</v>
      </c>
      <c r="M901" s="50">
        <v>199.3</v>
      </c>
      <c r="N901" s="45">
        <v>7.22</v>
      </c>
      <c r="O901" s="46">
        <f t="shared" ref="O901:O908" si="512">SUM(M901*N901)</f>
        <v>1438.946</v>
      </c>
      <c r="P901" s="51"/>
      <c r="Q901" s="51"/>
      <c r="R901" s="73">
        <f t="shared" si="501"/>
        <v>1106.01268656716</v>
      </c>
      <c r="S901" s="73"/>
      <c r="T901" s="74">
        <f t="shared" si="502"/>
        <v>3.22438432835821</v>
      </c>
      <c r="U901" s="73"/>
      <c r="V901" s="73"/>
      <c r="W901" s="73">
        <f t="shared" si="498"/>
        <v>1109.23707089552</v>
      </c>
      <c r="X901" s="75">
        <f t="shared" si="503"/>
        <v>20.3019850746269</v>
      </c>
      <c r="Y901" s="75"/>
      <c r="Z901" s="75"/>
      <c r="AA901" s="75">
        <f t="shared" si="499"/>
        <v>20.3019850746269</v>
      </c>
      <c r="AB901" s="84">
        <v>7.22</v>
      </c>
      <c r="AC901" s="73">
        <f t="shared" si="496"/>
        <v>146.580332238806</v>
      </c>
      <c r="AD901" s="73">
        <f t="shared" si="500"/>
        <v>1255.81740313433</v>
      </c>
      <c r="AE901" s="73">
        <f t="shared" si="497"/>
        <v>183.12859686567</v>
      </c>
    </row>
    <row r="902" customFormat="1" spans="1:31">
      <c r="A902" s="18"/>
      <c r="B902" s="19"/>
      <c r="C902" s="20">
        <v>240524000042</v>
      </c>
      <c r="D902" s="21">
        <v>45440</v>
      </c>
      <c r="E902" s="21" t="s">
        <v>47</v>
      </c>
      <c r="F902" s="19" t="s">
        <v>48</v>
      </c>
      <c r="G902" s="19" t="s">
        <v>548</v>
      </c>
      <c r="H902" s="19">
        <v>5</v>
      </c>
      <c r="I902" s="41">
        <v>293</v>
      </c>
      <c r="J902" s="42"/>
      <c r="K902" s="44"/>
      <c r="L902" s="19"/>
      <c r="M902" s="44"/>
      <c r="N902" s="45"/>
      <c r="O902" s="46">
        <f>SUM(I902)</f>
        <v>293</v>
      </c>
      <c r="P902" s="51"/>
      <c r="Q902" s="51"/>
      <c r="R902" s="73">
        <f t="shared" si="501"/>
        <v>204.817164179104</v>
      </c>
      <c r="S902" s="73"/>
      <c r="T902" s="74">
        <f t="shared" si="502"/>
        <v>0.597108208955224</v>
      </c>
      <c r="U902" s="73"/>
      <c r="V902" s="73"/>
      <c r="W902" s="73">
        <f t="shared" si="498"/>
        <v>205.41427238806</v>
      </c>
      <c r="X902" s="75">
        <f t="shared" si="503"/>
        <v>3.75962686567164</v>
      </c>
      <c r="Y902" s="75"/>
      <c r="Z902" s="75"/>
      <c r="AA902" s="75">
        <f t="shared" si="499"/>
        <v>3.75962686567164</v>
      </c>
      <c r="AB902" s="84">
        <v>7.22</v>
      </c>
      <c r="AC902" s="73">
        <f t="shared" si="496"/>
        <v>27.1445059701493</v>
      </c>
      <c r="AD902" s="73">
        <f t="shared" si="500"/>
        <v>232.558778358209</v>
      </c>
      <c r="AE902" s="73">
        <f t="shared" si="497"/>
        <v>60.441221641791</v>
      </c>
    </row>
    <row r="903" customFormat="1" spans="1:31">
      <c r="A903" s="18"/>
      <c r="B903" s="19"/>
      <c r="C903" s="20">
        <v>240524000050</v>
      </c>
      <c r="D903" s="21">
        <v>45440</v>
      </c>
      <c r="E903" s="21" t="s">
        <v>41</v>
      </c>
      <c r="F903" s="19" t="s">
        <v>42</v>
      </c>
      <c r="G903" s="19" t="s">
        <v>549</v>
      </c>
      <c r="H903" s="19">
        <v>9.5</v>
      </c>
      <c r="I903" s="52"/>
      <c r="J903" s="48">
        <v>109339.5</v>
      </c>
      <c r="K903" s="44"/>
      <c r="L903" s="49">
        <f t="shared" si="511"/>
        <v>1493.91310288291</v>
      </c>
      <c r="M903" s="50">
        <v>73.19</v>
      </c>
      <c r="N903" s="45">
        <v>7.22</v>
      </c>
      <c r="O903" s="46">
        <f t="shared" si="512"/>
        <v>528.4318</v>
      </c>
      <c r="P903" s="51"/>
      <c r="Q903" s="51"/>
      <c r="R903" s="73">
        <f t="shared" si="501"/>
        <v>389.152611940299</v>
      </c>
      <c r="S903" s="73"/>
      <c r="T903" s="74">
        <f t="shared" si="502"/>
        <v>1.13450559701493</v>
      </c>
      <c r="U903" s="73"/>
      <c r="V903" s="73"/>
      <c r="W903" s="73">
        <f t="shared" si="498"/>
        <v>390.287117537313</v>
      </c>
      <c r="X903" s="75">
        <f t="shared" si="503"/>
        <v>7.14329104477612</v>
      </c>
      <c r="Y903" s="75"/>
      <c r="Z903" s="75"/>
      <c r="AA903" s="75">
        <f t="shared" si="499"/>
        <v>7.14329104477612</v>
      </c>
      <c r="AB903" s="84">
        <v>7.22</v>
      </c>
      <c r="AC903" s="73">
        <f t="shared" si="496"/>
        <v>51.5745613432836</v>
      </c>
      <c r="AD903" s="73">
        <f t="shared" si="500"/>
        <v>441.861678880597</v>
      </c>
      <c r="AE903" s="73">
        <f t="shared" si="497"/>
        <v>86.5701211194029</v>
      </c>
    </row>
    <row r="904" customFormat="1" spans="1:31">
      <c r="A904" s="18"/>
      <c r="B904" s="19"/>
      <c r="C904" s="20">
        <v>240524000054</v>
      </c>
      <c r="D904" s="21">
        <v>45440</v>
      </c>
      <c r="E904" s="21" t="s">
        <v>41</v>
      </c>
      <c r="F904" s="19" t="s">
        <v>42</v>
      </c>
      <c r="G904" s="19" t="s">
        <v>368</v>
      </c>
      <c r="H904" s="19">
        <v>4.5</v>
      </c>
      <c r="I904" s="41">
        <v>261</v>
      </c>
      <c r="J904" s="42"/>
      <c r="K904" s="44"/>
      <c r="L904" s="19"/>
      <c r="M904" s="44"/>
      <c r="N904" s="45"/>
      <c r="O904" s="46">
        <f>SUM(I904)</f>
        <v>261</v>
      </c>
      <c r="P904" s="51"/>
      <c r="Q904" s="51"/>
      <c r="R904" s="73">
        <f t="shared" si="501"/>
        <v>184.335447761194</v>
      </c>
      <c r="S904" s="73"/>
      <c r="T904" s="74">
        <f t="shared" si="502"/>
        <v>0.537397388059701</v>
      </c>
      <c r="U904" s="73"/>
      <c r="V904" s="73"/>
      <c r="W904" s="73">
        <f t="shared" si="498"/>
        <v>184.872845149254</v>
      </c>
      <c r="X904" s="75">
        <f t="shared" si="503"/>
        <v>3.38366417910448</v>
      </c>
      <c r="Y904" s="75"/>
      <c r="Z904" s="75"/>
      <c r="AA904" s="75">
        <f t="shared" si="499"/>
        <v>3.38366417910448</v>
      </c>
      <c r="AB904" s="84">
        <v>7.22</v>
      </c>
      <c r="AC904" s="73">
        <f t="shared" si="496"/>
        <v>24.4300553731343</v>
      </c>
      <c r="AD904" s="73">
        <f t="shared" si="500"/>
        <v>209.302900522388</v>
      </c>
      <c r="AE904" s="73">
        <f t="shared" si="497"/>
        <v>51.697099477612</v>
      </c>
    </row>
    <row r="905" customFormat="1" spans="1:31">
      <c r="A905" s="18"/>
      <c r="B905" s="19"/>
      <c r="C905" s="20">
        <v>240524000055</v>
      </c>
      <c r="D905" s="21">
        <v>45440</v>
      </c>
      <c r="E905" s="21" t="s">
        <v>54</v>
      </c>
      <c r="F905" s="19" t="s">
        <v>340</v>
      </c>
      <c r="G905" s="19" t="s">
        <v>371</v>
      </c>
      <c r="H905" s="19">
        <v>821</v>
      </c>
      <c r="I905" s="46"/>
      <c r="J905" s="48">
        <v>9479522</v>
      </c>
      <c r="K905" s="44"/>
      <c r="L905" s="49">
        <f t="shared" si="511"/>
        <v>1468.00001238881</v>
      </c>
      <c r="M905" s="50">
        <v>6457.44</v>
      </c>
      <c r="N905" s="45">
        <v>7.22</v>
      </c>
      <c r="O905" s="46">
        <f t="shared" si="512"/>
        <v>46622.7168</v>
      </c>
      <c r="P905" s="51"/>
      <c r="Q905" s="51"/>
      <c r="R905" s="73">
        <f t="shared" si="501"/>
        <v>33630.978358209</v>
      </c>
      <c r="S905" s="73"/>
      <c r="T905" s="74">
        <f t="shared" si="502"/>
        <v>98.0451679104478</v>
      </c>
      <c r="U905" s="74">
        <v>1100</v>
      </c>
      <c r="V905" s="73"/>
      <c r="W905" s="73">
        <f t="shared" si="498"/>
        <v>34829.0235261194</v>
      </c>
      <c r="X905" s="75">
        <f t="shared" si="503"/>
        <v>617.330731343284</v>
      </c>
      <c r="Y905" s="75"/>
      <c r="Z905" s="75"/>
      <c r="AA905" s="75">
        <f t="shared" si="499"/>
        <v>617.330731343284</v>
      </c>
      <c r="AB905" s="84">
        <v>7.22</v>
      </c>
      <c r="AC905" s="73">
        <f t="shared" si="496"/>
        <v>4457.12788029851</v>
      </c>
      <c r="AD905" s="73">
        <f t="shared" si="500"/>
        <v>39286.1514064179</v>
      </c>
      <c r="AE905" s="73">
        <f t="shared" si="497"/>
        <v>7336.5653935821</v>
      </c>
    </row>
    <row r="906" customFormat="1" spans="1:31">
      <c r="A906" s="18"/>
      <c r="B906" s="19"/>
      <c r="C906" s="20">
        <v>240525000001</v>
      </c>
      <c r="D906" s="21">
        <v>45440</v>
      </c>
      <c r="E906" s="21" t="s">
        <v>37</v>
      </c>
      <c r="F906" s="19" t="s">
        <v>38</v>
      </c>
      <c r="G906" s="19" t="s">
        <v>132</v>
      </c>
      <c r="H906" s="19">
        <v>30</v>
      </c>
      <c r="I906" s="46"/>
      <c r="J906" s="48">
        <v>327657</v>
      </c>
      <c r="K906" s="44"/>
      <c r="L906" s="49">
        <f t="shared" si="511"/>
        <v>1467.99731182796</v>
      </c>
      <c r="M906" s="50">
        <v>223.2</v>
      </c>
      <c r="N906" s="45">
        <v>7.22</v>
      </c>
      <c r="O906" s="46">
        <f t="shared" si="512"/>
        <v>1611.504</v>
      </c>
      <c r="P906" s="51"/>
      <c r="Q906" s="51"/>
      <c r="R906" s="73">
        <f t="shared" si="501"/>
        <v>1228.90298507463</v>
      </c>
      <c r="S906" s="73"/>
      <c r="T906" s="74">
        <f t="shared" si="502"/>
        <v>3.58264925373134</v>
      </c>
      <c r="U906" s="73"/>
      <c r="V906" s="73"/>
      <c r="W906" s="73">
        <f t="shared" si="498"/>
        <v>1232.48563432836</v>
      </c>
      <c r="X906" s="75">
        <f t="shared" si="503"/>
        <v>22.5577611940299</v>
      </c>
      <c r="Y906" s="75"/>
      <c r="Z906" s="75"/>
      <c r="AA906" s="75">
        <f t="shared" si="499"/>
        <v>22.5577611940299</v>
      </c>
      <c r="AB906" s="84">
        <v>7.22</v>
      </c>
      <c r="AC906" s="73">
        <f t="shared" si="496"/>
        <v>162.867035820896</v>
      </c>
      <c r="AD906" s="73">
        <f t="shared" si="500"/>
        <v>1395.35267014925</v>
      </c>
      <c r="AE906" s="73">
        <f t="shared" ref="AE906:AE950" si="513">SUM(O906-AD906)</f>
        <v>216.15132985075</v>
      </c>
    </row>
    <row r="907" customFormat="1" spans="1:31">
      <c r="A907" s="18"/>
      <c r="B907" s="19"/>
      <c r="C907" s="20">
        <v>240525000006</v>
      </c>
      <c r="D907" s="21">
        <v>45440</v>
      </c>
      <c r="E907" s="21" t="s">
        <v>44</v>
      </c>
      <c r="F907" s="19" t="s">
        <v>45</v>
      </c>
      <c r="G907" s="19" t="s">
        <v>299</v>
      </c>
      <c r="H907" s="19">
        <v>7.5</v>
      </c>
      <c r="I907" s="52"/>
      <c r="J907" s="48">
        <v>80692</v>
      </c>
      <c r="K907" s="44"/>
      <c r="L907" s="49">
        <f t="shared" si="511"/>
        <v>1465.79473206176</v>
      </c>
      <c r="M907" s="50">
        <v>55.05</v>
      </c>
      <c r="N907" s="45">
        <v>7.22</v>
      </c>
      <c r="O907" s="46">
        <f t="shared" si="512"/>
        <v>397.461</v>
      </c>
      <c r="P907" s="51"/>
      <c r="Q907" s="51"/>
      <c r="R907" s="73">
        <f t="shared" si="501"/>
        <v>307.225746268657</v>
      </c>
      <c r="S907" s="73"/>
      <c r="T907" s="74">
        <f t="shared" si="502"/>
        <v>0.895662313432836</v>
      </c>
      <c r="U907" s="73"/>
      <c r="V907" s="73"/>
      <c r="W907" s="73">
        <f t="shared" si="498"/>
        <v>308.12140858209</v>
      </c>
      <c r="X907" s="75">
        <f t="shared" si="503"/>
        <v>5.63944029850746</v>
      </c>
      <c r="Y907" s="75"/>
      <c r="Z907" s="75"/>
      <c r="AA907" s="75">
        <f t="shared" si="499"/>
        <v>5.63944029850746</v>
      </c>
      <c r="AB907" s="84">
        <v>7.22</v>
      </c>
      <c r="AC907" s="73">
        <f t="shared" ref="AC907:AC950" si="514">SUM(AA907*AB907)</f>
        <v>40.7167589552239</v>
      </c>
      <c r="AD907" s="73">
        <f t="shared" ref="AD907:AD950" si="515">SUM(W907+AC907)</f>
        <v>348.838167537313</v>
      </c>
      <c r="AE907" s="73">
        <f t="shared" si="513"/>
        <v>48.622832462687</v>
      </c>
    </row>
    <row r="908" customFormat="1" spans="1:31">
      <c r="A908" s="18"/>
      <c r="B908" s="19"/>
      <c r="C908" s="20">
        <v>240525000010</v>
      </c>
      <c r="D908" s="21">
        <v>45440</v>
      </c>
      <c r="E908" s="21" t="s">
        <v>41</v>
      </c>
      <c r="F908" s="19" t="s">
        <v>42</v>
      </c>
      <c r="G908" s="19" t="s">
        <v>147</v>
      </c>
      <c r="H908" s="19">
        <v>297.5</v>
      </c>
      <c r="I908" s="52"/>
      <c r="J908" s="48">
        <v>3511095</v>
      </c>
      <c r="K908" s="44"/>
      <c r="L908" s="49">
        <f t="shared" si="511"/>
        <v>1516.20014509526</v>
      </c>
      <c r="M908" s="50">
        <v>2315.72</v>
      </c>
      <c r="N908" s="45">
        <v>7.22</v>
      </c>
      <c r="O908" s="46">
        <f t="shared" si="512"/>
        <v>16719.4984</v>
      </c>
      <c r="P908" s="51"/>
      <c r="Q908" s="51"/>
      <c r="R908" s="73">
        <f t="shared" si="501"/>
        <v>12186.6212686567</v>
      </c>
      <c r="S908" s="73"/>
      <c r="T908" s="74">
        <f t="shared" si="502"/>
        <v>35.5279384328358</v>
      </c>
      <c r="U908" s="74">
        <v>70</v>
      </c>
      <c r="V908" s="73"/>
      <c r="W908" s="73">
        <f t="shared" si="498"/>
        <v>12292.1492070896</v>
      </c>
      <c r="X908" s="75">
        <f t="shared" si="503"/>
        <v>223.697798507463</v>
      </c>
      <c r="Y908" s="75"/>
      <c r="Z908" s="75"/>
      <c r="AA908" s="75">
        <f t="shared" si="499"/>
        <v>223.697798507463</v>
      </c>
      <c r="AB908" s="84">
        <v>7.22</v>
      </c>
      <c r="AC908" s="73">
        <f t="shared" si="514"/>
        <v>1615.09810522388</v>
      </c>
      <c r="AD908" s="73">
        <f t="shared" si="515"/>
        <v>13907.2473123134</v>
      </c>
      <c r="AE908" s="73">
        <f t="shared" si="513"/>
        <v>2812.2510876866</v>
      </c>
    </row>
    <row r="909" customFormat="1" spans="1:31">
      <c r="A909" s="18"/>
      <c r="B909" s="19"/>
      <c r="C909" s="20">
        <v>240528000019</v>
      </c>
      <c r="D909" s="21">
        <v>45440</v>
      </c>
      <c r="E909" s="98" t="s">
        <v>47</v>
      </c>
      <c r="F909" s="19" t="s">
        <v>267</v>
      </c>
      <c r="G909" s="19" t="s">
        <v>268</v>
      </c>
      <c r="H909" s="19">
        <v>33.5</v>
      </c>
      <c r="I909" s="41">
        <v>4011</v>
      </c>
      <c r="J909" s="42"/>
      <c r="K909" s="44"/>
      <c r="L909" s="19"/>
      <c r="M909" s="44"/>
      <c r="N909" s="45"/>
      <c r="O909" s="46">
        <f t="shared" ref="O909:O916" si="516">SUM(I909)</f>
        <v>4011</v>
      </c>
      <c r="P909" s="53"/>
      <c r="Q909" s="53"/>
      <c r="R909" s="73">
        <f t="shared" si="501"/>
        <v>1372.275</v>
      </c>
      <c r="S909" s="73"/>
      <c r="T909" s="74">
        <f t="shared" si="502"/>
        <v>4.000625</v>
      </c>
      <c r="U909" s="73"/>
      <c r="V909" s="73"/>
      <c r="W909" s="73">
        <f t="shared" si="498"/>
        <v>1376.275625</v>
      </c>
      <c r="X909" s="75">
        <f t="shared" si="503"/>
        <v>25.1895</v>
      </c>
      <c r="Y909" s="75"/>
      <c r="Z909" s="75"/>
      <c r="AA909" s="75">
        <f t="shared" ref="AA909:AA950" si="517">SUM(X909:Z909)</f>
        <v>25.1895</v>
      </c>
      <c r="AB909" s="84">
        <v>7.22</v>
      </c>
      <c r="AC909" s="73">
        <f t="shared" si="514"/>
        <v>181.86819</v>
      </c>
      <c r="AD909" s="73">
        <f t="shared" si="515"/>
        <v>1558.143815</v>
      </c>
      <c r="AE909" s="73">
        <f t="shared" si="513"/>
        <v>2452.856185</v>
      </c>
    </row>
    <row r="910" customFormat="1" spans="1:31">
      <c r="A910" s="18" t="s">
        <v>550</v>
      </c>
      <c r="B910" s="19" t="s">
        <v>551</v>
      </c>
      <c r="C910" s="20">
        <v>240520000024</v>
      </c>
      <c r="D910" s="21">
        <v>45441</v>
      </c>
      <c r="E910" s="21" t="s">
        <v>44</v>
      </c>
      <c r="F910" s="19" t="s">
        <v>45</v>
      </c>
      <c r="G910" s="19" t="s">
        <v>320</v>
      </c>
      <c r="H910" s="19">
        <v>3</v>
      </c>
      <c r="I910" s="41">
        <v>244.5</v>
      </c>
      <c r="J910" s="42"/>
      <c r="K910" s="44"/>
      <c r="L910" s="19"/>
      <c r="M910" s="44"/>
      <c r="N910" s="119"/>
      <c r="O910" s="46">
        <f t="shared" si="516"/>
        <v>244.5</v>
      </c>
      <c r="P910" s="47">
        <f>SUM(O910:O949)</f>
        <v>69466.5322</v>
      </c>
      <c r="Q910" s="47" t="s">
        <v>59</v>
      </c>
      <c r="R910" s="73">
        <f>SUM(55379.2/1196)*H910</f>
        <v>138.911036789298</v>
      </c>
      <c r="S910" s="74">
        <f>SUM(80.35/1196)*H910</f>
        <v>0.201546822742475</v>
      </c>
      <c r="T910" s="74">
        <f>SUM(105/1196)*H910</f>
        <v>0.263377926421405</v>
      </c>
      <c r="U910" s="73">
        <v>30</v>
      </c>
      <c r="V910" s="73"/>
      <c r="W910" s="73">
        <f t="shared" ref="W910:W950" si="518">SUM(R910:V910)</f>
        <v>169.375961538462</v>
      </c>
      <c r="X910" s="75">
        <f>SUM(1109.95/1196)*H910</f>
        <v>2.78415551839465</v>
      </c>
      <c r="Y910" s="75"/>
      <c r="Z910" s="75"/>
      <c r="AA910" s="75">
        <f t="shared" si="517"/>
        <v>2.78415551839465</v>
      </c>
      <c r="AB910" s="84">
        <v>7.22</v>
      </c>
      <c r="AC910" s="73">
        <f t="shared" si="514"/>
        <v>20.1016028428094</v>
      </c>
      <c r="AD910" s="73">
        <f t="shared" si="515"/>
        <v>189.477564381271</v>
      </c>
      <c r="AE910" s="73">
        <f t="shared" si="513"/>
        <v>55.022435618729</v>
      </c>
    </row>
    <row r="911" customFormat="1" spans="1:31">
      <c r="A911" s="18"/>
      <c r="B911" s="19"/>
      <c r="C911" s="20">
        <v>240521000004</v>
      </c>
      <c r="D911" s="21">
        <v>45441</v>
      </c>
      <c r="E911" s="21" t="s">
        <v>37</v>
      </c>
      <c r="F911" s="19" t="s">
        <v>38</v>
      </c>
      <c r="G911" s="19" t="s">
        <v>552</v>
      </c>
      <c r="H911" s="19">
        <v>5.5</v>
      </c>
      <c r="I911" s="41">
        <v>454</v>
      </c>
      <c r="J911" s="42"/>
      <c r="K911" s="44"/>
      <c r="L911" s="19"/>
      <c r="M911" s="44"/>
      <c r="N911" s="119"/>
      <c r="O911" s="46">
        <f t="shared" si="516"/>
        <v>454</v>
      </c>
      <c r="P911" s="51"/>
      <c r="Q911" s="51"/>
      <c r="R911" s="73">
        <f t="shared" ref="R911:R949" si="519">SUM(55379.2/1196)*H911</f>
        <v>254.670234113712</v>
      </c>
      <c r="S911" s="74">
        <f t="shared" ref="S911:S949" si="520">SUM(80.35/1196)*H911</f>
        <v>0.369502508361204</v>
      </c>
      <c r="T911" s="74">
        <f t="shared" ref="T911:T949" si="521">SUM(105/1196)*H911</f>
        <v>0.482859531772575</v>
      </c>
      <c r="U911" s="73"/>
      <c r="V911" s="73"/>
      <c r="W911" s="73">
        <f t="shared" si="518"/>
        <v>255.522596153846</v>
      </c>
      <c r="X911" s="75">
        <f t="shared" ref="X911:X949" si="522">SUM(1109.95/1196)*H911</f>
        <v>5.10428511705686</v>
      </c>
      <c r="Y911" s="75"/>
      <c r="Z911" s="75"/>
      <c r="AA911" s="75">
        <f t="shared" si="517"/>
        <v>5.10428511705686</v>
      </c>
      <c r="AB911" s="84">
        <v>7.22</v>
      </c>
      <c r="AC911" s="73">
        <f t="shared" si="514"/>
        <v>36.8529385451505</v>
      </c>
      <c r="AD911" s="73">
        <f t="shared" si="515"/>
        <v>292.375534698997</v>
      </c>
      <c r="AE911" s="73">
        <f t="shared" si="513"/>
        <v>161.624465301003</v>
      </c>
    </row>
    <row r="912" customFormat="1" spans="1:31">
      <c r="A912" s="18"/>
      <c r="B912" s="19"/>
      <c r="C912" s="20">
        <v>240521000015</v>
      </c>
      <c r="D912" s="21">
        <v>45441</v>
      </c>
      <c r="E912" s="21" t="s">
        <v>44</v>
      </c>
      <c r="F912" s="19" t="s">
        <v>45</v>
      </c>
      <c r="G912" s="19" t="s">
        <v>329</v>
      </c>
      <c r="H912" s="19">
        <v>4.5</v>
      </c>
      <c r="I912" s="41">
        <v>290.4</v>
      </c>
      <c r="J912" s="42"/>
      <c r="K912" s="44"/>
      <c r="L912" s="19"/>
      <c r="M912" s="44"/>
      <c r="N912" s="119"/>
      <c r="O912" s="46">
        <f t="shared" si="516"/>
        <v>290.4</v>
      </c>
      <c r="P912" s="51"/>
      <c r="Q912" s="51"/>
      <c r="R912" s="73">
        <f t="shared" si="519"/>
        <v>208.366555183947</v>
      </c>
      <c r="S912" s="74">
        <f t="shared" si="520"/>
        <v>0.302320234113712</v>
      </c>
      <c r="T912" s="74">
        <f t="shared" si="521"/>
        <v>0.395066889632107</v>
      </c>
      <c r="U912" s="73"/>
      <c r="V912" s="73"/>
      <c r="W912" s="73">
        <f t="shared" si="518"/>
        <v>209.063942307692</v>
      </c>
      <c r="X912" s="75">
        <f t="shared" si="522"/>
        <v>4.17623327759197</v>
      </c>
      <c r="Y912" s="75"/>
      <c r="Z912" s="75"/>
      <c r="AA912" s="75">
        <f t="shared" si="517"/>
        <v>4.17623327759197</v>
      </c>
      <c r="AB912" s="84">
        <v>7.22</v>
      </c>
      <c r="AC912" s="73">
        <f t="shared" si="514"/>
        <v>30.152404264214</v>
      </c>
      <c r="AD912" s="73">
        <f t="shared" si="515"/>
        <v>239.216346571906</v>
      </c>
      <c r="AE912" s="73">
        <f t="shared" si="513"/>
        <v>51.1836534280936</v>
      </c>
    </row>
    <row r="913" customFormat="1" spans="1:31">
      <c r="A913" s="18"/>
      <c r="B913" s="19"/>
      <c r="C913" s="20">
        <v>240521000018</v>
      </c>
      <c r="D913" s="21">
        <v>45441</v>
      </c>
      <c r="E913" s="21" t="s">
        <v>41</v>
      </c>
      <c r="F913" s="19" t="s">
        <v>42</v>
      </c>
      <c r="G913" s="19" t="s">
        <v>553</v>
      </c>
      <c r="H913" s="19">
        <v>1.5</v>
      </c>
      <c r="I913" s="41">
        <v>158.4</v>
      </c>
      <c r="J913" s="42"/>
      <c r="K913" s="44"/>
      <c r="L913" s="19"/>
      <c r="M913" s="44"/>
      <c r="N913" s="119"/>
      <c r="O913" s="46">
        <f t="shared" si="516"/>
        <v>158.4</v>
      </c>
      <c r="P913" s="51"/>
      <c r="Q913" s="51"/>
      <c r="R913" s="73">
        <f t="shared" si="519"/>
        <v>69.4555183946488</v>
      </c>
      <c r="S913" s="74">
        <f t="shared" si="520"/>
        <v>0.100773411371237</v>
      </c>
      <c r="T913" s="74">
        <f t="shared" si="521"/>
        <v>0.131688963210702</v>
      </c>
      <c r="U913" s="73"/>
      <c r="V913" s="73"/>
      <c r="W913" s="73">
        <f t="shared" si="518"/>
        <v>69.6879807692308</v>
      </c>
      <c r="X913" s="75">
        <f t="shared" si="522"/>
        <v>1.39207775919732</v>
      </c>
      <c r="Y913" s="75"/>
      <c r="Z913" s="75"/>
      <c r="AA913" s="75">
        <f t="shared" si="517"/>
        <v>1.39207775919732</v>
      </c>
      <c r="AB913" s="84">
        <v>7.22</v>
      </c>
      <c r="AC913" s="73">
        <f t="shared" si="514"/>
        <v>10.0508014214047</v>
      </c>
      <c r="AD913" s="73">
        <f t="shared" si="515"/>
        <v>79.7387821906355</v>
      </c>
      <c r="AE913" s="73">
        <f t="shared" si="513"/>
        <v>78.6612178093645</v>
      </c>
    </row>
    <row r="914" customFormat="1" spans="1:31">
      <c r="A914" s="18"/>
      <c r="B914" s="19"/>
      <c r="C914" s="20">
        <v>240521000042</v>
      </c>
      <c r="D914" s="21">
        <v>45441</v>
      </c>
      <c r="E914" s="21" t="s">
        <v>44</v>
      </c>
      <c r="F914" s="19" t="s">
        <v>45</v>
      </c>
      <c r="G914" s="19" t="s">
        <v>554</v>
      </c>
      <c r="H914" s="19">
        <v>3.5</v>
      </c>
      <c r="I914" s="41">
        <v>226.6</v>
      </c>
      <c r="J914" s="42"/>
      <c r="K914" s="44"/>
      <c r="L914" s="19"/>
      <c r="M914" s="44"/>
      <c r="N914" s="119"/>
      <c r="O914" s="46">
        <f t="shared" si="516"/>
        <v>226.6</v>
      </c>
      <c r="P914" s="51"/>
      <c r="Q914" s="51"/>
      <c r="R914" s="73">
        <f t="shared" si="519"/>
        <v>162.062876254181</v>
      </c>
      <c r="S914" s="74">
        <f t="shared" si="520"/>
        <v>0.235137959866221</v>
      </c>
      <c r="T914" s="74">
        <f t="shared" si="521"/>
        <v>0.307274247491639</v>
      </c>
      <c r="U914" s="73"/>
      <c r="V914" s="73"/>
      <c r="W914" s="73">
        <f t="shared" si="518"/>
        <v>162.605288461538</v>
      </c>
      <c r="X914" s="75">
        <f t="shared" si="522"/>
        <v>3.24818143812709</v>
      </c>
      <c r="Y914" s="75"/>
      <c r="Z914" s="75"/>
      <c r="AA914" s="75">
        <f t="shared" si="517"/>
        <v>3.24818143812709</v>
      </c>
      <c r="AB914" s="84">
        <v>7.22</v>
      </c>
      <c r="AC914" s="73">
        <f t="shared" si="514"/>
        <v>23.4518699832776</v>
      </c>
      <c r="AD914" s="73">
        <f t="shared" si="515"/>
        <v>186.057158444816</v>
      </c>
      <c r="AE914" s="73">
        <f t="shared" si="513"/>
        <v>40.5428415551839</v>
      </c>
    </row>
    <row r="915" customFormat="1" spans="1:31">
      <c r="A915" s="18"/>
      <c r="B915" s="19"/>
      <c r="C915" s="20">
        <v>240521000045</v>
      </c>
      <c r="D915" s="21">
        <v>45441</v>
      </c>
      <c r="E915" s="21" t="s">
        <v>44</v>
      </c>
      <c r="F915" s="19" t="s">
        <v>45</v>
      </c>
      <c r="G915" s="19" t="s">
        <v>555</v>
      </c>
      <c r="H915" s="19">
        <v>40</v>
      </c>
      <c r="I915" s="41">
        <v>2340</v>
      </c>
      <c r="J915" s="42"/>
      <c r="K915" s="44"/>
      <c r="L915" s="19"/>
      <c r="M915" s="44"/>
      <c r="N915" s="119"/>
      <c r="O915" s="46">
        <f t="shared" si="516"/>
        <v>2340</v>
      </c>
      <c r="P915" s="51"/>
      <c r="Q915" s="51"/>
      <c r="R915" s="73">
        <f t="shared" si="519"/>
        <v>1852.14715719064</v>
      </c>
      <c r="S915" s="74">
        <f t="shared" si="520"/>
        <v>2.68729096989967</v>
      </c>
      <c r="T915" s="74">
        <f t="shared" si="521"/>
        <v>3.51170568561873</v>
      </c>
      <c r="U915" s="73"/>
      <c r="V915" s="73"/>
      <c r="W915" s="73">
        <f t="shared" si="518"/>
        <v>1858.34615384615</v>
      </c>
      <c r="X915" s="75">
        <f t="shared" si="522"/>
        <v>37.1220735785953</v>
      </c>
      <c r="Y915" s="75"/>
      <c r="Z915" s="75"/>
      <c r="AA915" s="75">
        <f t="shared" si="517"/>
        <v>37.1220735785953</v>
      </c>
      <c r="AB915" s="84">
        <v>7.22</v>
      </c>
      <c r="AC915" s="73">
        <f t="shared" si="514"/>
        <v>268.021371237458</v>
      </c>
      <c r="AD915" s="73">
        <f t="shared" si="515"/>
        <v>2126.36752508361</v>
      </c>
      <c r="AE915" s="73">
        <f t="shared" si="513"/>
        <v>213.632474916388</v>
      </c>
    </row>
    <row r="916" customFormat="1" spans="1:31">
      <c r="A916" s="18"/>
      <c r="B916" s="19"/>
      <c r="C916" s="20">
        <v>240522000011</v>
      </c>
      <c r="D916" s="21">
        <v>45441</v>
      </c>
      <c r="E916" s="21" t="s">
        <v>44</v>
      </c>
      <c r="F916" s="19" t="s">
        <v>45</v>
      </c>
      <c r="G916" s="19" t="s">
        <v>233</v>
      </c>
      <c r="H916" s="19">
        <v>3.5</v>
      </c>
      <c r="I916" s="41">
        <v>249.7</v>
      </c>
      <c r="J916" s="42"/>
      <c r="K916" s="44"/>
      <c r="L916" s="19"/>
      <c r="M916" s="44"/>
      <c r="N916" s="119"/>
      <c r="O916" s="46">
        <f t="shared" si="516"/>
        <v>249.7</v>
      </c>
      <c r="P916" s="51"/>
      <c r="Q916" s="51"/>
      <c r="R916" s="73">
        <f t="shared" si="519"/>
        <v>162.062876254181</v>
      </c>
      <c r="S916" s="74">
        <f t="shared" si="520"/>
        <v>0.235137959866221</v>
      </c>
      <c r="T916" s="74">
        <f t="shared" si="521"/>
        <v>0.307274247491639</v>
      </c>
      <c r="U916" s="73"/>
      <c r="V916" s="73"/>
      <c r="W916" s="73">
        <f t="shared" si="518"/>
        <v>162.605288461538</v>
      </c>
      <c r="X916" s="75">
        <f t="shared" si="522"/>
        <v>3.24818143812709</v>
      </c>
      <c r="Y916" s="75"/>
      <c r="Z916" s="75"/>
      <c r="AA916" s="75">
        <f t="shared" si="517"/>
        <v>3.24818143812709</v>
      </c>
      <c r="AB916" s="84">
        <v>7.22</v>
      </c>
      <c r="AC916" s="73">
        <f t="shared" si="514"/>
        <v>23.4518699832776</v>
      </c>
      <c r="AD916" s="73">
        <f t="shared" si="515"/>
        <v>186.057158444816</v>
      </c>
      <c r="AE916" s="73">
        <f t="shared" si="513"/>
        <v>63.6428415551839</v>
      </c>
    </row>
    <row r="917" customFormat="1" spans="1:31">
      <c r="A917" s="18"/>
      <c r="B917" s="19"/>
      <c r="C917" s="20">
        <v>240522000014</v>
      </c>
      <c r="D917" s="21">
        <v>45441</v>
      </c>
      <c r="E917" s="21" t="s">
        <v>47</v>
      </c>
      <c r="F917" s="19" t="s">
        <v>48</v>
      </c>
      <c r="G917" s="19" t="s">
        <v>347</v>
      </c>
      <c r="H917" s="19">
        <v>5</v>
      </c>
      <c r="I917" s="46"/>
      <c r="J917" s="48">
        <v>66200</v>
      </c>
      <c r="K917" s="19"/>
      <c r="L917" s="49">
        <f>SUM(J917/M917)</f>
        <v>1467.84922394678</v>
      </c>
      <c r="M917" s="50">
        <v>45.1</v>
      </c>
      <c r="N917" s="45">
        <v>7.22</v>
      </c>
      <c r="O917" s="46">
        <f>SUM(M917*N917)</f>
        <v>325.622</v>
      </c>
      <c r="P917" s="51"/>
      <c r="Q917" s="51"/>
      <c r="R917" s="73">
        <f t="shared" si="519"/>
        <v>231.518394648829</v>
      </c>
      <c r="S917" s="74">
        <f t="shared" si="520"/>
        <v>0.335911371237458</v>
      </c>
      <c r="T917" s="74">
        <f t="shared" si="521"/>
        <v>0.438963210702341</v>
      </c>
      <c r="U917" s="73"/>
      <c r="V917" s="73"/>
      <c r="W917" s="73">
        <f t="shared" si="518"/>
        <v>232.293269230769</v>
      </c>
      <c r="X917" s="75">
        <f t="shared" si="522"/>
        <v>4.64025919732441</v>
      </c>
      <c r="Y917" s="75"/>
      <c r="Z917" s="75"/>
      <c r="AA917" s="75">
        <f t="shared" si="517"/>
        <v>4.64025919732441</v>
      </c>
      <c r="AB917" s="84">
        <v>7.22</v>
      </c>
      <c r="AC917" s="73">
        <f t="shared" si="514"/>
        <v>33.5026714046823</v>
      </c>
      <c r="AD917" s="73">
        <f t="shared" si="515"/>
        <v>265.795940635452</v>
      </c>
      <c r="AE917" s="73">
        <f t="shared" si="513"/>
        <v>59.8260593645485</v>
      </c>
    </row>
    <row r="918" customFormat="1" spans="1:31">
      <c r="A918" s="18"/>
      <c r="B918" s="19"/>
      <c r="C918" s="20">
        <v>240522000016</v>
      </c>
      <c r="D918" s="21">
        <v>45441</v>
      </c>
      <c r="E918" s="21" t="s">
        <v>47</v>
      </c>
      <c r="F918" s="19" t="s">
        <v>48</v>
      </c>
      <c r="G918" s="19" t="s">
        <v>363</v>
      </c>
      <c r="H918" s="19">
        <v>17</v>
      </c>
      <c r="I918" s="52"/>
      <c r="J918" s="48">
        <v>209814</v>
      </c>
      <c r="K918" s="44"/>
      <c r="L918" s="49">
        <f t="shared" ref="L917:L920" si="523">SUM(J918/M918)</f>
        <v>1472.89575289575</v>
      </c>
      <c r="M918" s="50">
        <v>142.45</v>
      </c>
      <c r="N918" s="119">
        <v>7.22</v>
      </c>
      <c r="O918" s="46">
        <f t="shared" ref="O917:O920" si="524">SUM(M918*N918)</f>
        <v>1028.489</v>
      </c>
      <c r="P918" s="51"/>
      <c r="Q918" s="51"/>
      <c r="R918" s="73">
        <f t="shared" si="519"/>
        <v>787.16254180602</v>
      </c>
      <c r="S918" s="74">
        <f t="shared" si="520"/>
        <v>1.14209866220736</v>
      </c>
      <c r="T918" s="74">
        <f t="shared" si="521"/>
        <v>1.49247491638796</v>
      </c>
      <c r="U918" s="73"/>
      <c r="V918" s="73"/>
      <c r="W918" s="73">
        <f t="shared" si="518"/>
        <v>789.797115384615</v>
      </c>
      <c r="X918" s="75">
        <f t="shared" si="522"/>
        <v>15.776881270903</v>
      </c>
      <c r="Y918" s="75"/>
      <c r="Z918" s="75"/>
      <c r="AA918" s="75">
        <f t="shared" si="517"/>
        <v>15.776881270903</v>
      </c>
      <c r="AB918" s="84">
        <v>7.22</v>
      </c>
      <c r="AC918" s="73">
        <f t="shared" si="514"/>
        <v>113.90908277592</v>
      </c>
      <c r="AD918" s="73">
        <f t="shared" si="515"/>
        <v>903.706198160535</v>
      </c>
      <c r="AE918" s="73">
        <f t="shared" si="513"/>
        <v>124.782801839465</v>
      </c>
    </row>
    <row r="919" customFormat="1" spans="1:31">
      <c r="A919" s="18"/>
      <c r="B919" s="19"/>
      <c r="C919" s="20">
        <v>240522000021</v>
      </c>
      <c r="D919" s="21">
        <v>45441</v>
      </c>
      <c r="E919" s="21" t="s">
        <v>44</v>
      </c>
      <c r="F919" s="19" t="s">
        <v>45</v>
      </c>
      <c r="G919" s="19" t="s">
        <v>556</v>
      </c>
      <c r="H919" s="19">
        <v>9</v>
      </c>
      <c r="I919" s="41">
        <v>504</v>
      </c>
      <c r="J919" s="42"/>
      <c r="K919" s="44"/>
      <c r="L919" s="19"/>
      <c r="M919" s="44"/>
      <c r="N919" s="119"/>
      <c r="O919" s="46">
        <f t="shared" ref="O919:O924" si="525">SUM(I919)</f>
        <v>504</v>
      </c>
      <c r="P919" s="51"/>
      <c r="Q919" s="51"/>
      <c r="R919" s="73">
        <f t="shared" si="519"/>
        <v>416.733110367893</v>
      </c>
      <c r="S919" s="74">
        <f t="shared" si="520"/>
        <v>0.604640468227425</v>
      </c>
      <c r="T919" s="74">
        <f t="shared" si="521"/>
        <v>0.790133779264214</v>
      </c>
      <c r="U919" s="73"/>
      <c r="V919" s="73"/>
      <c r="W919" s="73">
        <f t="shared" si="518"/>
        <v>418.127884615385</v>
      </c>
      <c r="X919" s="75">
        <f t="shared" si="522"/>
        <v>8.35246655518395</v>
      </c>
      <c r="Y919" s="75"/>
      <c r="Z919" s="75"/>
      <c r="AA919" s="75">
        <f t="shared" si="517"/>
        <v>8.35246655518395</v>
      </c>
      <c r="AB919" s="84">
        <v>7.22</v>
      </c>
      <c r="AC919" s="73">
        <f t="shared" si="514"/>
        <v>60.3048085284281</v>
      </c>
      <c r="AD919" s="73">
        <f t="shared" si="515"/>
        <v>478.432693143813</v>
      </c>
      <c r="AE919" s="73">
        <f t="shared" si="513"/>
        <v>25.5673068561872</v>
      </c>
    </row>
    <row r="920" customFormat="1" spans="1:31">
      <c r="A920" s="18"/>
      <c r="B920" s="19"/>
      <c r="C920" s="20">
        <v>240522000022</v>
      </c>
      <c r="D920" s="21">
        <v>45441</v>
      </c>
      <c r="E920" s="21" t="s">
        <v>44</v>
      </c>
      <c r="F920" s="19" t="s">
        <v>45</v>
      </c>
      <c r="G920" s="19" t="s">
        <v>63</v>
      </c>
      <c r="H920" s="19">
        <v>8.5</v>
      </c>
      <c r="I920" s="52"/>
      <c r="J920" s="48">
        <v>108336.8</v>
      </c>
      <c r="K920" s="44"/>
      <c r="L920" s="49">
        <f t="shared" si="523"/>
        <v>1501.96589491196</v>
      </c>
      <c r="M920" s="50">
        <v>72.13</v>
      </c>
      <c r="N920" s="119">
        <v>7.22</v>
      </c>
      <c r="O920" s="46">
        <f t="shared" si="524"/>
        <v>520.7786</v>
      </c>
      <c r="P920" s="51"/>
      <c r="Q920" s="51"/>
      <c r="R920" s="73">
        <f t="shared" si="519"/>
        <v>393.58127090301</v>
      </c>
      <c r="S920" s="74">
        <f t="shared" si="520"/>
        <v>0.571049331103679</v>
      </c>
      <c r="T920" s="74">
        <f t="shared" si="521"/>
        <v>0.74623745819398</v>
      </c>
      <c r="U920" s="73"/>
      <c r="V920" s="73"/>
      <c r="W920" s="73">
        <f t="shared" si="518"/>
        <v>394.898557692308</v>
      </c>
      <c r="X920" s="75">
        <f t="shared" si="522"/>
        <v>7.88844063545151</v>
      </c>
      <c r="Y920" s="75"/>
      <c r="Z920" s="75"/>
      <c r="AA920" s="75">
        <f t="shared" si="517"/>
        <v>7.88844063545151</v>
      </c>
      <c r="AB920" s="84">
        <v>7.22</v>
      </c>
      <c r="AC920" s="73">
        <f t="shared" si="514"/>
        <v>56.9545413879599</v>
      </c>
      <c r="AD920" s="73">
        <f t="shared" si="515"/>
        <v>451.853099080268</v>
      </c>
      <c r="AE920" s="73">
        <f t="shared" si="513"/>
        <v>68.9255009197324</v>
      </c>
    </row>
    <row r="921" customFormat="1" spans="1:31">
      <c r="A921" s="18"/>
      <c r="B921" s="19"/>
      <c r="C921" s="20">
        <v>240522000029</v>
      </c>
      <c r="D921" s="21">
        <v>45441</v>
      </c>
      <c r="E921" s="21" t="s">
        <v>41</v>
      </c>
      <c r="F921" s="19" t="s">
        <v>42</v>
      </c>
      <c r="G921" s="19" t="s">
        <v>557</v>
      </c>
      <c r="H921" s="19">
        <v>24</v>
      </c>
      <c r="I921" s="41">
        <v>1440</v>
      </c>
      <c r="J921" s="42"/>
      <c r="K921" s="44"/>
      <c r="L921" s="19"/>
      <c r="M921" s="44"/>
      <c r="N921" s="119"/>
      <c r="O921" s="46">
        <f t="shared" si="525"/>
        <v>1440</v>
      </c>
      <c r="P921" s="51"/>
      <c r="Q921" s="51"/>
      <c r="R921" s="73">
        <f t="shared" si="519"/>
        <v>1111.28829431438</v>
      </c>
      <c r="S921" s="74">
        <f t="shared" si="520"/>
        <v>1.6123745819398</v>
      </c>
      <c r="T921" s="74">
        <f t="shared" si="521"/>
        <v>2.10702341137124</v>
      </c>
      <c r="U921" s="73"/>
      <c r="V921" s="73"/>
      <c r="W921" s="73">
        <f t="shared" si="518"/>
        <v>1115.00769230769</v>
      </c>
      <c r="X921" s="75">
        <f t="shared" si="522"/>
        <v>22.2732441471572</v>
      </c>
      <c r="Y921" s="75"/>
      <c r="Z921" s="75"/>
      <c r="AA921" s="75">
        <f t="shared" si="517"/>
        <v>22.2732441471572</v>
      </c>
      <c r="AB921" s="84">
        <v>7.22</v>
      </c>
      <c r="AC921" s="73">
        <f t="shared" si="514"/>
        <v>160.812822742475</v>
      </c>
      <c r="AD921" s="73">
        <f t="shared" si="515"/>
        <v>1275.82051505017</v>
      </c>
      <c r="AE921" s="73">
        <f t="shared" si="513"/>
        <v>164.179484949833</v>
      </c>
    </row>
    <row r="922" customFormat="1" spans="1:31">
      <c r="A922" s="18"/>
      <c r="B922" s="19"/>
      <c r="C922" s="20">
        <v>240523000002</v>
      </c>
      <c r="D922" s="21">
        <v>45441</v>
      </c>
      <c r="E922" s="21" t="s">
        <v>41</v>
      </c>
      <c r="F922" s="19" t="s">
        <v>42</v>
      </c>
      <c r="G922" s="19" t="s">
        <v>370</v>
      </c>
      <c r="H922" s="19">
        <v>15</v>
      </c>
      <c r="I922" s="52"/>
      <c r="J922" s="48">
        <v>195615</v>
      </c>
      <c r="K922" s="44"/>
      <c r="L922" s="49">
        <f>SUM(J922/M922)</f>
        <v>1494.61338630807</v>
      </c>
      <c r="M922" s="50">
        <v>130.88</v>
      </c>
      <c r="N922" s="119">
        <v>7.22</v>
      </c>
      <c r="O922" s="46">
        <f>SUM(M922*N922)</f>
        <v>944.9536</v>
      </c>
      <c r="P922" s="51"/>
      <c r="Q922" s="51"/>
      <c r="R922" s="73">
        <f t="shared" si="519"/>
        <v>694.555183946488</v>
      </c>
      <c r="S922" s="74">
        <f t="shared" si="520"/>
        <v>1.00773411371237</v>
      </c>
      <c r="T922" s="74">
        <f t="shared" si="521"/>
        <v>1.31688963210702</v>
      </c>
      <c r="U922" s="73"/>
      <c r="V922" s="73"/>
      <c r="W922" s="73">
        <f t="shared" si="518"/>
        <v>696.879807692308</v>
      </c>
      <c r="X922" s="75">
        <f t="shared" si="522"/>
        <v>13.9207775919732</v>
      </c>
      <c r="Y922" s="75"/>
      <c r="Z922" s="75"/>
      <c r="AA922" s="75">
        <f t="shared" si="517"/>
        <v>13.9207775919732</v>
      </c>
      <c r="AB922" s="84">
        <v>7.22</v>
      </c>
      <c r="AC922" s="73">
        <f t="shared" si="514"/>
        <v>100.508014214047</v>
      </c>
      <c r="AD922" s="73">
        <f t="shared" si="515"/>
        <v>797.387821906355</v>
      </c>
      <c r="AE922" s="73">
        <f t="shared" si="513"/>
        <v>147.565778093645</v>
      </c>
    </row>
    <row r="923" customFormat="1" spans="1:31">
      <c r="A923" s="18"/>
      <c r="B923" s="19"/>
      <c r="C923" s="20">
        <v>240523000007</v>
      </c>
      <c r="D923" s="21">
        <v>45441</v>
      </c>
      <c r="E923" s="21" t="s">
        <v>47</v>
      </c>
      <c r="F923" s="19" t="s">
        <v>48</v>
      </c>
      <c r="G923" s="19" t="s">
        <v>558</v>
      </c>
      <c r="H923" s="19">
        <v>1.5</v>
      </c>
      <c r="I923" s="41">
        <v>106.5</v>
      </c>
      <c r="J923" s="42"/>
      <c r="K923" s="44"/>
      <c r="L923" s="19"/>
      <c r="M923" s="44"/>
      <c r="N923" s="119"/>
      <c r="O923" s="46">
        <f t="shared" si="525"/>
        <v>106.5</v>
      </c>
      <c r="P923" s="51"/>
      <c r="Q923" s="51"/>
      <c r="R923" s="73">
        <f t="shared" si="519"/>
        <v>69.4555183946488</v>
      </c>
      <c r="S923" s="74">
        <f t="shared" si="520"/>
        <v>0.100773411371237</v>
      </c>
      <c r="T923" s="74">
        <f t="shared" si="521"/>
        <v>0.131688963210702</v>
      </c>
      <c r="U923" s="73"/>
      <c r="V923" s="73"/>
      <c r="W923" s="73">
        <f t="shared" si="518"/>
        <v>69.6879807692308</v>
      </c>
      <c r="X923" s="75">
        <f t="shared" si="522"/>
        <v>1.39207775919732</v>
      </c>
      <c r="Y923" s="75"/>
      <c r="Z923" s="75"/>
      <c r="AA923" s="75">
        <f t="shared" si="517"/>
        <v>1.39207775919732</v>
      </c>
      <c r="AB923" s="84">
        <v>7.22</v>
      </c>
      <c r="AC923" s="73">
        <f t="shared" si="514"/>
        <v>10.0508014214047</v>
      </c>
      <c r="AD923" s="73">
        <f t="shared" si="515"/>
        <v>79.7387821906355</v>
      </c>
      <c r="AE923" s="73">
        <f t="shared" si="513"/>
        <v>26.7612178093645</v>
      </c>
    </row>
    <row r="924" customFormat="1" spans="1:31">
      <c r="A924" s="18"/>
      <c r="B924" s="19"/>
      <c r="C924" s="20">
        <v>240523000015</v>
      </c>
      <c r="D924" s="21">
        <v>45441</v>
      </c>
      <c r="E924" s="21" t="s">
        <v>44</v>
      </c>
      <c r="F924" s="19" t="s">
        <v>45</v>
      </c>
      <c r="G924" s="19" t="s">
        <v>559</v>
      </c>
      <c r="H924" s="19">
        <v>4</v>
      </c>
      <c r="I924" s="41">
        <v>288.5</v>
      </c>
      <c r="J924" s="42"/>
      <c r="K924" s="44"/>
      <c r="L924" s="19"/>
      <c r="M924" s="44"/>
      <c r="N924" s="119"/>
      <c r="O924" s="46">
        <f t="shared" si="525"/>
        <v>288.5</v>
      </c>
      <c r="P924" s="51"/>
      <c r="Q924" s="51"/>
      <c r="R924" s="73">
        <f t="shared" si="519"/>
        <v>185.214715719064</v>
      </c>
      <c r="S924" s="74">
        <f t="shared" si="520"/>
        <v>0.268729096989967</v>
      </c>
      <c r="T924" s="74">
        <f t="shared" si="521"/>
        <v>0.351170568561873</v>
      </c>
      <c r="U924" s="73">
        <v>30</v>
      </c>
      <c r="V924" s="73"/>
      <c r="W924" s="73">
        <f t="shared" si="518"/>
        <v>215.834615384615</v>
      </c>
      <c r="X924" s="75">
        <f t="shared" si="522"/>
        <v>3.71220735785953</v>
      </c>
      <c r="Y924" s="75"/>
      <c r="Z924" s="75"/>
      <c r="AA924" s="75">
        <f t="shared" si="517"/>
        <v>3.71220735785953</v>
      </c>
      <c r="AB924" s="84">
        <v>7.22</v>
      </c>
      <c r="AC924" s="73">
        <f t="shared" si="514"/>
        <v>26.8021371237458</v>
      </c>
      <c r="AD924" s="73">
        <f t="shared" si="515"/>
        <v>242.636752508361</v>
      </c>
      <c r="AE924" s="73">
        <f t="shared" si="513"/>
        <v>45.8632474916388</v>
      </c>
    </row>
    <row r="925" customFormat="1" spans="1:31">
      <c r="A925" s="18"/>
      <c r="B925" s="19"/>
      <c r="C925" s="20">
        <v>240523000018</v>
      </c>
      <c r="D925" s="21">
        <v>45441</v>
      </c>
      <c r="E925" s="21" t="s">
        <v>47</v>
      </c>
      <c r="F925" s="19" t="s">
        <v>48</v>
      </c>
      <c r="G925" s="19" t="s">
        <v>560</v>
      </c>
      <c r="H925" s="19">
        <v>2.5</v>
      </c>
      <c r="I925" s="46"/>
      <c r="J925" s="48">
        <v>42645.4</v>
      </c>
      <c r="K925" s="44"/>
      <c r="L925" s="49">
        <f>SUM(J925/M925)</f>
        <v>1468</v>
      </c>
      <c r="M925" s="50">
        <v>29.05</v>
      </c>
      <c r="N925" s="119">
        <v>7.22</v>
      </c>
      <c r="O925" s="46">
        <f>SUM(M925*N925)</f>
        <v>209.741</v>
      </c>
      <c r="P925" s="51"/>
      <c r="Q925" s="51"/>
      <c r="R925" s="73">
        <f t="shared" si="519"/>
        <v>115.759197324415</v>
      </c>
      <c r="S925" s="74">
        <f t="shared" si="520"/>
        <v>0.167955685618729</v>
      </c>
      <c r="T925" s="74">
        <f t="shared" si="521"/>
        <v>0.219481605351171</v>
      </c>
      <c r="U925" s="73"/>
      <c r="V925" s="73"/>
      <c r="W925" s="73">
        <f t="shared" si="518"/>
        <v>116.146634615385</v>
      </c>
      <c r="X925" s="75">
        <f t="shared" si="522"/>
        <v>2.32012959866221</v>
      </c>
      <c r="Y925" s="75"/>
      <c r="Z925" s="75"/>
      <c r="AA925" s="75">
        <f t="shared" si="517"/>
        <v>2.32012959866221</v>
      </c>
      <c r="AB925" s="84">
        <v>7.22</v>
      </c>
      <c r="AC925" s="73">
        <f t="shared" si="514"/>
        <v>16.7513357023411</v>
      </c>
      <c r="AD925" s="73">
        <f t="shared" si="515"/>
        <v>132.897970317726</v>
      </c>
      <c r="AE925" s="73">
        <f t="shared" si="513"/>
        <v>76.8430296822742</v>
      </c>
    </row>
    <row r="926" customFormat="1" spans="1:31">
      <c r="A926" s="18"/>
      <c r="B926" s="19"/>
      <c r="C926" s="20">
        <v>240523000019</v>
      </c>
      <c r="D926" s="21">
        <v>45441</v>
      </c>
      <c r="E926" s="21" t="s">
        <v>44</v>
      </c>
      <c r="F926" s="19" t="s">
        <v>45</v>
      </c>
      <c r="G926" s="19" t="s">
        <v>316</v>
      </c>
      <c r="H926" s="19">
        <v>28.5</v>
      </c>
      <c r="I926" s="41">
        <v>1865</v>
      </c>
      <c r="J926" s="42"/>
      <c r="K926" s="44"/>
      <c r="L926" s="19"/>
      <c r="M926" s="44"/>
      <c r="N926" s="119"/>
      <c r="O926" s="46">
        <f t="shared" ref="O926:O929" si="526">SUM(I926)</f>
        <v>1865</v>
      </c>
      <c r="P926" s="51"/>
      <c r="Q926" s="51"/>
      <c r="R926" s="73">
        <f t="shared" si="519"/>
        <v>1319.65484949833</v>
      </c>
      <c r="S926" s="74">
        <f t="shared" si="520"/>
        <v>1.91469481605351</v>
      </c>
      <c r="T926" s="74">
        <f t="shared" si="521"/>
        <v>2.50209030100334</v>
      </c>
      <c r="U926" s="73">
        <v>60</v>
      </c>
      <c r="V926" s="73"/>
      <c r="W926" s="73">
        <f t="shared" si="518"/>
        <v>1384.07163461538</v>
      </c>
      <c r="X926" s="75">
        <f t="shared" si="522"/>
        <v>26.4494774247492</v>
      </c>
      <c r="Y926" s="75"/>
      <c r="Z926" s="75"/>
      <c r="AA926" s="75">
        <f t="shared" si="517"/>
        <v>26.4494774247492</v>
      </c>
      <c r="AB926" s="84">
        <v>7.22</v>
      </c>
      <c r="AC926" s="73">
        <f t="shared" si="514"/>
        <v>190.965227006689</v>
      </c>
      <c r="AD926" s="73">
        <f t="shared" si="515"/>
        <v>1575.03686162207</v>
      </c>
      <c r="AE926" s="73">
        <f t="shared" si="513"/>
        <v>289.963138377926</v>
      </c>
    </row>
    <row r="927" customFormat="1" spans="1:31">
      <c r="A927" s="18"/>
      <c r="B927" s="19"/>
      <c r="C927" s="20">
        <v>240523000021</v>
      </c>
      <c r="D927" s="21">
        <v>45441</v>
      </c>
      <c r="E927" s="21" t="s">
        <v>64</v>
      </c>
      <c r="F927" s="19" t="s">
        <v>65</v>
      </c>
      <c r="G927" s="19" t="s">
        <v>561</v>
      </c>
      <c r="H927" s="19">
        <v>21</v>
      </c>
      <c r="I927" s="41">
        <v>1233.1</v>
      </c>
      <c r="J927" s="42"/>
      <c r="K927" s="44"/>
      <c r="L927" s="19"/>
      <c r="M927" s="44"/>
      <c r="N927" s="119"/>
      <c r="O927" s="46">
        <f t="shared" si="526"/>
        <v>1233.1</v>
      </c>
      <c r="P927" s="51"/>
      <c r="Q927" s="51"/>
      <c r="R927" s="73">
        <f t="shared" si="519"/>
        <v>972.377257525084</v>
      </c>
      <c r="S927" s="74">
        <f t="shared" si="520"/>
        <v>1.41082775919732</v>
      </c>
      <c r="T927" s="74">
        <f t="shared" si="521"/>
        <v>1.84364548494983</v>
      </c>
      <c r="U927" s="73"/>
      <c r="V927" s="73"/>
      <c r="W927" s="73">
        <f t="shared" si="518"/>
        <v>975.631730769231</v>
      </c>
      <c r="X927" s="75">
        <f t="shared" si="522"/>
        <v>19.4890886287625</v>
      </c>
      <c r="Y927" s="75"/>
      <c r="Z927" s="75"/>
      <c r="AA927" s="75">
        <f t="shared" si="517"/>
        <v>19.4890886287625</v>
      </c>
      <c r="AB927" s="84">
        <v>7.22</v>
      </c>
      <c r="AC927" s="73">
        <f t="shared" si="514"/>
        <v>140.711219899666</v>
      </c>
      <c r="AD927" s="73">
        <f t="shared" si="515"/>
        <v>1116.3429506689</v>
      </c>
      <c r="AE927" s="73">
        <f t="shared" si="513"/>
        <v>116.757049331103</v>
      </c>
    </row>
    <row r="928" customFormat="1" spans="1:31">
      <c r="A928" s="18"/>
      <c r="B928" s="19"/>
      <c r="C928" s="20">
        <v>240523000023</v>
      </c>
      <c r="D928" s="21">
        <v>45441</v>
      </c>
      <c r="E928" s="21" t="s">
        <v>44</v>
      </c>
      <c r="F928" s="19" t="s">
        <v>45</v>
      </c>
      <c r="G928" s="19" t="s">
        <v>367</v>
      </c>
      <c r="H928" s="19">
        <v>3.5</v>
      </c>
      <c r="I928" s="90">
        <v>118</v>
      </c>
      <c r="J928" s="42"/>
      <c r="K928" s="44"/>
      <c r="L928" s="19"/>
      <c r="M928" s="44"/>
      <c r="N928" s="119"/>
      <c r="O928" s="46">
        <f>SUBTOTAL(9,I928)</f>
        <v>118</v>
      </c>
      <c r="P928" s="51"/>
      <c r="Q928" s="51"/>
      <c r="R928" s="73">
        <f t="shared" si="519"/>
        <v>162.062876254181</v>
      </c>
      <c r="S928" s="74">
        <f t="shared" si="520"/>
        <v>0.235137959866221</v>
      </c>
      <c r="T928" s="74">
        <f t="shared" si="521"/>
        <v>0.307274247491639</v>
      </c>
      <c r="U928" s="73"/>
      <c r="V928" s="73"/>
      <c r="W928" s="73">
        <f t="shared" si="518"/>
        <v>162.605288461538</v>
      </c>
      <c r="X928" s="75">
        <f t="shared" si="522"/>
        <v>3.24818143812709</v>
      </c>
      <c r="Y928" s="75"/>
      <c r="Z928" s="75"/>
      <c r="AA928" s="75">
        <f t="shared" si="517"/>
        <v>3.24818143812709</v>
      </c>
      <c r="AB928" s="84">
        <v>7.22</v>
      </c>
      <c r="AC928" s="73">
        <f t="shared" si="514"/>
        <v>23.4518699832776</v>
      </c>
      <c r="AD928" s="73">
        <f t="shared" si="515"/>
        <v>186.057158444816</v>
      </c>
      <c r="AE928" s="73">
        <f t="shared" si="513"/>
        <v>-68.057158444816</v>
      </c>
    </row>
    <row r="929" customFormat="1" spans="1:31">
      <c r="A929" s="18"/>
      <c r="B929" s="19"/>
      <c r="C929" s="20">
        <v>240523000024</v>
      </c>
      <c r="D929" s="21">
        <v>45441</v>
      </c>
      <c r="E929" s="21" t="s">
        <v>44</v>
      </c>
      <c r="F929" s="19" t="s">
        <v>45</v>
      </c>
      <c r="G929" s="19" t="s">
        <v>562</v>
      </c>
      <c r="H929" s="19">
        <v>94.5</v>
      </c>
      <c r="I929" s="41">
        <v>6615</v>
      </c>
      <c r="J929" s="42"/>
      <c r="K929" s="44"/>
      <c r="L929" s="19"/>
      <c r="M929" s="44"/>
      <c r="N929" s="119"/>
      <c r="O929" s="46">
        <f t="shared" si="526"/>
        <v>6615</v>
      </c>
      <c r="P929" s="51"/>
      <c r="Q929" s="51"/>
      <c r="R929" s="73">
        <f t="shared" si="519"/>
        <v>4375.69765886288</v>
      </c>
      <c r="S929" s="74">
        <f t="shared" si="520"/>
        <v>6.34872491638796</v>
      </c>
      <c r="T929" s="74">
        <f t="shared" si="521"/>
        <v>8.29640468227425</v>
      </c>
      <c r="U929" s="73"/>
      <c r="V929" s="73"/>
      <c r="W929" s="73">
        <f t="shared" si="518"/>
        <v>4390.34278846154</v>
      </c>
      <c r="X929" s="75">
        <f t="shared" si="522"/>
        <v>87.7008988294314</v>
      </c>
      <c r="Y929" s="75"/>
      <c r="Z929" s="75"/>
      <c r="AA929" s="75">
        <f t="shared" si="517"/>
        <v>87.7008988294314</v>
      </c>
      <c r="AB929" s="84">
        <v>7.22</v>
      </c>
      <c r="AC929" s="73">
        <f t="shared" si="514"/>
        <v>633.200489548495</v>
      </c>
      <c r="AD929" s="73">
        <f t="shared" si="515"/>
        <v>5023.54327801003</v>
      </c>
      <c r="AE929" s="73">
        <f t="shared" si="513"/>
        <v>1591.45672198997</v>
      </c>
    </row>
    <row r="930" customFormat="1" spans="1:31">
      <c r="A930" s="18"/>
      <c r="B930" s="19"/>
      <c r="C930" s="20">
        <v>240523000029</v>
      </c>
      <c r="D930" s="21">
        <v>45441</v>
      </c>
      <c r="E930" s="21" t="s">
        <v>157</v>
      </c>
      <c r="F930" s="19" t="s">
        <v>239</v>
      </c>
      <c r="G930" s="19" t="s">
        <v>346</v>
      </c>
      <c r="H930" s="19">
        <v>10</v>
      </c>
      <c r="I930" s="46"/>
      <c r="J930" s="48">
        <v>168820</v>
      </c>
      <c r="K930" s="44"/>
      <c r="L930" s="49">
        <f>SUM(J930/M930)</f>
        <v>1548.2391782832</v>
      </c>
      <c r="M930" s="50">
        <v>109.04</v>
      </c>
      <c r="N930" s="119">
        <v>7.22</v>
      </c>
      <c r="O930" s="46">
        <f>SUM(M930*N930)</f>
        <v>787.2688</v>
      </c>
      <c r="P930" s="51"/>
      <c r="Q930" s="51"/>
      <c r="R930" s="73">
        <f t="shared" si="519"/>
        <v>463.036789297659</v>
      </c>
      <c r="S930" s="74">
        <f t="shared" si="520"/>
        <v>0.671822742474916</v>
      </c>
      <c r="T930" s="74">
        <f t="shared" si="521"/>
        <v>0.877926421404682</v>
      </c>
      <c r="U930" s="73"/>
      <c r="V930" s="73"/>
      <c r="W930" s="73">
        <f t="shared" si="518"/>
        <v>464.586538461539</v>
      </c>
      <c r="X930" s="75">
        <f t="shared" si="522"/>
        <v>9.28051839464883</v>
      </c>
      <c r="Y930" s="75"/>
      <c r="Z930" s="75"/>
      <c r="AA930" s="75">
        <f t="shared" si="517"/>
        <v>9.28051839464883</v>
      </c>
      <c r="AB930" s="84">
        <v>7.22</v>
      </c>
      <c r="AC930" s="73">
        <f t="shared" si="514"/>
        <v>67.0053428093645</v>
      </c>
      <c r="AD930" s="73">
        <f t="shared" si="515"/>
        <v>531.591881270903</v>
      </c>
      <c r="AE930" s="73">
        <f t="shared" si="513"/>
        <v>255.676918729097</v>
      </c>
    </row>
    <row r="931" customFormat="1" spans="1:31">
      <c r="A931" s="18"/>
      <c r="B931" s="19"/>
      <c r="C931" s="22">
        <v>240524000001</v>
      </c>
      <c r="D931" s="23">
        <v>45441</v>
      </c>
      <c r="E931" s="21" t="s">
        <v>37</v>
      </c>
      <c r="F931" s="24" t="s">
        <v>38</v>
      </c>
      <c r="G931" s="24" t="s">
        <v>295</v>
      </c>
      <c r="H931" s="24">
        <v>1.5</v>
      </c>
      <c r="I931" s="41">
        <v>108</v>
      </c>
      <c r="J931" s="42"/>
      <c r="K931" s="44"/>
      <c r="L931" s="19"/>
      <c r="M931" s="44"/>
      <c r="N931" s="119"/>
      <c r="O931" s="46">
        <f t="shared" ref="O931:O934" si="527">SUM(I931)</f>
        <v>108</v>
      </c>
      <c r="P931" s="51"/>
      <c r="Q931" s="51"/>
      <c r="R931" s="73">
        <f t="shared" si="519"/>
        <v>69.4555183946488</v>
      </c>
      <c r="S931" s="74">
        <f t="shared" si="520"/>
        <v>0.100773411371237</v>
      </c>
      <c r="T931" s="74">
        <f t="shared" si="521"/>
        <v>0.131688963210702</v>
      </c>
      <c r="U931" s="73"/>
      <c r="V931" s="73"/>
      <c r="W931" s="73">
        <f t="shared" si="518"/>
        <v>69.6879807692308</v>
      </c>
      <c r="X931" s="75">
        <f t="shared" si="522"/>
        <v>1.39207775919732</v>
      </c>
      <c r="Y931" s="75"/>
      <c r="Z931" s="75"/>
      <c r="AA931" s="75">
        <f t="shared" si="517"/>
        <v>1.39207775919732</v>
      </c>
      <c r="AB931" s="84">
        <v>7.22</v>
      </c>
      <c r="AC931" s="73">
        <f t="shared" si="514"/>
        <v>10.0508014214047</v>
      </c>
      <c r="AD931" s="73">
        <f t="shared" si="515"/>
        <v>79.7387821906355</v>
      </c>
      <c r="AE931" s="73">
        <f t="shared" si="513"/>
        <v>28.2612178093645</v>
      </c>
    </row>
    <row r="932" customFormat="1" spans="1:31">
      <c r="A932" s="18"/>
      <c r="B932" s="19"/>
      <c r="C932" s="20">
        <v>240524000002</v>
      </c>
      <c r="D932" s="21">
        <v>45441</v>
      </c>
      <c r="E932" s="21" t="s">
        <v>37</v>
      </c>
      <c r="F932" s="19" t="s">
        <v>38</v>
      </c>
      <c r="G932" s="19" t="s">
        <v>295</v>
      </c>
      <c r="H932" s="19">
        <v>7</v>
      </c>
      <c r="I932" s="41">
        <v>476</v>
      </c>
      <c r="J932" s="42"/>
      <c r="K932" s="44"/>
      <c r="L932" s="19"/>
      <c r="M932" s="44"/>
      <c r="N932" s="119"/>
      <c r="O932" s="46">
        <f t="shared" si="527"/>
        <v>476</v>
      </c>
      <c r="P932" s="51"/>
      <c r="Q932" s="51"/>
      <c r="R932" s="73">
        <f t="shared" si="519"/>
        <v>324.125752508361</v>
      </c>
      <c r="S932" s="74">
        <f t="shared" si="520"/>
        <v>0.470275919732441</v>
      </c>
      <c r="T932" s="74">
        <f t="shared" si="521"/>
        <v>0.614548494983278</v>
      </c>
      <c r="U932" s="73"/>
      <c r="V932" s="73"/>
      <c r="W932" s="73">
        <f t="shared" si="518"/>
        <v>325.210576923077</v>
      </c>
      <c r="X932" s="75">
        <f t="shared" si="522"/>
        <v>6.49636287625418</v>
      </c>
      <c r="Y932" s="75"/>
      <c r="Z932" s="75"/>
      <c r="AA932" s="75">
        <f t="shared" si="517"/>
        <v>6.49636287625418</v>
      </c>
      <c r="AB932" s="84">
        <v>7.22</v>
      </c>
      <c r="AC932" s="73">
        <f t="shared" si="514"/>
        <v>46.9037399665552</v>
      </c>
      <c r="AD932" s="73">
        <f t="shared" si="515"/>
        <v>372.114316889632</v>
      </c>
      <c r="AE932" s="73">
        <f t="shared" si="513"/>
        <v>103.885683110368</v>
      </c>
    </row>
    <row r="933" customFormat="1" spans="1:31">
      <c r="A933" s="18"/>
      <c r="B933" s="19"/>
      <c r="C933" s="20">
        <v>240524000006</v>
      </c>
      <c r="D933" s="21">
        <v>45441</v>
      </c>
      <c r="E933" s="21" t="s">
        <v>37</v>
      </c>
      <c r="F933" s="19" t="s">
        <v>38</v>
      </c>
      <c r="G933" s="19" t="s">
        <v>89</v>
      </c>
      <c r="H933" s="19">
        <v>17</v>
      </c>
      <c r="I933" s="41">
        <v>1564</v>
      </c>
      <c r="J933" s="42"/>
      <c r="K933" s="44"/>
      <c r="L933" s="19"/>
      <c r="M933" s="44"/>
      <c r="N933" s="119"/>
      <c r="O933" s="46">
        <f t="shared" si="527"/>
        <v>1564</v>
      </c>
      <c r="P933" s="51"/>
      <c r="Q933" s="51"/>
      <c r="R933" s="73">
        <f t="shared" si="519"/>
        <v>787.16254180602</v>
      </c>
      <c r="S933" s="74">
        <f t="shared" si="520"/>
        <v>1.14209866220736</v>
      </c>
      <c r="T933" s="74">
        <f t="shared" si="521"/>
        <v>1.49247491638796</v>
      </c>
      <c r="U933" s="73"/>
      <c r="V933" s="73"/>
      <c r="W933" s="73">
        <f t="shared" si="518"/>
        <v>789.797115384615</v>
      </c>
      <c r="X933" s="75">
        <f t="shared" si="522"/>
        <v>15.776881270903</v>
      </c>
      <c r="Y933" s="75"/>
      <c r="Z933" s="75"/>
      <c r="AA933" s="75">
        <f t="shared" si="517"/>
        <v>15.776881270903</v>
      </c>
      <c r="AB933" s="84">
        <v>7.22</v>
      </c>
      <c r="AC933" s="73">
        <f t="shared" si="514"/>
        <v>113.90908277592</v>
      </c>
      <c r="AD933" s="73">
        <f t="shared" si="515"/>
        <v>903.706198160535</v>
      </c>
      <c r="AE933" s="73">
        <f t="shared" si="513"/>
        <v>660.293801839465</v>
      </c>
    </row>
    <row r="934" customFormat="1" spans="1:31">
      <c r="A934" s="18"/>
      <c r="B934" s="19"/>
      <c r="C934" s="20">
        <v>240524000009</v>
      </c>
      <c r="D934" s="21">
        <v>45441</v>
      </c>
      <c r="E934" s="21" t="s">
        <v>54</v>
      </c>
      <c r="F934" s="19" t="s">
        <v>54</v>
      </c>
      <c r="G934" s="19" t="s">
        <v>90</v>
      </c>
      <c r="H934" s="19">
        <v>185</v>
      </c>
      <c r="I934" s="41">
        <v>9739</v>
      </c>
      <c r="J934" s="42"/>
      <c r="K934" s="44"/>
      <c r="L934" s="19"/>
      <c r="M934" s="44"/>
      <c r="N934" s="119"/>
      <c r="O934" s="46">
        <f t="shared" si="527"/>
        <v>9739</v>
      </c>
      <c r="P934" s="51"/>
      <c r="Q934" s="51"/>
      <c r="R934" s="73">
        <f t="shared" si="519"/>
        <v>8566.18060200669</v>
      </c>
      <c r="S934" s="74">
        <f t="shared" si="520"/>
        <v>12.428720735786</v>
      </c>
      <c r="T934" s="74">
        <f t="shared" si="521"/>
        <v>16.2416387959866</v>
      </c>
      <c r="U934" s="73"/>
      <c r="V934" s="73"/>
      <c r="W934" s="73">
        <f t="shared" si="518"/>
        <v>8594.85096153846</v>
      </c>
      <c r="X934" s="75">
        <f t="shared" si="522"/>
        <v>171.689590301003</v>
      </c>
      <c r="Y934" s="75"/>
      <c r="Z934" s="75"/>
      <c r="AA934" s="75">
        <f t="shared" si="517"/>
        <v>171.689590301003</v>
      </c>
      <c r="AB934" s="84">
        <v>7.22</v>
      </c>
      <c r="AC934" s="73">
        <f t="shared" si="514"/>
        <v>1239.59884197324</v>
      </c>
      <c r="AD934" s="73">
        <f t="shared" si="515"/>
        <v>9834.44980351171</v>
      </c>
      <c r="AE934" s="73">
        <f t="shared" si="513"/>
        <v>-95.4498035117067</v>
      </c>
    </row>
    <row r="935" customFormat="1" spans="1:31">
      <c r="A935" s="18"/>
      <c r="B935" s="19"/>
      <c r="C935" s="20">
        <v>240524000016</v>
      </c>
      <c r="D935" s="21">
        <v>45441</v>
      </c>
      <c r="E935" s="21" t="s">
        <v>44</v>
      </c>
      <c r="F935" s="19" t="s">
        <v>45</v>
      </c>
      <c r="G935" s="19" t="s">
        <v>423</v>
      </c>
      <c r="H935" s="19">
        <v>12</v>
      </c>
      <c r="I935" s="52"/>
      <c r="J935" s="48">
        <v>164796</v>
      </c>
      <c r="K935" s="44"/>
      <c r="L935" s="49">
        <f>SUM(J935/M935)</f>
        <v>1465.76536511607</v>
      </c>
      <c r="M935" s="50">
        <v>112.43</v>
      </c>
      <c r="N935" s="119">
        <v>7.22</v>
      </c>
      <c r="O935" s="46">
        <f>SUM(M935*N935)</f>
        <v>811.7446</v>
      </c>
      <c r="P935" s="51"/>
      <c r="Q935" s="51"/>
      <c r="R935" s="73">
        <f t="shared" si="519"/>
        <v>555.644147157191</v>
      </c>
      <c r="S935" s="74">
        <f t="shared" si="520"/>
        <v>0.8061872909699</v>
      </c>
      <c r="T935" s="74">
        <f t="shared" si="521"/>
        <v>1.05351170568562</v>
      </c>
      <c r="U935" s="73"/>
      <c r="V935" s="73"/>
      <c r="W935" s="73">
        <f t="shared" si="518"/>
        <v>557.503846153846</v>
      </c>
      <c r="X935" s="75">
        <f t="shared" si="522"/>
        <v>11.1366220735786</v>
      </c>
      <c r="Y935" s="75"/>
      <c r="Z935" s="75"/>
      <c r="AA935" s="75">
        <f t="shared" si="517"/>
        <v>11.1366220735786</v>
      </c>
      <c r="AB935" s="84">
        <v>7.22</v>
      </c>
      <c r="AC935" s="73">
        <f t="shared" si="514"/>
        <v>80.4064113712375</v>
      </c>
      <c r="AD935" s="73">
        <f t="shared" si="515"/>
        <v>637.910257525084</v>
      </c>
      <c r="AE935" s="73">
        <f t="shared" si="513"/>
        <v>173.834342474916</v>
      </c>
    </row>
    <row r="936" customFormat="1" spans="1:31">
      <c r="A936" s="18"/>
      <c r="B936" s="19"/>
      <c r="C936" s="20">
        <v>240524000024</v>
      </c>
      <c r="D936" s="21">
        <v>45441</v>
      </c>
      <c r="E936" s="21" t="s">
        <v>44</v>
      </c>
      <c r="F936" s="19" t="s">
        <v>45</v>
      </c>
      <c r="G936" s="19" t="s">
        <v>563</v>
      </c>
      <c r="H936" s="19">
        <v>2.5</v>
      </c>
      <c r="I936" s="41">
        <v>207.2</v>
      </c>
      <c r="J936" s="42"/>
      <c r="K936" s="44"/>
      <c r="L936" s="19"/>
      <c r="M936" s="44"/>
      <c r="N936" s="119"/>
      <c r="O936" s="46">
        <f t="shared" ref="O936:O944" si="528">SUM(I936)</f>
        <v>207.2</v>
      </c>
      <c r="P936" s="51"/>
      <c r="Q936" s="51"/>
      <c r="R936" s="73">
        <f t="shared" si="519"/>
        <v>115.759197324415</v>
      </c>
      <c r="S936" s="74">
        <f t="shared" si="520"/>
        <v>0.167955685618729</v>
      </c>
      <c r="T936" s="74">
        <f t="shared" si="521"/>
        <v>0.219481605351171</v>
      </c>
      <c r="U936" s="73"/>
      <c r="V936" s="73"/>
      <c r="W936" s="73">
        <f t="shared" si="518"/>
        <v>116.146634615385</v>
      </c>
      <c r="X936" s="75">
        <f t="shared" si="522"/>
        <v>2.32012959866221</v>
      </c>
      <c r="Y936" s="75"/>
      <c r="Z936" s="75"/>
      <c r="AA936" s="75">
        <f t="shared" si="517"/>
        <v>2.32012959866221</v>
      </c>
      <c r="AB936" s="84">
        <v>7.22</v>
      </c>
      <c r="AC936" s="73">
        <f t="shared" si="514"/>
        <v>16.7513357023411</v>
      </c>
      <c r="AD936" s="73">
        <f t="shared" si="515"/>
        <v>132.897970317726</v>
      </c>
      <c r="AE936" s="73">
        <f t="shared" si="513"/>
        <v>74.3020296822742</v>
      </c>
    </row>
    <row r="937" customFormat="1" spans="1:31">
      <c r="A937" s="18"/>
      <c r="B937" s="19"/>
      <c r="C937" s="20">
        <v>240524000028</v>
      </c>
      <c r="D937" s="21">
        <v>45441</v>
      </c>
      <c r="E937" s="21" t="s">
        <v>41</v>
      </c>
      <c r="F937" s="19" t="s">
        <v>42</v>
      </c>
      <c r="G937" s="19" t="s">
        <v>372</v>
      </c>
      <c r="H937" s="19">
        <v>8.5</v>
      </c>
      <c r="I937" s="41">
        <v>765</v>
      </c>
      <c r="J937" s="42"/>
      <c r="K937" s="44"/>
      <c r="L937" s="19"/>
      <c r="M937" s="44"/>
      <c r="N937" s="119"/>
      <c r="O937" s="46">
        <f t="shared" si="528"/>
        <v>765</v>
      </c>
      <c r="P937" s="51"/>
      <c r="Q937" s="51"/>
      <c r="R937" s="73">
        <f t="shared" si="519"/>
        <v>393.58127090301</v>
      </c>
      <c r="S937" s="74">
        <f t="shared" si="520"/>
        <v>0.571049331103679</v>
      </c>
      <c r="T937" s="74">
        <f t="shared" si="521"/>
        <v>0.74623745819398</v>
      </c>
      <c r="U937" s="73"/>
      <c r="V937" s="73"/>
      <c r="W937" s="73">
        <f t="shared" si="518"/>
        <v>394.898557692308</v>
      </c>
      <c r="X937" s="75">
        <f t="shared" si="522"/>
        <v>7.88844063545151</v>
      </c>
      <c r="Y937" s="75"/>
      <c r="Z937" s="75"/>
      <c r="AA937" s="75">
        <f t="shared" si="517"/>
        <v>7.88844063545151</v>
      </c>
      <c r="AB937" s="84">
        <v>7.22</v>
      </c>
      <c r="AC937" s="73">
        <f t="shared" si="514"/>
        <v>56.9545413879599</v>
      </c>
      <c r="AD937" s="73">
        <f t="shared" si="515"/>
        <v>451.853099080268</v>
      </c>
      <c r="AE937" s="73">
        <f t="shared" si="513"/>
        <v>313.146900919732</v>
      </c>
    </row>
    <row r="938" customFormat="1" spans="1:31">
      <c r="A938" s="18"/>
      <c r="B938" s="19"/>
      <c r="C938" s="20">
        <v>240524000030</v>
      </c>
      <c r="D938" s="21">
        <v>45441</v>
      </c>
      <c r="E938" s="21" t="s">
        <v>41</v>
      </c>
      <c r="F938" s="19" t="s">
        <v>42</v>
      </c>
      <c r="G938" s="19" t="s">
        <v>167</v>
      </c>
      <c r="H938" s="19">
        <v>5.5</v>
      </c>
      <c r="I938" s="41">
        <v>560</v>
      </c>
      <c r="J938" s="42"/>
      <c r="K938" s="44"/>
      <c r="L938" s="19"/>
      <c r="M938" s="44"/>
      <c r="N938" s="119"/>
      <c r="O938" s="46">
        <f t="shared" si="528"/>
        <v>560</v>
      </c>
      <c r="P938" s="51"/>
      <c r="Q938" s="51"/>
      <c r="R938" s="73">
        <f t="shared" si="519"/>
        <v>254.670234113712</v>
      </c>
      <c r="S938" s="74">
        <f t="shared" si="520"/>
        <v>0.369502508361204</v>
      </c>
      <c r="T938" s="74">
        <f t="shared" si="521"/>
        <v>0.482859531772575</v>
      </c>
      <c r="U938" s="73"/>
      <c r="V938" s="73"/>
      <c r="W938" s="73">
        <f t="shared" si="518"/>
        <v>255.522596153846</v>
      </c>
      <c r="X938" s="75">
        <f t="shared" si="522"/>
        <v>5.10428511705686</v>
      </c>
      <c r="Y938" s="75"/>
      <c r="Z938" s="75"/>
      <c r="AA938" s="75">
        <f t="shared" si="517"/>
        <v>5.10428511705686</v>
      </c>
      <c r="AB938" s="84">
        <v>7.22</v>
      </c>
      <c r="AC938" s="73">
        <f t="shared" si="514"/>
        <v>36.8529385451505</v>
      </c>
      <c r="AD938" s="73">
        <f t="shared" si="515"/>
        <v>292.375534698997</v>
      </c>
      <c r="AE938" s="73">
        <f t="shared" si="513"/>
        <v>267.624465301003</v>
      </c>
    </row>
    <row r="939" customFormat="1" spans="1:31">
      <c r="A939" s="18"/>
      <c r="B939" s="19"/>
      <c r="C939" s="20">
        <v>240524000031</v>
      </c>
      <c r="D939" s="21">
        <v>45441</v>
      </c>
      <c r="E939" s="21" t="s">
        <v>41</v>
      </c>
      <c r="F939" s="19" t="s">
        <v>42</v>
      </c>
      <c r="G939" s="19" t="s">
        <v>149</v>
      </c>
      <c r="H939" s="19">
        <v>33.5</v>
      </c>
      <c r="I939" s="41">
        <v>1943</v>
      </c>
      <c r="J939" s="42"/>
      <c r="K939" s="44"/>
      <c r="L939" s="19"/>
      <c r="M939" s="44"/>
      <c r="N939" s="119"/>
      <c r="O939" s="46">
        <f t="shared" si="528"/>
        <v>1943</v>
      </c>
      <c r="P939" s="51"/>
      <c r="Q939" s="51"/>
      <c r="R939" s="73">
        <f t="shared" si="519"/>
        <v>1551.17324414716</v>
      </c>
      <c r="S939" s="74">
        <f t="shared" si="520"/>
        <v>2.25060618729097</v>
      </c>
      <c r="T939" s="74">
        <f t="shared" si="521"/>
        <v>2.94105351170569</v>
      </c>
      <c r="U939" s="73"/>
      <c r="V939" s="73"/>
      <c r="W939" s="73">
        <f t="shared" si="518"/>
        <v>1556.36490384615</v>
      </c>
      <c r="X939" s="75">
        <f t="shared" si="522"/>
        <v>31.0897366220736</v>
      </c>
      <c r="Y939" s="75"/>
      <c r="Z939" s="75"/>
      <c r="AA939" s="75">
        <f t="shared" si="517"/>
        <v>31.0897366220736</v>
      </c>
      <c r="AB939" s="84">
        <v>7.22</v>
      </c>
      <c r="AC939" s="73">
        <f t="shared" si="514"/>
        <v>224.467898411371</v>
      </c>
      <c r="AD939" s="73">
        <f t="shared" si="515"/>
        <v>1780.83280225752</v>
      </c>
      <c r="AE939" s="73">
        <f t="shared" si="513"/>
        <v>162.167197742475</v>
      </c>
    </row>
    <row r="940" customFormat="1" spans="1:31">
      <c r="A940" s="18"/>
      <c r="B940" s="19"/>
      <c r="C940" s="20">
        <v>240524000036</v>
      </c>
      <c r="D940" s="21">
        <v>45441</v>
      </c>
      <c r="E940" s="21" t="s">
        <v>41</v>
      </c>
      <c r="F940" s="19" t="s">
        <v>42</v>
      </c>
      <c r="G940" s="19" t="s">
        <v>564</v>
      </c>
      <c r="H940" s="19">
        <v>4</v>
      </c>
      <c r="I940" s="52"/>
      <c r="J940" s="48">
        <v>52200</v>
      </c>
      <c r="K940" s="44"/>
      <c r="L940" s="49">
        <f>SUM(J940/M940)</f>
        <v>1624.64985994398</v>
      </c>
      <c r="M940" s="50">
        <v>32.13</v>
      </c>
      <c r="N940" s="123">
        <v>7.22</v>
      </c>
      <c r="O940" s="46">
        <f>SUM(M940*N940)</f>
        <v>231.9786</v>
      </c>
      <c r="P940" s="51"/>
      <c r="Q940" s="51"/>
      <c r="R940" s="73">
        <f t="shared" si="519"/>
        <v>185.214715719064</v>
      </c>
      <c r="S940" s="74">
        <f t="shared" si="520"/>
        <v>0.268729096989967</v>
      </c>
      <c r="T940" s="74">
        <f t="shared" si="521"/>
        <v>0.351170568561873</v>
      </c>
      <c r="U940" s="73"/>
      <c r="V940" s="73"/>
      <c r="W940" s="73">
        <f t="shared" si="518"/>
        <v>185.834615384615</v>
      </c>
      <c r="X940" s="75">
        <f t="shared" si="522"/>
        <v>3.71220735785953</v>
      </c>
      <c r="Y940" s="75"/>
      <c r="Z940" s="75"/>
      <c r="AA940" s="75">
        <f t="shared" si="517"/>
        <v>3.71220735785953</v>
      </c>
      <c r="AB940" s="84">
        <v>7.22</v>
      </c>
      <c r="AC940" s="73">
        <f t="shared" si="514"/>
        <v>26.8021371237458</v>
      </c>
      <c r="AD940" s="73">
        <f t="shared" si="515"/>
        <v>212.636752508361</v>
      </c>
      <c r="AE940" s="73">
        <f t="shared" si="513"/>
        <v>19.3418474916388</v>
      </c>
    </row>
    <row r="941" customFormat="1" spans="1:31">
      <c r="A941" s="18"/>
      <c r="B941" s="19"/>
      <c r="C941" s="20">
        <v>240524000038</v>
      </c>
      <c r="D941" s="21">
        <v>45441</v>
      </c>
      <c r="E941" s="21" t="s">
        <v>44</v>
      </c>
      <c r="F941" s="19" t="s">
        <v>127</v>
      </c>
      <c r="G941" s="19" t="s">
        <v>128</v>
      </c>
      <c r="H941" s="19">
        <v>16.5</v>
      </c>
      <c r="I941" s="41">
        <v>1278.9</v>
      </c>
      <c r="J941" s="42"/>
      <c r="K941" s="44"/>
      <c r="L941" s="19"/>
      <c r="M941" s="44"/>
      <c r="N941" s="119"/>
      <c r="O941" s="46">
        <f t="shared" si="528"/>
        <v>1278.9</v>
      </c>
      <c r="P941" s="51"/>
      <c r="Q941" s="51"/>
      <c r="R941" s="73">
        <f t="shared" si="519"/>
        <v>764.010702341137</v>
      </c>
      <c r="S941" s="74">
        <f t="shared" si="520"/>
        <v>1.10850752508361</v>
      </c>
      <c r="T941" s="74">
        <f t="shared" si="521"/>
        <v>1.44857859531773</v>
      </c>
      <c r="U941" s="73"/>
      <c r="V941" s="73"/>
      <c r="W941" s="73">
        <f t="shared" si="518"/>
        <v>766.567788461539</v>
      </c>
      <c r="X941" s="75">
        <f t="shared" si="522"/>
        <v>15.3128553511706</v>
      </c>
      <c r="Y941" s="75"/>
      <c r="Z941" s="75"/>
      <c r="AA941" s="75">
        <f t="shared" si="517"/>
        <v>15.3128553511706</v>
      </c>
      <c r="AB941" s="84">
        <v>7.22</v>
      </c>
      <c r="AC941" s="73">
        <f t="shared" si="514"/>
        <v>110.558815635452</v>
      </c>
      <c r="AD941" s="73">
        <f t="shared" si="515"/>
        <v>877.12660409699</v>
      </c>
      <c r="AE941" s="73">
        <f t="shared" si="513"/>
        <v>401.77339590301</v>
      </c>
    </row>
    <row r="942" customFormat="1" spans="1:31">
      <c r="A942" s="18"/>
      <c r="B942" s="19"/>
      <c r="C942" s="20">
        <v>240524000039</v>
      </c>
      <c r="D942" s="21">
        <v>45441</v>
      </c>
      <c r="E942" s="21" t="s">
        <v>41</v>
      </c>
      <c r="F942" s="19" t="s">
        <v>42</v>
      </c>
      <c r="G942" s="19" t="s">
        <v>156</v>
      </c>
      <c r="H942" s="19">
        <v>11.5</v>
      </c>
      <c r="I942" s="41">
        <v>632.5</v>
      </c>
      <c r="J942" s="42"/>
      <c r="K942" s="44"/>
      <c r="L942" s="19"/>
      <c r="M942" s="44"/>
      <c r="N942" s="119"/>
      <c r="O942" s="46">
        <f t="shared" si="528"/>
        <v>632.5</v>
      </c>
      <c r="P942" s="51"/>
      <c r="Q942" s="51"/>
      <c r="R942" s="73">
        <f t="shared" si="519"/>
        <v>532.492307692308</v>
      </c>
      <c r="S942" s="74">
        <f t="shared" si="520"/>
        <v>0.772596153846154</v>
      </c>
      <c r="T942" s="74">
        <f t="shared" si="521"/>
        <v>1.00961538461538</v>
      </c>
      <c r="U942" s="73"/>
      <c r="V942" s="73"/>
      <c r="W942" s="73">
        <f t="shared" si="518"/>
        <v>534.274519230769</v>
      </c>
      <c r="X942" s="75">
        <f t="shared" si="522"/>
        <v>10.6725961538462</v>
      </c>
      <c r="Y942" s="75"/>
      <c r="Z942" s="75"/>
      <c r="AA942" s="75">
        <f t="shared" si="517"/>
        <v>10.6725961538462</v>
      </c>
      <c r="AB942" s="84">
        <v>7.22</v>
      </c>
      <c r="AC942" s="73">
        <f t="shared" si="514"/>
        <v>77.0561442307692</v>
      </c>
      <c r="AD942" s="73">
        <f t="shared" si="515"/>
        <v>611.330663461539</v>
      </c>
      <c r="AE942" s="73">
        <f t="shared" si="513"/>
        <v>21.1693365384615</v>
      </c>
    </row>
    <row r="943" customFormat="1" spans="1:31">
      <c r="A943" s="18"/>
      <c r="B943" s="19"/>
      <c r="C943" s="20">
        <v>240524000045</v>
      </c>
      <c r="D943" s="21">
        <v>45441</v>
      </c>
      <c r="E943" s="21" t="s">
        <v>41</v>
      </c>
      <c r="F943" s="19" t="s">
        <v>42</v>
      </c>
      <c r="G943" s="19" t="s">
        <v>459</v>
      </c>
      <c r="H943" s="19">
        <v>10</v>
      </c>
      <c r="I943" s="41">
        <v>611.6</v>
      </c>
      <c r="J943" s="42"/>
      <c r="K943" s="44"/>
      <c r="L943" s="19"/>
      <c r="M943" s="44"/>
      <c r="N943" s="119"/>
      <c r="O943" s="46">
        <f t="shared" si="528"/>
        <v>611.6</v>
      </c>
      <c r="P943" s="51"/>
      <c r="Q943" s="51"/>
      <c r="R943" s="73">
        <f t="shared" si="519"/>
        <v>463.036789297659</v>
      </c>
      <c r="S943" s="74">
        <f t="shared" si="520"/>
        <v>0.671822742474916</v>
      </c>
      <c r="T943" s="74">
        <f t="shared" si="521"/>
        <v>0.877926421404682</v>
      </c>
      <c r="U943" s="73"/>
      <c r="V943" s="73"/>
      <c r="W943" s="73">
        <f t="shared" si="518"/>
        <v>464.586538461539</v>
      </c>
      <c r="X943" s="75">
        <f t="shared" si="522"/>
        <v>9.28051839464883</v>
      </c>
      <c r="Y943" s="75"/>
      <c r="Z943" s="75"/>
      <c r="AA943" s="75">
        <f t="shared" si="517"/>
        <v>9.28051839464883</v>
      </c>
      <c r="AB943" s="84">
        <v>7.22</v>
      </c>
      <c r="AC943" s="73">
        <f t="shared" si="514"/>
        <v>67.0053428093645</v>
      </c>
      <c r="AD943" s="73">
        <f t="shared" si="515"/>
        <v>531.591881270903</v>
      </c>
      <c r="AE943" s="73">
        <f t="shared" si="513"/>
        <v>80.008118729097</v>
      </c>
    </row>
    <row r="944" customFormat="1" spans="1:31">
      <c r="A944" s="18"/>
      <c r="B944" s="19"/>
      <c r="C944" s="20">
        <v>240524000046</v>
      </c>
      <c r="D944" s="21">
        <v>45441</v>
      </c>
      <c r="E944" s="21" t="s">
        <v>41</v>
      </c>
      <c r="F944" s="19" t="s">
        <v>42</v>
      </c>
      <c r="G944" s="19" t="s">
        <v>565</v>
      </c>
      <c r="H944" s="19">
        <v>28</v>
      </c>
      <c r="I944" s="41">
        <v>1778</v>
      </c>
      <c r="J944" s="42"/>
      <c r="K944" s="44"/>
      <c r="L944" s="19"/>
      <c r="M944" s="44"/>
      <c r="N944" s="119"/>
      <c r="O944" s="46">
        <f t="shared" si="528"/>
        <v>1778</v>
      </c>
      <c r="P944" s="51"/>
      <c r="Q944" s="51"/>
      <c r="R944" s="73">
        <f t="shared" si="519"/>
        <v>1296.50301003344</v>
      </c>
      <c r="S944" s="74">
        <f t="shared" si="520"/>
        <v>1.88110367892977</v>
      </c>
      <c r="T944" s="74">
        <f t="shared" si="521"/>
        <v>2.45819397993311</v>
      </c>
      <c r="U944" s="73"/>
      <c r="V944" s="73"/>
      <c r="W944" s="73">
        <f t="shared" si="518"/>
        <v>1300.84230769231</v>
      </c>
      <c r="X944" s="75">
        <f t="shared" si="522"/>
        <v>25.9854515050167</v>
      </c>
      <c r="Y944" s="75"/>
      <c r="Z944" s="75"/>
      <c r="AA944" s="75">
        <f t="shared" si="517"/>
        <v>25.9854515050167</v>
      </c>
      <c r="AB944" s="84">
        <v>7.22</v>
      </c>
      <c r="AC944" s="73">
        <f t="shared" si="514"/>
        <v>187.614959866221</v>
      </c>
      <c r="AD944" s="73">
        <f t="shared" si="515"/>
        <v>1488.45726755853</v>
      </c>
      <c r="AE944" s="73">
        <f t="shared" si="513"/>
        <v>289.542732441472</v>
      </c>
    </row>
    <row r="945" customFormat="1" spans="1:31">
      <c r="A945" s="18"/>
      <c r="B945" s="19"/>
      <c r="C945" s="20">
        <v>240524000047</v>
      </c>
      <c r="D945" s="21">
        <v>45441</v>
      </c>
      <c r="E945" s="21" t="s">
        <v>41</v>
      </c>
      <c r="F945" s="19" t="s">
        <v>42</v>
      </c>
      <c r="G945" s="19" t="s">
        <v>565</v>
      </c>
      <c r="H945" s="19">
        <v>3.5</v>
      </c>
      <c r="I945" s="52"/>
      <c r="J945" s="48">
        <v>46989</v>
      </c>
      <c r="K945" s="44"/>
      <c r="L945" s="49">
        <f>SUM(J945/M945)</f>
        <v>1494.56106870229</v>
      </c>
      <c r="M945" s="50">
        <v>31.44</v>
      </c>
      <c r="N945" s="119">
        <v>7.22</v>
      </c>
      <c r="O945" s="46">
        <f>SUM(M945*N945)</f>
        <v>226.9968</v>
      </c>
      <c r="P945" s="51"/>
      <c r="Q945" s="51"/>
      <c r="R945" s="73">
        <f t="shared" si="519"/>
        <v>162.062876254181</v>
      </c>
      <c r="S945" s="74">
        <f t="shared" si="520"/>
        <v>0.235137959866221</v>
      </c>
      <c r="T945" s="74">
        <f t="shared" si="521"/>
        <v>0.307274247491639</v>
      </c>
      <c r="U945" s="73"/>
      <c r="V945" s="73"/>
      <c r="W945" s="73">
        <f t="shared" si="518"/>
        <v>162.605288461538</v>
      </c>
      <c r="X945" s="75">
        <f t="shared" si="522"/>
        <v>3.24818143812709</v>
      </c>
      <c r="Y945" s="75"/>
      <c r="Z945" s="75"/>
      <c r="AA945" s="75">
        <f t="shared" si="517"/>
        <v>3.24818143812709</v>
      </c>
      <c r="AB945" s="84">
        <v>7.22</v>
      </c>
      <c r="AC945" s="73">
        <f t="shared" si="514"/>
        <v>23.4518699832776</v>
      </c>
      <c r="AD945" s="73">
        <f t="shared" si="515"/>
        <v>186.057158444816</v>
      </c>
      <c r="AE945" s="73">
        <f t="shared" si="513"/>
        <v>40.939641555184</v>
      </c>
    </row>
    <row r="946" customFormat="1" spans="1:31">
      <c r="A946" s="18"/>
      <c r="B946" s="19"/>
      <c r="C946" s="20">
        <v>240524000048</v>
      </c>
      <c r="D946" s="21">
        <v>45441</v>
      </c>
      <c r="E946" s="21" t="s">
        <v>41</v>
      </c>
      <c r="F946" s="19" t="s">
        <v>42</v>
      </c>
      <c r="G946" s="19" t="s">
        <v>325</v>
      </c>
      <c r="H946" s="19">
        <v>4.5</v>
      </c>
      <c r="I946" s="41">
        <v>315</v>
      </c>
      <c r="J946" s="42"/>
      <c r="K946" s="44"/>
      <c r="L946" s="19"/>
      <c r="M946" s="44"/>
      <c r="N946" s="119"/>
      <c r="O946" s="46">
        <f t="shared" ref="O946:O956" si="529">SUM(I946)</f>
        <v>315</v>
      </c>
      <c r="P946" s="51"/>
      <c r="Q946" s="51"/>
      <c r="R946" s="73">
        <f t="shared" si="519"/>
        <v>208.366555183947</v>
      </c>
      <c r="S946" s="74">
        <f t="shared" si="520"/>
        <v>0.302320234113712</v>
      </c>
      <c r="T946" s="74">
        <f t="shared" si="521"/>
        <v>0.395066889632107</v>
      </c>
      <c r="U946" s="73"/>
      <c r="V946" s="73"/>
      <c r="W946" s="73">
        <f t="shared" si="518"/>
        <v>209.063942307692</v>
      </c>
      <c r="X946" s="75">
        <f t="shared" si="522"/>
        <v>4.17623327759197</v>
      </c>
      <c r="Y946" s="75"/>
      <c r="Z946" s="75"/>
      <c r="AA946" s="75">
        <f t="shared" si="517"/>
        <v>4.17623327759197</v>
      </c>
      <c r="AB946" s="84">
        <v>7.22</v>
      </c>
      <c r="AC946" s="73">
        <f t="shared" si="514"/>
        <v>30.152404264214</v>
      </c>
      <c r="AD946" s="73">
        <f t="shared" si="515"/>
        <v>239.216346571906</v>
      </c>
      <c r="AE946" s="73">
        <f t="shared" si="513"/>
        <v>75.7836534280936</v>
      </c>
    </row>
    <row r="947" customFormat="1" spans="1:31">
      <c r="A947" s="18"/>
      <c r="B947" s="19"/>
      <c r="C947" s="20">
        <v>240524000049</v>
      </c>
      <c r="D947" s="21">
        <v>45441</v>
      </c>
      <c r="E947" s="21" t="s">
        <v>41</v>
      </c>
      <c r="F947" s="19" t="s">
        <v>42</v>
      </c>
      <c r="G947" s="19" t="s">
        <v>361</v>
      </c>
      <c r="H947" s="19">
        <v>3</v>
      </c>
      <c r="I947" s="41">
        <v>214.5</v>
      </c>
      <c r="J947" s="42"/>
      <c r="K947" s="44"/>
      <c r="L947" s="19"/>
      <c r="M947" s="44"/>
      <c r="N947" s="119"/>
      <c r="O947" s="46">
        <f t="shared" si="529"/>
        <v>214.5</v>
      </c>
      <c r="P947" s="51"/>
      <c r="Q947" s="51"/>
      <c r="R947" s="73">
        <f t="shared" si="519"/>
        <v>138.911036789298</v>
      </c>
      <c r="S947" s="74">
        <f t="shared" si="520"/>
        <v>0.201546822742475</v>
      </c>
      <c r="T947" s="74">
        <f t="shared" si="521"/>
        <v>0.263377926421405</v>
      </c>
      <c r="U947" s="73"/>
      <c r="V947" s="73"/>
      <c r="W947" s="73">
        <f t="shared" si="518"/>
        <v>139.375961538462</v>
      </c>
      <c r="X947" s="75">
        <f t="shared" si="522"/>
        <v>2.78415551839465</v>
      </c>
      <c r="Y947" s="75"/>
      <c r="Z947" s="75"/>
      <c r="AA947" s="75">
        <f t="shared" si="517"/>
        <v>2.78415551839465</v>
      </c>
      <c r="AB947" s="84">
        <v>7.22</v>
      </c>
      <c r="AC947" s="73">
        <f t="shared" si="514"/>
        <v>20.1016028428094</v>
      </c>
      <c r="AD947" s="73">
        <f t="shared" si="515"/>
        <v>159.477564381271</v>
      </c>
      <c r="AE947" s="73">
        <f t="shared" si="513"/>
        <v>55.0224356187291</v>
      </c>
    </row>
    <row r="948" customFormat="1" spans="1:31">
      <c r="A948" s="18"/>
      <c r="B948" s="19"/>
      <c r="C948" s="20">
        <v>240524000052</v>
      </c>
      <c r="D948" s="21">
        <v>45441</v>
      </c>
      <c r="E948" s="21" t="s">
        <v>41</v>
      </c>
      <c r="F948" s="19" t="s">
        <v>42</v>
      </c>
      <c r="G948" s="19" t="s">
        <v>566</v>
      </c>
      <c r="H948" s="19">
        <v>17</v>
      </c>
      <c r="I948" s="52"/>
      <c r="J948" s="48">
        <v>214265</v>
      </c>
      <c r="K948" s="44"/>
      <c r="L948" s="49">
        <f>SUM(J948/M948)</f>
        <v>1494.59402901786</v>
      </c>
      <c r="M948" s="50">
        <v>143.36</v>
      </c>
      <c r="N948" s="119">
        <v>7.22</v>
      </c>
      <c r="O948" s="46">
        <f>SUM(M948*N948)</f>
        <v>1035.0592</v>
      </c>
      <c r="P948" s="51"/>
      <c r="Q948" s="51"/>
      <c r="R948" s="73">
        <f t="shared" si="519"/>
        <v>787.16254180602</v>
      </c>
      <c r="S948" s="74">
        <f t="shared" si="520"/>
        <v>1.14209866220736</v>
      </c>
      <c r="T948" s="74">
        <f t="shared" si="521"/>
        <v>1.49247491638796</v>
      </c>
      <c r="U948" s="73"/>
      <c r="V948" s="73"/>
      <c r="W948" s="73">
        <f t="shared" si="518"/>
        <v>789.797115384615</v>
      </c>
      <c r="X948" s="75">
        <f t="shared" si="522"/>
        <v>15.776881270903</v>
      </c>
      <c r="Y948" s="75"/>
      <c r="Z948" s="75"/>
      <c r="AA948" s="75">
        <f t="shared" si="517"/>
        <v>15.776881270903</v>
      </c>
      <c r="AB948" s="84">
        <v>7.22</v>
      </c>
      <c r="AC948" s="73">
        <f t="shared" ref="AC948:AC988" si="530">SUM(AA948*AB948)</f>
        <v>113.90908277592</v>
      </c>
      <c r="AD948" s="73">
        <f t="shared" ref="AD948:AD988" si="531">SUM(W948+AC948)</f>
        <v>903.706198160535</v>
      </c>
      <c r="AE948" s="73">
        <f t="shared" si="513"/>
        <v>131.353001839465</v>
      </c>
    </row>
    <row r="949" customFormat="1" spans="1:31">
      <c r="A949" s="18"/>
      <c r="B949" s="19"/>
      <c r="C949" s="22">
        <v>240528000048</v>
      </c>
      <c r="D949" s="23">
        <v>45441</v>
      </c>
      <c r="E949" s="21" t="s">
        <v>54</v>
      </c>
      <c r="F949" s="24" t="s">
        <v>54</v>
      </c>
      <c r="G949" s="24" t="s">
        <v>92</v>
      </c>
      <c r="H949" s="24">
        <v>535</v>
      </c>
      <c r="I949" s="41">
        <v>27017.5</v>
      </c>
      <c r="J949" s="42"/>
      <c r="K949" s="44"/>
      <c r="L949" s="19"/>
      <c r="M949" s="44"/>
      <c r="N949" s="119"/>
      <c r="O949" s="46">
        <f t="shared" si="529"/>
        <v>27017.5</v>
      </c>
      <c r="P949" s="53"/>
      <c r="Q949" s="53"/>
      <c r="R949" s="73">
        <f t="shared" si="519"/>
        <v>24772.4682274247</v>
      </c>
      <c r="S949" s="74">
        <f t="shared" si="520"/>
        <v>35.942516722408</v>
      </c>
      <c r="T949" s="74">
        <f t="shared" si="521"/>
        <v>46.9690635451505</v>
      </c>
      <c r="U949" s="73"/>
      <c r="V949" s="73"/>
      <c r="W949" s="73">
        <f t="shared" ref="W949:W988" si="532">SUM(R949:V949)</f>
        <v>24855.3798076923</v>
      </c>
      <c r="X949" s="75">
        <f t="shared" si="522"/>
        <v>496.507734113712</v>
      </c>
      <c r="Y949" s="75"/>
      <c r="Z949" s="75"/>
      <c r="AA949" s="75">
        <f t="shared" ref="AA949:AA988" si="533">SUM(X949:Z949)</f>
        <v>496.507734113712</v>
      </c>
      <c r="AB949" s="84">
        <v>7.22</v>
      </c>
      <c r="AC949" s="73">
        <f t="shared" si="530"/>
        <v>3584.785840301</v>
      </c>
      <c r="AD949" s="73">
        <f t="shared" si="531"/>
        <v>28440.1656479933</v>
      </c>
      <c r="AE949" s="73">
        <f t="shared" ref="AE949:AE988" si="534">SUM(O949-AD949)</f>
        <v>-1422.66564799331</v>
      </c>
    </row>
    <row r="950" customFormat="1" spans="1:31">
      <c r="A950" s="105" t="s">
        <v>567</v>
      </c>
      <c r="B950" s="106" t="s">
        <v>568</v>
      </c>
      <c r="C950" s="107">
        <v>240529000027</v>
      </c>
      <c r="D950" s="21">
        <v>45442</v>
      </c>
      <c r="E950" s="21" t="s">
        <v>54</v>
      </c>
      <c r="F950" s="106" t="s">
        <v>54</v>
      </c>
      <c r="G950" s="106" t="s">
        <v>350</v>
      </c>
      <c r="H950" s="106">
        <v>606</v>
      </c>
      <c r="I950" s="124">
        <v>32126</v>
      </c>
      <c r="J950" s="42"/>
      <c r="K950" s="109"/>
      <c r="L950" s="106"/>
      <c r="M950" s="109"/>
      <c r="N950" s="125"/>
      <c r="O950" s="46">
        <f t="shared" si="529"/>
        <v>32126</v>
      </c>
      <c r="P950" s="112">
        <f>SUM(O950)</f>
        <v>32126</v>
      </c>
      <c r="Q950" s="112" t="s">
        <v>59</v>
      </c>
      <c r="R950" s="112">
        <v>29969.4</v>
      </c>
      <c r="S950" s="112">
        <v>0</v>
      </c>
      <c r="T950" s="112">
        <v>0</v>
      </c>
      <c r="U950" s="112"/>
      <c r="V950" s="112"/>
      <c r="W950" s="73">
        <f t="shared" si="532"/>
        <v>29969.4</v>
      </c>
      <c r="X950" s="43">
        <v>527.19</v>
      </c>
      <c r="Y950" s="43"/>
      <c r="Z950" s="43"/>
      <c r="AA950" s="75">
        <f t="shared" si="533"/>
        <v>527.19</v>
      </c>
      <c r="AB950" s="84">
        <v>7.22</v>
      </c>
      <c r="AC950" s="73">
        <f t="shared" si="530"/>
        <v>3806.3118</v>
      </c>
      <c r="AD950" s="73">
        <f t="shared" si="531"/>
        <v>33775.7118</v>
      </c>
      <c r="AE950" s="73">
        <f t="shared" si="534"/>
        <v>-1649.7118</v>
      </c>
    </row>
    <row r="951" customFormat="1" spans="1:31">
      <c r="A951" s="18" t="s">
        <v>569</v>
      </c>
      <c r="B951" s="19" t="s">
        <v>570</v>
      </c>
      <c r="C951" s="20">
        <v>240524000053</v>
      </c>
      <c r="D951" s="21">
        <v>45447</v>
      </c>
      <c r="E951" s="21" t="s">
        <v>44</v>
      </c>
      <c r="F951" s="19" t="s">
        <v>45</v>
      </c>
      <c r="G951" s="19" t="s">
        <v>124</v>
      </c>
      <c r="H951" s="19">
        <v>3.5</v>
      </c>
      <c r="I951" s="41">
        <v>256.6</v>
      </c>
      <c r="J951" s="42"/>
      <c r="K951" s="44"/>
      <c r="L951" s="19"/>
      <c r="M951" s="44"/>
      <c r="N951" s="45"/>
      <c r="O951" s="46">
        <f t="shared" si="529"/>
        <v>256.6</v>
      </c>
      <c r="P951" s="47">
        <f>SUM(O951:O988)</f>
        <v>73701.1552</v>
      </c>
      <c r="Q951" s="47" t="s">
        <v>59</v>
      </c>
      <c r="R951" s="73">
        <f>SUM(60385.5/1300)*H951</f>
        <v>162.576346153846</v>
      </c>
      <c r="S951" s="73"/>
      <c r="T951" s="74">
        <f>SUM(146/1300)*H951</f>
        <v>0.393076923076923</v>
      </c>
      <c r="U951" s="73"/>
      <c r="V951" s="73"/>
      <c r="W951" s="73">
        <f t="shared" si="532"/>
        <v>162.969423076923</v>
      </c>
      <c r="X951" s="75">
        <f>SUM(783.24/1300)*H951</f>
        <v>2.10872307692308</v>
      </c>
      <c r="Y951" s="75">
        <v>4.14</v>
      </c>
      <c r="Z951" s="75"/>
      <c r="AA951" s="75">
        <f t="shared" si="533"/>
        <v>6.24872307692308</v>
      </c>
      <c r="AB951" s="84">
        <v>7.22</v>
      </c>
      <c r="AC951" s="73">
        <f t="shared" si="530"/>
        <v>45.1157806153846</v>
      </c>
      <c r="AD951" s="73">
        <f t="shared" si="531"/>
        <v>208.085203692308</v>
      </c>
      <c r="AE951" s="73">
        <f t="shared" si="534"/>
        <v>48.514796307692</v>
      </c>
    </row>
    <row r="952" customFormat="1" spans="1:31">
      <c r="A952" s="18"/>
      <c r="B952" s="19"/>
      <c r="C952" s="20">
        <v>240527000010</v>
      </c>
      <c r="D952" s="21">
        <v>45447</v>
      </c>
      <c r="E952" s="21" t="s">
        <v>47</v>
      </c>
      <c r="F952" s="19" t="s">
        <v>48</v>
      </c>
      <c r="G952" s="19" t="s">
        <v>464</v>
      </c>
      <c r="H952" s="19">
        <v>0.76</v>
      </c>
      <c r="I952" s="41">
        <v>67.1</v>
      </c>
      <c r="J952" s="42"/>
      <c r="K952" s="44"/>
      <c r="L952" s="19"/>
      <c r="M952" s="44"/>
      <c r="N952" s="45"/>
      <c r="O952" s="46">
        <f t="shared" si="529"/>
        <v>67.1</v>
      </c>
      <c r="P952" s="51"/>
      <c r="Q952" s="51"/>
      <c r="R952" s="73">
        <f t="shared" ref="R952:R988" si="535">SUM(60385.5/1300)*H952</f>
        <v>35.3022923076923</v>
      </c>
      <c r="S952" s="73"/>
      <c r="T952" s="74">
        <f t="shared" ref="T952:T988" si="536">SUM(146/1300)*H952</f>
        <v>0.0853538461538462</v>
      </c>
      <c r="U952" s="73"/>
      <c r="V952" s="73"/>
      <c r="W952" s="73">
        <f t="shared" si="532"/>
        <v>35.3876461538461</v>
      </c>
      <c r="X952" s="75">
        <f t="shared" ref="X952:X988" si="537">SUM(783.24/1300)*H952</f>
        <v>0.457894153846154</v>
      </c>
      <c r="Y952" s="75"/>
      <c r="Z952" s="75"/>
      <c r="AA952" s="75">
        <f t="shared" si="533"/>
        <v>0.457894153846154</v>
      </c>
      <c r="AB952" s="84">
        <v>7.22</v>
      </c>
      <c r="AC952" s="73">
        <f t="shared" si="530"/>
        <v>3.30599579076923</v>
      </c>
      <c r="AD952" s="73">
        <f t="shared" si="531"/>
        <v>38.6936419446154</v>
      </c>
      <c r="AE952" s="73">
        <f t="shared" si="534"/>
        <v>28.4063580553846</v>
      </c>
    </row>
    <row r="953" customFormat="1" spans="1:31">
      <c r="A953" s="18"/>
      <c r="B953" s="19"/>
      <c r="C953" s="20">
        <v>240527000015</v>
      </c>
      <c r="D953" s="21">
        <v>45447</v>
      </c>
      <c r="E953" s="21" t="s">
        <v>37</v>
      </c>
      <c r="F953" s="19" t="s">
        <v>38</v>
      </c>
      <c r="G953" s="19" t="s">
        <v>143</v>
      </c>
      <c r="H953" s="19">
        <v>0.18</v>
      </c>
      <c r="I953" s="52"/>
      <c r="J953" s="48">
        <v>13835.5</v>
      </c>
      <c r="K953" s="44"/>
      <c r="L953" s="49">
        <f>SUM(J953/M953)</f>
        <v>1489.28955866523</v>
      </c>
      <c r="M953" s="50">
        <v>9.29</v>
      </c>
      <c r="N953" s="45">
        <v>7.22</v>
      </c>
      <c r="O953" s="46">
        <f>SUM(M953*N953)</f>
        <v>67.0738</v>
      </c>
      <c r="P953" s="51"/>
      <c r="Q953" s="51"/>
      <c r="R953" s="73">
        <f t="shared" si="535"/>
        <v>8.36106923076923</v>
      </c>
      <c r="S953" s="73"/>
      <c r="T953" s="74">
        <f t="shared" si="536"/>
        <v>0.0202153846153846</v>
      </c>
      <c r="U953" s="73"/>
      <c r="V953" s="73"/>
      <c r="W953" s="73">
        <f t="shared" si="532"/>
        <v>8.38128461538462</v>
      </c>
      <c r="X953" s="75">
        <f t="shared" si="537"/>
        <v>0.108448615384615</v>
      </c>
      <c r="Y953" s="75"/>
      <c r="Z953" s="75"/>
      <c r="AA953" s="75">
        <f t="shared" si="533"/>
        <v>0.108448615384615</v>
      </c>
      <c r="AB953" s="84">
        <v>7.22</v>
      </c>
      <c r="AC953" s="73">
        <f t="shared" si="530"/>
        <v>0.782999003076923</v>
      </c>
      <c r="AD953" s="73">
        <f t="shared" si="531"/>
        <v>9.16428361846154</v>
      </c>
      <c r="AE953" s="73">
        <f t="shared" si="534"/>
        <v>57.9095163815385</v>
      </c>
    </row>
    <row r="954" customFormat="1" spans="1:31">
      <c r="A954" s="18"/>
      <c r="B954" s="19"/>
      <c r="C954" s="20">
        <v>240527000018</v>
      </c>
      <c r="D954" s="21">
        <v>45447</v>
      </c>
      <c r="E954" s="21" t="s">
        <v>47</v>
      </c>
      <c r="F954" s="19" t="s">
        <v>48</v>
      </c>
      <c r="G954" s="19" t="s">
        <v>49</v>
      </c>
      <c r="H954" s="19">
        <v>0.24</v>
      </c>
      <c r="I954" s="41">
        <v>73.7</v>
      </c>
      <c r="J954" s="42"/>
      <c r="K954" s="44"/>
      <c r="L954" s="19"/>
      <c r="M954" s="44"/>
      <c r="N954" s="45"/>
      <c r="O954" s="46">
        <f t="shared" si="529"/>
        <v>73.7</v>
      </c>
      <c r="P954" s="51"/>
      <c r="Q954" s="51"/>
      <c r="R954" s="73">
        <f t="shared" si="535"/>
        <v>11.1480923076923</v>
      </c>
      <c r="S954" s="73"/>
      <c r="T954" s="74">
        <f t="shared" si="536"/>
        <v>0.0269538461538462</v>
      </c>
      <c r="U954" s="73"/>
      <c r="V954" s="73"/>
      <c r="W954" s="73">
        <f t="shared" si="532"/>
        <v>11.1750461538462</v>
      </c>
      <c r="X954" s="75">
        <f t="shared" si="537"/>
        <v>0.144598153846154</v>
      </c>
      <c r="Y954" s="75"/>
      <c r="Z954" s="75"/>
      <c r="AA954" s="75">
        <f t="shared" si="533"/>
        <v>0.144598153846154</v>
      </c>
      <c r="AB954" s="84">
        <v>7.22</v>
      </c>
      <c r="AC954" s="73">
        <f t="shared" si="530"/>
        <v>1.04399867076923</v>
      </c>
      <c r="AD954" s="73">
        <f t="shared" si="531"/>
        <v>12.2190448246154</v>
      </c>
      <c r="AE954" s="73">
        <f t="shared" si="534"/>
        <v>61.4809551753846</v>
      </c>
    </row>
    <row r="955" customFormat="1" spans="1:31">
      <c r="A955" s="18"/>
      <c r="B955" s="19"/>
      <c r="C955" s="20">
        <v>240527000023</v>
      </c>
      <c r="D955" s="21">
        <v>45447</v>
      </c>
      <c r="E955" s="21" t="s">
        <v>44</v>
      </c>
      <c r="F955" s="19" t="s">
        <v>45</v>
      </c>
      <c r="G955" s="19" t="s">
        <v>571</v>
      </c>
      <c r="H955" s="19">
        <v>7</v>
      </c>
      <c r="I955" s="41">
        <v>470.1</v>
      </c>
      <c r="J955" s="42"/>
      <c r="K955" s="44"/>
      <c r="L955" s="19"/>
      <c r="M955" s="44"/>
      <c r="N955" s="45"/>
      <c r="O955" s="46">
        <f t="shared" si="529"/>
        <v>470.1</v>
      </c>
      <c r="P955" s="51"/>
      <c r="Q955" s="51"/>
      <c r="R955" s="73">
        <f t="shared" si="535"/>
        <v>325.152692307692</v>
      </c>
      <c r="S955" s="73"/>
      <c r="T955" s="74">
        <f t="shared" si="536"/>
        <v>0.786153846153846</v>
      </c>
      <c r="U955" s="73">
        <v>40</v>
      </c>
      <c r="V955" s="73"/>
      <c r="W955" s="73">
        <f t="shared" si="532"/>
        <v>365.938846153846</v>
      </c>
      <c r="X955" s="75">
        <f t="shared" si="537"/>
        <v>4.21744615384615</v>
      </c>
      <c r="Y955" s="75"/>
      <c r="Z955" s="75"/>
      <c r="AA955" s="75">
        <f t="shared" si="533"/>
        <v>4.21744615384615</v>
      </c>
      <c r="AB955" s="84">
        <v>7.22</v>
      </c>
      <c r="AC955" s="73">
        <f t="shared" si="530"/>
        <v>30.4499612307692</v>
      </c>
      <c r="AD955" s="73">
        <f t="shared" si="531"/>
        <v>396.388807384615</v>
      </c>
      <c r="AE955" s="73">
        <f t="shared" si="534"/>
        <v>73.711192615385</v>
      </c>
    </row>
    <row r="956" customFormat="1" spans="1:31">
      <c r="A956" s="18"/>
      <c r="B956" s="19"/>
      <c r="C956" s="20">
        <v>240527000024</v>
      </c>
      <c r="D956" s="21">
        <v>45447</v>
      </c>
      <c r="E956" s="21" t="s">
        <v>47</v>
      </c>
      <c r="F956" s="19" t="s">
        <v>48</v>
      </c>
      <c r="G956" s="19" t="s">
        <v>572</v>
      </c>
      <c r="H956" s="19">
        <v>5</v>
      </c>
      <c r="I956" s="41">
        <v>468.8</v>
      </c>
      <c r="J956" s="42"/>
      <c r="K956" s="44"/>
      <c r="L956" s="19"/>
      <c r="M956" s="44"/>
      <c r="N956" s="45"/>
      <c r="O956" s="46">
        <f t="shared" si="529"/>
        <v>468.8</v>
      </c>
      <c r="P956" s="51"/>
      <c r="Q956" s="51"/>
      <c r="R956" s="73">
        <f t="shared" si="535"/>
        <v>232.251923076923</v>
      </c>
      <c r="S956" s="73"/>
      <c r="T956" s="74">
        <f t="shared" si="536"/>
        <v>0.561538461538462</v>
      </c>
      <c r="U956" s="73"/>
      <c r="V956" s="73"/>
      <c r="W956" s="73">
        <f t="shared" si="532"/>
        <v>232.813461538462</v>
      </c>
      <c r="X956" s="75">
        <f t="shared" si="537"/>
        <v>3.01246153846154</v>
      </c>
      <c r="Y956" s="75"/>
      <c r="Z956" s="75"/>
      <c r="AA956" s="75">
        <f t="shared" si="533"/>
        <v>3.01246153846154</v>
      </c>
      <c r="AB956" s="84">
        <v>7.22</v>
      </c>
      <c r="AC956" s="73">
        <f t="shared" si="530"/>
        <v>21.7499723076923</v>
      </c>
      <c r="AD956" s="73">
        <f t="shared" si="531"/>
        <v>254.563433846154</v>
      </c>
      <c r="AE956" s="73">
        <f t="shared" si="534"/>
        <v>214.236566153846</v>
      </c>
    </row>
    <row r="957" customFormat="1" spans="1:31">
      <c r="A957" s="18"/>
      <c r="B957" s="19"/>
      <c r="C957" s="20">
        <v>240527000031</v>
      </c>
      <c r="D957" s="21">
        <v>45447</v>
      </c>
      <c r="E957" s="21" t="s">
        <v>44</v>
      </c>
      <c r="F957" s="19" t="s">
        <v>45</v>
      </c>
      <c r="G957" s="19" t="s">
        <v>299</v>
      </c>
      <c r="H957" s="19">
        <v>11</v>
      </c>
      <c r="I957" s="52"/>
      <c r="J957" s="48">
        <v>138788.65</v>
      </c>
      <c r="K957" s="44"/>
      <c r="L957" s="49">
        <f>SUM(J957/M957)</f>
        <v>1491.06843575419</v>
      </c>
      <c r="M957" s="50">
        <v>93.08</v>
      </c>
      <c r="N957" s="45">
        <v>7.22</v>
      </c>
      <c r="O957" s="46">
        <f>SUM(M957*N957)</f>
        <v>672.0376</v>
      </c>
      <c r="P957" s="51"/>
      <c r="Q957" s="51"/>
      <c r="R957" s="73">
        <f t="shared" si="535"/>
        <v>510.954230769231</v>
      </c>
      <c r="S957" s="73"/>
      <c r="T957" s="74">
        <f t="shared" si="536"/>
        <v>1.23538461538462</v>
      </c>
      <c r="U957" s="73"/>
      <c r="V957" s="73"/>
      <c r="W957" s="73">
        <f t="shared" si="532"/>
        <v>512.189615384615</v>
      </c>
      <c r="X957" s="75">
        <f t="shared" si="537"/>
        <v>6.62741538461538</v>
      </c>
      <c r="Y957" s="75"/>
      <c r="Z957" s="75"/>
      <c r="AA957" s="75">
        <f t="shared" si="533"/>
        <v>6.62741538461538</v>
      </c>
      <c r="AB957" s="84">
        <v>7.22</v>
      </c>
      <c r="AC957" s="73">
        <f t="shared" si="530"/>
        <v>47.8499390769231</v>
      </c>
      <c r="AD957" s="73">
        <f t="shared" si="531"/>
        <v>560.039554461539</v>
      </c>
      <c r="AE957" s="73">
        <f t="shared" si="534"/>
        <v>111.998045538461</v>
      </c>
    </row>
    <row r="958" customFormat="1" spans="1:31">
      <c r="A958" s="18"/>
      <c r="B958" s="19"/>
      <c r="C958" s="20">
        <v>240527000032</v>
      </c>
      <c r="D958" s="21">
        <v>45447</v>
      </c>
      <c r="E958" s="21" t="s">
        <v>41</v>
      </c>
      <c r="F958" s="19" t="s">
        <v>42</v>
      </c>
      <c r="G958" s="19" t="s">
        <v>298</v>
      </c>
      <c r="H958" s="19">
        <v>12</v>
      </c>
      <c r="I958" s="41">
        <v>672</v>
      </c>
      <c r="J958" s="42"/>
      <c r="K958" s="44"/>
      <c r="L958" s="19"/>
      <c r="M958" s="44"/>
      <c r="N958" s="45"/>
      <c r="O958" s="46">
        <f t="shared" ref="O958:O964" si="538">SUM(I958)</f>
        <v>672</v>
      </c>
      <c r="P958" s="51"/>
      <c r="Q958" s="51"/>
      <c r="R958" s="73">
        <f t="shared" si="535"/>
        <v>557.404615384615</v>
      </c>
      <c r="S958" s="73"/>
      <c r="T958" s="74">
        <f t="shared" si="536"/>
        <v>1.34769230769231</v>
      </c>
      <c r="U958" s="73"/>
      <c r="V958" s="73"/>
      <c r="W958" s="73">
        <f t="shared" si="532"/>
        <v>558.752307692308</v>
      </c>
      <c r="X958" s="75">
        <f t="shared" si="537"/>
        <v>7.22990769230769</v>
      </c>
      <c r="Y958" s="75"/>
      <c r="Z958" s="75"/>
      <c r="AA958" s="75">
        <f t="shared" si="533"/>
        <v>7.22990769230769</v>
      </c>
      <c r="AB958" s="84">
        <v>7.22</v>
      </c>
      <c r="AC958" s="73">
        <f t="shared" si="530"/>
        <v>52.1999335384615</v>
      </c>
      <c r="AD958" s="73">
        <f t="shared" si="531"/>
        <v>610.952241230769</v>
      </c>
      <c r="AE958" s="73">
        <f t="shared" si="534"/>
        <v>61.047758769231</v>
      </c>
    </row>
    <row r="959" customFormat="1" spans="1:31">
      <c r="A959" s="18"/>
      <c r="B959" s="19"/>
      <c r="C959" s="20">
        <v>240527000037</v>
      </c>
      <c r="D959" s="21">
        <v>45447</v>
      </c>
      <c r="E959" s="21" t="s">
        <v>41</v>
      </c>
      <c r="F959" s="19" t="s">
        <v>42</v>
      </c>
      <c r="G959" s="19" t="s">
        <v>190</v>
      </c>
      <c r="H959" s="19">
        <v>4.5</v>
      </c>
      <c r="I959" s="52"/>
      <c r="J959" s="48">
        <v>57800</v>
      </c>
      <c r="K959" s="44"/>
      <c r="L959" s="49">
        <f>SUM(J959/M959)</f>
        <v>1495.85921325052</v>
      </c>
      <c r="M959" s="50">
        <v>38.64</v>
      </c>
      <c r="N959" s="89">
        <v>7.22</v>
      </c>
      <c r="O959" s="46">
        <f>SUM(M959*N959)</f>
        <v>278.9808</v>
      </c>
      <c r="P959" s="51"/>
      <c r="Q959" s="51"/>
      <c r="R959" s="73">
        <f t="shared" si="535"/>
        <v>209.026730769231</v>
      </c>
      <c r="S959" s="73"/>
      <c r="T959" s="74">
        <f t="shared" si="536"/>
        <v>0.505384615384615</v>
      </c>
      <c r="U959" s="73"/>
      <c r="V959" s="73"/>
      <c r="W959" s="73">
        <f t="shared" si="532"/>
        <v>209.532115384615</v>
      </c>
      <c r="X959" s="75">
        <f t="shared" si="537"/>
        <v>2.71121538461538</v>
      </c>
      <c r="Y959" s="75"/>
      <c r="Z959" s="75"/>
      <c r="AA959" s="75">
        <f t="shared" si="533"/>
        <v>2.71121538461538</v>
      </c>
      <c r="AB959" s="84">
        <v>7.22</v>
      </c>
      <c r="AC959" s="73">
        <f t="shared" si="530"/>
        <v>19.5749750769231</v>
      </c>
      <c r="AD959" s="73">
        <f t="shared" si="531"/>
        <v>229.107090461538</v>
      </c>
      <c r="AE959" s="73">
        <f t="shared" si="534"/>
        <v>49.873709538462</v>
      </c>
    </row>
    <row r="960" customFormat="1" spans="1:31">
      <c r="A960" s="18"/>
      <c r="B960" s="19"/>
      <c r="C960" s="20">
        <v>240527000039</v>
      </c>
      <c r="D960" s="21">
        <v>45447</v>
      </c>
      <c r="E960" s="21" t="s">
        <v>41</v>
      </c>
      <c r="F960" s="19" t="s">
        <v>42</v>
      </c>
      <c r="G960" s="19" t="s">
        <v>573</v>
      </c>
      <c r="H960" s="19">
        <v>2</v>
      </c>
      <c r="I960" s="41">
        <v>150</v>
      </c>
      <c r="J960" s="42"/>
      <c r="K960" s="44"/>
      <c r="L960" s="19"/>
      <c r="M960" s="44"/>
      <c r="N960" s="45"/>
      <c r="O960" s="46">
        <f t="shared" si="538"/>
        <v>150</v>
      </c>
      <c r="P960" s="51"/>
      <c r="Q960" s="51"/>
      <c r="R960" s="73">
        <f t="shared" si="535"/>
        <v>92.9007692307692</v>
      </c>
      <c r="S960" s="73"/>
      <c r="T960" s="74">
        <f t="shared" si="536"/>
        <v>0.224615384615385</v>
      </c>
      <c r="U960" s="73"/>
      <c r="V960" s="73"/>
      <c r="W960" s="73">
        <f t="shared" si="532"/>
        <v>93.1253846153846</v>
      </c>
      <c r="X960" s="75">
        <f t="shared" si="537"/>
        <v>1.20498461538462</v>
      </c>
      <c r="Y960" s="75"/>
      <c r="Z960" s="75"/>
      <c r="AA960" s="75">
        <f t="shared" si="533"/>
        <v>1.20498461538462</v>
      </c>
      <c r="AB960" s="84">
        <v>7.22</v>
      </c>
      <c r="AC960" s="73">
        <f t="shared" si="530"/>
        <v>8.69998892307692</v>
      </c>
      <c r="AD960" s="73">
        <f t="shared" si="531"/>
        <v>101.825373538462</v>
      </c>
      <c r="AE960" s="73">
        <f t="shared" si="534"/>
        <v>48.174626461538</v>
      </c>
    </row>
    <row r="961" customFormat="1" spans="1:31">
      <c r="A961" s="18"/>
      <c r="B961" s="19"/>
      <c r="C961" s="20">
        <v>240527000041</v>
      </c>
      <c r="D961" s="21">
        <v>45447</v>
      </c>
      <c r="E961" s="21" t="s">
        <v>41</v>
      </c>
      <c r="F961" s="19" t="s">
        <v>42</v>
      </c>
      <c r="G961" s="19" t="s">
        <v>574</v>
      </c>
      <c r="H961" s="19">
        <v>9</v>
      </c>
      <c r="I961" s="41">
        <v>551.1</v>
      </c>
      <c r="J961" s="42"/>
      <c r="K961" s="44"/>
      <c r="L961" s="19"/>
      <c r="M961" s="44"/>
      <c r="N961" s="45"/>
      <c r="O961" s="46">
        <f t="shared" si="538"/>
        <v>551.1</v>
      </c>
      <c r="P961" s="51"/>
      <c r="Q961" s="51"/>
      <c r="R961" s="73">
        <f t="shared" si="535"/>
        <v>418.053461538462</v>
      </c>
      <c r="S961" s="73"/>
      <c r="T961" s="74">
        <f t="shared" si="536"/>
        <v>1.01076923076923</v>
      </c>
      <c r="U961" s="73"/>
      <c r="V961" s="73"/>
      <c r="W961" s="73">
        <f t="shared" si="532"/>
        <v>419.064230769231</v>
      </c>
      <c r="X961" s="75">
        <f t="shared" si="537"/>
        <v>5.42243076923077</v>
      </c>
      <c r="Y961" s="75"/>
      <c r="Z961" s="75"/>
      <c r="AA961" s="75">
        <f t="shared" si="533"/>
        <v>5.42243076923077</v>
      </c>
      <c r="AB961" s="84">
        <v>7.22</v>
      </c>
      <c r="AC961" s="73">
        <f t="shared" si="530"/>
        <v>39.1499501538461</v>
      </c>
      <c r="AD961" s="73">
        <f t="shared" si="531"/>
        <v>458.214180923077</v>
      </c>
      <c r="AE961" s="73">
        <f t="shared" si="534"/>
        <v>92.885819076923</v>
      </c>
    </row>
    <row r="962" customFormat="1" spans="1:31">
      <c r="A962" s="18"/>
      <c r="B962" s="19"/>
      <c r="C962" s="20">
        <v>240527000042</v>
      </c>
      <c r="D962" s="21">
        <v>45447</v>
      </c>
      <c r="E962" s="21" t="s">
        <v>47</v>
      </c>
      <c r="F962" s="19" t="s">
        <v>48</v>
      </c>
      <c r="G962" s="19" t="s">
        <v>575</v>
      </c>
      <c r="H962" s="19">
        <v>0.52</v>
      </c>
      <c r="I962" s="41">
        <v>73</v>
      </c>
      <c r="J962" s="42"/>
      <c r="K962" s="44"/>
      <c r="L962" s="19"/>
      <c r="M962" s="44"/>
      <c r="N962" s="45"/>
      <c r="O962" s="46">
        <f t="shared" si="538"/>
        <v>73</v>
      </c>
      <c r="P962" s="51"/>
      <c r="Q962" s="51"/>
      <c r="R962" s="73">
        <f t="shared" si="535"/>
        <v>24.1542</v>
      </c>
      <c r="S962" s="73"/>
      <c r="T962" s="74">
        <f t="shared" si="536"/>
        <v>0.0584</v>
      </c>
      <c r="U962" s="73"/>
      <c r="V962" s="73"/>
      <c r="W962" s="73">
        <f t="shared" si="532"/>
        <v>24.2126</v>
      </c>
      <c r="X962" s="75">
        <f t="shared" si="537"/>
        <v>0.313296</v>
      </c>
      <c r="Y962" s="75"/>
      <c r="Z962" s="75"/>
      <c r="AA962" s="75">
        <f t="shared" si="533"/>
        <v>0.313296</v>
      </c>
      <c r="AB962" s="84">
        <v>7.22</v>
      </c>
      <c r="AC962" s="73">
        <f t="shared" si="530"/>
        <v>2.26199712</v>
      </c>
      <c r="AD962" s="73">
        <f t="shared" si="531"/>
        <v>26.47459712</v>
      </c>
      <c r="AE962" s="73">
        <f t="shared" si="534"/>
        <v>46.52540288</v>
      </c>
    </row>
    <row r="963" customFormat="1" spans="1:31">
      <c r="A963" s="18"/>
      <c r="B963" s="19"/>
      <c r="C963" s="20">
        <v>240527000043</v>
      </c>
      <c r="D963" s="21">
        <v>45447</v>
      </c>
      <c r="E963" s="21" t="s">
        <v>41</v>
      </c>
      <c r="F963" s="19" t="s">
        <v>42</v>
      </c>
      <c r="G963" s="19" t="s">
        <v>361</v>
      </c>
      <c r="H963" s="19">
        <v>1.5</v>
      </c>
      <c r="I963" s="41">
        <v>108.9</v>
      </c>
      <c r="J963" s="42"/>
      <c r="K963" s="44"/>
      <c r="L963" s="19"/>
      <c r="M963" s="44"/>
      <c r="N963" s="45"/>
      <c r="O963" s="46">
        <f t="shared" si="538"/>
        <v>108.9</v>
      </c>
      <c r="P963" s="51"/>
      <c r="Q963" s="51"/>
      <c r="R963" s="73">
        <f t="shared" si="535"/>
        <v>69.6755769230769</v>
      </c>
      <c r="S963" s="73"/>
      <c r="T963" s="74">
        <f t="shared" si="536"/>
        <v>0.168461538461538</v>
      </c>
      <c r="U963" s="73"/>
      <c r="V963" s="73"/>
      <c r="W963" s="73">
        <f t="shared" si="532"/>
        <v>69.8440384615385</v>
      </c>
      <c r="X963" s="75">
        <f t="shared" si="537"/>
        <v>0.903738461538461</v>
      </c>
      <c r="Y963" s="75"/>
      <c r="Z963" s="75"/>
      <c r="AA963" s="75">
        <f t="shared" si="533"/>
        <v>0.903738461538461</v>
      </c>
      <c r="AB963" s="84">
        <v>7.22</v>
      </c>
      <c r="AC963" s="73">
        <f t="shared" si="530"/>
        <v>6.52499169230769</v>
      </c>
      <c r="AD963" s="73">
        <f t="shared" si="531"/>
        <v>76.3690301538462</v>
      </c>
      <c r="AE963" s="73">
        <f t="shared" si="534"/>
        <v>32.5309698461538</v>
      </c>
    </row>
    <row r="964" customFormat="1" spans="1:31">
      <c r="A964" s="18"/>
      <c r="B964" s="19"/>
      <c r="C964" s="20">
        <v>240527000049</v>
      </c>
      <c r="D964" s="21">
        <v>45447</v>
      </c>
      <c r="E964" s="21" t="s">
        <v>64</v>
      </c>
      <c r="F964" s="19" t="s">
        <v>65</v>
      </c>
      <c r="G964" s="19" t="s">
        <v>561</v>
      </c>
      <c r="H964" s="19">
        <v>30.5</v>
      </c>
      <c r="I964" s="41">
        <v>1786.95</v>
      </c>
      <c r="J964" s="42"/>
      <c r="K964" s="44"/>
      <c r="L964" s="19"/>
      <c r="M964" s="44"/>
      <c r="N964" s="45"/>
      <c r="O964" s="46">
        <f t="shared" si="538"/>
        <v>1786.95</v>
      </c>
      <c r="P964" s="51"/>
      <c r="Q964" s="51"/>
      <c r="R964" s="73">
        <f t="shared" si="535"/>
        <v>1416.73673076923</v>
      </c>
      <c r="S964" s="73"/>
      <c r="T964" s="74">
        <f t="shared" si="536"/>
        <v>3.42538461538461</v>
      </c>
      <c r="U964" s="73"/>
      <c r="V964" s="73"/>
      <c r="W964" s="73">
        <f t="shared" si="532"/>
        <v>1420.16211538462</v>
      </c>
      <c r="X964" s="75">
        <f t="shared" si="537"/>
        <v>18.3760153846154</v>
      </c>
      <c r="Y964" s="75"/>
      <c r="Z964" s="75"/>
      <c r="AA964" s="75">
        <f t="shared" si="533"/>
        <v>18.3760153846154</v>
      </c>
      <c r="AB964" s="84">
        <v>7.22</v>
      </c>
      <c r="AC964" s="73">
        <f t="shared" si="530"/>
        <v>132.674831076923</v>
      </c>
      <c r="AD964" s="73">
        <f t="shared" si="531"/>
        <v>1552.83694646154</v>
      </c>
      <c r="AE964" s="73">
        <f t="shared" si="534"/>
        <v>234.11305353846</v>
      </c>
    </row>
    <row r="965" customFormat="1" spans="1:31">
      <c r="A965" s="18"/>
      <c r="B965" s="19"/>
      <c r="C965" s="20">
        <v>240527000050</v>
      </c>
      <c r="D965" s="21">
        <v>45447</v>
      </c>
      <c r="E965" s="21" t="s">
        <v>44</v>
      </c>
      <c r="F965" s="19" t="s">
        <v>45</v>
      </c>
      <c r="G965" s="19" t="s">
        <v>423</v>
      </c>
      <c r="H965" s="19">
        <v>7.5</v>
      </c>
      <c r="I965" s="52"/>
      <c r="J965" s="48">
        <v>105538</v>
      </c>
      <c r="K965" s="44"/>
      <c r="L965" s="49">
        <f>SUM(J965/M965)</f>
        <v>1494.66081291602</v>
      </c>
      <c r="M965" s="50">
        <v>70.61</v>
      </c>
      <c r="N965" s="45">
        <v>7.22</v>
      </c>
      <c r="O965" s="46">
        <f>SUM(M965*N965)</f>
        <v>509.8042</v>
      </c>
      <c r="P965" s="51"/>
      <c r="Q965" s="51"/>
      <c r="R965" s="73">
        <f t="shared" si="535"/>
        <v>348.377884615385</v>
      </c>
      <c r="S965" s="73"/>
      <c r="T965" s="74">
        <f t="shared" si="536"/>
        <v>0.842307692307692</v>
      </c>
      <c r="U965" s="73"/>
      <c r="V965" s="73"/>
      <c r="W965" s="73">
        <f t="shared" si="532"/>
        <v>349.220192307692</v>
      </c>
      <c r="X965" s="75">
        <f t="shared" si="537"/>
        <v>4.51869230769231</v>
      </c>
      <c r="Y965" s="75"/>
      <c r="Z965" s="75"/>
      <c r="AA965" s="75">
        <f t="shared" si="533"/>
        <v>4.51869230769231</v>
      </c>
      <c r="AB965" s="84">
        <v>7.22</v>
      </c>
      <c r="AC965" s="73">
        <f t="shared" si="530"/>
        <v>32.6249584615385</v>
      </c>
      <c r="AD965" s="73">
        <f t="shared" si="531"/>
        <v>381.845150769231</v>
      </c>
      <c r="AE965" s="73">
        <f t="shared" si="534"/>
        <v>127.959049230769</v>
      </c>
    </row>
    <row r="966" customFormat="1" spans="1:31">
      <c r="A966" s="18"/>
      <c r="B966" s="19"/>
      <c r="C966" s="20">
        <v>240527000052</v>
      </c>
      <c r="D966" s="21">
        <v>45447</v>
      </c>
      <c r="E966" s="21" t="s">
        <v>44</v>
      </c>
      <c r="F966" s="19" t="s">
        <v>45</v>
      </c>
      <c r="G966" s="19" t="s">
        <v>576</v>
      </c>
      <c r="H966" s="19">
        <v>8.5</v>
      </c>
      <c r="I966" s="41">
        <v>520.85</v>
      </c>
      <c r="J966" s="42"/>
      <c r="K966" s="44"/>
      <c r="L966" s="19"/>
      <c r="M966" s="44"/>
      <c r="N966" s="45"/>
      <c r="O966" s="46">
        <f t="shared" ref="O966:O969" si="539">SUM(I966)</f>
        <v>520.85</v>
      </c>
      <c r="P966" s="51"/>
      <c r="Q966" s="51"/>
      <c r="R966" s="73">
        <f t="shared" si="535"/>
        <v>394.828269230769</v>
      </c>
      <c r="S966" s="73"/>
      <c r="T966" s="74">
        <f t="shared" si="536"/>
        <v>0.954615384615385</v>
      </c>
      <c r="U966" s="73"/>
      <c r="V966" s="73"/>
      <c r="W966" s="73">
        <f t="shared" si="532"/>
        <v>395.782884615385</v>
      </c>
      <c r="X966" s="75">
        <f t="shared" si="537"/>
        <v>5.12118461538461</v>
      </c>
      <c r="Y966" s="75"/>
      <c r="Z966" s="75"/>
      <c r="AA966" s="75">
        <f t="shared" si="533"/>
        <v>5.12118461538461</v>
      </c>
      <c r="AB966" s="84">
        <v>7.22</v>
      </c>
      <c r="AC966" s="73">
        <f t="shared" si="530"/>
        <v>36.9749529230769</v>
      </c>
      <c r="AD966" s="73">
        <f t="shared" si="531"/>
        <v>432.757837538462</v>
      </c>
      <c r="AE966" s="73">
        <f t="shared" si="534"/>
        <v>88.092162461538</v>
      </c>
    </row>
    <row r="967" customFormat="1" spans="1:31">
      <c r="A967" s="18"/>
      <c r="B967" s="19"/>
      <c r="C967" s="20">
        <v>240527000054</v>
      </c>
      <c r="D967" s="21">
        <v>45447</v>
      </c>
      <c r="E967" s="21" t="s">
        <v>44</v>
      </c>
      <c r="F967" s="19" t="s">
        <v>286</v>
      </c>
      <c r="G967" s="19" t="s">
        <v>287</v>
      </c>
      <c r="H967" s="19">
        <v>1.5</v>
      </c>
      <c r="I967" s="41">
        <v>108.9</v>
      </c>
      <c r="J967" s="42"/>
      <c r="K967" s="44"/>
      <c r="L967" s="19"/>
      <c r="M967" s="44"/>
      <c r="N967" s="45"/>
      <c r="O967" s="46">
        <f t="shared" si="539"/>
        <v>108.9</v>
      </c>
      <c r="P967" s="51"/>
      <c r="Q967" s="51"/>
      <c r="R967" s="73">
        <f t="shared" si="535"/>
        <v>69.6755769230769</v>
      </c>
      <c r="S967" s="73"/>
      <c r="T967" s="74">
        <f t="shared" si="536"/>
        <v>0.168461538461538</v>
      </c>
      <c r="U967" s="73"/>
      <c r="V967" s="73"/>
      <c r="W967" s="73">
        <f t="shared" si="532"/>
        <v>69.8440384615385</v>
      </c>
      <c r="X967" s="75">
        <f t="shared" si="537"/>
        <v>0.903738461538461</v>
      </c>
      <c r="Y967" s="75"/>
      <c r="Z967" s="75"/>
      <c r="AA967" s="75">
        <f t="shared" si="533"/>
        <v>0.903738461538461</v>
      </c>
      <c r="AB967" s="84">
        <v>7.22</v>
      </c>
      <c r="AC967" s="73">
        <f t="shared" si="530"/>
        <v>6.52499169230769</v>
      </c>
      <c r="AD967" s="73">
        <f t="shared" si="531"/>
        <v>76.3690301538462</v>
      </c>
      <c r="AE967" s="73">
        <f t="shared" si="534"/>
        <v>32.5309698461538</v>
      </c>
    </row>
    <row r="968" customFormat="1" spans="1:31">
      <c r="A968" s="18"/>
      <c r="B968" s="19"/>
      <c r="C968" s="20">
        <v>240527000058</v>
      </c>
      <c r="D968" s="21">
        <v>45447</v>
      </c>
      <c r="E968" s="21" t="s">
        <v>37</v>
      </c>
      <c r="F968" s="19" t="s">
        <v>38</v>
      </c>
      <c r="G968" s="19" t="s">
        <v>39</v>
      </c>
      <c r="H968" s="19">
        <v>9</v>
      </c>
      <c r="I968" s="41">
        <v>551</v>
      </c>
      <c r="J968" s="42"/>
      <c r="K968" s="44"/>
      <c r="L968" s="19"/>
      <c r="M968" s="44"/>
      <c r="N968" s="45"/>
      <c r="O968" s="46">
        <f t="shared" si="539"/>
        <v>551</v>
      </c>
      <c r="P968" s="51"/>
      <c r="Q968" s="51"/>
      <c r="R968" s="73">
        <f t="shared" si="535"/>
        <v>418.053461538462</v>
      </c>
      <c r="S968" s="73"/>
      <c r="T968" s="74">
        <f t="shared" si="536"/>
        <v>1.01076923076923</v>
      </c>
      <c r="U968" s="73"/>
      <c r="V968" s="73"/>
      <c r="W968" s="73">
        <f t="shared" si="532"/>
        <v>419.064230769231</v>
      </c>
      <c r="X968" s="75">
        <f t="shared" si="537"/>
        <v>5.42243076923077</v>
      </c>
      <c r="Y968" s="75"/>
      <c r="Z968" s="75"/>
      <c r="AA968" s="75">
        <f t="shared" si="533"/>
        <v>5.42243076923077</v>
      </c>
      <c r="AB968" s="84">
        <v>7.22</v>
      </c>
      <c r="AC968" s="73">
        <f t="shared" si="530"/>
        <v>39.1499501538461</v>
      </c>
      <c r="AD968" s="73">
        <f t="shared" si="531"/>
        <v>458.214180923077</v>
      </c>
      <c r="AE968" s="73">
        <f t="shared" si="534"/>
        <v>92.785819076923</v>
      </c>
    </row>
    <row r="969" customFormat="1" spans="1:31">
      <c r="A969" s="18"/>
      <c r="B969" s="19"/>
      <c r="C969" s="20">
        <v>240527000062</v>
      </c>
      <c r="D969" s="21">
        <v>45447</v>
      </c>
      <c r="E969" s="21" t="s">
        <v>47</v>
      </c>
      <c r="F969" s="19" t="s">
        <v>48</v>
      </c>
      <c r="G969" s="19" t="s">
        <v>577</v>
      </c>
      <c r="H969" s="19">
        <v>10.5</v>
      </c>
      <c r="I969" s="41">
        <v>840</v>
      </c>
      <c r="J969" s="42"/>
      <c r="K969" s="44"/>
      <c r="L969" s="19"/>
      <c r="M969" s="44"/>
      <c r="N969" s="45"/>
      <c r="O969" s="46">
        <f t="shared" si="539"/>
        <v>840</v>
      </c>
      <c r="P969" s="51"/>
      <c r="Q969" s="51"/>
      <c r="R969" s="73">
        <f t="shared" si="535"/>
        <v>487.729038461538</v>
      </c>
      <c r="S969" s="73"/>
      <c r="T969" s="74">
        <f t="shared" si="536"/>
        <v>1.17923076923077</v>
      </c>
      <c r="U969" s="73"/>
      <c r="V969" s="73"/>
      <c r="W969" s="73">
        <f t="shared" si="532"/>
        <v>488.908269230769</v>
      </c>
      <c r="X969" s="75">
        <f t="shared" si="537"/>
        <v>6.32616923076923</v>
      </c>
      <c r="Y969" s="75"/>
      <c r="Z969" s="75"/>
      <c r="AA969" s="75">
        <f t="shared" si="533"/>
        <v>6.32616923076923</v>
      </c>
      <c r="AB969" s="84">
        <v>7.22</v>
      </c>
      <c r="AC969" s="73">
        <f t="shared" si="530"/>
        <v>45.6749418461538</v>
      </c>
      <c r="AD969" s="73">
        <f t="shared" si="531"/>
        <v>534.583211076923</v>
      </c>
      <c r="AE969" s="73">
        <f t="shared" si="534"/>
        <v>305.416788923077</v>
      </c>
    </row>
    <row r="970" customFormat="1" spans="1:31">
      <c r="A970" s="18"/>
      <c r="B970" s="19"/>
      <c r="C970" s="20">
        <v>240527000064</v>
      </c>
      <c r="D970" s="21">
        <v>45447</v>
      </c>
      <c r="E970" s="21" t="s">
        <v>41</v>
      </c>
      <c r="F970" s="19" t="s">
        <v>42</v>
      </c>
      <c r="G970" s="19" t="s">
        <v>549</v>
      </c>
      <c r="H970" s="19">
        <v>2.5</v>
      </c>
      <c r="I970" s="52"/>
      <c r="J970" s="48">
        <v>53820</v>
      </c>
      <c r="K970" s="44"/>
      <c r="L970" s="49">
        <f t="shared" ref="L970:L974" si="540">SUM(J970/M970)</f>
        <v>1494.58483754513</v>
      </c>
      <c r="M970" s="50">
        <v>36.01</v>
      </c>
      <c r="N970" s="45">
        <v>7.22</v>
      </c>
      <c r="O970" s="46">
        <f t="shared" ref="O970:O974" si="541">SUM(M970*N970)</f>
        <v>259.9922</v>
      </c>
      <c r="P970" s="51"/>
      <c r="Q970" s="51"/>
      <c r="R970" s="73">
        <f t="shared" si="535"/>
        <v>116.125961538462</v>
      </c>
      <c r="S970" s="73"/>
      <c r="T970" s="74">
        <f t="shared" si="536"/>
        <v>0.280769230769231</v>
      </c>
      <c r="U970" s="73"/>
      <c r="V970" s="73"/>
      <c r="W970" s="73">
        <f t="shared" si="532"/>
        <v>116.406730769231</v>
      </c>
      <c r="X970" s="75">
        <f t="shared" si="537"/>
        <v>1.50623076923077</v>
      </c>
      <c r="Y970" s="75"/>
      <c r="Z970" s="75"/>
      <c r="AA970" s="75">
        <f t="shared" si="533"/>
        <v>1.50623076923077</v>
      </c>
      <c r="AB970" s="84">
        <v>7.22</v>
      </c>
      <c r="AC970" s="73">
        <f t="shared" si="530"/>
        <v>10.8749861538462</v>
      </c>
      <c r="AD970" s="73">
        <f t="shared" si="531"/>
        <v>127.281716923077</v>
      </c>
      <c r="AE970" s="73">
        <f t="shared" si="534"/>
        <v>132.710483076923</v>
      </c>
    </row>
    <row r="971" customFormat="1" spans="1:31">
      <c r="A971" s="18"/>
      <c r="B971" s="19"/>
      <c r="C971" s="20">
        <v>240527000065</v>
      </c>
      <c r="D971" s="21">
        <v>45447</v>
      </c>
      <c r="E971" s="21" t="s">
        <v>41</v>
      </c>
      <c r="F971" s="19" t="s">
        <v>42</v>
      </c>
      <c r="G971" s="19" t="s">
        <v>298</v>
      </c>
      <c r="H971" s="19">
        <v>2.5</v>
      </c>
      <c r="I971" s="41">
        <v>196</v>
      </c>
      <c r="J971" s="42"/>
      <c r="K971" s="44"/>
      <c r="L971" s="19"/>
      <c r="M971" s="44"/>
      <c r="N971" s="45"/>
      <c r="O971" s="46">
        <f t="shared" ref="O971:O981" si="542">SUM(I971)</f>
        <v>196</v>
      </c>
      <c r="P971" s="51"/>
      <c r="Q971" s="51"/>
      <c r="R971" s="73">
        <f t="shared" si="535"/>
        <v>116.125961538462</v>
      </c>
      <c r="S971" s="73"/>
      <c r="T971" s="74">
        <f t="shared" si="536"/>
        <v>0.280769230769231</v>
      </c>
      <c r="U971" s="73"/>
      <c r="V971" s="73"/>
      <c r="W971" s="73">
        <f t="shared" si="532"/>
        <v>116.406730769231</v>
      </c>
      <c r="X971" s="75">
        <f t="shared" si="537"/>
        <v>1.50623076923077</v>
      </c>
      <c r="Y971" s="75"/>
      <c r="Z971" s="75"/>
      <c r="AA971" s="75">
        <f t="shared" si="533"/>
        <v>1.50623076923077</v>
      </c>
      <c r="AB971" s="84">
        <v>7.22</v>
      </c>
      <c r="AC971" s="73">
        <f t="shared" si="530"/>
        <v>10.8749861538462</v>
      </c>
      <c r="AD971" s="73">
        <f t="shared" si="531"/>
        <v>127.281716923077</v>
      </c>
      <c r="AE971" s="73">
        <f t="shared" si="534"/>
        <v>68.718283076923</v>
      </c>
    </row>
    <row r="972" customFormat="1" spans="1:31">
      <c r="A972" s="18"/>
      <c r="B972" s="19"/>
      <c r="C972" s="22">
        <v>240527000066</v>
      </c>
      <c r="D972" s="23">
        <v>45447</v>
      </c>
      <c r="E972" s="21" t="s">
        <v>41</v>
      </c>
      <c r="F972" s="24" t="s">
        <v>42</v>
      </c>
      <c r="G972" s="24" t="s">
        <v>165</v>
      </c>
      <c r="H972" s="24">
        <v>11</v>
      </c>
      <c r="I972" s="41">
        <v>616</v>
      </c>
      <c r="J972" s="42"/>
      <c r="K972" s="44"/>
      <c r="L972" s="19"/>
      <c r="M972" s="44"/>
      <c r="N972" s="45"/>
      <c r="O972" s="46">
        <f t="shared" si="542"/>
        <v>616</v>
      </c>
      <c r="P972" s="51"/>
      <c r="Q972" s="51"/>
      <c r="R972" s="73">
        <f t="shared" si="535"/>
        <v>510.954230769231</v>
      </c>
      <c r="S972" s="73"/>
      <c r="T972" s="74">
        <f t="shared" si="536"/>
        <v>1.23538461538462</v>
      </c>
      <c r="U972" s="73"/>
      <c r="V972" s="73"/>
      <c r="W972" s="73">
        <f t="shared" si="532"/>
        <v>512.189615384615</v>
      </c>
      <c r="X972" s="75">
        <f t="shared" si="537"/>
        <v>6.62741538461538</v>
      </c>
      <c r="Y972" s="75"/>
      <c r="Z972" s="75"/>
      <c r="AA972" s="75">
        <f t="shared" si="533"/>
        <v>6.62741538461538</v>
      </c>
      <c r="AB972" s="84">
        <v>7.22</v>
      </c>
      <c r="AC972" s="73">
        <f t="shared" si="530"/>
        <v>47.8499390769231</v>
      </c>
      <c r="AD972" s="73">
        <f t="shared" si="531"/>
        <v>560.039554461539</v>
      </c>
      <c r="AE972" s="73">
        <f t="shared" si="534"/>
        <v>55.960445538461</v>
      </c>
    </row>
    <row r="973" customFormat="1" spans="1:31">
      <c r="A973" s="18"/>
      <c r="B973" s="19"/>
      <c r="C973" s="20">
        <v>240528000002</v>
      </c>
      <c r="D973" s="21">
        <v>45447</v>
      </c>
      <c r="E973" s="21" t="s">
        <v>37</v>
      </c>
      <c r="F973" s="19" t="s">
        <v>38</v>
      </c>
      <c r="G973" s="19" t="s">
        <v>180</v>
      </c>
      <c r="H973" s="19">
        <v>26</v>
      </c>
      <c r="I973" s="46"/>
      <c r="J973" s="48">
        <v>319865</v>
      </c>
      <c r="K973" s="44"/>
      <c r="L973" s="49">
        <f t="shared" si="540"/>
        <v>1501.99567993989</v>
      </c>
      <c r="M973" s="50">
        <v>212.96</v>
      </c>
      <c r="N973" s="45">
        <v>7.22</v>
      </c>
      <c r="O973" s="46">
        <f t="shared" si="541"/>
        <v>1537.5712</v>
      </c>
      <c r="P973" s="51"/>
      <c r="Q973" s="51"/>
      <c r="R973" s="73">
        <f t="shared" si="535"/>
        <v>1207.71</v>
      </c>
      <c r="S973" s="73"/>
      <c r="T973" s="74">
        <f t="shared" si="536"/>
        <v>2.92</v>
      </c>
      <c r="U973" s="73"/>
      <c r="V973" s="73"/>
      <c r="W973" s="73">
        <f t="shared" si="532"/>
        <v>1210.63</v>
      </c>
      <c r="X973" s="75">
        <f t="shared" si="537"/>
        <v>15.6648</v>
      </c>
      <c r="Y973" s="75">
        <v>24.4</v>
      </c>
      <c r="Z973" s="75"/>
      <c r="AA973" s="75">
        <f t="shared" si="533"/>
        <v>40.0648</v>
      </c>
      <c r="AB973" s="84">
        <v>7.22</v>
      </c>
      <c r="AC973" s="73">
        <f t="shared" si="530"/>
        <v>289.267856</v>
      </c>
      <c r="AD973" s="73">
        <f t="shared" si="531"/>
        <v>1499.897856</v>
      </c>
      <c r="AE973" s="73">
        <f t="shared" si="534"/>
        <v>37.673344</v>
      </c>
    </row>
    <row r="974" customFormat="1" spans="1:31">
      <c r="A974" s="18"/>
      <c r="B974" s="19"/>
      <c r="C974" s="20">
        <v>240528000004</v>
      </c>
      <c r="D974" s="21">
        <v>45447</v>
      </c>
      <c r="E974" s="21" t="s">
        <v>37</v>
      </c>
      <c r="F974" s="19" t="s">
        <v>38</v>
      </c>
      <c r="G974" s="19" t="s">
        <v>143</v>
      </c>
      <c r="H974" s="19">
        <v>17</v>
      </c>
      <c r="I974" s="52"/>
      <c r="J974" s="48">
        <v>226117.5</v>
      </c>
      <c r="K974" s="19"/>
      <c r="L974" s="49">
        <f t="shared" si="540"/>
        <v>1490.8518494099</v>
      </c>
      <c r="M974" s="50">
        <v>151.67</v>
      </c>
      <c r="N974" s="45">
        <v>7.22</v>
      </c>
      <c r="O974" s="46">
        <f t="shared" si="541"/>
        <v>1095.0574</v>
      </c>
      <c r="P974" s="51"/>
      <c r="Q974" s="51"/>
      <c r="R974" s="73">
        <f t="shared" si="535"/>
        <v>789.656538461538</v>
      </c>
      <c r="S974" s="73"/>
      <c r="T974" s="74">
        <f t="shared" si="536"/>
        <v>1.90923076923077</v>
      </c>
      <c r="U974" s="73">
        <v>60</v>
      </c>
      <c r="V974" s="73"/>
      <c r="W974" s="73">
        <f t="shared" si="532"/>
        <v>851.565769230769</v>
      </c>
      <c r="X974" s="75">
        <f t="shared" si="537"/>
        <v>10.2423692307692</v>
      </c>
      <c r="Y974" s="75"/>
      <c r="Z974" s="75"/>
      <c r="AA974" s="75">
        <f t="shared" si="533"/>
        <v>10.2423692307692</v>
      </c>
      <c r="AB974" s="84">
        <v>7.22</v>
      </c>
      <c r="AC974" s="73">
        <f t="shared" si="530"/>
        <v>73.9499058461538</v>
      </c>
      <c r="AD974" s="73">
        <f t="shared" si="531"/>
        <v>925.515675076923</v>
      </c>
      <c r="AE974" s="73">
        <f t="shared" si="534"/>
        <v>169.541724923077</v>
      </c>
    </row>
    <row r="975" customFormat="1" spans="1:31">
      <c r="A975" s="18"/>
      <c r="B975" s="19"/>
      <c r="C975" s="20">
        <v>240528000007</v>
      </c>
      <c r="D975" s="21">
        <v>45447</v>
      </c>
      <c r="E975" s="21" t="s">
        <v>37</v>
      </c>
      <c r="F975" s="19" t="s">
        <v>38</v>
      </c>
      <c r="G975" s="19" t="s">
        <v>89</v>
      </c>
      <c r="H975" s="19">
        <v>1.5</v>
      </c>
      <c r="I975" s="41">
        <v>155.25</v>
      </c>
      <c r="J975" s="42"/>
      <c r="K975" s="44"/>
      <c r="L975" s="19"/>
      <c r="M975" s="44"/>
      <c r="N975" s="45"/>
      <c r="O975" s="46">
        <f t="shared" si="542"/>
        <v>155.25</v>
      </c>
      <c r="P975" s="51"/>
      <c r="Q975" s="51"/>
      <c r="R975" s="73">
        <f t="shared" si="535"/>
        <v>69.6755769230769</v>
      </c>
      <c r="S975" s="73"/>
      <c r="T975" s="74">
        <f t="shared" si="536"/>
        <v>0.168461538461538</v>
      </c>
      <c r="U975" s="73"/>
      <c r="V975" s="73"/>
      <c r="W975" s="73">
        <f t="shared" si="532"/>
        <v>69.8440384615385</v>
      </c>
      <c r="X975" s="75">
        <f t="shared" si="537"/>
        <v>0.903738461538461</v>
      </c>
      <c r="Y975" s="75"/>
      <c r="Z975" s="75"/>
      <c r="AA975" s="75">
        <f t="shared" si="533"/>
        <v>0.903738461538461</v>
      </c>
      <c r="AB975" s="84">
        <v>7.22</v>
      </c>
      <c r="AC975" s="73">
        <f t="shared" si="530"/>
        <v>6.52499169230769</v>
      </c>
      <c r="AD975" s="73">
        <f t="shared" si="531"/>
        <v>76.3690301538462</v>
      </c>
      <c r="AE975" s="73">
        <f t="shared" si="534"/>
        <v>78.8809698461538</v>
      </c>
    </row>
    <row r="976" customFormat="1" spans="1:31">
      <c r="A976" s="18"/>
      <c r="B976" s="19"/>
      <c r="C976" s="20">
        <v>240528000009</v>
      </c>
      <c r="D976" s="21">
        <v>45447</v>
      </c>
      <c r="E976" s="21" t="s">
        <v>54</v>
      </c>
      <c r="F976" s="19" t="s">
        <v>54</v>
      </c>
      <c r="G976" s="19" t="s">
        <v>92</v>
      </c>
      <c r="H976" s="19">
        <v>241.5</v>
      </c>
      <c r="I976" s="41">
        <v>12759.5</v>
      </c>
      <c r="J976" s="42"/>
      <c r="K976" s="44"/>
      <c r="L976" s="19"/>
      <c r="M976" s="44"/>
      <c r="N976" s="45"/>
      <c r="O976" s="46">
        <f t="shared" si="542"/>
        <v>12759.5</v>
      </c>
      <c r="P976" s="51"/>
      <c r="Q976" s="51"/>
      <c r="R976" s="73">
        <f t="shared" si="535"/>
        <v>11217.7678846154</v>
      </c>
      <c r="S976" s="73"/>
      <c r="T976" s="74">
        <f t="shared" si="536"/>
        <v>27.1223076923077</v>
      </c>
      <c r="U976" s="73"/>
      <c r="V976" s="73"/>
      <c r="W976" s="73">
        <f t="shared" si="532"/>
        <v>11244.8901923077</v>
      </c>
      <c r="X976" s="75">
        <f t="shared" si="537"/>
        <v>145.501892307692</v>
      </c>
      <c r="Y976" s="75"/>
      <c r="Z976" s="75"/>
      <c r="AA976" s="75">
        <f t="shared" si="533"/>
        <v>145.501892307692</v>
      </c>
      <c r="AB976" s="84">
        <v>7.22</v>
      </c>
      <c r="AC976" s="73">
        <f t="shared" si="530"/>
        <v>1050.52366246154</v>
      </c>
      <c r="AD976" s="73">
        <f t="shared" si="531"/>
        <v>12295.4138547692</v>
      </c>
      <c r="AE976" s="73">
        <f t="shared" si="534"/>
        <v>464.0861452308</v>
      </c>
    </row>
    <row r="977" customFormat="1" spans="1:31">
      <c r="A977" s="18"/>
      <c r="B977" s="19"/>
      <c r="C977" s="20">
        <v>240528000010</v>
      </c>
      <c r="D977" s="21">
        <v>45447</v>
      </c>
      <c r="E977" s="21" t="s">
        <v>54</v>
      </c>
      <c r="F977" s="19" t="s">
        <v>54</v>
      </c>
      <c r="G977" s="19" t="s">
        <v>288</v>
      </c>
      <c r="H977" s="19">
        <v>3</v>
      </c>
      <c r="I977" s="41">
        <v>316</v>
      </c>
      <c r="J977" s="42"/>
      <c r="K977" s="44"/>
      <c r="L977" s="19"/>
      <c r="M977" s="44"/>
      <c r="N977" s="45"/>
      <c r="O977" s="46">
        <f t="shared" si="542"/>
        <v>316</v>
      </c>
      <c r="P977" s="51"/>
      <c r="Q977" s="51"/>
      <c r="R977" s="73">
        <f t="shared" si="535"/>
        <v>139.351153846154</v>
      </c>
      <c r="S977" s="73"/>
      <c r="T977" s="74">
        <f t="shared" si="536"/>
        <v>0.336923076923077</v>
      </c>
      <c r="U977" s="73"/>
      <c r="V977" s="73"/>
      <c r="W977" s="73">
        <f t="shared" si="532"/>
        <v>139.688076923077</v>
      </c>
      <c r="X977" s="75">
        <f t="shared" si="537"/>
        <v>1.80747692307692</v>
      </c>
      <c r="Y977" s="75"/>
      <c r="Z977" s="75"/>
      <c r="AA977" s="75">
        <f t="shared" si="533"/>
        <v>1.80747692307692</v>
      </c>
      <c r="AB977" s="84">
        <v>7.22</v>
      </c>
      <c r="AC977" s="73">
        <f t="shared" si="530"/>
        <v>13.0499833846154</v>
      </c>
      <c r="AD977" s="73">
        <f t="shared" si="531"/>
        <v>152.738060307692</v>
      </c>
      <c r="AE977" s="73">
        <f t="shared" si="534"/>
        <v>163.261939692308</v>
      </c>
    </row>
    <row r="978" customFormat="1" spans="1:31">
      <c r="A978" s="18"/>
      <c r="B978" s="19"/>
      <c r="C978" s="20">
        <v>240528000012</v>
      </c>
      <c r="D978" s="21">
        <v>45447</v>
      </c>
      <c r="E978" s="21" t="s">
        <v>41</v>
      </c>
      <c r="F978" s="19" t="s">
        <v>42</v>
      </c>
      <c r="G978" s="19" t="s">
        <v>166</v>
      </c>
      <c r="H978" s="19">
        <v>13</v>
      </c>
      <c r="I978" s="41">
        <v>728</v>
      </c>
      <c r="J978" s="42"/>
      <c r="K978" s="44"/>
      <c r="L978" s="19"/>
      <c r="M978" s="44"/>
      <c r="N978" s="45"/>
      <c r="O978" s="46">
        <f t="shared" si="542"/>
        <v>728</v>
      </c>
      <c r="P978" s="51"/>
      <c r="Q978" s="51"/>
      <c r="R978" s="73">
        <f t="shared" si="535"/>
        <v>603.855</v>
      </c>
      <c r="S978" s="73"/>
      <c r="T978" s="74">
        <f t="shared" si="536"/>
        <v>1.46</v>
      </c>
      <c r="U978" s="73"/>
      <c r="V978" s="73"/>
      <c r="W978" s="73">
        <f t="shared" si="532"/>
        <v>605.315</v>
      </c>
      <c r="X978" s="75">
        <f t="shared" si="537"/>
        <v>7.8324</v>
      </c>
      <c r="Y978" s="75"/>
      <c r="Z978" s="75"/>
      <c r="AA978" s="75">
        <f t="shared" si="533"/>
        <v>7.8324</v>
      </c>
      <c r="AB978" s="84">
        <v>7.22</v>
      </c>
      <c r="AC978" s="73">
        <f t="shared" si="530"/>
        <v>56.549928</v>
      </c>
      <c r="AD978" s="73">
        <f t="shared" si="531"/>
        <v>661.864928</v>
      </c>
      <c r="AE978" s="73">
        <f t="shared" si="534"/>
        <v>66.135072</v>
      </c>
    </row>
    <row r="979" customFormat="1" spans="1:31">
      <c r="A979" s="18"/>
      <c r="B979" s="19"/>
      <c r="C979" s="20">
        <v>240528000015</v>
      </c>
      <c r="D979" s="21">
        <v>45447</v>
      </c>
      <c r="E979" s="21" t="s">
        <v>44</v>
      </c>
      <c r="F979" s="19" t="s">
        <v>45</v>
      </c>
      <c r="G979" s="19" t="s">
        <v>578</v>
      </c>
      <c r="H979" s="19">
        <v>4.5</v>
      </c>
      <c r="I979" s="41">
        <v>290.4</v>
      </c>
      <c r="J979" s="42"/>
      <c r="K979" s="44"/>
      <c r="L979" s="19"/>
      <c r="M979" s="44"/>
      <c r="N979" s="45"/>
      <c r="O979" s="46">
        <f t="shared" si="542"/>
        <v>290.4</v>
      </c>
      <c r="P979" s="51"/>
      <c r="Q979" s="51"/>
      <c r="R979" s="73">
        <f t="shared" si="535"/>
        <v>209.026730769231</v>
      </c>
      <c r="S979" s="73"/>
      <c r="T979" s="74">
        <f t="shared" si="536"/>
        <v>0.505384615384615</v>
      </c>
      <c r="U979" s="73"/>
      <c r="V979" s="73"/>
      <c r="W979" s="73">
        <f t="shared" si="532"/>
        <v>209.532115384615</v>
      </c>
      <c r="X979" s="75">
        <f t="shared" si="537"/>
        <v>2.71121538461538</v>
      </c>
      <c r="Y979" s="75"/>
      <c r="Z979" s="75"/>
      <c r="AA979" s="75">
        <f t="shared" si="533"/>
        <v>2.71121538461538</v>
      </c>
      <c r="AB979" s="84">
        <v>7.22</v>
      </c>
      <c r="AC979" s="73">
        <f t="shared" si="530"/>
        <v>19.5749750769231</v>
      </c>
      <c r="AD979" s="73">
        <f t="shared" si="531"/>
        <v>229.107090461538</v>
      </c>
      <c r="AE979" s="73">
        <f t="shared" si="534"/>
        <v>61.292909538462</v>
      </c>
    </row>
    <row r="980" customFormat="1" spans="1:31">
      <c r="A980" s="18"/>
      <c r="B980" s="19"/>
      <c r="C980" s="20">
        <v>240528000021</v>
      </c>
      <c r="D980" s="21">
        <v>45447</v>
      </c>
      <c r="E980" s="21" t="s">
        <v>44</v>
      </c>
      <c r="F980" s="19" t="s">
        <v>45</v>
      </c>
      <c r="G980" s="19" t="s">
        <v>197</v>
      </c>
      <c r="H980" s="19">
        <v>117.5</v>
      </c>
      <c r="I980" s="41">
        <v>8550</v>
      </c>
      <c r="J980" s="42"/>
      <c r="K980" s="44"/>
      <c r="L980" s="19"/>
      <c r="M980" s="44"/>
      <c r="N980" s="45"/>
      <c r="O980" s="46">
        <f t="shared" si="542"/>
        <v>8550</v>
      </c>
      <c r="P980" s="51"/>
      <c r="Q980" s="51"/>
      <c r="R980" s="73">
        <f t="shared" si="535"/>
        <v>5457.92019230769</v>
      </c>
      <c r="S980" s="73"/>
      <c r="T980" s="74">
        <f t="shared" si="536"/>
        <v>13.1961538461538</v>
      </c>
      <c r="U980" s="74">
        <v>160</v>
      </c>
      <c r="V980" s="73"/>
      <c r="W980" s="73">
        <f t="shared" si="532"/>
        <v>5631.11634615385</v>
      </c>
      <c r="X980" s="75">
        <f t="shared" si="537"/>
        <v>70.7928461538462</v>
      </c>
      <c r="Y980" s="75"/>
      <c r="Z980" s="75"/>
      <c r="AA980" s="75">
        <f t="shared" si="533"/>
        <v>70.7928461538462</v>
      </c>
      <c r="AB980" s="84">
        <v>7.22</v>
      </c>
      <c r="AC980" s="73">
        <f t="shared" si="530"/>
        <v>511.124349230769</v>
      </c>
      <c r="AD980" s="73">
        <f t="shared" si="531"/>
        <v>6142.24069538462</v>
      </c>
      <c r="AE980" s="73">
        <f t="shared" si="534"/>
        <v>2407.75930461538</v>
      </c>
    </row>
    <row r="981" customFormat="1" spans="1:31">
      <c r="A981" s="18"/>
      <c r="B981" s="19"/>
      <c r="C981" s="20">
        <v>240528000023</v>
      </c>
      <c r="D981" s="21">
        <v>45447</v>
      </c>
      <c r="E981" s="21" t="s">
        <v>54</v>
      </c>
      <c r="F981" s="19" t="s">
        <v>54</v>
      </c>
      <c r="G981" s="19" t="s">
        <v>100</v>
      </c>
      <c r="H981" s="19">
        <v>6</v>
      </c>
      <c r="I981" s="52">
        <v>369.6</v>
      </c>
      <c r="J981" s="42"/>
      <c r="K981" s="44"/>
      <c r="L981" s="19"/>
      <c r="M981" s="44"/>
      <c r="N981" s="45"/>
      <c r="O981" s="46">
        <f t="shared" si="542"/>
        <v>369.6</v>
      </c>
      <c r="P981" s="51"/>
      <c r="Q981" s="51"/>
      <c r="R981" s="73">
        <f t="shared" si="535"/>
        <v>278.702307692308</v>
      </c>
      <c r="S981" s="73"/>
      <c r="T981" s="74">
        <f t="shared" si="536"/>
        <v>0.673846153846154</v>
      </c>
      <c r="U981" s="73"/>
      <c r="V981" s="73"/>
      <c r="W981" s="73">
        <f t="shared" si="532"/>
        <v>279.376153846154</v>
      </c>
      <c r="X981" s="75">
        <f t="shared" si="537"/>
        <v>3.61495384615385</v>
      </c>
      <c r="Y981" s="75"/>
      <c r="Z981" s="75"/>
      <c r="AA981" s="75">
        <f t="shared" si="533"/>
        <v>3.61495384615385</v>
      </c>
      <c r="AB981" s="84">
        <v>7.22</v>
      </c>
      <c r="AC981" s="73">
        <f t="shared" si="530"/>
        <v>26.0999667692308</v>
      </c>
      <c r="AD981" s="73">
        <f t="shared" si="531"/>
        <v>305.476120615385</v>
      </c>
      <c r="AE981" s="73">
        <f t="shared" si="534"/>
        <v>64.123879384615</v>
      </c>
    </row>
    <row r="982" customFormat="1" spans="1:31">
      <c r="A982" s="18"/>
      <c r="B982" s="19"/>
      <c r="C982" s="20">
        <v>240528000024</v>
      </c>
      <c r="D982" s="21">
        <v>45447</v>
      </c>
      <c r="E982" s="21" t="s">
        <v>44</v>
      </c>
      <c r="F982" s="19" t="s">
        <v>45</v>
      </c>
      <c r="G982" s="19" t="s">
        <v>299</v>
      </c>
      <c r="H982" s="19">
        <v>22.5</v>
      </c>
      <c r="I982" s="52"/>
      <c r="J982" s="48">
        <v>272693</v>
      </c>
      <c r="K982" s="44"/>
      <c r="L982" s="49">
        <f>SUM(J982/M982)</f>
        <v>1490.94040459267</v>
      </c>
      <c r="M982" s="50">
        <v>182.9</v>
      </c>
      <c r="N982" s="45">
        <v>7.22</v>
      </c>
      <c r="O982" s="46">
        <f>SUM(M982*N982)</f>
        <v>1320.538</v>
      </c>
      <c r="P982" s="51"/>
      <c r="Q982" s="51"/>
      <c r="R982" s="73">
        <f t="shared" si="535"/>
        <v>1045.13365384615</v>
      </c>
      <c r="S982" s="73"/>
      <c r="T982" s="74">
        <f t="shared" si="536"/>
        <v>2.52692307692308</v>
      </c>
      <c r="U982" s="73"/>
      <c r="V982" s="73"/>
      <c r="W982" s="73">
        <f t="shared" si="532"/>
        <v>1047.66057692308</v>
      </c>
      <c r="X982" s="75">
        <f t="shared" si="537"/>
        <v>13.5560769230769</v>
      </c>
      <c r="Y982" s="75"/>
      <c r="Z982" s="75"/>
      <c r="AA982" s="75">
        <f t="shared" si="533"/>
        <v>13.5560769230769</v>
      </c>
      <c r="AB982" s="84">
        <v>7.22</v>
      </c>
      <c r="AC982" s="73">
        <f t="shared" si="530"/>
        <v>97.8748753846154</v>
      </c>
      <c r="AD982" s="73">
        <f t="shared" si="531"/>
        <v>1145.53545230769</v>
      </c>
      <c r="AE982" s="73">
        <f t="shared" si="534"/>
        <v>175.00254769231</v>
      </c>
    </row>
    <row r="983" customFormat="1" spans="1:31">
      <c r="A983" s="18"/>
      <c r="B983" s="19"/>
      <c r="C983" s="20">
        <v>240528000030</v>
      </c>
      <c r="D983" s="21">
        <v>45447</v>
      </c>
      <c r="E983" s="21" t="s">
        <v>54</v>
      </c>
      <c r="F983" s="19" t="s">
        <v>54</v>
      </c>
      <c r="G983" s="19" t="s">
        <v>579</v>
      </c>
      <c r="H983" s="19">
        <v>36</v>
      </c>
      <c r="I983" s="41">
        <v>2088</v>
      </c>
      <c r="J983" s="42"/>
      <c r="K983" s="44"/>
      <c r="L983" s="19"/>
      <c r="M983" s="44"/>
      <c r="N983" s="45"/>
      <c r="O983" s="46">
        <f t="shared" ref="O983:O991" si="543">SUM(I983)</f>
        <v>2088</v>
      </c>
      <c r="P983" s="51"/>
      <c r="Q983" s="51"/>
      <c r="R983" s="73">
        <f t="shared" si="535"/>
        <v>1672.21384615385</v>
      </c>
      <c r="S983" s="73"/>
      <c r="T983" s="74">
        <f t="shared" si="536"/>
        <v>4.04307692307692</v>
      </c>
      <c r="U983" s="73"/>
      <c r="V983" s="73"/>
      <c r="W983" s="73">
        <f t="shared" si="532"/>
        <v>1676.25692307692</v>
      </c>
      <c r="X983" s="75">
        <f t="shared" si="537"/>
        <v>21.6897230769231</v>
      </c>
      <c r="Y983" s="75"/>
      <c r="Z983" s="75"/>
      <c r="AA983" s="75">
        <f t="shared" si="533"/>
        <v>21.6897230769231</v>
      </c>
      <c r="AB983" s="84">
        <v>7.22</v>
      </c>
      <c r="AC983" s="73">
        <f t="shared" si="530"/>
        <v>156.599800615385</v>
      </c>
      <c r="AD983" s="73">
        <f t="shared" si="531"/>
        <v>1832.85672369231</v>
      </c>
      <c r="AE983" s="73">
        <f t="shared" si="534"/>
        <v>255.14327630769</v>
      </c>
    </row>
    <row r="984" customFormat="1" spans="1:31">
      <c r="A984" s="18"/>
      <c r="B984" s="19"/>
      <c r="C984" s="20">
        <v>240528000036</v>
      </c>
      <c r="D984" s="21">
        <v>45447</v>
      </c>
      <c r="E984" s="23" t="s">
        <v>81</v>
      </c>
      <c r="F984" s="19" t="s">
        <v>82</v>
      </c>
      <c r="G984" s="19" t="s">
        <v>83</v>
      </c>
      <c r="H984" s="19">
        <v>4</v>
      </c>
      <c r="I984" s="41">
        <v>329</v>
      </c>
      <c r="J984" s="42"/>
      <c r="K984" s="44"/>
      <c r="L984" s="19"/>
      <c r="M984" s="44"/>
      <c r="N984" s="45"/>
      <c r="O984" s="46">
        <f t="shared" si="543"/>
        <v>329</v>
      </c>
      <c r="P984" s="51"/>
      <c r="Q984" s="51"/>
      <c r="R984" s="73">
        <f t="shared" si="535"/>
        <v>185.801538461538</v>
      </c>
      <c r="S984" s="73"/>
      <c r="T984" s="74">
        <f t="shared" si="536"/>
        <v>0.449230769230769</v>
      </c>
      <c r="U984" s="73"/>
      <c r="V984" s="73"/>
      <c r="W984" s="73">
        <f t="shared" si="532"/>
        <v>186.250769230769</v>
      </c>
      <c r="X984" s="75">
        <f t="shared" si="537"/>
        <v>2.40996923076923</v>
      </c>
      <c r="Y984" s="75"/>
      <c r="Z984" s="75"/>
      <c r="AA984" s="75">
        <f t="shared" si="533"/>
        <v>2.40996923076923</v>
      </c>
      <c r="AB984" s="84">
        <v>7.22</v>
      </c>
      <c r="AC984" s="73">
        <f t="shared" si="530"/>
        <v>17.3999778461538</v>
      </c>
      <c r="AD984" s="73">
        <f t="shared" si="531"/>
        <v>203.650747076923</v>
      </c>
      <c r="AE984" s="73">
        <f t="shared" si="534"/>
        <v>125.349252923077</v>
      </c>
    </row>
    <row r="985" customFormat="1" spans="1:31">
      <c r="A985" s="18"/>
      <c r="B985" s="19"/>
      <c r="C985" s="20">
        <v>240528000037</v>
      </c>
      <c r="D985" s="21">
        <v>45447</v>
      </c>
      <c r="E985" s="21" t="s">
        <v>44</v>
      </c>
      <c r="F985" s="19" t="s">
        <v>45</v>
      </c>
      <c r="G985" s="19" t="s">
        <v>412</v>
      </c>
      <c r="H985" s="19">
        <v>0.1</v>
      </c>
      <c r="I985" s="41">
        <v>67.1</v>
      </c>
      <c r="J985" s="42"/>
      <c r="K985" s="44"/>
      <c r="L985" s="19"/>
      <c r="M985" s="44"/>
      <c r="N985" s="45"/>
      <c r="O985" s="46">
        <f t="shared" si="543"/>
        <v>67.1</v>
      </c>
      <c r="P985" s="51"/>
      <c r="Q985" s="51"/>
      <c r="R985" s="73">
        <f t="shared" si="535"/>
        <v>4.64503846153846</v>
      </c>
      <c r="S985" s="73"/>
      <c r="T985" s="74">
        <f t="shared" si="536"/>
        <v>0.0112307692307692</v>
      </c>
      <c r="U985" s="73"/>
      <c r="V985" s="73"/>
      <c r="W985" s="73">
        <f t="shared" si="532"/>
        <v>4.65626923076923</v>
      </c>
      <c r="X985" s="75">
        <f t="shared" si="537"/>
        <v>0.0602492307692308</v>
      </c>
      <c r="Y985" s="75"/>
      <c r="Z985" s="75"/>
      <c r="AA985" s="75">
        <f t="shared" si="533"/>
        <v>0.0602492307692308</v>
      </c>
      <c r="AB985" s="84">
        <v>7.22</v>
      </c>
      <c r="AC985" s="73">
        <f t="shared" si="530"/>
        <v>0.434999446153846</v>
      </c>
      <c r="AD985" s="73">
        <f t="shared" si="531"/>
        <v>5.09126867692308</v>
      </c>
      <c r="AE985" s="73">
        <f t="shared" ref="AE985:AE1006" si="544">SUM(O985-AD985)</f>
        <v>62.0087313230769</v>
      </c>
    </row>
    <row r="986" customFormat="1" spans="1:31">
      <c r="A986" s="18"/>
      <c r="B986" s="19"/>
      <c r="C986" s="20">
        <v>240528000041</v>
      </c>
      <c r="D986" s="21">
        <v>45447</v>
      </c>
      <c r="E986" s="21" t="s">
        <v>41</v>
      </c>
      <c r="F986" s="19" t="s">
        <v>42</v>
      </c>
      <c r="G986" s="19" t="s">
        <v>580</v>
      </c>
      <c r="H986" s="19">
        <v>9</v>
      </c>
      <c r="I986" s="41">
        <v>610.5</v>
      </c>
      <c r="J986" s="42"/>
      <c r="K986" s="44"/>
      <c r="L986" s="19"/>
      <c r="M986" s="44"/>
      <c r="N986" s="45"/>
      <c r="O986" s="46">
        <f t="shared" si="543"/>
        <v>610.5</v>
      </c>
      <c r="P986" s="51"/>
      <c r="Q986" s="51"/>
      <c r="R986" s="73">
        <f t="shared" si="535"/>
        <v>418.053461538462</v>
      </c>
      <c r="S986" s="73"/>
      <c r="T986" s="74">
        <f t="shared" si="536"/>
        <v>1.01076923076923</v>
      </c>
      <c r="U986" s="73"/>
      <c r="V986" s="73"/>
      <c r="W986" s="73">
        <f t="shared" si="532"/>
        <v>419.064230769231</v>
      </c>
      <c r="X986" s="75">
        <f t="shared" si="537"/>
        <v>5.42243076923077</v>
      </c>
      <c r="Y986" s="75"/>
      <c r="Z986" s="75"/>
      <c r="AA986" s="75">
        <f t="shared" si="533"/>
        <v>5.42243076923077</v>
      </c>
      <c r="AB986" s="84">
        <v>7.22</v>
      </c>
      <c r="AC986" s="73">
        <f t="shared" si="530"/>
        <v>39.1499501538461</v>
      </c>
      <c r="AD986" s="73">
        <f t="shared" si="531"/>
        <v>458.214180923077</v>
      </c>
      <c r="AE986" s="73">
        <f t="shared" si="544"/>
        <v>152.285819076923</v>
      </c>
    </row>
    <row r="987" customFormat="1" spans="1:31">
      <c r="A987" s="18"/>
      <c r="B987" s="19"/>
      <c r="C987" s="20">
        <v>240528000047</v>
      </c>
      <c r="D987" s="21">
        <v>45447</v>
      </c>
      <c r="E987" s="21" t="s">
        <v>54</v>
      </c>
      <c r="F987" s="19" t="s">
        <v>54</v>
      </c>
      <c r="G987" s="19" t="s">
        <v>92</v>
      </c>
      <c r="H987" s="19">
        <v>645.5</v>
      </c>
      <c r="I987" s="41">
        <v>32597.75</v>
      </c>
      <c r="J987" s="42"/>
      <c r="K987" s="44"/>
      <c r="L987" s="19"/>
      <c r="M987" s="44"/>
      <c r="N987" s="45"/>
      <c r="O987" s="46">
        <f t="shared" si="543"/>
        <v>32597.75</v>
      </c>
      <c r="P987" s="51"/>
      <c r="Q987" s="51"/>
      <c r="R987" s="73">
        <f t="shared" si="535"/>
        <v>29983.7232692308</v>
      </c>
      <c r="S987" s="73"/>
      <c r="T987" s="74">
        <f t="shared" si="536"/>
        <v>72.4946153846154</v>
      </c>
      <c r="U987" s="73"/>
      <c r="V987" s="73"/>
      <c r="W987" s="73">
        <f t="shared" si="532"/>
        <v>30056.2178846154</v>
      </c>
      <c r="X987" s="75">
        <f t="shared" si="537"/>
        <v>388.908784615385</v>
      </c>
      <c r="Y987" s="75"/>
      <c r="Z987" s="75"/>
      <c r="AA987" s="75">
        <f t="shared" si="533"/>
        <v>388.908784615385</v>
      </c>
      <c r="AB987" s="84">
        <v>7.22</v>
      </c>
      <c r="AC987" s="73">
        <f t="shared" ref="AC987:AC1006" si="545">SUM(AA987*AB987)</f>
        <v>2807.92142492308</v>
      </c>
      <c r="AD987" s="73">
        <f t="shared" ref="AD987:AD1006" si="546">SUM(W987+AC987)</f>
        <v>32864.1393095385</v>
      </c>
      <c r="AE987" s="73">
        <f t="shared" si="544"/>
        <v>-266.389309538463</v>
      </c>
    </row>
    <row r="988" customFormat="1" spans="1:31">
      <c r="A988" s="18"/>
      <c r="B988" s="19"/>
      <c r="C988" s="20">
        <v>240529000029</v>
      </c>
      <c r="D988" s="21">
        <v>45447</v>
      </c>
      <c r="E988" s="21" t="s">
        <v>47</v>
      </c>
      <c r="F988" s="19" t="s">
        <v>48</v>
      </c>
      <c r="G988" s="19" t="s">
        <v>186</v>
      </c>
      <c r="H988" s="19">
        <v>24</v>
      </c>
      <c r="I988" s="41">
        <v>1588</v>
      </c>
      <c r="J988" s="42"/>
      <c r="K988" s="44"/>
      <c r="L988" s="19"/>
      <c r="M988" s="44"/>
      <c r="N988" s="45"/>
      <c r="O988" s="46">
        <f t="shared" si="543"/>
        <v>1588</v>
      </c>
      <c r="P988" s="53"/>
      <c r="Q988" s="53"/>
      <c r="R988" s="73">
        <f t="shared" si="535"/>
        <v>1114.80923076923</v>
      </c>
      <c r="S988" s="73"/>
      <c r="T988" s="74">
        <f t="shared" si="536"/>
        <v>2.69538461538461</v>
      </c>
      <c r="U988" s="73"/>
      <c r="V988" s="74">
        <v>47</v>
      </c>
      <c r="W988" s="73">
        <f t="shared" ref="W988:W1006" si="547">SUM(R988:V988)</f>
        <v>1164.50461538462</v>
      </c>
      <c r="X988" s="75">
        <f t="shared" si="537"/>
        <v>14.4598153846154</v>
      </c>
      <c r="Y988" s="75"/>
      <c r="Z988" s="75"/>
      <c r="AA988" s="75">
        <f t="shared" si="533"/>
        <v>14.4598153846154</v>
      </c>
      <c r="AB988" s="84">
        <v>7.22</v>
      </c>
      <c r="AC988" s="73">
        <f t="shared" si="545"/>
        <v>104.399867076923</v>
      </c>
      <c r="AD988" s="73">
        <f t="shared" si="546"/>
        <v>1268.90448246154</v>
      </c>
      <c r="AE988" s="73">
        <f t="shared" si="544"/>
        <v>319.095517538462</v>
      </c>
    </row>
    <row r="989" customFormat="1" spans="1:31">
      <c r="A989" s="18" t="s">
        <v>581</v>
      </c>
      <c r="B989" s="19" t="s">
        <v>582</v>
      </c>
      <c r="C989" s="20">
        <v>240526000006</v>
      </c>
      <c r="D989" s="21">
        <v>45443</v>
      </c>
      <c r="E989" s="21" t="s">
        <v>41</v>
      </c>
      <c r="F989" s="19" t="s">
        <v>42</v>
      </c>
      <c r="G989" s="19" t="s">
        <v>194</v>
      </c>
      <c r="H989" s="19">
        <v>2</v>
      </c>
      <c r="I989" s="41">
        <v>230</v>
      </c>
      <c r="J989" s="42"/>
      <c r="K989" s="44"/>
      <c r="L989" s="19"/>
      <c r="M989" s="44"/>
      <c r="N989" s="119"/>
      <c r="O989" s="46">
        <f t="shared" si="543"/>
        <v>230</v>
      </c>
      <c r="P989" s="47">
        <f>SUM(O989:O1006)</f>
        <v>8621.3706</v>
      </c>
      <c r="Q989" s="47" t="s">
        <v>40</v>
      </c>
      <c r="R989" s="73">
        <f>SUM(4800/64)*H989</f>
        <v>150</v>
      </c>
      <c r="S989" s="74">
        <f>SUM(52.41/64)*H989</f>
        <v>1.6378125</v>
      </c>
      <c r="T989" s="73"/>
      <c r="U989" s="73"/>
      <c r="V989" s="73"/>
      <c r="W989" s="73">
        <f t="shared" si="547"/>
        <v>151.6378125</v>
      </c>
      <c r="X989" s="75">
        <f>SUM(108.93/64)*H989</f>
        <v>3.4040625</v>
      </c>
      <c r="Y989" s="75"/>
      <c r="Z989" s="75"/>
      <c r="AA989" s="75">
        <f t="shared" ref="AA989:AA1006" si="548">SUM(X989:Z989)</f>
        <v>3.4040625</v>
      </c>
      <c r="AB989" s="84">
        <v>7.22</v>
      </c>
      <c r="AC989" s="73">
        <f t="shared" si="545"/>
        <v>24.57733125</v>
      </c>
      <c r="AD989" s="73">
        <f t="shared" si="546"/>
        <v>176.21514375</v>
      </c>
      <c r="AE989" s="73">
        <f t="shared" si="544"/>
        <v>53.78485625</v>
      </c>
    </row>
    <row r="990" customFormat="1" spans="1:31">
      <c r="A990" s="18"/>
      <c r="B990" s="19"/>
      <c r="C990" s="20">
        <v>240527000004</v>
      </c>
      <c r="D990" s="21">
        <v>45443</v>
      </c>
      <c r="E990" s="21" t="s">
        <v>47</v>
      </c>
      <c r="F990" s="19" t="s">
        <v>48</v>
      </c>
      <c r="G990" s="19" t="s">
        <v>575</v>
      </c>
      <c r="H990" s="19">
        <v>12.5</v>
      </c>
      <c r="I990" s="41">
        <v>1500</v>
      </c>
      <c r="J990" s="42"/>
      <c r="K990" s="44"/>
      <c r="L990" s="19"/>
      <c r="M990" s="44"/>
      <c r="N990" s="119"/>
      <c r="O990" s="46">
        <f t="shared" si="543"/>
        <v>1500</v>
      </c>
      <c r="P990" s="51"/>
      <c r="Q990" s="51"/>
      <c r="R990" s="73">
        <f t="shared" ref="R990:R1006" si="549">SUM(4800/64)*H990</f>
        <v>937.5</v>
      </c>
      <c r="S990" s="74">
        <f t="shared" ref="S990:S1006" si="550">SUM(52.41/64)*H990</f>
        <v>10.236328125</v>
      </c>
      <c r="T990" s="73"/>
      <c r="U990" s="73"/>
      <c r="V990" s="73"/>
      <c r="W990" s="73">
        <f t="shared" si="547"/>
        <v>947.736328125</v>
      </c>
      <c r="X990" s="75">
        <f t="shared" ref="X990:X1006" si="551">SUM(108.93/64)*H990</f>
        <v>21.275390625</v>
      </c>
      <c r="Y990" s="75"/>
      <c r="Z990" s="75"/>
      <c r="AA990" s="75">
        <f t="shared" si="548"/>
        <v>21.275390625</v>
      </c>
      <c r="AB990" s="84">
        <v>7.22</v>
      </c>
      <c r="AC990" s="73">
        <f t="shared" si="545"/>
        <v>153.6083203125</v>
      </c>
      <c r="AD990" s="73">
        <f t="shared" si="546"/>
        <v>1101.3446484375</v>
      </c>
      <c r="AE990" s="73">
        <f t="shared" si="544"/>
        <v>398.6553515625</v>
      </c>
    </row>
    <row r="991" customFormat="1" spans="1:31">
      <c r="A991" s="18"/>
      <c r="B991" s="19"/>
      <c r="C991" s="20">
        <v>240527000020</v>
      </c>
      <c r="D991" s="21">
        <v>45443</v>
      </c>
      <c r="E991" s="21" t="s">
        <v>47</v>
      </c>
      <c r="F991" s="19" t="s">
        <v>48</v>
      </c>
      <c r="G991" s="19" t="s">
        <v>49</v>
      </c>
      <c r="H991" s="19">
        <v>4.5</v>
      </c>
      <c r="I991" s="41">
        <v>611</v>
      </c>
      <c r="J991" s="42"/>
      <c r="K991" s="44"/>
      <c r="L991" s="19"/>
      <c r="M991" s="44"/>
      <c r="N991" s="119"/>
      <c r="O991" s="46">
        <f t="shared" si="543"/>
        <v>611</v>
      </c>
      <c r="P991" s="51"/>
      <c r="Q991" s="51"/>
      <c r="R991" s="73">
        <f t="shared" si="549"/>
        <v>337.5</v>
      </c>
      <c r="S991" s="74">
        <f t="shared" si="550"/>
        <v>3.685078125</v>
      </c>
      <c r="T991" s="73"/>
      <c r="U991" s="73"/>
      <c r="V991" s="74">
        <v>71</v>
      </c>
      <c r="W991" s="73">
        <f t="shared" si="547"/>
        <v>412.185078125</v>
      </c>
      <c r="X991" s="75">
        <f t="shared" si="551"/>
        <v>7.659140625</v>
      </c>
      <c r="Y991" s="75"/>
      <c r="Z991" s="75"/>
      <c r="AA991" s="75">
        <f t="shared" si="548"/>
        <v>7.659140625</v>
      </c>
      <c r="AB991" s="84">
        <v>7.22</v>
      </c>
      <c r="AC991" s="73">
        <f t="shared" si="545"/>
        <v>55.2989953125</v>
      </c>
      <c r="AD991" s="73">
        <f t="shared" si="546"/>
        <v>467.4840734375</v>
      </c>
      <c r="AE991" s="73">
        <f t="shared" si="544"/>
        <v>143.5159265625</v>
      </c>
    </row>
    <row r="992" customFormat="1" spans="1:31">
      <c r="A992" s="18"/>
      <c r="B992" s="19"/>
      <c r="C992" s="20">
        <v>240527000029</v>
      </c>
      <c r="D992" s="21">
        <v>45443</v>
      </c>
      <c r="E992" s="21" t="s">
        <v>41</v>
      </c>
      <c r="F992" s="19" t="s">
        <v>42</v>
      </c>
      <c r="G992" s="19" t="s">
        <v>378</v>
      </c>
      <c r="H992" s="19">
        <v>0.4</v>
      </c>
      <c r="I992" s="52"/>
      <c r="J992" s="48">
        <v>31000</v>
      </c>
      <c r="K992" s="44"/>
      <c r="L992" s="49">
        <f>SUM(J992/M992)</f>
        <v>1492.53731343284</v>
      </c>
      <c r="M992" s="50">
        <v>20.77</v>
      </c>
      <c r="N992" s="119">
        <v>7.22</v>
      </c>
      <c r="O992" s="46">
        <f>SUM(M992*N992)</f>
        <v>149.9594</v>
      </c>
      <c r="P992" s="51"/>
      <c r="Q992" s="51"/>
      <c r="R992" s="73">
        <f t="shared" si="549"/>
        <v>30</v>
      </c>
      <c r="S992" s="74">
        <f t="shared" si="550"/>
        <v>0.3275625</v>
      </c>
      <c r="T992" s="73"/>
      <c r="U992" s="73"/>
      <c r="V992" s="73"/>
      <c r="W992" s="73">
        <f t="shared" si="547"/>
        <v>30.3275625</v>
      </c>
      <c r="X992" s="75">
        <f t="shared" si="551"/>
        <v>0.6808125</v>
      </c>
      <c r="Y992" s="75"/>
      <c r="Z992" s="75"/>
      <c r="AA992" s="75">
        <f t="shared" si="548"/>
        <v>0.6808125</v>
      </c>
      <c r="AB992" s="84">
        <v>7.22</v>
      </c>
      <c r="AC992" s="73">
        <f t="shared" si="545"/>
        <v>4.91546625</v>
      </c>
      <c r="AD992" s="73">
        <f t="shared" si="546"/>
        <v>35.24302875</v>
      </c>
      <c r="AE992" s="73">
        <f t="shared" si="544"/>
        <v>114.71637125</v>
      </c>
    </row>
    <row r="993" customFormat="1" spans="1:31">
      <c r="A993" s="18"/>
      <c r="B993" s="19"/>
      <c r="C993" s="20">
        <v>240527000059</v>
      </c>
      <c r="D993" s="21">
        <v>45443</v>
      </c>
      <c r="E993" s="21" t="s">
        <v>41</v>
      </c>
      <c r="F993" s="19" t="s">
        <v>42</v>
      </c>
      <c r="G993" s="19" t="s">
        <v>566</v>
      </c>
      <c r="H993" s="19">
        <v>2.5</v>
      </c>
      <c r="I993" s="52"/>
      <c r="J993" s="48">
        <v>30000</v>
      </c>
      <c r="K993" s="44"/>
      <c r="L993" s="49">
        <f>SUM(J993/M993)</f>
        <v>1464.12884333821</v>
      </c>
      <c r="M993" s="50">
        <v>20.49</v>
      </c>
      <c r="N993" s="119">
        <v>7.22</v>
      </c>
      <c r="O993" s="46">
        <f>SUM(M993*N993)</f>
        <v>147.9378</v>
      </c>
      <c r="P993" s="51"/>
      <c r="Q993" s="51"/>
      <c r="R993" s="73">
        <f t="shared" si="549"/>
        <v>187.5</v>
      </c>
      <c r="S993" s="74">
        <f t="shared" si="550"/>
        <v>2.047265625</v>
      </c>
      <c r="T993" s="73"/>
      <c r="U993" s="73"/>
      <c r="V993" s="73"/>
      <c r="W993" s="73">
        <f t="shared" si="547"/>
        <v>189.547265625</v>
      </c>
      <c r="X993" s="75">
        <f t="shared" si="551"/>
        <v>4.255078125</v>
      </c>
      <c r="Y993" s="75"/>
      <c r="Z993" s="75"/>
      <c r="AA993" s="75">
        <f t="shared" si="548"/>
        <v>4.255078125</v>
      </c>
      <c r="AB993" s="84">
        <v>7.22</v>
      </c>
      <c r="AC993" s="73">
        <f t="shared" si="545"/>
        <v>30.7216640625</v>
      </c>
      <c r="AD993" s="73">
        <f t="shared" si="546"/>
        <v>220.2689296875</v>
      </c>
      <c r="AE993" s="73">
        <f t="shared" si="544"/>
        <v>-72.3311296875</v>
      </c>
    </row>
    <row r="994" customFormat="1" spans="1:31">
      <c r="A994" s="18"/>
      <c r="B994" s="19"/>
      <c r="C994" s="20">
        <v>240528000001</v>
      </c>
      <c r="D994" s="21">
        <v>45443</v>
      </c>
      <c r="E994" s="21" t="s">
        <v>44</v>
      </c>
      <c r="F994" s="19" t="s">
        <v>583</v>
      </c>
      <c r="G994" s="19" t="s">
        <v>583</v>
      </c>
      <c r="H994" s="19">
        <v>0.29</v>
      </c>
      <c r="I994" s="41">
        <v>115</v>
      </c>
      <c r="J994" s="42"/>
      <c r="K994" s="44"/>
      <c r="L994" s="19"/>
      <c r="M994" s="44"/>
      <c r="N994" s="119"/>
      <c r="O994" s="46">
        <f t="shared" ref="O994:O997" si="552">SUM(I994)</f>
        <v>115</v>
      </c>
      <c r="P994" s="51"/>
      <c r="Q994" s="51"/>
      <c r="R994" s="73">
        <f t="shared" si="549"/>
        <v>21.75</v>
      </c>
      <c r="S994" s="74">
        <f t="shared" si="550"/>
        <v>0.2374828125</v>
      </c>
      <c r="T994" s="73"/>
      <c r="U994" s="73"/>
      <c r="V994" s="73"/>
      <c r="W994" s="73">
        <f t="shared" si="547"/>
        <v>21.9874828125</v>
      </c>
      <c r="X994" s="75">
        <f t="shared" si="551"/>
        <v>0.4935890625</v>
      </c>
      <c r="Y994" s="75"/>
      <c r="Z994" s="75"/>
      <c r="AA994" s="75">
        <f t="shared" si="548"/>
        <v>0.4935890625</v>
      </c>
      <c r="AB994" s="84">
        <v>7.22</v>
      </c>
      <c r="AC994" s="73">
        <f t="shared" si="545"/>
        <v>3.56371303125</v>
      </c>
      <c r="AD994" s="73">
        <f t="shared" si="546"/>
        <v>25.55119584375</v>
      </c>
      <c r="AE994" s="73">
        <f t="shared" si="544"/>
        <v>89.44880415625</v>
      </c>
    </row>
    <row r="995" customFormat="1" spans="1:31">
      <c r="A995" s="18"/>
      <c r="B995" s="19"/>
      <c r="C995" s="20">
        <v>240528000003</v>
      </c>
      <c r="D995" s="21">
        <v>45443</v>
      </c>
      <c r="E995" s="21" t="s">
        <v>47</v>
      </c>
      <c r="F995" s="19" t="s">
        <v>48</v>
      </c>
      <c r="G995" s="19" t="s">
        <v>49</v>
      </c>
      <c r="H995" s="19">
        <v>17</v>
      </c>
      <c r="I995" s="41">
        <v>2063</v>
      </c>
      <c r="J995" s="42"/>
      <c r="K995" s="44"/>
      <c r="L995" s="19"/>
      <c r="M995" s="44"/>
      <c r="N995" s="119"/>
      <c r="O995" s="46">
        <f t="shared" si="552"/>
        <v>2063</v>
      </c>
      <c r="P995" s="51"/>
      <c r="Q995" s="51"/>
      <c r="R995" s="73">
        <f t="shared" si="549"/>
        <v>1275</v>
      </c>
      <c r="S995" s="74">
        <f t="shared" si="550"/>
        <v>13.92140625</v>
      </c>
      <c r="T995" s="73"/>
      <c r="U995" s="73"/>
      <c r="V995" s="74">
        <v>23</v>
      </c>
      <c r="W995" s="73">
        <f t="shared" si="547"/>
        <v>1311.92140625</v>
      </c>
      <c r="X995" s="75">
        <f t="shared" si="551"/>
        <v>28.93453125</v>
      </c>
      <c r="Y995" s="75"/>
      <c r="Z995" s="75"/>
      <c r="AA995" s="75">
        <f t="shared" si="548"/>
        <v>28.93453125</v>
      </c>
      <c r="AB995" s="84">
        <v>7.22</v>
      </c>
      <c r="AC995" s="73">
        <f t="shared" si="545"/>
        <v>208.907315625</v>
      </c>
      <c r="AD995" s="73">
        <f t="shared" si="546"/>
        <v>1520.828721875</v>
      </c>
      <c r="AE995" s="73">
        <f t="shared" si="544"/>
        <v>542.171278125</v>
      </c>
    </row>
    <row r="996" customFormat="1" spans="1:31">
      <c r="A996" s="18"/>
      <c r="B996" s="19"/>
      <c r="C996" s="20">
        <v>240528000032</v>
      </c>
      <c r="D996" s="21">
        <v>45443</v>
      </c>
      <c r="E996" s="21" t="s">
        <v>64</v>
      </c>
      <c r="F996" s="19" t="s">
        <v>65</v>
      </c>
      <c r="G996" s="19" t="s">
        <v>584</v>
      </c>
      <c r="H996" s="19">
        <v>0.91</v>
      </c>
      <c r="I996" s="41">
        <v>73.7</v>
      </c>
      <c r="J996" s="42"/>
      <c r="K996" s="44"/>
      <c r="L996" s="19"/>
      <c r="M996" s="44"/>
      <c r="N996" s="119"/>
      <c r="O996" s="46">
        <f t="shared" si="552"/>
        <v>73.7</v>
      </c>
      <c r="P996" s="51"/>
      <c r="Q996" s="51"/>
      <c r="R996" s="73">
        <f t="shared" si="549"/>
        <v>68.25</v>
      </c>
      <c r="S996" s="74">
        <f t="shared" si="550"/>
        <v>0.7452046875</v>
      </c>
      <c r="T996" s="73"/>
      <c r="U996" s="73"/>
      <c r="V996" s="73"/>
      <c r="W996" s="73">
        <f t="shared" si="547"/>
        <v>68.9952046875</v>
      </c>
      <c r="X996" s="75">
        <f t="shared" si="551"/>
        <v>1.5488484375</v>
      </c>
      <c r="Y996" s="75"/>
      <c r="Z996" s="75"/>
      <c r="AA996" s="75">
        <f t="shared" si="548"/>
        <v>1.5488484375</v>
      </c>
      <c r="AB996" s="84">
        <v>7.22</v>
      </c>
      <c r="AC996" s="73">
        <f t="shared" si="545"/>
        <v>11.18268571875</v>
      </c>
      <c r="AD996" s="73">
        <f t="shared" si="546"/>
        <v>80.17789040625</v>
      </c>
      <c r="AE996" s="73">
        <f t="shared" si="544"/>
        <v>-6.47789040625001</v>
      </c>
    </row>
    <row r="997" customFormat="1" spans="1:31">
      <c r="A997" s="18"/>
      <c r="B997" s="19"/>
      <c r="C997" s="20">
        <v>240528000033</v>
      </c>
      <c r="D997" s="21">
        <v>45443</v>
      </c>
      <c r="E997" s="21" t="s">
        <v>37</v>
      </c>
      <c r="F997" s="19" t="s">
        <v>38</v>
      </c>
      <c r="G997" s="19" t="s">
        <v>585</v>
      </c>
      <c r="H997" s="19">
        <v>4</v>
      </c>
      <c r="I997" s="41">
        <v>460</v>
      </c>
      <c r="J997" s="42"/>
      <c r="K997" s="44"/>
      <c r="L997" s="19"/>
      <c r="M997" s="44"/>
      <c r="N997" s="119"/>
      <c r="O997" s="46">
        <f t="shared" si="552"/>
        <v>460</v>
      </c>
      <c r="P997" s="51"/>
      <c r="Q997" s="51"/>
      <c r="R997" s="73">
        <f t="shared" si="549"/>
        <v>300</v>
      </c>
      <c r="S997" s="74">
        <f t="shared" si="550"/>
        <v>3.275625</v>
      </c>
      <c r="T997" s="73"/>
      <c r="U997" s="73"/>
      <c r="V997" s="73"/>
      <c r="W997" s="73">
        <f t="shared" si="547"/>
        <v>303.275625</v>
      </c>
      <c r="X997" s="75">
        <f t="shared" si="551"/>
        <v>6.808125</v>
      </c>
      <c r="Y997" s="75"/>
      <c r="Z997" s="75"/>
      <c r="AA997" s="75">
        <f t="shared" si="548"/>
        <v>6.808125</v>
      </c>
      <c r="AB997" s="84">
        <v>7.22</v>
      </c>
      <c r="AC997" s="73">
        <f t="shared" si="545"/>
        <v>49.1546625</v>
      </c>
      <c r="AD997" s="73">
        <f t="shared" si="546"/>
        <v>352.4302875</v>
      </c>
      <c r="AE997" s="73">
        <f t="shared" si="544"/>
        <v>107.5697125</v>
      </c>
    </row>
    <row r="998" customFormat="1" spans="1:31">
      <c r="A998" s="18"/>
      <c r="B998" s="19"/>
      <c r="C998" s="20">
        <v>240528000034</v>
      </c>
      <c r="D998" s="21">
        <v>45443</v>
      </c>
      <c r="E998" s="21" t="s">
        <v>41</v>
      </c>
      <c r="F998" s="19" t="s">
        <v>42</v>
      </c>
      <c r="G998" s="19" t="s">
        <v>78</v>
      </c>
      <c r="H998" s="19">
        <v>1.5</v>
      </c>
      <c r="I998" s="52"/>
      <c r="J998" s="48">
        <v>32155</v>
      </c>
      <c r="K998" s="44"/>
      <c r="L998" s="49">
        <f>SUM(J998/M998)</f>
        <v>1466.25626994984</v>
      </c>
      <c r="M998" s="50">
        <v>21.93</v>
      </c>
      <c r="N998" s="119">
        <v>7.22</v>
      </c>
      <c r="O998" s="46">
        <f>SUM(M998*N998)</f>
        <v>158.3346</v>
      </c>
      <c r="P998" s="51"/>
      <c r="Q998" s="51"/>
      <c r="R998" s="73">
        <f t="shared" si="549"/>
        <v>112.5</v>
      </c>
      <c r="S998" s="74">
        <f t="shared" si="550"/>
        <v>1.228359375</v>
      </c>
      <c r="T998" s="73"/>
      <c r="U998" s="73"/>
      <c r="V998" s="73"/>
      <c r="W998" s="73">
        <f t="shared" si="547"/>
        <v>113.728359375</v>
      </c>
      <c r="X998" s="75">
        <f t="shared" si="551"/>
        <v>2.553046875</v>
      </c>
      <c r="Y998" s="75"/>
      <c r="Z998" s="75"/>
      <c r="AA998" s="75">
        <f t="shared" si="548"/>
        <v>2.553046875</v>
      </c>
      <c r="AB998" s="84">
        <v>7.22</v>
      </c>
      <c r="AC998" s="73">
        <f t="shared" si="545"/>
        <v>18.4329984375</v>
      </c>
      <c r="AD998" s="73">
        <f t="shared" si="546"/>
        <v>132.1613578125</v>
      </c>
      <c r="AE998" s="73">
        <f t="shared" si="544"/>
        <v>26.1732421875</v>
      </c>
    </row>
    <row r="999" customFormat="1" spans="1:31">
      <c r="A999" s="18"/>
      <c r="B999" s="19"/>
      <c r="C999" s="20">
        <v>240529000007</v>
      </c>
      <c r="D999" s="21">
        <v>45443</v>
      </c>
      <c r="E999" s="21" t="s">
        <v>44</v>
      </c>
      <c r="F999" s="19" t="s">
        <v>45</v>
      </c>
      <c r="G999" s="19" t="s">
        <v>197</v>
      </c>
      <c r="H999" s="19">
        <v>1.5</v>
      </c>
      <c r="I999" s="41">
        <v>200</v>
      </c>
      <c r="J999" s="42"/>
      <c r="K999" s="44"/>
      <c r="L999" s="19"/>
      <c r="M999" s="44"/>
      <c r="N999" s="119"/>
      <c r="O999" s="46">
        <f t="shared" ref="O999:O1004" si="553">SUM(I999)</f>
        <v>200</v>
      </c>
      <c r="P999" s="51"/>
      <c r="Q999" s="51"/>
      <c r="R999" s="73">
        <f t="shared" si="549"/>
        <v>112.5</v>
      </c>
      <c r="S999" s="74">
        <f t="shared" si="550"/>
        <v>1.228359375</v>
      </c>
      <c r="T999" s="73"/>
      <c r="U999" s="73"/>
      <c r="V999" s="73"/>
      <c r="W999" s="73">
        <f t="shared" si="547"/>
        <v>113.728359375</v>
      </c>
      <c r="X999" s="75">
        <f t="shared" si="551"/>
        <v>2.553046875</v>
      </c>
      <c r="Y999" s="75"/>
      <c r="Z999" s="75"/>
      <c r="AA999" s="75">
        <f t="shared" si="548"/>
        <v>2.553046875</v>
      </c>
      <c r="AB999" s="84">
        <v>7.22</v>
      </c>
      <c r="AC999" s="73">
        <f t="shared" si="545"/>
        <v>18.4329984375</v>
      </c>
      <c r="AD999" s="73">
        <f t="shared" si="546"/>
        <v>132.1613578125</v>
      </c>
      <c r="AE999" s="73">
        <f t="shared" si="544"/>
        <v>67.8386421875</v>
      </c>
    </row>
    <row r="1000" customFormat="1" spans="1:31">
      <c r="A1000" s="18"/>
      <c r="B1000" s="19"/>
      <c r="C1000" s="20">
        <v>240529000015</v>
      </c>
      <c r="D1000" s="21">
        <v>45443</v>
      </c>
      <c r="E1000" s="21" t="s">
        <v>37</v>
      </c>
      <c r="F1000" s="19" t="s">
        <v>38</v>
      </c>
      <c r="G1000" s="19" t="s">
        <v>586</v>
      </c>
      <c r="H1000" s="19">
        <v>2</v>
      </c>
      <c r="I1000" s="41">
        <v>230</v>
      </c>
      <c r="J1000" s="42"/>
      <c r="K1000" s="44"/>
      <c r="L1000" s="19"/>
      <c r="M1000" s="44"/>
      <c r="N1000" s="119"/>
      <c r="O1000" s="46">
        <f t="shared" si="553"/>
        <v>230</v>
      </c>
      <c r="P1000" s="51"/>
      <c r="Q1000" s="51"/>
      <c r="R1000" s="73">
        <f t="shared" si="549"/>
        <v>150</v>
      </c>
      <c r="S1000" s="74">
        <f t="shared" si="550"/>
        <v>1.6378125</v>
      </c>
      <c r="T1000" s="73"/>
      <c r="U1000" s="73"/>
      <c r="V1000" s="73"/>
      <c r="W1000" s="73">
        <f t="shared" si="547"/>
        <v>151.6378125</v>
      </c>
      <c r="X1000" s="75">
        <f t="shared" si="551"/>
        <v>3.4040625</v>
      </c>
      <c r="Y1000" s="75"/>
      <c r="Z1000" s="75"/>
      <c r="AA1000" s="75">
        <f t="shared" si="548"/>
        <v>3.4040625</v>
      </c>
      <c r="AB1000" s="84">
        <v>7.22</v>
      </c>
      <c r="AC1000" s="73">
        <f t="shared" si="545"/>
        <v>24.57733125</v>
      </c>
      <c r="AD1000" s="73">
        <f t="shared" si="546"/>
        <v>176.21514375</v>
      </c>
      <c r="AE1000" s="73">
        <f t="shared" si="544"/>
        <v>53.78485625</v>
      </c>
    </row>
    <row r="1001" customFormat="1" spans="1:31">
      <c r="A1001" s="18"/>
      <c r="B1001" s="19"/>
      <c r="C1001" s="20">
        <v>240529000021</v>
      </c>
      <c r="D1001" s="21">
        <v>45443</v>
      </c>
      <c r="E1001" s="21" t="s">
        <v>44</v>
      </c>
      <c r="F1001" s="19" t="s">
        <v>45</v>
      </c>
      <c r="G1001" s="19" t="s">
        <v>587</v>
      </c>
      <c r="H1001" s="19">
        <v>0.38</v>
      </c>
      <c r="I1001" s="41">
        <v>115</v>
      </c>
      <c r="J1001" s="42"/>
      <c r="K1001" s="44"/>
      <c r="L1001" s="19"/>
      <c r="M1001" s="44"/>
      <c r="N1001" s="119"/>
      <c r="O1001" s="46">
        <f t="shared" si="553"/>
        <v>115</v>
      </c>
      <c r="P1001" s="51"/>
      <c r="Q1001" s="51"/>
      <c r="R1001" s="73">
        <f t="shared" si="549"/>
        <v>28.5</v>
      </c>
      <c r="S1001" s="74">
        <f t="shared" si="550"/>
        <v>0.311184375</v>
      </c>
      <c r="T1001" s="73"/>
      <c r="U1001" s="73"/>
      <c r="V1001" s="73"/>
      <c r="W1001" s="73">
        <f t="shared" si="547"/>
        <v>28.811184375</v>
      </c>
      <c r="X1001" s="75">
        <f t="shared" si="551"/>
        <v>0.646771875</v>
      </c>
      <c r="Y1001" s="75"/>
      <c r="Z1001" s="75"/>
      <c r="AA1001" s="75">
        <f t="shared" si="548"/>
        <v>0.646771875</v>
      </c>
      <c r="AB1001" s="84">
        <v>7.22</v>
      </c>
      <c r="AC1001" s="73">
        <f t="shared" si="545"/>
        <v>4.6696929375</v>
      </c>
      <c r="AD1001" s="73">
        <f t="shared" si="546"/>
        <v>33.4808773125</v>
      </c>
      <c r="AE1001" s="73">
        <f t="shared" si="544"/>
        <v>81.5191226875</v>
      </c>
    </row>
    <row r="1002" customFormat="1" spans="1:31">
      <c r="A1002" s="18"/>
      <c r="B1002" s="19"/>
      <c r="C1002" s="20">
        <v>240529000022</v>
      </c>
      <c r="D1002" s="21">
        <v>45443</v>
      </c>
      <c r="E1002" s="21" t="s">
        <v>41</v>
      </c>
      <c r="F1002" s="19" t="s">
        <v>42</v>
      </c>
      <c r="G1002" s="19" t="s">
        <v>260</v>
      </c>
      <c r="H1002" s="19">
        <v>1.5</v>
      </c>
      <c r="I1002" s="41">
        <v>172.5</v>
      </c>
      <c r="J1002" s="42"/>
      <c r="K1002" s="44"/>
      <c r="L1002" s="19"/>
      <c r="M1002" s="44"/>
      <c r="N1002" s="119"/>
      <c r="O1002" s="46">
        <f t="shared" si="553"/>
        <v>172.5</v>
      </c>
      <c r="P1002" s="51"/>
      <c r="Q1002" s="51"/>
      <c r="R1002" s="73">
        <f t="shared" si="549"/>
        <v>112.5</v>
      </c>
      <c r="S1002" s="74">
        <f t="shared" si="550"/>
        <v>1.228359375</v>
      </c>
      <c r="T1002" s="73"/>
      <c r="U1002" s="73"/>
      <c r="V1002" s="73"/>
      <c r="W1002" s="73">
        <f t="shared" si="547"/>
        <v>113.728359375</v>
      </c>
      <c r="X1002" s="75">
        <f t="shared" si="551"/>
        <v>2.553046875</v>
      </c>
      <c r="Y1002" s="75"/>
      <c r="Z1002" s="75"/>
      <c r="AA1002" s="75">
        <f t="shared" si="548"/>
        <v>2.553046875</v>
      </c>
      <c r="AB1002" s="84">
        <v>7.22</v>
      </c>
      <c r="AC1002" s="73">
        <f t="shared" si="545"/>
        <v>18.4329984375</v>
      </c>
      <c r="AD1002" s="73">
        <f t="shared" si="546"/>
        <v>132.1613578125</v>
      </c>
      <c r="AE1002" s="73">
        <f t="shared" si="544"/>
        <v>40.3386421875</v>
      </c>
    </row>
    <row r="1003" customFormat="1" spans="1:31">
      <c r="A1003" s="18"/>
      <c r="B1003" s="19"/>
      <c r="C1003" s="20">
        <v>240529000034</v>
      </c>
      <c r="D1003" s="21">
        <v>45443</v>
      </c>
      <c r="E1003" s="21" t="s">
        <v>64</v>
      </c>
      <c r="F1003" s="19" t="s">
        <v>65</v>
      </c>
      <c r="G1003" s="19" t="s">
        <v>588</v>
      </c>
      <c r="H1003" s="19">
        <v>0.8</v>
      </c>
      <c r="I1003" s="41">
        <v>115</v>
      </c>
      <c r="J1003" s="42"/>
      <c r="K1003" s="44"/>
      <c r="L1003" s="19"/>
      <c r="M1003" s="44"/>
      <c r="N1003" s="119"/>
      <c r="O1003" s="46">
        <f t="shared" si="553"/>
        <v>115</v>
      </c>
      <c r="P1003" s="51"/>
      <c r="Q1003" s="51"/>
      <c r="R1003" s="73">
        <f t="shared" si="549"/>
        <v>60</v>
      </c>
      <c r="S1003" s="74">
        <f t="shared" si="550"/>
        <v>0.655125</v>
      </c>
      <c r="T1003" s="73"/>
      <c r="U1003" s="73"/>
      <c r="V1003" s="73"/>
      <c r="W1003" s="73">
        <f t="shared" si="547"/>
        <v>60.655125</v>
      </c>
      <c r="X1003" s="75">
        <f t="shared" si="551"/>
        <v>1.361625</v>
      </c>
      <c r="Y1003" s="75"/>
      <c r="Z1003" s="75"/>
      <c r="AA1003" s="75">
        <f t="shared" si="548"/>
        <v>1.361625</v>
      </c>
      <c r="AB1003" s="84">
        <v>7.22</v>
      </c>
      <c r="AC1003" s="73">
        <f t="shared" si="545"/>
        <v>9.8309325</v>
      </c>
      <c r="AD1003" s="73">
        <f t="shared" si="546"/>
        <v>70.4860575</v>
      </c>
      <c r="AE1003" s="73">
        <f t="shared" si="544"/>
        <v>44.5139425</v>
      </c>
    </row>
    <row r="1004" customFormat="1" spans="1:31">
      <c r="A1004" s="18"/>
      <c r="B1004" s="19"/>
      <c r="C1004" s="20">
        <v>240529000036</v>
      </c>
      <c r="D1004" s="21">
        <v>45443</v>
      </c>
      <c r="E1004" s="21" t="s">
        <v>54</v>
      </c>
      <c r="F1004" s="19" t="s">
        <v>108</v>
      </c>
      <c r="G1004" s="19" t="s">
        <v>109</v>
      </c>
      <c r="H1004" s="19">
        <v>2</v>
      </c>
      <c r="I1004" s="41">
        <v>240</v>
      </c>
      <c r="J1004" s="42"/>
      <c r="K1004" s="44"/>
      <c r="L1004" s="19"/>
      <c r="M1004" s="44"/>
      <c r="N1004" s="119"/>
      <c r="O1004" s="46">
        <f t="shared" si="553"/>
        <v>240</v>
      </c>
      <c r="P1004" s="51"/>
      <c r="Q1004" s="51"/>
      <c r="R1004" s="73">
        <f t="shared" si="549"/>
        <v>150</v>
      </c>
      <c r="S1004" s="74">
        <f t="shared" si="550"/>
        <v>1.6378125</v>
      </c>
      <c r="T1004" s="73"/>
      <c r="U1004" s="73"/>
      <c r="V1004" s="73"/>
      <c r="W1004" s="73">
        <f t="shared" si="547"/>
        <v>151.6378125</v>
      </c>
      <c r="X1004" s="75">
        <f t="shared" si="551"/>
        <v>3.4040625</v>
      </c>
      <c r="Y1004" s="75"/>
      <c r="Z1004" s="75"/>
      <c r="AA1004" s="75">
        <f t="shared" si="548"/>
        <v>3.4040625</v>
      </c>
      <c r="AB1004" s="84">
        <v>7.22</v>
      </c>
      <c r="AC1004" s="73">
        <f t="shared" si="545"/>
        <v>24.57733125</v>
      </c>
      <c r="AD1004" s="73">
        <f t="shared" si="546"/>
        <v>176.21514375</v>
      </c>
      <c r="AE1004" s="73">
        <f t="shared" si="544"/>
        <v>63.78485625</v>
      </c>
    </row>
    <row r="1005" customFormat="1" spans="1:31">
      <c r="A1005" s="18"/>
      <c r="B1005" s="19"/>
      <c r="C1005" s="20">
        <v>240530000004</v>
      </c>
      <c r="D1005" s="21">
        <v>45443</v>
      </c>
      <c r="E1005" s="21" t="s">
        <v>41</v>
      </c>
      <c r="F1005" s="19" t="s">
        <v>42</v>
      </c>
      <c r="G1005" s="19" t="s">
        <v>589</v>
      </c>
      <c r="H1005" s="19">
        <v>0.1</v>
      </c>
      <c r="I1005" s="52"/>
      <c r="J1005" s="48">
        <v>24360</v>
      </c>
      <c r="K1005" s="44"/>
      <c r="L1005" s="49">
        <f>SUM(J1005/M1005)</f>
        <v>1465.70397111913</v>
      </c>
      <c r="M1005" s="50">
        <v>16.62</v>
      </c>
      <c r="N1005" s="119">
        <v>7.22</v>
      </c>
      <c r="O1005" s="46">
        <f>SUM(M1005*N1005)</f>
        <v>119.9964</v>
      </c>
      <c r="P1005" s="51"/>
      <c r="Q1005" s="51"/>
      <c r="R1005" s="73">
        <f t="shared" si="549"/>
        <v>7.5</v>
      </c>
      <c r="S1005" s="74">
        <f t="shared" si="550"/>
        <v>0.081890625</v>
      </c>
      <c r="T1005" s="73"/>
      <c r="U1005" s="73"/>
      <c r="V1005" s="73"/>
      <c r="W1005" s="73">
        <f t="shared" si="547"/>
        <v>7.581890625</v>
      </c>
      <c r="X1005" s="75">
        <f t="shared" si="551"/>
        <v>0.170203125</v>
      </c>
      <c r="Y1005" s="75"/>
      <c r="Z1005" s="75"/>
      <c r="AA1005" s="75">
        <f t="shared" si="548"/>
        <v>0.170203125</v>
      </c>
      <c r="AB1005" s="84">
        <v>7.22</v>
      </c>
      <c r="AC1005" s="73">
        <f t="shared" si="545"/>
        <v>1.2288665625</v>
      </c>
      <c r="AD1005" s="73">
        <f t="shared" si="546"/>
        <v>8.8107571875</v>
      </c>
      <c r="AE1005" s="73">
        <f t="shared" si="544"/>
        <v>111.1856428125</v>
      </c>
    </row>
    <row r="1006" customFormat="1" spans="1:31">
      <c r="A1006" s="18"/>
      <c r="B1006" s="19"/>
      <c r="C1006" s="20">
        <v>240530000009</v>
      </c>
      <c r="D1006" s="21">
        <v>45443</v>
      </c>
      <c r="E1006" s="21" t="s">
        <v>41</v>
      </c>
      <c r="F1006" s="19" t="s">
        <v>42</v>
      </c>
      <c r="G1006" s="19" t="s">
        <v>165</v>
      </c>
      <c r="H1006" s="19">
        <v>16</v>
      </c>
      <c r="I1006" s="52"/>
      <c r="J1006" s="48">
        <v>389760</v>
      </c>
      <c r="K1006" s="44"/>
      <c r="L1006" s="49">
        <f>SUM(J1006/M1006)</f>
        <v>1465.70397111913</v>
      </c>
      <c r="M1006" s="50">
        <v>265.92</v>
      </c>
      <c r="N1006" s="119">
        <v>7.22</v>
      </c>
      <c r="O1006" s="46">
        <f>SUM(M1006*N1006)</f>
        <v>1919.9424</v>
      </c>
      <c r="P1006" s="53"/>
      <c r="Q1006" s="53"/>
      <c r="R1006" s="73">
        <f t="shared" si="549"/>
        <v>1200</v>
      </c>
      <c r="S1006" s="74">
        <f t="shared" si="550"/>
        <v>13.1025</v>
      </c>
      <c r="T1006" s="73"/>
      <c r="U1006" s="73"/>
      <c r="V1006" s="73"/>
      <c r="W1006" s="73">
        <f t="shared" ref="W1006:W1037" si="554">SUM(R1006:V1006)</f>
        <v>1213.1025</v>
      </c>
      <c r="X1006" s="75">
        <f t="shared" si="551"/>
        <v>27.2325</v>
      </c>
      <c r="Y1006" s="75"/>
      <c r="Z1006" s="75"/>
      <c r="AA1006" s="75">
        <f t="shared" ref="AA1006:AA1037" si="555">SUM(X1006:Z1006)</f>
        <v>27.2325</v>
      </c>
      <c r="AB1006" s="84">
        <v>7.22</v>
      </c>
      <c r="AC1006" s="73">
        <f t="shared" ref="AC1006:AC1037" si="556">SUM(AA1006*AB1006)</f>
        <v>196.61865</v>
      </c>
      <c r="AD1006" s="73">
        <f t="shared" ref="AD1006:AD1037" si="557">SUM(W1006+AC1006)</f>
        <v>1409.72115</v>
      </c>
      <c r="AE1006" s="73">
        <f t="shared" si="544"/>
        <v>510.22125</v>
      </c>
    </row>
    <row r="1007" customFormat="1" spans="1:31">
      <c r="A1007" s="18" t="s">
        <v>590</v>
      </c>
      <c r="B1007" s="19" t="s">
        <v>591</v>
      </c>
      <c r="C1007" s="20">
        <v>240523000017</v>
      </c>
      <c r="D1007" s="21">
        <v>45444</v>
      </c>
      <c r="E1007" s="21" t="s">
        <v>44</v>
      </c>
      <c r="F1007" s="19" t="s">
        <v>45</v>
      </c>
      <c r="G1007" s="19" t="s">
        <v>592</v>
      </c>
      <c r="H1007" s="19">
        <v>14.5</v>
      </c>
      <c r="I1007" s="41">
        <v>968.5</v>
      </c>
      <c r="J1007" s="42"/>
      <c r="K1007" s="44"/>
      <c r="L1007" s="19"/>
      <c r="M1007" s="44"/>
      <c r="N1007" s="119"/>
      <c r="O1007" s="46">
        <f t="shared" ref="O1007:O1012" si="558">SUM(I1007)</f>
        <v>968.5</v>
      </c>
      <c r="P1007" s="47">
        <f>SUM(O1007:O1068)</f>
        <v>153532.1666</v>
      </c>
      <c r="Q1007" s="113" t="s">
        <v>277</v>
      </c>
      <c r="R1007" s="73">
        <f>SUM(115077.5/2849)*H1007</f>
        <v>585.687521937522</v>
      </c>
      <c r="S1007" s="73"/>
      <c r="T1007" s="74">
        <f>SUM(242.75/2849)*H1007</f>
        <v>1.23547736047736</v>
      </c>
      <c r="U1007" s="73"/>
      <c r="V1007" s="73"/>
      <c r="W1007" s="73">
        <f t="shared" si="554"/>
        <v>586.922999297999</v>
      </c>
      <c r="X1007" s="75">
        <f>SUM(2197.45/2849)*H1007</f>
        <v>11.183932958933</v>
      </c>
      <c r="Y1007" s="75"/>
      <c r="Z1007" s="75"/>
      <c r="AA1007" s="75">
        <f t="shared" si="555"/>
        <v>11.183932958933</v>
      </c>
      <c r="AB1007" s="84">
        <v>7.22</v>
      </c>
      <c r="AC1007" s="73">
        <f t="shared" si="556"/>
        <v>80.747995963496</v>
      </c>
      <c r="AD1007" s="73">
        <f t="shared" si="557"/>
        <v>667.670995261495</v>
      </c>
      <c r="AE1007" s="73">
        <f t="shared" ref="AE1007:AE1038" si="559">SUM(O1007-AD1007)</f>
        <v>300.829004738505</v>
      </c>
    </row>
    <row r="1008" customFormat="1" spans="1:31">
      <c r="A1008" s="18"/>
      <c r="B1008" s="19"/>
      <c r="C1008" s="20">
        <v>240524000020</v>
      </c>
      <c r="D1008" s="21">
        <v>45444</v>
      </c>
      <c r="E1008" s="21" t="s">
        <v>41</v>
      </c>
      <c r="F1008" s="19" t="s">
        <v>42</v>
      </c>
      <c r="G1008" s="19" t="s">
        <v>142</v>
      </c>
      <c r="H1008" s="19">
        <v>36.5</v>
      </c>
      <c r="I1008" s="99">
        <v>-3885</v>
      </c>
      <c r="J1008" s="42"/>
      <c r="K1008" s="44"/>
      <c r="L1008" s="19"/>
      <c r="M1008" s="44"/>
      <c r="N1008" s="119"/>
      <c r="O1008" s="46">
        <f t="shared" si="558"/>
        <v>-3885</v>
      </c>
      <c r="P1008" s="51"/>
      <c r="Q1008" s="51"/>
      <c r="R1008" s="73">
        <f t="shared" ref="R1008:R1039" si="560">SUM(115077.5/2849)*H1008</f>
        <v>1474.31686556687</v>
      </c>
      <c r="S1008" s="73"/>
      <c r="T1008" s="74">
        <f t="shared" ref="T1008:T1039" si="561">SUM(242.75/2849)*H1008</f>
        <v>3.10999473499473</v>
      </c>
      <c r="U1008" s="73"/>
      <c r="V1008" s="73"/>
      <c r="W1008" s="73">
        <f t="shared" si="554"/>
        <v>1477.42686030186</v>
      </c>
      <c r="X1008" s="75">
        <f t="shared" ref="X1008:X1039" si="562">SUM(2197.45/2849)*H1008</f>
        <v>28.1526588276588</v>
      </c>
      <c r="Y1008" s="75"/>
      <c r="Z1008" s="75"/>
      <c r="AA1008" s="75">
        <f t="shared" si="555"/>
        <v>28.1526588276588</v>
      </c>
      <c r="AB1008" s="84">
        <v>7.22</v>
      </c>
      <c r="AC1008" s="73">
        <f t="shared" si="556"/>
        <v>203.262196735697</v>
      </c>
      <c r="AD1008" s="73">
        <f t="shared" si="557"/>
        <v>1680.68905703756</v>
      </c>
      <c r="AE1008" s="73">
        <f t="shared" si="559"/>
        <v>-5565.68905703756</v>
      </c>
    </row>
    <row r="1009" customFormat="1" spans="1:31">
      <c r="A1009" s="18"/>
      <c r="B1009" s="19"/>
      <c r="C1009" s="20">
        <v>240524000022</v>
      </c>
      <c r="D1009" s="21">
        <v>45444</v>
      </c>
      <c r="E1009" s="21" t="s">
        <v>41</v>
      </c>
      <c r="F1009" s="19" t="s">
        <v>42</v>
      </c>
      <c r="G1009" s="19" t="s">
        <v>593</v>
      </c>
      <c r="H1009" s="19">
        <v>6.5</v>
      </c>
      <c r="I1009" s="41">
        <v>344.5</v>
      </c>
      <c r="J1009" s="42"/>
      <c r="K1009" s="44"/>
      <c r="L1009" s="19"/>
      <c r="M1009" s="44"/>
      <c r="N1009" s="119"/>
      <c r="O1009" s="46">
        <f t="shared" si="558"/>
        <v>344.5</v>
      </c>
      <c r="P1009" s="51"/>
      <c r="Q1009" s="51"/>
      <c r="R1009" s="73">
        <f t="shared" si="560"/>
        <v>262.549578799579</v>
      </c>
      <c r="S1009" s="73"/>
      <c r="T1009" s="74">
        <f t="shared" si="561"/>
        <v>0.553834678834679</v>
      </c>
      <c r="U1009" s="73"/>
      <c r="V1009" s="73"/>
      <c r="W1009" s="73">
        <f t="shared" si="554"/>
        <v>263.103413478413</v>
      </c>
      <c r="X1009" s="75">
        <f t="shared" si="562"/>
        <v>5.01348718848719</v>
      </c>
      <c r="Y1009" s="75"/>
      <c r="Z1009" s="75"/>
      <c r="AA1009" s="75">
        <f t="shared" si="555"/>
        <v>5.01348718848719</v>
      </c>
      <c r="AB1009" s="84">
        <v>7.22</v>
      </c>
      <c r="AC1009" s="73">
        <f t="shared" si="556"/>
        <v>36.1973775008775</v>
      </c>
      <c r="AD1009" s="73">
        <f t="shared" si="557"/>
        <v>299.300790979291</v>
      </c>
      <c r="AE1009" s="73">
        <f t="shared" si="559"/>
        <v>45.199209020709</v>
      </c>
    </row>
    <row r="1010" customFormat="1" spans="1:31">
      <c r="A1010" s="18"/>
      <c r="B1010" s="19"/>
      <c r="C1010" s="20">
        <v>240524000043</v>
      </c>
      <c r="D1010" s="21">
        <v>45444</v>
      </c>
      <c r="E1010" s="21" t="s">
        <v>47</v>
      </c>
      <c r="F1010" s="19" t="s">
        <v>48</v>
      </c>
      <c r="G1010" s="19" t="s">
        <v>594</v>
      </c>
      <c r="H1010" s="19">
        <v>13</v>
      </c>
      <c r="I1010" s="41">
        <v>721</v>
      </c>
      <c r="J1010" s="42"/>
      <c r="K1010" s="44"/>
      <c r="L1010" s="19"/>
      <c r="M1010" s="44"/>
      <c r="N1010" s="119"/>
      <c r="O1010" s="46">
        <f t="shared" si="558"/>
        <v>721</v>
      </c>
      <c r="P1010" s="51"/>
      <c r="Q1010" s="51"/>
      <c r="R1010" s="73">
        <f t="shared" si="560"/>
        <v>525.099157599158</v>
      </c>
      <c r="S1010" s="73"/>
      <c r="T1010" s="74">
        <f t="shared" si="561"/>
        <v>1.10766935766936</v>
      </c>
      <c r="U1010" s="73"/>
      <c r="V1010" s="73"/>
      <c r="W1010" s="73">
        <f t="shared" si="554"/>
        <v>526.206826956827</v>
      </c>
      <c r="X1010" s="75">
        <f t="shared" si="562"/>
        <v>10.0269743769744</v>
      </c>
      <c r="Y1010" s="75"/>
      <c r="Z1010" s="75"/>
      <c r="AA1010" s="75">
        <f t="shared" si="555"/>
        <v>10.0269743769744</v>
      </c>
      <c r="AB1010" s="84">
        <v>7.22</v>
      </c>
      <c r="AC1010" s="73">
        <f t="shared" si="556"/>
        <v>72.394755001755</v>
      </c>
      <c r="AD1010" s="73">
        <f t="shared" si="557"/>
        <v>598.601581958582</v>
      </c>
      <c r="AE1010" s="73">
        <f t="shared" si="559"/>
        <v>122.398418041418</v>
      </c>
    </row>
    <row r="1011" customFormat="1" spans="1:31">
      <c r="A1011" s="18"/>
      <c r="B1011" s="19"/>
      <c r="C1011" s="20">
        <v>240524000044</v>
      </c>
      <c r="D1011" s="21">
        <v>45444</v>
      </c>
      <c r="E1011" s="21" t="s">
        <v>44</v>
      </c>
      <c r="F1011" s="19" t="s">
        <v>127</v>
      </c>
      <c r="G1011" s="19" t="s">
        <v>128</v>
      </c>
      <c r="H1011" s="19">
        <v>10</v>
      </c>
      <c r="I1011" s="41">
        <v>530</v>
      </c>
      <c r="J1011" s="42"/>
      <c r="K1011" s="44"/>
      <c r="L1011" s="19"/>
      <c r="M1011" s="44"/>
      <c r="N1011" s="119"/>
      <c r="O1011" s="46">
        <f t="shared" si="558"/>
        <v>530</v>
      </c>
      <c r="P1011" s="51"/>
      <c r="Q1011" s="51"/>
      <c r="R1011" s="73">
        <f t="shared" si="560"/>
        <v>403.922428922429</v>
      </c>
      <c r="S1011" s="73"/>
      <c r="T1011" s="74">
        <f t="shared" si="561"/>
        <v>0.852053352053352</v>
      </c>
      <c r="U1011" s="73"/>
      <c r="V1011" s="73"/>
      <c r="W1011" s="73">
        <f t="shared" si="554"/>
        <v>404.774482274482</v>
      </c>
      <c r="X1011" s="75">
        <f t="shared" si="562"/>
        <v>7.71305721305721</v>
      </c>
      <c r="Y1011" s="75"/>
      <c r="Z1011" s="75"/>
      <c r="AA1011" s="75">
        <f t="shared" si="555"/>
        <v>7.71305721305721</v>
      </c>
      <c r="AB1011" s="84">
        <v>7.22</v>
      </c>
      <c r="AC1011" s="73">
        <f t="shared" si="556"/>
        <v>55.6882730782731</v>
      </c>
      <c r="AD1011" s="73">
        <f t="shared" si="557"/>
        <v>460.462755352755</v>
      </c>
      <c r="AE1011" s="73">
        <f t="shared" si="559"/>
        <v>69.537244647245</v>
      </c>
    </row>
    <row r="1012" customFormat="1" spans="1:31">
      <c r="A1012" s="18"/>
      <c r="B1012" s="19"/>
      <c r="C1012" s="20">
        <v>240525000002</v>
      </c>
      <c r="D1012" s="21">
        <v>45444</v>
      </c>
      <c r="E1012" s="21" t="s">
        <v>64</v>
      </c>
      <c r="F1012" s="19" t="s">
        <v>65</v>
      </c>
      <c r="G1012" s="19" t="s">
        <v>595</v>
      </c>
      <c r="H1012" s="19">
        <v>23</v>
      </c>
      <c r="I1012" s="41">
        <v>1227</v>
      </c>
      <c r="J1012" s="42"/>
      <c r="K1012" s="44"/>
      <c r="L1012" s="19"/>
      <c r="M1012" s="44"/>
      <c r="N1012" s="119"/>
      <c r="O1012" s="46">
        <f t="shared" si="558"/>
        <v>1227</v>
      </c>
      <c r="P1012" s="51"/>
      <c r="Q1012" s="51"/>
      <c r="R1012" s="73">
        <f t="shared" si="560"/>
        <v>929.021586521587</v>
      </c>
      <c r="S1012" s="73"/>
      <c r="T1012" s="74">
        <f t="shared" si="561"/>
        <v>1.95972270972271</v>
      </c>
      <c r="U1012" s="73"/>
      <c r="V1012" s="73"/>
      <c r="W1012" s="73">
        <f t="shared" si="554"/>
        <v>930.981309231309</v>
      </c>
      <c r="X1012" s="75">
        <f t="shared" si="562"/>
        <v>17.7400315900316</v>
      </c>
      <c r="Y1012" s="75"/>
      <c r="Z1012" s="75"/>
      <c r="AA1012" s="75">
        <f t="shared" si="555"/>
        <v>17.7400315900316</v>
      </c>
      <c r="AB1012" s="84">
        <v>7.22</v>
      </c>
      <c r="AC1012" s="73">
        <f t="shared" si="556"/>
        <v>128.083028080028</v>
      </c>
      <c r="AD1012" s="73">
        <f t="shared" si="557"/>
        <v>1059.06433731134</v>
      </c>
      <c r="AE1012" s="73">
        <f t="shared" si="559"/>
        <v>167.93566268866</v>
      </c>
    </row>
    <row r="1013" customFormat="1" spans="1:31">
      <c r="A1013" s="18"/>
      <c r="B1013" s="19"/>
      <c r="C1013" s="20">
        <v>240525000003</v>
      </c>
      <c r="D1013" s="21">
        <v>45444</v>
      </c>
      <c r="E1013" s="21" t="s">
        <v>37</v>
      </c>
      <c r="F1013" s="19" t="s">
        <v>38</v>
      </c>
      <c r="G1013" s="19" t="s">
        <v>170</v>
      </c>
      <c r="H1013" s="19">
        <v>98</v>
      </c>
      <c r="I1013" s="46"/>
      <c r="J1013" s="94">
        <v>1089250.39</v>
      </c>
      <c r="K1013" s="44"/>
      <c r="L1013" s="49">
        <f>SUM(J1013/M1013)</f>
        <v>1501.9999862107</v>
      </c>
      <c r="M1013" s="50">
        <v>725.2</v>
      </c>
      <c r="N1013" s="119">
        <v>7.22</v>
      </c>
      <c r="O1013" s="46">
        <f>SUM(M1013*N1013)</f>
        <v>5235.944</v>
      </c>
      <c r="P1013" s="51"/>
      <c r="Q1013" s="51"/>
      <c r="R1013" s="73">
        <f t="shared" si="560"/>
        <v>3958.4398034398</v>
      </c>
      <c r="S1013" s="73"/>
      <c r="T1013" s="74">
        <f t="shared" si="561"/>
        <v>8.35012285012285</v>
      </c>
      <c r="U1013" s="73"/>
      <c r="V1013" s="73"/>
      <c r="W1013" s="73">
        <f t="shared" si="554"/>
        <v>3966.78992628993</v>
      </c>
      <c r="X1013" s="75">
        <f t="shared" si="562"/>
        <v>75.5879606879607</v>
      </c>
      <c r="Y1013" s="75"/>
      <c r="Z1013" s="75"/>
      <c r="AA1013" s="75">
        <f t="shared" si="555"/>
        <v>75.5879606879607</v>
      </c>
      <c r="AB1013" s="84">
        <v>7.22</v>
      </c>
      <c r="AC1013" s="73">
        <f t="shared" si="556"/>
        <v>545.745076167076</v>
      </c>
      <c r="AD1013" s="73">
        <f t="shared" si="557"/>
        <v>4512.535002457</v>
      </c>
      <c r="AE1013" s="73">
        <f t="shared" si="559"/>
        <v>723.408997543001</v>
      </c>
    </row>
    <row r="1014" customFormat="1" spans="1:31">
      <c r="A1014" s="18"/>
      <c r="B1014" s="19"/>
      <c r="C1014" s="20">
        <v>240525000004</v>
      </c>
      <c r="D1014" s="21">
        <v>45444</v>
      </c>
      <c r="E1014" s="21" t="s">
        <v>44</v>
      </c>
      <c r="F1014" s="19" t="s">
        <v>45</v>
      </c>
      <c r="G1014" s="19" t="s">
        <v>501</v>
      </c>
      <c r="H1014" s="19">
        <v>25.5</v>
      </c>
      <c r="I1014" s="46"/>
      <c r="J1014" s="48">
        <v>312191</v>
      </c>
      <c r="K1014" s="44"/>
      <c r="L1014" s="49">
        <f>SUM(J1014/M1014)</f>
        <v>1502.00144334857</v>
      </c>
      <c r="M1014" s="50">
        <v>207.85</v>
      </c>
      <c r="N1014" s="119">
        <v>7.22</v>
      </c>
      <c r="O1014" s="46">
        <f>SUM(M1014*N1014)</f>
        <v>1500.677</v>
      </c>
      <c r="P1014" s="51"/>
      <c r="Q1014" s="51"/>
      <c r="R1014" s="73">
        <f t="shared" si="560"/>
        <v>1030.00219375219</v>
      </c>
      <c r="S1014" s="73"/>
      <c r="T1014" s="74">
        <f t="shared" si="561"/>
        <v>2.17273604773605</v>
      </c>
      <c r="U1014" s="73"/>
      <c r="V1014" s="73"/>
      <c r="W1014" s="73">
        <f t="shared" si="554"/>
        <v>1032.17492979993</v>
      </c>
      <c r="X1014" s="75">
        <f t="shared" si="562"/>
        <v>19.6682958932959</v>
      </c>
      <c r="Y1014" s="75"/>
      <c r="Z1014" s="75"/>
      <c r="AA1014" s="75">
        <f t="shared" si="555"/>
        <v>19.6682958932959</v>
      </c>
      <c r="AB1014" s="84">
        <v>7.22</v>
      </c>
      <c r="AC1014" s="73">
        <f t="shared" si="556"/>
        <v>142.005096349596</v>
      </c>
      <c r="AD1014" s="73">
        <f t="shared" si="557"/>
        <v>1174.18002614953</v>
      </c>
      <c r="AE1014" s="73">
        <f t="shared" si="559"/>
        <v>326.49697385047</v>
      </c>
    </row>
    <row r="1015" customFormat="1" spans="1:31">
      <c r="A1015" s="18"/>
      <c r="B1015" s="19"/>
      <c r="C1015" s="20">
        <v>240525000007</v>
      </c>
      <c r="D1015" s="21">
        <v>45444</v>
      </c>
      <c r="E1015" s="21" t="s">
        <v>44</v>
      </c>
      <c r="F1015" s="19" t="s">
        <v>45</v>
      </c>
      <c r="G1015" s="19" t="s">
        <v>458</v>
      </c>
      <c r="H1015" s="19">
        <v>3.5</v>
      </c>
      <c r="I1015" s="41">
        <v>206</v>
      </c>
      <c r="J1015" s="42"/>
      <c r="K1015" s="44"/>
      <c r="L1015" s="19"/>
      <c r="M1015" s="44"/>
      <c r="N1015" s="119"/>
      <c r="O1015" s="46">
        <f t="shared" ref="O1015:O1018" si="563">SUM(I1015)</f>
        <v>206</v>
      </c>
      <c r="P1015" s="51"/>
      <c r="Q1015" s="51"/>
      <c r="R1015" s="73">
        <f t="shared" si="560"/>
        <v>141.37285012285</v>
      </c>
      <c r="S1015" s="73"/>
      <c r="T1015" s="74">
        <f t="shared" si="561"/>
        <v>0.298218673218673</v>
      </c>
      <c r="U1015" s="73"/>
      <c r="V1015" s="73"/>
      <c r="W1015" s="73">
        <f t="shared" si="554"/>
        <v>141.671068796069</v>
      </c>
      <c r="X1015" s="75">
        <f t="shared" si="562"/>
        <v>2.69957002457002</v>
      </c>
      <c r="Y1015" s="75"/>
      <c r="Z1015" s="75"/>
      <c r="AA1015" s="75">
        <f t="shared" si="555"/>
        <v>2.69957002457002</v>
      </c>
      <c r="AB1015" s="84">
        <v>7.22</v>
      </c>
      <c r="AC1015" s="73">
        <f t="shared" si="556"/>
        <v>19.4908955773956</v>
      </c>
      <c r="AD1015" s="73">
        <f t="shared" si="557"/>
        <v>161.161964373464</v>
      </c>
      <c r="AE1015" s="73">
        <f t="shared" si="559"/>
        <v>44.838035626536</v>
      </c>
    </row>
    <row r="1016" customFormat="1" spans="1:31">
      <c r="A1016" s="18"/>
      <c r="B1016" s="19"/>
      <c r="C1016" s="20">
        <v>240525000008</v>
      </c>
      <c r="D1016" s="21">
        <v>45444</v>
      </c>
      <c r="E1016" s="21" t="s">
        <v>44</v>
      </c>
      <c r="F1016" s="19" t="s">
        <v>45</v>
      </c>
      <c r="G1016" s="19" t="s">
        <v>46</v>
      </c>
      <c r="H1016" s="19">
        <v>8.5</v>
      </c>
      <c r="I1016" s="41">
        <v>473.5</v>
      </c>
      <c r="J1016" s="42"/>
      <c r="K1016" s="44"/>
      <c r="L1016" s="19"/>
      <c r="M1016" s="44"/>
      <c r="N1016" s="119"/>
      <c r="O1016" s="46">
        <f t="shared" si="563"/>
        <v>473.5</v>
      </c>
      <c r="P1016" s="51"/>
      <c r="Q1016" s="51"/>
      <c r="R1016" s="73">
        <f t="shared" si="560"/>
        <v>343.334064584065</v>
      </c>
      <c r="S1016" s="73"/>
      <c r="T1016" s="74">
        <f t="shared" si="561"/>
        <v>0.724245349245349</v>
      </c>
      <c r="U1016" s="73"/>
      <c r="V1016" s="73"/>
      <c r="W1016" s="73">
        <f t="shared" si="554"/>
        <v>344.05830993331</v>
      </c>
      <c r="X1016" s="75">
        <f t="shared" si="562"/>
        <v>6.55609863109863</v>
      </c>
      <c r="Y1016" s="75"/>
      <c r="Z1016" s="75"/>
      <c r="AA1016" s="75">
        <f t="shared" si="555"/>
        <v>6.55609863109863</v>
      </c>
      <c r="AB1016" s="84">
        <v>7.22</v>
      </c>
      <c r="AC1016" s="73">
        <f t="shared" si="556"/>
        <v>47.3350321165321</v>
      </c>
      <c r="AD1016" s="73">
        <f t="shared" si="557"/>
        <v>391.393342049842</v>
      </c>
      <c r="AE1016" s="73">
        <f t="shared" si="559"/>
        <v>82.106657950158</v>
      </c>
    </row>
    <row r="1017" customFormat="1" spans="1:31">
      <c r="A1017" s="18"/>
      <c r="B1017" s="19"/>
      <c r="C1017" s="20">
        <v>240526000003</v>
      </c>
      <c r="D1017" s="21">
        <v>45444</v>
      </c>
      <c r="E1017" s="21" t="s">
        <v>54</v>
      </c>
      <c r="F1017" s="19" t="s">
        <v>54</v>
      </c>
      <c r="G1017" s="19" t="s">
        <v>468</v>
      </c>
      <c r="H1017" s="19">
        <v>19</v>
      </c>
      <c r="I1017" s="41">
        <v>1091</v>
      </c>
      <c r="J1017" s="42"/>
      <c r="K1017" s="44"/>
      <c r="L1017" s="19"/>
      <c r="M1017" s="44"/>
      <c r="N1017" s="119"/>
      <c r="O1017" s="46">
        <f t="shared" si="563"/>
        <v>1091</v>
      </c>
      <c r="P1017" s="51"/>
      <c r="Q1017" s="51"/>
      <c r="R1017" s="73">
        <f t="shared" si="560"/>
        <v>767.452614952615</v>
      </c>
      <c r="S1017" s="73"/>
      <c r="T1017" s="74">
        <f t="shared" si="561"/>
        <v>1.61890136890137</v>
      </c>
      <c r="U1017" s="73"/>
      <c r="V1017" s="73"/>
      <c r="W1017" s="73">
        <f t="shared" si="554"/>
        <v>769.071516321516</v>
      </c>
      <c r="X1017" s="75">
        <f t="shared" si="562"/>
        <v>14.6548087048087</v>
      </c>
      <c r="Y1017" s="75"/>
      <c r="Z1017" s="75"/>
      <c r="AA1017" s="75">
        <f t="shared" si="555"/>
        <v>14.6548087048087</v>
      </c>
      <c r="AB1017" s="84">
        <v>7.22</v>
      </c>
      <c r="AC1017" s="73">
        <f t="shared" si="556"/>
        <v>105.807718848719</v>
      </c>
      <c r="AD1017" s="73">
        <f t="shared" si="557"/>
        <v>874.879235170235</v>
      </c>
      <c r="AE1017" s="73">
        <f t="shared" si="559"/>
        <v>216.120764829765</v>
      </c>
    </row>
    <row r="1018" customFormat="1" spans="1:31">
      <c r="A1018" s="18"/>
      <c r="B1018" s="19"/>
      <c r="C1018" s="20">
        <v>240526000005</v>
      </c>
      <c r="D1018" s="21">
        <v>45444</v>
      </c>
      <c r="E1018" s="21" t="s">
        <v>41</v>
      </c>
      <c r="F1018" s="19" t="s">
        <v>42</v>
      </c>
      <c r="G1018" s="19" t="s">
        <v>565</v>
      </c>
      <c r="H1018" s="19">
        <v>17.5</v>
      </c>
      <c r="I1018" s="41">
        <v>1015</v>
      </c>
      <c r="J1018" s="42"/>
      <c r="K1018" s="44"/>
      <c r="L1018" s="19"/>
      <c r="M1018" s="44"/>
      <c r="N1018" s="119"/>
      <c r="O1018" s="46">
        <f t="shared" si="563"/>
        <v>1015</v>
      </c>
      <c r="P1018" s="51"/>
      <c r="Q1018" s="51"/>
      <c r="R1018" s="73">
        <f t="shared" si="560"/>
        <v>706.864250614251</v>
      </c>
      <c r="S1018" s="73"/>
      <c r="T1018" s="74">
        <f t="shared" si="561"/>
        <v>1.49109336609337</v>
      </c>
      <c r="U1018" s="73"/>
      <c r="V1018" s="73"/>
      <c r="W1018" s="73">
        <f t="shared" si="554"/>
        <v>708.355343980344</v>
      </c>
      <c r="X1018" s="75">
        <f t="shared" si="562"/>
        <v>13.4978501228501</v>
      </c>
      <c r="Y1018" s="75"/>
      <c r="Z1018" s="75"/>
      <c r="AA1018" s="75">
        <f t="shared" si="555"/>
        <v>13.4978501228501</v>
      </c>
      <c r="AB1018" s="84">
        <v>7.22</v>
      </c>
      <c r="AC1018" s="73">
        <f t="shared" si="556"/>
        <v>97.4544778869779</v>
      </c>
      <c r="AD1018" s="73">
        <f t="shared" si="557"/>
        <v>805.809821867322</v>
      </c>
      <c r="AE1018" s="73">
        <f t="shared" si="559"/>
        <v>209.190178132678</v>
      </c>
    </row>
    <row r="1019" customFormat="1" spans="1:31">
      <c r="A1019" s="18"/>
      <c r="B1019" s="19"/>
      <c r="C1019" s="20">
        <v>240527000001</v>
      </c>
      <c r="D1019" s="21">
        <v>45444</v>
      </c>
      <c r="E1019" s="21" t="s">
        <v>157</v>
      </c>
      <c r="F1019" s="19" t="s">
        <v>239</v>
      </c>
      <c r="G1019" s="19" t="s">
        <v>346</v>
      </c>
      <c r="H1019" s="19">
        <v>73</v>
      </c>
      <c r="I1019" s="46"/>
      <c r="J1019" s="48">
        <v>758808.07</v>
      </c>
      <c r="K1019" s="44"/>
      <c r="L1019" s="49">
        <f t="shared" ref="L1019:L1021" si="564">SUM(J1019/M1019)</f>
        <v>1401.59232715787</v>
      </c>
      <c r="M1019" s="50">
        <v>541.39</v>
      </c>
      <c r="N1019" s="119">
        <v>7.22</v>
      </c>
      <c r="O1019" s="46">
        <f t="shared" ref="O1019:O1021" si="565">SUM(M1019*N1019)</f>
        <v>3908.8358</v>
      </c>
      <c r="P1019" s="51"/>
      <c r="Q1019" s="51"/>
      <c r="R1019" s="73">
        <f t="shared" si="560"/>
        <v>2948.63373113373</v>
      </c>
      <c r="S1019" s="73"/>
      <c r="T1019" s="74">
        <f t="shared" si="561"/>
        <v>6.21998946998947</v>
      </c>
      <c r="U1019" s="73"/>
      <c r="V1019" s="73"/>
      <c r="W1019" s="73">
        <f t="shared" si="554"/>
        <v>2954.85372060372</v>
      </c>
      <c r="X1019" s="75">
        <f t="shared" si="562"/>
        <v>56.3053176553177</v>
      </c>
      <c r="Y1019" s="75"/>
      <c r="Z1019" s="75"/>
      <c r="AA1019" s="75">
        <f t="shared" si="555"/>
        <v>56.3053176553177</v>
      </c>
      <c r="AB1019" s="84">
        <v>7.22</v>
      </c>
      <c r="AC1019" s="73">
        <f t="shared" si="556"/>
        <v>406.524393471393</v>
      </c>
      <c r="AD1019" s="73">
        <f t="shared" si="557"/>
        <v>3361.37811407511</v>
      </c>
      <c r="AE1019" s="73">
        <f t="shared" si="559"/>
        <v>547.45768592489</v>
      </c>
    </row>
    <row r="1020" customFormat="1" spans="1:31">
      <c r="A1020" s="18"/>
      <c r="B1020" s="19"/>
      <c r="C1020" s="20">
        <v>240527000002</v>
      </c>
      <c r="D1020" s="21">
        <v>45444</v>
      </c>
      <c r="E1020" s="21" t="s">
        <v>81</v>
      </c>
      <c r="F1020" s="19" t="s">
        <v>253</v>
      </c>
      <c r="G1020" s="19" t="s">
        <v>596</v>
      </c>
      <c r="H1020" s="19">
        <v>0.25</v>
      </c>
      <c r="I1020" s="52"/>
      <c r="J1020" s="48">
        <v>12627</v>
      </c>
      <c r="K1020" s="44"/>
      <c r="L1020" s="49">
        <f t="shared" si="564"/>
        <v>1496.09004739337</v>
      </c>
      <c r="M1020" s="50">
        <v>8.44</v>
      </c>
      <c r="N1020" s="119">
        <v>7.22</v>
      </c>
      <c r="O1020" s="46">
        <f t="shared" si="565"/>
        <v>60.9368</v>
      </c>
      <c r="P1020" s="51"/>
      <c r="Q1020" s="51"/>
      <c r="R1020" s="73">
        <f t="shared" si="560"/>
        <v>10.0980607230607</v>
      </c>
      <c r="S1020" s="73"/>
      <c r="T1020" s="74">
        <f t="shared" si="561"/>
        <v>0.0213013338013338</v>
      </c>
      <c r="U1020" s="73"/>
      <c r="V1020" s="73"/>
      <c r="W1020" s="73">
        <f t="shared" si="554"/>
        <v>10.1193620568621</v>
      </c>
      <c r="X1020" s="75">
        <f t="shared" si="562"/>
        <v>0.19282643032643</v>
      </c>
      <c r="Y1020" s="75"/>
      <c r="Z1020" s="75"/>
      <c r="AA1020" s="75">
        <f t="shared" si="555"/>
        <v>0.19282643032643</v>
      </c>
      <c r="AB1020" s="84">
        <v>7.22</v>
      </c>
      <c r="AC1020" s="73">
        <f t="shared" si="556"/>
        <v>1.39220682695683</v>
      </c>
      <c r="AD1020" s="73">
        <f t="shared" si="557"/>
        <v>11.5115688838189</v>
      </c>
      <c r="AE1020" s="73">
        <f t="shared" si="559"/>
        <v>49.4252311161811</v>
      </c>
    </row>
    <row r="1021" customFormat="1" spans="1:31">
      <c r="A1021" s="18"/>
      <c r="B1021" s="19"/>
      <c r="C1021" s="20">
        <v>240527000003</v>
      </c>
      <c r="D1021" s="21">
        <v>45444</v>
      </c>
      <c r="E1021" s="21" t="s">
        <v>37</v>
      </c>
      <c r="F1021" s="19" t="s">
        <v>38</v>
      </c>
      <c r="G1021" s="19" t="s">
        <v>544</v>
      </c>
      <c r="H1021" s="19">
        <v>43.5</v>
      </c>
      <c r="I1021" s="52"/>
      <c r="J1021" s="48">
        <v>522261</v>
      </c>
      <c r="K1021" s="44"/>
      <c r="L1021" s="49">
        <f t="shared" si="564"/>
        <v>1489.23835866435</v>
      </c>
      <c r="M1021" s="50">
        <v>350.69</v>
      </c>
      <c r="N1021" s="119">
        <v>7.22</v>
      </c>
      <c r="O1021" s="46">
        <f t="shared" si="565"/>
        <v>2531.9818</v>
      </c>
      <c r="P1021" s="51"/>
      <c r="Q1021" s="51"/>
      <c r="R1021" s="73">
        <f t="shared" si="560"/>
        <v>1757.06256581257</v>
      </c>
      <c r="S1021" s="73"/>
      <c r="T1021" s="74">
        <f t="shared" si="561"/>
        <v>3.70643208143208</v>
      </c>
      <c r="U1021" s="73"/>
      <c r="V1021" s="73"/>
      <c r="W1021" s="73">
        <f t="shared" si="554"/>
        <v>1760.768997894</v>
      </c>
      <c r="X1021" s="75">
        <f t="shared" si="562"/>
        <v>33.5517988767989</v>
      </c>
      <c r="Y1021" s="75"/>
      <c r="Z1021" s="75"/>
      <c r="AA1021" s="75">
        <f t="shared" si="555"/>
        <v>33.5517988767989</v>
      </c>
      <c r="AB1021" s="84">
        <v>7.22</v>
      </c>
      <c r="AC1021" s="73">
        <f t="shared" si="556"/>
        <v>242.243987890488</v>
      </c>
      <c r="AD1021" s="73">
        <f t="shared" si="557"/>
        <v>2003.01298578449</v>
      </c>
      <c r="AE1021" s="73">
        <f t="shared" si="559"/>
        <v>528.96881421551</v>
      </c>
    </row>
    <row r="1022" customFormat="1" spans="1:31">
      <c r="A1022" s="18"/>
      <c r="B1022" s="19"/>
      <c r="C1022" s="20">
        <v>240527000006</v>
      </c>
      <c r="D1022" s="21">
        <v>45444</v>
      </c>
      <c r="E1022" s="21" t="s">
        <v>37</v>
      </c>
      <c r="F1022" s="19" t="s">
        <v>38</v>
      </c>
      <c r="G1022" s="19" t="s">
        <v>206</v>
      </c>
      <c r="H1022" s="19">
        <v>1.5</v>
      </c>
      <c r="I1022" s="41">
        <v>96</v>
      </c>
      <c r="J1022" s="42"/>
      <c r="K1022" s="44"/>
      <c r="L1022" s="19"/>
      <c r="M1022" s="44"/>
      <c r="N1022" s="119"/>
      <c r="O1022" s="46">
        <f t="shared" ref="O1022:O1025" si="566">SUM(I1022)</f>
        <v>96</v>
      </c>
      <c r="P1022" s="51"/>
      <c r="Q1022" s="51"/>
      <c r="R1022" s="73">
        <f t="shared" si="560"/>
        <v>60.5883643383643</v>
      </c>
      <c r="S1022" s="73"/>
      <c r="T1022" s="74">
        <f t="shared" si="561"/>
        <v>0.127808002808003</v>
      </c>
      <c r="U1022" s="73"/>
      <c r="V1022" s="73"/>
      <c r="W1022" s="73">
        <f t="shared" si="554"/>
        <v>60.7161723411723</v>
      </c>
      <c r="X1022" s="75">
        <f t="shared" si="562"/>
        <v>1.15695858195858</v>
      </c>
      <c r="Y1022" s="75"/>
      <c r="Z1022" s="75"/>
      <c r="AA1022" s="75">
        <f t="shared" si="555"/>
        <v>1.15695858195858</v>
      </c>
      <c r="AB1022" s="84">
        <v>7.22</v>
      </c>
      <c r="AC1022" s="73">
        <f t="shared" si="556"/>
        <v>8.35324096174096</v>
      </c>
      <c r="AD1022" s="73">
        <f t="shared" si="557"/>
        <v>69.0694133029133</v>
      </c>
      <c r="AE1022" s="73">
        <f t="shared" si="559"/>
        <v>26.9305866970867</v>
      </c>
    </row>
    <row r="1023" customFormat="1" spans="1:31">
      <c r="A1023" s="18"/>
      <c r="B1023" s="19"/>
      <c r="C1023" s="20">
        <v>240527000007</v>
      </c>
      <c r="D1023" s="21">
        <v>45444</v>
      </c>
      <c r="E1023" s="21" t="s">
        <v>47</v>
      </c>
      <c r="F1023" s="19" t="s">
        <v>48</v>
      </c>
      <c r="G1023" s="19" t="s">
        <v>597</v>
      </c>
      <c r="H1023" s="19">
        <v>6.5</v>
      </c>
      <c r="I1023" s="46"/>
      <c r="J1023" s="48">
        <v>76511.88</v>
      </c>
      <c r="K1023" s="44"/>
      <c r="L1023" s="49">
        <f>SUM(J1023/M1023)</f>
        <v>1502</v>
      </c>
      <c r="M1023" s="50">
        <v>50.94</v>
      </c>
      <c r="N1023" s="119">
        <v>7.22</v>
      </c>
      <c r="O1023" s="46">
        <f t="shared" ref="O1023:O1028" si="567">SUM(M1023*N1023)</f>
        <v>367.7868</v>
      </c>
      <c r="P1023" s="51"/>
      <c r="Q1023" s="51"/>
      <c r="R1023" s="73">
        <f t="shared" si="560"/>
        <v>262.549578799579</v>
      </c>
      <c r="S1023" s="73"/>
      <c r="T1023" s="74">
        <f t="shared" si="561"/>
        <v>0.553834678834679</v>
      </c>
      <c r="U1023" s="73"/>
      <c r="V1023" s="73"/>
      <c r="W1023" s="73">
        <f t="shared" si="554"/>
        <v>263.103413478413</v>
      </c>
      <c r="X1023" s="75">
        <f t="shared" si="562"/>
        <v>5.01348718848719</v>
      </c>
      <c r="Y1023" s="75"/>
      <c r="Z1023" s="75"/>
      <c r="AA1023" s="75">
        <f t="shared" si="555"/>
        <v>5.01348718848719</v>
      </c>
      <c r="AB1023" s="84">
        <v>7.22</v>
      </c>
      <c r="AC1023" s="73">
        <f t="shared" si="556"/>
        <v>36.1973775008775</v>
      </c>
      <c r="AD1023" s="73">
        <f t="shared" si="557"/>
        <v>299.300790979291</v>
      </c>
      <c r="AE1023" s="73">
        <f t="shared" si="559"/>
        <v>68.486009020709</v>
      </c>
    </row>
    <row r="1024" customFormat="1" spans="1:31">
      <c r="A1024" s="18"/>
      <c r="B1024" s="19"/>
      <c r="C1024" s="20">
        <v>240527000012</v>
      </c>
      <c r="D1024" s="21">
        <v>45444</v>
      </c>
      <c r="E1024" s="21" t="s">
        <v>47</v>
      </c>
      <c r="F1024" s="19" t="s">
        <v>48</v>
      </c>
      <c r="G1024" s="19" t="s">
        <v>134</v>
      </c>
      <c r="H1024" s="19">
        <v>11</v>
      </c>
      <c r="I1024" s="41">
        <v>611</v>
      </c>
      <c r="J1024" s="42"/>
      <c r="K1024" s="44"/>
      <c r="L1024" s="19"/>
      <c r="M1024" s="44"/>
      <c r="N1024" s="119"/>
      <c r="O1024" s="46">
        <f t="shared" si="566"/>
        <v>611</v>
      </c>
      <c r="P1024" s="51"/>
      <c r="Q1024" s="51"/>
      <c r="R1024" s="73">
        <f t="shared" si="560"/>
        <v>444.314671814672</v>
      </c>
      <c r="S1024" s="73"/>
      <c r="T1024" s="74">
        <f t="shared" si="561"/>
        <v>0.937258687258687</v>
      </c>
      <c r="U1024" s="73"/>
      <c r="V1024" s="73"/>
      <c r="W1024" s="73">
        <f t="shared" si="554"/>
        <v>445.25193050193</v>
      </c>
      <c r="X1024" s="75">
        <f t="shared" si="562"/>
        <v>8.48436293436293</v>
      </c>
      <c r="Y1024" s="75"/>
      <c r="Z1024" s="75"/>
      <c r="AA1024" s="75">
        <f t="shared" si="555"/>
        <v>8.48436293436293</v>
      </c>
      <c r="AB1024" s="84">
        <v>7.22</v>
      </c>
      <c r="AC1024" s="73">
        <f t="shared" si="556"/>
        <v>61.2571003861004</v>
      </c>
      <c r="AD1024" s="73">
        <f t="shared" si="557"/>
        <v>506.509030888031</v>
      </c>
      <c r="AE1024" s="73">
        <f t="shared" si="559"/>
        <v>104.490969111969</v>
      </c>
    </row>
    <row r="1025" customFormat="1" spans="1:31">
      <c r="A1025" s="18"/>
      <c r="B1025" s="19"/>
      <c r="C1025" s="20">
        <v>240527000013</v>
      </c>
      <c r="D1025" s="21">
        <v>45444</v>
      </c>
      <c r="E1025" s="21" t="s">
        <v>47</v>
      </c>
      <c r="F1025" s="19" t="s">
        <v>48</v>
      </c>
      <c r="G1025" s="19" t="s">
        <v>134</v>
      </c>
      <c r="H1025" s="19">
        <v>4.5</v>
      </c>
      <c r="I1025" s="41">
        <v>264</v>
      </c>
      <c r="J1025" s="42"/>
      <c r="K1025" s="44"/>
      <c r="L1025" s="19"/>
      <c r="M1025" s="44"/>
      <c r="N1025" s="119"/>
      <c r="O1025" s="46">
        <f t="shared" si="566"/>
        <v>264</v>
      </c>
      <c r="P1025" s="51"/>
      <c r="Q1025" s="51"/>
      <c r="R1025" s="73">
        <f t="shared" si="560"/>
        <v>181.765093015093</v>
      </c>
      <c r="S1025" s="73"/>
      <c r="T1025" s="74">
        <f t="shared" si="561"/>
        <v>0.383424008424008</v>
      </c>
      <c r="U1025" s="73"/>
      <c r="V1025" s="73"/>
      <c r="W1025" s="73">
        <f t="shared" si="554"/>
        <v>182.148517023517</v>
      </c>
      <c r="X1025" s="75">
        <f t="shared" si="562"/>
        <v>3.47087574587575</v>
      </c>
      <c r="Y1025" s="75"/>
      <c r="Z1025" s="75"/>
      <c r="AA1025" s="75">
        <f t="shared" si="555"/>
        <v>3.47087574587575</v>
      </c>
      <c r="AB1025" s="84">
        <v>7.22</v>
      </c>
      <c r="AC1025" s="73">
        <f t="shared" si="556"/>
        <v>25.0597228852229</v>
      </c>
      <c r="AD1025" s="73">
        <f t="shared" si="557"/>
        <v>207.20823990874</v>
      </c>
      <c r="AE1025" s="73">
        <f t="shared" si="559"/>
        <v>56.79176009126</v>
      </c>
    </row>
    <row r="1026" customFormat="1" spans="1:31">
      <c r="A1026" s="18"/>
      <c r="B1026" s="19"/>
      <c r="C1026" s="20">
        <v>240527000016</v>
      </c>
      <c r="D1026" s="21">
        <v>45444</v>
      </c>
      <c r="E1026" s="21" t="s">
        <v>47</v>
      </c>
      <c r="F1026" s="19" t="s">
        <v>48</v>
      </c>
      <c r="G1026" s="19" t="s">
        <v>598</v>
      </c>
      <c r="H1026" s="19">
        <v>0.38</v>
      </c>
      <c r="I1026" s="46"/>
      <c r="J1026" s="48">
        <v>12915</v>
      </c>
      <c r="K1026" s="44"/>
      <c r="L1026" s="49">
        <f>SUM(J1026/M1026)</f>
        <v>1501.74418604651</v>
      </c>
      <c r="M1026" s="50">
        <v>8.6</v>
      </c>
      <c r="N1026" s="119">
        <v>7.22</v>
      </c>
      <c r="O1026" s="46">
        <f t="shared" si="567"/>
        <v>62.092</v>
      </c>
      <c r="P1026" s="51"/>
      <c r="Q1026" s="51"/>
      <c r="R1026" s="73">
        <f t="shared" si="560"/>
        <v>15.3490522990523</v>
      </c>
      <c r="S1026" s="73"/>
      <c r="T1026" s="74">
        <f t="shared" si="561"/>
        <v>0.0323780273780274</v>
      </c>
      <c r="U1026" s="73"/>
      <c r="V1026" s="73"/>
      <c r="W1026" s="73">
        <f t="shared" si="554"/>
        <v>15.3814303264303</v>
      </c>
      <c r="X1026" s="75">
        <f t="shared" si="562"/>
        <v>0.293096174096174</v>
      </c>
      <c r="Y1026" s="75"/>
      <c r="Z1026" s="75"/>
      <c r="AA1026" s="75">
        <f t="shared" si="555"/>
        <v>0.293096174096174</v>
      </c>
      <c r="AB1026" s="84">
        <v>7.22</v>
      </c>
      <c r="AC1026" s="73">
        <f t="shared" si="556"/>
        <v>2.11615437697438</v>
      </c>
      <c r="AD1026" s="73">
        <f t="shared" si="557"/>
        <v>17.4975847034047</v>
      </c>
      <c r="AE1026" s="73">
        <f t="shared" si="559"/>
        <v>44.5944152965953</v>
      </c>
    </row>
    <row r="1027" customFormat="1" spans="1:31">
      <c r="A1027" s="18"/>
      <c r="B1027" s="19"/>
      <c r="C1027" s="20">
        <v>240527000017</v>
      </c>
      <c r="D1027" s="21">
        <v>45444</v>
      </c>
      <c r="E1027" s="21" t="s">
        <v>37</v>
      </c>
      <c r="F1027" s="19" t="s">
        <v>38</v>
      </c>
      <c r="G1027" s="19" t="s">
        <v>318</v>
      </c>
      <c r="H1027" s="19">
        <v>26</v>
      </c>
      <c r="I1027" s="46"/>
      <c r="J1027" s="48">
        <v>390520</v>
      </c>
      <c r="K1027" s="44"/>
      <c r="L1027" s="49">
        <f>SUM(J1027/M1027)</f>
        <v>1502</v>
      </c>
      <c r="M1027" s="50">
        <v>260</v>
      </c>
      <c r="N1027" s="119">
        <v>7.22</v>
      </c>
      <c r="O1027" s="46">
        <f t="shared" si="567"/>
        <v>1877.2</v>
      </c>
      <c r="P1027" s="51"/>
      <c r="Q1027" s="51"/>
      <c r="R1027" s="73">
        <f t="shared" si="560"/>
        <v>1050.19831519832</v>
      </c>
      <c r="S1027" s="73"/>
      <c r="T1027" s="74">
        <f t="shared" si="561"/>
        <v>2.21533871533872</v>
      </c>
      <c r="U1027" s="73"/>
      <c r="V1027" s="73"/>
      <c r="W1027" s="73">
        <f t="shared" si="554"/>
        <v>1052.41365391365</v>
      </c>
      <c r="X1027" s="75">
        <f t="shared" si="562"/>
        <v>20.0539487539488</v>
      </c>
      <c r="Y1027" s="75"/>
      <c r="Z1027" s="75"/>
      <c r="AA1027" s="75">
        <f t="shared" si="555"/>
        <v>20.0539487539488</v>
      </c>
      <c r="AB1027" s="84">
        <v>7.22</v>
      </c>
      <c r="AC1027" s="73">
        <f t="shared" si="556"/>
        <v>144.78951000351</v>
      </c>
      <c r="AD1027" s="73">
        <f t="shared" si="557"/>
        <v>1197.20316391716</v>
      </c>
      <c r="AE1027" s="73">
        <f t="shared" si="559"/>
        <v>679.99683608284</v>
      </c>
    </row>
    <row r="1028" customFormat="1" spans="1:31">
      <c r="A1028" s="18"/>
      <c r="B1028" s="19"/>
      <c r="C1028" s="22">
        <v>240527000019</v>
      </c>
      <c r="D1028" s="23">
        <v>45444</v>
      </c>
      <c r="E1028" s="21" t="s">
        <v>44</v>
      </c>
      <c r="F1028" s="24" t="s">
        <v>45</v>
      </c>
      <c r="G1028" s="24" t="s">
        <v>234</v>
      </c>
      <c r="H1028" s="24">
        <v>7.5</v>
      </c>
      <c r="I1028" s="52"/>
      <c r="J1028" s="48">
        <v>95944.5</v>
      </c>
      <c r="K1028" s="44"/>
      <c r="L1028" s="49">
        <f>SUM(J1028/M1028)</f>
        <v>1494.69543542608</v>
      </c>
      <c r="M1028" s="50">
        <v>64.19</v>
      </c>
      <c r="N1028" s="119">
        <v>7.22</v>
      </c>
      <c r="O1028" s="46">
        <f t="shared" si="567"/>
        <v>463.4518</v>
      </c>
      <c r="P1028" s="51"/>
      <c r="Q1028" s="51"/>
      <c r="R1028" s="73">
        <f t="shared" si="560"/>
        <v>302.941821691822</v>
      </c>
      <c r="S1028" s="73"/>
      <c r="T1028" s="74">
        <f t="shared" si="561"/>
        <v>0.639040014040014</v>
      </c>
      <c r="U1028" s="73"/>
      <c r="V1028" s="73"/>
      <c r="W1028" s="73">
        <f t="shared" si="554"/>
        <v>303.580861705862</v>
      </c>
      <c r="X1028" s="75">
        <f t="shared" si="562"/>
        <v>5.78479290979291</v>
      </c>
      <c r="Y1028" s="75"/>
      <c r="Z1028" s="75"/>
      <c r="AA1028" s="75">
        <f t="shared" si="555"/>
        <v>5.78479290979291</v>
      </c>
      <c r="AB1028" s="84">
        <v>7.22</v>
      </c>
      <c r="AC1028" s="73">
        <f t="shared" si="556"/>
        <v>41.7662048087048</v>
      </c>
      <c r="AD1028" s="73">
        <f t="shared" si="557"/>
        <v>345.347066514567</v>
      </c>
      <c r="AE1028" s="73">
        <f t="shared" si="559"/>
        <v>118.104733485433</v>
      </c>
    </row>
    <row r="1029" customFormat="1" spans="1:31">
      <c r="A1029" s="18"/>
      <c r="B1029" s="19"/>
      <c r="C1029" s="20">
        <v>240527000021</v>
      </c>
      <c r="D1029" s="21">
        <v>45444</v>
      </c>
      <c r="E1029" s="21" t="s">
        <v>44</v>
      </c>
      <c r="F1029" s="19" t="s">
        <v>45</v>
      </c>
      <c r="G1029" s="19" t="s">
        <v>458</v>
      </c>
      <c r="H1029" s="19">
        <v>22</v>
      </c>
      <c r="I1029" s="41">
        <v>1210</v>
      </c>
      <c r="J1029" s="42"/>
      <c r="K1029" s="44"/>
      <c r="L1029" s="19"/>
      <c r="M1029" s="44"/>
      <c r="N1029" s="119"/>
      <c r="O1029" s="46">
        <f t="shared" ref="O1029:O1032" si="568">SUM(I1029)</f>
        <v>1210</v>
      </c>
      <c r="P1029" s="51"/>
      <c r="Q1029" s="51"/>
      <c r="R1029" s="73">
        <f t="shared" si="560"/>
        <v>888.629343629344</v>
      </c>
      <c r="S1029" s="73"/>
      <c r="T1029" s="74">
        <f t="shared" si="561"/>
        <v>1.87451737451737</v>
      </c>
      <c r="U1029" s="73"/>
      <c r="V1029" s="73"/>
      <c r="W1029" s="73">
        <f t="shared" si="554"/>
        <v>890.503861003861</v>
      </c>
      <c r="X1029" s="75">
        <f t="shared" si="562"/>
        <v>16.9687258687259</v>
      </c>
      <c r="Y1029" s="75"/>
      <c r="Z1029" s="75"/>
      <c r="AA1029" s="75">
        <f t="shared" si="555"/>
        <v>16.9687258687259</v>
      </c>
      <c r="AB1029" s="84">
        <v>7.22</v>
      </c>
      <c r="AC1029" s="73">
        <f t="shared" si="556"/>
        <v>122.514200772201</v>
      </c>
      <c r="AD1029" s="73">
        <f t="shared" si="557"/>
        <v>1013.01806177606</v>
      </c>
      <c r="AE1029" s="73">
        <f t="shared" si="559"/>
        <v>196.98193822394</v>
      </c>
    </row>
    <row r="1030" customFormat="1" spans="1:31">
      <c r="A1030" s="18"/>
      <c r="B1030" s="19"/>
      <c r="C1030" s="20">
        <v>240527000022</v>
      </c>
      <c r="D1030" s="21">
        <v>45444</v>
      </c>
      <c r="E1030" s="21" t="s">
        <v>37</v>
      </c>
      <c r="F1030" s="19" t="s">
        <v>38</v>
      </c>
      <c r="G1030" s="19" t="s">
        <v>132</v>
      </c>
      <c r="H1030" s="19">
        <v>0.66</v>
      </c>
      <c r="I1030" s="46"/>
      <c r="J1030" s="48">
        <v>12917.2</v>
      </c>
      <c r="K1030" s="44"/>
      <c r="L1030" s="49">
        <f t="shared" ref="L1030:L1036" si="569">SUM(J1030/M1030)</f>
        <v>1502</v>
      </c>
      <c r="M1030" s="50">
        <v>8.6</v>
      </c>
      <c r="N1030" s="119">
        <v>7.22</v>
      </c>
      <c r="O1030" s="46">
        <f t="shared" ref="O1030:O1034" si="570">SUM(M1030*N1030)</f>
        <v>62.092</v>
      </c>
      <c r="P1030" s="51"/>
      <c r="Q1030" s="51"/>
      <c r="R1030" s="73">
        <f t="shared" si="560"/>
        <v>26.6588803088803</v>
      </c>
      <c r="S1030" s="73"/>
      <c r="T1030" s="74">
        <f t="shared" si="561"/>
        <v>0.0562355212355212</v>
      </c>
      <c r="U1030" s="73"/>
      <c r="V1030" s="73"/>
      <c r="W1030" s="73">
        <f t="shared" si="554"/>
        <v>26.7151158301158</v>
      </c>
      <c r="X1030" s="75">
        <f t="shared" si="562"/>
        <v>0.509061776061776</v>
      </c>
      <c r="Y1030" s="75"/>
      <c r="Z1030" s="75"/>
      <c r="AA1030" s="75">
        <f t="shared" si="555"/>
        <v>0.509061776061776</v>
      </c>
      <c r="AB1030" s="84">
        <v>7.22</v>
      </c>
      <c r="AC1030" s="73">
        <f t="shared" si="556"/>
        <v>3.67542602316602</v>
      </c>
      <c r="AD1030" s="73">
        <f t="shared" si="557"/>
        <v>30.3905418532819</v>
      </c>
      <c r="AE1030" s="73">
        <f t="shared" si="559"/>
        <v>31.7014581467181</v>
      </c>
    </row>
    <row r="1031" customFormat="1" spans="1:31">
      <c r="A1031" s="18"/>
      <c r="B1031" s="19"/>
      <c r="C1031" s="20">
        <v>240527000025</v>
      </c>
      <c r="D1031" s="21">
        <v>45444</v>
      </c>
      <c r="E1031" s="21" t="s">
        <v>44</v>
      </c>
      <c r="F1031" s="19" t="s">
        <v>45</v>
      </c>
      <c r="G1031" s="19" t="s">
        <v>599</v>
      </c>
      <c r="H1031" s="19">
        <v>7.5</v>
      </c>
      <c r="I1031" s="41">
        <v>518.5</v>
      </c>
      <c r="J1031" s="42"/>
      <c r="K1031" s="44"/>
      <c r="L1031" s="19"/>
      <c r="M1031" s="44"/>
      <c r="N1031" s="119"/>
      <c r="O1031" s="46">
        <f t="shared" si="568"/>
        <v>518.5</v>
      </c>
      <c r="P1031" s="51"/>
      <c r="Q1031" s="51"/>
      <c r="R1031" s="73">
        <f t="shared" si="560"/>
        <v>302.941821691822</v>
      </c>
      <c r="S1031" s="73"/>
      <c r="T1031" s="74">
        <f t="shared" si="561"/>
        <v>0.639040014040014</v>
      </c>
      <c r="U1031" s="73"/>
      <c r="V1031" s="74">
        <v>55</v>
      </c>
      <c r="W1031" s="73">
        <f t="shared" si="554"/>
        <v>358.580861705862</v>
      </c>
      <c r="X1031" s="75">
        <f t="shared" si="562"/>
        <v>5.78479290979291</v>
      </c>
      <c r="Y1031" s="75"/>
      <c r="Z1031" s="75"/>
      <c r="AA1031" s="75">
        <f t="shared" si="555"/>
        <v>5.78479290979291</v>
      </c>
      <c r="AB1031" s="84">
        <v>7.22</v>
      </c>
      <c r="AC1031" s="73">
        <f t="shared" si="556"/>
        <v>41.7662048087048</v>
      </c>
      <c r="AD1031" s="73">
        <f t="shared" si="557"/>
        <v>400.347066514567</v>
      </c>
      <c r="AE1031" s="73">
        <f t="shared" si="559"/>
        <v>118.152933485433</v>
      </c>
    </row>
    <row r="1032" customFormat="1" spans="1:31">
      <c r="A1032" s="18"/>
      <c r="B1032" s="19"/>
      <c r="C1032" s="20">
        <v>240527000026</v>
      </c>
      <c r="D1032" s="21">
        <v>45444</v>
      </c>
      <c r="E1032" s="21" t="s">
        <v>41</v>
      </c>
      <c r="F1032" s="19" t="s">
        <v>42</v>
      </c>
      <c r="G1032" s="19" t="s">
        <v>281</v>
      </c>
      <c r="H1032" s="19">
        <v>12</v>
      </c>
      <c r="I1032" s="41">
        <v>820</v>
      </c>
      <c r="J1032" s="42"/>
      <c r="K1032" s="44"/>
      <c r="L1032" s="19"/>
      <c r="M1032" s="44"/>
      <c r="N1032" s="119"/>
      <c r="O1032" s="46">
        <f t="shared" si="568"/>
        <v>820</v>
      </c>
      <c r="P1032" s="51"/>
      <c r="Q1032" s="51"/>
      <c r="R1032" s="73">
        <f t="shared" si="560"/>
        <v>484.706914706915</v>
      </c>
      <c r="S1032" s="73"/>
      <c r="T1032" s="74">
        <f t="shared" si="561"/>
        <v>1.02246402246402</v>
      </c>
      <c r="U1032" s="73">
        <v>40</v>
      </c>
      <c r="V1032" s="73"/>
      <c r="W1032" s="73">
        <f t="shared" si="554"/>
        <v>525.729378729379</v>
      </c>
      <c r="X1032" s="75">
        <f t="shared" si="562"/>
        <v>9.25566865566866</v>
      </c>
      <c r="Y1032" s="75"/>
      <c r="Z1032" s="75"/>
      <c r="AA1032" s="75">
        <f t="shared" si="555"/>
        <v>9.25566865566866</v>
      </c>
      <c r="AB1032" s="84">
        <v>7.22</v>
      </c>
      <c r="AC1032" s="73">
        <f t="shared" si="556"/>
        <v>66.8259276939277</v>
      </c>
      <c r="AD1032" s="73">
        <f t="shared" si="557"/>
        <v>592.555306423306</v>
      </c>
      <c r="AE1032" s="73">
        <f t="shared" si="559"/>
        <v>227.444693576694</v>
      </c>
    </row>
    <row r="1033" customFormat="1" spans="1:31">
      <c r="A1033" s="18"/>
      <c r="B1033" s="19"/>
      <c r="C1033" s="20">
        <v>240527000027</v>
      </c>
      <c r="D1033" s="21">
        <v>45444</v>
      </c>
      <c r="E1033" s="21" t="s">
        <v>41</v>
      </c>
      <c r="F1033" s="19" t="s">
        <v>42</v>
      </c>
      <c r="G1033" s="19" t="s">
        <v>369</v>
      </c>
      <c r="H1033" s="19">
        <v>21.5</v>
      </c>
      <c r="I1033" s="52"/>
      <c r="J1033" s="48">
        <v>235876.5</v>
      </c>
      <c r="K1033" s="44"/>
      <c r="L1033" s="49">
        <f t="shared" si="569"/>
        <v>1494.59194018502</v>
      </c>
      <c r="M1033" s="50">
        <v>157.82</v>
      </c>
      <c r="N1033" s="119">
        <v>7.22</v>
      </c>
      <c r="O1033" s="46">
        <f t="shared" si="570"/>
        <v>1139.4604</v>
      </c>
      <c r="P1033" s="51"/>
      <c r="Q1033" s="51"/>
      <c r="R1033" s="73">
        <f t="shared" si="560"/>
        <v>868.433222183222</v>
      </c>
      <c r="S1033" s="73"/>
      <c r="T1033" s="74">
        <f t="shared" si="561"/>
        <v>1.83191470691471</v>
      </c>
      <c r="U1033" s="73"/>
      <c r="V1033" s="73"/>
      <c r="W1033" s="73">
        <f t="shared" si="554"/>
        <v>870.265136890137</v>
      </c>
      <c r="X1033" s="75">
        <f t="shared" si="562"/>
        <v>16.583073008073</v>
      </c>
      <c r="Y1033" s="75"/>
      <c r="Z1033" s="75"/>
      <c r="AA1033" s="75">
        <f t="shared" si="555"/>
        <v>16.583073008073</v>
      </c>
      <c r="AB1033" s="84">
        <v>7.22</v>
      </c>
      <c r="AC1033" s="73">
        <f t="shared" si="556"/>
        <v>119.729787118287</v>
      </c>
      <c r="AD1033" s="73">
        <f t="shared" si="557"/>
        <v>989.994924008424</v>
      </c>
      <c r="AE1033" s="73">
        <f t="shared" si="559"/>
        <v>149.465475991576</v>
      </c>
    </row>
    <row r="1034" customFormat="1" spans="1:31">
      <c r="A1034" s="18"/>
      <c r="B1034" s="19"/>
      <c r="C1034" s="20">
        <v>240527000028</v>
      </c>
      <c r="D1034" s="21">
        <v>45444</v>
      </c>
      <c r="E1034" s="21" t="s">
        <v>41</v>
      </c>
      <c r="F1034" s="19" t="s">
        <v>42</v>
      </c>
      <c r="G1034" s="19" t="s">
        <v>369</v>
      </c>
      <c r="H1034" s="19">
        <v>56.5</v>
      </c>
      <c r="I1034" s="52"/>
      <c r="J1034" s="48">
        <v>624001.5</v>
      </c>
      <c r="K1034" s="44"/>
      <c r="L1034" s="49">
        <f t="shared" si="569"/>
        <v>1494.54277639395</v>
      </c>
      <c r="M1034" s="50">
        <v>417.52</v>
      </c>
      <c r="N1034" s="119">
        <v>7.22</v>
      </c>
      <c r="O1034" s="46">
        <f t="shared" si="570"/>
        <v>3014.4944</v>
      </c>
      <c r="P1034" s="51"/>
      <c r="Q1034" s="51"/>
      <c r="R1034" s="73">
        <f t="shared" si="560"/>
        <v>2282.16172341172</v>
      </c>
      <c r="S1034" s="73"/>
      <c r="T1034" s="74">
        <f t="shared" si="561"/>
        <v>4.81410143910144</v>
      </c>
      <c r="U1034" s="74">
        <v>110</v>
      </c>
      <c r="V1034" s="73"/>
      <c r="W1034" s="73">
        <f t="shared" si="554"/>
        <v>2396.97582485082</v>
      </c>
      <c r="X1034" s="75">
        <f t="shared" si="562"/>
        <v>43.5787732537732</v>
      </c>
      <c r="Y1034" s="75"/>
      <c r="Z1034" s="75"/>
      <c r="AA1034" s="75">
        <f t="shared" si="555"/>
        <v>43.5787732537732</v>
      </c>
      <c r="AB1034" s="84">
        <v>7.22</v>
      </c>
      <c r="AC1034" s="73">
        <f t="shared" si="556"/>
        <v>314.638742892243</v>
      </c>
      <c r="AD1034" s="73">
        <f t="shared" si="557"/>
        <v>2711.61456774307</v>
      </c>
      <c r="AE1034" s="73">
        <f t="shared" si="559"/>
        <v>302.87983225693</v>
      </c>
    </row>
    <row r="1035" customFormat="1" spans="1:31">
      <c r="A1035" s="18"/>
      <c r="B1035" s="19"/>
      <c r="C1035" s="20">
        <v>240527000030</v>
      </c>
      <c r="D1035" s="21">
        <v>45444</v>
      </c>
      <c r="E1035" s="21" t="s">
        <v>44</v>
      </c>
      <c r="F1035" s="19" t="s">
        <v>45</v>
      </c>
      <c r="G1035" s="19" t="s">
        <v>299</v>
      </c>
      <c r="H1035" s="19">
        <v>2</v>
      </c>
      <c r="I1035" s="52">
        <v>-209</v>
      </c>
      <c r="J1035" s="48">
        <v>28633</v>
      </c>
      <c r="K1035" s="44"/>
      <c r="L1035" s="49">
        <f t="shared" si="569"/>
        <v>1498.32548403977</v>
      </c>
      <c r="M1035" s="50">
        <v>19.11</v>
      </c>
      <c r="N1035" s="119">
        <v>7.22</v>
      </c>
      <c r="O1035" s="52">
        <f>SUM(M1035*N1035)+I1035</f>
        <v>-71.0258</v>
      </c>
      <c r="P1035" s="51"/>
      <c r="Q1035" s="51"/>
      <c r="R1035" s="73">
        <f t="shared" si="560"/>
        <v>80.7844857844858</v>
      </c>
      <c r="S1035" s="73"/>
      <c r="T1035" s="74">
        <f t="shared" si="561"/>
        <v>0.17041067041067</v>
      </c>
      <c r="U1035" s="73"/>
      <c r="V1035" s="73"/>
      <c r="W1035" s="73">
        <f t="shared" si="554"/>
        <v>80.9548964548965</v>
      </c>
      <c r="X1035" s="75">
        <f t="shared" si="562"/>
        <v>1.54261144261144</v>
      </c>
      <c r="Y1035" s="75">
        <v>2.63</v>
      </c>
      <c r="Z1035" s="75"/>
      <c r="AA1035" s="75">
        <f t="shared" si="555"/>
        <v>4.17261144261144</v>
      </c>
      <c r="AB1035" s="84">
        <v>7.22</v>
      </c>
      <c r="AC1035" s="73">
        <f t="shared" si="556"/>
        <v>30.1262546156546</v>
      </c>
      <c r="AD1035" s="73">
        <f t="shared" si="557"/>
        <v>111.081151070551</v>
      </c>
      <c r="AE1035" s="73">
        <f t="shared" si="559"/>
        <v>-182.106951070551</v>
      </c>
    </row>
    <row r="1036" customFormat="1" spans="1:31">
      <c r="A1036" s="18"/>
      <c r="B1036" s="19"/>
      <c r="C1036" s="20">
        <v>240527000033</v>
      </c>
      <c r="D1036" s="21">
        <v>45444</v>
      </c>
      <c r="E1036" s="21" t="s">
        <v>41</v>
      </c>
      <c r="F1036" s="19" t="s">
        <v>42</v>
      </c>
      <c r="G1036" s="19" t="s">
        <v>141</v>
      </c>
      <c r="H1036" s="19">
        <v>8.5</v>
      </c>
      <c r="I1036" s="52"/>
      <c r="J1036" s="48">
        <v>111911</v>
      </c>
      <c r="K1036" s="44"/>
      <c r="L1036" s="49">
        <f t="shared" si="569"/>
        <v>1639.00117164616</v>
      </c>
      <c r="M1036" s="50">
        <v>68.28</v>
      </c>
      <c r="N1036" s="119">
        <v>7.22</v>
      </c>
      <c r="O1036" s="46">
        <f>SUM(M1036*N1036)</f>
        <v>492.9816</v>
      </c>
      <c r="P1036" s="51"/>
      <c r="Q1036" s="51"/>
      <c r="R1036" s="73">
        <f t="shared" si="560"/>
        <v>343.334064584065</v>
      </c>
      <c r="S1036" s="73"/>
      <c r="T1036" s="74">
        <f t="shared" si="561"/>
        <v>0.724245349245349</v>
      </c>
      <c r="U1036" s="73"/>
      <c r="V1036" s="73"/>
      <c r="W1036" s="73">
        <f t="shared" si="554"/>
        <v>344.05830993331</v>
      </c>
      <c r="X1036" s="75">
        <f t="shared" si="562"/>
        <v>6.55609863109863</v>
      </c>
      <c r="Y1036" s="75"/>
      <c r="Z1036" s="75"/>
      <c r="AA1036" s="75">
        <f t="shared" si="555"/>
        <v>6.55609863109863</v>
      </c>
      <c r="AB1036" s="84">
        <v>7.22</v>
      </c>
      <c r="AC1036" s="73">
        <f t="shared" si="556"/>
        <v>47.3350321165321</v>
      </c>
      <c r="AD1036" s="73">
        <f t="shared" si="557"/>
        <v>391.393342049842</v>
      </c>
      <c r="AE1036" s="73">
        <f t="shared" si="559"/>
        <v>101.588257950158</v>
      </c>
    </row>
    <row r="1037" customFormat="1" spans="1:31">
      <c r="A1037" s="18"/>
      <c r="B1037" s="19"/>
      <c r="C1037" s="20">
        <v>240527000035</v>
      </c>
      <c r="D1037" s="21">
        <v>45444</v>
      </c>
      <c r="E1037" s="21" t="s">
        <v>41</v>
      </c>
      <c r="F1037" s="19" t="s">
        <v>42</v>
      </c>
      <c r="G1037" s="19" t="s">
        <v>142</v>
      </c>
      <c r="H1037" s="19">
        <v>0.52</v>
      </c>
      <c r="I1037" s="52"/>
      <c r="J1037" s="48">
        <v>10971</v>
      </c>
      <c r="K1037" s="44"/>
      <c r="L1037" s="49">
        <f t="shared" ref="L1037:L1042" si="571">SUM(J1037/M1037)</f>
        <v>1494.68664850136</v>
      </c>
      <c r="M1037" s="50">
        <v>7.34</v>
      </c>
      <c r="N1037" s="119">
        <v>7.22</v>
      </c>
      <c r="O1037" s="46">
        <f t="shared" ref="O1037:O1042" si="572">SUM(M1037*N1037)</f>
        <v>52.9948</v>
      </c>
      <c r="P1037" s="51"/>
      <c r="Q1037" s="51"/>
      <c r="R1037" s="73">
        <f t="shared" si="560"/>
        <v>21.0039663039663</v>
      </c>
      <c r="S1037" s="73"/>
      <c r="T1037" s="74">
        <f t="shared" si="561"/>
        <v>0.0443067743067743</v>
      </c>
      <c r="U1037" s="73"/>
      <c r="V1037" s="73"/>
      <c r="W1037" s="73">
        <f t="shared" si="554"/>
        <v>21.0482730782731</v>
      </c>
      <c r="X1037" s="75">
        <f t="shared" si="562"/>
        <v>0.401078975078975</v>
      </c>
      <c r="Y1037" s="75"/>
      <c r="Z1037" s="75"/>
      <c r="AA1037" s="75">
        <f t="shared" si="555"/>
        <v>0.401078975078975</v>
      </c>
      <c r="AB1037" s="84">
        <v>7.22</v>
      </c>
      <c r="AC1037" s="73">
        <f t="shared" si="556"/>
        <v>2.8957902000702</v>
      </c>
      <c r="AD1037" s="73">
        <f t="shared" si="557"/>
        <v>23.9440632783433</v>
      </c>
      <c r="AE1037" s="73">
        <f t="shared" si="559"/>
        <v>29.0507367216567</v>
      </c>
    </row>
    <row r="1038" customFormat="1" spans="1:31">
      <c r="A1038" s="18"/>
      <c r="B1038" s="19"/>
      <c r="C1038" s="20">
        <v>240527000036</v>
      </c>
      <c r="D1038" s="21">
        <v>45444</v>
      </c>
      <c r="E1038" s="21" t="s">
        <v>44</v>
      </c>
      <c r="F1038" s="19" t="s">
        <v>45</v>
      </c>
      <c r="G1038" s="19" t="s">
        <v>316</v>
      </c>
      <c r="H1038" s="19">
        <v>20</v>
      </c>
      <c r="I1038" s="41">
        <v>1226</v>
      </c>
      <c r="J1038" s="42"/>
      <c r="K1038" s="44"/>
      <c r="L1038" s="19"/>
      <c r="M1038" s="44"/>
      <c r="N1038" s="119"/>
      <c r="O1038" s="46">
        <f t="shared" ref="O1036:O1043" si="573">SUM(I1038)</f>
        <v>1226</v>
      </c>
      <c r="P1038" s="51"/>
      <c r="Q1038" s="51"/>
      <c r="R1038" s="73">
        <f t="shared" si="560"/>
        <v>807.844857844858</v>
      </c>
      <c r="S1038" s="73"/>
      <c r="T1038" s="74">
        <f t="shared" si="561"/>
        <v>1.7041067041067</v>
      </c>
      <c r="U1038" s="73"/>
      <c r="V1038" s="73"/>
      <c r="W1038" s="73">
        <f t="shared" ref="W1038:W1069" si="574">SUM(R1038:V1038)</f>
        <v>809.548964548965</v>
      </c>
      <c r="X1038" s="75">
        <f t="shared" si="562"/>
        <v>15.4261144261144</v>
      </c>
      <c r="Y1038" s="75"/>
      <c r="Z1038" s="75"/>
      <c r="AA1038" s="75">
        <f t="shared" ref="AA1038:AA1069" si="575">SUM(X1038:Z1038)</f>
        <v>15.4261144261144</v>
      </c>
      <c r="AB1038" s="84">
        <v>7.22</v>
      </c>
      <c r="AC1038" s="73">
        <f t="shared" ref="AC1038:AC1069" si="576">SUM(AA1038*AB1038)</f>
        <v>111.376546156546</v>
      </c>
      <c r="AD1038" s="73">
        <f t="shared" ref="AD1038:AD1069" si="577">SUM(W1038+AC1038)</f>
        <v>920.925510705511</v>
      </c>
      <c r="AE1038" s="73">
        <f t="shared" si="559"/>
        <v>305.074489294489</v>
      </c>
    </row>
    <row r="1039" customFormat="1" spans="1:31">
      <c r="A1039" s="18"/>
      <c r="B1039" s="19"/>
      <c r="C1039" s="20">
        <v>240527000040</v>
      </c>
      <c r="D1039" s="21">
        <v>45444</v>
      </c>
      <c r="E1039" s="21" t="s">
        <v>41</v>
      </c>
      <c r="F1039" s="19" t="s">
        <v>42</v>
      </c>
      <c r="G1039" s="19" t="s">
        <v>357</v>
      </c>
      <c r="H1039" s="19">
        <v>6</v>
      </c>
      <c r="I1039" s="41">
        <v>418</v>
      </c>
      <c r="J1039" s="42"/>
      <c r="K1039" s="44"/>
      <c r="L1039" s="19"/>
      <c r="M1039" s="44"/>
      <c r="N1039" s="119"/>
      <c r="O1039" s="46">
        <f t="shared" si="573"/>
        <v>418</v>
      </c>
      <c r="P1039" s="51"/>
      <c r="Q1039" s="51"/>
      <c r="R1039" s="73">
        <f t="shared" si="560"/>
        <v>242.353457353457</v>
      </c>
      <c r="S1039" s="73"/>
      <c r="T1039" s="74">
        <f t="shared" si="561"/>
        <v>0.511232011232011</v>
      </c>
      <c r="U1039" s="73"/>
      <c r="V1039" s="73"/>
      <c r="W1039" s="73">
        <f t="shared" si="574"/>
        <v>242.864689364689</v>
      </c>
      <c r="X1039" s="75">
        <f t="shared" si="562"/>
        <v>4.62783432783433</v>
      </c>
      <c r="Y1039" s="75">
        <v>13.85</v>
      </c>
      <c r="Z1039" s="75"/>
      <c r="AA1039" s="75">
        <f t="shared" si="575"/>
        <v>18.4778343278343</v>
      </c>
      <c r="AB1039" s="84">
        <v>7.22</v>
      </c>
      <c r="AC1039" s="73">
        <f t="shared" si="576"/>
        <v>133.409963846964</v>
      </c>
      <c r="AD1039" s="73">
        <f t="shared" si="577"/>
        <v>376.274653211653</v>
      </c>
      <c r="AE1039" s="73">
        <f t="shared" ref="AE1039:AE1069" si="578">SUM(O1039-AD1039)</f>
        <v>41.725346788347</v>
      </c>
    </row>
    <row r="1040" customFormat="1" spans="1:31">
      <c r="A1040" s="18"/>
      <c r="B1040" s="19"/>
      <c r="C1040" s="20">
        <v>240527000045</v>
      </c>
      <c r="D1040" s="21">
        <v>45444</v>
      </c>
      <c r="E1040" s="21" t="s">
        <v>41</v>
      </c>
      <c r="F1040" s="19" t="s">
        <v>42</v>
      </c>
      <c r="G1040" s="19" t="s">
        <v>600</v>
      </c>
      <c r="H1040" s="19">
        <v>8</v>
      </c>
      <c r="I1040" s="52"/>
      <c r="J1040" s="48">
        <v>95400</v>
      </c>
      <c r="K1040" s="44"/>
      <c r="L1040" s="49">
        <f t="shared" si="571"/>
        <v>1624.65940054496</v>
      </c>
      <c r="M1040" s="50">
        <v>58.72</v>
      </c>
      <c r="N1040" s="119">
        <v>7.22</v>
      </c>
      <c r="O1040" s="46">
        <f t="shared" si="572"/>
        <v>423.9584</v>
      </c>
      <c r="P1040" s="51"/>
      <c r="Q1040" s="51"/>
      <c r="R1040" s="73">
        <f t="shared" ref="R1040:R1068" si="579">SUM(115077.5/2849)*H1040</f>
        <v>323.137943137943</v>
      </c>
      <c r="S1040" s="73"/>
      <c r="T1040" s="74">
        <f t="shared" ref="T1040:T1068" si="580">SUM(242.75/2849)*H1040</f>
        <v>0.681642681642682</v>
      </c>
      <c r="U1040" s="73"/>
      <c r="V1040" s="73"/>
      <c r="W1040" s="73">
        <f t="shared" si="574"/>
        <v>323.819585819586</v>
      </c>
      <c r="X1040" s="75">
        <f t="shared" ref="X1040:X1068" si="581">SUM(2197.45/2849)*H1040</f>
        <v>6.17044577044577</v>
      </c>
      <c r="Y1040" s="75"/>
      <c r="Z1040" s="75"/>
      <c r="AA1040" s="75">
        <f t="shared" si="575"/>
        <v>6.17044577044577</v>
      </c>
      <c r="AB1040" s="84">
        <v>7.22</v>
      </c>
      <c r="AC1040" s="73">
        <f t="shared" si="576"/>
        <v>44.5506184626185</v>
      </c>
      <c r="AD1040" s="73">
        <f t="shared" si="577"/>
        <v>368.370204282204</v>
      </c>
      <c r="AE1040" s="73">
        <f t="shared" si="578"/>
        <v>55.588195717796</v>
      </c>
    </row>
    <row r="1041" customFormat="1" spans="1:31">
      <c r="A1041" s="18"/>
      <c r="B1041" s="19"/>
      <c r="C1041" s="20">
        <v>240527000046</v>
      </c>
      <c r="D1041" s="21">
        <v>45444</v>
      </c>
      <c r="E1041" s="21" t="s">
        <v>41</v>
      </c>
      <c r="F1041" s="19" t="s">
        <v>42</v>
      </c>
      <c r="G1041" s="19" t="s">
        <v>601</v>
      </c>
      <c r="H1041" s="19">
        <v>9</v>
      </c>
      <c r="I1041" s="41">
        <v>555</v>
      </c>
      <c r="J1041" s="42"/>
      <c r="K1041" s="44"/>
      <c r="L1041" s="19"/>
      <c r="M1041" s="44"/>
      <c r="N1041" s="119"/>
      <c r="O1041" s="46">
        <f t="shared" si="573"/>
        <v>555</v>
      </c>
      <c r="P1041" s="51"/>
      <c r="Q1041" s="51"/>
      <c r="R1041" s="73">
        <f t="shared" si="579"/>
        <v>363.530186030186</v>
      </c>
      <c r="S1041" s="73"/>
      <c r="T1041" s="74">
        <f t="shared" si="580"/>
        <v>0.766848016848017</v>
      </c>
      <c r="U1041" s="73"/>
      <c r="V1041" s="73"/>
      <c r="W1041" s="73">
        <f t="shared" si="574"/>
        <v>364.297034047034</v>
      </c>
      <c r="X1041" s="75">
        <f t="shared" si="581"/>
        <v>6.94175149175149</v>
      </c>
      <c r="Y1041" s="75"/>
      <c r="Z1041" s="75"/>
      <c r="AA1041" s="75">
        <f t="shared" si="575"/>
        <v>6.94175149175149</v>
      </c>
      <c r="AB1041" s="84">
        <v>7.22</v>
      </c>
      <c r="AC1041" s="73">
        <f t="shared" si="576"/>
        <v>50.1194457704458</v>
      </c>
      <c r="AD1041" s="73">
        <f t="shared" si="577"/>
        <v>414.41647981748</v>
      </c>
      <c r="AE1041" s="73">
        <f t="shared" si="578"/>
        <v>140.58352018252</v>
      </c>
    </row>
    <row r="1042" customFormat="1" spans="1:31">
      <c r="A1042" s="18"/>
      <c r="B1042" s="19"/>
      <c r="C1042" s="20">
        <v>240527000047</v>
      </c>
      <c r="D1042" s="21">
        <v>45444</v>
      </c>
      <c r="E1042" s="21" t="s">
        <v>41</v>
      </c>
      <c r="F1042" s="19" t="s">
        <v>42</v>
      </c>
      <c r="G1042" s="19" t="s">
        <v>532</v>
      </c>
      <c r="H1042" s="19">
        <v>4</v>
      </c>
      <c r="I1042" s="52"/>
      <c r="J1042" s="48">
        <v>57600</v>
      </c>
      <c r="K1042" s="44"/>
      <c r="L1042" s="49">
        <f t="shared" si="571"/>
        <v>1624.82369534556</v>
      </c>
      <c r="M1042" s="50">
        <v>35.45</v>
      </c>
      <c r="N1042" s="119">
        <v>7.22</v>
      </c>
      <c r="O1042" s="46">
        <f t="shared" si="572"/>
        <v>255.949</v>
      </c>
      <c r="P1042" s="51"/>
      <c r="Q1042" s="51"/>
      <c r="R1042" s="73">
        <f t="shared" si="579"/>
        <v>161.568971568972</v>
      </c>
      <c r="S1042" s="73"/>
      <c r="T1042" s="74">
        <f t="shared" si="580"/>
        <v>0.340821340821341</v>
      </c>
      <c r="U1042" s="73"/>
      <c r="V1042" s="73"/>
      <c r="W1042" s="73">
        <f t="shared" si="574"/>
        <v>161.909792909793</v>
      </c>
      <c r="X1042" s="75">
        <f t="shared" si="581"/>
        <v>3.08522288522288</v>
      </c>
      <c r="Y1042" s="75"/>
      <c r="Z1042" s="75"/>
      <c r="AA1042" s="75">
        <f t="shared" si="575"/>
        <v>3.08522288522288</v>
      </c>
      <c r="AB1042" s="84">
        <v>7.22</v>
      </c>
      <c r="AC1042" s="73">
        <f t="shared" si="576"/>
        <v>22.2753092313092</v>
      </c>
      <c r="AD1042" s="73">
        <f t="shared" si="577"/>
        <v>184.185102141102</v>
      </c>
      <c r="AE1042" s="73">
        <f t="shared" si="578"/>
        <v>71.763897858898</v>
      </c>
    </row>
    <row r="1043" customFormat="1" spans="1:31">
      <c r="A1043" s="18"/>
      <c r="B1043" s="19"/>
      <c r="C1043" s="20">
        <v>240527000048</v>
      </c>
      <c r="D1043" s="21">
        <v>45444</v>
      </c>
      <c r="E1043" s="21" t="s">
        <v>41</v>
      </c>
      <c r="F1043" s="19" t="s">
        <v>42</v>
      </c>
      <c r="G1043" s="19" t="s">
        <v>260</v>
      </c>
      <c r="H1043" s="19">
        <v>78</v>
      </c>
      <c r="I1043" s="41">
        <v>3900</v>
      </c>
      <c r="J1043" s="42"/>
      <c r="K1043" s="44"/>
      <c r="L1043" s="19"/>
      <c r="M1043" s="44"/>
      <c r="N1043" s="119"/>
      <c r="O1043" s="46">
        <f t="shared" si="573"/>
        <v>3900</v>
      </c>
      <c r="P1043" s="51"/>
      <c r="Q1043" s="51"/>
      <c r="R1043" s="73">
        <f t="shared" si="579"/>
        <v>3150.59494559495</v>
      </c>
      <c r="S1043" s="73"/>
      <c r="T1043" s="74">
        <f t="shared" si="580"/>
        <v>6.64601614601615</v>
      </c>
      <c r="U1043" s="73"/>
      <c r="V1043" s="73"/>
      <c r="W1043" s="73">
        <f t="shared" si="574"/>
        <v>3157.24096174096</v>
      </c>
      <c r="X1043" s="75">
        <f t="shared" si="581"/>
        <v>60.1618462618463</v>
      </c>
      <c r="Y1043" s="75"/>
      <c r="Z1043" s="75"/>
      <c r="AA1043" s="75">
        <f t="shared" si="575"/>
        <v>60.1618462618463</v>
      </c>
      <c r="AB1043" s="84">
        <v>7.22</v>
      </c>
      <c r="AC1043" s="73">
        <f t="shared" si="576"/>
        <v>434.36853001053</v>
      </c>
      <c r="AD1043" s="73">
        <f t="shared" si="577"/>
        <v>3591.60949175149</v>
      </c>
      <c r="AE1043" s="73">
        <f t="shared" si="578"/>
        <v>308.39050824851</v>
      </c>
    </row>
    <row r="1044" customFormat="1" spans="1:31">
      <c r="A1044" s="18"/>
      <c r="B1044" s="19"/>
      <c r="C1044" s="20">
        <v>240527000053</v>
      </c>
      <c r="D1044" s="21">
        <v>45444</v>
      </c>
      <c r="E1044" s="21" t="s">
        <v>47</v>
      </c>
      <c r="F1044" s="19" t="s">
        <v>48</v>
      </c>
      <c r="G1044" s="19" t="s">
        <v>121</v>
      </c>
      <c r="H1044" s="19">
        <v>9.5</v>
      </c>
      <c r="I1044" s="46"/>
      <c r="J1044" s="42"/>
      <c r="K1044" s="50">
        <v>62.5</v>
      </c>
      <c r="L1044" s="19"/>
      <c r="M1044" s="50">
        <v>62.5</v>
      </c>
      <c r="N1044" s="119">
        <v>7.22</v>
      </c>
      <c r="O1044" s="46">
        <f>SUM(M1044*N1044)</f>
        <v>451.25</v>
      </c>
      <c r="P1044" s="51"/>
      <c r="Q1044" s="51"/>
      <c r="R1044" s="73">
        <f t="shared" si="579"/>
        <v>383.726307476307</v>
      </c>
      <c r="S1044" s="73"/>
      <c r="T1044" s="74">
        <f t="shared" si="580"/>
        <v>0.809450684450684</v>
      </c>
      <c r="U1044" s="73"/>
      <c r="V1044" s="73"/>
      <c r="W1044" s="73">
        <f t="shared" si="574"/>
        <v>384.535758160758</v>
      </c>
      <c r="X1044" s="75">
        <f t="shared" si="581"/>
        <v>7.32740435240435</v>
      </c>
      <c r="Y1044" s="75"/>
      <c r="Z1044" s="75"/>
      <c r="AA1044" s="75">
        <f t="shared" si="575"/>
        <v>7.32740435240435</v>
      </c>
      <c r="AB1044" s="84">
        <v>7.22</v>
      </c>
      <c r="AC1044" s="73">
        <f t="shared" si="576"/>
        <v>52.9038594243594</v>
      </c>
      <c r="AD1044" s="73">
        <f t="shared" si="577"/>
        <v>437.439617585118</v>
      </c>
      <c r="AE1044" s="73">
        <f t="shared" si="578"/>
        <v>13.810382414882</v>
      </c>
    </row>
    <row r="1045" customFormat="1" spans="1:31">
      <c r="A1045" s="18"/>
      <c r="B1045" s="19"/>
      <c r="C1045" s="20">
        <v>240527000055</v>
      </c>
      <c r="D1045" s="21">
        <v>45444</v>
      </c>
      <c r="E1045" s="21" t="s">
        <v>47</v>
      </c>
      <c r="F1045" s="19" t="s">
        <v>48</v>
      </c>
      <c r="G1045" s="19" t="s">
        <v>359</v>
      </c>
      <c r="H1045" s="19">
        <v>34</v>
      </c>
      <c r="I1045" s="41">
        <v>2268</v>
      </c>
      <c r="J1045" s="42"/>
      <c r="K1045" s="44"/>
      <c r="L1045" s="19"/>
      <c r="M1045" s="44"/>
      <c r="N1045" s="119"/>
      <c r="O1045" s="46">
        <f t="shared" ref="O1045:O1047" si="582">SUM(I1045)</f>
        <v>2268</v>
      </c>
      <c r="P1045" s="51"/>
      <c r="Q1045" s="51"/>
      <c r="R1045" s="73">
        <f t="shared" si="579"/>
        <v>1373.33625833626</v>
      </c>
      <c r="S1045" s="73"/>
      <c r="T1045" s="74">
        <f t="shared" si="580"/>
        <v>2.8969813969814</v>
      </c>
      <c r="U1045" s="73"/>
      <c r="V1045" s="73"/>
      <c r="W1045" s="73">
        <f t="shared" si="574"/>
        <v>1376.23323973324</v>
      </c>
      <c r="X1045" s="75">
        <f t="shared" si="581"/>
        <v>26.2243945243945</v>
      </c>
      <c r="Y1045" s="75"/>
      <c r="Z1045" s="75"/>
      <c r="AA1045" s="75">
        <f t="shared" si="575"/>
        <v>26.2243945243945</v>
      </c>
      <c r="AB1045" s="84">
        <v>7.22</v>
      </c>
      <c r="AC1045" s="73">
        <f t="shared" si="576"/>
        <v>189.340128466128</v>
      </c>
      <c r="AD1045" s="73">
        <f t="shared" si="577"/>
        <v>1565.57336819937</v>
      </c>
      <c r="AE1045" s="73">
        <f t="shared" si="578"/>
        <v>702.42663180063</v>
      </c>
    </row>
    <row r="1046" customFormat="1" spans="1:31">
      <c r="A1046" s="18"/>
      <c r="B1046" s="19"/>
      <c r="C1046" s="20">
        <v>240527000056</v>
      </c>
      <c r="D1046" s="21">
        <v>45444</v>
      </c>
      <c r="E1046" s="21" t="s">
        <v>44</v>
      </c>
      <c r="F1046" s="19" t="s">
        <v>45</v>
      </c>
      <c r="G1046" s="19" t="s">
        <v>602</v>
      </c>
      <c r="H1046" s="19">
        <v>57</v>
      </c>
      <c r="I1046" s="41">
        <v>3656</v>
      </c>
      <c r="J1046" s="42"/>
      <c r="K1046" s="44"/>
      <c r="L1046" s="19"/>
      <c r="M1046" s="44"/>
      <c r="N1046" s="119"/>
      <c r="O1046" s="46">
        <f t="shared" si="582"/>
        <v>3656</v>
      </c>
      <c r="P1046" s="51"/>
      <c r="Q1046" s="51"/>
      <c r="R1046" s="73">
        <f t="shared" si="579"/>
        <v>2302.35784485784</v>
      </c>
      <c r="S1046" s="73"/>
      <c r="T1046" s="74">
        <f t="shared" si="580"/>
        <v>4.85670410670411</v>
      </c>
      <c r="U1046" s="73"/>
      <c r="V1046" s="73"/>
      <c r="W1046" s="73">
        <f t="shared" si="574"/>
        <v>2307.21454896455</v>
      </c>
      <c r="X1046" s="75">
        <f t="shared" si="581"/>
        <v>43.9644261144261</v>
      </c>
      <c r="Y1046" s="75"/>
      <c r="Z1046" s="75"/>
      <c r="AA1046" s="75">
        <f t="shared" si="575"/>
        <v>43.9644261144261</v>
      </c>
      <c r="AB1046" s="84">
        <v>7.22</v>
      </c>
      <c r="AC1046" s="73">
        <f t="shared" si="576"/>
        <v>317.423156546157</v>
      </c>
      <c r="AD1046" s="73">
        <f t="shared" si="577"/>
        <v>2624.63770551071</v>
      </c>
      <c r="AE1046" s="73">
        <f t="shared" si="578"/>
        <v>1031.36229448929</v>
      </c>
    </row>
    <row r="1047" customFormat="1" spans="1:31">
      <c r="A1047" s="18"/>
      <c r="B1047" s="19"/>
      <c r="C1047" s="20">
        <v>240527000057</v>
      </c>
      <c r="D1047" s="21">
        <v>45444</v>
      </c>
      <c r="E1047" s="21" t="s">
        <v>37</v>
      </c>
      <c r="F1047" s="19" t="s">
        <v>38</v>
      </c>
      <c r="G1047" s="19" t="s">
        <v>143</v>
      </c>
      <c r="H1047" s="19">
        <v>0.68</v>
      </c>
      <c r="I1047" s="41">
        <v>61</v>
      </c>
      <c r="J1047" s="42"/>
      <c r="K1047" s="44"/>
      <c r="L1047" s="19"/>
      <c r="M1047" s="44"/>
      <c r="N1047" s="119"/>
      <c r="O1047" s="46">
        <f t="shared" si="582"/>
        <v>61</v>
      </c>
      <c r="P1047" s="51"/>
      <c r="Q1047" s="51"/>
      <c r="R1047" s="73">
        <f t="shared" si="579"/>
        <v>27.4667251667252</v>
      </c>
      <c r="S1047" s="73"/>
      <c r="T1047" s="74">
        <f t="shared" si="580"/>
        <v>0.0579396279396279</v>
      </c>
      <c r="U1047" s="73"/>
      <c r="V1047" s="73"/>
      <c r="W1047" s="73">
        <f t="shared" si="574"/>
        <v>27.5246647946648</v>
      </c>
      <c r="X1047" s="75">
        <f t="shared" si="581"/>
        <v>0.52448789048789</v>
      </c>
      <c r="Y1047" s="75"/>
      <c r="Z1047" s="75"/>
      <c r="AA1047" s="75">
        <f t="shared" si="575"/>
        <v>0.52448789048789</v>
      </c>
      <c r="AB1047" s="84">
        <v>7.22</v>
      </c>
      <c r="AC1047" s="73">
        <f t="shared" si="576"/>
        <v>3.78680256932257</v>
      </c>
      <c r="AD1047" s="73">
        <f t="shared" si="577"/>
        <v>31.3114673639874</v>
      </c>
      <c r="AE1047" s="73">
        <f t="shared" si="578"/>
        <v>29.6885326360126</v>
      </c>
    </row>
    <row r="1048" customFormat="1" spans="1:31">
      <c r="A1048" s="18"/>
      <c r="B1048" s="19"/>
      <c r="C1048" s="20">
        <v>240527000060</v>
      </c>
      <c r="D1048" s="21">
        <v>45444</v>
      </c>
      <c r="E1048" s="21" t="s">
        <v>157</v>
      </c>
      <c r="F1048" s="19" t="s">
        <v>239</v>
      </c>
      <c r="G1048" s="19" t="s">
        <v>603</v>
      </c>
      <c r="H1048" s="19">
        <v>312</v>
      </c>
      <c r="I1048" s="46"/>
      <c r="J1048" s="42"/>
      <c r="K1048" s="50">
        <v>2152.8</v>
      </c>
      <c r="L1048" s="19"/>
      <c r="M1048" s="50">
        <v>2152.8</v>
      </c>
      <c r="N1048" s="119">
        <v>7.22</v>
      </c>
      <c r="O1048" s="46">
        <f t="shared" ref="O1048:O1054" si="583">SUM(M1048*N1048)</f>
        <v>15543.216</v>
      </c>
      <c r="P1048" s="51"/>
      <c r="Q1048" s="51"/>
      <c r="R1048" s="73">
        <f t="shared" si="579"/>
        <v>12602.3797823798</v>
      </c>
      <c r="S1048" s="73"/>
      <c r="T1048" s="74">
        <f t="shared" si="580"/>
        <v>26.5840645840646</v>
      </c>
      <c r="U1048" s="73"/>
      <c r="V1048" s="73"/>
      <c r="W1048" s="73">
        <f t="shared" si="574"/>
        <v>12628.9638469638</v>
      </c>
      <c r="X1048" s="75">
        <f t="shared" si="581"/>
        <v>240.647385047385</v>
      </c>
      <c r="Y1048" s="75"/>
      <c r="Z1048" s="75"/>
      <c r="AA1048" s="75">
        <f t="shared" si="575"/>
        <v>240.647385047385</v>
      </c>
      <c r="AB1048" s="84">
        <v>7.22</v>
      </c>
      <c r="AC1048" s="73">
        <f t="shared" si="576"/>
        <v>1737.47412004212</v>
      </c>
      <c r="AD1048" s="73">
        <f t="shared" si="577"/>
        <v>14366.437967006</v>
      </c>
      <c r="AE1048" s="73">
        <f t="shared" si="578"/>
        <v>1176.778032994</v>
      </c>
    </row>
    <row r="1049" customFormat="1" spans="1:31">
      <c r="A1049" s="18"/>
      <c r="B1049" s="19"/>
      <c r="C1049" s="20">
        <v>240527000061</v>
      </c>
      <c r="D1049" s="21">
        <v>45444</v>
      </c>
      <c r="E1049" s="21" t="s">
        <v>44</v>
      </c>
      <c r="F1049" s="19" t="s">
        <v>45</v>
      </c>
      <c r="G1049" s="19" t="s">
        <v>604</v>
      </c>
      <c r="H1049" s="19">
        <v>20.5</v>
      </c>
      <c r="I1049" s="41">
        <v>1066</v>
      </c>
      <c r="J1049" s="42"/>
      <c r="K1049" s="44"/>
      <c r="L1049" s="19"/>
      <c r="M1049" s="44"/>
      <c r="N1049" s="119"/>
      <c r="O1049" s="46">
        <f t="shared" ref="O1049:O1052" si="584">SUM(I1049)</f>
        <v>1066</v>
      </c>
      <c r="P1049" s="51"/>
      <c r="Q1049" s="51"/>
      <c r="R1049" s="73">
        <f t="shared" si="579"/>
        <v>828.040979290979</v>
      </c>
      <c r="S1049" s="73"/>
      <c r="T1049" s="74">
        <f t="shared" si="580"/>
        <v>1.74670937170937</v>
      </c>
      <c r="U1049" s="73"/>
      <c r="V1049" s="73"/>
      <c r="W1049" s="73">
        <f t="shared" si="574"/>
        <v>829.787688662689</v>
      </c>
      <c r="X1049" s="75">
        <f t="shared" si="581"/>
        <v>15.8117672867673</v>
      </c>
      <c r="Y1049" s="75"/>
      <c r="Z1049" s="75"/>
      <c r="AA1049" s="75">
        <f t="shared" si="575"/>
        <v>15.8117672867673</v>
      </c>
      <c r="AB1049" s="84">
        <v>7.22</v>
      </c>
      <c r="AC1049" s="73">
        <f t="shared" si="576"/>
        <v>114.16095981046</v>
      </c>
      <c r="AD1049" s="73">
        <f t="shared" si="577"/>
        <v>943.948648473148</v>
      </c>
      <c r="AE1049" s="73">
        <f t="shared" si="578"/>
        <v>122.051351526852</v>
      </c>
    </row>
    <row r="1050" customFormat="1" spans="1:31">
      <c r="A1050" s="18"/>
      <c r="B1050" s="19"/>
      <c r="C1050" s="22">
        <v>240528000006</v>
      </c>
      <c r="D1050" s="23">
        <v>45444</v>
      </c>
      <c r="E1050" s="21" t="s">
        <v>37</v>
      </c>
      <c r="F1050" s="24" t="s">
        <v>38</v>
      </c>
      <c r="G1050" s="24" t="s">
        <v>132</v>
      </c>
      <c r="H1050" s="24">
        <v>0.52</v>
      </c>
      <c r="I1050" s="52"/>
      <c r="J1050" s="94">
        <v>12917.2</v>
      </c>
      <c r="K1050" s="118"/>
      <c r="L1050" s="49">
        <f t="shared" ref="L1050:L1054" si="585">SUM(J1050/M1050)</f>
        <v>1502</v>
      </c>
      <c r="M1050" s="87">
        <v>8.6</v>
      </c>
      <c r="N1050" s="119">
        <v>7.22</v>
      </c>
      <c r="O1050" s="46">
        <f t="shared" si="583"/>
        <v>62.092</v>
      </c>
      <c r="P1050" s="51"/>
      <c r="Q1050" s="51"/>
      <c r="R1050" s="73">
        <f t="shared" si="579"/>
        <v>21.0039663039663</v>
      </c>
      <c r="S1050" s="73"/>
      <c r="T1050" s="74">
        <f t="shared" si="580"/>
        <v>0.0443067743067743</v>
      </c>
      <c r="U1050" s="73"/>
      <c r="V1050" s="73"/>
      <c r="W1050" s="73">
        <f t="shared" si="574"/>
        <v>21.0482730782731</v>
      </c>
      <c r="X1050" s="75">
        <f t="shared" si="581"/>
        <v>0.401078975078975</v>
      </c>
      <c r="Y1050" s="75"/>
      <c r="Z1050" s="75"/>
      <c r="AA1050" s="75">
        <f t="shared" si="575"/>
        <v>0.401078975078975</v>
      </c>
      <c r="AB1050" s="84">
        <v>7.22</v>
      </c>
      <c r="AC1050" s="73">
        <f t="shared" si="576"/>
        <v>2.8957902000702</v>
      </c>
      <c r="AD1050" s="73">
        <f t="shared" si="577"/>
        <v>23.9440632783433</v>
      </c>
      <c r="AE1050" s="73">
        <f t="shared" si="578"/>
        <v>38.1479367216567</v>
      </c>
    </row>
    <row r="1051" customFormat="1" spans="1:31">
      <c r="A1051" s="18"/>
      <c r="B1051" s="19"/>
      <c r="C1051" s="20">
        <v>240528000008</v>
      </c>
      <c r="D1051" s="21">
        <v>45444</v>
      </c>
      <c r="E1051" s="21" t="s">
        <v>37</v>
      </c>
      <c r="F1051" s="19" t="s">
        <v>38</v>
      </c>
      <c r="G1051" s="19" t="s">
        <v>89</v>
      </c>
      <c r="H1051" s="19">
        <v>7</v>
      </c>
      <c r="I1051" s="41">
        <v>465.5</v>
      </c>
      <c r="J1051" s="42"/>
      <c r="K1051" s="44"/>
      <c r="L1051" s="19"/>
      <c r="M1051" s="44"/>
      <c r="N1051" s="119"/>
      <c r="O1051" s="46">
        <f t="shared" si="584"/>
        <v>465.5</v>
      </c>
      <c r="P1051" s="51"/>
      <c r="Q1051" s="51"/>
      <c r="R1051" s="73">
        <f t="shared" si="579"/>
        <v>282.7457002457</v>
      </c>
      <c r="S1051" s="73"/>
      <c r="T1051" s="74">
        <f t="shared" si="580"/>
        <v>0.596437346437346</v>
      </c>
      <c r="U1051" s="73"/>
      <c r="V1051" s="73"/>
      <c r="W1051" s="73">
        <f t="shared" si="574"/>
        <v>283.342137592138</v>
      </c>
      <c r="X1051" s="75">
        <f t="shared" si="581"/>
        <v>5.39914004914005</v>
      </c>
      <c r="Y1051" s="75"/>
      <c r="Z1051" s="75"/>
      <c r="AA1051" s="75">
        <f t="shared" si="575"/>
        <v>5.39914004914005</v>
      </c>
      <c r="AB1051" s="84">
        <v>7.22</v>
      </c>
      <c r="AC1051" s="73">
        <f t="shared" si="576"/>
        <v>38.9817911547912</v>
      </c>
      <c r="AD1051" s="73">
        <f t="shared" si="577"/>
        <v>322.323928746929</v>
      </c>
      <c r="AE1051" s="73">
        <f t="shared" si="578"/>
        <v>143.176071253071</v>
      </c>
    </row>
    <row r="1052" customFormat="1" spans="1:31">
      <c r="A1052" s="18"/>
      <c r="B1052" s="19"/>
      <c r="C1052" s="20">
        <v>240528000011</v>
      </c>
      <c r="D1052" s="21">
        <v>45444</v>
      </c>
      <c r="E1052" s="21" t="s">
        <v>54</v>
      </c>
      <c r="F1052" s="19" t="s">
        <v>54</v>
      </c>
      <c r="G1052" s="19" t="s">
        <v>168</v>
      </c>
      <c r="H1052" s="19">
        <v>108.5</v>
      </c>
      <c r="I1052" s="41">
        <v>6100.5</v>
      </c>
      <c r="J1052" s="42"/>
      <c r="K1052" s="44"/>
      <c r="L1052" s="19"/>
      <c r="M1052" s="44"/>
      <c r="N1052" s="119"/>
      <c r="O1052" s="46">
        <f t="shared" si="584"/>
        <v>6100.5</v>
      </c>
      <c r="P1052" s="51"/>
      <c r="Q1052" s="51"/>
      <c r="R1052" s="73">
        <f t="shared" si="579"/>
        <v>4382.55835380835</v>
      </c>
      <c r="S1052" s="73"/>
      <c r="T1052" s="74">
        <f t="shared" si="580"/>
        <v>9.24477886977887</v>
      </c>
      <c r="U1052" s="73"/>
      <c r="V1052" s="73"/>
      <c r="W1052" s="73">
        <f t="shared" si="574"/>
        <v>4391.80313267813</v>
      </c>
      <c r="X1052" s="75">
        <f t="shared" si="581"/>
        <v>83.6866707616708</v>
      </c>
      <c r="Y1052" s="75"/>
      <c r="Z1052" s="75"/>
      <c r="AA1052" s="75">
        <f t="shared" si="575"/>
        <v>83.6866707616708</v>
      </c>
      <c r="AB1052" s="84">
        <v>7.22</v>
      </c>
      <c r="AC1052" s="73">
        <f t="shared" si="576"/>
        <v>604.217762899263</v>
      </c>
      <c r="AD1052" s="73">
        <f t="shared" si="577"/>
        <v>4996.0208955774</v>
      </c>
      <c r="AE1052" s="73">
        <f t="shared" si="578"/>
        <v>1104.4791044226</v>
      </c>
    </row>
    <row r="1053" customFormat="1" spans="1:31">
      <c r="A1053" s="18"/>
      <c r="B1053" s="19"/>
      <c r="C1053" s="20">
        <v>240528000013</v>
      </c>
      <c r="D1053" s="21">
        <v>45444</v>
      </c>
      <c r="E1053" s="21" t="s">
        <v>41</v>
      </c>
      <c r="F1053" s="19" t="s">
        <v>42</v>
      </c>
      <c r="G1053" s="19" t="s">
        <v>147</v>
      </c>
      <c r="H1053" s="19">
        <v>5.5</v>
      </c>
      <c r="I1053" s="52"/>
      <c r="J1053" s="48">
        <v>61215</v>
      </c>
      <c r="K1053" s="44"/>
      <c r="L1053" s="49">
        <f t="shared" si="585"/>
        <v>1516.34877384196</v>
      </c>
      <c r="M1053" s="50">
        <v>40.37</v>
      </c>
      <c r="N1053" s="119">
        <v>7.22</v>
      </c>
      <c r="O1053" s="46">
        <f t="shared" si="583"/>
        <v>291.4714</v>
      </c>
      <c r="P1053" s="51"/>
      <c r="Q1053" s="51"/>
      <c r="R1053" s="73">
        <f t="shared" si="579"/>
        <v>222.157335907336</v>
      </c>
      <c r="S1053" s="73"/>
      <c r="T1053" s="74">
        <f t="shared" si="580"/>
        <v>0.468629343629344</v>
      </c>
      <c r="U1053" s="73"/>
      <c r="V1053" s="73"/>
      <c r="W1053" s="73">
        <f t="shared" si="574"/>
        <v>222.625965250965</v>
      </c>
      <c r="X1053" s="75">
        <f t="shared" si="581"/>
        <v>4.24218146718147</v>
      </c>
      <c r="Y1053" s="75"/>
      <c r="Z1053" s="75"/>
      <c r="AA1053" s="75">
        <f t="shared" si="575"/>
        <v>4.24218146718147</v>
      </c>
      <c r="AB1053" s="84">
        <v>7.22</v>
      </c>
      <c r="AC1053" s="73">
        <f t="shared" si="576"/>
        <v>30.6285501930502</v>
      </c>
      <c r="AD1053" s="73">
        <f t="shared" si="577"/>
        <v>253.254515444015</v>
      </c>
      <c r="AE1053" s="73">
        <f t="shared" si="578"/>
        <v>38.216884555985</v>
      </c>
    </row>
    <row r="1054" customFormat="1" spans="1:31">
      <c r="A1054" s="18"/>
      <c r="B1054" s="19"/>
      <c r="C1054" s="20">
        <v>240528000016</v>
      </c>
      <c r="D1054" s="21">
        <v>45444</v>
      </c>
      <c r="E1054" s="21" t="s">
        <v>41</v>
      </c>
      <c r="F1054" s="19" t="s">
        <v>42</v>
      </c>
      <c r="G1054" s="19" t="s">
        <v>147</v>
      </c>
      <c r="H1054" s="19">
        <v>27</v>
      </c>
      <c r="I1054" s="52"/>
      <c r="J1054" s="48">
        <v>294945</v>
      </c>
      <c r="K1054" s="44"/>
      <c r="L1054" s="49">
        <f t="shared" si="585"/>
        <v>1516.27082048118</v>
      </c>
      <c r="M1054" s="50">
        <v>194.52</v>
      </c>
      <c r="N1054" s="119">
        <v>7.22</v>
      </c>
      <c r="O1054" s="46">
        <f t="shared" si="583"/>
        <v>1404.4344</v>
      </c>
      <c r="P1054" s="51"/>
      <c r="Q1054" s="51"/>
      <c r="R1054" s="73">
        <f t="shared" si="579"/>
        <v>1090.59055809056</v>
      </c>
      <c r="S1054" s="73"/>
      <c r="T1054" s="74">
        <f t="shared" si="580"/>
        <v>2.30054405054405</v>
      </c>
      <c r="U1054" s="73"/>
      <c r="V1054" s="73"/>
      <c r="W1054" s="73">
        <f t="shared" si="574"/>
        <v>1092.8911021411</v>
      </c>
      <c r="X1054" s="75">
        <f t="shared" si="581"/>
        <v>20.8252544752545</v>
      </c>
      <c r="Y1054" s="75"/>
      <c r="Z1054" s="75"/>
      <c r="AA1054" s="75">
        <f t="shared" si="575"/>
        <v>20.8252544752545</v>
      </c>
      <c r="AB1054" s="84">
        <v>7.22</v>
      </c>
      <c r="AC1054" s="73">
        <f t="shared" si="576"/>
        <v>150.358337311337</v>
      </c>
      <c r="AD1054" s="73">
        <f t="shared" si="577"/>
        <v>1243.24943945244</v>
      </c>
      <c r="AE1054" s="73">
        <f t="shared" si="578"/>
        <v>161.18496054756</v>
      </c>
    </row>
    <row r="1055" customFormat="1" spans="1:31">
      <c r="A1055" s="18"/>
      <c r="B1055" s="19"/>
      <c r="C1055" s="20">
        <v>240528000017</v>
      </c>
      <c r="D1055" s="21">
        <v>45444</v>
      </c>
      <c r="E1055" s="21" t="s">
        <v>47</v>
      </c>
      <c r="F1055" s="19" t="s">
        <v>48</v>
      </c>
      <c r="G1055" s="19" t="s">
        <v>276</v>
      </c>
      <c r="H1055" s="19">
        <v>3</v>
      </c>
      <c r="I1055" s="41">
        <v>195</v>
      </c>
      <c r="J1055" s="42"/>
      <c r="K1055" s="44"/>
      <c r="L1055" s="19"/>
      <c r="M1055" s="44"/>
      <c r="N1055" s="119"/>
      <c r="O1055" s="46">
        <f>SUM(I1055)</f>
        <v>195</v>
      </c>
      <c r="P1055" s="51"/>
      <c r="Q1055" s="51"/>
      <c r="R1055" s="73">
        <f t="shared" si="579"/>
        <v>121.176728676729</v>
      </c>
      <c r="S1055" s="73"/>
      <c r="T1055" s="74">
        <f t="shared" si="580"/>
        <v>0.255616005616006</v>
      </c>
      <c r="U1055" s="73"/>
      <c r="V1055" s="73"/>
      <c r="W1055" s="73">
        <f t="shared" si="574"/>
        <v>121.432344682345</v>
      </c>
      <c r="X1055" s="75">
        <f t="shared" si="581"/>
        <v>2.31391716391716</v>
      </c>
      <c r="Y1055" s="75"/>
      <c r="Z1055" s="75"/>
      <c r="AA1055" s="75">
        <f t="shared" si="575"/>
        <v>2.31391716391716</v>
      </c>
      <c r="AB1055" s="84">
        <v>7.22</v>
      </c>
      <c r="AC1055" s="73">
        <f t="shared" si="576"/>
        <v>16.7064819234819</v>
      </c>
      <c r="AD1055" s="73">
        <f t="shared" si="577"/>
        <v>138.138826605827</v>
      </c>
      <c r="AE1055" s="73">
        <f t="shared" si="578"/>
        <v>56.861173394173</v>
      </c>
    </row>
    <row r="1056" customFormat="1" spans="1:31">
      <c r="A1056" s="18"/>
      <c r="B1056" s="19"/>
      <c r="C1056" s="20">
        <v>240528000025</v>
      </c>
      <c r="D1056" s="21">
        <v>45444</v>
      </c>
      <c r="E1056" s="21" t="s">
        <v>44</v>
      </c>
      <c r="F1056" s="19" t="s">
        <v>127</v>
      </c>
      <c r="G1056" s="19" t="s">
        <v>128</v>
      </c>
      <c r="H1056" s="19">
        <v>1.5</v>
      </c>
      <c r="I1056" s="41">
        <v>79.5</v>
      </c>
      <c r="J1056" s="42"/>
      <c r="K1056" s="44"/>
      <c r="L1056" s="19"/>
      <c r="M1056" s="44"/>
      <c r="N1056" s="119"/>
      <c r="O1056" s="46">
        <f>SUM(I1056)</f>
        <v>79.5</v>
      </c>
      <c r="P1056" s="51"/>
      <c r="Q1056" s="51"/>
      <c r="R1056" s="73">
        <f t="shared" si="579"/>
        <v>60.5883643383643</v>
      </c>
      <c r="S1056" s="73"/>
      <c r="T1056" s="74">
        <f t="shared" si="580"/>
        <v>0.127808002808003</v>
      </c>
      <c r="U1056" s="73"/>
      <c r="V1056" s="73"/>
      <c r="W1056" s="73">
        <f t="shared" si="574"/>
        <v>60.7161723411723</v>
      </c>
      <c r="X1056" s="75">
        <f t="shared" si="581"/>
        <v>1.15695858195858</v>
      </c>
      <c r="Y1056" s="75"/>
      <c r="Z1056" s="75"/>
      <c r="AA1056" s="75">
        <f t="shared" si="575"/>
        <v>1.15695858195858</v>
      </c>
      <c r="AB1056" s="84">
        <v>7.22</v>
      </c>
      <c r="AC1056" s="73">
        <f t="shared" si="576"/>
        <v>8.35324096174096</v>
      </c>
      <c r="AD1056" s="73">
        <f t="shared" si="577"/>
        <v>69.0694133029133</v>
      </c>
      <c r="AE1056" s="73">
        <f t="shared" si="578"/>
        <v>10.4305866970867</v>
      </c>
    </row>
    <row r="1057" customFormat="1" spans="1:31">
      <c r="A1057" s="18"/>
      <c r="B1057" s="19"/>
      <c r="C1057" s="20">
        <v>240528000026</v>
      </c>
      <c r="D1057" s="21">
        <v>45444</v>
      </c>
      <c r="E1057" s="21" t="s">
        <v>41</v>
      </c>
      <c r="F1057" s="19" t="s">
        <v>42</v>
      </c>
      <c r="G1057" s="19" t="s">
        <v>147</v>
      </c>
      <c r="H1057" s="19">
        <v>20.5</v>
      </c>
      <c r="I1057" s="52"/>
      <c r="J1057" s="48">
        <v>239295</v>
      </c>
      <c r="K1057" s="44"/>
      <c r="L1057" s="49">
        <f>SUM(J1057/M1057)</f>
        <v>1516.25269294133</v>
      </c>
      <c r="M1057" s="50">
        <v>157.82</v>
      </c>
      <c r="N1057" s="119">
        <v>7.22</v>
      </c>
      <c r="O1057" s="46">
        <f t="shared" ref="O1057:O1060" si="586">SUM(M1057*N1057)</f>
        <v>1139.4604</v>
      </c>
      <c r="P1057" s="51"/>
      <c r="Q1057" s="51"/>
      <c r="R1057" s="73">
        <f t="shared" si="579"/>
        <v>828.040979290979</v>
      </c>
      <c r="S1057" s="73"/>
      <c r="T1057" s="74">
        <f t="shared" si="580"/>
        <v>1.74670937170937</v>
      </c>
      <c r="U1057" s="73"/>
      <c r="V1057" s="74">
        <v>31</v>
      </c>
      <c r="W1057" s="73">
        <f t="shared" si="574"/>
        <v>860.787688662689</v>
      </c>
      <c r="X1057" s="75">
        <f t="shared" si="581"/>
        <v>15.8117672867673</v>
      </c>
      <c r="Y1057" s="75"/>
      <c r="Z1057" s="75"/>
      <c r="AA1057" s="75">
        <f t="shared" si="575"/>
        <v>15.8117672867673</v>
      </c>
      <c r="AB1057" s="84">
        <v>7.22</v>
      </c>
      <c r="AC1057" s="73">
        <f t="shared" si="576"/>
        <v>114.16095981046</v>
      </c>
      <c r="AD1057" s="73">
        <f t="shared" si="577"/>
        <v>974.948648473148</v>
      </c>
      <c r="AE1057" s="73">
        <f t="shared" si="578"/>
        <v>164.511751526852</v>
      </c>
    </row>
    <row r="1058" customFormat="1" spans="1:31">
      <c r="A1058" s="18"/>
      <c r="B1058" s="19"/>
      <c r="C1058" s="20">
        <v>240528000027</v>
      </c>
      <c r="D1058" s="21">
        <v>45444</v>
      </c>
      <c r="E1058" s="21" t="s">
        <v>54</v>
      </c>
      <c r="F1058" s="19" t="s">
        <v>54</v>
      </c>
      <c r="G1058" s="19" t="s">
        <v>261</v>
      </c>
      <c r="H1058" s="19">
        <v>50</v>
      </c>
      <c r="I1058" s="99"/>
      <c r="J1058" s="48">
        <v>712760</v>
      </c>
      <c r="K1058" s="44"/>
      <c r="L1058" s="49">
        <f>SUM(J1058/M1058)</f>
        <v>1487.33358374024</v>
      </c>
      <c r="M1058" s="50">
        <v>479.22</v>
      </c>
      <c r="N1058" s="45">
        <v>7.22</v>
      </c>
      <c r="O1058" s="100">
        <f t="shared" si="586"/>
        <v>3459.9684</v>
      </c>
      <c r="P1058" s="51"/>
      <c r="Q1058" s="51"/>
      <c r="R1058" s="73">
        <f t="shared" si="579"/>
        <v>2019.61214461214</v>
      </c>
      <c r="S1058" s="73"/>
      <c r="T1058" s="74">
        <f t="shared" si="580"/>
        <v>4.26026676026676</v>
      </c>
      <c r="U1058" s="73"/>
      <c r="V1058" s="73"/>
      <c r="W1058" s="73">
        <f t="shared" si="574"/>
        <v>2023.87241137241</v>
      </c>
      <c r="X1058" s="75">
        <f t="shared" si="581"/>
        <v>38.5652860652861</v>
      </c>
      <c r="Y1058" s="75"/>
      <c r="Z1058" s="75"/>
      <c r="AA1058" s="75">
        <f t="shared" si="575"/>
        <v>38.5652860652861</v>
      </c>
      <c r="AB1058" s="84">
        <v>7.22</v>
      </c>
      <c r="AC1058" s="73">
        <f t="shared" si="576"/>
        <v>278.441365391365</v>
      </c>
      <c r="AD1058" s="73">
        <f t="shared" si="577"/>
        <v>2302.31377676378</v>
      </c>
      <c r="AE1058" s="73">
        <f t="shared" si="578"/>
        <v>1157.65462323622</v>
      </c>
    </row>
    <row r="1059" customFormat="1" spans="1:31">
      <c r="A1059" s="18"/>
      <c r="B1059" s="19"/>
      <c r="C1059" s="20">
        <v>240528000028</v>
      </c>
      <c r="D1059" s="21">
        <v>45444</v>
      </c>
      <c r="E1059" s="21" t="s">
        <v>47</v>
      </c>
      <c r="F1059" s="19" t="s">
        <v>48</v>
      </c>
      <c r="G1059" s="19" t="s">
        <v>216</v>
      </c>
      <c r="H1059" s="19">
        <v>13</v>
      </c>
      <c r="I1059" s="46"/>
      <c r="J1059" s="42"/>
      <c r="K1059" s="50">
        <v>100.99</v>
      </c>
      <c r="L1059" s="19"/>
      <c r="M1059" s="50">
        <v>100.99</v>
      </c>
      <c r="N1059" s="119">
        <v>7.22</v>
      </c>
      <c r="O1059" s="46">
        <f t="shared" si="586"/>
        <v>729.1478</v>
      </c>
      <c r="P1059" s="51"/>
      <c r="Q1059" s="51"/>
      <c r="R1059" s="73">
        <f t="shared" si="579"/>
        <v>525.099157599158</v>
      </c>
      <c r="S1059" s="73"/>
      <c r="T1059" s="74">
        <f t="shared" si="580"/>
        <v>1.10766935766936</v>
      </c>
      <c r="U1059" s="73"/>
      <c r="V1059" s="73"/>
      <c r="W1059" s="73">
        <f t="shared" si="574"/>
        <v>526.206826956827</v>
      </c>
      <c r="X1059" s="75">
        <f t="shared" si="581"/>
        <v>10.0269743769744</v>
      </c>
      <c r="Y1059" s="75"/>
      <c r="Z1059" s="75"/>
      <c r="AA1059" s="75">
        <f t="shared" si="575"/>
        <v>10.0269743769744</v>
      </c>
      <c r="AB1059" s="84">
        <v>7.22</v>
      </c>
      <c r="AC1059" s="73">
        <f t="shared" si="576"/>
        <v>72.394755001755</v>
      </c>
      <c r="AD1059" s="73">
        <f t="shared" si="577"/>
        <v>598.601581958582</v>
      </c>
      <c r="AE1059" s="73">
        <f t="shared" si="578"/>
        <v>130.546218041418</v>
      </c>
    </row>
    <row r="1060" customFormat="1" spans="1:31">
      <c r="A1060" s="18"/>
      <c r="B1060" s="19"/>
      <c r="C1060" s="20">
        <v>240528000035</v>
      </c>
      <c r="D1060" s="21">
        <v>45444</v>
      </c>
      <c r="E1060" s="21" t="s">
        <v>37</v>
      </c>
      <c r="F1060" s="19" t="s">
        <v>38</v>
      </c>
      <c r="G1060" s="19" t="s">
        <v>132</v>
      </c>
      <c r="H1060" s="19">
        <v>2</v>
      </c>
      <c r="I1060" s="46"/>
      <c r="J1060" s="48">
        <v>25083.4</v>
      </c>
      <c r="K1060" s="44"/>
      <c r="L1060" s="49">
        <f>SUM(J1060/M1060)</f>
        <v>1502</v>
      </c>
      <c r="M1060" s="50">
        <v>16.7</v>
      </c>
      <c r="N1060" s="119">
        <v>7.22</v>
      </c>
      <c r="O1060" s="46">
        <f t="shared" si="586"/>
        <v>120.574</v>
      </c>
      <c r="P1060" s="51"/>
      <c r="Q1060" s="51"/>
      <c r="R1060" s="73">
        <f t="shared" si="579"/>
        <v>80.7844857844858</v>
      </c>
      <c r="S1060" s="73"/>
      <c r="T1060" s="74">
        <f t="shared" si="580"/>
        <v>0.17041067041067</v>
      </c>
      <c r="U1060" s="73"/>
      <c r="V1060" s="73"/>
      <c r="W1060" s="73">
        <f t="shared" si="574"/>
        <v>80.9548964548965</v>
      </c>
      <c r="X1060" s="75">
        <f t="shared" si="581"/>
        <v>1.54261144261144</v>
      </c>
      <c r="Y1060" s="75"/>
      <c r="Z1060" s="75"/>
      <c r="AA1060" s="75">
        <f t="shared" si="575"/>
        <v>1.54261144261144</v>
      </c>
      <c r="AB1060" s="84">
        <v>7.22</v>
      </c>
      <c r="AC1060" s="73">
        <f t="shared" si="576"/>
        <v>11.1376546156546</v>
      </c>
      <c r="AD1060" s="73">
        <f t="shared" si="577"/>
        <v>92.0925510705511</v>
      </c>
      <c r="AE1060" s="73">
        <f t="shared" si="578"/>
        <v>28.4814489294489</v>
      </c>
    </row>
    <row r="1061" customFormat="1" spans="1:31">
      <c r="A1061" s="18"/>
      <c r="B1061" s="19"/>
      <c r="C1061" s="20">
        <v>240528000038</v>
      </c>
      <c r="D1061" s="21">
        <v>45444</v>
      </c>
      <c r="E1061" s="21" t="s">
        <v>44</v>
      </c>
      <c r="F1061" s="19" t="s">
        <v>45</v>
      </c>
      <c r="G1061" s="19" t="s">
        <v>358</v>
      </c>
      <c r="H1061" s="19">
        <v>185.5</v>
      </c>
      <c r="I1061" s="41">
        <v>11152.5</v>
      </c>
      <c r="J1061" s="42"/>
      <c r="K1061" s="44"/>
      <c r="L1061" s="19"/>
      <c r="M1061" s="44"/>
      <c r="N1061" s="119"/>
      <c r="O1061" s="46">
        <f t="shared" ref="O1061:O1064" si="587">SUM(I1061)</f>
        <v>11152.5</v>
      </c>
      <c r="P1061" s="51"/>
      <c r="Q1061" s="51"/>
      <c r="R1061" s="73">
        <f t="shared" si="579"/>
        <v>7492.76105651106</v>
      </c>
      <c r="S1061" s="73"/>
      <c r="T1061" s="74">
        <f t="shared" si="580"/>
        <v>15.8055896805897</v>
      </c>
      <c r="U1061" s="74">
        <v>450</v>
      </c>
      <c r="V1061" s="73"/>
      <c r="W1061" s="73">
        <f t="shared" si="574"/>
        <v>7958.56664619165</v>
      </c>
      <c r="X1061" s="75">
        <f t="shared" si="581"/>
        <v>143.077211302211</v>
      </c>
      <c r="Y1061" s="75"/>
      <c r="Z1061" s="75"/>
      <c r="AA1061" s="75">
        <f t="shared" si="575"/>
        <v>143.077211302211</v>
      </c>
      <c r="AB1061" s="84">
        <v>7.22</v>
      </c>
      <c r="AC1061" s="73">
        <f t="shared" si="576"/>
        <v>1033.01746560197</v>
      </c>
      <c r="AD1061" s="73">
        <f t="shared" si="577"/>
        <v>8991.58411179361</v>
      </c>
      <c r="AE1061" s="73">
        <f t="shared" si="578"/>
        <v>2160.91588820639</v>
      </c>
    </row>
    <row r="1062" customFormat="1" spans="1:31">
      <c r="A1062" s="18"/>
      <c r="B1062" s="19"/>
      <c r="C1062" s="20">
        <v>240528000040</v>
      </c>
      <c r="D1062" s="21">
        <v>45444</v>
      </c>
      <c r="E1062" s="21" t="s">
        <v>47</v>
      </c>
      <c r="F1062" s="19" t="s">
        <v>48</v>
      </c>
      <c r="G1062" s="19" t="s">
        <v>53</v>
      </c>
      <c r="H1062" s="19">
        <v>5</v>
      </c>
      <c r="I1062" s="41">
        <v>293</v>
      </c>
      <c r="J1062" s="42"/>
      <c r="K1062" s="44"/>
      <c r="L1062" s="19"/>
      <c r="M1062" s="44"/>
      <c r="N1062" s="119"/>
      <c r="O1062" s="46">
        <f t="shared" si="587"/>
        <v>293</v>
      </c>
      <c r="P1062" s="51"/>
      <c r="Q1062" s="51"/>
      <c r="R1062" s="73">
        <f t="shared" si="579"/>
        <v>201.961214461214</v>
      </c>
      <c r="S1062" s="73"/>
      <c r="T1062" s="74">
        <f t="shared" si="580"/>
        <v>0.426026676026676</v>
      </c>
      <c r="U1062" s="73"/>
      <c r="V1062" s="73"/>
      <c r="W1062" s="73">
        <f t="shared" si="574"/>
        <v>202.387241137241</v>
      </c>
      <c r="X1062" s="75">
        <f t="shared" si="581"/>
        <v>3.85652860652861</v>
      </c>
      <c r="Y1062" s="75"/>
      <c r="Z1062" s="75"/>
      <c r="AA1062" s="75">
        <f t="shared" si="575"/>
        <v>3.85652860652861</v>
      </c>
      <c r="AB1062" s="84">
        <v>7.22</v>
      </c>
      <c r="AC1062" s="73">
        <f t="shared" si="576"/>
        <v>27.8441365391365</v>
      </c>
      <c r="AD1062" s="73">
        <f t="shared" si="577"/>
        <v>230.231377676378</v>
      </c>
      <c r="AE1062" s="73">
        <f t="shared" si="578"/>
        <v>62.768622323622</v>
      </c>
    </row>
    <row r="1063" customFormat="1" spans="1:31">
      <c r="A1063" s="18"/>
      <c r="B1063" s="19"/>
      <c r="C1063" s="20">
        <v>240529000002</v>
      </c>
      <c r="D1063" s="21">
        <v>45444</v>
      </c>
      <c r="E1063" s="21" t="s">
        <v>47</v>
      </c>
      <c r="F1063" s="19" t="s">
        <v>48</v>
      </c>
      <c r="G1063" s="19" t="s">
        <v>605</v>
      </c>
      <c r="H1063" s="19">
        <v>22</v>
      </c>
      <c r="I1063" s="41">
        <v>1174</v>
      </c>
      <c r="J1063" s="42"/>
      <c r="K1063" s="44"/>
      <c r="L1063" s="19"/>
      <c r="M1063" s="44"/>
      <c r="N1063" s="119"/>
      <c r="O1063" s="46">
        <f t="shared" si="587"/>
        <v>1174</v>
      </c>
      <c r="P1063" s="51"/>
      <c r="Q1063" s="51"/>
      <c r="R1063" s="73">
        <f t="shared" si="579"/>
        <v>888.629343629344</v>
      </c>
      <c r="S1063" s="73"/>
      <c r="T1063" s="74">
        <f t="shared" si="580"/>
        <v>1.87451737451737</v>
      </c>
      <c r="U1063" s="73"/>
      <c r="V1063" s="73"/>
      <c r="W1063" s="73">
        <f t="shared" si="574"/>
        <v>890.503861003861</v>
      </c>
      <c r="X1063" s="75">
        <f t="shared" si="581"/>
        <v>16.9687258687259</v>
      </c>
      <c r="Y1063" s="75"/>
      <c r="Z1063" s="75"/>
      <c r="AA1063" s="75">
        <f t="shared" si="575"/>
        <v>16.9687258687259</v>
      </c>
      <c r="AB1063" s="84">
        <v>7.22</v>
      </c>
      <c r="AC1063" s="73">
        <f t="shared" si="576"/>
        <v>122.514200772201</v>
      </c>
      <c r="AD1063" s="73">
        <f t="shared" si="577"/>
        <v>1013.01806177606</v>
      </c>
      <c r="AE1063" s="73">
        <f t="shared" si="578"/>
        <v>160.98193822394</v>
      </c>
    </row>
    <row r="1064" customFormat="1" spans="1:31">
      <c r="A1064" s="18"/>
      <c r="B1064" s="19"/>
      <c r="C1064" s="20">
        <v>240529000004</v>
      </c>
      <c r="D1064" s="21">
        <v>45444</v>
      </c>
      <c r="E1064" s="21" t="s">
        <v>37</v>
      </c>
      <c r="F1064" s="19" t="s">
        <v>38</v>
      </c>
      <c r="G1064" s="19" t="s">
        <v>606</v>
      </c>
      <c r="H1064" s="19">
        <v>2</v>
      </c>
      <c r="I1064" s="41">
        <v>137</v>
      </c>
      <c r="J1064" s="42"/>
      <c r="K1064" s="44"/>
      <c r="L1064" s="19"/>
      <c r="M1064" s="44"/>
      <c r="N1064" s="119"/>
      <c r="O1064" s="46">
        <f t="shared" si="587"/>
        <v>137</v>
      </c>
      <c r="P1064" s="51"/>
      <c r="Q1064" s="51"/>
      <c r="R1064" s="73">
        <f t="shared" si="579"/>
        <v>80.7844857844858</v>
      </c>
      <c r="S1064" s="73"/>
      <c r="T1064" s="74">
        <f t="shared" si="580"/>
        <v>0.17041067041067</v>
      </c>
      <c r="U1064" s="73"/>
      <c r="V1064" s="74">
        <v>18</v>
      </c>
      <c r="W1064" s="73">
        <f t="shared" si="574"/>
        <v>98.9548964548965</v>
      </c>
      <c r="X1064" s="75">
        <f t="shared" si="581"/>
        <v>1.54261144261144</v>
      </c>
      <c r="Y1064" s="75"/>
      <c r="Z1064" s="75"/>
      <c r="AA1064" s="75">
        <f t="shared" si="575"/>
        <v>1.54261144261144</v>
      </c>
      <c r="AB1064" s="84">
        <v>7.22</v>
      </c>
      <c r="AC1064" s="73">
        <f t="shared" si="576"/>
        <v>11.1376546156546</v>
      </c>
      <c r="AD1064" s="73">
        <f t="shared" si="577"/>
        <v>110.092551070551</v>
      </c>
      <c r="AE1064" s="73">
        <f t="shared" si="578"/>
        <v>26.907448929449</v>
      </c>
    </row>
    <row r="1065" customFormat="1" spans="1:31">
      <c r="A1065" s="18"/>
      <c r="B1065" s="19"/>
      <c r="C1065" s="20">
        <v>240529000013</v>
      </c>
      <c r="D1065" s="21">
        <v>45444</v>
      </c>
      <c r="E1065" s="21" t="s">
        <v>37</v>
      </c>
      <c r="F1065" s="19" t="s">
        <v>38</v>
      </c>
      <c r="G1065" s="19" t="s">
        <v>180</v>
      </c>
      <c r="H1065" s="19">
        <v>5.5</v>
      </c>
      <c r="I1065" s="46"/>
      <c r="J1065" s="48">
        <v>67665</v>
      </c>
      <c r="K1065" s="44"/>
      <c r="L1065" s="49">
        <f t="shared" ref="L1065:L1069" si="588">SUM(J1065/M1065)</f>
        <v>1501.99778024417</v>
      </c>
      <c r="M1065" s="50">
        <v>45.05</v>
      </c>
      <c r="N1065" s="119">
        <v>7.22</v>
      </c>
      <c r="O1065" s="46">
        <f t="shared" ref="O1065:O1069" si="589">SUM(M1065*N1065)</f>
        <v>325.261</v>
      </c>
      <c r="P1065" s="51"/>
      <c r="Q1065" s="51"/>
      <c r="R1065" s="73">
        <f t="shared" si="579"/>
        <v>222.157335907336</v>
      </c>
      <c r="S1065" s="73"/>
      <c r="T1065" s="74">
        <f t="shared" si="580"/>
        <v>0.468629343629344</v>
      </c>
      <c r="U1065" s="73"/>
      <c r="V1065" s="73"/>
      <c r="W1065" s="73">
        <f t="shared" si="574"/>
        <v>222.625965250965</v>
      </c>
      <c r="X1065" s="75">
        <f t="shared" si="581"/>
        <v>4.24218146718147</v>
      </c>
      <c r="Y1065" s="75"/>
      <c r="Z1065" s="75"/>
      <c r="AA1065" s="75">
        <f t="shared" si="575"/>
        <v>4.24218146718147</v>
      </c>
      <c r="AB1065" s="84">
        <v>7.22</v>
      </c>
      <c r="AC1065" s="73">
        <f t="shared" si="576"/>
        <v>30.6285501930502</v>
      </c>
      <c r="AD1065" s="73">
        <f t="shared" si="577"/>
        <v>253.254515444015</v>
      </c>
      <c r="AE1065" s="73">
        <f t="shared" si="578"/>
        <v>72.006484555985</v>
      </c>
    </row>
    <row r="1066" customFormat="1" spans="1:31">
      <c r="A1066" s="18"/>
      <c r="B1066" s="19"/>
      <c r="C1066" s="20">
        <v>240529000019</v>
      </c>
      <c r="D1066" s="21">
        <v>45444</v>
      </c>
      <c r="E1066" s="21" t="s">
        <v>44</v>
      </c>
      <c r="F1066" s="19" t="s">
        <v>45</v>
      </c>
      <c r="G1066" s="19" t="s">
        <v>485</v>
      </c>
      <c r="H1066" s="19">
        <v>2</v>
      </c>
      <c r="I1066" s="52"/>
      <c r="J1066" s="48">
        <v>35604</v>
      </c>
      <c r="K1066" s="44"/>
      <c r="L1066" s="49">
        <f t="shared" si="588"/>
        <v>1494.71032745592</v>
      </c>
      <c r="M1066" s="50">
        <v>23.82</v>
      </c>
      <c r="N1066" s="119">
        <v>7.22</v>
      </c>
      <c r="O1066" s="46">
        <f t="shared" si="589"/>
        <v>171.9804</v>
      </c>
      <c r="P1066" s="51"/>
      <c r="Q1066" s="51"/>
      <c r="R1066" s="73">
        <f t="shared" si="579"/>
        <v>80.7844857844858</v>
      </c>
      <c r="S1066" s="73"/>
      <c r="T1066" s="74">
        <f t="shared" si="580"/>
        <v>0.17041067041067</v>
      </c>
      <c r="U1066" s="73"/>
      <c r="V1066" s="74">
        <f>SUM(43+10)</f>
        <v>53</v>
      </c>
      <c r="W1066" s="73">
        <f t="shared" si="574"/>
        <v>133.954896454896</v>
      </c>
      <c r="X1066" s="75">
        <f t="shared" si="581"/>
        <v>1.54261144261144</v>
      </c>
      <c r="Y1066" s="75"/>
      <c r="Z1066" s="75"/>
      <c r="AA1066" s="75">
        <f t="shared" si="575"/>
        <v>1.54261144261144</v>
      </c>
      <c r="AB1066" s="84">
        <v>7.22</v>
      </c>
      <c r="AC1066" s="73">
        <f t="shared" ref="AC1066:AC1097" si="590">SUM(AA1066*AB1066)</f>
        <v>11.1376546156546</v>
      </c>
      <c r="AD1066" s="73">
        <f t="shared" ref="AD1066:AD1097" si="591">SUM(W1066+AC1066)</f>
        <v>145.092551070551</v>
      </c>
      <c r="AE1066" s="73">
        <f t="shared" si="578"/>
        <v>26.887848929449</v>
      </c>
    </row>
    <row r="1067" customFormat="1" spans="1:31">
      <c r="A1067" s="18"/>
      <c r="B1067" s="19"/>
      <c r="C1067" s="20">
        <v>240529000024</v>
      </c>
      <c r="D1067" s="21">
        <v>45444</v>
      </c>
      <c r="E1067" s="21" t="s">
        <v>54</v>
      </c>
      <c r="F1067" s="19" t="s">
        <v>54</v>
      </c>
      <c r="G1067" s="19" t="s">
        <v>114</v>
      </c>
      <c r="H1067" s="19">
        <v>643.5</v>
      </c>
      <c r="I1067" s="41">
        <v>34455.5</v>
      </c>
      <c r="J1067" s="42"/>
      <c r="K1067" s="44"/>
      <c r="L1067" s="19"/>
      <c r="M1067" s="44"/>
      <c r="N1067" s="119"/>
      <c r="O1067" s="46">
        <f t="shared" ref="O1067:O1079" si="592">SUM(I1067)</f>
        <v>34455.5</v>
      </c>
      <c r="P1067" s="51"/>
      <c r="Q1067" s="51"/>
      <c r="R1067" s="73">
        <f t="shared" si="579"/>
        <v>25992.4083011583</v>
      </c>
      <c r="S1067" s="73"/>
      <c r="T1067" s="74">
        <f t="shared" si="580"/>
        <v>54.8296332046332</v>
      </c>
      <c r="U1067" s="73"/>
      <c r="V1067" s="73"/>
      <c r="W1067" s="73">
        <f t="shared" si="574"/>
        <v>26047.2379343629</v>
      </c>
      <c r="X1067" s="75">
        <f t="shared" si="581"/>
        <v>496.335231660232</v>
      </c>
      <c r="Y1067" s="75"/>
      <c r="Z1067" s="75"/>
      <c r="AA1067" s="75">
        <f t="shared" si="575"/>
        <v>496.335231660232</v>
      </c>
      <c r="AB1067" s="84">
        <v>7.22</v>
      </c>
      <c r="AC1067" s="73">
        <f t="shared" si="590"/>
        <v>3583.54037258687</v>
      </c>
      <c r="AD1067" s="73">
        <f t="shared" si="591"/>
        <v>29630.7783069498</v>
      </c>
      <c r="AE1067" s="73">
        <f t="shared" si="578"/>
        <v>4824.7216930502</v>
      </c>
    </row>
    <row r="1068" customFormat="1" spans="1:31">
      <c r="A1068" s="18"/>
      <c r="B1068" s="19"/>
      <c r="C1068" s="20">
        <v>240529000032</v>
      </c>
      <c r="D1068" s="21">
        <v>45444</v>
      </c>
      <c r="E1068" s="21" t="s">
        <v>54</v>
      </c>
      <c r="F1068" s="19" t="s">
        <v>54</v>
      </c>
      <c r="G1068" s="19" t="s">
        <v>607</v>
      </c>
      <c r="H1068" s="19">
        <v>650</v>
      </c>
      <c r="I1068" s="41">
        <v>35040</v>
      </c>
      <c r="J1068" s="42"/>
      <c r="K1068" s="44"/>
      <c r="L1068" s="19"/>
      <c r="M1068" s="44"/>
      <c r="N1068" s="119"/>
      <c r="O1068" s="46">
        <f t="shared" si="592"/>
        <v>35040</v>
      </c>
      <c r="P1068" s="53"/>
      <c r="Q1068" s="53"/>
      <c r="R1068" s="73">
        <f t="shared" si="579"/>
        <v>26254.9578799579</v>
      </c>
      <c r="S1068" s="73"/>
      <c r="T1068" s="74">
        <f t="shared" si="580"/>
        <v>55.3834678834679</v>
      </c>
      <c r="U1068" s="73"/>
      <c r="V1068" s="73">
        <v>240</v>
      </c>
      <c r="W1068" s="73">
        <f t="shared" ref="W1068:W1099" si="593">SUM(R1068:V1068)</f>
        <v>26550.3413478413</v>
      </c>
      <c r="X1068" s="75">
        <f t="shared" si="581"/>
        <v>501.348718848719</v>
      </c>
      <c r="Y1068" s="75"/>
      <c r="Z1068" s="75"/>
      <c r="AA1068" s="75">
        <f t="shared" si="575"/>
        <v>501.348718848719</v>
      </c>
      <c r="AB1068" s="84">
        <v>7.22</v>
      </c>
      <c r="AC1068" s="73">
        <f t="shared" si="590"/>
        <v>3619.73775008775</v>
      </c>
      <c r="AD1068" s="73">
        <f t="shared" si="591"/>
        <v>30170.0790979291</v>
      </c>
      <c r="AE1068" s="73">
        <f t="shared" ref="AE1068:AE1099" si="594">SUM(O1068-AD1068)</f>
        <v>4869.9209020709</v>
      </c>
    </row>
    <row r="1069" customFormat="1" spans="1:31">
      <c r="A1069" s="18" t="s">
        <v>608</v>
      </c>
      <c r="B1069" s="19" t="s">
        <v>609</v>
      </c>
      <c r="C1069" s="20">
        <v>240528000045</v>
      </c>
      <c r="D1069" s="21">
        <v>45444</v>
      </c>
      <c r="E1069" s="21" t="s">
        <v>64</v>
      </c>
      <c r="F1069" s="19" t="s">
        <v>65</v>
      </c>
      <c r="G1069" s="19" t="s">
        <v>610</v>
      </c>
      <c r="H1069" s="19">
        <v>992.5</v>
      </c>
      <c r="I1069" s="52"/>
      <c r="J1069" s="48">
        <v>10995600</v>
      </c>
      <c r="K1069" s="44"/>
      <c r="L1069" s="49">
        <f t="shared" si="588"/>
        <v>1472.88078152858</v>
      </c>
      <c r="M1069" s="50">
        <v>7465.37</v>
      </c>
      <c r="N1069" s="42">
        <v>7.22</v>
      </c>
      <c r="O1069" s="52">
        <f t="shared" si="589"/>
        <v>53899.9714</v>
      </c>
      <c r="P1069" s="112">
        <f>SUM(O1069)</f>
        <v>53899.9714</v>
      </c>
      <c r="Q1069" s="112" t="s">
        <v>59</v>
      </c>
      <c r="R1069" s="112">
        <v>41842</v>
      </c>
      <c r="S1069" s="112"/>
      <c r="T1069" s="112"/>
      <c r="U1069" s="112">
        <v>800</v>
      </c>
      <c r="V1069" s="112">
        <v>100</v>
      </c>
      <c r="W1069" s="73">
        <f t="shared" si="593"/>
        <v>42742</v>
      </c>
      <c r="X1069" s="43">
        <v>745.67</v>
      </c>
      <c r="Y1069" s="43"/>
      <c r="Z1069" s="43"/>
      <c r="AA1069" s="75">
        <f t="shared" ref="AA1069:AA1100" si="595">SUM(X1069:Z1069)</f>
        <v>745.67</v>
      </c>
      <c r="AB1069" s="84">
        <v>7.22</v>
      </c>
      <c r="AC1069" s="73">
        <f t="shared" si="590"/>
        <v>5383.7374</v>
      </c>
      <c r="AD1069" s="73">
        <f t="shared" si="591"/>
        <v>48125.7374</v>
      </c>
      <c r="AE1069" s="73">
        <f t="shared" si="594"/>
        <v>5774.234</v>
      </c>
    </row>
    <row r="1070" customFormat="1" spans="1:31">
      <c r="A1070" s="18" t="s">
        <v>611</v>
      </c>
      <c r="B1070" s="19" t="s">
        <v>612</v>
      </c>
      <c r="C1070" s="20">
        <v>240527000011</v>
      </c>
      <c r="D1070" s="21">
        <v>45447</v>
      </c>
      <c r="E1070" s="21" t="s">
        <v>47</v>
      </c>
      <c r="F1070" s="19" t="s">
        <v>48</v>
      </c>
      <c r="G1070" s="19" t="s">
        <v>511</v>
      </c>
      <c r="H1070" s="19">
        <v>29.5</v>
      </c>
      <c r="I1070" s="41">
        <v>1770</v>
      </c>
      <c r="J1070" s="42"/>
      <c r="K1070" s="44"/>
      <c r="L1070" s="19"/>
      <c r="M1070" s="44"/>
      <c r="N1070" s="45"/>
      <c r="O1070" s="46">
        <f t="shared" si="592"/>
        <v>1770</v>
      </c>
      <c r="P1070" s="47">
        <f>SUM(O1070:O1125)</f>
        <v>204801.3312</v>
      </c>
      <c r="Q1070" s="47" t="s">
        <v>59</v>
      </c>
      <c r="R1070" s="73">
        <f>SUM(142061/3522)*H1070</f>
        <v>1189.89196479273</v>
      </c>
      <c r="S1070" s="73"/>
      <c r="T1070" s="73">
        <f>SUM(325.7/3522)*H1070</f>
        <v>2.72803804656445</v>
      </c>
      <c r="U1070" s="73"/>
      <c r="V1070" s="73"/>
      <c r="W1070" s="73">
        <f t="shared" si="593"/>
        <v>1192.6200028393</v>
      </c>
      <c r="X1070" s="75">
        <f>SUM(3108.8/3522)*H1070</f>
        <v>26.0390687109597</v>
      </c>
      <c r="Y1070" s="75"/>
      <c r="Z1070" s="75"/>
      <c r="AA1070" s="75">
        <f t="shared" si="595"/>
        <v>26.0390687109597</v>
      </c>
      <c r="AB1070" s="84">
        <v>7.22</v>
      </c>
      <c r="AC1070" s="73">
        <f t="shared" si="590"/>
        <v>188.002076093129</v>
      </c>
      <c r="AD1070" s="73">
        <f t="shared" si="591"/>
        <v>1380.62207893242</v>
      </c>
      <c r="AE1070" s="73">
        <f t="shared" si="594"/>
        <v>389.37792106758</v>
      </c>
    </row>
    <row r="1071" customFormat="1" spans="1:31">
      <c r="A1071" s="18"/>
      <c r="B1071" s="19"/>
      <c r="C1071" s="20">
        <v>240527000068</v>
      </c>
      <c r="D1071" s="21">
        <v>45447</v>
      </c>
      <c r="E1071" s="21" t="s">
        <v>41</v>
      </c>
      <c r="F1071" s="19" t="s">
        <v>42</v>
      </c>
      <c r="G1071" s="19" t="s">
        <v>490</v>
      </c>
      <c r="H1071" s="19">
        <v>25.5</v>
      </c>
      <c r="I1071" s="41">
        <v>1539</v>
      </c>
      <c r="J1071" s="42"/>
      <c r="K1071" s="44"/>
      <c r="L1071" s="19"/>
      <c r="M1071" s="44"/>
      <c r="N1071" s="45"/>
      <c r="O1071" s="46">
        <f t="shared" si="592"/>
        <v>1539</v>
      </c>
      <c r="P1071" s="51"/>
      <c r="Q1071" s="51"/>
      <c r="R1071" s="73">
        <f t="shared" ref="R1071:R1102" si="596">SUM(142061/3522)*H1071</f>
        <v>1028.55068143101</v>
      </c>
      <c r="S1071" s="73"/>
      <c r="T1071" s="73">
        <f t="shared" ref="T1071:T1102" si="597">SUM(325.7/3522)*H1071</f>
        <v>2.35813458262351</v>
      </c>
      <c r="U1071" s="74">
        <v>60</v>
      </c>
      <c r="V1071" s="73"/>
      <c r="W1071" s="73">
        <f t="shared" si="593"/>
        <v>1090.90881601363</v>
      </c>
      <c r="X1071" s="75">
        <f t="shared" ref="X1071:X1102" si="598">SUM(3108.8/3522)*H1071</f>
        <v>22.5083475298126</v>
      </c>
      <c r="Y1071" s="75"/>
      <c r="Z1071" s="75"/>
      <c r="AA1071" s="75">
        <f t="shared" si="595"/>
        <v>22.5083475298126</v>
      </c>
      <c r="AB1071" s="84">
        <v>7.22</v>
      </c>
      <c r="AC1071" s="73">
        <f t="shared" si="590"/>
        <v>162.510269165247</v>
      </c>
      <c r="AD1071" s="73">
        <f t="shared" si="591"/>
        <v>1253.41908517888</v>
      </c>
      <c r="AE1071" s="73">
        <f t="shared" si="594"/>
        <v>285.580914821124</v>
      </c>
    </row>
    <row r="1072" customFormat="1" spans="1:31">
      <c r="A1072" s="18"/>
      <c r="B1072" s="19"/>
      <c r="C1072" s="20">
        <v>240528000005</v>
      </c>
      <c r="D1072" s="21">
        <v>45447</v>
      </c>
      <c r="E1072" s="21" t="s">
        <v>44</v>
      </c>
      <c r="F1072" s="19" t="s">
        <v>127</v>
      </c>
      <c r="G1072" s="19" t="s">
        <v>128</v>
      </c>
      <c r="H1072" s="19">
        <v>6.5</v>
      </c>
      <c r="I1072" s="41">
        <v>344.5</v>
      </c>
      <c r="J1072" s="42"/>
      <c r="K1072" s="44"/>
      <c r="L1072" s="19"/>
      <c r="M1072" s="44"/>
      <c r="N1072" s="45"/>
      <c r="O1072" s="46">
        <f t="shared" si="592"/>
        <v>344.5</v>
      </c>
      <c r="P1072" s="51"/>
      <c r="Q1072" s="51"/>
      <c r="R1072" s="73">
        <f t="shared" si="596"/>
        <v>262.179585462805</v>
      </c>
      <c r="S1072" s="73"/>
      <c r="T1072" s="73">
        <f t="shared" si="597"/>
        <v>0.601093128904032</v>
      </c>
      <c r="U1072" s="73"/>
      <c r="V1072" s="73"/>
      <c r="W1072" s="73">
        <f t="shared" si="593"/>
        <v>262.780678591709</v>
      </c>
      <c r="X1072" s="75">
        <f t="shared" si="598"/>
        <v>5.737421919364</v>
      </c>
      <c r="Y1072" s="75"/>
      <c r="Z1072" s="75"/>
      <c r="AA1072" s="75">
        <f t="shared" si="595"/>
        <v>5.737421919364</v>
      </c>
      <c r="AB1072" s="84">
        <v>7.22</v>
      </c>
      <c r="AC1072" s="73">
        <f t="shared" si="590"/>
        <v>41.4241862578081</v>
      </c>
      <c r="AD1072" s="73">
        <f t="shared" si="591"/>
        <v>304.204864849517</v>
      </c>
      <c r="AE1072" s="73">
        <f t="shared" si="594"/>
        <v>40.2951351504827</v>
      </c>
    </row>
    <row r="1073" customFormat="1" spans="1:31">
      <c r="A1073" s="18"/>
      <c r="B1073" s="19"/>
      <c r="C1073" s="20">
        <v>240528000014</v>
      </c>
      <c r="D1073" s="21">
        <v>45447</v>
      </c>
      <c r="E1073" s="21" t="s">
        <v>44</v>
      </c>
      <c r="F1073" s="19" t="s">
        <v>45</v>
      </c>
      <c r="G1073" s="19" t="s">
        <v>613</v>
      </c>
      <c r="H1073" s="19">
        <v>10.5</v>
      </c>
      <c r="I1073" s="41">
        <v>583.5</v>
      </c>
      <c r="J1073" s="42"/>
      <c r="K1073" s="44"/>
      <c r="L1073" s="19"/>
      <c r="M1073" s="44"/>
      <c r="N1073" s="45"/>
      <c r="O1073" s="46">
        <f t="shared" si="592"/>
        <v>583.5</v>
      </c>
      <c r="P1073" s="51"/>
      <c r="Q1073" s="51"/>
      <c r="R1073" s="73">
        <f t="shared" si="596"/>
        <v>423.520868824531</v>
      </c>
      <c r="S1073" s="73"/>
      <c r="T1073" s="73">
        <f t="shared" si="597"/>
        <v>0.970996592844974</v>
      </c>
      <c r="U1073" s="73"/>
      <c r="V1073" s="73"/>
      <c r="W1073" s="73">
        <f t="shared" si="593"/>
        <v>424.491865417376</v>
      </c>
      <c r="X1073" s="75">
        <f t="shared" si="598"/>
        <v>9.26814310051107</v>
      </c>
      <c r="Y1073" s="75"/>
      <c r="Z1073" s="75"/>
      <c r="AA1073" s="75">
        <f t="shared" si="595"/>
        <v>9.26814310051107</v>
      </c>
      <c r="AB1073" s="84">
        <v>7.22</v>
      </c>
      <c r="AC1073" s="73">
        <f t="shared" si="590"/>
        <v>66.9159931856899</v>
      </c>
      <c r="AD1073" s="73">
        <f t="shared" si="591"/>
        <v>491.407858603066</v>
      </c>
      <c r="AE1073" s="73">
        <f t="shared" si="594"/>
        <v>92.0921413969336</v>
      </c>
    </row>
    <row r="1074" customFormat="1" spans="1:31">
      <c r="A1074" s="18"/>
      <c r="B1074" s="19"/>
      <c r="C1074" s="20">
        <v>240528000031</v>
      </c>
      <c r="D1074" s="21">
        <v>45447</v>
      </c>
      <c r="E1074" s="21" t="s">
        <v>44</v>
      </c>
      <c r="F1074" s="19" t="s">
        <v>45</v>
      </c>
      <c r="G1074" s="19" t="s">
        <v>105</v>
      </c>
      <c r="H1074" s="19">
        <v>513</v>
      </c>
      <c r="I1074" s="41">
        <v>33130</v>
      </c>
      <c r="J1074" s="42"/>
      <c r="K1074" s="44"/>
      <c r="L1074" s="19"/>
      <c r="M1074" s="44"/>
      <c r="N1074" s="45"/>
      <c r="O1074" s="46">
        <f t="shared" si="592"/>
        <v>33130</v>
      </c>
      <c r="P1074" s="51"/>
      <c r="Q1074" s="51"/>
      <c r="R1074" s="73">
        <f t="shared" si="596"/>
        <v>20692.0195911414</v>
      </c>
      <c r="S1074" s="73"/>
      <c r="T1074" s="73">
        <f t="shared" si="597"/>
        <v>47.4401192504259</v>
      </c>
      <c r="U1074" s="73"/>
      <c r="V1074" s="74">
        <f>SUM(1750+18)</f>
        <v>1768</v>
      </c>
      <c r="W1074" s="73">
        <f t="shared" si="593"/>
        <v>22507.4597103918</v>
      </c>
      <c r="X1074" s="75">
        <f t="shared" si="598"/>
        <v>452.814991482112</v>
      </c>
      <c r="Y1074" s="75"/>
      <c r="Z1074" s="75"/>
      <c r="AA1074" s="75">
        <f t="shared" si="595"/>
        <v>452.814991482112</v>
      </c>
      <c r="AB1074" s="84">
        <v>7.22</v>
      </c>
      <c r="AC1074" s="73">
        <f t="shared" si="590"/>
        <v>3269.32423850085</v>
      </c>
      <c r="AD1074" s="73">
        <f t="shared" si="591"/>
        <v>25776.7839488927</v>
      </c>
      <c r="AE1074" s="73">
        <f t="shared" si="594"/>
        <v>7353.21605110732</v>
      </c>
    </row>
    <row r="1075" customFormat="1" spans="1:31">
      <c r="A1075" s="18"/>
      <c r="B1075" s="19"/>
      <c r="C1075" s="20">
        <v>240528000039</v>
      </c>
      <c r="D1075" s="21">
        <v>45447</v>
      </c>
      <c r="E1075" s="21" t="s">
        <v>44</v>
      </c>
      <c r="F1075" s="19" t="s">
        <v>286</v>
      </c>
      <c r="G1075" s="19" t="s">
        <v>287</v>
      </c>
      <c r="H1075" s="19">
        <v>14</v>
      </c>
      <c r="I1075" s="41">
        <v>860</v>
      </c>
      <c r="J1075" s="42"/>
      <c r="K1075" s="44"/>
      <c r="L1075" s="19"/>
      <c r="M1075" s="44"/>
      <c r="N1075" s="45"/>
      <c r="O1075" s="46">
        <f t="shared" si="592"/>
        <v>860</v>
      </c>
      <c r="P1075" s="51"/>
      <c r="Q1075" s="51"/>
      <c r="R1075" s="73">
        <f t="shared" si="596"/>
        <v>564.694491766042</v>
      </c>
      <c r="S1075" s="73"/>
      <c r="T1075" s="73">
        <f t="shared" si="597"/>
        <v>1.2946621237933</v>
      </c>
      <c r="U1075" s="73"/>
      <c r="V1075" s="73"/>
      <c r="W1075" s="73">
        <f t="shared" si="593"/>
        <v>565.989153889835</v>
      </c>
      <c r="X1075" s="75">
        <f t="shared" si="598"/>
        <v>12.3575241340148</v>
      </c>
      <c r="Y1075" s="75"/>
      <c r="Z1075" s="75"/>
      <c r="AA1075" s="75">
        <f t="shared" si="595"/>
        <v>12.3575241340148</v>
      </c>
      <c r="AB1075" s="84">
        <v>7.22</v>
      </c>
      <c r="AC1075" s="73">
        <f t="shared" si="590"/>
        <v>89.2213242475866</v>
      </c>
      <c r="AD1075" s="73">
        <f t="shared" si="591"/>
        <v>655.210478137422</v>
      </c>
      <c r="AE1075" s="73">
        <f t="shared" si="594"/>
        <v>204.789521862578</v>
      </c>
    </row>
    <row r="1076" customFormat="1" spans="1:31">
      <c r="A1076" s="18"/>
      <c r="B1076" s="19"/>
      <c r="C1076" s="20">
        <v>240528000043</v>
      </c>
      <c r="D1076" s="21">
        <v>45447</v>
      </c>
      <c r="E1076" s="21" t="s">
        <v>37</v>
      </c>
      <c r="F1076" s="19" t="s">
        <v>38</v>
      </c>
      <c r="G1076" s="19" t="s">
        <v>338</v>
      </c>
      <c r="H1076" s="19">
        <v>20</v>
      </c>
      <c r="I1076" s="41">
        <v>1360</v>
      </c>
      <c r="J1076" s="42"/>
      <c r="K1076" s="44"/>
      <c r="L1076" s="19"/>
      <c r="M1076" s="44"/>
      <c r="N1076" s="45"/>
      <c r="O1076" s="46">
        <f t="shared" si="592"/>
        <v>1360</v>
      </c>
      <c r="P1076" s="51"/>
      <c r="Q1076" s="51"/>
      <c r="R1076" s="73">
        <f t="shared" si="596"/>
        <v>806.706416808631</v>
      </c>
      <c r="S1076" s="73"/>
      <c r="T1076" s="73">
        <f t="shared" si="597"/>
        <v>1.84951731970471</v>
      </c>
      <c r="U1076" s="73"/>
      <c r="V1076" s="73"/>
      <c r="W1076" s="73">
        <f t="shared" si="593"/>
        <v>808.555934128336</v>
      </c>
      <c r="X1076" s="75">
        <f t="shared" si="598"/>
        <v>17.6536059057354</v>
      </c>
      <c r="Y1076" s="75"/>
      <c r="Z1076" s="75"/>
      <c r="AA1076" s="75">
        <f t="shared" si="595"/>
        <v>17.6536059057354</v>
      </c>
      <c r="AB1076" s="84">
        <v>7.22</v>
      </c>
      <c r="AC1076" s="73">
        <f t="shared" si="590"/>
        <v>127.459034639409</v>
      </c>
      <c r="AD1076" s="73">
        <f t="shared" si="591"/>
        <v>936.014968767745</v>
      </c>
      <c r="AE1076" s="73">
        <f t="shared" si="594"/>
        <v>423.985031232255</v>
      </c>
    </row>
    <row r="1077" customFormat="1" spans="1:31">
      <c r="A1077" s="18"/>
      <c r="B1077" s="19"/>
      <c r="C1077" s="20">
        <v>240528000044</v>
      </c>
      <c r="D1077" s="21">
        <v>45447</v>
      </c>
      <c r="E1077" s="21" t="s">
        <v>37</v>
      </c>
      <c r="F1077" s="19" t="s">
        <v>38</v>
      </c>
      <c r="G1077" s="19" t="s">
        <v>338</v>
      </c>
      <c r="H1077" s="19">
        <v>57.5</v>
      </c>
      <c r="I1077" s="41">
        <v>3047.5</v>
      </c>
      <c r="J1077" s="42"/>
      <c r="K1077" s="44"/>
      <c r="L1077" s="19"/>
      <c r="M1077" s="44"/>
      <c r="N1077" s="45"/>
      <c r="O1077" s="46">
        <f t="shared" si="592"/>
        <v>3047.5</v>
      </c>
      <c r="P1077" s="51"/>
      <c r="Q1077" s="51"/>
      <c r="R1077" s="73">
        <f t="shared" si="596"/>
        <v>2319.28094832482</v>
      </c>
      <c r="S1077" s="73"/>
      <c r="T1077" s="73">
        <f t="shared" si="597"/>
        <v>5.31736229415105</v>
      </c>
      <c r="U1077" s="73"/>
      <c r="V1077" s="73"/>
      <c r="W1077" s="73">
        <f t="shared" si="593"/>
        <v>2324.59831061897</v>
      </c>
      <c r="X1077" s="75">
        <f t="shared" si="598"/>
        <v>50.7541169789892</v>
      </c>
      <c r="Y1077" s="75"/>
      <c r="Z1077" s="75"/>
      <c r="AA1077" s="75">
        <f t="shared" si="595"/>
        <v>50.7541169789892</v>
      </c>
      <c r="AB1077" s="84">
        <v>7.22</v>
      </c>
      <c r="AC1077" s="73">
        <f t="shared" si="590"/>
        <v>366.444724588302</v>
      </c>
      <c r="AD1077" s="73">
        <f t="shared" si="591"/>
        <v>2691.04303520727</v>
      </c>
      <c r="AE1077" s="73">
        <f t="shared" si="594"/>
        <v>356.456964792732</v>
      </c>
    </row>
    <row r="1078" customFormat="1" spans="1:31">
      <c r="A1078" s="18"/>
      <c r="B1078" s="19"/>
      <c r="C1078" s="20">
        <v>240529000003</v>
      </c>
      <c r="D1078" s="21">
        <v>45447</v>
      </c>
      <c r="E1078" s="21" t="s">
        <v>47</v>
      </c>
      <c r="F1078" s="19" t="s">
        <v>48</v>
      </c>
      <c r="G1078" s="19" t="s">
        <v>134</v>
      </c>
      <c r="H1078" s="19">
        <v>9.5</v>
      </c>
      <c r="I1078" s="41">
        <v>528.5</v>
      </c>
      <c r="J1078" s="42"/>
      <c r="K1078" s="44"/>
      <c r="L1078" s="19"/>
      <c r="M1078" s="44"/>
      <c r="N1078" s="45"/>
      <c r="O1078" s="46">
        <f t="shared" si="592"/>
        <v>528.5</v>
      </c>
      <c r="P1078" s="51"/>
      <c r="Q1078" s="51"/>
      <c r="R1078" s="73">
        <f t="shared" si="596"/>
        <v>383.1855479841</v>
      </c>
      <c r="S1078" s="73"/>
      <c r="T1078" s="73">
        <f t="shared" si="597"/>
        <v>0.878520726859739</v>
      </c>
      <c r="U1078" s="73"/>
      <c r="V1078" s="73"/>
      <c r="W1078" s="73">
        <f t="shared" si="593"/>
        <v>384.06406871096</v>
      </c>
      <c r="X1078" s="75">
        <f t="shared" si="598"/>
        <v>8.38546280522431</v>
      </c>
      <c r="Y1078" s="75"/>
      <c r="Z1078" s="75"/>
      <c r="AA1078" s="75">
        <f t="shared" si="595"/>
        <v>8.38546280522431</v>
      </c>
      <c r="AB1078" s="84">
        <v>7.22</v>
      </c>
      <c r="AC1078" s="73">
        <f t="shared" si="590"/>
        <v>60.5430414537195</v>
      </c>
      <c r="AD1078" s="73">
        <f t="shared" si="591"/>
        <v>444.607110164679</v>
      </c>
      <c r="AE1078" s="73">
        <f t="shared" si="594"/>
        <v>83.8928898353209</v>
      </c>
    </row>
    <row r="1079" customFormat="1" spans="1:31">
      <c r="A1079" s="18"/>
      <c r="B1079" s="19"/>
      <c r="C1079" s="20">
        <v>240529000008</v>
      </c>
      <c r="D1079" s="21">
        <v>45447</v>
      </c>
      <c r="E1079" s="21" t="s">
        <v>44</v>
      </c>
      <c r="F1079" s="19" t="s">
        <v>45</v>
      </c>
      <c r="G1079" s="19" t="s">
        <v>614</v>
      </c>
      <c r="H1079" s="19">
        <v>2</v>
      </c>
      <c r="I1079" s="41">
        <v>137</v>
      </c>
      <c r="J1079" s="42"/>
      <c r="K1079" s="44"/>
      <c r="L1079" s="19"/>
      <c r="M1079" s="44"/>
      <c r="N1079" s="45"/>
      <c r="O1079" s="46">
        <f t="shared" si="592"/>
        <v>137</v>
      </c>
      <c r="P1079" s="51"/>
      <c r="Q1079" s="51"/>
      <c r="R1079" s="73">
        <f t="shared" si="596"/>
        <v>80.6706416808631</v>
      </c>
      <c r="S1079" s="73"/>
      <c r="T1079" s="73">
        <f t="shared" si="597"/>
        <v>0.184951731970471</v>
      </c>
      <c r="U1079" s="73"/>
      <c r="V1079" s="73"/>
      <c r="W1079" s="73">
        <f t="shared" si="593"/>
        <v>80.8555934128336</v>
      </c>
      <c r="X1079" s="75">
        <f t="shared" si="598"/>
        <v>1.76536059057354</v>
      </c>
      <c r="Y1079" s="75"/>
      <c r="Z1079" s="75"/>
      <c r="AA1079" s="75">
        <f t="shared" si="595"/>
        <v>1.76536059057354</v>
      </c>
      <c r="AB1079" s="84">
        <v>7.22</v>
      </c>
      <c r="AC1079" s="73">
        <f t="shared" si="590"/>
        <v>12.7459034639409</v>
      </c>
      <c r="AD1079" s="73">
        <f t="shared" si="591"/>
        <v>93.6014968767746</v>
      </c>
      <c r="AE1079" s="73">
        <f t="shared" si="594"/>
        <v>43.3985031232254</v>
      </c>
    </row>
    <row r="1080" customFormat="1" spans="1:31">
      <c r="A1080" s="18"/>
      <c r="B1080" s="19"/>
      <c r="C1080" s="20">
        <v>240529000010</v>
      </c>
      <c r="D1080" s="21">
        <v>45447</v>
      </c>
      <c r="E1080" s="21" t="s">
        <v>44</v>
      </c>
      <c r="F1080" s="19" t="s">
        <v>45</v>
      </c>
      <c r="G1080" s="19" t="s">
        <v>615</v>
      </c>
      <c r="H1080" s="19">
        <v>11</v>
      </c>
      <c r="I1080" s="52"/>
      <c r="J1080" s="48">
        <v>134757</v>
      </c>
      <c r="K1080" s="44"/>
      <c r="L1080" s="49">
        <f t="shared" ref="L1080:L1086" si="599">SUM(J1080/M1080)</f>
        <v>1592.49586386197</v>
      </c>
      <c r="M1080" s="50">
        <v>84.62</v>
      </c>
      <c r="N1080" s="45">
        <v>7.22</v>
      </c>
      <c r="O1080" s="46">
        <f t="shared" ref="O1080:O1085" si="600">SUM(M1080*N1080)</f>
        <v>610.9564</v>
      </c>
      <c r="P1080" s="51"/>
      <c r="Q1080" s="51"/>
      <c r="R1080" s="73">
        <f t="shared" si="596"/>
        <v>443.688529244747</v>
      </c>
      <c r="S1080" s="73"/>
      <c r="T1080" s="73">
        <f t="shared" si="597"/>
        <v>1.01723452583759</v>
      </c>
      <c r="U1080" s="73"/>
      <c r="V1080" s="73"/>
      <c r="W1080" s="73">
        <f t="shared" si="593"/>
        <v>444.705763770585</v>
      </c>
      <c r="X1080" s="75">
        <f t="shared" si="598"/>
        <v>9.70948324815446</v>
      </c>
      <c r="Y1080" s="75"/>
      <c r="Z1080" s="75"/>
      <c r="AA1080" s="75">
        <f t="shared" si="595"/>
        <v>9.70948324815446</v>
      </c>
      <c r="AB1080" s="84">
        <v>7.22</v>
      </c>
      <c r="AC1080" s="73">
        <f t="shared" si="590"/>
        <v>70.1024690516752</v>
      </c>
      <c r="AD1080" s="73">
        <f t="shared" si="591"/>
        <v>514.80823282226</v>
      </c>
      <c r="AE1080" s="73">
        <f t="shared" si="594"/>
        <v>96.14816717774</v>
      </c>
    </row>
    <row r="1081" customFormat="1" spans="1:31">
      <c r="A1081" s="18"/>
      <c r="B1081" s="19"/>
      <c r="C1081" s="20">
        <v>240529000011</v>
      </c>
      <c r="D1081" s="21">
        <v>45447</v>
      </c>
      <c r="E1081" s="21" t="s">
        <v>47</v>
      </c>
      <c r="F1081" s="19" t="s">
        <v>48</v>
      </c>
      <c r="G1081" s="19" t="s">
        <v>616</v>
      </c>
      <c r="H1081" s="19">
        <v>22</v>
      </c>
      <c r="I1081" s="41">
        <v>1110</v>
      </c>
      <c r="J1081" s="42"/>
      <c r="K1081" s="44"/>
      <c r="L1081" s="19"/>
      <c r="M1081" s="44"/>
      <c r="N1081" s="45"/>
      <c r="O1081" s="46">
        <f t="shared" ref="O1081:O1085" si="601">SUM(I1081)</f>
        <v>1110</v>
      </c>
      <c r="P1081" s="51"/>
      <c r="Q1081" s="51"/>
      <c r="R1081" s="73">
        <f t="shared" si="596"/>
        <v>887.377058489495</v>
      </c>
      <c r="S1081" s="73"/>
      <c r="T1081" s="73">
        <f t="shared" si="597"/>
        <v>2.03446905167518</v>
      </c>
      <c r="U1081" s="73">
        <v>50</v>
      </c>
      <c r="V1081" s="73"/>
      <c r="W1081" s="73">
        <f t="shared" si="593"/>
        <v>939.41152754117</v>
      </c>
      <c r="X1081" s="75">
        <f t="shared" si="598"/>
        <v>19.4189664963089</v>
      </c>
      <c r="Y1081" s="75"/>
      <c r="Z1081" s="75"/>
      <c r="AA1081" s="75">
        <f t="shared" si="595"/>
        <v>19.4189664963089</v>
      </c>
      <c r="AB1081" s="84">
        <v>7.22</v>
      </c>
      <c r="AC1081" s="73">
        <f t="shared" si="590"/>
        <v>140.20493810335</v>
      </c>
      <c r="AD1081" s="73">
        <f t="shared" si="591"/>
        <v>1079.61646564452</v>
      </c>
      <c r="AE1081" s="73">
        <f t="shared" si="594"/>
        <v>30.3835343554799</v>
      </c>
    </row>
    <row r="1082" customFormat="1" spans="1:31">
      <c r="A1082" s="18"/>
      <c r="B1082" s="19"/>
      <c r="C1082" s="20">
        <v>240529000017</v>
      </c>
      <c r="D1082" s="21">
        <v>45447</v>
      </c>
      <c r="E1082" s="21" t="s">
        <v>37</v>
      </c>
      <c r="F1082" s="19" t="s">
        <v>38</v>
      </c>
      <c r="G1082" s="19" t="s">
        <v>237</v>
      </c>
      <c r="H1082" s="19">
        <v>50.5</v>
      </c>
      <c r="I1082" s="52"/>
      <c r="J1082" s="48">
        <v>575770</v>
      </c>
      <c r="K1082" s="44"/>
      <c r="L1082" s="49">
        <f t="shared" si="599"/>
        <v>1494.57481050774</v>
      </c>
      <c r="M1082" s="50">
        <v>385.24</v>
      </c>
      <c r="N1082" s="45">
        <v>7.22</v>
      </c>
      <c r="O1082" s="46">
        <f t="shared" si="600"/>
        <v>2781.4328</v>
      </c>
      <c r="P1082" s="51"/>
      <c r="Q1082" s="51"/>
      <c r="R1082" s="73">
        <f t="shared" si="596"/>
        <v>2036.93370244179</v>
      </c>
      <c r="S1082" s="73"/>
      <c r="T1082" s="73">
        <f t="shared" si="597"/>
        <v>4.6700312322544</v>
      </c>
      <c r="U1082" s="73"/>
      <c r="V1082" s="74">
        <f>SUM(60+45)</f>
        <v>105</v>
      </c>
      <c r="W1082" s="73">
        <f t="shared" si="593"/>
        <v>2146.60373367405</v>
      </c>
      <c r="X1082" s="75">
        <f t="shared" si="598"/>
        <v>44.5753549119818</v>
      </c>
      <c r="Y1082" s="75"/>
      <c r="Z1082" s="75"/>
      <c r="AA1082" s="75">
        <f t="shared" si="595"/>
        <v>44.5753549119818</v>
      </c>
      <c r="AB1082" s="84">
        <v>7.22</v>
      </c>
      <c r="AC1082" s="73">
        <f t="shared" si="590"/>
        <v>321.834062464509</v>
      </c>
      <c r="AD1082" s="73">
        <f t="shared" si="591"/>
        <v>2468.43779613856</v>
      </c>
      <c r="AE1082" s="73">
        <f t="shared" si="594"/>
        <v>312.995003861442</v>
      </c>
    </row>
    <row r="1083" customFormat="1" spans="1:31">
      <c r="A1083" s="18"/>
      <c r="B1083" s="19"/>
      <c r="C1083" s="20">
        <v>240529000018</v>
      </c>
      <c r="D1083" s="21">
        <v>45447</v>
      </c>
      <c r="E1083" s="21" t="s">
        <v>37</v>
      </c>
      <c r="F1083" s="19" t="s">
        <v>38</v>
      </c>
      <c r="G1083" s="19" t="s">
        <v>617</v>
      </c>
      <c r="H1083" s="19">
        <v>1.5</v>
      </c>
      <c r="I1083" s="41">
        <v>90</v>
      </c>
      <c r="J1083" s="42"/>
      <c r="K1083" s="44"/>
      <c r="L1083" s="19"/>
      <c r="M1083" s="44"/>
      <c r="N1083" s="45"/>
      <c r="O1083" s="46">
        <f t="shared" si="601"/>
        <v>90</v>
      </c>
      <c r="P1083" s="51"/>
      <c r="Q1083" s="51"/>
      <c r="R1083" s="73">
        <f t="shared" si="596"/>
        <v>60.5029812606474</v>
      </c>
      <c r="S1083" s="73"/>
      <c r="T1083" s="73">
        <f t="shared" si="597"/>
        <v>0.138713798977853</v>
      </c>
      <c r="U1083" s="73"/>
      <c r="V1083" s="73"/>
      <c r="W1083" s="73">
        <f t="shared" si="593"/>
        <v>60.6416950596252</v>
      </c>
      <c r="X1083" s="75">
        <f t="shared" si="598"/>
        <v>1.32402044293015</v>
      </c>
      <c r="Y1083" s="75"/>
      <c r="Z1083" s="75"/>
      <c r="AA1083" s="75">
        <f t="shared" si="595"/>
        <v>1.32402044293015</v>
      </c>
      <c r="AB1083" s="84">
        <v>7.22</v>
      </c>
      <c r="AC1083" s="73">
        <f t="shared" si="590"/>
        <v>9.55942759795571</v>
      </c>
      <c r="AD1083" s="73">
        <f t="shared" si="591"/>
        <v>70.2011226575809</v>
      </c>
      <c r="AE1083" s="73">
        <f t="shared" si="594"/>
        <v>19.7988773424191</v>
      </c>
    </row>
    <row r="1084" customFormat="1" spans="1:31">
      <c r="A1084" s="18"/>
      <c r="B1084" s="19"/>
      <c r="C1084" s="20">
        <v>240529000023</v>
      </c>
      <c r="D1084" s="21">
        <v>45447</v>
      </c>
      <c r="E1084" s="21" t="s">
        <v>41</v>
      </c>
      <c r="F1084" s="19" t="s">
        <v>42</v>
      </c>
      <c r="G1084" s="19" t="s">
        <v>618</v>
      </c>
      <c r="H1084" s="19">
        <v>0.1</v>
      </c>
      <c r="I1084" s="46"/>
      <c r="J1084" s="48">
        <v>12917</v>
      </c>
      <c r="K1084" s="44"/>
      <c r="L1084" s="49">
        <f t="shared" si="599"/>
        <v>1501.97674418605</v>
      </c>
      <c r="M1084" s="50">
        <v>8.6</v>
      </c>
      <c r="N1084" s="45">
        <v>7.22</v>
      </c>
      <c r="O1084" s="46">
        <f t="shared" si="600"/>
        <v>62.092</v>
      </c>
      <c r="P1084" s="51"/>
      <c r="Q1084" s="51"/>
      <c r="R1084" s="73">
        <f t="shared" si="596"/>
        <v>4.03353208404316</v>
      </c>
      <c r="S1084" s="73"/>
      <c r="T1084" s="73">
        <f t="shared" si="597"/>
        <v>0.00924758659852357</v>
      </c>
      <c r="U1084" s="73"/>
      <c r="V1084" s="73"/>
      <c r="W1084" s="73">
        <f t="shared" si="593"/>
        <v>4.04277967064168</v>
      </c>
      <c r="X1084" s="75">
        <f t="shared" si="598"/>
        <v>0.0882680295286769</v>
      </c>
      <c r="Y1084" s="75"/>
      <c r="Z1084" s="75"/>
      <c r="AA1084" s="75">
        <f t="shared" si="595"/>
        <v>0.0882680295286769</v>
      </c>
      <c r="AB1084" s="84">
        <v>7.22</v>
      </c>
      <c r="AC1084" s="73">
        <f t="shared" si="590"/>
        <v>0.637295173197047</v>
      </c>
      <c r="AD1084" s="73">
        <f t="shared" si="591"/>
        <v>4.68007484383873</v>
      </c>
      <c r="AE1084" s="73">
        <f t="shared" si="594"/>
        <v>57.4119251561613</v>
      </c>
    </row>
    <row r="1085" customFormat="1" spans="1:31">
      <c r="A1085" s="18"/>
      <c r="B1085" s="19"/>
      <c r="C1085" s="20">
        <v>240529000026</v>
      </c>
      <c r="D1085" s="21">
        <v>45447</v>
      </c>
      <c r="E1085" s="21" t="s">
        <v>41</v>
      </c>
      <c r="F1085" s="19" t="s">
        <v>42</v>
      </c>
      <c r="G1085" s="19" t="s">
        <v>142</v>
      </c>
      <c r="H1085" s="19">
        <v>2.5</v>
      </c>
      <c r="I1085" s="52"/>
      <c r="J1085" s="48">
        <v>27427</v>
      </c>
      <c r="K1085" s="44"/>
      <c r="L1085" s="49">
        <f t="shared" si="599"/>
        <v>1494.65940054496</v>
      </c>
      <c r="M1085" s="50">
        <v>18.35</v>
      </c>
      <c r="N1085" s="45">
        <v>7.22</v>
      </c>
      <c r="O1085" s="46">
        <f t="shared" si="600"/>
        <v>132.487</v>
      </c>
      <c r="P1085" s="51"/>
      <c r="Q1085" s="51"/>
      <c r="R1085" s="73">
        <f t="shared" si="596"/>
        <v>100.838302101079</v>
      </c>
      <c r="S1085" s="73"/>
      <c r="T1085" s="73">
        <f t="shared" si="597"/>
        <v>0.231189664963089</v>
      </c>
      <c r="U1085" s="73"/>
      <c r="V1085" s="73"/>
      <c r="W1085" s="73">
        <f t="shared" si="593"/>
        <v>101.069491766042</v>
      </c>
      <c r="X1085" s="75">
        <f t="shared" si="598"/>
        <v>2.20670073821692</v>
      </c>
      <c r="Y1085" s="75"/>
      <c r="Z1085" s="75"/>
      <c r="AA1085" s="75">
        <f t="shared" si="595"/>
        <v>2.20670073821692</v>
      </c>
      <c r="AB1085" s="84">
        <v>7.22</v>
      </c>
      <c r="AC1085" s="73">
        <f t="shared" si="590"/>
        <v>15.9323793299262</v>
      </c>
      <c r="AD1085" s="73">
        <f t="shared" si="591"/>
        <v>117.001871095968</v>
      </c>
      <c r="AE1085" s="73">
        <f t="shared" si="594"/>
        <v>15.4851289040318</v>
      </c>
    </row>
    <row r="1086" customFormat="1" spans="1:31">
      <c r="A1086" s="18"/>
      <c r="B1086" s="19"/>
      <c r="C1086" s="20">
        <v>240529000031</v>
      </c>
      <c r="D1086" s="21">
        <v>45447</v>
      </c>
      <c r="E1086" s="21" t="s">
        <v>157</v>
      </c>
      <c r="F1086" s="19" t="s">
        <v>239</v>
      </c>
      <c r="G1086" s="19" t="s">
        <v>346</v>
      </c>
      <c r="H1086" s="19">
        <v>80</v>
      </c>
      <c r="I1086" s="46"/>
      <c r="J1086" s="48">
        <v>1156540</v>
      </c>
      <c r="K1086" s="44"/>
      <c r="L1086" s="49">
        <f t="shared" si="599"/>
        <v>1502</v>
      </c>
      <c r="M1086" s="50">
        <v>770</v>
      </c>
      <c r="N1086" s="45">
        <v>7.22</v>
      </c>
      <c r="O1086" s="46">
        <f t="shared" ref="O1086:O1090" si="602">SUM(M1086*N1086)</f>
        <v>5559.4</v>
      </c>
      <c r="P1086" s="51"/>
      <c r="Q1086" s="51"/>
      <c r="R1086" s="73">
        <f t="shared" si="596"/>
        <v>3226.82566723453</v>
      </c>
      <c r="S1086" s="73"/>
      <c r="T1086" s="73">
        <f t="shared" si="597"/>
        <v>7.39806927881885</v>
      </c>
      <c r="U1086" s="73"/>
      <c r="V1086" s="73"/>
      <c r="W1086" s="73">
        <f t="shared" si="593"/>
        <v>3234.22373651334</v>
      </c>
      <c r="X1086" s="75">
        <f t="shared" si="598"/>
        <v>70.6144236229415</v>
      </c>
      <c r="Y1086" s="75"/>
      <c r="Z1086" s="75"/>
      <c r="AA1086" s="75">
        <f t="shared" si="595"/>
        <v>70.6144236229415</v>
      </c>
      <c r="AB1086" s="84">
        <v>7.22</v>
      </c>
      <c r="AC1086" s="73">
        <f t="shared" si="590"/>
        <v>509.836138557638</v>
      </c>
      <c r="AD1086" s="73">
        <f t="shared" si="591"/>
        <v>3744.05987507098</v>
      </c>
      <c r="AE1086" s="73">
        <f t="shared" si="594"/>
        <v>1815.34012492902</v>
      </c>
    </row>
    <row r="1087" customFormat="1" spans="1:31">
      <c r="A1087" s="18"/>
      <c r="B1087" s="19"/>
      <c r="C1087" s="20">
        <v>240529000035</v>
      </c>
      <c r="D1087" s="21">
        <v>45447</v>
      </c>
      <c r="E1087" s="21" t="s">
        <v>47</v>
      </c>
      <c r="F1087" s="19" t="s">
        <v>48</v>
      </c>
      <c r="G1087" s="19" t="s">
        <v>324</v>
      </c>
      <c r="H1087" s="19">
        <v>97</v>
      </c>
      <c r="I1087" s="41">
        <v>6760</v>
      </c>
      <c r="J1087" s="42"/>
      <c r="K1087" s="44"/>
      <c r="L1087" s="19"/>
      <c r="M1087" s="44"/>
      <c r="N1087" s="45"/>
      <c r="O1087" s="46">
        <f>SUM(I1087)</f>
        <v>6760</v>
      </c>
      <c r="P1087" s="51"/>
      <c r="Q1087" s="51"/>
      <c r="R1087" s="73">
        <f t="shared" si="596"/>
        <v>3912.52612152186</v>
      </c>
      <c r="S1087" s="73"/>
      <c r="T1087" s="73">
        <f t="shared" si="597"/>
        <v>8.97015900056786</v>
      </c>
      <c r="U1087" s="74">
        <f>SUM(460+100)</f>
        <v>560</v>
      </c>
      <c r="V1087" s="73"/>
      <c r="W1087" s="73">
        <f t="shared" si="593"/>
        <v>4481.49628052243</v>
      </c>
      <c r="X1087" s="75">
        <f t="shared" si="598"/>
        <v>85.6199886428166</v>
      </c>
      <c r="Y1087" s="75">
        <v>69.25</v>
      </c>
      <c r="Z1087" s="75"/>
      <c r="AA1087" s="75">
        <f t="shared" si="595"/>
        <v>154.869988642817</v>
      </c>
      <c r="AB1087" s="84">
        <v>7.22</v>
      </c>
      <c r="AC1087" s="73">
        <f t="shared" si="590"/>
        <v>1118.16131800114</v>
      </c>
      <c r="AD1087" s="73">
        <f t="shared" si="591"/>
        <v>5599.65759852357</v>
      </c>
      <c r="AE1087" s="73">
        <f t="shared" si="594"/>
        <v>1160.34240147643</v>
      </c>
    </row>
    <row r="1088" customFormat="1" spans="1:31">
      <c r="A1088" s="18"/>
      <c r="B1088" s="19"/>
      <c r="C1088" s="20">
        <v>240530000002</v>
      </c>
      <c r="D1088" s="21">
        <v>45447</v>
      </c>
      <c r="E1088" s="21" t="s">
        <v>37</v>
      </c>
      <c r="F1088" s="19" t="s">
        <v>38</v>
      </c>
      <c r="G1088" s="19" t="s">
        <v>143</v>
      </c>
      <c r="H1088" s="19">
        <v>12</v>
      </c>
      <c r="I1088" s="52"/>
      <c r="J1088" s="48">
        <v>148212</v>
      </c>
      <c r="K1088" s="44"/>
      <c r="L1088" s="49">
        <f>SUM(J1088/M1088)</f>
        <v>1494.67527228721</v>
      </c>
      <c r="M1088" s="50">
        <v>99.16</v>
      </c>
      <c r="N1088" s="45">
        <v>7.22</v>
      </c>
      <c r="O1088" s="46">
        <f t="shared" si="602"/>
        <v>715.9352</v>
      </c>
      <c r="P1088" s="51"/>
      <c r="Q1088" s="51"/>
      <c r="R1088" s="73">
        <f t="shared" si="596"/>
        <v>484.023850085179</v>
      </c>
      <c r="S1088" s="73"/>
      <c r="T1088" s="73">
        <f t="shared" si="597"/>
        <v>1.10971039182283</v>
      </c>
      <c r="U1088" s="73">
        <v>50</v>
      </c>
      <c r="V1088" s="73"/>
      <c r="W1088" s="73">
        <f t="shared" si="593"/>
        <v>535.133560477002</v>
      </c>
      <c r="X1088" s="75">
        <f t="shared" si="598"/>
        <v>10.5921635434412</v>
      </c>
      <c r="Y1088" s="75"/>
      <c r="Z1088" s="75"/>
      <c r="AA1088" s="75">
        <f t="shared" si="595"/>
        <v>10.5921635434412</v>
      </c>
      <c r="AB1088" s="84">
        <v>7.22</v>
      </c>
      <c r="AC1088" s="73">
        <f t="shared" si="590"/>
        <v>76.4754207836457</v>
      </c>
      <c r="AD1088" s="73">
        <f t="shared" si="591"/>
        <v>611.608981260647</v>
      </c>
      <c r="AE1088" s="73">
        <f t="shared" si="594"/>
        <v>104.326218739353</v>
      </c>
    </row>
    <row r="1089" customFormat="1" spans="1:31">
      <c r="A1089" s="18"/>
      <c r="B1089" s="19"/>
      <c r="C1089" s="20">
        <v>240530000003</v>
      </c>
      <c r="D1089" s="21">
        <v>45447</v>
      </c>
      <c r="E1089" s="21" t="s">
        <v>37</v>
      </c>
      <c r="F1089" s="19" t="s">
        <v>38</v>
      </c>
      <c r="G1089" s="19" t="s">
        <v>619</v>
      </c>
      <c r="H1089" s="19">
        <v>4</v>
      </c>
      <c r="I1089" s="52"/>
      <c r="J1089" s="48">
        <v>49350</v>
      </c>
      <c r="K1089" s="44"/>
      <c r="L1089" s="49">
        <f>SUM(J1089/M1089)</f>
        <v>1516.59496004917</v>
      </c>
      <c r="M1089" s="50">
        <v>32.54</v>
      </c>
      <c r="N1089" s="45">
        <v>7.22</v>
      </c>
      <c r="O1089" s="46">
        <f t="shared" si="602"/>
        <v>234.9388</v>
      </c>
      <c r="P1089" s="51"/>
      <c r="Q1089" s="51"/>
      <c r="R1089" s="73">
        <f t="shared" si="596"/>
        <v>161.341283361726</v>
      </c>
      <c r="S1089" s="73"/>
      <c r="T1089" s="73">
        <f t="shared" si="597"/>
        <v>0.369903463940943</v>
      </c>
      <c r="U1089" s="73"/>
      <c r="V1089" s="73"/>
      <c r="W1089" s="73">
        <f t="shared" si="593"/>
        <v>161.711186825667</v>
      </c>
      <c r="X1089" s="75">
        <f t="shared" si="598"/>
        <v>3.53072118114708</v>
      </c>
      <c r="Y1089" s="75"/>
      <c r="Z1089" s="75"/>
      <c r="AA1089" s="75">
        <f t="shared" si="595"/>
        <v>3.53072118114708</v>
      </c>
      <c r="AB1089" s="84">
        <v>7.22</v>
      </c>
      <c r="AC1089" s="73">
        <f t="shared" si="590"/>
        <v>25.4918069278819</v>
      </c>
      <c r="AD1089" s="73">
        <f t="shared" si="591"/>
        <v>187.202993753549</v>
      </c>
      <c r="AE1089" s="73">
        <f t="shared" si="594"/>
        <v>47.7358062464509</v>
      </c>
    </row>
    <row r="1090" customFormat="1" spans="1:31">
      <c r="A1090" s="18"/>
      <c r="B1090" s="19"/>
      <c r="C1090" s="20">
        <v>240530000006</v>
      </c>
      <c r="D1090" s="21">
        <v>45447</v>
      </c>
      <c r="E1090" s="21" t="s">
        <v>47</v>
      </c>
      <c r="F1090" s="19" t="s">
        <v>48</v>
      </c>
      <c r="G1090" s="19" t="s">
        <v>135</v>
      </c>
      <c r="H1090" s="19">
        <v>183.5</v>
      </c>
      <c r="I1090" s="46"/>
      <c r="J1090" s="48">
        <v>2254222.08</v>
      </c>
      <c r="K1090" s="44"/>
      <c r="L1090" s="49">
        <f>SUM(J1090/M1090)</f>
        <v>1584</v>
      </c>
      <c r="M1090" s="50">
        <v>1423.12</v>
      </c>
      <c r="N1090" s="45">
        <v>7.22</v>
      </c>
      <c r="O1090" s="46">
        <f t="shared" si="602"/>
        <v>10274.9264</v>
      </c>
      <c r="P1090" s="51"/>
      <c r="Q1090" s="51"/>
      <c r="R1090" s="73">
        <f t="shared" si="596"/>
        <v>7401.53137421919</v>
      </c>
      <c r="S1090" s="73"/>
      <c r="T1090" s="73">
        <f t="shared" si="597"/>
        <v>16.9693214082907</v>
      </c>
      <c r="U1090" s="74">
        <v>300</v>
      </c>
      <c r="V1090" s="73"/>
      <c r="W1090" s="73">
        <f t="shared" si="593"/>
        <v>7718.50069562748</v>
      </c>
      <c r="X1090" s="75">
        <f t="shared" si="598"/>
        <v>161.971834185122</v>
      </c>
      <c r="Y1090" s="75"/>
      <c r="Z1090" s="75"/>
      <c r="AA1090" s="75">
        <f t="shared" si="595"/>
        <v>161.971834185122</v>
      </c>
      <c r="AB1090" s="84">
        <v>7.22</v>
      </c>
      <c r="AC1090" s="73">
        <f t="shared" si="590"/>
        <v>1169.43664281658</v>
      </c>
      <c r="AD1090" s="73">
        <f t="shared" si="591"/>
        <v>8887.93733844407</v>
      </c>
      <c r="AE1090" s="73">
        <f t="shared" si="594"/>
        <v>1386.98906155593</v>
      </c>
    </row>
    <row r="1091" customFormat="1" spans="1:31">
      <c r="A1091" s="18"/>
      <c r="B1091" s="19"/>
      <c r="C1091" s="22">
        <v>240530000007</v>
      </c>
      <c r="D1091" s="23">
        <v>45447</v>
      </c>
      <c r="E1091" s="21" t="s">
        <v>44</v>
      </c>
      <c r="F1091" s="24" t="s">
        <v>127</v>
      </c>
      <c r="G1091" s="24" t="s">
        <v>128</v>
      </c>
      <c r="H1091" s="24">
        <v>1.5</v>
      </c>
      <c r="I1091" s="41">
        <v>79.5</v>
      </c>
      <c r="J1091" s="42"/>
      <c r="K1091" s="44"/>
      <c r="L1091" s="19"/>
      <c r="M1091" s="44"/>
      <c r="N1091" s="45"/>
      <c r="O1091" s="46">
        <f t="shared" ref="O1091:O1095" si="603">SUM(I1091)</f>
        <v>79.5</v>
      </c>
      <c r="P1091" s="51"/>
      <c r="Q1091" s="51"/>
      <c r="R1091" s="73">
        <f t="shared" si="596"/>
        <v>60.5029812606474</v>
      </c>
      <c r="S1091" s="73"/>
      <c r="T1091" s="73">
        <f t="shared" si="597"/>
        <v>0.138713798977853</v>
      </c>
      <c r="U1091" s="73"/>
      <c r="V1091" s="73"/>
      <c r="W1091" s="73">
        <f t="shared" si="593"/>
        <v>60.6416950596252</v>
      </c>
      <c r="X1091" s="75">
        <f t="shared" si="598"/>
        <v>1.32402044293015</v>
      </c>
      <c r="Y1091" s="75"/>
      <c r="Z1091" s="75"/>
      <c r="AA1091" s="75">
        <f t="shared" si="595"/>
        <v>1.32402044293015</v>
      </c>
      <c r="AB1091" s="84">
        <v>7.22</v>
      </c>
      <c r="AC1091" s="73">
        <f t="shared" si="590"/>
        <v>9.55942759795571</v>
      </c>
      <c r="AD1091" s="73">
        <f t="shared" si="591"/>
        <v>70.2011226575809</v>
      </c>
      <c r="AE1091" s="73">
        <f t="shared" si="594"/>
        <v>9.29887734241908</v>
      </c>
    </row>
    <row r="1092" customFormat="1" spans="1:31">
      <c r="A1092" s="18"/>
      <c r="B1092" s="19"/>
      <c r="C1092" s="20">
        <v>240530000008</v>
      </c>
      <c r="D1092" s="21">
        <v>45447</v>
      </c>
      <c r="E1092" s="21" t="s">
        <v>44</v>
      </c>
      <c r="F1092" s="19" t="s">
        <v>45</v>
      </c>
      <c r="G1092" s="19" t="s">
        <v>255</v>
      </c>
      <c r="H1092" s="19">
        <v>4</v>
      </c>
      <c r="I1092" s="52"/>
      <c r="J1092" s="48">
        <v>43900</v>
      </c>
      <c r="K1092" s="44"/>
      <c r="L1092" s="49">
        <f>SUM(J1092/M1092)</f>
        <v>1495.23160762943</v>
      </c>
      <c r="M1092" s="50">
        <v>29.36</v>
      </c>
      <c r="N1092" s="45">
        <v>7.22</v>
      </c>
      <c r="O1092" s="46">
        <f>SUM(M1092*N1092)</f>
        <v>211.9792</v>
      </c>
      <c r="P1092" s="51"/>
      <c r="Q1092" s="51"/>
      <c r="R1092" s="73">
        <f t="shared" si="596"/>
        <v>161.341283361726</v>
      </c>
      <c r="S1092" s="73"/>
      <c r="T1092" s="73">
        <f t="shared" si="597"/>
        <v>0.369903463940943</v>
      </c>
      <c r="U1092" s="73"/>
      <c r="V1092" s="73"/>
      <c r="W1092" s="73">
        <f t="shared" si="593"/>
        <v>161.711186825667</v>
      </c>
      <c r="X1092" s="75">
        <f t="shared" si="598"/>
        <v>3.53072118114708</v>
      </c>
      <c r="Y1092" s="75"/>
      <c r="Z1092" s="75"/>
      <c r="AA1092" s="75">
        <f t="shared" si="595"/>
        <v>3.53072118114708</v>
      </c>
      <c r="AB1092" s="84">
        <v>7.22</v>
      </c>
      <c r="AC1092" s="73">
        <f t="shared" si="590"/>
        <v>25.4918069278819</v>
      </c>
      <c r="AD1092" s="73">
        <f t="shared" si="591"/>
        <v>187.202993753549</v>
      </c>
      <c r="AE1092" s="73">
        <f t="shared" si="594"/>
        <v>24.7762062464509</v>
      </c>
    </row>
    <row r="1093" customFormat="1" spans="1:31">
      <c r="A1093" s="18"/>
      <c r="B1093" s="19"/>
      <c r="C1093" s="20">
        <v>240530000010</v>
      </c>
      <c r="D1093" s="21">
        <v>45447</v>
      </c>
      <c r="E1093" s="21" t="s">
        <v>44</v>
      </c>
      <c r="F1093" s="19" t="s">
        <v>45</v>
      </c>
      <c r="G1093" s="19" t="s">
        <v>175</v>
      </c>
      <c r="H1093" s="19">
        <v>3.5</v>
      </c>
      <c r="I1093" s="41">
        <v>206</v>
      </c>
      <c r="J1093" s="42"/>
      <c r="K1093" s="44"/>
      <c r="L1093" s="19"/>
      <c r="M1093" s="44"/>
      <c r="N1093" s="45"/>
      <c r="O1093" s="46">
        <f t="shared" si="603"/>
        <v>206</v>
      </c>
      <c r="P1093" s="51"/>
      <c r="Q1093" s="51"/>
      <c r="R1093" s="73">
        <f t="shared" si="596"/>
        <v>141.173622941511</v>
      </c>
      <c r="S1093" s="73"/>
      <c r="T1093" s="73">
        <f t="shared" si="597"/>
        <v>0.323665530948325</v>
      </c>
      <c r="U1093" s="73"/>
      <c r="V1093" s="73"/>
      <c r="W1093" s="73">
        <f t="shared" si="593"/>
        <v>141.497288472459</v>
      </c>
      <c r="X1093" s="75">
        <f t="shared" si="598"/>
        <v>3.08938103350369</v>
      </c>
      <c r="Y1093" s="75"/>
      <c r="Z1093" s="75"/>
      <c r="AA1093" s="75">
        <f t="shared" si="595"/>
        <v>3.08938103350369</v>
      </c>
      <c r="AB1093" s="84">
        <v>7.22</v>
      </c>
      <c r="AC1093" s="73">
        <f t="shared" si="590"/>
        <v>22.3053310618967</v>
      </c>
      <c r="AD1093" s="73">
        <f t="shared" si="591"/>
        <v>163.802619534355</v>
      </c>
      <c r="AE1093" s="73">
        <f t="shared" si="594"/>
        <v>42.1973804656445</v>
      </c>
    </row>
    <row r="1094" customFormat="1" spans="1:31">
      <c r="A1094" s="18"/>
      <c r="B1094" s="19"/>
      <c r="C1094" s="20">
        <v>240530000011</v>
      </c>
      <c r="D1094" s="21">
        <v>45447</v>
      </c>
      <c r="E1094" s="21" t="s">
        <v>54</v>
      </c>
      <c r="F1094" s="19" t="s">
        <v>54</v>
      </c>
      <c r="G1094" s="19" t="s">
        <v>100</v>
      </c>
      <c r="H1094" s="19">
        <v>48</v>
      </c>
      <c r="I1094" s="52">
        <v>2552</v>
      </c>
      <c r="J1094" s="42"/>
      <c r="K1094" s="44"/>
      <c r="L1094" s="19"/>
      <c r="M1094" s="44"/>
      <c r="N1094" s="45"/>
      <c r="O1094" s="46">
        <f t="shared" si="603"/>
        <v>2552</v>
      </c>
      <c r="P1094" s="51"/>
      <c r="Q1094" s="51"/>
      <c r="R1094" s="73">
        <f t="shared" si="596"/>
        <v>1936.09540034072</v>
      </c>
      <c r="S1094" s="73"/>
      <c r="T1094" s="73">
        <f t="shared" si="597"/>
        <v>4.43884156729131</v>
      </c>
      <c r="U1094" s="73"/>
      <c r="V1094" s="73"/>
      <c r="W1094" s="73">
        <f t="shared" si="593"/>
        <v>1940.53424190801</v>
      </c>
      <c r="X1094" s="75">
        <f t="shared" si="598"/>
        <v>42.3686541737649</v>
      </c>
      <c r="Y1094" s="75"/>
      <c r="Z1094" s="75"/>
      <c r="AA1094" s="75">
        <f t="shared" si="595"/>
        <v>42.3686541737649</v>
      </c>
      <c r="AB1094" s="84">
        <v>7.22</v>
      </c>
      <c r="AC1094" s="73">
        <f t="shared" si="590"/>
        <v>305.901683134583</v>
      </c>
      <c r="AD1094" s="73">
        <f t="shared" si="591"/>
        <v>2246.43592504259</v>
      </c>
      <c r="AE1094" s="73">
        <f t="shared" si="594"/>
        <v>305.56407495741</v>
      </c>
    </row>
    <row r="1095" customFormat="1" spans="1:31">
      <c r="A1095" s="18"/>
      <c r="B1095" s="19"/>
      <c r="C1095" s="20">
        <v>240530000013</v>
      </c>
      <c r="D1095" s="21">
        <v>45447</v>
      </c>
      <c r="E1095" s="21" t="s">
        <v>41</v>
      </c>
      <c r="F1095" s="19" t="s">
        <v>42</v>
      </c>
      <c r="G1095" s="19" t="s">
        <v>165</v>
      </c>
      <c r="H1095" s="19">
        <v>2</v>
      </c>
      <c r="I1095" s="41">
        <v>106</v>
      </c>
      <c r="J1095" s="42"/>
      <c r="K1095" s="44"/>
      <c r="L1095" s="19"/>
      <c r="M1095" s="44"/>
      <c r="N1095" s="45"/>
      <c r="O1095" s="46">
        <f t="shared" si="603"/>
        <v>106</v>
      </c>
      <c r="P1095" s="51"/>
      <c r="Q1095" s="51"/>
      <c r="R1095" s="73">
        <f t="shared" si="596"/>
        <v>80.6706416808631</v>
      </c>
      <c r="S1095" s="73"/>
      <c r="T1095" s="73">
        <f t="shared" si="597"/>
        <v>0.184951731970471</v>
      </c>
      <c r="U1095" s="73"/>
      <c r="V1095" s="73"/>
      <c r="W1095" s="73">
        <f t="shared" si="593"/>
        <v>80.8555934128336</v>
      </c>
      <c r="X1095" s="75">
        <f t="shared" si="598"/>
        <v>1.76536059057354</v>
      </c>
      <c r="Y1095" s="75"/>
      <c r="Z1095" s="75"/>
      <c r="AA1095" s="75">
        <f t="shared" si="595"/>
        <v>1.76536059057354</v>
      </c>
      <c r="AB1095" s="84">
        <v>7.22</v>
      </c>
      <c r="AC1095" s="73">
        <f t="shared" si="590"/>
        <v>12.7459034639409</v>
      </c>
      <c r="AD1095" s="73">
        <f t="shared" si="591"/>
        <v>93.6014968767746</v>
      </c>
      <c r="AE1095" s="73">
        <f t="shared" si="594"/>
        <v>12.3985031232254</v>
      </c>
    </row>
    <row r="1096" customFormat="1" spans="1:31">
      <c r="A1096" s="18"/>
      <c r="B1096" s="19"/>
      <c r="C1096" s="20">
        <v>240530000016</v>
      </c>
      <c r="D1096" s="21">
        <v>45447</v>
      </c>
      <c r="E1096" s="21" t="s">
        <v>44</v>
      </c>
      <c r="F1096" s="19" t="s">
        <v>45</v>
      </c>
      <c r="G1096" s="19" t="s">
        <v>299</v>
      </c>
      <c r="H1096" s="19">
        <v>4.5</v>
      </c>
      <c r="I1096" s="52"/>
      <c r="J1096" s="48">
        <v>54516</v>
      </c>
      <c r="K1096" s="44"/>
      <c r="L1096" s="49">
        <f>SUM(J1096/M1096)</f>
        <v>1491.13785557987</v>
      </c>
      <c r="M1096" s="50">
        <v>36.56</v>
      </c>
      <c r="N1096" s="45">
        <v>7.22</v>
      </c>
      <c r="O1096" s="46">
        <f>SUM(M1096*N1096)</f>
        <v>263.9632</v>
      </c>
      <c r="P1096" s="51"/>
      <c r="Q1096" s="51"/>
      <c r="R1096" s="73">
        <f t="shared" si="596"/>
        <v>181.508943781942</v>
      </c>
      <c r="S1096" s="73"/>
      <c r="T1096" s="73">
        <f t="shared" si="597"/>
        <v>0.41614139693356</v>
      </c>
      <c r="U1096" s="73"/>
      <c r="V1096" s="73"/>
      <c r="W1096" s="73">
        <f t="shared" si="593"/>
        <v>181.925085178876</v>
      </c>
      <c r="X1096" s="75">
        <f t="shared" si="598"/>
        <v>3.97206132879046</v>
      </c>
      <c r="Y1096" s="75"/>
      <c r="Z1096" s="75"/>
      <c r="AA1096" s="75">
        <f t="shared" si="595"/>
        <v>3.97206132879046</v>
      </c>
      <c r="AB1096" s="84">
        <v>7.22</v>
      </c>
      <c r="AC1096" s="73">
        <f t="shared" si="590"/>
        <v>28.6782827938671</v>
      </c>
      <c r="AD1096" s="73">
        <f t="shared" si="591"/>
        <v>210.603367972743</v>
      </c>
      <c r="AE1096" s="73">
        <f t="shared" si="594"/>
        <v>53.3598320272572</v>
      </c>
    </row>
    <row r="1097" customFormat="1" spans="1:31">
      <c r="A1097" s="18"/>
      <c r="B1097" s="19"/>
      <c r="C1097" s="20">
        <v>240530000017</v>
      </c>
      <c r="D1097" s="21">
        <v>45447</v>
      </c>
      <c r="E1097" s="21" t="s">
        <v>44</v>
      </c>
      <c r="F1097" s="19" t="s">
        <v>45</v>
      </c>
      <c r="G1097" s="19" t="s">
        <v>382</v>
      </c>
      <c r="H1097" s="19">
        <v>16.5</v>
      </c>
      <c r="I1097" s="41">
        <v>1897.5</v>
      </c>
      <c r="J1097" s="42"/>
      <c r="K1097" s="44"/>
      <c r="L1097" s="19"/>
      <c r="M1097" s="44"/>
      <c r="N1097" s="45"/>
      <c r="O1097" s="46">
        <f t="shared" ref="O1097:O1101" si="604">SUM(I1097)</f>
        <v>1897.5</v>
      </c>
      <c r="P1097" s="51"/>
      <c r="Q1097" s="51"/>
      <c r="R1097" s="73">
        <f t="shared" si="596"/>
        <v>665.532793867121</v>
      </c>
      <c r="S1097" s="73"/>
      <c r="T1097" s="73">
        <f t="shared" si="597"/>
        <v>1.52585178875639</v>
      </c>
      <c r="U1097" s="73"/>
      <c r="V1097" s="73"/>
      <c r="W1097" s="73">
        <f t="shared" si="593"/>
        <v>667.058645655877</v>
      </c>
      <c r="X1097" s="75">
        <f t="shared" si="598"/>
        <v>14.5642248722317</v>
      </c>
      <c r="Y1097" s="75"/>
      <c r="Z1097" s="75"/>
      <c r="AA1097" s="75">
        <f t="shared" si="595"/>
        <v>14.5642248722317</v>
      </c>
      <c r="AB1097" s="84">
        <v>7.22</v>
      </c>
      <c r="AC1097" s="73">
        <f t="shared" si="590"/>
        <v>105.153703577513</v>
      </c>
      <c r="AD1097" s="73">
        <f t="shared" si="591"/>
        <v>772.21234923339</v>
      </c>
      <c r="AE1097" s="73">
        <f t="shared" si="594"/>
        <v>1125.28765076661</v>
      </c>
    </row>
    <row r="1098" customFormat="1" spans="1:31">
      <c r="A1098" s="18"/>
      <c r="B1098" s="19"/>
      <c r="C1098" s="20">
        <v>240530000020</v>
      </c>
      <c r="D1098" s="21">
        <v>45447</v>
      </c>
      <c r="E1098" s="21" t="s">
        <v>41</v>
      </c>
      <c r="F1098" s="19" t="s">
        <v>42</v>
      </c>
      <c r="G1098" s="19" t="s">
        <v>246</v>
      </c>
      <c r="H1098" s="19">
        <v>341</v>
      </c>
      <c r="I1098" s="41">
        <v>17050</v>
      </c>
      <c r="J1098" s="42"/>
      <c r="K1098" s="44"/>
      <c r="L1098" s="19"/>
      <c r="M1098" s="44"/>
      <c r="N1098" s="45"/>
      <c r="O1098" s="46">
        <f t="shared" si="604"/>
        <v>17050</v>
      </c>
      <c r="P1098" s="51"/>
      <c r="Q1098" s="51"/>
      <c r="R1098" s="73">
        <f t="shared" si="596"/>
        <v>13754.3444065872</v>
      </c>
      <c r="S1098" s="73"/>
      <c r="T1098" s="73">
        <f t="shared" si="597"/>
        <v>31.5342703009654</v>
      </c>
      <c r="U1098" s="73"/>
      <c r="V1098" s="73"/>
      <c r="W1098" s="73">
        <f t="shared" si="593"/>
        <v>13785.8786768881</v>
      </c>
      <c r="X1098" s="75">
        <f t="shared" si="598"/>
        <v>300.993980692788</v>
      </c>
      <c r="Y1098" s="75"/>
      <c r="Z1098" s="75"/>
      <c r="AA1098" s="75">
        <f t="shared" si="595"/>
        <v>300.993980692788</v>
      </c>
      <c r="AB1098" s="84">
        <v>7.22</v>
      </c>
      <c r="AC1098" s="73">
        <f t="shared" ref="AC1098:AC1125" si="605">SUM(AA1098*AB1098)</f>
        <v>2173.17654060193</v>
      </c>
      <c r="AD1098" s="73">
        <f t="shared" ref="AD1098:AD1125" si="606">SUM(W1098+AC1098)</f>
        <v>15959.0552174901</v>
      </c>
      <c r="AE1098" s="73">
        <f t="shared" si="594"/>
        <v>1090.94478250994</v>
      </c>
    </row>
    <row r="1099" customFormat="1" spans="1:31">
      <c r="A1099" s="18"/>
      <c r="B1099" s="19"/>
      <c r="C1099" s="20">
        <v>240530000021</v>
      </c>
      <c r="D1099" s="21">
        <v>45447</v>
      </c>
      <c r="E1099" s="21" t="s">
        <v>37</v>
      </c>
      <c r="F1099" s="19" t="s">
        <v>38</v>
      </c>
      <c r="G1099" s="19" t="s">
        <v>362</v>
      </c>
      <c r="H1099" s="19">
        <v>7.5</v>
      </c>
      <c r="I1099" s="41">
        <v>512</v>
      </c>
      <c r="J1099" s="42"/>
      <c r="K1099" s="44"/>
      <c r="L1099" s="19"/>
      <c r="M1099" s="44"/>
      <c r="N1099" s="45"/>
      <c r="O1099" s="46">
        <f t="shared" si="604"/>
        <v>512</v>
      </c>
      <c r="P1099" s="51"/>
      <c r="Q1099" s="51"/>
      <c r="R1099" s="73">
        <f t="shared" si="596"/>
        <v>302.514906303237</v>
      </c>
      <c r="S1099" s="73"/>
      <c r="T1099" s="73">
        <f t="shared" si="597"/>
        <v>0.693568994889267</v>
      </c>
      <c r="U1099" s="73"/>
      <c r="V1099" s="73"/>
      <c r="W1099" s="73">
        <f t="shared" si="593"/>
        <v>303.208475298126</v>
      </c>
      <c r="X1099" s="75">
        <f t="shared" si="598"/>
        <v>6.62010221465077</v>
      </c>
      <c r="Y1099" s="75"/>
      <c r="Z1099" s="75"/>
      <c r="AA1099" s="75">
        <f t="shared" si="595"/>
        <v>6.62010221465077</v>
      </c>
      <c r="AB1099" s="84">
        <v>7.22</v>
      </c>
      <c r="AC1099" s="73">
        <f t="shared" si="605"/>
        <v>47.7971379897785</v>
      </c>
      <c r="AD1099" s="73">
        <f t="shared" si="606"/>
        <v>351.005613287905</v>
      </c>
      <c r="AE1099" s="73">
        <f t="shared" si="594"/>
        <v>160.994386712095</v>
      </c>
    </row>
    <row r="1100" customFormat="1" spans="1:31">
      <c r="A1100" s="18"/>
      <c r="B1100" s="19"/>
      <c r="C1100" s="20">
        <v>240530000024</v>
      </c>
      <c r="D1100" s="21">
        <v>45447</v>
      </c>
      <c r="E1100" s="21" t="s">
        <v>37</v>
      </c>
      <c r="F1100" s="19" t="s">
        <v>38</v>
      </c>
      <c r="G1100" s="19" t="s">
        <v>620</v>
      </c>
      <c r="H1100" s="19">
        <v>4.5</v>
      </c>
      <c r="I1100" s="41">
        <v>261</v>
      </c>
      <c r="J1100" s="42"/>
      <c r="K1100" s="44"/>
      <c r="L1100" s="19"/>
      <c r="M1100" s="44"/>
      <c r="N1100" s="45"/>
      <c r="O1100" s="46">
        <f t="shared" si="604"/>
        <v>261</v>
      </c>
      <c r="P1100" s="51"/>
      <c r="Q1100" s="51"/>
      <c r="R1100" s="73">
        <f t="shared" si="596"/>
        <v>181.508943781942</v>
      </c>
      <c r="S1100" s="73"/>
      <c r="T1100" s="73">
        <f t="shared" si="597"/>
        <v>0.41614139693356</v>
      </c>
      <c r="U1100" s="73"/>
      <c r="V1100" s="73"/>
      <c r="W1100" s="73">
        <f t="shared" ref="W1100:W1125" si="607">SUM(R1100:V1100)</f>
        <v>181.925085178876</v>
      </c>
      <c r="X1100" s="75">
        <f t="shared" si="598"/>
        <v>3.97206132879046</v>
      </c>
      <c r="Y1100" s="75"/>
      <c r="Z1100" s="75"/>
      <c r="AA1100" s="75">
        <f t="shared" si="595"/>
        <v>3.97206132879046</v>
      </c>
      <c r="AB1100" s="84">
        <v>7.22</v>
      </c>
      <c r="AC1100" s="73">
        <f t="shared" si="605"/>
        <v>28.6782827938671</v>
      </c>
      <c r="AD1100" s="73">
        <f t="shared" si="606"/>
        <v>210.603367972743</v>
      </c>
      <c r="AE1100" s="73">
        <f t="shared" ref="AE1100:AE1125" si="608">SUM(O1100-AD1100)</f>
        <v>50.396632027257</v>
      </c>
    </row>
    <row r="1101" customFormat="1" spans="1:31">
      <c r="A1101" s="18"/>
      <c r="B1101" s="19"/>
      <c r="C1101" s="20">
        <v>240530000030</v>
      </c>
      <c r="D1101" s="21">
        <v>45447</v>
      </c>
      <c r="E1101" s="21" t="s">
        <v>37</v>
      </c>
      <c r="F1101" s="19" t="s">
        <v>38</v>
      </c>
      <c r="G1101" s="19" t="s">
        <v>621</v>
      </c>
      <c r="H1101" s="19">
        <v>0.73</v>
      </c>
      <c r="I1101" s="41">
        <v>67</v>
      </c>
      <c r="J1101" s="42"/>
      <c r="K1101" s="44"/>
      <c r="L1101" s="19"/>
      <c r="M1101" s="44"/>
      <c r="N1101" s="45"/>
      <c r="O1101" s="46">
        <f t="shared" si="604"/>
        <v>67</v>
      </c>
      <c r="P1101" s="51"/>
      <c r="Q1101" s="51"/>
      <c r="R1101" s="73">
        <f t="shared" si="596"/>
        <v>29.444784213515</v>
      </c>
      <c r="S1101" s="73"/>
      <c r="T1101" s="73">
        <f t="shared" si="597"/>
        <v>0.067507382169222</v>
      </c>
      <c r="U1101" s="73"/>
      <c r="V1101" s="73"/>
      <c r="W1101" s="73">
        <f t="shared" si="607"/>
        <v>29.5122915956843</v>
      </c>
      <c r="X1101" s="75">
        <f t="shared" si="598"/>
        <v>0.644356615559341</v>
      </c>
      <c r="Y1101" s="75"/>
      <c r="Z1101" s="75"/>
      <c r="AA1101" s="75">
        <f t="shared" ref="AA1101:AA1125" si="609">SUM(X1101:Z1101)</f>
        <v>0.644356615559341</v>
      </c>
      <c r="AB1101" s="84">
        <v>7.22</v>
      </c>
      <c r="AC1101" s="73">
        <f t="shared" si="605"/>
        <v>4.65225476433844</v>
      </c>
      <c r="AD1101" s="73">
        <f t="shared" si="606"/>
        <v>34.1645463600227</v>
      </c>
      <c r="AE1101" s="73">
        <f t="shared" si="608"/>
        <v>32.8354536399773</v>
      </c>
    </row>
    <row r="1102" customFormat="1" spans="1:31">
      <c r="A1102" s="18"/>
      <c r="B1102" s="19"/>
      <c r="C1102" s="20">
        <v>240530000031</v>
      </c>
      <c r="D1102" s="21">
        <v>45447</v>
      </c>
      <c r="E1102" s="21" t="s">
        <v>54</v>
      </c>
      <c r="F1102" s="19" t="s">
        <v>54</v>
      </c>
      <c r="G1102" s="19" t="s">
        <v>622</v>
      </c>
      <c r="H1102" s="19">
        <v>2.5</v>
      </c>
      <c r="I1102" s="52"/>
      <c r="J1102" s="48">
        <v>33741</v>
      </c>
      <c r="K1102" s="44"/>
      <c r="L1102" s="49">
        <f t="shared" ref="L1102:L1105" si="610">SUM(J1102/M1102)</f>
        <v>1494.94904740806</v>
      </c>
      <c r="M1102" s="50">
        <v>22.57</v>
      </c>
      <c r="N1102" s="45">
        <v>7.22</v>
      </c>
      <c r="O1102" s="46">
        <f t="shared" ref="O1102:O1105" si="611">SUM(M1102*N1102)</f>
        <v>162.9554</v>
      </c>
      <c r="P1102" s="51"/>
      <c r="Q1102" s="51"/>
      <c r="R1102" s="73">
        <f t="shared" si="596"/>
        <v>100.838302101079</v>
      </c>
      <c r="S1102" s="73"/>
      <c r="T1102" s="73">
        <f t="shared" si="597"/>
        <v>0.231189664963089</v>
      </c>
      <c r="U1102" s="73"/>
      <c r="V1102" s="73"/>
      <c r="W1102" s="73">
        <f t="shared" si="607"/>
        <v>101.069491766042</v>
      </c>
      <c r="X1102" s="75">
        <f t="shared" si="598"/>
        <v>2.20670073821692</v>
      </c>
      <c r="Y1102" s="75"/>
      <c r="Z1102" s="75"/>
      <c r="AA1102" s="75">
        <f t="shared" si="609"/>
        <v>2.20670073821692</v>
      </c>
      <c r="AB1102" s="84">
        <v>7.22</v>
      </c>
      <c r="AC1102" s="73">
        <f t="shared" si="605"/>
        <v>15.9323793299262</v>
      </c>
      <c r="AD1102" s="73">
        <f t="shared" si="606"/>
        <v>117.001871095968</v>
      </c>
      <c r="AE1102" s="73">
        <f t="shared" si="608"/>
        <v>45.953528904032</v>
      </c>
    </row>
    <row r="1103" customFormat="1" spans="1:31">
      <c r="A1103" s="18"/>
      <c r="B1103" s="19"/>
      <c r="C1103" s="20">
        <v>240530000034</v>
      </c>
      <c r="D1103" s="21">
        <v>45447</v>
      </c>
      <c r="E1103" s="21" t="s">
        <v>54</v>
      </c>
      <c r="F1103" s="19" t="s">
        <v>54</v>
      </c>
      <c r="G1103" s="19" t="s">
        <v>623</v>
      </c>
      <c r="H1103" s="19">
        <v>21.5</v>
      </c>
      <c r="I1103" s="52">
        <v>1147.5</v>
      </c>
      <c r="J1103" s="42"/>
      <c r="K1103" s="44"/>
      <c r="L1103" s="19"/>
      <c r="M1103" s="44"/>
      <c r="N1103" s="45"/>
      <c r="O1103" s="46">
        <f t="shared" ref="O1103:O1112" si="612">SUM(I1103)</f>
        <v>1147.5</v>
      </c>
      <c r="P1103" s="51"/>
      <c r="Q1103" s="51"/>
      <c r="R1103" s="73">
        <f t="shared" ref="R1103:R1125" si="613">SUM(142061/3522)*H1103</f>
        <v>867.209398069279</v>
      </c>
      <c r="S1103" s="73"/>
      <c r="T1103" s="73">
        <f t="shared" ref="T1103:T1125" si="614">SUM(325.7/3522)*H1103</f>
        <v>1.98823111868257</v>
      </c>
      <c r="U1103" s="73"/>
      <c r="V1103" s="73"/>
      <c r="W1103" s="73">
        <f t="shared" si="607"/>
        <v>869.197629187961</v>
      </c>
      <c r="X1103" s="75">
        <f t="shared" ref="X1103:X1125" si="615">SUM(3108.8/3522)*H1103</f>
        <v>18.9776263486655</v>
      </c>
      <c r="Y1103" s="75"/>
      <c r="Z1103" s="75"/>
      <c r="AA1103" s="75">
        <f t="shared" si="609"/>
        <v>18.9776263486655</v>
      </c>
      <c r="AB1103" s="84">
        <v>7.22</v>
      </c>
      <c r="AC1103" s="73">
        <f t="shared" si="605"/>
        <v>137.018462237365</v>
      </c>
      <c r="AD1103" s="73">
        <f t="shared" si="606"/>
        <v>1006.21609142533</v>
      </c>
      <c r="AE1103" s="73">
        <f t="shared" si="608"/>
        <v>141.283908574673</v>
      </c>
    </row>
    <row r="1104" customFormat="1" spans="1:31">
      <c r="A1104" s="18"/>
      <c r="B1104" s="19"/>
      <c r="C1104" s="20">
        <v>240530000035</v>
      </c>
      <c r="D1104" s="21">
        <v>45447</v>
      </c>
      <c r="E1104" s="21" t="s">
        <v>157</v>
      </c>
      <c r="F1104" s="19" t="s">
        <v>159</v>
      </c>
      <c r="G1104" s="19" t="s">
        <v>160</v>
      </c>
      <c r="H1104" s="19">
        <v>0.32</v>
      </c>
      <c r="I1104" s="46"/>
      <c r="J1104" s="42"/>
      <c r="K1104" s="50">
        <v>8.6</v>
      </c>
      <c r="L1104" s="49">
        <f t="shared" si="610"/>
        <v>0</v>
      </c>
      <c r="M1104" s="50">
        <v>8.6</v>
      </c>
      <c r="N1104" s="45">
        <v>7.22</v>
      </c>
      <c r="O1104" s="46">
        <f t="shared" si="611"/>
        <v>62.092</v>
      </c>
      <c r="P1104" s="51"/>
      <c r="Q1104" s="51"/>
      <c r="R1104" s="73">
        <f t="shared" si="613"/>
        <v>12.9073026689381</v>
      </c>
      <c r="S1104" s="73"/>
      <c r="T1104" s="73">
        <f t="shared" si="614"/>
        <v>0.0295922771152754</v>
      </c>
      <c r="U1104" s="73"/>
      <c r="V1104" s="73"/>
      <c r="W1104" s="73">
        <f t="shared" si="607"/>
        <v>12.9368949460534</v>
      </c>
      <c r="X1104" s="75">
        <f t="shared" si="615"/>
        <v>0.282457694491766</v>
      </c>
      <c r="Y1104" s="75"/>
      <c r="Z1104" s="75"/>
      <c r="AA1104" s="75">
        <f t="shared" si="609"/>
        <v>0.282457694491766</v>
      </c>
      <c r="AB1104" s="84">
        <v>7.22</v>
      </c>
      <c r="AC1104" s="73">
        <f t="shared" si="605"/>
        <v>2.03934455423055</v>
      </c>
      <c r="AD1104" s="73">
        <f t="shared" si="606"/>
        <v>14.9762395002839</v>
      </c>
      <c r="AE1104" s="73">
        <f t="shared" si="608"/>
        <v>47.1157604997161</v>
      </c>
    </row>
    <row r="1105" customFormat="1" spans="1:31">
      <c r="A1105" s="18"/>
      <c r="B1105" s="19"/>
      <c r="C1105" s="20">
        <v>240531000009</v>
      </c>
      <c r="D1105" s="21">
        <v>45447</v>
      </c>
      <c r="E1105" s="21" t="s">
        <v>41</v>
      </c>
      <c r="F1105" s="19" t="s">
        <v>42</v>
      </c>
      <c r="G1105" s="19" t="s">
        <v>147</v>
      </c>
      <c r="H1105" s="19">
        <v>8</v>
      </c>
      <c r="I1105" s="52"/>
      <c r="J1105" s="48">
        <v>92432</v>
      </c>
      <c r="K1105" s="19"/>
      <c r="L1105" s="49">
        <f t="shared" si="610"/>
        <v>1574.11444141689</v>
      </c>
      <c r="M1105" s="50">
        <v>58.72</v>
      </c>
      <c r="N1105" s="45">
        <v>7.22</v>
      </c>
      <c r="O1105" s="46">
        <f t="shared" si="611"/>
        <v>423.9584</v>
      </c>
      <c r="P1105" s="51"/>
      <c r="Q1105" s="51"/>
      <c r="R1105" s="73">
        <f t="shared" si="613"/>
        <v>322.682566723453</v>
      </c>
      <c r="S1105" s="73"/>
      <c r="T1105" s="73">
        <f t="shared" si="614"/>
        <v>0.739806927881885</v>
      </c>
      <c r="U1105" s="73"/>
      <c r="V1105" s="73"/>
      <c r="W1105" s="73">
        <f t="shared" si="607"/>
        <v>323.422373651334</v>
      </c>
      <c r="X1105" s="75">
        <f t="shared" si="615"/>
        <v>7.06144236229415</v>
      </c>
      <c r="Y1105" s="75"/>
      <c r="Z1105" s="75"/>
      <c r="AA1105" s="75">
        <f t="shared" si="609"/>
        <v>7.06144236229415</v>
      </c>
      <c r="AB1105" s="84">
        <v>7.22</v>
      </c>
      <c r="AC1105" s="73">
        <f t="shared" si="605"/>
        <v>50.9836138557638</v>
      </c>
      <c r="AD1105" s="73">
        <f t="shared" si="606"/>
        <v>374.405987507098</v>
      </c>
      <c r="AE1105" s="73">
        <f t="shared" si="608"/>
        <v>49.5524124929017</v>
      </c>
    </row>
    <row r="1106" customFormat="1" spans="1:31">
      <c r="A1106" s="18"/>
      <c r="B1106" s="19"/>
      <c r="C1106" s="20">
        <v>240531000013</v>
      </c>
      <c r="D1106" s="21">
        <v>45447</v>
      </c>
      <c r="E1106" s="21" t="s">
        <v>44</v>
      </c>
      <c r="F1106" s="19" t="s">
        <v>45</v>
      </c>
      <c r="G1106" s="19" t="s">
        <v>358</v>
      </c>
      <c r="H1106" s="19">
        <v>61.5</v>
      </c>
      <c r="I1106" s="41">
        <v>3259.5</v>
      </c>
      <c r="J1106" s="42"/>
      <c r="K1106" s="44"/>
      <c r="L1106" s="19"/>
      <c r="M1106" s="44"/>
      <c r="N1106" s="45"/>
      <c r="O1106" s="46">
        <f t="shared" si="612"/>
        <v>3259.5</v>
      </c>
      <c r="P1106" s="51"/>
      <c r="Q1106" s="51"/>
      <c r="R1106" s="73">
        <f t="shared" si="613"/>
        <v>2480.62223168654</v>
      </c>
      <c r="S1106" s="73"/>
      <c r="T1106" s="73">
        <f t="shared" si="614"/>
        <v>5.68726575809199</v>
      </c>
      <c r="U1106" s="73"/>
      <c r="V1106" s="73"/>
      <c r="W1106" s="73">
        <f t="shared" si="607"/>
        <v>2486.30949744463</v>
      </c>
      <c r="X1106" s="75">
        <f t="shared" si="615"/>
        <v>54.2848381601363</v>
      </c>
      <c r="Y1106" s="75"/>
      <c r="Z1106" s="75"/>
      <c r="AA1106" s="75">
        <f t="shared" si="609"/>
        <v>54.2848381601363</v>
      </c>
      <c r="AB1106" s="84">
        <v>7.22</v>
      </c>
      <c r="AC1106" s="73">
        <f t="shared" si="605"/>
        <v>391.936531516184</v>
      </c>
      <c r="AD1106" s="73">
        <f t="shared" si="606"/>
        <v>2878.24602896082</v>
      </c>
      <c r="AE1106" s="73">
        <f t="shared" si="608"/>
        <v>381.253971039182</v>
      </c>
    </row>
    <row r="1107" customFormat="1" spans="1:31">
      <c r="A1107" s="18"/>
      <c r="B1107" s="19"/>
      <c r="C1107" s="20">
        <v>240531000015</v>
      </c>
      <c r="D1107" s="21">
        <v>45447</v>
      </c>
      <c r="E1107" s="21" t="s">
        <v>41</v>
      </c>
      <c r="F1107" s="19" t="s">
        <v>42</v>
      </c>
      <c r="G1107" s="19" t="s">
        <v>174</v>
      </c>
      <c r="H1107" s="19">
        <v>2.5</v>
      </c>
      <c r="I1107" s="41">
        <v>148</v>
      </c>
      <c r="J1107" s="42"/>
      <c r="K1107" s="44"/>
      <c r="L1107" s="19"/>
      <c r="M1107" s="44"/>
      <c r="N1107" s="45"/>
      <c r="O1107" s="46">
        <f t="shared" si="612"/>
        <v>148</v>
      </c>
      <c r="P1107" s="51"/>
      <c r="Q1107" s="51"/>
      <c r="R1107" s="73">
        <f t="shared" si="613"/>
        <v>100.838302101079</v>
      </c>
      <c r="S1107" s="73"/>
      <c r="T1107" s="73">
        <f t="shared" si="614"/>
        <v>0.231189664963089</v>
      </c>
      <c r="U1107" s="73"/>
      <c r="V1107" s="73"/>
      <c r="W1107" s="73">
        <f t="shared" si="607"/>
        <v>101.069491766042</v>
      </c>
      <c r="X1107" s="75">
        <f t="shared" si="615"/>
        <v>2.20670073821692</v>
      </c>
      <c r="Y1107" s="75"/>
      <c r="Z1107" s="75"/>
      <c r="AA1107" s="75">
        <f t="shared" si="609"/>
        <v>2.20670073821692</v>
      </c>
      <c r="AB1107" s="84">
        <v>7.22</v>
      </c>
      <c r="AC1107" s="73">
        <f t="shared" si="605"/>
        <v>15.9323793299262</v>
      </c>
      <c r="AD1107" s="73">
        <f t="shared" si="606"/>
        <v>117.001871095968</v>
      </c>
      <c r="AE1107" s="73">
        <f t="shared" si="608"/>
        <v>30.9981289040318</v>
      </c>
    </row>
    <row r="1108" customFormat="1" spans="1:31">
      <c r="A1108" s="18"/>
      <c r="B1108" s="19"/>
      <c r="C1108" s="20">
        <v>240531000016</v>
      </c>
      <c r="D1108" s="21">
        <v>45447</v>
      </c>
      <c r="E1108" s="21" t="s">
        <v>41</v>
      </c>
      <c r="F1108" s="19" t="s">
        <v>42</v>
      </c>
      <c r="G1108" s="19" t="s">
        <v>291</v>
      </c>
      <c r="H1108" s="19">
        <v>6</v>
      </c>
      <c r="I1108" s="41">
        <v>291.5</v>
      </c>
      <c r="J1108" s="42"/>
      <c r="K1108" s="44"/>
      <c r="L1108" s="19"/>
      <c r="M1108" s="44"/>
      <c r="N1108" s="45"/>
      <c r="O1108" s="46">
        <f t="shared" si="612"/>
        <v>291.5</v>
      </c>
      <c r="P1108" s="51"/>
      <c r="Q1108" s="51"/>
      <c r="R1108" s="73">
        <f t="shared" si="613"/>
        <v>242.011925042589</v>
      </c>
      <c r="S1108" s="73"/>
      <c r="T1108" s="73">
        <f t="shared" si="614"/>
        <v>0.554855195911414</v>
      </c>
      <c r="U1108" s="73"/>
      <c r="V1108" s="73"/>
      <c r="W1108" s="73">
        <f t="shared" si="607"/>
        <v>242.566780238501</v>
      </c>
      <c r="X1108" s="75">
        <f t="shared" si="615"/>
        <v>5.29608177172061</v>
      </c>
      <c r="Y1108" s="75"/>
      <c r="Z1108" s="75"/>
      <c r="AA1108" s="75">
        <f t="shared" si="609"/>
        <v>5.29608177172061</v>
      </c>
      <c r="AB1108" s="84">
        <v>7.22</v>
      </c>
      <c r="AC1108" s="73">
        <f t="shared" si="605"/>
        <v>38.2377103918228</v>
      </c>
      <c r="AD1108" s="73">
        <f t="shared" si="606"/>
        <v>280.804490630324</v>
      </c>
      <c r="AE1108" s="73">
        <f t="shared" si="608"/>
        <v>10.6955093696763</v>
      </c>
    </row>
    <row r="1109" customFormat="1" spans="1:31">
      <c r="A1109" s="18"/>
      <c r="B1109" s="19"/>
      <c r="C1109" s="20">
        <v>240531000021</v>
      </c>
      <c r="D1109" s="21">
        <v>45447</v>
      </c>
      <c r="E1109" s="21" t="s">
        <v>44</v>
      </c>
      <c r="F1109" s="19" t="s">
        <v>127</v>
      </c>
      <c r="G1109" s="19" t="s">
        <v>128</v>
      </c>
      <c r="H1109" s="19">
        <v>12</v>
      </c>
      <c r="I1109" s="41">
        <v>986</v>
      </c>
      <c r="J1109" s="42"/>
      <c r="K1109" s="44"/>
      <c r="L1109" s="19"/>
      <c r="M1109" s="44"/>
      <c r="N1109" s="45"/>
      <c r="O1109" s="46">
        <f t="shared" si="612"/>
        <v>986</v>
      </c>
      <c r="P1109" s="51"/>
      <c r="Q1109" s="51"/>
      <c r="R1109" s="73">
        <f t="shared" si="613"/>
        <v>484.023850085179</v>
      </c>
      <c r="S1109" s="73"/>
      <c r="T1109" s="73">
        <f t="shared" si="614"/>
        <v>1.10971039182283</v>
      </c>
      <c r="U1109" s="73"/>
      <c r="V1109" s="73"/>
      <c r="W1109" s="73">
        <f t="shared" si="607"/>
        <v>485.133560477002</v>
      </c>
      <c r="X1109" s="75">
        <f t="shared" si="615"/>
        <v>10.5921635434412</v>
      </c>
      <c r="Y1109" s="75"/>
      <c r="Z1109" s="75"/>
      <c r="AA1109" s="75">
        <f t="shared" si="609"/>
        <v>10.5921635434412</v>
      </c>
      <c r="AB1109" s="84">
        <v>7.22</v>
      </c>
      <c r="AC1109" s="73">
        <f t="shared" si="605"/>
        <v>76.4754207836457</v>
      </c>
      <c r="AD1109" s="73">
        <f t="shared" si="606"/>
        <v>561.608981260647</v>
      </c>
      <c r="AE1109" s="73">
        <f t="shared" si="608"/>
        <v>424.391018739353</v>
      </c>
    </row>
    <row r="1110" customFormat="1" spans="1:31">
      <c r="A1110" s="18"/>
      <c r="B1110" s="19"/>
      <c r="C1110" s="20">
        <v>240531000022</v>
      </c>
      <c r="D1110" s="21">
        <v>45447</v>
      </c>
      <c r="E1110" s="21" t="s">
        <v>54</v>
      </c>
      <c r="F1110" s="19" t="s">
        <v>539</v>
      </c>
      <c r="G1110" s="19" t="s">
        <v>540</v>
      </c>
      <c r="H1110" s="19">
        <v>27</v>
      </c>
      <c r="I1110" s="41">
        <v>1575</v>
      </c>
      <c r="J1110" s="42"/>
      <c r="K1110" s="44"/>
      <c r="L1110" s="19"/>
      <c r="M1110" s="44"/>
      <c r="N1110" s="45"/>
      <c r="O1110" s="46">
        <f t="shared" si="612"/>
        <v>1575</v>
      </c>
      <c r="P1110" s="51"/>
      <c r="Q1110" s="51"/>
      <c r="R1110" s="73">
        <f t="shared" si="613"/>
        <v>1089.05366269165</v>
      </c>
      <c r="S1110" s="73"/>
      <c r="T1110" s="73">
        <f t="shared" si="614"/>
        <v>2.49684838160136</v>
      </c>
      <c r="U1110" s="73"/>
      <c r="V1110" s="73"/>
      <c r="W1110" s="73">
        <f t="shared" si="607"/>
        <v>1091.55051107325</v>
      </c>
      <c r="X1110" s="75">
        <f t="shared" si="615"/>
        <v>23.8323679727428</v>
      </c>
      <c r="Y1110" s="75"/>
      <c r="Z1110" s="75"/>
      <c r="AA1110" s="75">
        <f t="shared" si="609"/>
        <v>23.8323679727428</v>
      </c>
      <c r="AB1110" s="84">
        <v>7.22</v>
      </c>
      <c r="AC1110" s="73">
        <f t="shared" si="605"/>
        <v>172.069696763203</v>
      </c>
      <c r="AD1110" s="73">
        <f t="shared" si="606"/>
        <v>1263.62020783646</v>
      </c>
      <c r="AE1110" s="73">
        <f t="shared" si="608"/>
        <v>311.379792163543</v>
      </c>
    </row>
    <row r="1111" customFormat="1" spans="1:31">
      <c r="A1111" s="18"/>
      <c r="B1111" s="19"/>
      <c r="C1111" s="20">
        <v>240531000026</v>
      </c>
      <c r="D1111" s="21">
        <v>45447</v>
      </c>
      <c r="E1111" s="21" t="s">
        <v>41</v>
      </c>
      <c r="F1111" s="19" t="s">
        <v>42</v>
      </c>
      <c r="G1111" s="19" t="s">
        <v>624</v>
      </c>
      <c r="H1111" s="19">
        <v>1.5</v>
      </c>
      <c r="I1111" s="41">
        <v>99</v>
      </c>
      <c r="J1111" s="42"/>
      <c r="K1111" s="44"/>
      <c r="L1111" s="19"/>
      <c r="M1111" s="44"/>
      <c r="N1111" s="45"/>
      <c r="O1111" s="46">
        <f t="shared" si="612"/>
        <v>99</v>
      </c>
      <c r="P1111" s="51"/>
      <c r="Q1111" s="51"/>
      <c r="R1111" s="73">
        <f t="shared" si="613"/>
        <v>60.5029812606474</v>
      </c>
      <c r="S1111" s="73"/>
      <c r="T1111" s="73">
        <f t="shared" si="614"/>
        <v>0.138713798977853</v>
      </c>
      <c r="U1111" s="73"/>
      <c r="V1111" s="73"/>
      <c r="W1111" s="73">
        <f t="shared" si="607"/>
        <v>60.6416950596252</v>
      </c>
      <c r="X1111" s="75">
        <f t="shared" si="615"/>
        <v>1.32402044293015</v>
      </c>
      <c r="Y1111" s="75"/>
      <c r="Z1111" s="75"/>
      <c r="AA1111" s="75">
        <f t="shared" si="609"/>
        <v>1.32402044293015</v>
      </c>
      <c r="AB1111" s="84">
        <v>7.22</v>
      </c>
      <c r="AC1111" s="73">
        <f t="shared" si="605"/>
        <v>9.55942759795571</v>
      </c>
      <c r="AD1111" s="73">
        <f t="shared" si="606"/>
        <v>70.2011226575809</v>
      </c>
      <c r="AE1111" s="73">
        <f t="shared" si="608"/>
        <v>28.7988773424191</v>
      </c>
    </row>
    <row r="1112" customFormat="1" spans="1:31">
      <c r="A1112" s="18"/>
      <c r="B1112" s="19"/>
      <c r="C1112" s="20">
        <v>240531000029</v>
      </c>
      <c r="D1112" s="21">
        <v>45447</v>
      </c>
      <c r="E1112" s="21" t="s">
        <v>41</v>
      </c>
      <c r="F1112" s="19" t="s">
        <v>42</v>
      </c>
      <c r="G1112" s="19" t="s">
        <v>147</v>
      </c>
      <c r="H1112" s="19">
        <v>97</v>
      </c>
      <c r="I1112" s="52"/>
      <c r="J1112" s="48">
        <v>1178508</v>
      </c>
      <c r="K1112" s="19"/>
      <c r="L1112" s="49">
        <f>SUM(J1112/M1112)</f>
        <v>1573.967278798</v>
      </c>
      <c r="M1112" s="50">
        <v>748.75</v>
      </c>
      <c r="N1112" s="45">
        <v>7.22</v>
      </c>
      <c r="O1112" s="52">
        <f>SUM(M1112*N1112)</f>
        <v>5405.975</v>
      </c>
      <c r="P1112" s="51"/>
      <c r="Q1112" s="51"/>
      <c r="R1112" s="73">
        <f t="shared" si="613"/>
        <v>3912.52612152186</v>
      </c>
      <c r="S1112" s="73"/>
      <c r="T1112" s="73">
        <f t="shared" si="614"/>
        <v>8.97015900056786</v>
      </c>
      <c r="U1112" s="73"/>
      <c r="V1112" s="74">
        <v>260</v>
      </c>
      <c r="W1112" s="73">
        <f t="shared" si="607"/>
        <v>4181.49628052243</v>
      </c>
      <c r="X1112" s="75">
        <f t="shared" si="615"/>
        <v>85.6199886428166</v>
      </c>
      <c r="Y1112" s="75"/>
      <c r="Z1112" s="75"/>
      <c r="AA1112" s="75">
        <f t="shared" si="609"/>
        <v>85.6199886428166</v>
      </c>
      <c r="AB1112" s="84">
        <v>7.22</v>
      </c>
      <c r="AC1112" s="73">
        <f t="shared" si="605"/>
        <v>618.176318001136</v>
      </c>
      <c r="AD1112" s="73">
        <f t="shared" si="606"/>
        <v>4799.67259852357</v>
      </c>
      <c r="AE1112" s="73">
        <f t="shared" si="608"/>
        <v>606.302401476434</v>
      </c>
    </row>
    <row r="1113" customFormat="1" spans="1:31">
      <c r="A1113" s="18"/>
      <c r="B1113" s="19"/>
      <c r="C1113" s="22">
        <v>240531000033</v>
      </c>
      <c r="D1113" s="23">
        <v>45447</v>
      </c>
      <c r="E1113" s="21" t="s">
        <v>41</v>
      </c>
      <c r="F1113" s="24" t="s">
        <v>42</v>
      </c>
      <c r="G1113" s="24" t="s">
        <v>369</v>
      </c>
      <c r="H1113" s="24">
        <v>10.5</v>
      </c>
      <c r="I1113" s="52"/>
      <c r="J1113" s="48">
        <v>115195</v>
      </c>
      <c r="K1113" s="44"/>
      <c r="L1113" s="49">
        <f>SUM(J1113/M1113)</f>
        <v>1494.6801608927</v>
      </c>
      <c r="M1113" s="50">
        <v>77.07</v>
      </c>
      <c r="N1113" s="45">
        <v>7.22</v>
      </c>
      <c r="O1113" s="46">
        <f t="shared" ref="O1113:O1119" si="616">SUM(M1113*N1113)</f>
        <v>556.4454</v>
      </c>
      <c r="P1113" s="51"/>
      <c r="Q1113" s="51"/>
      <c r="R1113" s="73">
        <f t="shared" si="613"/>
        <v>423.520868824531</v>
      </c>
      <c r="S1113" s="73"/>
      <c r="T1113" s="73">
        <f t="shared" si="614"/>
        <v>0.970996592844974</v>
      </c>
      <c r="U1113" s="73"/>
      <c r="V1113" s="73"/>
      <c r="W1113" s="73">
        <f t="shared" si="607"/>
        <v>424.491865417376</v>
      </c>
      <c r="X1113" s="75">
        <f t="shared" si="615"/>
        <v>9.26814310051107</v>
      </c>
      <c r="Y1113" s="75"/>
      <c r="Z1113" s="75"/>
      <c r="AA1113" s="75">
        <f t="shared" si="609"/>
        <v>9.26814310051107</v>
      </c>
      <c r="AB1113" s="84">
        <v>7.22</v>
      </c>
      <c r="AC1113" s="73">
        <f t="shared" si="605"/>
        <v>66.9159931856899</v>
      </c>
      <c r="AD1113" s="73">
        <f t="shared" si="606"/>
        <v>491.407858603066</v>
      </c>
      <c r="AE1113" s="73">
        <f t="shared" si="608"/>
        <v>65.0375413969335</v>
      </c>
    </row>
    <row r="1114" customFormat="1" spans="1:31">
      <c r="A1114" s="18"/>
      <c r="B1114" s="19"/>
      <c r="C1114" s="20">
        <v>240531000034</v>
      </c>
      <c r="D1114" s="21">
        <v>45447</v>
      </c>
      <c r="E1114" s="21" t="s">
        <v>44</v>
      </c>
      <c r="F1114" s="19" t="s">
        <v>45</v>
      </c>
      <c r="G1114" s="19" t="s">
        <v>365</v>
      </c>
      <c r="H1114" s="19">
        <v>10</v>
      </c>
      <c r="I1114" s="41">
        <v>556</v>
      </c>
      <c r="J1114" s="42"/>
      <c r="K1114" s="44"/>
      <c r="L1114" s="19"/>
      <c r="M1114" s="44"/>
      <c r="N1114" s="45"/>
      <c r="O1114" s="46">
        <f>SUM(I1114)</f>
        <v>556</v>
      </c>
      <c r="P1114" s="51"/>
      <c r="Q1114" s="51"/>
      <c r="R1114" s="73">
        <f t="shared" si="613"/>
        <v>403.353208404316</v>
      </c>
      <c r="S1114" s="73"/>
      <c r="T1114" s="73">
        <f t="shared" si="614"/>
        <v>0.924758659852357</v>
      </c>
      <c r="U1114" s="73"/>
      <c r="V1114" s="73"/>
      <c r="W1114" s="73">
        <f t="shared" si="607"/>
        <v>404.277967064168</v>
      </c>
      <c r="X1114" s="75">
        <f t="shared" si="615"/>
        <v>8.82680295286769</v>
      </c>
      <c r="Y1114" s="75"/>
      <c r="Z1114" s="75"/>
      <c r="AA1114" s="75">
        <f t="shared" si="609"/>
        <v>8.82680295286769</v>
      </c>
      <c r="AB1114" s="84">
        <v>7.22</v>
      </c>
      <c r="AC1114" s="73">
        <f t="shared" si="605"/>
        <v>63.7295173197047</v>
      </c>
      <c r="AD1114" s="73">
        <f t="shared" si="606"/>
        <v>468.007484383873</v>
      </c>
      <c r="AE1114" s="73">
        <f t="shared" si="608"/>
        <v>87.9925156161273</v>
      </c>
    </row>
    <row r="1115" customFormat="1" spans="1:31">
      <c r="A1115" s="18"/>
      <c r="B1115" s="19"/>
      <c r="C1115" s="20">
        <v>240531000035</v>
      </c>
      <c r="D1115" s="21">
        <v>45447</v>
      </c>
      <c r="E1115" s="21" t="s">
        <v>37</v>
      </c>
      <c r="F1115" s="19" t="s">
        <v>38</v>
      </c>
      <c r="G1115" s="19" t="s">
        <v>170</v>
      </c>
      <c r="H1115" s="19">
        <v>4.5</v>
      </c>
      <c r="I1115" s="46"/>
      <c r="J1115" s="48">
        <v>50016.6</v>
      </c>
      <c r="K1115" s="44"/>
      <c r="L1115" s="49">
        <f>SUM(J1115/M1115)</f>
        <v>1502</v>
      </c>
      <c r="M1115" s="50">
        <v>33.3</v>
      </c>
      <c r="N1115" s="45">
        <v>7.22</v>
      </c>
      <c r="O1115" s="46">
        <f t="shared" si="616"/>
        <v>240.426</v>
      </c>
      <c r="P1115" s="51"/>
      <c r="Q1115" s="51"/>
      <c r="R1115" s="73">
        <f t="shared" si="613"/>
        <v>181.508943781942</v>
      </c>
      <c r="S1115" s="73"/>
      <c r="T1115" s="73">
        <f t="shared" si="614"/>
        <v>0.41614139693356</v>
      </c>
      <c r="U1115" s="73"/>
      <c r="V1115" s="73"/>
      <c r="W1115" s="73">
        <f t="shared" si="607"/>
        <v>181.925085178876</v>
      </c>
      <c r="X1115" s="75">
        <f t="shared" si="615"/>
        <v>3.97206132879046</v>
      </c>
      <c r="Y1115" s="75"/>
      <c r="Z1115" s="75"/>
      <c r="AA1115" s="75">
        <f t="shared" si="609"/>
        <v>3.97206132879046</v>
      </c>
      <c r="AB1115" s="84">
        <v>7.22</v>
      </c>
      <c r="AC1115" s="73">
        <f t="shared" si="605"/>
        <v>28.6782827938671</v>
      </c>
      <c r="AD1115" s="73">
        <f t="shared" si="606"/>
        <v>210.603367972743</v>
      </c>
      <c r="AE1115" s="73">
        <f t="shared" si="608"/>
        <v>29.8226320272572</v>
      </c>
    </row>
    <row r="1116" customFormat="1" spans="1:31">
      <c r="A1116" s="18"/>
      <c r="B1116" s="19"/>
      <c r="C1116" s="20">
        <v>240531000036</v>
      </c>
      <c r="D1116" s="21">
        <v>45447</v>
      </c>
      <c r="E1116" s="21" t="s">
        <v>44</v>
      </c>
      <c r="F1116" s="19" t="s">
        <v>127</v>
      </c>
      <c r="G1116" s="19" t="s">
        <v>128</v>
      </c>
      <c r="H1116" s="19">
        <v>5</v>
      </c>
      <c r="I1116" s="41">
        <v>610</v>
      </c>
      <c r="J1116" s="42"/>
      <c r="K1116" s="44"/>
      <c r="L1116" s="19"/>
      <c r="M1116" s="44"/>
      <c r="N1116" s="45"/>
      <c r="O1116" s="46">
        <f>SUM(I1116)</f>
        <v>610</v>
      </c>
      <c r="P1116" s="51"/>
      <c r="Q1116" s="51"/>
      <c r="R1116" s="73">
        <f t="shared" si="613"/>
        <v>201.676604202158</v>
      </c>
      <c r="S1116" s="73"/>
      <c r="T1116" s="73">
        <f t="shared" si="614"/>
        <v>0.462379329926178</v>
      </c>
      <c r="U1116" s="73"/>
      <c r="V1116" s="73"/>
      <c r="W1116" s="73">
        <f t="shared" si="607"/>
        <v>202.138983532084</v>
      </c>
      <c r="X1116" s="75">
        <f t="shared" si="615"/>
        <v>4.41340147643384</v>
      </c>
      <c r="Y1116" s="75"/>
      <c r="Z1116" s="75"/>
      <c r="AA1116" s="75">
        <f t="shared" si="609"/>
        <v>4.41340147643384</v>
      </c>
      <c r="AB1116" s="84">
        <v>7.22</v>
      </c>
      <c r="AC1116" s="73">
        <f t="shared" si="605"/>
        <v>31.8647586598524</v>
      </c>
      <c r="AD1116" s="73">
        <f t="shared" si="606"/>
        <v>234.003742191936</v>
      </c>
      <c r="AE1116" s="73">
        <f t="shared" si="608"/>
        <v>375.996257808064</v>
      </c>
    </row>
    <row r="1117" customFormat="1" spans="1:31">
      <c r="A1117" s="18"/>
      <c r="B1117" s="19"/>
      <c r="C1117" s="20">
        <v>240531000039</v>
      </c>
      <c r="D1117" s="21">
        <v>45447</v>
      </c>
      <c r="E1117" s="21" t="s">
        <v>37</v>
      </c>
      <c r="F1117" s="19" t="s">
        <v>38</v>
      </c>
      <c r="G1117" s="19" t="s">
        <v>132</v>
      </c>
      <c r="H1117" s="19">
        <v>54.5</v>
      </c>
      <c r="I1117" s="46"/>
      <c r="J1117" s="48">
        <v>607559</v>
      </c>
      <c r="K1117" s="44"/>
      <c r="L1117" s="49">
        <f>SUM(J1117/M1117)</f>
        <v>1502</v>
      </c>
      <c r="M1117" s="50">
        <v>404.5</v>
      </c>
      <c r="N1117" s="45">
        <v>7.22</v>
      </c>
      <c r="O1117" s="46">
        <f t="shared" si="616"/>
        <v>2920.49</v>
      </c>
      <c r="P1117" s="51"/>
      <c r="Q1117" s="51"/>
      <c r="R1117" s="73">
        <f t="shared" si="613"/>
        <v>2198.27498580352</v>
      </c>
      <c r="S1117" s="73"/>
      <c r="T1117" s="73">
        <f t="shared" si="614"/>
        <v>5.03993469619534</v>
      </c>
      <c r="U1117" s="73"/>
      <c r="V1117" s="73"/>
      <c r="W1117" s="73">
        <f t="shared" si="607"/>
        <v>2203.31492049972</v>
      </c>
      <c r="X1117" s="75">
        <f t="shared" si="615"/>
        <v>48.1060760931289</v>
      </c>
      <c r="Y1117" s="75"/>
      <c r="Z1117" s="75"/>
      <c r="AA1117" s="75">
        <f t="shared" si="609"/>
        <v>48.1060760931289</v>
      </c>
      <c r="AB1117" s="84">
        <v>7.22</v>
      </c>
      <c r="AC1117" s="73">
        <f t="shared" si="605"/>
        <v>347.325869392391</v>
      </c>
      <c r="AD1117" s="73">
        <f t="shared" si="606"/>
        <v>2550.64078989211</v>
      </c>
      <c r="AE1117" s="73">
        <f t="shared" si="608"/>
        <v>369.849210107893</v>
      </c>
    </row>
    <row r="1118" customFormat="1" spans="1:31">
      <c r="A1118" s="18"/>
      <c r="B1118" s="19"/>
      <c r="C1118" s="20">
        <v>240531000040</v>
      </c>
      <c r="D1118" s="21">
        <v>45447</v>
      </c>
      <c r="E1118" s="21" t="s">
        <v>44</v>
      </c>
      <c r="F1118" s="19" t="s">
        <v>45</v>
      </c>
      <c r="G1118" s="19" t="s">
        <v>625</v>
      </c>
      <c r="H1118" s="19">
        <v>6.5</v>
      </c>
      <c r="I1118" s="52"/>
      <c r="J1118" s="48">
        <v>84195</v>
      </c>
      <c r="K1118" s="44"/>
      <c r="L1118" s="49">
        <f t="shared" ref="L1118:L1124" si="617">SUM(J1118/M1118)</f>
        <v>1494.93963068182</v>
      </c>
      <c r="M1118" s="50">
        <v>56.32</v>
      </c>
      <c r="N1118" s="45">
        <v>7.22</v>
      </c>
      <c r="O1118" s="46">
        <f t="shared" si="616"/>
        <v>406.6304</v>
      </c>
      <c r="P1118" s="51"/>
      <c r="Q1118" s="51"/>
      <c r="R1118" s="73">
        <f t="shared" si="613"/>
        <v>262.179585462805</v>
      </c>
      <c r="S1118" s="73"/>
      <c r="T1118" s="73">
        <f t="shared" si="614"/>
        <v>0.601093128904032</v>
      </c>
      <c r="U1118" s="73"/>
      <c r="V1118" s="73"/>
      <c r="W1118" s="73">
        <f t="shared" si="607"/>
        <v>262.780678591709</v>
      </c>
      <c r="X1118" s="75">
        <f t="shared" si="615"/>
        <v>5.737421919364</v>
      </c>
      <c r="Y1118" s="75"/>
      <c r="Z1118" s="75"/>
      <c r="AA1118" s="75">
        <f t="shared" si="609"/>
        <v>5.737421919364</v>
      </c>
      <c r="AB1118" s="84">
        <v>7.22</v>
      </c>
      <c r="AC1118" s="73">
        <f t="shared" si="605"/>
        <v>41.4241862578081</v>
      </c>
      <c r="AD1118" s="73">
        <f t="shared" si="606"/>
        <v>304.204864849517</v>
      </c>
      <c r="AE1118" s="73">
        <f t="shared" si="608"/>
        <v>102.425535150483</v>
      </c>
    </row>
    <row r="1119" customFormat="1" spans="1:31">
      <c r="A1119" s="18"/>
      <c r="B1119" s="19"/>
      <c r="C1119" s="20">
        <v>240531000046</v>
      </c>
      <c r="D1119" s="21">
        <v>45447</v>
      </c>
      <c r="E1119" s="21" t="s">
        <v>47</v>
      </c>
      <c r="F1119" s="19" t="s">
        <v>48</v>
      </c>
      <c r="G1119" s="19" t="s">
        <v>342</v>
      </c>
      <c r="H1119" s="19">
        <v>10.5</v>
      </c>
      <c r="I1119" s="46"/>
      <c r="J1119" s="48">
        <v>137196.6</v>
      </c>
      <c r="K1119" s="44"/>
      <c r="L1119" s="49">
        <f t="shared" si="617"/>
        <v>1506</v>
      </c>
      <c r="M1119" s="50">
        <v>91.1</v>
      </c>
      <c r="N1119" s="45">
        <v>7.22</v>
      </c>
      <c r="O1119" s="46">
        <f t="shared" si="616"/>
        <v>657.742</v>
      </c>
      <c r="P1119" s="51"/>
      <c r="Q1119" s="51"/>
      <c r="R1119" s="73">
        <f t="shared" si="613"/>
        <v>423.520868824531</v>
      </c>
      <c r="S1119" s="73"/>
      <c r="T1119" s="73">
        <f t="shared" si="614"/>
        <v>0.970996592844974</v>
      </c>
      <c r="U1119" s="73"/>
      <c r="V1119" s="73"/>
      <c r="W1119" s="73">
        <f t="shared" si="607"/>
        <v>424.491865417376</v>
      </c>
      <c r="X1119" s="75">
        <f t="shared" si="615"/>
        <v>9.26814310051107</v>
      </c>
      <c r="Y1119" s="75"/>
      <c r="Z1119" s="75"/>
      <c r="AA1119" s="75">
        <f t="shared" si="609"/>
        <v>9.26814310051107</v>
      </c>
      <c r="AB1119" s="84">
        <v>7.22</v>
      </c>
      <c r="AC1119" s="73">
        <f t="shared" si="605"/>
        <v>66.9159931856899</v>
      </c>
      <c r="AD1119" s="73">
        <f t="shared" si="606"/>
        <v>491.407858603066</v>
      </c>
      <c r="AE1119" s="73">
        <f t="shared" si="608"/>
        <v>166.334141396934</v>
      </c>
    </row>
    <row r="1120" customFormat="1" spans="1:31">
      <c r="A1120" s="18"/>
      <c r="B1120" s="19"/>
      <c r="C1120" s="20">
        <v>240531000047</v>
      </c>
      <c r="D1120" s="21">
        <v>45447</v>
      </c>
      <c r="E1120" s="21" t="s">
        <v>54</v>
      </c>
      <c r="F1120" s="19" t="s">
        <v>54</v>
      </c>
      <c r="G1120" s="19" t="s">
        <v>116</v>
      </c>
      <c r="H1120" s="19">
        <v>349</v>
      </c>
      <c r="I1120" s="41">
        <v>18148</v>
      </c>
      <c r="J1120" s="42"/>
      <c r="K1120" s="44"/>
      <c r="L1120" s="19"/>
      <c r="M1120" s="44"/>
      <c r="N1120" s="45"/>
      <c r="O1120" s="46">
        <f t="shared" ref="O1120:O1123" si="618">SUM(I1120)</f>
        <v>18148</v>
      </c>
      <c r="P1120" s="51"/>
      <c r="Q1120" s="51"/>
      <c r="R1120" s="73">
        <f t="shared" si="613"/>
        <v>14077.0269733106</v>
      </c>
      <c r="S1120" s="73"/>
      <c r="T1120" s="73">
        <f t="shared" si="614"/>
        <v>32.2740772288472</v>
      </c>
      <c r="U1120" s="73"/>
      <c r="V1120" s="73"/>
      <c r="W1120" s="73">
        <f t="shared" si="607"/>
        <v>14109.3010505395</v>
      </c>
      <c r="X1120" s="75">
        <f t="shared" si="615"/>
        <v>308.055423055082</v>
      </c>
      <c r="Y1120" s="75"/>
      <c r="Z1120" s="75"/>
      <c r="AA1120" s="75">
        <f t="shared" si="609"/>
        <v>308.055423055082</v>
      </c>
      <c r="AB1120" s="84">
        <v>7.22</v>
      </c>
      <c r="AC1120" s="73">
        <f t="shared" si="605"/>
        <v>2224.16015445769</v>
      </c>
      <c r="AD1120" s="73">
        <f t="shared" si="606"/>
        <v>16333.4612049972</v>
      </c>
      <c r="AE1120" s="73">
        <f t="shared" si="608"/>
        <v>1814.53879500284</v>
      </c>
    </row>
    <row r="1121" customFormat="1" spans="1:31">
      <c r="A1121" s="18"/>
      <c r="B1121" s="19"/>
      <c r="C1121" s="20">
        <v>240531000048</v>
      </c>
      <c r="D1121" s="21">
        <v>45447</v>
      </c>
      <c r="E1121" s="21" t="s">
        <v>41</v>
      </c>
      <c r="F1121" s="19" t="s">
        <v>42</v>
      </c>
      <c r="G1121" s="19" t="s">
        <v>626</v>
      </c>
      <c r="H1121" s="19">
        <v>71</v>
      </c>
      <c r="I1121" s="52"/>
      <c r="J1121" s="48">
        <v>845514.27</v>
      </c>
      <c r="K1121" s="44"/>
      <c r="L1121" s="49">
        <f t="shared" si="617"/>
        <v>1494.55441641773</v>
      </c>
      <c r="M1121" s="50">
        <v>565.73</v>
      </c>
      <c r="N1121" s="45">
        <v>7.22</v>
      </c>
      <c r="O1121" s="52">
        <f>SUM(M1121*N1121)</f>
        <v>4084.5706</v>
      </c>
      <c r="P1121" s="51"/>
      <c r="Q1121" s="51"/>
      <c r="R1121" s="73">
        <f t="shared" si="613"/>
        <v>2863.80777967064</v>
      </c>
      <c r="S1121" s="73"/>
      <c r="T1121" s="73">
        <f t="shared" si="614"/>
        <v>6.56578648495173</v>
      </c>
      <c r="U1121" s="73"/>
      <c r="V1121" s="74">
        <v>321.61</v>
      </c>
      <c r="W1121" s="73">
        <f t="shared" si="607"/>
        <v>3191.98356615559</v>
      </c>
      <c r="X1121" s="75">
        <f t="shared" si="615"/>
        <v>62.6703009653606</v>
      </c>
      <c r="Y1121" s="75"/>
      <c r="Z1121" s="75"/>
      <c r="AA1121" s="75">
        <f t="shared" si="609"/>
        <v>62.6703009653606</v>
      </c>
      <c r="AB1121" s="84">
        <v>7.22</v>
      </c>
      <c r="AC1121" s="73">
        <f t="shared" si="605"/>
        <v>452.479572969903</v>
      </c>
      <c r="AD1121" s="73">
        <f t="shared" si="606"/>
        <v>3644.4631391255</v>
      </c>
      <c r="AE1121" s="73">
        <f t="shared" si="608"/>
        <v>440.107460874503</v>
      </c>
    </row>
    <row r="1122" customFormat="1" spans="1:31">
      <c r="A1122" s="18"/>
      <c r="B1122" s="19"/>
      <c r="C1122" s="20">
        <v>240601000004</v>
      </c>
      <c r="D1122" s="21">
        <v>45447</v>
      </c>
      <c r="E1122" s="21" t="s">
        <v>41</v>
      </c>
      <c r="F1122" s="19" t="s">
        <v>42</v>
      </c>
      <c r="G1122" s="19" t="s">
        <v>149</v>
      </c>
      <c r="H1122" s="19">
        <v>434</v>
      </c>
      <c r="I1122" s="41">
        <v>23192</v>
      </c>
      <c r="J1122" s="42"/>
      <c r="K1122" s="44"/>
      <c r="L1122" s="19"/>
      <c r="M1122" s="44"/>
      <c r="N1122" s="45"/>
      <c r="O1122" s="46">
        <f t="shared" si="618"/>
        <v>23192</v>
      </c>
      <c r="P1122" s="51"/>
      <c r="Q1122" s="51"/>
      <c r="R1122" s="73">
        <f t="shared" si="613"/>
        <v>17505.5292447473</v>
      </c>
      <c r="S1122" s="73"/>
      <c r="T1122" s="73">
        <f t="shared" si="614"/>
        <v>40.1345258375923</v>
      </c>
      <c r="U1122" s="74">
        <f>SUM(120+70)</f>
        <v>190</v>
      </c>
      <c r="V1122" s="73"/>
      <c r="W1122" s="73">
        <f t="shared" si="607"/>
        <v>17735.6637705849</v>
      </c>
      <c r="X1122" s="75">
        <f t="shared" si="615"/>
        <v>383.083248154458</v>
      </c>
      <c r="Y1122" s="75"/>
      <c r="Z1122" s="75"/>
      <c r="AA1122" s="75">
        <f t="shared" si="609"/>
        <v>383.083248154458</v>
      </c>
      <c r="AB1122" s="84">
        <v>7.22</v>
      </c>
      <c r="AC1122" s="73">
        <f t="shared" si="605"/>
        <v>2765.86105167518</v>
      </c>
      <c r="AD1122" s="73">
        <f t="shared" si="606"/>
        <v>20501.5248222601</v>
      </c>
      <c r="AE1122" s="73">
        <f t="shared" si="608"/>
        <v>2690.47517773993</v>
      </c>
    </row>
    <row r="1123" customFormat="1" spans="1:31">
      <c r="A1123" s="18"/>
      <c r="B1123" s="19"/>
      <c r="C1123" s="20">
        <v>240601000008</v>
      </c>
      <c r="D1123" s="21">
        <v>45447</v>
      </c>
      <c r="E1123" s="21" t="s">
        <v>41</v>
      </c>
      <c r="F1123" s="19" t="s">
        <v>42</v>
      </c>
      <c r="G1123" s="19" t="s">
        <v>147</v>
      </c>
      <c r="H1123" s="19">
        <v>10.5</v>
      </c>
      <c r="I1123" s="52"/>
      <c r="J1123" s="48">
        <v>121317</v>
      </c>
      <c r="K1123" s="44"/>
      <c r="L1123" s="49">
        <f t="shared" si="617"/>
        <v>1574.11444141689</v>
      </c>
      <c r="M1123" s="50">
        <v>77.07</v>
      </c>
      <c r="N1123" s="45">
        <v>7.22</v>
      </c>
      <c r="O1123" s="46">
        <f>SUM(M1123*N1123)</f>
        <v>556.4454</v>
      </c>
      <c r="P1123" s="51"/>
      <c r="Q1123" s="51"/>
      <c r="R1123" s="73">
        <f t="shared" si="613"/>
        <v>423.520868824531</v>
      </c>
      <c r="S1123" s="73"/>
      <c r="T1123" s="73">
        <f t="shared" si="614"/>
        <v>0.970996592844974</v>
      </c>
      <c r="U1123" s="73"/>
      <c r="V1123" s="73"/>
      <c r="W1123" s="73">
        <f t="shared" si="607"/>
        <v>424.491865417376</v>
      </c>
      <c r="X1123" s="75">
        <f t="shared" si="615"/>
        <v>9.26814310051107</v>
      </c>
      <c r="Y1123" s="75"/>
      <c r="Z1123" s="75"/>
      <c r="AA1123" s="75">
        <f t="shared" si="609"/>
        <v>9.26814310051107</v>
      </c>
      <c r="AB1123" s="84">
        <v>7.22</v>
      </c>
      <c r="AC1123" s="73">
        <f t="shared" si="605"/>
        <v>66.9159931856899</v>
      </c>
      <c r="AD1123" s="73">
        <f t="shared" si="606"/>
        <v>491.407858603066</v>
      </c>
      <c r="AE1123" s="73">
        <f t="shared" si="608"/>
        <v>65.0375413969335</v>
      </c>
    </row>
    <row r="1124" customFormat="1" spans="1:31">
      <c r="A1124" s="18"/>
      <c r="B1124" s="19"/>
      <c r="C1124" s="20">
        <v>240601000009</v>
      </c>
      <c r="D1124" s="21">
        <v>45447</v>
      </c>
      <c r="E1124" s="21" t="s">
        <v>41</v>
      </c>
      <c r="F1124" s="19" t="s">
        <v>42</v>
      </c>
      <c r="G1124" s="19" t="s">
        <v>87</v>
      </c>
      <c r="H1124" s="19">
        <v>2</v>
      </c>
      <c r="I1124" s="52"/>
      <c r="J1124" s="48">
        <v>22260</v>
      </c>
      <c r="K1124" s="44"/>
      <c r="L1124" s="49">
        <f t="shared" si="617"/>
        <v>1516.34877384196</v>
      </c>
      <c r="M1124" s="50">
        <v>14.68</v>
      </c>
      <c r="N1124" s="45">
        <v>7.22</v>
      </c>
      <c r="O1124" s="46">
        <f>SUM(M1124*N1124)</f>
        <v>105.9896</v>
      </c>
      <c r="P1124" s="51"/>
      <c r="Q1124" s="51"/>
      <c r="R1124" s="73">
        <f t="shared" si="613"/>
        <v>80.6706416808631</v>
      </c>
      <c r="S1124" s="73"/>
      <c r="T1124" s="73">
        <f t="shared" si="614"/>
        <v>0.184951731970471</v>
      </c>
      <c r="U1124" s="73"/>
      <c r="V1124" s="73"/>
      <c r="W1124" s="73">
        <f t="shared" si="607"/>
        <v>80.8555934128336</v>
      </c>
      <c r="X1124" s="75">
        <f t="shared" si="615"/>
        <v>1.76536059057354</v>
      </c>
      <c r="Y1124" s="75"/>
      <c r="Z1124" s="75"/>
      <c r="AA1124" s="75">
        <f t="shared" si="609"/>
        <v>1.76536059057354</v>
      </c>
      <c r="AB1124" s="84">
        <v>7.22</v>
      </c>
      <c r="AC1124" s="73">
        <f t="shared" si="605"/>
        <v>12.7459034639409</v>
      </c>
      <c r="AD1124" s="73">
        <f t="shared" si="606"/>
        <v>93.6014968767746</v>
      </c>
      <c r="AE1124" s="73">
        <f t="shared" ref="AE1124:AE1152" si="619">SUM(O1124-AD1124)</f>
        <v>12.3881031232254</v>
      </c>
    </row>
    <row r="1125" customFormat="1" spans="1:31">
      <c r="A1125" s="18"/>
      <c r="B1125" s="19"/>
      <c r="C1125" s="20">
        <v>240601000010</v>
      </c>
      <c r="D1125" s="21">
        <v>45447</v>
      </c>
      <c r="E1125" s="21" t="s">
        <v>54</v>
      </c>
      <c r="F1125" s="19" t="s">
        <v>54</v>
      </c>
      <c r="G1125" s="19" t="s">
        <v>627</v>
      </c>
      <c r="H1125" s="19">
        <v>738.5</v>
      </c>
      <c r="I1125" s="41">
        <v>44366</v>
      </c>
      <c r="J1125" s="42"/>
      <c r="K1125" s="44"/>
      <c r="L1125" s="19"/>
      <c r="M1125" s="44"/>
      <c r="N1125" s="45"/>
      <c r="O1125" s="46">
        <f>SUM(I1125)</f>
        <v>44366</v>
      </c>
      <c r="P1125" s="53"/>
      <c r="Q1125" s="53"/>
      <c r="R1125" s="73">
        <f t="shared" si="613"/>
        <v>29787.6344406587</v>
      </c>
      <c r="S1125" s="73"/>
      <c r="T1125" s="73">
        <f t="shared" si="614"/>
        <v>68.2934270300965</v>
      </c>
      <c r="U1125" s="73"/>
      <c r="V1125" s="73">
        <v>80</v>
      </c>
      <c r="W1125" s="73">
        <f t="shared" ref="W1125:W1152" si="620">SUM(R1125:V1125)</f>
        <v>29935.9278676888</v>
      </c>
      <c r="X1125" s="75">
        <f t="shared" si="615"/>
        <v>651.859398069279</v>
      </c>
      <c r="Y1125" s="75"/>
      <c r="Z1125" s="75"/>
      <c r="AA1125" s="75">
        <f t="shared" ref="AA1125:AA1152" si="621">SUM(X1125:Z1125)</f>
        <v>651.859398069279</v>
      </c>
      <c r="AB1125" s="84">
        <v>7.22</v>
      </c>
      <c r="AC1125" s="73">
        <f t="shared" si="605"/>
        <v>4706.42485406019</v>
      </c>
      <c r="AD1125" s="73">
        <f t="shared" ref="AD1125:AD1152" si="622">SUM(W1125+AC1125)</f>
        <v>34642.352721749</v>
      </c>
      <c r="AE1125" s="73">
        <f t="shared" si="619"/>
        <v>9723.647278251</v>
      </c>
    </row>
    <row r="1126" customFormat="1" spans="1:31">
      <c r="A1126" s="18" t="s">
        <v>628</v>
      </c>
      <c r="B1126" s="19" t="s">
        <v>629</v>
      </c>
      <c r="C1126" s="20">
        <v>240527000067</v>
      </c>
      <c r="D1126" s="21">
        <v>45448</v>
      </c>
      <c r="E1126" s="21" t="s">
        <v>41</v>
      </c>
      <c r="F1126" s="19" t="s">
        <v>42</v>
      </c>
      <c r="G1126" s="19" t="s">
        <v>198</v>
      </c>
      <c r="H1126" s="19">
        <v>14.5</v>
      </c>
      <c r="I1126" s="52"/>
      <c r="J1126" s="48">
        <v>202770</v>
      </c>
      <c r="K1126" s="44"/>
      <c r="L1126" s="49">
        <f t="shared" ref="L1126:L1129" si="623">SUM(J1126/M1126)</f>
        <v>1494.58244269183</v>
      </c>
      <c r="M1126" s="50">
        <v>135.67</v>
      </c>
      <c r="N1126" s="45">
        <v>7.22</v>
      </c>
      <c r="O1126" s="46">
        <f t="shared" ref="O1126:O1129" si="624">SUM(M1126*N1126)</f>
        <v>979.5374</v>
      </c>
      <c r="P1126" s="47">
        <f>SUM(O1126:O1152)</f>
        <v>64654.8994</v>
      </c>
      <c r="Q1126" s="47" t="s">
        <v>59</v>
      </c>
      <c r="R1126" s="73">
        <f>SUM(53824.2/1134)*H1126</f>
        <v>688.228306878307</v>
      </c>
      <c r="S1126" s="73"/>
      <c r="T1126" s="73">
        <f>SUM(120/1134)*H1126</f>
        <v>1.53439153439153</v>
      </c>
      <c r="U1126" s="73"/>
      <c r="V1126" s="73"/>
      <c r="W1126" s="73">
        <f t="shared" si="620"/>
        <v>689.762698412698</v>
      </c>
      <c r="X1126" s="75">
        <f>SUM(876.6/1134)*H1126</f>
        <v>11.2087301587302</v>
      </c>
      <c r="Y1126" s="75"/>
      <c r="Z1126" s="75"/>
      <c r="AA1126" s="75">
        <f t="shared" si="621"/>
        <v>11.2087301587302</v>
      </c>
      <c r="AB1126" s="84">
        <v>7.22</v>
      </c>
      <c r="AC1126" s="73">
        <f t="shared" ref="AC1126:AC1152" si="625">SUM(AA1126*AB1126)</f>
        <v>80.9270317460317</v>
      </c>
      <c r="AD1126" s="73">
        <f t="shared" si="622"/>
        <v>770.68973015873</v>
      </c>
      <c r="AE1126" s="73">
        <f t="shared" si="619"/>
        <v>208.84766984127</v>
      </c>
    </row>
    <row r="1127" customFormat="1" spans="1:31">
      <c r="A1127" s="18"/>
      <c r="B1127" s="19"/>
      <c r="C1127" s="20">
        <v>240527000069</v>
      </c>
      <c r="D1127" s="21">
        <v>45448</v>
      </c>
      <c r="E1127" s="21" t="s">
        <v>41</v>
      </c>
      <c r="F1127" s="19" t="s">
        <v>42</v>
      </c>
      <c r="G1127" s="19" t="s">
        <v>232</v>
      </c>
      <c r="H1127" s="19">
        <v>7</v>
      </c>
      <c r="I1127" s="41">
        <v>476.3</v>
      </c>
      <c r="J1127" s="42"/>
      <c r="K1127" s="44"/>
      <c r="L1127" s="19"/>
      <c r="M1127" s="44"/>
      <c r="N1127" s="45"/>
      <c r="O1127" s="46">
        <f t="shared" ref="O1127:O1134" si="626">SUM(I1127)</f>
        <v>476.3</v>
      </c>
      <c r="P1127" s="51"/>
      <c r="Q1127" s="51"/>
      <c r="R1127" s="73">
        <f t="shared" ref="R1127:R1152" si="627">SUM(53824.2/1134)*H1127</f>
        <v>332.248148148148</v>
      </c>
      <c r="S1127" s="73"/>
      <c r="T1127" s="73">
        <f t="shared" ref="T1127:T1152" si="628">SUM(120/1134)*H1127</f>
        <v>0.740740740740741</v>
      </c>
      <c r="U1127" s="73"/>
      <c r="V1127" s="73"/>
      <c r="W1127" s="73">
        <f t="shared" si="620"/>
        <v>332.988888888889</v>
      </c>
      <c r="X1127" s="75">
        <f t="shared" ref="X1127:X1152" si="629">SUM(876.6/1134)*H1127</f>
        <v>5.41111111111111</v>
      </c>
      <c r="Y1127" s="75"/>
      <c r="Z1127" s="75"/>
      <c r="AA1127" s="75">
        <f t="shared" si="621"/>
        <v>5.41111111111111</v>
      </c>
      <c r="AB1127" s="84">
        <v>7.22</v>
      </c>
      <c r="AC1127" s="73">
        <f t="shared" si="625"/>
        <v>39.0682222222222</v>
      </c>
      <c r="AD1127" s="73">
        <f t="shared" si="622"/>
        <v>372.057111111111</v>
      </c>
      <c r="AE1127" s="73">
        <f t="shared" si="619"/>
        <v>104.242888888889</v>
      </c>
    </row>
    <row r="1128" customFormat="1" spans="1:31">
      <c r="A1128" s="18"/>
      <c r="B1128" s="19"/>
      <c r="C1128" s="20">
        <v>240528000042</v>
      </c>
      <c r="D1128" s="21">
        <v>45448</v>
      </c>
      <c r="E1128" s="21" t="s">
        <v>41</v>
      </c>
      <c r="F1128" s="19" t="s">
        <v>42</v>
      </c>
      <c r="G1128" s="19" t="s">
        <v>77</v>
      </c>
      <c r="H1128" s="19">
        <v>1.5</v>
      </c>
      <c r="I1128" s="52"/>
      <c r="J1128" s="48">
        <v>20493</v>
      </c>
      <c r="K1128" s="44"/>
      <c r="L1128" s="49">
        <f t="shared" si="623"/>
        <v>1494.74835886214</v>
      </c>
      <c r="M1128" s="50">
        <v>13.71</v>
      </c>
      <c r="N1128" s="45">
        <v>7.22</v>
      </c>
      <c r="O1128" s="46">
        <f t="shared" si="624"/>
        <v>98.9862</v>
      </c>
      <c r="P1128" s="51"/>
      <c r="Q1128" s="51"/>
      <c r="R1128" s="73">
        <f t="shared" si="627"/>
        <v>71.1960317460317</v>
      </c>
      <c r="S1128" s="73"/>
      <c r="T1128" s="73">
        <f t="shared" si="628"/>
        <v>0.158730158730159</v>
      </c>
      <c r="U1128" s="73"/>
      <c r="V1128" s="73"/>
      <c r="W1128" s="73">
        <f t="shared" si="620"/>
        <v>71.3547619047619</v>
      </c>
      <c r="X1128" s="75">
        <f t="shared" si="629"/>
        <v>1.15952380952381</v>
      </c>
      <c r="Y1128" s="75"/>
      <c r="Z1128" s="75"/>
      <c r="AA1128" s="75">
        <f t="shared" si="621"/>
        <v>1.15952380952381</v>
      </c>
      <c r="AB1128" s="84">
        <v>7.22</v>
      </c>
      <c r="AC1128" s="73">
        <f t="shared" si="625"/>
        <v>8.37176190476191</v>
      </c>
      <c r="AD1128" s="73">
        <f t="shared" si="622"/>
        <v>79.7265238095238</v>
      </c>
      <c r="AE1128" s="73">
        <f t="shared" si="619"/>
        <v>19.2596761904762</v>
      </c>
    </row>
    <row r="1129" customFormat="1" spans="1:31">
      <c r="A1129" s="18"/>
      <c r="B1129" s="19"/>
      <c r="C1129" s="20">
        <v>240528000046</v>
      </c>
      <c r="D1129" s="21">
        <v>45448</v>
      </c>
      <c r="E1129" s="21" t="s">
        <v>157</v>
      </c>
      <c r="F1129" s="19" t="s">
        <v>400</v>
      </c>
      <c r="G1129" s="19" t="s">
        <v>401</v>
      </c>
      <c r="H1129" s="19">
        <v>5</v>
      </c>
      <c r="I1129" s="46"/>
      <c r="J1129" s="48">
        <v>67920.6</v>
      </c>
      <c r="K1129" s="44"/>
      <c r="L1129" s="49">
        <f t="shared" si="623"/>
        <v>1506</v>
      </c>
      <c r="M1129" s="50">
        <v>45.1</v>
      </c>
      <c r="N1129" s="45">
        <v>7.22</v>
      </c>
      <c r="O1129" s="46">
        <f t="shared" si="624"/>
        <v>325.622</v>
      </c>
      <c r="P1129" s="51"/>
      <c r="Q1129" s="51"/>
      <c r="R1129" s="73">
        <f t="shared" si="627"/>
        <v>237.320105820106</v>
      </c>
      <c r="S1129" s="73"/>
      <c r="T1129" s="73">
        <f t="shared" si="628"/>
        <v>0.529100529100529</v>
      </c>
      <c r="U1129" s="73"/>
      <c r="V1129" s="73"/>
      <c r="W1129" s="73">
        <f t="shared" si="620"/>
        <v>237.849206349206</v>
      </c>
      <c r="X1129" s="75">
        <f t="shared" si="629"/>
        <v>3.86507936507936</v>
      </c>
      <c r="Y1129" s="75"/>
      <c r="Z1129" s="75"/>
      <c r="AA1129" s="75">
        <f t="shared" si="621"/>
        <v>3.86507936507936</v>
      </c>
      <c r="AB1129" s="84">
        <v>7.22</v>
      </c>
      <c r="AC1129" s="73">
        <f t="shared" si="625"/>
        <v>27.905873015873</v>
      </c>
      <c r="AD1129" s="73">
        <f t="shared" si="622"/>
        <v>265.755079365079</v>
      </c>
      <c r="AE1129" s="73">
        <f t="shared" si="619"/>
        <v>59.866920634921</v>
      </c>
    </row>
    <row r="1130" customFormat="1" spans="1:31">
      <c r="A1130" s="18"/>
      <c r="B1130" s="19"/>
      <c r="C1130" s="20">
        <v>240529000006</v>
      </c>
      <c r="D1130" s="21">
        <v>45448</v>
      </c>
      <c r="E1130" s="21" t="s">
        <v>37</v>
      </c>
      <c r="F1130" s="19" t="s">
        <v>38</v>
      </c>
      <c r="G1130" s="19" t="s">
        <v>206</v>
      </c>
      <c r="H1130" s="19">
        <v>0.5</v>
      </c>
      <c r="I1130" s="41">
        <v>167</v>
      </c>
      <c r="J1130" s="42"/>
      <c r="K1130" s="44"/>
      <c r="L1130" s="19"/>
      <c r="M1130" s="44"/>
      <c r="N1130" s="45"/>
      <c r="O1130" s="46">
        <f t="shared" si="626"/>
        <v>167</v>
      </c>
      <c r="P1130" s="51"/>
      <c r="Q1130" s="51"/>
      <c r="R1130" s="73">
        <f t="shared" si="627"/>
        <v>23.7320105820106</v>
      </c>
      <c r="S1130" s="73"/>
      <c r="T1130" s="73">
        <f t="shared" si="628"/>
        <v>0.0529100529100529</v>
      </c>
      <c r="U1130" s="73"/>
      <c r="V1130" s="73"/>
      <c r="W1130" s="73">
        <f t="shared" si="620"/>
        <v>23.7849206349206</v>
      </c>
      <c r="X1130" s="75">
        <f t="shared" si="629"/>
        <v>0.386507936507937</v>
      </c>
      <c r="Y1130" s="75"/>
      <c r="Z1130" s="75"/>
      <c r="AA1130" s="75">
        <f t="shared" si="621"/>
        <v>0.386507936507937</v>
      </c>
      <c r="AB1130" s="84">
        <v>7.22</v>
      </c>
      <c r="AC1130" s="73">
        <f t="shared" si="625"/>
        <v>2.7905873015873</v>
      </c>
      <c r="AD1130" s="73">
        <f t="shared" si="622"/>
        <v>26.5755079365079</v>
      </c>
      <c r="AE1130" s="73">
        <f t="shared" si="619"/>
        <v>140.424492063492</v>
      </c>
    </row>
    <row r="1131" customFormat="1" spans="1:31">
      <c r="A1131" s="18"/>
      <c r="B1131" s="19"/>
      <c r="C1131" s="20">
        <v>240529000016</v>
      </c>
      <c r="D1131" s="21">
        <v>45448</v>
      </c>
      <c r="E1131" s="21" t="s">
        <v>37</v>
      </c>
      <c r="F1131" s="19" t="s">
        <v>38</v>
      </c>
      <c r="G1131" s="19" t="s">
        <v>424</v>
      </c>
      <c r="H1131" s="19">
        <v>0.83</v>
      </c>
      <c r="I1131" s="41">
        <v>67</v>
      </c>
      <c r="J1131" s="42"/>
      <c r="K1131" s="44"/>
      <c r="L1131" s="19"/>
      <c r="M1131" s="44"/>
      <c r="N1131" s="45"/>
      <c r="O1131" s="46">
        <f t="shared" si="626"/>
        <v>67</v>
      </c>
      <c r="P1131" s="51"/>
      <c r="Q1131" s="51"/>
      <c r="R1131" s="73">
        <f t="shared" si="627"/>
        <v>39.3951375661376</v>
      </c>
      <c r="S1131" s="73"/>
      <c r="T1131" s="73">
        <f t="shared" si="628"/>
        <v>0.0878306878306878</v>
      </c>
      <c r="U1131" s="73"/>
      <c r="V1131" s="73"/>
      <c r="W1131" s="73">
        <f t="shared" si="620"/>
        <v>39.4829682539683</v>
      </c>
      <c r="X1131" s="75">
        <f t="shared" si="629"/>
        <v>0.641603174603175</v>
      </c>
      <c r="Y1131" s="75"/>
      <c r="Z1131" s="75"/>
      <c r="AA1131" s="75">
        <f t="shared" si="621"/>
        <v>0.641603174603175</v>
      </c>
      <c r="AB1131" s="84">
        <v>7.22</v>
      </c>
      <c r="AC1131" s="73">
        <f t="shared" si="625"/>
        <v>4.63237492063492</v>
      </c>
      <c r="AD1131" s="73">
        <f t="shared" si="622"/>
        <v>44.1153431746032</v>
      </c>
      <c r="AE1131" s="73">
        <f t="shared" si="619"/>
        <v>22.8846568253968</v>
      </c>
    </row>
    <row r="1132" customFormat="1" spans="1:31">
      <c r="A1132" s="18"/>
      <c r="B1132" s="19"/>
      <c r="C1132" s="20">
        <v>240529000020</v>
      </c>
      <c r="D1132" s="21">
        <v>45448</v>
      </c>
      <c r="E1132" s="21" t="s">
        <v>41</v>
      </c>
      <c r="F1132" s="19" t="s">
        <v>42</v>
      </c>
      <c r="G1132" s="19" t="s">
        <v>630</v>
      </c>
      <c r="H1132" s="19">
        <v>0.7</v>
      </c>
      <c r="I1132" s="41">
        <v>85</v>
      </c>
      <c r="J1132" s="42"/>
      <c r="K1132" s="44"/>
      <c r="L1132" s="19"/>
      <c r="M1132" s="44"/>
      <c r="N1132" s="45"/>
      <c r="O1132" s="46">
        <f t="shared" si="626"/>
        <v>85</v>
      </c>
      <c r="P1132" s="51"/>
      <c r="Q1132" s="51"/>
      <c r="R1132" s="73">
        <f t="shared" si="627"/>
        <v>33.2248148148148</v>
      </c>
      <c r="S1132" s="73"/>
      <c r="T1132" s="73">
        <f t="shared" si="628"/>
        <v>0.0740740740740741</v>
      </c>
      <c r="U1132" s="73"/>
      <c r="V1132" s="73"/>
      <c r="W1132" s="73">
        <f t="shared" si="620"/>
        <v>33.2988888888889</v>
      </c>
      <c r="X1132" s="75">
        <f t="shared" si="629"/>
        <v>0.541111111111111</v>
      </c>
      <c r="Y1132" s="75"/>
      <c r="Z1132" s="75"/>
      <c r="AA1132" s="75">
        <f t="shared" si="621"/>
        <v>0.541111111111111</v>
      </c>
      <c r="AB1132" s="84">
        <v>7.22</v>
      </c>
      <c r="AC1132" s="73">
        <f t="shared" si="625"/>
        <v>3.90682222222222</v>
      </c>
      <c r="AD1132" s="73">
        <f t="shared" si="622"/>
        <v>37.2057111111111</v>
      </c>
      <c r="AE1132" s="73">
        <f t="shared" si="619"/>
        <v>47.7942888888889</v>
      </c>
    </row>
    <row r="1133" customFormat="1" spans="1:31">
      <c r="A1133" s="18"/>
      <c r="B1133" s="19"/>
      <c r="C1133" s="20">
        <v>240529000025</v>
      </c>
      <c r="D1133" s="21">
        <v>45448</v>
      </c>
      <c r="E1133" s="21" t="s">
        <v>37</v>
      </c>
      <c r="F1133" s="19" t="s">
        <v>38</v>
      </c>
      <c r="G1133" s="19" t="s">
        <v>631</v>
      </c>
      <c r="H1133" s="19">
        <v>0.28</v>
      </c>
      <c r="I1133" s="41">
        <v>150</v>
      </c>
      <c r="J1133" s="42"/>
      <c r="K1133" s="44"/>
      <c r="L1133" s="19"/>
      <c r="M1133" s="44"/>
      <c r="N1133" s="45"/>
      <c r="O1133" s="46">
        <f t="shared" si="626"/>
        <v>150</v>
      </c>
      <c r="P1133" s="51"/>
      <c r="Q1133" s="51"/>
      <c r="R1133" s="73">
        <f t="shared" si="627"/>
        <v>13.2899259259259</v>
      </c>
      <c r="S1133" s="73"/>
      <c r="T1133" s="73">
        <f t="shared" si="628"/>
        <v>0.0296296296296296</v>
      </c>
      <c r="U1133" s="73"/>
      <c r="V1133" s="73"/>
      <c r="W1133" s="73">
        <f t="shared" si="620"/>
        <v>13.3195555555556</v>
      </c>
      <c r="X1133" s="75">
        <f t="shared" si="629"/>
        <v>0.216444444444444</v>
      </c>
      <c r="Y1133" s="75"/>
      <c r="Z1133" s="75"/>
      <c r="AA1133" s="75">
        <f t="shared" si="621"/>
        <v>0.216444444444444</v>
      </c>
      <c r="AB1133" s="84">
        <v>7.22</v>
      </c>
      <c r="AC1133" s="73">
        <f t="shared" si="625"/>
        <v>1.56272888888889</v>
      </c>
      <c r="AD1133" s="73">
        <f t="shared" si="622"/>
        <v>14.8822844444444</v>
      </c>
      <c r="AE1133" s="73">
        <f t="shared" si="619"/>
        <v>135.117715555556</v>
      </c>
    </row>
    <row r="1134" customFormat="1" spans="1:31">
      <c r="A1134" s="18"/>
      <c r="B1134" s="19"/>
      <c r="C1134" s="20">
        <v>240529000028</v>
      </c>
      <c r="D1134" s="21">
        <v>45448</v>
      </c>
      <c r="E1134" s="21" t="s">
        <v>44</v>
      </c>
      <c r="F1134" s="19" t="s">
        <v>45</v>
      </c>
      <c r="G1134" s="19" t="s">
        <v>273</v>
      </c>
      <c r="H1134" s="19">
        <v>8</v>
      </c>
      <c r="I1134" s="41">
        <v>543.4</v>
      </c>
      <c r="J1134" s="42"/>
      <c r="K1134" s="44"/>
      <c r="L1134" s="19"/>
      <c r="M1134" s="44"/>
      <c r="N1134" s="45"/>
      <c r="O1134" s="46">
        <f t="shared" si="626"/>
        <v>543.4</v>
      </c>
      <c r="P1134" s="51"/>
      <c r="Q1134" s="51"/>
      <c r="R1134" s="73">
        <f t="shared" si="627"/>
        <v>379.712169312169</v>
      </c>
      <c r="S1134" s="73"/>
      <c r="T1134" s="73">
        <f t="shared" si="628"/>
        <v>0.846560846560847</v>
      </c>
      <c r="U1134" s="73"/>
      <c r="V1134" s="73"/>
      <c r="W1134" s="73">
        <f t="shared" si="620"/>
        <v>380.55873015873</v>
      </c>
      <c r="X1134" s="75">
        <f t="shared" si="629"/>
        <v>6.18412698412698</v>
      </c>
      <c r="Y1134" s="75"/>
      <c r="Z1134" s="75"/>
      <c r="AA1134" s="75">
        <f t="shared" si="621"/>
        <v>6.18412698412698</v>
      </c>
      <c r="AB1134" s="84">
        <v>7.22</v>
      </c>
      <c r="AC1134" s="73">
        <f t="shared" si="625"/>
        <v>44.6493968253968</v>
      </c>
      <c r="AD1134" s="73">
        <f t="shared" si="622"/>
        <v>425.208126984127</v>
      </c>
      <c r="AE1134" s="73">
        <f t="shared" si="619"/>
        <v>118.191873015873</v>
      </c>
    </row>
    <row r="1135" customFormat="1" spans="1:31">
      <c r="A1135" s="18"/>
      <c r="B1135" s="19"/>
      <c r="C1135" s="20">
        <v>240529000033</v>
      </c>
      <c r="D1135" s="21">
        <v>45448</v>
      </c>
      <c r="E1135" s="21" t="s">
        <v>41</v>
      </c>
      <c r="F1135" s="19" t="s">
        <v>323</v>
      </c>
      <c r="G1135" s="19" t="s">
        <v>323</v>
      </c>
      <c r="H1135" s="19">
        <v>4</v>
      </c>
      <c r="I1135" s="46"/>
      <c r="J1135" s="48">
        <v>60140</v>
      </c>
      <c r="K1135" s="44"/>
      <c r="L1135" s="49">
        <f>SUM(J1135/M1135)</f>
        <v>1501.998001998</v>
      </c>
      <c r="M1135" s="50">
        <v>40.04</v>
      </c>
      <c r="N1135" s="45">
        <v>7.22</v>
      </c>
      <c r="O1135" s="46">
        <f>SUM(M1135*N1135)</f>
        <v>289.0888</v>
      </c>
      <c r="P1135" s="51"/>
      <c r="Q1135" s="51"/>
      <c r="R1135" s="73">
        <f t="shared" si="627"/>
        <v>189.856084656085</v>
      </c>
      <c r="S1135" s="73"/>
      <c r="T1135" s="73">
        <f t="shared" si="628"/>
        <v>0.423280423280423</v>
      </c>
      <c r="U1135" s="73"/>
      <c r="V1135" s="73"/>
      <c r="W1135" s="73">
        <f t="shared" si="620"/>
        <v>190.279365079365</v>
      </c>
      <c r="X1135" s="75">
        <f t="shared" si="629"/>
        <v>3.09206349206349</v>
      </c>
      <c r="Y1135" s="75"/>
      <c r="Z1135" s="75"/>
      <c r="AA1135" s="75">
        <f t="shared" si="621"/>
        <v>3.09206349206349</v>
      </c>
      <c r="AB1135" s="84">
        <v>7.22</v>
      </c>
      <c r="AC1135" s="73">
        <f t="shared" si="625"/>
        <v>22.3246984126984</v>
      </c>
      <c r="AD1135" s="73">
        <f t="shared" si="622"/>
        <v>212.604063492063</v>
      </c>
      <c r="AE1135" s="73">
        <f t="shared" si="619"/>
        <v>76.484736507937</v>
      </c>
    </row>
    <row r="1136" customFormat="1" spans="1:31">
      <c r="A1136" s="18"/>
      <c r="B1136" s="19"/>
      <c r="C1136" s="20">
        <v>240530000001</v>
      </c>
      <c r="D1136" s="21">
        <v>45448</v>
      </c>
      <c r="E1136" s="21" t="s">
        <v>37</v>
      </c>
      <c r="F1136" s="19" t="s">
        <v>38</v>
      </c>
      <c r="G1136" s="19" t="s">
        <v>89</v>
      </c>
      <c r="H1136" s="19">
        <v>11.5</v>
      </c>
      <c r="I1136" s="41">
        <v>860.2</v>
      </c>
      <c r="J1136" s="42"/>
      <c r="K1136" s="44"/>
      <c r="L1136" s="19"/>
      <c r="M1136" s="44"/>
      <c r="N1136" s="45"/>
      <c r="O1136" s="46">
        <f t="shared" ref="O1136:O1146" si="630">SUM(I1136)</f>
        <v>860.2</v>
      </c>
      <c r="P1136" s="51"/>
      <c r="Q1136" s="51"/>
      <c r="R1136" s="73">
        <f t="shared" si="627"/>
        <v>545.836243386243</v>
      </c>
      <c r="S1136" s="73"/>
      <c r="T1136" s="73">
        <f t="shared" si="628"/>
        <v>1.21693121693122</v>
      </c>
      <c r="U1136" s="73"/>
      <c r="V1136" s="73"/>
      <c r="W1136" s="73">
        <f t="shared" si="620"/>
        <v>547.053174603175</v>
      </c>
      <c r="X1136" s="75">
        <f t="shared" si="629"/>
        <v>8.88968253968254</v>
      </c>
      <c r="Y1136" s="75"/>
      <c r="Z1136" s="75"/>
      <c r="AA1136" s="75">
        <f t="shared" si="621"/>
        <v>8.88968253968254</v>
      </c>
      <c r="AB1136" s="84">
        <v>7.22</v>
      </c>
      <c r="AC1136" s="73">
        <f t="shared" si="625"/>
        <v>64.1835079365079</v>
      </c>
      <c r="AD1136" s="73">
        <f t="shared" si="622"/>
        <v>611.236682539683</v>
      </c>
      <c r="AE1136" s="73">
        <f t="shared" si="619"/>
        <v>248.963317460317</v>
      </c>
    </row>
    <row r="1137" customFormat="1" spans="1:31">
      <c r="A1137" s="18"/>
      <c r="B1137" s="19"/>
      <c r="C1137" s="20">
        <v>240530000005</v>
      </c>
      <c r="D1137" s="21">
        <v>45448</v>
      </c>
      <c r="E1137" s="21" t="s">
        <v>41</v>
      </c>
      <c r="F1137" s="19" t="s">
        <v>42</v>
      </c>
      <c r="G1137" s="19" t="s">
        <v>632</v>
      </c>
      <c r="H1137" s="19">
        <v>3</v>
      </c>
      <c r="I1137" s="52"/>
      <c r="J1137" s="48">
        <v>57375</v>
      </c>
      <c r="K1137" s="44"/>
      <c r="L1137" s="49">
        <f>SUM(J1137/M1137)</f>
        <v>1624.89379779099</v>
      </c>
      <c r="M1137" s="50">
        <v>35.31</v>
      </c>
      <c r="N1137" s="45">
        <v>7.22</v>
      </c>
      <c r="O1137" s="46">
        <f>SUM(M1137*N1137)</f>
        <v>254.9382</v>
      </c>
      <c r="P1137" s="51"/>
      <c r="Q1137" s="51"/>
      <c r="R1137" s="73">
        <f t="shared" si="627"/>
        <v>142.392063492063</v>
      </c>
      <c r="S1137" s="73"/>
      <c r="T1137" s="73">
        <f t="shared" si="628"/>
        <v>0.317460317460317</v>
      </c>
      <c r="U1137" s="73"/>
      <c r="V1137" s="73"/>
      <c r="W1137" s="73">
        <f t="shared" si="620"/>
        <v>142.709523809524</v>
      </c>
      <c r="X1137" s="75">
        <f t="shared" si="629"/>
        <v>2.31904761904762</v>
      </c>
      <c r="Y1137" s="75"/>
      <c r="Z1137" s="75"/>
      <c r="AA1137" s="75">
        <f t="shared" si="621"/>
        <v>2.31904761904762</v>
      </c>
      <c r="AB1137" s="84">
        <v>7.22</v>
      </c>
      <c r="AC1137" s="73">
        <f t="shared" si="625"/>
        <v>16.7435238095238</v>
      </c>
      <c r="AD1137" s="73">
        <f t="shared" si="622"/>
        <v>159.453047619048</v>
      </c>
      <c r="AE1137" s="73">
        <f t="shared" si="619"/>
        <v>95.485152380952</v>
      </c>
    </row>
    <row r="1138" customFormat="1" spans="1:31">
      <c r="A1138" s="18"/>
      <c r="B1138" s="19"/>
      <c r="C1138" s="20">
        <v>240530000012</v>
      </c>
      <c r="D1138" s="21">
        <v>45448</v>
      </c>
      <c r="E1138" s="21" t="s">
        <v>47</v>
      </c>
      <c r="F1138" s="19" t="s">
        <v>48</v>
      </c>
      <c r="G1138" s="19" t="s">
        <v>49</v>
      </c>
      <c r="H1138" s="19">
        <v>1.5</v>
      </c>
      <c r="I1138" s="41">
        <v>108.9</v>
      </c>
      <c r="J1138" s="42"/>
      <c r="K1138" s="44"/>
      <c r="L1138" s="19"/>
      <c r="M1138" s="44"/>
      <c r="N1138" s="45"/>
      <c r="O1138" s="46">
        <f t="shared" si="630"/>
        <v>108.9</v>
      </c>
      <c r="P1138" s="51"/>
      <c r="Q1138" s="51"/>
      <c r="R1138" s="73">
        <f t="shared" si="627"/>
        <v>71.1960317460317</v>
      </c>
      <c r="S1138" s="73"/>
      <c r="T1138" s="73">
        <f t="shared" si="628"/>
        <v>0.158730158730159</v>
      </c>
      <c r="U1138" s="73"/>
      <c r="V1138" s="73"/>
      <c r="W1138" s="73">
        <f t="shared" si="620"/>
        <v>71.3547619047619</v>
      </c>
      <c r="X1138" s="75">
        <f t="shared" si="629"/>
        <v>1.15952380952381</v>
      </c>
      <c r="Y1138" s="75"/>
      <c r="Z1138" s="75"/>
      <c r="AA1138" s="75">
        <f t="shared" si="621"/>
        <v>1.15952380952381</v>
      </c>
      <c r="AB1138" s="84">
        <v>7.22</v>
      </c>
      <c r="AC1138" s="73">
        <f t="shared" si="625"/>
        <v>8.37176190476191</v>
      </c>
      <c r="AD1138" s="73">
        <f t="shared" si="622"/>
        <v>79.7265238095238</v>
      </c>
      <c r="AE1138" s="73">
        <f t="shared" si="619"/>
        <v>29.1734761904762</v>
      </c>
    </row>
    <row r="1139" customFormat="1" spans="1:31">
      <c r="A1139" s="18"/>
      <c r="B1139" s="19"/>
      <c r="C1139" s="20">
        <v>240530000015</v>
      </c>
      <c r="D1139" s="21">
        <v>45448</v>
      </c>
      <c r="E1139" s="21" t="s">
        <v>44</v>
      </c>
      <c r="F1139" s="19" t="s">
        <v>45</v>
      </c>
      <c r="G1139" s="19" t="s">
        <v>633</v>
      </c>
      <c r="H1139" s="19">
        <v>0.86</v>
      </c>
      <c r="I1139" s="41">
        <v>93.8</v>
      </c>
      <c r="J1139" s="42"/>
      <c r="K1139" s="44"/>
      <c r="L1139" s="19"/>
      <c r="M1139" s="44"/>
      <c r="N1139" s="45"/>
      <c r="O1139" s="46">
        <f t="shared" si="630"/>
        <v>93.8</v>
      </c>
      <c r="P1139" s="51"/>
      <c r="Q1139" s="51"/>
      <c r="R1139" s="73">
        <f t="shared" si="627"/>
        <v>40.8190582010582</v>
      </c>
      <c r="S1139" s="73"/>
      <c r="T1139" s="73">
        <f t="shared" si="628"/>
        <v>0.091005291005291</v>
      </c>
      <c r="U1139" s="73"/>
      <c r="V1139" s="73"/>
      <c r="W1139" s="73">
        <f t="shared" si="620"/>
        <v>40.9100634920635</v>
      </c>
      <c r="X1139" s="75">
        <f t="shared" si="629"/>
        <v>0.664793650793651</v>
      </c>
      <c r="Y1139" s="75"/>
      <c r="Z1139" s="75"/>
      <c r="AA1139" s="75">
        <f t="shared" si="621"/>
        <v>0.664793650793651</v>
      </c>
      <c r="AB1139" s="84">
        <v>7.22</v>
      </c>
      <c r="AC1139" s="73">
        <f t="shared" si="625"/>
        <v>4.79981015873016</v>
      </c>
      <c r="AD1139" s="73">
        <f t="shared" si="622"/>
        <v>45.7098736507936</v>
      </c>
      <c r="AE1139" s="73">
        <f t="shared" si="619"/>
        <v>48.0901263492064</v>
      </c>
    </row>
    <row r="1140" customFormat="1" spans="1:31">
      <c r="A1140" s="18"/>
      <c r="B1140" s="19"/>
      <c r="C1140" s="20">
        <v>240530000022</v>
      </c>
      <c r="D1140" s="21">
        <v>45448</v>
      </c>
      <c r="E1140" s="21" t="s">
        <v>37</v>
      </c>
      <c r="F1140" s="19" t="s">
        <v>38</v>
      </c>
      <c r="G1140" s="19" t="s">
        <v>634</v>
      </c>
      <c r="H1140" s="19">
        <v>12</v>
      </c>
      <c r="I1140" s="41">
        <v>811</v>
      </c>
      <c r="J1140" s="42"/>
      <c r="K1140" s="44"/>
      <c r="L1140" s="19"/>
      <c r="M1140" s="44"/>
      <c r="N1140" s="45"/>
      <c r="O1140" s="46">
        <f t="shared" si="630"/>
        <v>811</v>
      </c>
      <c r="P1140" s="51"/>
      <c r="Q1140" s="51"/>
      <c r="R1140" s="73">
        <f t="shared" si="627"/>
        <v>569.568253968254</v>
      </c>
      <c r="S1140" s="73"/>
      <c r="T1140" s="73">
        <f t="shared" si="628"/>
        <v>1.26984126984127</v>
      </c>
      <c r="U1140" s="73"/>
      <c r="V1140" s="73"/>
      <c r="W1140" s="73">
        <f t="shared" si="620"/>
        <v>570.838095238095</v>
      </c>
      <c r="X1140" s="75">
        <f t="shared" si="629"/>
        <v>9.27619047619048</v>
      </c>
      <c r="Y1140" s="75"/>
      <c r="Z1140" s="75"/>
      <c r="AA1140" s="75">
        <f t="shared" si="621"/>
        <v>9.27619047619048</v>
      </c>
      <c r="AB1140" s="84">
        <v>7.22</v>
      </c>
      <c r="AC1140" s="73">
        <f t="shared" si="625"/>
        <v>66.9740952380952</v>
      </c>
      <c r="AD1140" s="73">
        <f t="shared" si="622"/>
        <v>637.81219047619</v>
      </c>
      <c r="AE1140" s="73">
        <f t="shared" si="619"/>
        <v>173.18780952381</v>
      </c>
    </row>
    <row r="1141" customFormat="1" spans="1:31">
      <c r="A1141" s="18"/>
      <c r="B1141" s="19"/>
      <c r="C1141" s="20">
        <v>240530000028</v>
      </c>
      <c r="D1141" s="21">
        <v>45448</v>
      </c>
      <c r="E1141" s="21" t="s">
        <v>44</v>
      </c>
      <c r="F1141" s="19" t="s">
        <v>286</v>
      </c>
      <c r="G1141" s="19" t="s">
        <v>287</v>
      </c>
      <c r="H1141" s="19">
        <v>18</v>
      </c>
      <c r="I1141" s="41">
        <v>1546.5</v>
      </c>
      <c r="J1141" s="42"/>
      <c r="K1141" s="44"/>
      <c r="L1141" s="19"/>
      <c r="M1141" s="44"/>
      <c r="N1141" s="45"/>
      <c r="O1141" s="46">
        <f t="shared" si="630"/>
        <v>1546.5</v>
      </c>
      <c r="P1141" s="51"/>
      <c r="Q1141" s="51"/>
      <c r="R1141" s="73">
        <f t="shared" si="627"/>
        <v>854.352380952381</v>
      </c>
      <c r="S1141" s="73"/>
      <c r="T1141" s="73">
        <f t="shared" si="628"/>
        <v>1.9047619047619</v>
      </c>
      <c r="U1141" s="73"/>
      <c r="V1141" s="73"/>
      <c r="W1141" s="73">
        <f t="shared" si="620"/>
        <v>856.257142857143</v>
      </c>
      <c r="X1141" s="75">
        <f t="shared" si="629"/>
        <v>13.9142857142857</v>
      </c>
      <c r="Y1141" s="75"/>
      <c r="Z1141" s="75"/>
      <c r="AA1141" s="75">
        <f t="shared" si="621"/>
        <v>13.9142857142857</v>
      </c>
      <c r="AB1141" s="84">
        <v>7.22</v>
      </c>
      <c r="AC1141" s="73">
        <f t="shared" si="625"/>
        <v>100.461142857143</v>
      </c>
      <c r="AD1141" s="73">
        <f t="shared" si="622"/>
        <v>956.718285714286</v>
      </c>
      <c r="AE1141" s="73">
        <f t="shared" si="619"/>
        <v>589.781714285714</v>
      </c>
    </row>
    <row r="1142" customFormat="1" spans="1:31">
      <c r="A1142" s="18"/>
      <c r="B1142" s="19"/>
      <c r="C1142" s="20">
        <v>240531000002</v>
      </c>
      <c r="D1142" s="21">
        <v>45448</v>
      </c>
      <c r="E1142" s="21" t="s">
        <v>81</v>
      </c>
      <c r="F1142" s="19" t="s">
        <v>253</v>
      </c>
      <c r="G1142" s="19" t="s">
        <v>301</v>
      </c>
      <c r="H1142" s="19">
        <v>18.5</v>
      </c>
      <c r="I1142" s="41">
        <v>1247.95</v>
      </c>
      <c r="J1142" s="42"/>
      <c r="K1142" s="44"/>
      <c r="L1142" s="19"/>
      <c r="M1142" s="44"/>
      <c r="N1142" s="45"/>
      <c r="O1142" s="46">
        <f t="shared" si="630"/>
        <v>1247.95</v>
      </c>
      <c r="P1142" s="51"/>
      <c r="Q1142" s="51"/>
      <c r="R1142" s="73">
        <f t="shared" si="627"/>
        <v>878.084391534391</v>
      </c>
      <c r="S1142" s="73"/>
      <c r="T1142" s="73">
        <f t="shared" si="628"/>
        <v>1.95767195767196</v>
      </c>
      <c r="U1142" s="73"/>
      <c r="V1142" s="73"/>
      <c r="W1142" s="73">
        <f t="shared" si="620"/>
        <v>880.042063492063</v>
      </c>
      <c r="X1142" s="75">
        <f t="shared" si="629"/>
        <v>14.3007936507937</v>
      </c>
      <c r="Y1142" s="75"/>
      <c r="Z1142" s="75"/>
      <c r="AA1142" s="75">
        <f t="shared" si="621"/>
        <v>14.3007936507937</v>
      </c>
      <c r="AB1142" s="84">
        <v>7.22</v>
      </c>
      <c r="AC1142" s="73">
        <f t="shared" si="625"/>
        <v>103.25173015873</v>
      </c>
      <c r="AD1142" s="73">
        <f t="shared" si="622"/>
        <v>983.293793650794</v>
      </c>
      <c r="AE1142" s="73">
        <f t="shared" si="619"/>
        <v>264.656206349206</v>
      </c>
    </row>
    <row r="1143" customFormat="1" spans="1:31">
      <c r="A1143" s="18"/>
      <c r="B1143" s="19"/>
      <c r="C1143" s="20">
        <v>240531000003</v>
      </c>
      <c r="D1143" s="21">
        <v>45448</v>
      </c>
      <c r="E1143" s="21" t="s">
        <v>81</v>
      </c>
      <c r="F1143" s="19" t="s">
        <v>253</v>
      </c>
      <c r="G1143" s="19" t="s">
        <v>60</v>
      </c>
      <c r="H1143" s="19">
        <v>1.5</v>
      </c>
      <c r="I1143" s="41">
        <v>108.9</v>
      </c>
      <c r="J1143" s="42"/>
      <c r="K1143" s="44"/>
      <c r="L1143" s="19"/>
      <c r="M1143" s="44"/>
      <c r="N1143" s="45"/>
      <c r="O1143" s="46">
        <f t="shared" si="630"/>
        <v>108.9</v>
      </c>
      <c r="P1143" s="51"/>
      <c r="Q1143" s="51"/>
      <c r="R1143" s="73">
        <f t="shared" si="627"/>
        <v>71.1960317460317</v>
      </c>
      <c r="S1143" s="73"/>
      <c r="T1143" s="73">
        <f t="shared" si="628"/>
        <v>0.158730158730159</v>
      </c>
      <c r="U1143" s="73"/>
      <c r="V1143" s="73"/>
      <c r="W1143" s="73">
        <f t="shared" si="620"/>
        <v>71.3547619047619</v>
      </c>
      <c r="X1143" s="75">
        <f t="shared" si="629"/>
        <v>1.15952380952381</v>
      </c>
      <c r="Y1143" s="75"/>
      <c r="Z1143" s="75"/>
      <c r="AA1143" s="75">
        <f t="shared" si="621"/>
        <v>1.15952380952381</v>
      </c>
      <c r="AB1143" s="84">
        <v>7.22</v>
      </c>
      <c r="AC1143" s="73">
        <f t="shared" si="625"/>
        <v>8.37176190476191</v>
      </c>
      <c r="AD1143" s="73">
        <f t="shared" si="622"/>
        <v>79.7265238095238</v>
      </c>
      <c r="AE1143" s="73">
        <f t="shared" si="619"/>
        <v>29.1734761904762</v>
      </c>
    </row>
    <row r="1144" customFormat="1" spans="1:31">
      <c r="A1144" s="18"/>
      <c r="B1144" s="19"/>
      <c r="C1144" s="20">
        <v>240531000004</v>
      </c>
      <c r="D1144" s="21">
        <v>45448</v>
      </c>
      <c r="E1144" s="21" t="s">
        <v>37</v>
      </c>
      <c r="F1144" s="19" t="s">
        <v>38</v>
      </c>
      <c r="G1144" s="19" t="s">
        <v>399</v>
      </c>
      <c r="H1144" s="19">
        <v>4</v>
      </c>
      <c r="I1144" s="41">
        <v>285</v>
      </c>
      <c r="J1144" s="42"/>
      <c r="K1144" s="44"/>
      <c r="L1144" s="19"/>
      <c r="M1144" s="44"/>
      <c r="N1144" s="45"/>
      <c r="O1144" s="46">
        <f t="shared" si="630"/>
        <v>285</v>
      </c>
      <c r="P1144" s="51"/>
      <c r="Q1144" s="51"/>
      <c r="R1144" s="73">
        <f t="shared" si="627"/>
        <v>189.856084656085</v>
      </c>
      <c r="S1144" s="73"/>
      <c r="T1144" s="73">
        <f t="shared" si="628"/>
        <v>0.423280423280423</v>
      </c>
      <c r="U1144" s="73"/>
      <c r="V1144" s="73"/>
      <c r="W1144" s="73">
        <f t="shared" si="620"/>
        <v>190.279365079365</v>
      </c>
      <c r="X1144" s="75">
        <f t="shared" si="629"/>
        <v>3.09206349206349</v>
      </c>
      <c r="Y1144" s="75"/>
      <c r="Z1144" s="75"/>
      <c r="AA1144" s="75">
        <f t="shared" si="621"/>
        <v>3.09206349206349</v>
      </c>
      <c r="AB1144" s="84">
        <v>7.22</v>
      </c>
      <c r="AC1144" s="73">
        <f t="shared" si="625"/>
        <v>22.3246984126984</v>
      </c>
      <c r="AD1144" s="73">
        <f t="shared" si="622"/>
        <v>212.604063492063</v>
      </c>
      <c r="AE1144" s="73">
        <f t="shared" si="619"/>
        <v>72.395936507937</v>
      </c>
    </row>
    <row r="1145" customFormat="1" spans="1:31">
      <c r="A1145" s="18"/>
      <c r="B1145" s="19"/>
      <c r="C1145" s="20">
        <v>240531000011</v>
      </c>
      <c r="D1145" s="21">
        <v>45448</v>
      </c>
      <c r="E1145" s="21" t="s">
        <v>44</v>
      </c>
      <c r="F1145" s="19" t="s">
        <v>45</v>
      </c>
      <c r="G1145" s="19" t="s">
        <v>422</v>
      </c>
      <c r="H1145" s="19">
        <v>8.5</v>
      </c>
      <c r="I1145" s="41">
        <v>662.9</v>
      </c>
      <c r="J1145" s="42"/>
      <c r="K1145" s="44"/>
      <c r="L1145" s="19"/>
      <c r="M1145" s="44"/>
      <c r="N1145" s="45"/>
      <c r="O1145" s="46">
        <f t="shared" si="630"/>
        <v>662.9</v>
      </c>
      <c r="P1145" s="51"/>
      <c r="Q1145" s="51"/>
      <c r="R1145" s="73">
        <f t="shared" si="627"/>
        <v>403.44417989418</v>
      </c>
      <c r="S1145" s="73"/>
      <c r="T1145" s="73">
        <f t="shared" si="628"/>
        <v>0.899470899470899</v>
      </c>
      <c r="U1145" s="73"/>
      <c r="V1145" s="73"/>
      <c r="W1145" s="73">
        <f t="shared" si="620"/>
        <v>404.343650793651</v>
      </c>
      <c r="X1145" s="75">
        <f t="shared" si="629"/>
        <v>6.57063492063492</v>
      </c>
      <c r="Y1145" s="75"/>
      <c r="Z1145" s="75"/>
      <c r="AA1145" s="75">
        <f t="shared" si="621"/>
        <v>6.57063492063492</v>
      </c>
      <c r="AB1145" s="84">
        <v>7.22</v>
      </c>
      <c r="AC1145" s="73">
        <f t="shared" si="625"/>
        <v>47.4399841269841</v>
      </c>
      <c r="AD1145" s="73">
        <f t="shared" si="622"/>
        <v>451.783634920635</v>
      </c>
      <c r="AE1145" s="73">
        <f t="shared" si="619"/>
        <v>211.116365079365</v>
      </c>
    </row>
    <row r="1146" customFormat="1" spans="1:31">
      <c r="A1146" s="18"/>
      <c r="B1146" s="19"/>
      <c r="C1146" s="20">
        <v>240531000017</v>
      </c>
      <c r="D1146" s="21">
        <v>45448</v>
      </c>
      <c r="E1146" s="21" t="s">
        <v>41</v>
      </c>
      <c r="F1146" s="19" t="s">
        <v>42</v>
      </c>
      <c r="G1146" s="19" t="s">
        <v>635</v>
      </c>
      <c r="H1146" s="19">
        <v>9</v>
      </c>
      <c r="I1146" s="41">
        <v>585</v>
      </c>
      <c r="J1146" s="42"/>
      <c r="K1146" s="44"/>
      <c r="L1146" s="19"/>
      <c r="M1146" s="44"/>
      <c r="N1146" s="45"/>
      <c r="O1146" s="46">
        <f t="shared" si="630"/>
        <v>585</v>
      </c>
      <c r="P1146" s="51"/>
      <c r="Q1146" s="51"/>
      <c r="R1146" s="73">
        <f t="shared" si="627"/>
        <v>427.17619047619</v>
      </c>
      <c r="S1146" s="73"/>
      <c r="T1146" s="73">
        <f t="shared" si="628"/>
        <v>0.952380952380952</v>
      </c>
      <c r="U1146" s="73"/>
      <c r="V1146" s="73"/>
      <c r="W1146" s="73">
        <f t="shared" si="620"/>
        <v>428.128571428571</v>
      </c>
      <c r="X1146" s="75">
        <f t="shared" si="629"/>
        <v>6.95714285714286</v>
      </c>
      <c r="Y1146" s="75"/>
      <c r="Z1146" s="75"/>
      <c r="AA1146" s="75">
        <f t="shared" si="621"/>
        <v>6.95714285714286</v>
      </c>
      <c r="AB1146" s="84">
        <v>7.22</v>
      </c>
      <c r="AC1146" s="73">
        <f t="shared" si="625"/>
        <v>50.2305714285714</v>
      </c>
      <c r="AD1146" s="73">
        <f t="shared" si="622"/>
        <v>478.359142857143</v>
      </c>
      <c r="AE1146" s="73">
        <f t="shared" si="619"/>
        <v>106.640857142857</v>
      </c>
    </row>
    <row r="1147" customFormat="1" spans="1:31">
      <c r="A1147" s="18"/>
      <c r="B1147" s="19"/>
      <c r="C1147" s="22">
        <v>240531000020</v>
      </c>
      <c r="D1147" s="23">
        <v>45448</v>
      </c>
      <c r="E1147" s="23" t="s">
        <v>54</v>
      </c>
      <c r="F1147" s="24" t="s">
        <v>636</v>
      </c>
      <c r="G1147" s="24" t="s">
        <v>637</v>
      </c>
      <c r="H1147" s="24">
        <v>38</v>
      </c>
      <c r="I1147" s="52"/>
      <c r="J1147" s="49">
        <v>808180</v>
      </c>
      <c r="K1147" s="118"/>
      <c r="L1147" s="49">
        <f>SUM(J1147/M1147)</f>
        <v>1506.00029815146</v>
      </c>
      <c r="M1147" s="87">
        <v>536.64</v>
      </c>
      <c r="N1147" s="45">
        <v>7.22</v>
      </c>
      <c r="O1147" s="46">
        <f>SUM(M1147*N1147)</f>
        <v>3874.5408</v>
      </c>
      <c r="P1147" s="51"/>
      <c r="Q1147" s="51"/>
      <c r="R1147" s="73">
        <f t="shared" si="627"/>
        <v>1803.6328042328</v>
      </c>
      <c r="S1147" s="73"/>
      <c r="T1147" s="73">
        <f t="shared" si="628"/>
        <v>4.02116402116402</v>
      </c>
      <c r="U1147" s="73"/>
      <c r="V1147" s="73"/>
      <c r="W1147" s="73">
        <f t="shared" si="620"/>
        <v>1807.65396825397</v>
      </c>
      <c r="X1147" s="75">
        <f t="shared" si="629"/>
        <v>29.3746031746032</v>
      </c>
      <c r="Y1147" s="75"/>
      <c r="Z1147" s="75"/>
      <c r="AA1147" s="75">
        <f t="shared" si="621"/>
        <v>29.3746031746032</v>
      </c>
      <c r="AB1147" s="84">
        <v>7.22</v>
      </c>
      <c r="AC1147" s="73">
        <f t="shared" si="625"/>
        <v>212.084634920635</v>
      </c>
      <c r="AD1147" s="73">
        <f t="shared" si="622"/>
        <v>2019.7386031746</v>
      </c>
      <c r="AE1147" s="73">
        <f t="shared" si="619"/>
        <v>1854.8021968254</v>
      </c>
    </row>
    <row r="1148" customFormat="1" spans="1:31">
      <c r="A1148" s="18"/>
      <c r="B1148" s="19"/>
      <c r="C1148" s="20">
        <v>240531000023</v>
      </c>
      <c r="D1148" s="21">
        <v>45448</v>
      </c>
      <c r="E1148" s="21" t="s">
        <v>54</v>
      </c>
      <c r="F1148" s="19" t="s">
        <v>54</v>
      </c>
      <c r="G1148" s="19" t="s">
        <v>116</v>
      </c>
      <c r="H1148" s="19">
        <v>26.5</v>
      </c>
      <c r="I1148" s="41">
        <v>1553.75</v>
      </c>
      <c r="J1148" s="42"/>
      <c r="K1148" s="44"/>
      <c r="L1148" s="19"/>
      <c r="M1148" s="44"/>
      <c r="N1148" s="45"/>
      <c r="O1148" s="46">
        <f t="shared" ref="O1148:O1152" si="631">SUM(I1148)</f>
        <v>1553.75</v>
      </c>
      <c r="P1148" s="51"/>
      <c r="Q1148" s="51"/>
      <c r="R1148" s="73">
        <f t="shared" si="627"/>
        <v>1257.79656084656</v>
      </c>
      <c r="S1148" s="73"/>
      <c r="T1148" s="73">
        <f t="shared" si="628"/>
        <v>2.8042328042328</v>
      </c>
      <c r="U1148" s="73"/>
      <c r="V1148" s="73"/>
      <c r="W1148" s="73">
        <f t="shared" si="620"/>
        <v>1260.60079365079</v>
      </c>
      <c r="X1148" s="75">
        <f t="shared" si="629"/>
        <v>20.4849206349206</v>
      </c>
      <c r="Y1148" s="75"/>
      <c r="Z1148" s="75"/>
      <c r="AA1148" s="75">
        <f t="shared" si="621"/>
        <v>20.4849206349206</v>
      </c>
      <c r="AB1148" s="84">
        <v>7.22</v>
      </c>
      <c r="AC1148" s="73">
        <f t="shared" si="625"/>
        <v>147.901126984127</v>
      </c>
      <c r="AD1148" s="73">
        <f t="shared" si="622"/>
        <v>1408.50192063492</v>
      </c>
      <c r="AE1148" s="73">
        <f t="shared" si="619"/>
        <v>145.24807936508</v>
      </c>
    </row>
    <row r="1149" customFormat="1" spans="1:31">
      <c r="A1149" s="18"/>
      <c r="B1149" s="19"/>
      <c r="C1149" s="20">
        <v>240531000024</v>
      </c>
      <c r="D1149" s="21">
        <v>45448</v>
      </c>
      <c r="E1149" s="21" t="s">
        <v>54</v>
      </c>
      <c r="F1149" s="19" t="s">
        <v>54</v>
      </c>
      <c r="G1149" s="19" t="s">
        <v>90</v>
      </c>
      <c r="H1149" s="19">
        <v>418</v>
      </c>
      <c r="I1149" s="41">
        <v>22080.5</v>
      </c>
      <c r="J1149" s="42"/>
      <c r="K1149" s="44"/>
      <c r="L1149" s="19"/>
      <c r="M1149" s="44"/>
      <c r="N1149" s="45"/>
      <c r="O1149" s="46">
        <f t="shared" si="631"/>
        <v>22080.5</v>
      </c>
      <c r="P1149" s="51"/>
      <c r="Q1149" s="51"/>
      <c r="R1149" s="73">
        <f t="shared" si="627"/>
        <v>19839.9608465608</v>
      </c>
      <c r="S1149" s="73"/>
      <c r="T1149" s="73">
        <f t="shared" si="628"/>
        <v>44.2328042328042</v>
      </c>
      <c r="U1149" s="73"/>
      <c r="V1149" s="73"/>
      <c r="W1149" s="73">
        <f t="shared" si="620"/>
        <v>19884.1936507937</v>
      </c>
      <c r="X1149" s="75">
        <f t="shared" si="629"/>
        <v>323.120634920635</v>
      </c>
      <c r="Y1149" s="75"/>
      <c r="Z1149" s="75"/>
      <c r="AA1149" s="75">
        <f t="shared" si="621"/>
        <v>323.120634920635</v>
      </c>
      <c r="AB1149" s="84">
        <v>7.22</v>
      </c>
      <c r="AC1149" s="73">
        <f t="shared" si="625"/>
        <v>2332.93098412698</v>
      </c>
      <c r="AD1149" s="73">
        <f t="shared" si="622"/>
        <v>22217.1246349206</v>
      </c>
      <c r="AE1149" s="73">
        <f t="shared" si="619"/>
        <v>-136.624634920601</v>
      </c>
    </row>
    <row r="1150" customFormat="1" spans="1:31">
      <c r="A1150" s="18"/>
      <c r="B1150" s="19"/>
      <c r="C1150" s="20">
        <v>240531000049</v>
      </c>
      <c r="D1150" s="21">
        <v>45448</v>
      </c>
      <c r="E1150" s="21" t="s">
        <v>47</v>
      </c>
      <c r="F1150" s="19" t="s">
        <v>48</v>
      </c>
      <c r="G1150" s="19" t="s">
        <v>135</v>
      </c>
      <c r="H1150" s="19">
        <v>14.5</v>
      </c>
      <c r="I1150" s="46"/>
      <c r="J1150" s="48">
        <v>196099.2</v>
      </c>
      <c r="K1150" s="44"/>
      <c r="L1150" s="49">
        <f>SUM(J1150/M1150)</f>
        <v>1584</v>
      </c>
      <c r="M1150" s="50">
        <v>123.8</v>
      </c>
      <c r="N1150" s="45">
        <v>7.22</v>
      </c>
      <c r="O1150" s="46">
        <f>SUM(M1150*N1150)</f>
        <v>893.836</v>
      </c>
      <c r="P1150" s="51"/>
      <c r="Q1150" s="51"/>
      <c r="R1150" s="73">
        <f t="shared" si="627"/>
        <v>688.228306878307</v>
      </c>
      <c r="S1150" s="73"/>
      <c r="T1150" s="73">
        <f t="shared" si="628"/>
        <v>1.53439153439153</v>
      </c>
      <c r="U1150" s="73"/>
      <c r="V1150" s="73"/>
      <c r="W1150" s="73">
        <f t="shared" si="620"/>
        <v>689.762698412698</v>
      </c>
      <c r="X1150" s="75">
        <f t="shared" si="629"/>
        <v>11.2087301587302</v>
      </c>
      <c r="Y1150" s="75"/>
      <c r="Z1150" s="75"/>
      <c r="AA1150" s="75">
        <f t="shared" si="621"/>
        <v>11.2087301587302</v>
      </c>
      <c r="AB1150" s="84">
        <v>7.22</v>
      </c>
      <c r="AC1150" s="73">
        <f t="shared" si="625"/>
        <v>80.9270317460317</v>
      </c>
      <c r="AD1150" s="73">
        <f t="shared" si="622"/>
        <v>770.68973015873</v>
      </c>
      <c r="AE1150" s="73">
        <f t="shared" si="619"/>
        <v>123.14626984127</v>
      </c>
    </row>
    <row r="1151" customFormat="1" spans="1:31">
      <c r="A1151" s="18"/>
      <c r="B1151" s="19"/>
      <c r="C1151" s="20">
        <v>240531000051</v>
      </c>
      <c r="D1151" s="21">
        <v>45448</v>
      </c>
      <c r="E1151" s="21" t="s">
        <v>54</v>
      </c>
      <c r="F1151" s="19" t="s">
        <v>54</v>
      </c>
      <c r="G1151" s="19" t="s">
        <v>92</v>
      </c>
      <c r="H1151" s="19">
        <v>516.5</v>
      </c>
      <c r="I1151" s="41">
        <v>26083.25</v>
      </c>
      <c r="J1151" s="42"/>
      <c r="K1151" s="44"/>
      <c r="L1151" s="19"/>
      <c r="M1151" s="44"/>
      <c r="N1151" s="45"/>
      <c r="O1151" s="46">
        <f t="shared" si="631"/>
        <v>26083.25</v>
      </c>
      <c r="P1151" s="51"/>
      <c r="Q1151" s="51"/>
      <c r="R1151" s="73">
        <f t="shared" si="627"/>
        <v>24515.1669312169</v>
      </c>
      <c r="S1151" s="73"/>
      <c r="T1151" s="73">
        <f t="shared" si="628"/>
        <v>54.6560846560847</v>
      </c>
      <c r="U1151" s="73"/>
      <c r="V1151" s="73"/>
      <c r="W1151" s="73">
        <f t="shared" ref="W1151:W1158" si="632">SUM(R1151:V1151)</f>
        <v>24569.823015873</v>
      </c>
      <c r="X1151" s="75">
        <f t="shared" si="629"/>
        <v>399.262698412698</v>
      </c>
      <c r="Y1151" s="75"/>
      <c r="Z1151" s="75"/>
      <c r="AA1151" s="75">
        <f t="shared" si="621"/>
        <v>399.262698412698</v>
      </c>
      <c r="AB1151" s="84">
        <v>7.22</v>
      </c>
      <c r="AC1151" s="73">
        <f t="shared" ref="AC1151:AC1158" si="633">SUM(AA1151*AB1151)</f>
        <v>2882.67668253968</v>
      </c>
      <c r="AD1151" s="73">
        <f t="shared" ref="AD1151:AD1158" si="634">SUM(W1151+AC1151)</f>
        <v>27452.4996984127</v>
      </c>
      <c r="AE1151" s="73">
        <f t="shared" ref="AE1151:AE1158" si="635">SUM(O1151-AD1151)</f>
        <v>-1369.2496984127</v>
      </c>
    </row>
    <row r="1152" customFormat="1" spans="1:31">
      <c r="A1152" s="18"/>
      <c r="B1152" s="19"/>
      <c r="C1152" s="20">
        <v>240601000002</v>
      </c>
      <c r="D1152" s="21">
        <v>45448</v>
      </c>
      <c r="E1152" s="21" t="s">
        <v>37</v>
      </c>
      <c r="F1152" s="19" t="s">
        <v>38</v>
      </c>
      <c r="G1152" s="19" t="s">
        <v>295</v>
      </c>
      <c r="H1152" s="19">
        <v>6.5</v>
      </c>
      <c r="I1152" s="41">
        <v>422</v>
      </c>
      <c r="J1152" s="42"/>
      <c r="K1152" s="44"/>
      <c r="L1152" s="19"/>
      <c r="M1152" s="44"/>
      <c r="N1152" s="45"/>
      <c r="O1152" s="46">
        <f t="shared" si="631"/>
        <v>422</v>
      </c>
      <c r="P1152" s="53"/>
      <c r="Q1152" s="53"/>
      <c r="R1152" s="73">
        <f t="shared" si="627"/>
        <v>308.516137566138</v>
      </c>
      <c r="S1152" s="73"/>
      <c r="T1152" s="73">
        <f t="shared" si="628"/>
        <v>0.687830687830688</v>
      </c>
      <c r="U1152" s="73"/>
      <c r="V1152" s="73"/>
      <c r="W1152" s="73">
        <f t="shared" si="632"/>
        <v>309.203968253968</v>
      </c>
      <c r="X1152" s="75">
        <f t="shared" si="629"/>
        <v>5.02460317460317</v>
      </c>
      <c r="Y1152" s="75"/>
      <c r="Z1152" s="75"/>
      <c r="AA1152" s="75">
        <f t="shared" si="621"/>
        <v>5.02460317460317</v>
      </c>
      <c r="AB1152" s="84">
        <v>7.22</v>
      </c>
      <c r="AC1152" s="73">
        <f t="shared" si="633"/>
        <v>36.2776349206349</v>
      </c>
      <c r="AD1152" s="73">
        <f t="shared" si="634"/>
        <v>345.481603174603</v>
      </c>
      <c r="AE1152" s="73">
        <f t="shared" si="635"/>
        <v>76.5183968253968</v>
      </c>
    </row>
    <row r="1153" customFormat="1" spans="1:31">
      <c r="A1153" s="18" t="s">
        <v>638</v>
      </c>
      <c r="B1153" s="19" t="s">
        <v>639</v>
      </c>
      <c r="C1153" s="20">
        <v>240530000027</v>
      </c>
      <c r="D1153" s="21">
        <v>45445</v>
      </c>
      <c r="E1153" s="21" t="s">
        <v>54</v>
      </c>
      <c r="F1153" s="19" t="s">
        <v>54</v>
      </c>
      <c r="G1153" s="19" t="s">
        <v>640</v>
      </c>
      <c r="H1153" s="19">
        <v>2.5</v>
      </c>
      <c r="I1153" s="41">
        <v>362.5</v>
      </c>
      <c r="J1153" s="42"/>
      <c r="K1153" s="44"/>
      <c r="L1153" s="19"/>
      <c r="M1153" s="44"/>
      <c r="N1153" s="45"/>
      <c r="O1153" s="46">
        <f t="shared" ref="O1153:O1158" si="636">SUM(I1153)</f>
        <v>362.5</v>
      </c>
      <c r="P1153" s="47">
        <f>SUM(O1153:O1158)</f>
        <v>8284.7852</v>
      </c>
      <c r="Q1153" s="47" t="s">
        <v>40</v>
      </c>
      <c r="R1153" s="73">
        <f t="shared" ref="R1153:R1158" si="637">SUM(3800/64)*H1153</f>
        <v>148.4375</v>
      </c>
      <c r="S1153" s="74">
        <f t="shared" ref="S1153:S1158" si="638">SUM(122.82/64)*H1153</f>
        <v>4.79765625</v>
      </c>
      <c r="T1153" s="73"/>
      <c r="U1153" s="73"/>
      <c r="V1153" s="73"/>
      <c r="W1153" s="73">
        <f t="shared" si="632"/>
        <v>153.23515625</v>
      </c>
      <c r="X1153" s="75">
        <f t="shared" ref="X1153:X1158" si="639">SUM(115.97/64)*H1153</f>
        <v>4.530078125</v>
      </c>
      <c r="Y1153" s="75"/>
      <c r="Z1153" s="75"/>
      <c r="AA1153" s="75">
        <f t="shared" ref="AA1153:AA1158" si="640">SUM(X1153:Z1153)</f>
        <v>4.530078125</v>
      </c>
      <c r="AB1153" s="84">
        <v>7.22</v>
      </c>
      <c r="AC1153" s="73">
        <f t="shared" si="633"/>
        <v>32.7071640625</v>
      </c>
      <c r="AD1153" s="73">
        <f t="shared" si="634"/>
        <v>185.9423203125</v>
      </c>
      <c r="AE1153" s="73">
        <f t="shared" si="635"/>
        <v>176.5576796875</v>
      </c>
    </row>
    <row r="1154" customFormat="1" spans="1:31">
      <c r="A1154" s="18"/>
      <c r="B1154" s="19"/>
      <c r="C1154" s="20">
        <v>240530000032</v>
      </c>
      <c r="D1154" s="21">
        <v>45445</v>
      </c>
      <c r="E1154" s="21" t="s">
        <v>47</v>
      </c>
      <c r="F1154" s="19" t="s">
        <v>48</v>
      </c>
      <c r="G1154" s="19" t="s">
        <v>479</v>
      </c>
      <c r="H1154" s="19">
        <v>7</v>
      </c>
      <c r="I1154" s="46"/>
      <c r="J1154" s="48">
        <v>175224</v>
      </c>
      <c r="K1154" s="44"/>
      <c r="L1154" s="49">
        <f>SUM(J1154/M1154)</f>
        <v>1502.00582890451</v>
      </c>
      <c r="M1154" s="50">
        <v>116.66</v>
      </c>
      <c r="N1154" s="45">
        <v>7.22</v>
      </c>
      <c r="O1154" s="46">
        <f>SUM(M1154*N1154)</f>
        <v>842.2852</v>
      </c>
      <c r="P1154" s="51"/>
      <c r="Q1154" s="51"/>
      <c r="R1154" s="73">
        <f t="shared" si="637"/>
        <v>415.625</v>
      </c>
      <c r="S1154" s="74">
        <f t="shared" si="638"/>
        <v>13.4334375</v>
      </c>
      <c r="T1154" s="73"/>
      <c r="U1154" s="73"/>
      <c r="V1154" s="73"/>
      <c r="W1154" s="73">
        <f t="shared" si="632"/>
        <v>429.0584375</v>
      </c>
      <c r="X1154" s="75">
        <f t="shared" si="639"/>
        <v>12.68421875</v>
      </c>
      <c r="Y1154" s="75"/>
      <c r="Z1154" s="75"/>
      <c r="AA1154" s="75">
        <f t="shared" si="640"/>
        <v>12.68421875</v>
      </c>
      <c r="AB1154" s="84">
        <v>7.22</v>
      </c>
      <c r="AC1154" s="73">
        <f t="shared" si="633"/>
        <v>91.580059375</v>
      </c>
      <c r="AD1154" s="73">
        <f t="shared" si="634"/>
        <v>520.638496875</v>
      </c>
      <c r="AE1154" s="73">
        <f t="shared" si="635"/>
        <v>321.646703125</v>
      </c>
    </row>
    <row r="1155" customFormat="1" spans="1:31">
      <c r="A1155" s="18"/>
      <c r="B1155" s="19"/>
      <c r="C1155" s="20">
        <v>240531000012</v>
      </c>
      <c r="D1155" s="21">
        <v>45445</v>
      </c>
      <c r="E1155" s="21" t="s">
        <v>44</v>
      </c>
      <c r="F1155" s="19" t="s">
        <v>45</v>
      </c>
      <c r="G1155" s="19" t="s">
        <v>641</v>
      </c>
      <c r="H1155" s="19">
        <v>16</v>
      </c>
      <c r="I1155" s="41">
        <v>1870</v>
      </c>
      <c r="J1155" s="42"/>
      <c r="K1155" s="44"/>
      <c r="L1155" s="19"/>
      <c r="M1155" s="44"/>
      <c r="N1155" s="45"/>
      <c r="O1155" s="46">
        <f t="shared" si="636"/>
        <v>1870</v>
      </c>
      <c r="P1155" s="51"/>
      <c r="Q1155" s="51"/>
      <c r="R1155" s="73">
        <f t="shared" si="637"/>
        <v>950</v>
      </c>
      <c r="S1155" s="74">
        <f t="shared" si="638"/>
        <v>30.705</v>
      </c>
      <c r="T1155" s="73"/>
      <c r="U1155" s="73"/>
      <c r="V1155" s="74">
        <v>30</v>
      </c>
      <c r="W1155" s="73">
        <f t="shared" si="632"/>
        <v>1010.705</v>
      </c>
      <c r="X1155" s="75">
        <f t="shared" si="639"/>
        <v>28.9925</v>
      </c>
      <c r="Y1155" s="75"/>
      <c r="Z1155" s="75"/>
      <c r="AA1155" s="75">
        <f t="shared" si="640"/>
        <v>28.9925</v>
      </c>
      <c r="AB1155" s="84">
        <v>7.22</v>
      </c>
      <c r="AC1155" s="73">
        <f t="shared" si="633"/>
        <v>209.32585</v>
      </c>
      <c r="AD1155" s="73">
        <f t="shared" si="634"/>
        <v>1220.03085</v>
      </c>
      <c r="AE1155" s="73">
        <f t="shared" si="635"/>
        <v>649.96915</v>
      </c>
    </row>
    <row r="1156" customFormat="1" spans="1:31">
      <c r="A1156" s="18"/>
      <c r="B1156" s="19"/>
      <c r="C1156" s="20">
        <v>240531000030</v>
      </c>
      <c r="D1156" s="21">
        <v>45445</v>
      </c>
      <c r="E1156" s="21" t="s">
        <v>54</v>
      </c>
      <c r="F1156" s="19" t="s">
        <v>54</v>
      </c>
      <c r="G1156" s="19" t="s">
        <v>98</v>
      </c>
      <c r="H1156" s="19">
        <v>16</v>
      </c>
      <c r="I1156" s="41">
        <v>1920</v>
      </c>
      <c r="J1156" s="42"/>
      <c r="K1156" s="44"/>
      <c r="L1156" s="19"/>
      <c r="M1156" s="44"/>
      <c r="N1156" s="45"/>
      <c r="O1156" s="46">
        <f t="shared" si="636"/>
        <v>1920</v>
      </c>
      <c r="P1156" s="51"/>
      <c r="Q1156" s="51"/>
      <c r="R1156" s="73">
        <f t="shared" si="637"/>
        <v>950</v>
      </c>
      <c r="S1156" s="74">
        <f t="shared" si="638"/>
        <v>30.705</v>
      </c>
      <c r="T1156" s="73"/>
      <c r="U1156" s="73"/>
      <c r="V1156" s="73"/>
      <c r="W1156" s="73">
        <f t="shared" si="632"/>
        <v>980.705</v>
      </c>
      <c r="X1156" s="75">
        <f t="shared" si="639"/>
        <v>28.9925</v>
      </c>
      <c r="Y1156" s="75"/>
      <c r="Z1156" s="75"/>
      <c r="AA1156" s="75">
        <f t="shared" si="640"/>
        <v>28.9925</v>
      </c>
      <c r="AB1156" s="84">
        <v>7.22</v>
      </c>
      <c r="AC1156" s="73">
        <f t="shared" si="633"/>
        <v>209.32585</v>
      </c>
      <c r="AD1156" s="73">
        <f t="shared" si="634"/>
        <v>1190.03085</v>
      </c>
      <c r="AE1156" s="73">
        <f t="shared" si="635"/>
        <v>729.96915</v>
      </c>
    </row>
    <row r="1157" customFormat="1" spans="1:31">
      <c r="A1157" s="18"/>
      <c r="B1157" s="19"/>
      <c r="C1157" s="20">
        <v>240531000038</v>
      </c>
      <c r="D1157" s="21">
        <v>45445</v>
      </c>
      <c r="E1157" s="21" t="s">
        <v>41</v>
      </c>
      <c r="F1157" s="19" t="s">
        <v>42</v>
      </c>
      <c r="G1157" s="19" t="s">
        <v>298</v>
      </c>
      <c r="H1157" s="19">
        <v>2</v>
      </c>
      <c r="I1157" s="41">
        <v>230</v>
      </c>
      <c r="J1157" s="42"/>
      <c r="K1157" s="44"/>
      <c r="L1157" s="19"/>
      <c r="M1157" s="44"/>
      <c r="N1157" s="45"/>
      <c r="O1157" s="46">
        <f t="shared" si="636"/>
        <v>230</v>
      </c>
      <c r="P1157" s="51"/>
      <c r="Q1157" s="51"/>
      <c r="R1157" s="73">
        <f t="shared" si="637"/>
        <v>118.75</v>
      </c>
      <c r="S1157" s="74">
        <f t="shared" si="638"/>
        <v>3.838125</v>
      </c>
      <c r="T1157" s="73"/>
      <c r="U1157" s="73"/>
      <c r="V1157" s="73"/>
      <c r="W1157" s="73">
        <f t="shared" si="632"/>
        <v>122.588125</v>
      </c>
      <c r="X1157" s="75">
        <f t="shared" si="639"/>
        <v>3.6240625</v>
      </c>
      <c r="Y1157" s="75"/>
      <c r="Z1157" s="75"/>
      <c r="AA1157" s="75">
        <f t="shared" si="640"/>
        <v>3.6240625</v>
      </c>
      <c r="AB1157" s="84">
        <v>7.22</v>
      </c>
      <c r="AC1157" s="73">
        <f t="shared" si="633"/>
        <v>26.16573125</v>
      </c>
      <c r="AD1157" s="73">
        <f t="shared" si="634"/>
        <v>148.75385625</v>
      </c>
      <c r="AE1157" s="73">
        <f t="shared" si="635"/>
        <v>81.24614375</v>
      </c>
    </row>
    <row r="1158" customFormat="1" spans="1:31">
      <c r="A1158" s="18"/>
      <c r="B1158" s="19"/>
      <c r="C1158" s="20">
        <v>240531000045</v>
      </c>
      <c r="D1158" s="21">
        <v>45445</v>
      </c>
      <c r="E1158" s="21" t="s">
        <v>54</v>
      </c>
      <c r="F1158" s="19" t="s">
        <v>54</v>
      </c>
      <c r="G1158" s="19" t="s">
        <v>55</v>
      </c>
      <c r="H1158" s="19">
        <v>25.5</v>
      </c>
      <c r="I1158" s="52">
        <v>3060</v>
      </c>
      <c r="J1158" s="42"/>
      <c r="K1158" s="44"/>
      <c r="L1158" s="19"/>
      <c r="M1158" s="44"/>
      <c r="N1158" s="45"/>
      <c r="O1158" s="46">
        <f t="shared" si="636"/>
        <v>3060</v>
      </c>
      <c r="P1158" s="53"/>
      <c r="Q1158" s="53"/>
      <c r="R1158" s="73">
        <f t="shared" si="637"/>
        <v>1514.0625</v>
      </c>
      <c r="S1158" s="74">
        <f t="shared" si="638"/>
        <v>48.93609375</v>
      </c>
      <c r="T1158" s="73"/>
      <c r="U1158" s="73"/>
      <c r="V1158" s="73"/>
      <c r="W1158" s="73">
        <f t="shared" si="632"/>
        <v>1562.99859375</v>
      </c>
      <c r="X1158" s="75">
        <f t="shared" si="639"/>
        <v>46.206796875</v>
      </c>
      <c r="Y1158" s="75"/>
      <c r="Z1158" s="75"/>
      <c r="AA1158" s="75">
        <f t="shared" si="640"/>
        <v>46.206796875</v>
      </c>
      <c r="AB1158" s="84">
        <v>7.22</v>
      </c>
      <c r="AC1158" s="73">
        <f t="shared" si="633"/>
        <v>333.6130734375</v>
      </c>
      <c r="AD1158" s="73">
        <f t="shared" si="634"/>
        <v>1896.6116671875</v>
      </c>
      <c r="AE1158" s="73">
        <f t="shared" si="635"/>
        <v>1163.3883328125</v>
      </c>
    </row>
    <row r="1159" spans="1:32">
      <c r="A1159" s="126" t="s">
        <v>642</v>
      </c>
      <c r="B1159" s="127"/>
      <c r="C1159" s="127"/>
      <c r="D1159" s="127"/>
      <c r="E1159" s="127"/>
      <c r="F1159" s="127"/>
      <c r="G1159" s="127"/>
      <c r="H1159" s="127"/>
      <c r="I1159" s="127">
        <f>SUM(I2:I1158)</f>
        <v>2145933.76001</v>
      </c>
      <c r="J1159" s="128"/>
      <c r="K1159" s="129"/>
      <c r="L1159" s="128"/>
      <c r="M1159" s="128">
        <f>SUM(M2:M1158)</f>
        <v>116634.870476</v>
      </c>
      <c r="N1159" s="127"/>
      <c r="O1159" s="127">
        <f>SUM(O2:O1158)</f>
        <v>2988037.52484672</v>
      </c>
      <c r="P1159" s="127">
        <f>SUM(P2:P1158)</f>
        <v>2988037.52484672</v>
      </c>
      <c r="Q1159" s="127"/>
      <c r="R1159" s="127"/>
      <c r="S1159" s="127"/>
      <c r="T1159" s="127"/>
      <c r="U1159" s="127"/>
      <c r="V1159" s="127"/>
      <c r="W1159" s="130">
        <f>SUM(W3:W3)</f>
        <v>0</v>
      </c>
      <c r="X1159" s="129"/>
      <c r="Y1159" s="129"/>
      <c r="Z1159" s="129"/>
      <c r="AA1159" s="129"/>
      <c r="AB1159" s="128"/>
      <c r="AC1159" s="127">
        <f>SUM(AC3:AC3)</f>
        <v>0</v>
      </c>
      <c r="AD1159" s="127"/>
      <c r="AE1159" s="131">
        <f>SUM(AE4:AE1158)</f>
        <v>394510.628462961</v>
      </c>
      <c r="AF1159" s="126">
        <v>454231.33589922</v>
      </c>
    </row>
    <row r="1163" customFormat="1" spans="4:28">
      <c r="D1163" s="2"/>
      <c r="E1163" s="2"/>
      <c r="J1163" s="3"/>
      <c r="K1163" s="4"/>
      <c r="L1163" s="3"/>
      <c r="W1163" s="6"/>
      <c r="X1163" s="4"/>
      <c r="Y1163" s="4"/>
      <c r="Z1163" s="4"/>
      <c r="AA1163" s="4"/>
      <c r="AB1163" s="3"/>
    </row>
    <row r="1164" customFormat="1" spans="4:28">
      <c r="D1164" s="2"/>
      <c r="E1164" s="2"/>
      <c r="J1164" s="3"/>
      <c r="K1164" s="4"/>
      <c r="L1164" s="3"/>
      <c r="W1164" s="6"/>
      <c r="X1164" s="4"/>
      <c r="Y1164" s="4"/>
      <c r="Z1164" s="4"/>
      <c r="AA1164" s="4"/>
      <c r="AB1164" s="3"/>
    </row>
    <row r="1165" customFormat="1" spans="4:28">
      <c r="D1165" s="2"/>
      <c r="E1165" s="2"/>
      <c r="J1165" s="3"/>
      <c r="K1165" s="4"/>
      <c r="L1165" s="3"/>
      <c r="W1165" s="6"/>
      <c r="X1165" s="4"/>
      <c r="Y1165" s="4"/>
      <c r="Z1165" s="4"/>
      <c r="AA1165" s="4"/>
      <c r="AB1165" s="3"/>
    </row>
    <row r="1166" customFormat="1" spans="4:28">
      <c r="D1166" s="2"/>
      <c r="E1166" s="2"/>
      <c r="J1166" s="3"/>
      <c r="K1166" s="4"/>
      <c r="L1166" s="3"/>
      <c r="W1166" s="6"/>
      <c r="X1166" s="4"/>
      <c r="Y1166" s="4"/>
      <c r="Z1166" s="4"/>
      <c r="AA1166" s="4"/>
      <c r="AB1166" s="3"/>
    </row>
    <row r="1167" customFormat="1" spans="4:28">
      <c r="D1167" s="2"/>
      <c r="E1167" s="2"/>
      <c r="J1167" s="3"/>
      <c r="K1167" s="4"/>
      <c r="L1167" s="3"/>
      <c r="W1167" s="6"/>
      <c r="X1167" s="4"/>
      <c r="Y1167" s="4"/>
      <c r="Z1167" s="4"/>
      <c r="AA1167" s="4"/>
      <c r="AB1167" s="3"/>
    </row>
    <row r="1168" customFormat="1" spans="4:28">
      <c r="D1168" s="2"/>
      <c r="E1168" s="2"/>
      <c r="J1168" s="3"/>
      <c r="K1168" s="4"/>
      <c r="L1168" s="3"/>
      <c r="W1168" s="6"/>
      <c r="X1168" s="4"/>
      <c r="Y1168" s="4"/>
      <c r="Z1168" s="4"/>
      <c r="AA1168" s="4"/>
      <c r="AB1168" s="3"/>
    </row>
    <row r="1169" customFormat="1" spans="4:28">
      <c r="D1169" s="2"/>
      <c r="E1169" s="2"/>
      <c r="J1169" s="3"/>
      <c r="K1169" s="4"/>
      <c r="L1169" s="3"/>
      <c r="W1169" s="6"/>
      <c r="X1169" s="4"/>
      <c r="Y1169" s="4"/>
      <c r="Z1169" s="4"/>
      <c r="AA1169" s="4"/>
      <c r="AB1169" s="3"/>
    </row>
    <row r="1170" customFormat="1" spans="4:28">
      <c r="D1170" s="2"/>
      <c r="E1170" s="2"/>
      <c r="J1170" s="3"/>
      <c r="K1170" s="4"/>
      <c r="L1170" s="3"/>
      <c r="W1170" s="6"/>
      <c r="X1170" s="4"/>
      <c r="Y1170" s="4"/>
      <c r="Z1170" s="4"/>
      <c r="AA1170" s="4"/>
      <c r="AB1170" s="3"/>
    </row>
    <row r="1171" customFormat="1" spans="4:28">
      <c r="D1171" s="2"/>
      <c r="E1171" s="2"/>
      <c r="J1171" s="3"/>
      <c r="K1171" s="4"/>
      <c r="L1171" s="3"/>
      <c r="W1171" s="6"/>
      <c r="X1171" s="4"/>
      <c r="Y1171" s="4"/>
      <c r="Z1171" s="4"/>
      <c r="AA1171" s="4"/>
      <c r="AB1171" s="3"/>
    </row>
    <row r="1172" customFormat="1" spans="4:28">
      <c r="D1172" s="2"/>
      <c r="E1172" s="2"/>
      <c r="J1172" s="3"/>
      <c r="K1172" s="4"/>
      <c r="L1172" s="3"/>
      <c r="W1172" s="6"/>
      <c r="X1172" s="4"/>
      <c r="Y1172" s="4"/>
      <c r="Z1172" s="4"/>
      <c r="AA1172" s="4"/>
      <c r="AB1172" s="3"/>
    </row>
    <row r="1173" customFormat="1" spans="4:28">
      <c r="D1173" s="2"/>
      <c r="E1173" s="2"/>
      <c r="J1173" s="3"/>
      <c r="K1173" s="4"/>
      <c r="L1173" s="3"/>
      <c r="W1173" s="6"/>
      <c r="X1173" s="4"/>
      <c r="Y1173" s="4"/>
      <c r="Z1173" s="4"/>
      <c r="AA1173" s="4"/>
      <c r="AB1173" s="3"/>
    </row>
    <row r="1174" customFormat="1" spans="4:28">
      <c r="D1174" s="2"/>
      <c r="E1174" s="2"/>
      <c r="J1174" s="3"/>
      <c r="K1174" s="4"/>
      <c r="L1174" s="3"/>
      <c r="W1174" s="6"/>
      <c r="X1174" s="4"/>
      <c r="Y1174" s="4"/>
      <c r="Z1174" s="4"/>
      <c r="AA1174" s="4"/>
      <c r="AB1174" s="3"/>
    </row>
    <row r="1175" customFormat="1" spans="4:28">
      <c r="D1175" s="2"/>
      <c r="E1175" s="2"/>
      <c r="J1175" s="3"/>
      <c r="K1175" s="4"/>
      <c r="L1175" s="3"/>
      <c r="W1175" s="6"/>
      <c r="X1175" s="4"/>
      <c r="Y1175" s="4"/>
      <c r="Z1175" s="4"/>
      <c r="AA1175" s="4"/>
      <c r="AB1175" s="3"/>
    </row>
    <row r="1176" customFormat="1" spans="4:28">
      <c r="D1176" s="2"/>
      <c r="E1176" s="2"/>
      <c r="J1176" s="3"/>
      <c r="K1176" s="4"/>
      <c r="L1176" s="3"/>
      <c r="W1176" s="6"/>
      <c r="X1176" s="4"/>
      <c r="Y1176" s="4"/>
      <c r="Z1176" s="4"/>
      <c r="AA1176" s="4"/>
      <c r="AB1176" s="3"/>
    </row>
    <row r="1177" customFormat="1" spans="4:28">
      <c r="D1177" s="2"/>
      <c r="E1177" s="2"/>
      <c r="J1177" s="3"/>
      <c r="K1177" s="4"/>
      <c r="L1177" s="3"/>
      <c r="W1177" s="6"/>
      <c r="X1177" s="4"/>
      <c r="Y1177" s="4"/>
      <c r="Z1177" s="4"/>
      <c r="AA1177" s="4"/>
      <c r="AB1177" s="3"/>
    </row>
    <row r="1178" customFormat="1" spans="4:28">
      <c r="D1178" s="2"/>
      <c r="E1178" s="2"/>
      <c r="J1178" s="3"/>
      <c r="K1178" s="4"/>
      <c r="L1178" s="3"/>
      <c r="W1178" s="6"/>
      <c r="X1178" s="4"/>
      <c r="Y1178" s="4"/>
      <c r="Z1178" s="4"/>
      <c r="AA1178" s="4"/>
      <c r="AB1178" s="3"/>
    </row>
    <row r="1179" customFormat="1" spans="4:28">
      <c r="D1179" s="2"/>
      <c r="E1179" s="2"/>
      <c r="J1179" s="3"/>
      <c r="K1179" s="4"/>
      <c r="L1179" s="3"/>
      <c r="W1179" s="6"/>
      <c r="X1179" s="4"/>
      <c r="Y1179" s="4"/>
      <c r="Z1179" s="4"/>
      <c r="AA1179" s="4"/>
      <c r="AB1179" s="3"/>
    </row>
    <row r="1180" customFormat="1" spans="4:28">
      <c r="D1180" s="2"/>
      <c r="E1180" s="2"/>
      <c r="J1180" s="3"/>
      <c r="K1180" s="4"/>
      <c r="L1180" s="3"/>
      <c r="W1180" s="6"/>
      <c r="X1180" s="4"/>
      <c r="Y1180" s="4"/>
      <c r="Z1180" s="4"/>
      <c r="AA1180" s="4"/>
      <c r="AB1180" s="3"/>
    </row>
    <row r="1181" customFormat="1" spans="4:28">
      <c r="D1181" s="2"/>
      <c r="E1181" s="2"/>
      <c r="J1181" s="3"/>
      <c r="K1181" s="4"/>
      <c r="L1181" s="3"/>
      <c r="W1181" s="6"/>
      <c r="X1181" s="4"/>
      <c r="Y1181" s="4"/>
      <c r="Z1181" s="4"/>
      <c r="AA1181" s="4"/>
      <c r="AB1181" s="3"/>
    </row>
    <row r="1182" customFormat="1" spans="4:28">
      <c r="D1182" s="2"/>
      <c r="E1182" s="2"/>
      <c r="J1182" s="3"/>
      <c r="K1182" s="4"/>
      <c r="L1182" s="3"/>
      <c r="W1182" s="6"/>
      <c r="X1182" s="4"/>
      <c r="Y1182" s="4"/>
      <c r="Z1182" s="4"/>
      <c r="AA1182" s="4"/>
      <c r="AB1182" s="3"/>
    </row>
    <row r="1183" customFormat="1" spans="4:28">
      <c r="D1183" s="2"/>
      <c r="E1183" s="2"/>
      <c r="J1183" s="3"/>
      <c r="K1183" s="4"/>
      <c r="L1183" s="3"/>
      <c r="W1183" s="6"/>
      <c r="X1183" s="4"/>
      <c r="Y1183" s="4"/>
      <c r="Z1183" s="4"/>
      <c r="AA1183" s="4"/>
      <c r="AB1183" s="3"/>
    </row>
    <row r="1184" customFormat="1" spans="4:28">
      <c r="D1184" s="2"/>
      <c r="E1184" s="2"/>
      <c r="J1184" s="3"/>
      <c r="K1184" s="4"/>
      <c r="L1184" s="3"/>
      <c r="W1184" s="6"/>
      <c r="X1184" s="4"/>
      <c r="Y1184" s="4"/>
      <c r="Z1184" s="4"/>
      <c r="AA1184" s="4"/>
      <c r="AB1184" s="3"/>
    </row>
    <row r="1185" customFormat="1" spans="4:28">
      <c r="D1185" s="2"/>
      <c r="E1185" s="2"/>
      <c r="J1185" s="3"/>
      <c r="K1185" s="4"/>
      <c r="L1185" s="3"/>
      <c r="W1185" s="6"/>
      <c r="X1185" s="4"/>
      <c r="Y1185" s="4"/>
      <c r="Z1185" s="4"/>
      <c r="AA1185" s="4"/>
      <c r="AB1185" s="3"/>
    </row>
    <row r="1186" customFormat="1" spans="4:28">
      <c r="D1186" s="2"/>
      <c r="E1186" s="2"/>
      <c r="J1186" s="3"/>
      <c r="K1186" s="4"/>
      <c r="L1186" s="3"/>
      <c r="W1186" s="6"/>
      <c r="X1186" s="4"/>
      <c r="Y1186" s="4"/>
      <c r="Z1186" s="4"/>
      <c r="AA1186" s="4"/>
      <c r="AB1186" s="3"/>
    </row>
    <row r="1187" customFormat="1" spans="4:28">
      <c r="D1187" s="2"/>
      <c r="E1187" s="2"/>
      <c r="J1187" s="3"/>
      <c r="K1187" s="4"/>
      <c r="L1187" s="3"/>
      <c r="W1187" s="6"/>
      <c r="X1187" s="4"/>
      <c r="Y1187" s="4"/>
      <c r="Z1187" s="4"/>
      <c r="AA1187" s="4"/>
      <c r="AB1187" s="3"/>
    </row>
    <row r="1188" customFormat="1" spans="4:28">
      <c r="D1188" s="2"/>
      <c r="E1188" s="2"/>
      <c r="J1188" s="3"/>
      <c r="K1188" s="4"/>
      <c r="L1188" s="3"/>
      <c r="W1188" s="6"/>
      <c r="X1188" s="4"/>
      <c r="Y1188" s="4"/>
      <c r="Z1188" s="4"/>
      <c r="AA1188" s="4"/>
      <c r="AB1188" s="3"/>
    </row>
    <row r="1189" customFormat="1" spans="4:28">
      <c r="D1189" s="2"/>
      <c r="E1189" s="2"/>
      <c r="J1189" s="3"/>
      <c r="K1189" s="4"/>
      <c r="L1189" s="3"/>
      <c r="W1189" s="6"/>
      <c r="X1189" s="4"/>
      <c r="Y1189" s="4"/>
      <c r="Z1189" s="4"/>
      <c r="AA1189" s="4"/>
      <c r="AB1189" s="3"/>
    </row>
    <row r="1190" customFormat="1" spans="4:28">
      <c r="D1190" s="2"/>
      <c r="E1190" s="2"/>
      <c r="J1190" s="3"/>
      <c r="K1190" s="4"/>
      <c r="L1190" s="3"/>
      <c r="W1190" s="6"/>
      <c r="X1190" s="4"/>
      <c r="Y1190" s="4"/>
      <c r="Z1190" s="4"/>
      <c r="AA1190" s="4"/>
      <c r="AB1190" s="3"/>
    </row>
    <row r="1191" customFormat="1" spans="4:28">
      <c r="D1191" s="2"/>
      <c r="E1191" s="2"/>
      <c r="J1191" s="3"/>
      <c r="K1191" s="4"/>
      <c r="L1191" s="3"/>
      <c r="W1191" s="6"/>
      <c r="X1191" s="4"/>
      <c r="Y1191" s="4"/>
      <c r="Z1191" s="4"/>
      <c r="AA1191" s="4"/>
      <c r="AB1191" s="3"/>
    </row>
    <row r="1192" customFormat="1" spans="4:28">
      <c r="D1192" s="2"/>
      <c r="E1192" s="2"/>
      <c r="J1192" s="3"/>
      <c r="K1192" s="4"/>
      <c r="L1192" s="3"/>
      <c r="W1192" s="6"/>
      <c r="X1192" s="4"/>
      <c r="Y1192" s="4"/>
      <c r="Z1192" s="4"/>
      <c r="AA1192" s="4"/>
      <c r="AB1192" s="3"/>
    </row>
    <row r="1193" customFormat="1" spans="4:28">
      <c r="D1193" s="2"/>
      <c r="E1193" s="2"/>
      <c r="J1193" s="3"/>
      <c r="K1193" s="4"/>
      <c r="L1193" s="3"/>
      <c r="W1193" s="6"/>
      <c r="X1193" s="4"/>
      <c r="Y1193" s="4"/>
      <c r="Z1193" s="4"/>
      <c r="AA1193" s="4"/>
      <c r="AB1193" s="3"/>
    </row>
    <row r="1194" customFormat="1" spans="4:28">
      <c r="D1194" s="2"/>
      <c r="E1194" s="2"/>
      <c r="J1194" s="3"/>
      <c r="K1194" s="4"/>
      <c r="L1194" s="3"/>
      <c r="W1194" s="6"/>
      <c r="X1194" s="4"/>
      <c r="Y1194" s="4"/>
      <c r="Z1194" s="4"/>
      <c r="AA1194" s="4"/>
      <c r="AB1194" s="3"/>
    </row>
    <row r="1195" customFormat="1" spans="4:28">
      <c r="D1195" s="2"/>
      <c r="E1195" s="2"/>
      <c r="J1195" s="3"/>
      <c r="K1195" s="4"/>
      <c r="L1195" s="3"/>
      <c r="W1195" s="6"/>
      <c r="X1195" s="4"/>
      <c r="Y1195" s="4"/>
      <c r="Z1195" s="4"/>
      <c r="AA1195" s="4"/>
      <c r="AB1195" s="3"/>
    </row>
    <row r="1196" customFormat="1" spans="4:28">
      <c r="D1196" s="2"/>
      <c r="E1196" s="2"/>
      <c r="J1196" s="3"/>
      <c r="K1196" s="4"/>
      <c r="L1196" s="3"/>
      <c r="W1196" s="6"/>
      <c r="X1196" s="4"/>
      <c r="Y1196" s="4"/>
      <c r="Z1196" s="4"/>
      <c r="AA1196" s="4"/>
      <c r="AB1196" s="3"/>
    </row>
    <row r="1197" customFormat="1" spans="4:28">
      <c r="D1197" s="2"/>
      <c r="E1197" s="2"/>
      <c r="J1197" s="3"/>
      <c r="K1197" s="4"/>
      <c r="L1197" s="3"/>
      <c r="W1197" s="6"/>
      <c r="X1197" s="4"/>
      <c r="Y1197" s="4"/>
      <c r="Z1197" s="4"/>
      <c r="AA1197" s="4"/>
      <c r="AB1197" s="3"/>
    </row>
    <row r="1198" customFormat="1" spans="4:28">
      <c r="D1198" s="2"/>
      <c r="E1198" s="2"/>
      <c r="J1198" s="3"/>
      <c r="K1198" s="4"/>
      <c r="L1198" s="3"/>
      <c r="W1198" s="6"/>
      <c r="X1198" s="4"/>
      <c r="Y1198" s="4"/>
      <c r="Z1198" s="4"/>
      <c r="AA1198" s="4"/>
      <c r="AB1198" s="3"/>
    </row>
    <row r="1199" customFormat="1" spans="4:28">
      <c r="D1199" s="2"/>
      <c r="E1199" s="2"/>
      <c r="J1199" s="3"/>
      <c r="K1199" s="4"/>
      <c r="L1199" s="3"/>
      <c r="W1199" s="6"/>
      <c r="X1199" s="4"/>
      <c r="Y1199" s="4"/>
      <c r="Z1199" s="4"/>
      <c r="AA1199" s="4"/>
      <c r="AB1199" s="3"/>
    </row>
    <row r="1200" customFormat="1" spans="4:28">
      <c r="D1200" s="2"/>
      <c r="E1200" s="2"/>
      <c r="J1200" s="3"/>
      <c r="K1200" s="4"/>
      <c r="L1200" s="3"/>
      <c r="W1200" s="6"/>
      <c r="X1200" s="4"/>
      <c r="Y1200" s="4"/>
      <c r="Z1200" s="4"/>
      <c r="AA1200" s="4"/>
      <c r="AB1200" s="3"/>
    </row>
    <row r="1201" customFormat="1" spans="4:28">
      <c r="D1201" s="2"/>
      <c r="E1201" s="2"/>
      <c r="J1201" s="3"/>
      <c r="K1201" s="4"/>
      <c r="L1201" s="3"/>
      <c r="W1201" s="6"/>
      <c r="X1201" s="4"/>
      <c r="Y1201" s="4"/>
      <c r="Z1201" s="4"/>
      <c r="AA1201" s="4"/>
      <c r="AB1201" s="3"/>
    </row>
    <row r="1202" customFormat="1" spans="4:28">
      <c r="D1202" s="2"/>
      <c r="E1202" s="2"/>
      <c r="J1202" s="3"/>
      <c r="K1202" s="4"/>
      <c r="L1202" s="3"/>
      <c r="W1202" s="6"/>
      <c r="X1202" s="4"/>
      <c r="Y1202" s="4"/>
      <c r="Z1202" s="4"/>
      <c r="AA1202" s="4"/>
      <c r="AB1202" s="3"/>
    </row>
    <row r="1203" customFormat="1" spans="4:28">
      <c r="D1203" s="2"/>
      <c r="E1203" s="2"/>
      <c r="J1203" s="3"/>
      <c r="K1203" s="4"/>
      <c r="L1203" s="3"/>
      <c r="W1203" s="6"/>
      <c r="X1203" s="4"/>
      <c r="Y1203" s="4"/>
      <c r="Z1203" s="4"/>
      <c r="AA1203" s="4"/>
      <c r="AB1203" s="3"/>
    </row>
    <row r="1204" customFormat="1" spans="4:28">
      <c r="D1204" s="2"/>
      <c r="E1204" s="2"/>
      <c r="J1204" s="3"/>
      <c r="K1204" s="4"/>
      <c r="L1204" s="3"/>
      <c r="W1204" s="6"/>
      <c r="X1204" s="4"/>
      <c r="Y1204" s="4"/>
      <c r="Z1204" s="4"/>
      <c r="AA1204" s="4"/>
      <c r="AB1204" s="3"/>
    </row>
    <row r="1205" customFormat="1" spans="4:28">
      <c r="D1205" s="2"/>
      <c r="E1205" s="2"/>
      <c r="J1205" s="3"/>
      <c r="K1205" s="4"/>
      <c r="L1205" s="3"/>
      <c r="W1205" s="6"/>
      <c r="X1205" s="4"/>
      <c r="Y1205" s="4"/>
      <c r="Z1205" s="4"/>
      <c r="AA1205" s="4"/>
      <c r="AB1205" s="3"/>
    </row>
  </sheetData>
  <autoFilter xmlns:etc="http://www.wps.cn/officeDocument/2017/etCustomData" ref="A2:AE1159" etc:filterBottomFollowUsedRange="0">
    <extLst/>
  </autoFilter>
  <mergeCells count="148">
    <mergeCell ref="A1:AE1"/>
    <mergeCell ref="I2:O2"/>
    <mergeCell ref="Q2:U2"/>
    <mergeCell ref="X2:AC2"/>
    <mergeCell ref="A2:A3"/>
    <mergeCell ref="A4:A13"/>
    <mergeCell ref="A14:A52"/>
    <mergeCell ref="A53:A65"/>
    <mergeCell ref="A66:A165"/>
    <mergeCell ref="A166:A192"/>
    <mergeCell ref="A193:A209"/>
    <mergeCell ref="A210:A214"/>
    <mergeCell ref="A215:A279"/>
    <mergeCell ref="A280:A289"/>
    <mergeCell ref="A290:A296"/>
    <mergeCell ref="A297:A350"/>
    <mergeCell ref="A351:A355"/>
    <mergeCell ref="A356:A398"/>
    <mergeCell ref="A399:A404"/>
    <mergeCell ref="A405:A418"/>
    <mergeCell ref="A419:A428"/>
    <mergeCell ref="A430:A533"/>
    <mergeCell ref="A534:A556"/>
    <mergeCell ref="A557:A606"/>
    <mergeCell ref="A607:A656"/>
    <mergeCell ref="A657:A700"/>
    <mergeCell ref="A702:A716"/>
    <mergeCell ref="A717:A751"/>
    <mergeCell ref="A752:A813"/>
    <mergeCell ref="A814:A844"/>
    <mergeCell ref="A845:A909"/>
    <mergeCell ref="A910:A949"/>
    <mergeCell ref="A951:A988"/>
    <mergeCell ref="A989:A1006"/>
    <mergeCell ref="A1007:A1068"/>
    <mergeCell ref="A1070:A1125"/>
    <mergeCell ref="A1126:A1152"/>
    <mergeCell ref="A1153:A1158"/>
    <mergeCell ref="B2:B3"/>
    <mergeCell ref="B4:B13"/>
    <mergeCell ref="B14:B52"/>
    <mergeCell ref="B53:B65"/>
    <mergeCell ref="B66:B165"/>
    <mergeCell ref="B166:B192"/>
    <mergeCell ref="B193:B209"/>
    <mergeCell ref="B210:B214"/>
    <mergeCell ref="B215:B279"/>
    <mergeCell ref="B280:B289"/>
    <mergeCell ref="B290:B296"/>
    <mergeCell ref="B297:B350"/>
    <mergeCell ref="B351:B355"/>
    <mergeCell ref="B356:B398"/>
    <mergeCell ref="B399:B404"/>
    <mergeCell ref="B405:B418"/>
    <mergeCell ref="B419:B428"/>
    <mergeCell ref="B430:B533"/>
    <mergeCell ref="B534:B556"/>
    <mergeCell ref="B557:B606"/>
    <mergeCell ref="B607:B656"/>
    <mergeCell ref="B657:B700"/>
    <mergeCell ref="B702:B716"/>
    <mergeCell ref="B717:B751"/>
    <mergeCell ref="B752:B813"/>
    <mergeCell ref="B814:B844"/>
    <mergeCell ref="B845:B909"/>
    <mergeCell ref="B910:B949"/>
    <mergeCell ref="B951:B988"/>
    <mergeCell ref="B989:B1006"/>
    <mergeCell ref="B1007:B1068"/>
    <mergeCell ref="B1070:B1125"/>
    <mergeCell ref="B1126:B1152"/>
    <mergeCell ref="B1153:B1158"/>
    <mergeCell ref="C2:C3"/>
    <mergeCell ref="D2:D3"/>
    <mergeCell ref="E2:E3"/>
    <mergeCell ref="F2:F3"/>
    <mergeCell ref="G2:G3"/>
    <mergeCell ref="H2:H3"/>
    <mergeCell ref="P2:P3"/>
    <mergeCell ref="P4:P13"/>
    <mergeCell ref="P14:P52"/>
    <mergeCell ref="P53:P65"/>
    <mergeCell ref="P66:P165"/>
    <mergeCell ref="P166:P192"/>
    <mergeCell ref="P193:P209"/>
    <mergeCell ref="P210:P214"/>
    <mergeCell ref="P215:P279"/>
    <mergeCell ref="P280:P289"/>
    <mergeCell ref="P290:P296"/>
    <mergeCell ref="P297:P350"/>
    <mergeCell ref="P351:P355"/>
    <mergeCell ref="P356:P398"/>
    <mergeCell ref="P399:P404"/>
    <mergeCell ref="P405:P418"/>
    <mergeCell ref="P419:P428"/>
    <mergeCell ref="P430:P533"/>
    <mergeCell ref="P534:P556"/>
    <mergeCell ref="P557:P606"/>
    <mergeCell ref="P607:P656"/>
    <mergeCell ref="P657:P700"/>
    <mergeCell ref="P702:P716"/>
    <mergeCell ref="P717:P751"/>
    <mergeCell ref="P752:P813"/>
    <mergeCell ref="P814:P844"/>
    <mergeCell ref="P845:P909"/>
    <mergeCell ref="P910:P949"/>
    <mergeCell ref="P951:P988"/>
    <mergeCell ref="P989:P1006"/>
    <mergeCell ref="P1007:P1068"/>
    <mergeCell ref="P1070:P1125"/>
    <mergeCell ref="P1126:P1152"/>
    <mergeCell ref="P1153:P1158"/>
    <mergeCell ref="Q4:Q13"/>
    <mergeCell ref="Q14:Q52"/>
    <mergeCell ref="Q53:Q65"/>
    <mergeCell ref="Q66:Q165"/>
    <mergeCell ref="Q166:Q192"/>
    <mergeCell ref="Q193:Q209"/>
    <mergeCell ref="Q210:Q214"/>
    <mergeCell ref="Q215:Q279"/>
    <mergeCell ref="Q280:Q289"/>
    <mergeCell ref="Q290:Q296"/>
    <mergeCell ref="Q297:Q350"/>
    <mergeCell ref="Q351:Q355"/>
    <mergeCell ref="Q356:Q398"/>
    <mergeCell ref="Q399:Q404"/>
    <mergeCell ref="Q405:Q418"/>
    <mergeCell ref="Q419:Q428"/>
    <mergeCell ref="Q430:Q533"/>
    <mergeCell ref="Q534:Q556"/>
    <mergeCell ref="Q557:Q606"/>
    <mergeCell ref="Q607:Q656"/>
    <mergeCell ref="Q657:Q700"/>
    <mergeCell ref="Q702:Q716"/>
    <mergeCell ref="Q717:Q751"/>
    <mergeCell ref="Q752:Q813"/>
    <mergeCell ref="Q814:Q844"/>
    <mergeCell ref="Q845:Q909"/>
    <mergeCell ref="Q910:Q949"/>
    <mergeCell ref="Q951:Q988"/>
    <mergeCell ref="Q989:Q1006"/>
    <mergeCell ref="Q1007:Q1068"/>
    <mergeCell ref="Q1070:Q1125"/>
    <mergeCell ref="Q1126:Q1152"/>
    <mergeCell ref="Q1153:Q1158"/>
    <mergeCell ref="V2:V3"/>
    <mergeCell ref="W2:W3"/>
    <mergeCell ref="AE2:AE3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2025-07-21T08:55:34Z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