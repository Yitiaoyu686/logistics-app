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毛利表2023" sheetId="2" r:id="rId1"/>
  </sheets>
  <definedNames>
    <definedName name="_xlnm._FilterDatabase" localSheetId="0" hidden="1">毛利表2023!$B$3:$T$7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<sst xmlns="http://schemas.openxmlformats.org/spreadsheetml/2006/main" count="41" uniqueCount="38">
  <si>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ＮＢＯ贝宁科托努毛利表（5月）</t>
  </si>
  <si>
    <t>日期：2019年</t>
  </si>
  <si>
    <t>JOB</t>
  </si>
  <si>
    <t>集装编号 </t>
  </si>
  <si>
    <t>运单编号 </t>
  </si>
  <si>
    <t>日期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</si>
  <si>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</si>
  <si>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</si>
  <si>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</si>
  <si>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</si>
  <si>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</si>
  <si>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</si>
  <si>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</si>
  <si>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</si>
  <si>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</si>
  <si>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</si>
  <si>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</si>
  <si>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</si>
  <si>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</si>
  <si>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</si>
  <si>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</si>
  <si>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</si>
  <si>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</si>
  <si>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</si>
  <si>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</si>
  <si>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</si>
  <si>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</si>
  <si>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</si>
  <si>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</si>
  <si>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JOB050351</t>
  </si>
  <si>
    <t>COLL003954</t>
  </si>
  <si>
    <t>ying</t>
  </si>
  <si>
    <t>Kim.</t>
  </si>
  <si>
    <t>冠粤</t>
  </si>
  <si>
    <t>JOB050373</t>
  </si>
  <si>
    <t>COLL003974</t>
  </si>
  <si>
    <t>Sheilah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</si>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</sst>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9"/>
      <name val="Microsoft JhengHei"/>
      <charset val="134"/>
    </font>
    <font>
      <sz val="10"/>
      <color theme="1"/>
      <name val="宋体"/>
      <charset val="134"/>
      <scheme val="minor"/>
    </font>
    <font>
      <sz val="10"/>
      <color rgb="FFFF0000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theme="1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5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9" borderId="15" applyNumberFormat="0" applyAlignment="0" applyProtection="0">
      <alignment vertical="center"/>
    </xf>
    <xf numFmtId="0" fontId="28" fillId="10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2" borderId="1" xfId="0" applyNumberFormat="1" applyFont="1" applyFill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179" fontId="10" fillId="0" borderId="1" xfId="0" applyNumberFormat="1" applyFont="1" applyFill="1" applyBorder="1">
      <alignment vertical="center"/>
    </xf>
    <xf numFmtId="58" fontId="11" fillId="0" borderId="1" xfId="0" applyNumberFormat="1" applyFont="1" applyBorder="1" applyAlignment="1">
      <alignment horizontal="center" vertical="center"/>
    </xf>
    <xf numFmtId="179" fontId="10" fillId="2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179" fontId="3" fillId="3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179" fontId="12" fillId="3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3" fillId="4" borderId="1" xfId="4" applyNumberFormat="1" applyFont="1" applyFill="1" applyBorder="1" applyAlignment="1">
      <alignment horizontal="center" vertical="center"/>
    </xf>
    <xf numFmtId="179" fontId="13" fillId="4" borderId="1" xfId="4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>
      <alignment vertical="center"/>
    </xf>
    <xf numFmtId="179" fontId="14" fillId="0" borderId="1" xfId="0" applyNumberFormat="1" applyFont="1" applyBorder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79" fontId="15" fillId="4" borderId="7" xfId="0" applyNumberFormat="1" applyFont="1" applyFill="1" applyBorder="1" applyAlignment="1">
      <alignment horizontal="center" vertical="center"/>
    </xf>
    <xf numFmtId="179" fontId="15" fillId="0" borderId="5" xfId="0" applyNumberFormat="1" applyFont="1" applyFill="1" applyBorder="1" applyAlignment="1">
      <alignment horizontal="center" vertical="center" wrapText="1"/>
    </xf>
    <xf numFmtId="181" fontId="12" fillId="3" borderId="7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79" fontId="12" fillId="0" borderId="9" xfId="0" applyNumberFormat="1" applyFont="1" applyFill="1" applyBorder="1" applyAlignment="1">
      <alignment horizontal="center" vertical="center"/>
    </xf>
    <xf numFmtId="179" fontId="12" fillId="5" borderId="5" xfId="0" applyNumberFormat="1" applyFon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179" fontId="16" fillId="4" borderId="10" xfId="0" applyNumberFormat="1" applyFont="1" applyFill="1" applyBorder="1" applyAlignment="1">
      <alignment horizontal="center" vertical="center"/>
    </xf>
    <xf numFmtId="179" fontId="15" fillId="0" borderId="6" xfId="0" applyNumberFormat="1" applyFont="1" applyFill="1" applyBorder="1" applyAlignment="1">
      <alignment horizontal="center" vertical="center" wrapText="1"/>
    </xf>
    <xf numFmtId="181" fontId="12" fillId="3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/>
    </xf>
    <xf numFmtId="179" fontId="12" fillId="5" borderId="1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1"/>
  <sheetViews>
    <sheetView tabSelected="1" topLeftCell="D1" workbookViewId="0">
      <pane ySplit="4" topLeftCell="A5" activePane="bottomLeft" state="frozen"/>
      <selection/>
      <selection pane="bottomLeft" activeCell="O9" sqref="O9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5" width="7.125" style="1" customWidth="1"/>
    <col min="6" max="6" width="8.125" style="1" customWidth="1"/>
    <col min="7" max="7" width="7.75" style="1" customWidth="1"/>
    <col min="8" max="8" width="11.5" style="1" customWidth="1"/>
    <col min="9" max="9" width="7.5" style="1" customWidth="1"/>
    <col min="10" max="10" width="4.625" style="1" customWidth="1"/>
    <col min="11" max="11" width="12.875" style="1" customWidth="1"/>
    <col min="12" max="12" width="13.625" style="1"/>
    <col min="13" max="13" width="9" style="1"/>
    <col min="14" max="14" width="11" style="1" customWidth="1"/>
    <col min="15" max="15" width="9.25" style="1"/>
    <col min="16" max="16" width="10.25" style="1"/>
    <col min="17" max="17" width="9.625" style="1" customWidth="1"/>
    <col min="18" max="18" width="9" style="1"/>
    <col min="19" max="19" width="11.25" style="1" customWidth="1"/>
    <col min="20" max="22" width="9" style="1"/>
    <col min="23" max="23" width="12.25" style="1" customWidth="1"/>
    <col min="24" max="24" width="12.875" style="1"/>
    <col min="25" max="16384" width="9" style="1"/>
  </cols>
  <sheetData>
    <row r="1" ht="20.25" customHeight="1" spans="1:20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="1" customFormat="1" ht="21" customHeight="1" spans="1:20">
      <c r="A2" s="4"/>
      <c r="B2" s="5"/>
      <c r="C2" s="5"/>
      <c r="D2" s="5"/>
      <c r="E2" s="5"/>
      <c r="F2" s="5"/>
      <c r="G2" s="5"/>
      <c r="H2" s="5"/>
      <c r="I2" s="5"/>
      <c r="J2" s="2"/>
      <c r="K2" s="22"/>
      <c r="L2" s="22"/>
      <c r="M2" s="22"/>
      <c r="N2" s="22"/>
      <c r="O2" s="22"/>
      <c r="Q2" s="22"/>
      <c r="R2" s="22" t="s">
        <v>1</v>
      </c>
      <c r="S2" s="22"/>
      <c r="T2" s="22"/>
    </row>
    <row r="3" s="1" customFormat="1" ht="17" customHeight="1" spans="1:24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7" t="s">
        <v>7</v>
      </c>
      <c r="G3" s="7" t="s">
        <v>8</v>
      </c>
      <c r="H3" s="10" t="s">
        <v>9</v>
      </c>
      <c r="I3" s="23"/>
      <c r="J3" s="24"/>
      <c r="K3" s="25"/>
      <c r="L3" s="26" t="s">
        <v>10</v>
      </c>
      <c r="M3" s="27" t="s">
        <v>11</v>
      </c>
      <c r="N3" s="28"/>
      <c r="O3" s="28"/>
      <c r="P3" s="28"/>
      <c r="Q3" s="38"/>
      <c r="R3" s="39" t="s">
        <v>12</v>
      </c>
      <c r="S3" s="40" t="s">
        <v>13</v>
      </c>
      <c r="T3" s="41" t="s">
        <v>14</v>
      </c>
      <c r="U3" s="42"/>
      <c r="V3" s="43"/>
      <c r="W3" s="44" t="s">
        <v>15</v>
      </c>
      <c r="X3" s="45" t="s">
        <v>16</v>
      </c>
    </row>
    <row r="4" s="1" customFormat="1" ht="39" customHeight="1" spans="1:24">
      <c r="A4" s="6"/>
      <c r="B4" s="7"/>
      <c r="C4" s="8"/>
      <c r="D4" s="9"/>
      <c r="E4" s="9"/>
      <c r="F4" s="7"/>
      <c r="G4" s="7"/>
      <c r="H4" s="11" t="s">
        <v>17</v>
      </c>
      <c r="I4" s="11" t="s">
        <v>18</v>
      </c>
      <c r="J4" s="29" t="s">
        <v>19</v>
      </c>
      <c r="K4" s="30" t="s">
        <v>20</v>
      </c>
      <c r="L4" s="31"/>
      <c r="M4" s="32" t="s">
        <v>21</v>
      </c>
      <c r="N4" s="33" t="s">
        <v>22</v>
      </c>
      <c r="O4" s="33" t="s">
        <v>23</v>
      </c>
      <c r="P4" s="33" t="s">
        <v>24</v>
      </c>
      <c r="Q4" s="33" t="s">
        <v>25</v>
      </c>
      <c r="R4" s="46"/>
      <c r="S4" s="47"/>
      <c r="T4" s="48" t="s">
        <v>26</v>
      </c>
      <c r="U4" s="11" t="s">
        <v>27</v>
      </c>
      <c r="V4" s="49" t="s">
        <v>20</v>
      </c>
      <c r="W4" s="50" t="s">
        <v>28</v>
      </c>
      <c r="X4" s="51"/>
    </row>
    <row r="5" s="1" customFormat="1" customHeight="1" spans="1:24">
      <c r="A5" s="12" t="s">
        <v>29</v>
      </c>
      <c r="B5" s="13" t="s">
        <v>30</v>
      </c>
      <c r="C5" s="14">
        <v>240516000040</v>
      </c>
      <c r="D5" s="15">
        <v>45439</v>
      </c>
      <c r="E5" s="13" t="s">
        <v>31</v>
      </c>
      <c r="F5" s="13" t="s">
        <v>32</v>
      </c>
      <c r="G5" s="13">
        <v>31.5</v>
      </c>
      <c r="H5" s="16">
        <v>2362.5</v>
      </c>
      <c r="I5" s="34"/>
      <c r="J5" s="34"/>
      <c r="K5" s="34">
        <f>SUM(H5)</f>
        <v>2362.5</v>
      </c>
      <c r="L5" s="34">
        <f>SUM(K5)</f>
        <v>2362.5</v>
      </c>
      <c r="M5" s="35" t="s">
        <v>33</v>
      </c>
      <c r="N5" s="35">
        <v>1934.4</v>
      </c>
      <c r="O5" s="35"/>
      <c r="P5" s="36">
        <v>36</v>
      </c>
      <c r="Q5" s="35"/>
      <c r="R5" s="35"/>
      <c r="S5" s="35">
        <f>SUM(N5:R5)</f>
        <v>1970.4</v>
      </c>
      <c r="T5" s="35"/>
      <c r="U5" s="35"/>
      <c r="V5" s="35">
        <v>0</v>
      </c>
      <c r="W5" s="35">
        <f>SUM(S5+V5)</f>
        <v>1970.4</v>
      </c>
      <c r="X5" s="35">
        <f>SUM(L5-W5)</f>
        <v>392.1</v>
      </c>
    </row>
    <row r="6" s="1" customFormat="1" customHeight="1" spans="1:24">
      <c r="A6" s="12" t="s">
        <v>34</v>
      </c>
      <c r="B6" s="13" t="s">
        <v>35</v>
      </c>
      <c r="C6" s="14">
        <v>240511000013</v>
      </c>
      <c r="D6" s="17">
        <v>45443</v>
      </c>
      <c r="E6" s="13" t="s">
        <v>31</v>
      </c>
      <c r="F6" s="13" t="s">
        <v>36</v>
      </c>
      <c r="G6" s="13">
        <v>0.42</v>
      </c>
      <c r="H6" s="18">
        <v>265</v>
      </c>
      <c r="I6" s="34"/>
      <c r="J6" s="34"/>
      <c r="K6" s="34">
        <f>SUM(H6)</f>
        <v>265</v>
      </c>
      <c r="L6" s="34">
        <f>SUM(K6)</f>
        <v>265</v>
      </c>
      <c r="M6" s="35" t="s">
        <v>33</v>
      </c>
      <c r="N6" s="35">
        <v>240</v>
      </c>
      <c r="O6" s="35"/>
      <c r="P6" s="36">
        <v>17</v>
      </c>
      <c r="Q6" s="35"/>
      <c r="R6" s="35"/>
      <c r="S6" s="35">
        <f>SUM(N6:R6)</f>
        <v>257</v>
      </c>
      <c r="T6" s="35"/>
      <c r="U6" s="35"/>
      <c r="V6" s="35">
        <v>0</v>
      </c>
      <c r="W6" s="35">
        <f>SUM(S6+V6)</f>
        <v>257</v>
      </c>
      <c r="X6" s="35">
        <f>SUM(L6-W6)</f>
        <v>8</v>
      </c>
    </row>
    <row r="7" s="2" customFormat="1" ht="20" customHeight="1" spans="1:24">
      <c r="A7" s="19" t="s">
        <v>37</v>
      </c>
      <c r="B7" s="19"/>
      <c r="C7" s="20"/>
      <c r="D7" s="21"/>
      <c r="E7" s="2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52">
        <f>SUM(X5:X6)</f>
        <v>400.1</v>
      </c>
    </row>
    <row r="8" ht="14" customHeight="1"/>
    <row r="9" ht="14" customHeight="1" spans="11:17">
      <c r="K9" s="37"/>
      <c r="L9" s="37"/>
      <c r="M9" s="37"/>
      <c r="N9" s="37"/>
      <c r="O9" s="37"/>
      <c r="P9" s="37"/>
      <c r="Q9" s="37"/>
    </row>
    <row r="10" ht="14" customHeight="1"/>
    <row r="11" ht="14" customHeight="1"/>
  </sheetData>
  <autoFilter xmlns:etc="http://www.wps.cn/officeDocument/2017/etCustomData" ref="B3:T7" etc:filterBottomFollowUsedRange="0">
    <extLst/>
  </autoFilter>
  <mergeCells count="16">
    <mergeCell ref="B1:T1"/>
    <mergeCell ref="H3:K3"/>
    <mergeCell ref="M3:Q3"/>
    <mergeCell ref="T3:V3"/>
    <mergeCell ref="A7:B7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2018-03-09T08:26:00Z</dcterms:created>
  <dcterms:modified xsi:type="dcterms:W3CDTF">2024-08-20T08:55:23Z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